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comments1.xml" ContentType="application/vnd.openxmlformats-officedocument.spreadsheetml.comments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comments2.xml" ContentType="application/vnd.openxmlformats-officedocument.spreadsheetml.comments+xml"/>
  <Override PartName="/xl/drawings/drawing20.xml" ContentType="application/vnd.openxmlformats-officedocument.drawing+xml"/>
  <Override PartName="/xl/comments3.xml" ContentType="application/vnd.openxmlformats-officedocument.spreadsheetml.comments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comments4.xml" ContentType="application/vnd.openxmlformats-officedocument.spreadsheetml.comments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drawings/drawing61.xml" ContentType="application/vnd.openxmlformats-officedocument.drawing+xml"/>
  <Override PartName="/xl/drawings/drawing62.xml" ContentType="application/vnd.openxmlformats-officedocument.drawing+xml"/>
  <Override PartName="/xl/drawings/drawing63.xml" ContentType="application/vnd.openxmlformats-officedocument.drawing+xml"/>
  <Override PartName="/xl/drawings/drawing64.xml" ContentType="application/vnd.openxmlformats-officedocument.drawing+xml"/>
  <Override PartName="/xl/drawings/drawing65.xml" ContentType="application/vnd.openxmlformats-officedocument.drawing+xml"/>
  <Override PartName="/xl/drawings/drawing66.xml" ContentType="application/vnd.openxmlformats-officedocument.drawing+xml"/>
  <Override PartName="/xl/drawings/drawing67.xml" ContentType="application/vnd.openxmlformats-officedocument.drawing+xml"/>
  <Override PartName="/xl/drawings/drawing68.xml" ContentType="application/vnd.openxmlformats-officedocument.drawing+xml"/>
  <Override PartName="/xl/drawings/drawing69.xml" ContentType="application/vnd.openxmlformats-officedocument.drawing+xml"/>
  <Override PartName="/xl/drawings/drawing70.xml" ContentType="application/vnd.openxmlformats-officedocument.drawing+xml"/>
  <Override PartName="/xl/drawings/drawing71.xml" ContentType="application/vnd.openxmlformats-officedocument.drawing+xml"/>
  <Override PartName="/xl/drawings/drawing7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AUGUST FILES 2026\"/>
    </mc:Choice>
  </mc:AlternateContent>
  <xr:revisionPtr revIDLastSave="0" documentId="13_ncr:1_{E59816A0-BF1F-480F-84A6-A7B866A7989D}" xr6:coauthVersionLast="45" xr6:coauthVersionMax="47" xr10:uidLastSave="{00000000-0000-0000-0000-000000000000}"/>
  <bookViews>
    <workbookView xWindow="-120" yWindow="-120" windowWidth="29040" windowHeight="15840" firstSheet="6" activeTab="3" xr2:uid="{00000000-000D-0000-FFFF-FFFF00000000}"/>
  </bookViews>
  <sheets>
    <sheet name="(AUGUST 2026)" sheetId="814" r:id="rId1"/>
    <sheet name="(01)" sheetId="2241" r:id="rId2"/>
    <sheet name="08,01 R1 NO TRIP" sheetId="2242" r:id="rId3"/>
    <sheet name="08,01 R2 COLLECTION" sheetId="2243" r:id="rId4"/>
    <sheet name="08,01 R3 NO TRIP" sheetId="2244" r:id="rId5"/>
    <sheet name="(3)" sheetId="2249" r:id="rId6"/>
    <sheet name="08,03 R1" sheetId="2250" r:id="rId7"/>
    <sheet name="08,03 R2" sheetId="2251" r:id="rId8"/>
    <sheet name="08,03 R3" sheetId="2252" r:id="rId9"/>
    <sheet name="(4)" sheetId="2245" r:id="rId10"/>
    <sheet name="08,04 R1 NO TRIP" sheetId="2246" r:id="rId11"/>
    <sheet name="08,04 R2" sheetId="2247" r:id="rId12"/>
    <sheet name="08,04 R3" sheetId="2248" r:id="rId13"/>
    <sheet name="(5)" sheetId="2253" r:id="rId14"/>
    <sheet name="08,05 R1" sheetId="2254" r:id="rId15"/>
    <sheet name="08,05 R2" sheetId="2255" r:id="rId16"/>
    <sheet name="08,05 R3 NO TRIP" sheetId="2256" r:id="rId17"/>
    <sheet name="(6)" sheetId="2257" r:id="rId18"/>
    <sheet name="08,06 R1 NO TRIP" sheetId="2258" r:id="rId19"/>
    <sheet name="08,06 R2" sheetId="2259" r:id="rId20"/>
    <sheet name="08,06 R3" sheetId="2260" r:id="rId21"/>
    <sheet name="(7)" sheetId="2261" r:id="rId22"/>
    <sheet name="08,07 R1" sheetId="2262" r:id="rId23"/>
    <sheet name="08,07 R2" sheetId="2263" r:id="rId24"/>
    <sheet name="08,07 R3" sheetId="2264" r:id="rId25"/>
    <sheet name="(8)" sheetId="2265" r:id="rId26"/>
    <sheet name="08,08 R1 NO TRIP" sheetId="2266" r:id="rId27"/>
    <sheet name="08,08 R2" sheetId="2267" r:id="rId28"/>
    <sheet name="08,08 R3" sheetId="2268" r:id="rId29"/>
    <sheet name="(10)" sheetId="2269" r:id="rId30"/>
    <sheet name="08,10 R1" sheetId="2270" r:id="rId31"/>
    <sheet name="08,10 R2" sheetId="2271" r:id="rId32"/>
    <sheet name="08,10 R3" sheetId="2272" r:id="rId33"/>
    <sheet name="(11)" sheetId="2273" r:id="rId34"/>
    <sheet name="08,11 R1" sheetId="2274" r:id="rId35"/>
    <sheet name="08,11 R2" sheetId="2275" r:id="rId36"/>
    <sheet name="08,11 R3" sheetId="2276" r:id="rId37"/>
    <sheet name="(12)" sheetId="2277" r:id="rId38"/>
    <sheet name="08,12 R1" sheetId="2278" r:id="rId39"/>
    <sheet name="08,12 R2" sheetId="2279" r:id="rId40"/>
    <sheet name="08,12 R3" sheetId="2280" r:id="rId41"/>
    <sheet name="(13)" sheetId="2281" r:id="rId42"/>
    <sheet name="08,13 R1" sheetId="2282" r:id="rId43"/>
    <sheet name="08,13 R2" sheetId="2283" r:id="rId44"/>
    <sheet name="08,13 R3" sheetId="2284" r:id="rId45"/>
    <sheet name="(14)" sheetId="2285" r:id="rId46"/>
    <sheet name="08,14 R1" sheetId="2286" r:id="rId47"/>
    <sheet name="08,14 R2" sheetId="2287" r:id="rId48"/>
    <sheet name="08,14 R3" sheetId="2288" r:id="rId49"/>
    <sheet name="(15)" sheetId="2289" r:id="rId50"/>
    <sheet name="08,15 R1 COLLECTION" sheetId="2290" r:id="rId51"/>
    <sheet name="08,15 R2" sheetId="2291" r:id="rId52"/>
    <sheet name="08,15 R3" sheetId="2292" r:id="rId53"/>
    <sheet name="(17)" sheetId="2293" r:id="rId54"/>
    <sheet name="08,17 R1" sheetId="2294" r:id="rId55"/>
    <sheet name="08,17 R2" sheetId="2295" r:id="rId56"/>
    <sheet name="08,17 R3" sheetId="2296" r:id="rId57"/>
    <sheet name="(18)" sheetId="2297" r:id="rId58"/>
    <sheet name="08,18 R1" sheetId="2298" r:id="rId59"/>
    <sheet name="08,18 R2" sheetId="2299" r:id="rId60"/>
    <sheet name="08,18 R3" sheetId="2300" r:id="rId61"/>
    <sheet name="(19)" sheetId="2301" r:id="rId62"/>
    <sheet name="08,19 R1" sheetId="2302" r:id="rId63"/>
    <sheet name="08,19 R2" sheetId="2303" r:id="rId64"/>
    <sheet name="08,19 R3" sheetId="2304" r:id="rId65"/>
    <sheet name="(20)" sheetId="2305" r:id="rId66"/>
    <sheet name="08,20 R1" sheetId="2306" r:id="rId67"/>
    <sheet name="08,20 R2" sheetId="2307" r:id="rId68"/>
    <sheet name="08,20 R3" sheetId="2308" r:id="rId69"/>
    <sheet name="(21)" sheetId="2309" r:id="rId70"/>
    <sheet name="08,21 R1 NO TRIP" sheetId="2310" r:id="rId71"/>
    <sheet name="08,21 R2 " sheetId="2311" r:id="rId72"/>
    <sheet name="08,21 R3" sheetId="2312" r:id="rId73"/>
  </sheets>
  <definedNames>
    <definedName name="_xlnm.Print_Area" localSheetId="1">'(01)'!$A$1:$J$60</definedName>
    <definedName name="_xlnm.Print_Area" localSheetId="29">'(10)'!$A$1:$J$60</definedName>
    <definedName name="_xlnm.Print_Area" localSheetId="33">'(11)'!$A$1:$J$60</definedName>
    <definedName name="_xlnm.Print_Area" localSheetId="37">'(12)'!$A$1:$J$60</definedName>
    <definedName name="_xlnm.Print_Area" localSheetId="41">'(13)'!$A$1:$J$60</definedName>
    <definedName name="_xlnm.Print_Area" localSheetId="45">'(14)'!$A$1:$J$60</definedName>
    <definedName name="_xlnm.Print_Area" localSheetId="49">'(15)'!$A$1:$J$60</definedName>
    <definedName name="_xlnm.Print_Area" localSheetId="53">'(17)'!$A$1:$J$60</definedName>
    <definedName name="_xlnm.Print_Area" localSheetId="57">'(18)'!$A$1:$J$60</definedName>
    <definedName name="_xlnm.Print_Area" localSheetId="61">'(19)'!$A$1:$J$60</definedName>
    <definedName name="_xlnm.Print_Area" localSheetId="65">'(20)'!$A$1:$J$60</definedName>
    <definedName name="_xlnm.Print_Area" localSheetId="69">'(21)'!$A$1:$J$60</definedName>
    <definedName name="_xlnm.Print_Area" localSheetId="5">'(3)'!$A$1:$J$60</definedName>
    <definedName name="_xlnm.Print_Area" localSheetId="9">'(4)'!$A$1:$J$60</definedName>
    <definedName name="_xlnm.Print_Area" localSheetId="13">'(5)'!$A$1:$J$60</definedName>
    <definedName name="_xlnm.Print_Area" localSheetId="17">'(6)'!$A$1:$J$60</definedName>
    <definedName name="_xlnm.Print_Area" localSheetId="21">'(7)'!$A$1:$J$60</definedName>
    <definedName name="_xlnm.Print_Area" localSheetId="25">'(8)'!$A$1:$J$60</definedName>
    <definedName name="_xlnm.Print_Area" localSheetId="2">'08,01 R1 NO TRIP'!$A$1:$J$60</definedName>
    <definedName name="_xlnm.Print_Area" localSheetId="3">'08,01 R2 COLLECTION'!$A$1:$J$60</definedName>
    <definedName name="_xlnm.Print_Area" localSheetId="4">'08,01 R3 NO TRIP'!$A$1:$J$60</definedName>
    <definedName name="_xlnm.Print_Area" localSheetId="6">'08,03 R1'!$A$1:$J$60</definedName>
    <definedName name="_xlnm.Print_Area" localSheetId="7">'08,03 R2'!$A$1:$J$60</definedName>
    <definedName name="_xlnm.Print_Area" localSheetId="8">'08,03 R3'!$A$1:$J$60</definedName>
    <definedName name="_xlnm.Print_Area" localSheetId="10">'08,04 R1 NO TRIP'!$A$1:$J$60</definedName>
    <definedName name="_xlnm.Print_Area" localSheetId="11">'08,04 R2'!$A$1:$J$60</definedName>
    <definedName name="_xlnm.Print_Area" localSheetId="12">'08,04 R3'!$A$1:$J$60</definedName>
    <definedName name="_xlnm.Print_Area" localSheetId="14">'08,05 R1'!$A$1:$J$60</definedName>
    <definedName name="_xlnm.Print_Area" localSheetId="15">'08,05 R2'!$A$1:$J$60</definedName>
    <definedName name="_xlnm.Print_Area" localSheetId="16">'08,05 R3 NO TRIP'!$A$1:$J$60</definedName>
    <definedName name="_xlnm.Print_Area" localSheetId="18">'08,06 R1 NO TRIP'!$A$1:$J$60</definedName>
    <definedName name="_xlnm.Print_Area" localSheetId="19">'08,06 R2'!$A$1:$J$60</definedName>
    <definedName name="_xlnm.Print_Area" localSheetId="20">'08,06 R3'!$A$1:$J$60</definedName>
    <definedName name="_xlnm.Print_Area" localSheetId="22">'08,07 R1'!$A$1:$J$60</definedName>
    <definedName name="_xlnm.Print_Area" localSheetId="23">'08,07 R2'!$A$1:$J$60</definedName>
    <definedName name="_xlnm.Print_Area" localSheetId="24">'08,07 R3'!$A$1:$J$60</definedName>
    <definedName name="_xlnm.Print_Area" localSheetId="26">'08,08 R1 NO TRIP'!$A$1:$J$60</definedName>
    <definedName name="_xlnm.Print_Area" localSheetId="27">'08,08 R2'!$A$1:$J$60</definedName>
    <definedName name="_xlnm.Print_Area" localSheetId="28">'08,08 R3'!$A$1:$J$60</definedName>
    <definedName name="_xlnm.Print_Area" localSheetId="30">'08,10 R1'!$A$1:$J$60</definedName>
    <definedName name="_xlnm.Print_Area" localSheetId="31">'08,10 R2'!$A$1:$J$60</definedName>
    <definedName name="_xlnm.Print_Area" localSheetId="32">'08,10 R3'!$A$1:$J$60</definedName>
    <definedName name="_xlnm.Print_Area" localSheetId="34">'08,11 R1'!$A$1:$J$60</definedName>
    <definedName name="_xlnm.Print_Area" localSheetId="35">'08,11 R2'!$A$1:$J$60</definedName>
    <definedName name="_xlnm.Print_Area" localSheetId="36">'08,11 R3'!$A$1:$J$60</definedName>
    <definedName name="_xlnm.Print_Area" localSheetId="38">'08,12 R1'!$A$1:$J$60</definedName>
    <definedName name="_xlnm.Print_Area" localSheetId="39">'08,12 R2'!$A$1:$J$60</definedName>
    <definedName name="_xlnm.Print_Area" localSheetId="40">'08,12 R3'!$A$1:$J$60</definedName>
    <definedName name="_xlnm.Print_Area" localSheetId="42">'08,13 R1'!$A$1:$J$60</definedName>
    <definedName name="_xlnm.Print_Area" localSheetId="43">'08,13 R2'!$A$1:$J$60</definedName>
    <definedName name="_xlnm.Print_Area" localSheetId="44">'08,13 R3'!$A$1:$J$60</definedName>
    <definedName name="_xlnm.Print_Area" localSheetId="46">'08,14 R1'!$A$1:$J$60</definedName>
    <definedName name="_xlnm.Print_Area" localSheetId="47">'08,14 R2'!$A$1:$J$60</definedName>
    <definedName name="_xlnm.Print_Area" localSheetId="48">'08,14 R3'!$A$1:$J$60</definedName>
    <definedName name="_xlnm.Print_Area" localSheetId="50">'08,15 R1 COLLECTION'!$A$1:$J$60</definedName>
    <definedName name="_xlnm.Print_Area" localSheetId="51">'08,15 R2'!$A$1:$J$60</definedName>
    <definedName name="_xlnm.Print_Area" localSheetId="52">'08,15 R3'!$A$1:$J$60</definedName>
    <definedName name="_xlnm.Print_Area" localSheetId="54">'08,17 R1'!$A$1:$J$60</definedName>
    <definedName name="_xlnm.Print_Area" localSheetId="55">'08,17 R2'!$A$1:$J$60</definedName>
    <definedName name="_xlnm.Print_Area" localSheetId="56">'08,17 R3'!$A$1:$J$60</definedName>
    <definedName name="_xlnm.Print_Area" localSheetId="58">'08,18 R1'!$A$1:$J$60</definedName>
    <definedName name="_xlnm.Print_Area" localSheetId="59">'08,18 R2'!$A$1:$J$60</definedName>
    <definedName name="_xlnm.Print_Area" localSheetId="60">'08,18 R3'!$A$1:$J$60</definedName>
    <definedName name="_xlnm.Print_Area" localSheetId="62">'08,19 R1'!$A$1:$J$60</definedName>
    <definedName name="_xlnm.Print_Area" localSheetId="63">'08,19 R2'!$A$1:$J$60</definedName>
    <definedName name="_xlnm.Print_Area" localSheetId="64">'08,19 R3'!$A$1:$J$60</definedName>
    <definedName name="_xlnm.Print_Area" localSheetId="66">'08,20 R1'!$A$1:$J$60</definedName>
    <definedName name="_xlnm.Print_Area" localSheetId="67">'08,20 R2'!$A$1:$J$60</definedName>
    <definedName name="_xlnm.Print_Area" localSheetId="68">'08,20 R3'!$A$1:$J$60</definedName>
    <definedName name="_xlnm.Print_Area" localSheetId="70">'08,21 R1 NO TRIP'!$A$1:$J$60</definedName>
    <definedName name="_xlnm.Print_Area" localSheetId="71">'08,21 R2 '!$A$1:$J$60</definedName>
    <definedName name="_xlnm.Print_Area" localSheetId="72">'08,21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16" i="2306" l="1"/>
  <c r="C16" i="2302" l="1"/>
  <c r="C12" i="2302"/>
  <c r="G51" i="2294" l="1"/>
  <c r="C16" i="2295" l="1"/>
  <c r="H16" i="2294"/>
  <c r="C19" i="2294" l="1"/>
  <c r="R52" i="2312" l="1"/>
  <c r="R51" i="2312"/>
  <c r="D50" i="2312"/>
  <c r="R49" i="2312"/>
  <c r="D49" i="2312"/>
  <c r="R48" i="2312"/>
  <c r="D48" i="2312"/>
  <c r="D46" i="2312"/>
  <c r="D45" i="2312"/>
  <c r="R44" i="2312"/>
  <c r="D44" i="2312"/>
  <c r="R42" i="2312"/>
  <c r="L6" i="2312" s="1"/>
  <c r="D6" i="2312" s="1"/>
  <c r="D42" i="2312"/>
  <c r="R41" i="2312"/>
  <c r="D41" i="2312"/>
  <c r="R40" i="2312"/>
  <c r="D40" i="2312"/>
  <c r="R39" i="2312"/>
  <c r="H39" i="2312"/>
  <c r="D39" i="2312"/>
  <c r="R38" i="2312"/>
  <c r="H38" i="2312"/>
  <c r="D38" i="2312"/>
  <c r="R37" i="2312"/>
  <c r="H37" i="2312"/>
  <c r="D37" i="2312"/>
  <c r="R36" i="2312"/>
  <c r="H36" i="2312"/>
  <c r="D36" i="2312"/>
  <c r="R35" i="2312"/>
  <c r="H35" i="2312"/>
  <c r="D35" i="2312"/>
  <c r="R34" i="2312"/>
  <c r="L12" i="2312" s="1"/>
  <c r="D12" i="2312" s="1"/>
  <c r="H34" i="2312"/>
  <c r="D34" i="2312"/>
  <c r="R33" i="2312"/>
  <c r="L19" i="2312" s="1"/>
  <c r="D19" i="2312" s="1"/>
  <c r="R32" i="2312"/>
  <c r="R31" i="2312"/>
  <c r="R30" i="2312"/>
  <c r="R29" i="2312"/>
  <c r="R28" i="2312"/>
  <c r="L28" i="2312"/>
  <c r="D28" i="2312" s="1"/>
  <c r="R27" i="2312"/>
  <c r="L27" i="2312"/>
  <c r="D27" i="2312" s="1"/>
  <c r="R26" i="2312"/>
  <c r="L26" i="2312"/>
  <c r="D26" i="2312" s="1"/>
  <c r="R25" i="2312"/>
  <c r="L25" i="2312"/>
  <c r="D25" i="2312"/>
  <c r="R24" i="2312"/>
  <c r="L24" i="2312"/>
  <c r="D24" i="2312"/>
  <c r="R23" i="2312"/>
  <c r="L23" i="2312"/>
  <c r="D23" i="2312"/>
  <c r="R22" i="2312"/>
  <c r="L22" i="2312"/>
  <c r="D22" i="2312"/>
  <c r="R21" i="2312"/>
  <c r="L17" i="2312" s="1"/>
  <c r="D17" i="2312" s="1"/>
  <c r="D21" i="2312"/>
  <c r="R20" i="2312"/>
  <c r="L20" i="2312"/>
  <c r="D20" i="2312" s="1"/>
  <c r="R19" i="2312"/>
  <c r="R18" i="2312"/>
  <c r="L18" i="2312"/>
  <c r="D18" i="2312" s="1"/>
  <c r="R17" i="2312"/>
  <c r="R16" i="2312"/>
  <c r="R15" i="2312"/>
  <c r="R14" i="2312"/>
  <c r="D14" i="2312"/>
  <c r="R13" i="2312"/>
  <c r="D13" i="2312"/>
  <c r="R12" i="2312"/>
  <c r="R11" i="2312"/>
  <c r="L11" i="2312"/>
  <c r="D11" i="2312"/>
  <c r="L10" i="2312"/>
  <c r="D10" i="2312" s="1"/>
  <c r="L9" i="2312"/>
  <c r="D9" i="2312" s="1"/>
  <c r="L8" i="2312"/>
  <c r="D8" i="2312" s="1"/>
  <c r="L7" i="2312"/>
  <c r="D7" i="2312"/>
  <c r="R6" i="2312"/>
  <c r="L16" i="2312" s="1"/>
  <c r="D16" i="2312" s="1"/>
  <c r="R5" i="2312"/>
  <c r="R4" i="2312"/>
  <c r="L15" i="2312" s="1"/>
  <c r="D15" i="2312" s="1"/>
  <c r="R52" i="2311"/>
  <c r="R51" i="2311"/>
  <c r="D50" i="2311"/>
  <c r="R49" i="2311"/>
  <c r="D49" i="2311"/>
  <c r="R48" i="2311"/>
  <c r="D48" i="2311"/>
  <c r="D46" i="2311"/>
  <c r="D45" i="2311"/>
  <c r="R44" i="2311"/>
  <c r="L28" i="2311" s="1"/>
  <c r="D28" i="2311" s="1"/>
  <c r="D44" i="2311"/>
  <c r="R42" i="2311"/>
  <c r="L6" i="2311" s="1"/>
  <c r="D6" i="2311" s="1"/>
  <c r="D42" i="2311"/>
  <c r="R41" i="2311"/>
  <c r="D41" i="2311"/>
  <c r="R40" i="2311"/>
  <c r="D40" i="2311"/>
  <c r="R39" i="2311"/>
  <c r="H39" i="2311"/>
  <c r="D39" i="2311"/>
  <c r="R38" i="2311"/>
  <c r="L9" i="2311" s="1"/>
  <c r="D9" i="2311" s="1"/>
  <c r="H38" i="2311"/>
  <c r="D38" i="2311"/>
  <c r="R37" i="2311"/>
  <c r="H37" i="2311"/>
  <c r="D37" i="2311"/>
  <c r="R36" i="2311"/>
  <c r="H36" i="2311"/>
  <c r="D36" i="2311"/>
  <c r="R35" i="2311"/>
  <c r="H35" i="2311"/>
  <c r="D35" i="2311"/>
  <c r="R34" i="2311"/>
  <c r="L12" i="2311" s="1"/>
  <c r="D12" i="2311" s="1"/>
  <c r="H34" i="2311"/>
  <c r="D34" i="2311"/>
  <c r="R33" i="2311"/>
  <c r="R32" i="2311"/>
  <c r="L11" i="2311" s="1"/>
  <c r="D11" i="2311" s="1"/>
  <c r="R31" i="2311"/>
  <c r="R30" i="2311"/>
  <c r="R29" i="2311"/>
  <c r="R28" i="2311"/>
  <c r="R27" i="2311"/>
  <c r="L27" i="2311"/>
  <c r="D27" i="2311" s="1"/>
  <c r="R26" i="2311"/>
  <c r="L26" i="2311"/>
  <c r="D26" i="2311" s="1"/>
  <c r="R25" i="2311"/>
  <c r="L25" i="2311"/>
  <c r="D25" i="2311" s="1"/>
  <c r="R24" i="2311"/>
  <c r="L24" i="2311"/>
  <c r="D24" i="2311"/>
  <c r="R23" i="2311"/>
  <c r="L23" i="2311"/>
  <c r="D23" i="2311"/>
  <c r="R22" i="2311"/>
  <c r="L20" i="2311" s="1"/>
  <c r="D20" i="2311" s="1"/>
  <c r="L22" i="2311"/>
  <c r="D22" i="2311"/>
  <c r="R21" i="2311"/>
  <c r="D21" i="2311"/>
  <c r="R20" i="2311"/>
  <c r="R19" i="2311"/>
  <c r="L19" i="2311"/>
  <c r="D19" i="2311"/>
  <c r="R18" i="2311"/>
  <c r="L18" i="2311"/>
  <c r="D18" i="2311"/>
  <c r="R17" i="2311"/>
  <c r="L17" i="2311"/>
  <c r="D17" i="2311" s="1"/>
  <c r="R16" i="2311"/>
  <c r="R15" i="2311"/>
  <c r="L15" i="2311"/>
  <c r="D15" i="2311" s="1"/>
  <c r="R14" i="2311"/>
  <c r="L14" i="2311"/>
  <c r="D14" i="2311"/>
  <c r="R13" i="2311"/>
  <c r="D13" i="2311"/>
  <c r="R12" i="2311"/>
  <c r="R11" i="2311"/>
  <c r="L10" i="2311"/>
  <c r="D10" i="2311" s="1"/>
  <c r="L8" i="2311"/>
  <c r="D8" i="2311"/>
  <c r="L7" i="2311"/>
  <c r="D7" i="2311"/>
  <c r="R6" i="2311"/>
  <c r="L16" i="2311" s="1"/>
  <c r="D16" i="2311" s="1"/>
  <c r="R5" i="2311"/>
  <c r="R4" i="2311"/>
  <c r="V68" i="2310"/>
  <c r="R52" i="2310"/>
  <c r="R51" i="2310"/>
  <c r="D50" i="2310"/>
  <c r="R49" i="2310"/>
  <c r="D49" i="2310"/>
  <c r="R48" i="2310"/>
  <c r="D48" i="2310"/>
  <c r="D46" i="2310"/>
  <c r="D45" i="2310"/>
  <c r="R44" i="2310"/>
  <c r="L28" i="2310" s="1"/>
  <c r="D28" i="2310" s="1"/>
  <c r="D44" i="2310"/>
  <c r="R42" i="2310"/>
  <c r="D42" i="2310"/>
  <c r="R41" i="2310"/>
  <c r="D41" i="2310"/>
  <c r="R40" i="2310"/>
  <c r="D40" i="2310"/>
  <c r="R39" i="2310"/>
  <c r="H39" i="2310"/>
  <c r="D39" i="2310"/>
  <c r="R38" i="2310"/>
  <c r="H38" i="2310"/>
  <c r="D38" i="2310"/>
  <c r="R37" i="2310"/>
  <c r="H37" i="2310"/>
  <c r="G49" i="2310" s="1"/>
  <c r="D37" i="2310"/>
  <c r="R36" i="2310"/>
  <c r="L10" i="2310" s="1"/>
  <c r="D10" i="2310" s="1"/>
  <c r="H36" i="2310"/>
  <c r="D36" i="2310"/>
  <c r="R35" i="2310"/>
  <c r="L18" i="2310" s="1"/>
  <c r="D18" i="2310" s="1"/>
  <c r="H35" i="2310"/>
  <c r="D35" i="2310"/>
  <c r="R34" i="2310"/>
  <c r="L12" i="2310" s="1"/>
  <c r="D12" i="2310" s="1"/>
  <c r="H34" i="2310"/>
  <c r="D34" i="2310"/>
  <c r="D54" i="2310" s="1"/>
  <c r="H14" i="2310" s="1"/>
  <c r="R33" i="2310"/>
  <c r="R32" i="2310"/>
  <c r="R31" i="2310"/>
  <c r="R30" i="2310"/>
  <c r="R29" i="2310"/>
  <c r="R28" i="2310"/>
  <c r="R27" i="2310"/>
  <c r="L27" i="2310"/>
  <c r="D27" i="2310"/>
  <c r="R26" i="2310"/>
  <c r="L26" i="2310"/>
  <c r="D26" i="2310"/>
  <c r="R25" i="2310"/>
  <c r="L25" i="2310"/>
  <c r="D25" i="2310"/>
  <c r="R24" i="2310"/>
  <c r="L24" i="2310"/>
  <c r="D24" i="2310" s="1"/>
  <c r="R23" i="2310"/>
  <c r="L23" i="2310"/>
  <c r="D23" i="2310" s="1"/>
  <c r="R22" i="2310"/>
  <c r="L22" i="2310"/>
  <c r="D22" i="2310" s="1"/>
  <c r="R21" i="2310"/>
  <c r="L17" i="2310" s="1"/>
  <c r="D17" i="2310" s="1"/>
  <c r="L21" i="2310"/>
  <c r="D21" i="2310" s="1"/>
  <c r="R20" i="2310"/>
  <c r="L20" i="2310"/>
  <c r="D20" i="2310" s="1"/>
  <c r="R19" i="2310"/>
  <c r="L19" i="2310"/>
  <c r="D19" i="2310"/>
  <c r="R18" i="2310"/>
  <c r="R17" i="2310"/>
  <c r="R16" i="2310"/>
  <c r="R15" i="2310"/>
  <c r="R14" i="2310"/>
  <c r="D14" i="2310"/>
  <c r="R13" i="2310"/>
  <c r="D13" i="2310"/>
  <c r="R12" i="2310"/>
  <c r="R11" i="2310"/>
  <c r="L11" i="2310"/>
  <c r="D11" i="2310"/>
  <c r="L9" i="2310"/>
  <c r="D9" i="2310" s="1"/>
  <c r="L8" i="2310"/>
  <c r="D8" i="2310"/>
  <c r="L7" i="2310"/>
  <c r="D7" i="2310" s="1"/>
  <c r="R6" i="2310"/>
  <c r="L16" i="2310" s="1"/>
  <c r="D16" i="2310" s="1"/>
  <c r="L6" i="2310"/>
  <c r="D6" i="2310" s="1"/>
  <c r="R5" i="2310"/>
  <c r="R4" i="2310"/>
  <c r="L15" i="2310" s="1"/>
  <c r="D15" i="2310" s="1"/>
  <c r="R52" i="2309"/>
  <c r="R51" i="2309"/>
  <c r="D50" i="2309"/>
  <c r="R49" i="2309"/>
  <c r="G49" i="2309"/>
  <c r="D49" i="2309"/>
  <c r="R48" i="2309"/>
  <c r="D48" i="2309"/>
  <c r="D46" i="2309"/>
  <c r="D45" i="2309"/>
  <c r="D44" i="2309"/>
  <c r="R42" i="2309"/>
  <c r="L6" i="2309" s="1"/>
  <c r="D6" i="2309" s="1"/>
  <c r="D42" i="2309"/>
  <c r="R41" i="2309"/>
  <c r="L7" i="2309" s="1"/>
  <c r="D7" i="2309" s="1"/>
  <c r="D41" i="2309"/>
  <c r="R40" i="2309"/>
  <c r="D40" i="2309"/>
  <c r="R39" i="2309"/>
  <c r="D39" i="2309"/>
  <c r="R38" i="2309"/>
  <c r="L9" i="2309" s="1"/>
  <c r="D9" i="2309" s="1"/>
  <c r="D38" i="2309"/>
  <c r="R37" i="2309"/>
  <c r="D37" i="2309"/>
  <c r="R36" i="2309"/>
  <c r="L10" i="2309" s="1"/>
  <c r="D10" i="2309" s="1"/>
  <c r="D36" i="2309"/>
  <c r="R35" i="2309"/>
  <c r="D35" i="2309"/>
  <c r="R34" i="2309"/>
  <c r="D34" i="2309"/>
  <c r="D54" i="2309" s="1"/>
  <c r="H14" i="2309" s="1"/>
  <c r="R33" i="2309"/>
  <c r="R32" i="2309"/>
  <c r="R31" i="2309"/>
  <c r="R30" i="2309"/>
  <c r="R29" i="2309"/>
  <c r="R28" i="2309"/>
  <c r="D28" i="2309"/>
  <c r="R27" i="2309"/>
  <c r="D27" i="2309"/>
  <c r="R26" i="2309"/>
  <c r="L26" i="2309"/>
  <c r="D26" i="2309"/>
  <c r="R25" i="2309"/>
  <c r="L25" i="2309"/>
  <c r="D25" i="2309"/>
  <c r="R24" i="2309"/>
  <c r="D24" i="2309"/>
  <c r="R23" i="2309"/>
  <c r="L23" i="2309"/>
  <c r="D23" i="2309" s="1"/>
  <c r="R22" i="2309"/>
  <c r="L22" i="2309"/>
  <c r="D22" i="2309" s="1"/>
  <c r="R21" i="2309"/>
  <c r="D21" i="2309"/>
  <c r="R20" i="2309"/>
  <c r="L20" i="2309"/>
  <c r="D20" i="2309"/>
  <c r="R19" i="2309"/>
  <c r="L19" i="2309"/>
  <c r="D19" i="2309"/>
  <c r="R18" i="2309"/>
  <c r="D18" i="2309"/>
  <c r="R17" i="2309"/>
  <c r="D17" i="2309"/>
  <c r="R16" i="2309"/>
  <c r="L16" i="2309"/>
  <c r="D16" i="2309"/>
  <c r="S15" i="2309"/>
  <c r="R15" i="2309"/>
  <c r="D15" i="2309"/>
  <c r="S14" i="2309"/>
  <c r="R14" i="2309"/>
  <c r="D14" i="2309"/>
  <c r="R13" i="2309"/>
  <c r="D13" i="2309"/>
  <c r="R12" i="2309"/>
  <c r="L12" i="2309"/>
  <c r="D12" i="2309" s="1"/>
  <c r="R11" i="2309"/>
  <c r="L11" i="2309"/>
  <c r="D11" i="2309" s="1"/>
  <c r="L8" i="2309"/>
  <c r="D8" i="2309"/>
  <c r="R6" i="2309"/>
  <c r="R5" i="2309"/>
  <c r="R4" i="2309"/>
  <c r="R52" i="2308"/>
  <c r="R51" i="2308"/>
  <c r="D50" i="2308"/>
  <c r="R49" i="2308"/>
  <c r="D49" i="2308"/>
  <c r="R48" i="2308"/>
  <c r="D48" i="2308"/>
  <c r="D46" i="2308"/>
  <c r="D45" i="2308"/>
  <c r="R44" i="2308"/>
  <c r="L28" i="2308" s="1"/>
  <c r="D28" i="2308" s="1"/>
  <c r="D44" i="2308"/>
  <c r="R42" i="2308"/>
  <c r="L6" i="2308" s="1"/>
  <c r="D6" i="2308" s="1"/>
  <c r="D42" i="2308"/>
  <c r="R41" i="2308"/>
  <c r="L7" i="2308" s="1"/>
  <c r="D7" i="2308" s="1"/>
  <c r="D41" i="2308"/>
  <c r="R40" i="2308"/>
  <c r="D40" i="2308"/>
  <c r="R39" i="2308"/>
  <c r="H39" i="2308"/>
  <c r="D39" i="2308"/>
  <c r="R38" i="2308"/>
  <c r="H38" i="2308"/>
  <c r="D38" i="2308"/>
  <c r="R37" i="2308"/>
  <c r="H37" i="2308"/>
  <c r="D37" i="2308"/>
  <c r="R36" i="2308"/>
  <c r="H36" i="2308"/>
  <c r="D36" i="2308"/>
  <c r="R35" i="2308"/>
  <c r="H35" i="2308"/>
  <c r="D35" i="2308"/>
  <c r="R34" i="2308"/>
  <c r="L12" i="2308" s="1"/>
  <c r="D12" i="2308" s="1"/>
  <c r="H34" i="2308"/>
  <c r="D34" i="2308"/>
  <c r="R33" i="2308"/>
  <c r="L19" i="2308" s="1"/>
  <c r="D19" i="2308" s="1"/>
  <c r="R32" i="2308"/>
  <c r="R31" i="2308"/>
  <c r="R30" i="2308"/>
  <c r="R29" i="2308"/>
  <c r="R28" i="2308"/>
  <c r="R27" i="2308"/>
  <c r="L27" i="2308"/>
  <c r="D27" i="2308"/>
  <c r="R26" i="2308"/>
  <c r="L26" i="2308"/>
  <c r="D26" i="2308" s="1"/>
  <c r="R25" i="2308"/>
  <c r="L25" i="2308"/>
  <c r="D25" i="2308"/>
  <c r="R24" i="2308"/>
  <c r="L24" i="2308"/>
  <c r="D24" i="2308"/>
  <c r="R23" i="2308"/>
  <c r="L23" i="2308"/>
  <c r="D23" i="2308"/>
  <c r="R22" i="2308"/>
  <c r="L22" i="2308"/>
  <c r="D22" i="2308" s="1"/>
  <c r="R21" i="2308"/>
  <c r="L17" i="2308" s="1"/>
  <c r="D17" i="2308" s="1"/>
  <c r="L21" i="2308"/>
  <c r="D21" i="2308"/>
  <c r="R20" i="2308"/>
  <c r="L20" i="2308"/>
  <c r="D20" i="2308" s="1"/>
  <c r="R19" i="2308"/>
  <c r="R18" i="2308"/>
  <c r="L18" i="2308"/>
  <c r="D18" i="2308" s="1"/>
  <c r="R17" i="2308"/>
  <c r="R16" i="2308"/>
  <c r="R15" i="2308"/>
  <c r="L15" i="2308"/>
  <c r="D15" i="2308" s="1"/>
  <c r="R14" i="2308"/>
  <c r="D14" i="2308"/>
  <c r="R13" i="2308"/>
  <c r="D13" i="2308"/>
  <c r="R12" i="2308"/>
  <c r="R11" i="2308"/>
  <c r="L11" i="2308"/>
  <c r="D11" i="2308"/>
  <c r="L10" i="2308"/>
  <c r="D10" i="2308" s="1"/>
  <c r="L9" i="2308"/>
  <c r="D9" i="2308" s="1"/>
  <c r="L8" i="2308"/>
  <c r="D8" i="2308" s="1"/>
  <c r="R6" i="2308"/>
  <c r="L16" i="2308" s="1"/>
  <c r="D16" i="2308" s="1"/>
  <c r="R5" i="2308"/>
  <c r="R4" i="2308"/>
  <c r="R52" i="2307"/>
  <c r="R51" i="2307"/>
  <c r="D50" i="2307"/>
  <c r="R49" i="2307"/>
  <c r="D49" i="2307"/>
  <c r="R48" i="2307"/>
  <c r="D48" i="2307"/>
  <c r="D46" i="2307"/>
  <c r="D45" i="2307"/>
  <c r="R44" i="2307"/>
  <c r="D44" i="2307"/>
  <c r="R42" i="2307"/>
  <c r="L6" i="2307" s="1"/>
  <c r="D6" i="2307" s="1"/>
  <c r="D42" i="2307"/>
  <c r="R41" i="2307"/>
  <c r="L7" i="2307" s="1"/>
  <c r="D7" i="2307" s="1"/>
  <c r="D41" i="2307"/>
  <c r="R40" i="2307"/>
  <c r="L8" i="2307" s="1"/>
  <c r="D8" i="2307" s="1"/>
  <c r="D40" i="2307"/>
  <c r="R39" i="2307"/>
  <c r="H39" i="2307"/>
  <c r="D39" i="2307"/>
  <c r="R38" i="2307"/>
  <c r="H38" i="2307"/>
  <c r="D38" i="2307"/>
  <c r="R37" i="2307"/>
  <c r="H37" i="2307"/>
  <c r="D37" i="2307"/>
  <c r="R36" i="2307"/>
  <c r="H36" i="2307"/>
  <c r="D36" i="2307"/>
  <c r="R35" i="2307"/>
  <c r="H35" i="2307"/>
  <c r="D35" i="2307"/>
  <c r="R34" i="2307"/>
  <c r="H34" i="2307"/>
  <c r="G49" i="2307" s="1"/>
  <c r="D34" i="2307"/>
  <c r="R33" i="2307"/>
  <c r="R32" i="2307"/>
  <c r="R31" i="2307"/>
  <c r="R30" i="2307"/>
  <c r="R29" i="2307"/>
  <c r="R28" i="2307"/>
  <c r="L28" i="2307"/>
  <c r="D28" i="2307"/>
  <c r="R27" i="2307"/>
  <c r="L27" i="2307"/>
  <c r="D27" i="2307" s="1"/>
  <c r="R26" i="2307"/>
  <c r="L26" i="2307"/>
  <c r="D26" i="2307"/>
  <c r="R25" i="2307"/>
  <c r="L25" i="2307"/>
  <c r="D25" i="2307" s="1"/>
  <c r="R24" i="2307"/>
  <c r="L24" i="2307"/>
  <c r="D24" i="2307"/>
  <c r="R23" i="2307"/>
  <c r="L23" i="2307"/>
  <c r="D23" i="2307"/>
  <c r="R22" i="2307"/>
  <c r="L22" i="2307"/>
  <c r="D22" i="2307"/>
  <c r="R21" i="2307"/>
  <c r="L17" i="2307" s="1"/>
  <c r="D17" i="2307" s="1"/>
  <c r="D21" i="2307"/>
  <c r="R20" i="2307"/>
  <c r="L20" i="2307"/>
  <c r="D20" i="2307" s="1"/>
  <c r="R19" i="2307"/>
  <c r="L19" i="2307"/>
  <c r="D19" i="2307"/>
  <c r="R18" i="2307"/>
  <c r="L18" i="2307"/>
  <c r="D18" i="2307"/>
  <c r="R17" i="2307"/>
  <c r="R16" i="2307"/>
  <c r="L16" i="2307"/>
  <c r="D16" i="2307" s="1"/>
  <c r="R15" i="2307"/>
  <c r="R14" i="2307"/>
  <c r="L14" i="2307"/>
  <c r="D14" i="2307" s="1"/>
  <c r="R13" i="2307"/>
  <c r="D13" i="2307"/>
  <c r="R12" i="2307"/>
  <c r="L12" i="2307"/>
  <c r="D12" i="2307" s="1"/>
  <c r="R11" i="2307"/>
  <c r="L11" i="2307"/>
  <c r="D11" i="2307" s="1"/>
  <c r="L10" i="2307"/>
  <c r="D10" i="2307"/>
  <c r="L9" i="2307"/>
  <c r="D9" i="2307" s="1"/>
  <c r="R6" i="2307"/>
  <c r="R5" i="2307"/>
  <c r="R4" i="2307"/>
  <c r="L15" i="2307" s="1"/>
  <c r="D15" i="2307" s="1"/>
  <c r="V68" i="2306"/>
  <c r="R52" i="2306"/>
  <c r="R51" i="2306"/>
  <c r="D50" i="2306"/>
  <c r="R49" i="2306"/>
  <c r="D49" i="2306"/>
  <c r="R48" i="2306"/>
  <c r="D48" i="2306"/>
  <c r="D46" i="2306"/>
  <c r="D45" i="2306"/>
  <c r="R44" i="2306"/>
  <c r="D44" i="2306"/>
  <c r="R42" i="2306"/>
  <c r="D42" i="2306"/>
  <c r="R41" i="2306"/>
  <c r="D41" i="2306"/>
  <c r="R40" i="2306"/>
  <c r="D40" i="2306"/>
  <c r="R39" i="2306"/>
  <c r="H39" i="2306"/>
  <c r="D39" i="2306"/>
  <c r="R38" i="2306"/>
  <c r="H38" i="2306"/>
  <c r="D38" i="2306"/>
  <c r="R37" i="2306"/>
  <c r="H37" i="2306"/>
  <c r="D37" i="2306"/>
  <c r="R36" i="2306"/>
  <c r="L10" i="2306" s="1"/>
  <c r="D10" i="2306" s="1"/>
  <c r="H36" i="2306"/>
  <c r="D36" i="2306"/>
  <c r="R35" i="2306"/>
  <c r="L18" i="2306" s="1"/>
  <c r="D18" i="2306" s="1"/>
  <c r="H35" i="2306"/>
  <c r="D35" i="2306"/>
  <c r="R34" i="2306"/>
  <c r="H34" i="2306"/>
  <c r="D34" i="2306"/>
  <c r="R33" i="2306"/>
  <c r="L19" i="2306" s="1"/>
  <c r="D19" i="2306" s="1"/>
  <c r="R32" i="2306"/>
  <c r="R31" i="2306"/>
  <c r="R30" i="2306"/>
  <c r="R29" i="2306"/>
  <c r="R28" i="2306"/>
  <c r="L28" i="2306"/>
  <c r="D28" i="2306"/>
  <c r="R27" i="2306"/>
  <c r="L27" i="2306"/>
  <c r="D27" i="2306" s="1"/>
  <c r="R26" i="2306"/>
  <c r="L26" i="2306"/>
  <c r="D26" i="2306"/>
  <c r="R25" i="2306"/>
  <c r="L25" i="2306"/>
  <c r="D25" i="2306" s="1"/>
  <c r="R24" i="2306"/>
  <c r="L24" i="2306"/>
  <c r="D24" i="2306"/>
  <c r="R23" i="2306"/>
  <c r="L23" i="2306"/>
  <c r="D23" i="2306" s="1"/>
  <c r="R22" i="2306"/>
  <c r="L22" i="2306"/>
  <c r="D22" i="2306"/>
  <c r="R21" i="2306"/>
  <c r="D21" i="2306"/>
  <c r="R20" i="2306"/>
  <c r="L20" i="2306"/>
  <c r="D20" i="2306" s="1"/>
  <c r="R19" i="2306"/>
  <c r="R18" i="2306"/>
  <c r="R17" i="2306"/>
  <c r="L17" i="2306"/>
  <c r="D17" i="2306" s="1"/>
  <c r="R16" i="2306"/>
  <c r="L16" i="2306"/>
  <c r="D16" i="2306" s="1"/>
  <c r="R15" i="2306"/>
  <c r="R14" i="2306"/>
  <c r="D14" i="2306"/>
  <c r="R13" i="2306"/>
  <c r="D13" i="2306"/>
  <c r="R12" i="2306"/>
  <c r="L12" i="2306"/>
  <c r="D12" i="2306" s="1"/>
  <c r="R11" i="2306"/>
  <c r="L11" i="2306"/>
  <c r="D11" i="2306" s="1"/>
  <c r="L9" i="2306"/>
  <c r="D9" i="2306" s="1"/>
  <c r="L8" i="2306"/>
  <c r="D8" i="2306"/>
  <c r="L7" i="2306"/>
  <c r="D7" i="2306"/>
  <c r="R6" i="2306"/>
  <c r="L6" i="2306"/>
  <c r="D6" i="2306" s="1"/>
  <c r="R5" i="2306"/>
  <c r="R4" i="2306"/>
  <c r="L15" i="2306" s="1"/>
  <c r="D15" i="2306" s="1"/>
  <c r="R52" i="2305"/>
  <c r="R51" i="2305"/>
  <c r="D50" i="2305"/>
  <c r="R49" i="2305"/>
  <c r="G49" i="2305"/>
  <c r="D49" i="2305"/>
  <c r="R48" i="2305"/>
  <c r="D48" i="2305"/>
  <c r="D46" i="2305"/>
  <c r="D45" i="2305"/>
  <c r="D44" i="2305"/>
  <c r="R42" i="2305"/>
  <c r="L6" i="2305" s="1"/>
  <c r="D6" i="2305" s="1"/>
  <c r="D42" i="2305"/>
  <c r="R41" i="2305"/>
  <c r="L7" i="2305" s="1"/>
  <c r="D7" i="2305" s="1"/>
  <c r="D41" i="2305"/>
  <c r="R40" i="2305"/>
  <c r="L8" i="2305" s="1"/>
  <c r="D8" i="2305" s="1"/>
  <c r="D40" i="2305"/>
  <c r="R39" i="2305"/>
  <c r="D39" i="2305"/>
  <c r="R38" i="2305"/>
  <c r="L9" i="2305" s="1"/>
  <c r="D9" i="2305" s="1"/>
  <c r="D38" i="2305"/>
  <c r="R37" i="2305"/>
  <c r="D37" i="2305"/>
  <c r="R36" i="2305"/>
  <c r="L10" i="2305" s="1"/>
  <c r="D10" i="2305" s="1"/>
  <c r="D36" i="2305"/>
  <c r="R35" i="2305"/>
  <c r="D35" i="2305"/>
  <c r="R34" i="2305"/>
  <c r="D34" i="2305"/>
  <c r="D54" i="2305" s="1"/>
  <c r="H14" i="2305" s="1"/>
  <c r="R33" i="2305"/>
  <c r="L23" i="2305" s="1"/>
  <c r="D23" i="2305" s="1"/>
  <c r="R32" i="2305"/>
  <c r="R31" i="2305"/>
  <c r="R30" i="2305"/>
  <c r="R29" i="2305"/>
  <c r="R28" i="2305"/>
  <c r="L16" i="2305" s="1"/>
  <c r="D16" i="2305" s="1"/>
  <c r="D28" i="2305"/>
  <c r="R27" i="2305"/>
  <c r="D27" i="2305"/>
  <c r="R26" i="2305"/>
  <c r="L26" i="2305"/>
  <c r="D26" i="2305" s="1"/>
  <c r="R25" i="2305"/>
  <c r="L25" i="2305"/>
  <c r="D25" i="2305"/>
  <c r="R24" i="2305"/>
  <c r="D24" i="2305"/>
  <c r="R23" i="2305"/>
  <c r="R22" i="2305"/>
  <c r="L22" i="2305"/>
  <c r="D22" i="2305"/>
  <c r="R21" i="2305"/>
  <c r="D21" i="2305"/>
  <c r="R20" i="2305"/>
  <c r="L20" i="2305"/>
  <c r="D20" i="2305" s="1"/>
  <c r="R19" i="2305"/>
  <c r="L19" i="2305"/>
  <c r="D19" i="2305"/>
  <c r="R18" i="2305"/>
  <c r="D18" i="2305"/>
  <c r="R17" i="2305"/>
  <c r="D17" i="2305"/>
  <c r="R16" i="2305"/>
  <c r="S15" i="2305"/>
  <c r="R15" i="2305"/>
  <c r="D15" i="2305"/>
  <c r="S14" i="2305"/>
  <c r="R14" i="2305"/>
  <c r="D14" i="2305"/>
  <c r="R13" i="2305"/>
  <c r="D13" i="2305"/>
  <c r="R12" i="2305"/>
  <c r="L12" i="2305"/>
  <c r="D12" i="2305" s="1"/>
  <c r="R11" i="2305"/>
  <c r="L11" i="2305"/>
  <c r="D11" i="2305"/>
  <c r="R6" i="2305"/>
  <c r="R5" i="2305"/>
  <c r="R4" i="2305"/>
  <c r="R52" i="2304"/>
  <c r="R51" i="2304"/>
  <c r="D50" i="2304"/>
  <c r="R49" i="2304"/>
  <c r="D49" i="2304"/>
  <c r="R48" i="2304"/>
  <c r="D48" i="2304"/>
  <c r="D46" i="2304"/>
  <c r="D45" i="2304"/>
  <c r="R44" i="2304"/>
  <c r="L28" i="2304" s="1"/>
  <c r="D28" i="2304" s="1"/>
  <c r="D44" i="2304"/>
  <c r="R42" i="2304"/>
  <c r="L6" i="2304" s="1"/>
  <c r="D6" i="2304" s="1"/>
  <c r="D42" i="2304"/>
  <c r="R41" i="2304"/>
  <c r="D41" i="2304"/>
  <c r="R40" i="2304"/>
  <c r="L8" i="2304" s="1"/>
  <c r="D8" i="2304" s="1"/>
  <c r="D40" i="2304"/>
  <c r="R39" i="2304"/>
  <c r="H39" i="2304"/>
  <c r="D39" i="2304"/>
  <c r="R38" i="2304"/>
  <c r="H38" i="2304"/>
  <c r="D38" i="2304"/>
  <c r="R37" i="2304"/>
  <c r="H37" i="2304"/>
  <c r="D37" i="2304"/>
  <c r="R36" i="2304"/>
  <c r="H36" i="2304"/>
  <c r="D36" i="2304"/>
  <c r="R35" i="2304"/>
  <c r="H35" i="2304"/>
  <c r="D35" i="2304"/>
  <c r="R34" i="2304"/>
  <c r="L12" i="2304" s="1"/>
  <c r="D12" i="2304" s="1"/>
  <c r="H34" i="2304"/>
  <c r="D34" i="2304"/>
  <c r="R33" i="2304"/>
  <c r="L19" i="2304" s="1"/>
  <c r="D19" i="2304" s="1"/>
  <c r="R32" i="2304"/>
  <c r="R31" i="2304"/>
  <c r="R30" i="2304"/>
  <c r="R29" i="2304"/>
  <c r="R28" i="2304"/>
  <c r="R27" i="2304"/>
  <c r="L27" i="2304"/>
  <c r="D27" i="2304"/>
  <c r="R26" i="2304"/>
  <c r="L26" i="2304"/>
  <c r="D26" i="2304" s="1"/>
  <c r="R25" i="2304"/>
  <c r="L25" i="2304"/>
  <c r="D25" i="2304"/>
  <c r="R24" i="2304"/>
  <c r="L24" i="2304"/>
  <c r="D24" i="2304"/>
  <c r="R23" i="2304"/>
  <c r="L23" i="2304"/>
  <c r="D23" i="2304"/>
  <c r="R22" i="2304"/>
  <c r="L22" i="2304"/>
  <c r="D22" i="2304"/>
  <c r="R21" i="2304"/>
  <c r="L17" i="2304" s="1"/>
  <c r="D17" i="2304" s="1"/>
  <c r="L21" i="2304"/>
  <c r="D21" i="2304"/>
  <c r="R20" i="2304"/>
  <c r="L20" i="2304"/>
  <c r="D20" i="2304" s="1"/>
  <c r="R19" i="2304"/>
  <c r="R18" i="2304"/>
  <c r="L18" i="2304"/>
  <c r="D18" i="2304" s="1"/>
  <c r="R17" i="2304"/>
  <c r="R16" i="2304"/>
  <c r="R15" i="2304"/>
  <c r="L15" i="2304"/>
  <c r="D15" i="2304"/>
  <c r="R14" i="2304"/>
  <c r="D14" i="2304"/>
  <c r="R13" i="2304"/>
  <c r="D13" i="2304"/>
  <c r="R12" i="2304"/>
  <c r="R11" i="2304"/>
  <c r="L11" i="2304"/>
  <c r="D11" i="2304"/>
  <c r="L10" i="2304"/>
  <c r="D10" i="2304" s="1"/>
  <c r="L9" i="2304"/>
  <c r="D9" i="2304" s="1"/>
  <c r="L7" i="2304"/>
  <c r="D7" i="2304"/>
  <c r="R6" i="2304"/>
  <c r="L16" i="2304" s="1"/>
  <c r="D16" i="2304" s="1"/>
  <c r="R5" i="2304"/>
  <c r="R4" i="2304"/>
  <c r="R52" i="2303"/>
  <c r="R51" i="2303"/>
  <c r="D50" i="2303"/>
  <c r="R49" i="2303"/>
  <c r="D49" i="2303"/>
  <c r="R48" i="2303"/>
  <c r="D48" i="2303"/>
  <c r="D46" i="2303"/>
  <c r="D45" i="2303"/>
  <c r="R44" i="2303"/>
  <c r="L28" i="2303" s="1"/>
  <c r="D28" i="2303" s="1"/>
  <c r="D44" i="2303"/>
  <c r="R42" i="2303"/>
  <c r="L6" i="2303" s="1"/>
  <c r="D6" i="2303" s="1"/>
  <c r="D42" i="2303"/>
  <c r="R41" i="2303"/>
  <c r="L7" i="2303" s="1"/>
  <c r="D7" i="2303" s="1"/>
  <c r="D41" i="2303"/>
  <c r="R40" i="2303"/>
  <c r="D40" i="2303"/>
  <c r="R39" i="2303"/>
  <c r="H39" i="2303"/>
  <c r="D39" i="2303"/>
  <c r="R38" i="2303"/>
  <c r="L9" i="2303" s="1"/>
  <c r="D9" i="2303" s="1"/>
  <c r="H38" i="2303"/>
  <c r="D38" i="2303"/>
  <c r="R37" i="2303"/>
  <c r="H37" i="2303"/>
  <c r="D37" i="2303"/>
  <c r="R36" i="2303"/>
  <c r="H36" i="2303"/>
  <c r="D36" i="2303"/>
  <c r="R35" i="2303"/>
  <c r="H35" i="2303"/>
  <c r="D35" i="2303"/>
  <c r="R34" i="2303"/>
  <c r="H34" i="2303"/>
  <c r="D34" i="2303"/>
  <c r="R33" i="2303"/>
  <c r="R32" i="2303"/>
  <c r="L11" i="2303" s="1"/>
  <c r="D11" i="2303" s="1"/>
  <c r="R31" i="2303"/>
  <c r="R30" i="2303"/>
  <c r="R29" i="2303"/>
  <c r="R28" i="2303"/>
  <c r="R27" i="2303"/>
  <c r="L27" i="2303"/>
  <c r="D27" i="2303" s="1"/>
  <c r="R26" i="2303"/>
  <c r="L26" i="2303"/>
  <c r="D26" i="2303" s="1"/>
  <c r="R25" i="2303"/>
  <c r="L25" i="2303"/>
  <c r="D25" i="2303"/>
  <c r="R24" i="2303"/>
  <c r="L24" i="2303"/>
  <c r="D24" i="2303"/>
  <c r="R23" i="2303"/>
  <c r="L23" i="2303"/>
  <c r="D23" i="2303"/>
  <c r="R22" i="2303"/>
  <c r="L20" i="2303" s="1"/>
  <c r="D20" i="2303" s="1"/>
  <c r="L22" i="2303"/>
  <c r="D22" i="2303" s="1"/>
  <c r="R21" i="2303"/>
  <c r="D21" i="2303"/>
  <c r="R20" i="2303"/>
  <c r="R19" i="2303"/>
  <c r="L19" i="2303"/>
  <c r="D19" i="2303" s="1"/>
  <c r="R18" i="2303"/>
  <c r="L18" i="2303"/>
  <c r="D18" i="2303"/>
  <c r="R17" i="2303"/>
  <c r="L17" i="2303"/>
  <c r="D17" i="2303" s="1"/>
  <c r="R16" i="2303"/>
  <c r="R15" i="2303"/>
  <c r="L15" i="2303"/>
  <c r="D15" i="2303" s="1"/>
  <c r="R14" i="2303"/>
  <c r="L14" i="2303"/>
  <c r="D14" i="2303" s="1"/>
  <c r="R13" i="2303"/>
  <c r="D13" i="2303"/>
  <c r="R12" i="2303"/>
  <c r="L12" i="2303"/>
  <c r="D12" i="2303"/>
  <c r="R11" i="2303"/>
  <c r="L10" i="2303"/>
  <c r="D10" i="2303" s="1"/>
  <c r="L8" i="2303"/>
  <c r="D8" i="2303" s="1"/>
  <c r="R6" i="2303"/>
  <c r="L16" i="2303" s="1"/>
  <c r="D16" i="2303" s="1"/>
  <c r="R5" i="2303"/>
  <c r="R4" i="2303"/>
  <c r="V68" i="2302"/>
  <c r="R52" i="2302"/>
  <c r="R51" i="2302"/>
  <c r="D50" i="2302"/>
  <c r="R49" i="2302"/>
  <c r="D49" i="2302"/>
  <c r="R48" i="2302"/>
  <c r="D48" i="2302"/>
  <c r="D46" i="2302"/>
  <c r="D45" i="2302"/>
  <c r="R44" i="2302"/>
  <c r="D44" i="2302"/>
  <c r="R42" i="2302"/>
  <c r="L6" i="2302" s="1"/>
  <c r="D6" i="2302" s="1"/>
  <c r="D42" i="2302"/>
  <c r="R41" i="2302"/>
  <c r="D41" i="2302"/>
  <c r="R40" i="2302"/>
  <c r="L8" i="2302" s="1"/>
  <c r="D8" i="2302" s="1"/>
  <c r="D40" i="2302"/>
  <c r="R39" i="2302"/>
  <c r="H39" i="2302"/>
  <c r="D39" i="2302"/>
  <c r="R38" i="2302"/>
  <c r="L9" i="2302" s="1"/>
  <c r="D9" i="2302" s="1"/>
  <c r="H38" i="2302"/>
  <c r="D38" i="2302"/>
  <c r="R37" i="2302"/>
  <c r="H37" i="2302"/>
  <c r="D37" i="2302"/>
  <c r="R36" i="2302"/>
  <c r="L10" i="2302" s="1"/>
  <c r="D10" i="2302" s="1"/>
  <c r="H36" i="2302"/>
  <c r="D36" i="2302"/>
  <c r="R35" i="2302"/>
  <c r="H35" i="2302"/>
  <c r="D35" i="2302"/>
  <c r="R34" i="2302"/>
  <c r="H34" i="2302"/>
  <c r="D34" i="2302"/>
  <c r="R33" i="2302"/>
  <c r="L19" i="2302" s="1"/>
  <c r="D19" i="2302" s="1"/>
  <c r="R32" i="2302"/>
  <c r="L11" i="2302" s="1"/>
  <c r="D11" i="2302" s="1"/>
  <c r="R31" i="2302"/>
  <c r="R30" i="2302"/>
  <c r="R29" i="2302"/>
  <c r="R28" i="2302"/>
  <c r="L28" i="2302"/>
  <c r="D28" i="2302"/>
  <c r="R27" i="2302"/>
  <c r="L27" i="2302"/>
  <c r="D27" i="2302"/>
  <c r="R26" i="2302"/>
  <c r="L26" i="2302"/>
  <c r="D26" i="2302"/>
  <c r="R25" i="2302"/>
  <c r="L25" i="2302"/>
  <c r="D25" i="2302" s="1"/>
  <c r="R24" i="2302"/>
  <c r="L24" i="2302"/>
  <c r="D24" i="2302"/>
  <c r="R23" i="2302"/>
  <c r="L23" i="2302"/>
  <c r="D23" i="2302"/>
  <c r="R22" i="2302"/>
  <c r="L20" i="2302" s="1"/>
  <c r="D20" i="2302" s="1"/>
  <c r="L22" i="2302"/>
  <c r="D22" i="2302" s="1"/>
  <c r="R21" i="2302"/>
  <c r="L21" i="2302"/>
  <c r="D21" i="2302" s="1"/>
  <c r="R20" i="2302"/>
  <c r="R19" i="2302"/>
  <c r="R18" i="2302"/>
  <c r="L18" i="2302"/>
  <c r="D18" i="2302"/>
  <c r="R17" i="2302"/>
  <c r="L17" i="2302"/>
  <c r="D17" i="2302" s="1"/>
  <c r="R16" i="2302"/>
  <c r="R15" i="2302"/>
  <c r="L15" i="2302"/>
  <c r="D15" i="2302"/>
  <c r="R14" i="2302"/>
  <c r="D14" i="2302"/>
  <c r="R13" i="2302"/>
  <c r="D13" i="2302"/>
  <c r="R12" i="2302"/>
  <c r="L12" i="2302"/>
  <c r="D12" i="2302" s="1"/>
  <c r="R11" i="2302"/>
  <c r="L7" i="2302"/>
  <c r="D7" i="2302"/>
  <c r="R6" i="2302"/>
  <c r="L16" i="2302" s="1"/>
  <c r="D16" i="2302" s="1"/>
  <c r="R5" i="2302"/>
  <c r="R4" i="2302"/>
  <c r="R52" i="2301"/>
  <c r="R51" i="2301"/>
  <c r="D50" i="2301"/>
  <c r="R49" i="2301"/>
  <c r="G49" i="2301"/>
  <c r="D49" i="2301"/>
  <c r="R48" i="2301"/>
  <c r="D48" i="2301"/>
  <c r="D46" i="2301"/>
  <c r="D45" i="2301"/>
  <c r="D44" i="2301"/>
  <c r="R42" i="2301"/>
  <c r="D42" i="2301"/>
  <c r="R41" i="2301"/>
  <c r="L7" i="2301" s="1"/>
  <c r="D7" i="2301" s="1"/>
  <c r="D41" i="2301"/>
  <c r="R40" i="2301"/>
  <c r="L8" i="2301" s="1"/>
  <c r="D8" i="2301" s="1"/>
  <c r="D40" i="2301"/>
  <c r="R39" i="2301"/>
  <c r="D39" i="2301"/>
  <c r="D54" i="2301" s="1"/>
  <c r="H14" i="2301" s="1"/>
  <c r="R38" i="2301"/>
  <c r="L9" i="2301" s="1"/>
  <c r="D9" i="2301" s="1"/>
  <c r="D38" i="2301"/>
  <c r="R37" i="2301"/>
  <c r="D37" i="2301"/>
  <c r="R36" i="2301"/>
  <c r="L10" i="2301" s="1"/>
  <c r="D10" i="2301" s="1"/>
  <c r="D36" i="2301"/>
  <c r="R35" i="2301"/>
  <c r="L19" i="2301" s="1"/>
  <c r="D19" i="2301" s="1"/>
  <c r="D35" i="2301"/>
  <c r="R34" i="2301"/>
  <c r="D34" i="2301"/>
  <c r="R33" i="2301"/>
  <c r="R32" i="2301"/>
  <c r="L11" i="2301" s="1"/>
  <c r="D11" i="2301" s="1"/>
  <c r="R31" i="2301"/>
  <c r="R30" i="2301"/>
  <c r="R29" i="2301"/>
  <c r="R28" i="2301"/>
  <c r="D28" i="2301"/>
  <c r="R27" i="2301"/>
  <c r="D27" i="2301"/>
  <c r="R26" i="2301"/>
  <c r="L26" i="2301"/>
  <c r="D26" i="2301" s="1"/>
  <c r="R25" i="2301"/>
  <c r="L25" i="2301"/>
  <c r="D25" i="2301"/>
  <c r="R24" i="2301"/>
  <c r="D24" i="2301"/>
  <c r="R23" i="2301"/>
  <c r="L23" i="2301"/>
  <c r="D23" i="2301" s="1"/>
  <c r="R22" i="2301"/>
  <c r="L22" i="2301"/>
  <c r="D22" i="2301"/>
  <c r="R21" i="2301"/>
  <c r="D21" i="2301"/>
  <c r="R20" i="2301"/>
  <c r="L20" i="2301"/>
  <c r="D20" i="2301" s="1"/>
  <c r="R19" i="2301"/>
  <c r="R18" i="2301"/>
  <c r="D18" i="2301"/>
  <c r="R17" i="2301"/>
  <c r="D17" i="2301"/>
  <c r="R16" i="2301"/>
  <c r="L16" i="2301"/>
  <c r="D16" i="2301" s="1"/>
  <c r="S15" i="2301"/>
  <c r="R15" i="2301"/>
  <c r="D15" i="2301"/>
  <c r="S14" i="2301"/>
  <c r="R14" i="2301"/>
  <c r="D14" i="2301"/>
  <c r="R13" i="2301"/>
  <c r="D13" i="2301"/>
  <c r="R12" i="2301"/>
  <c r="L12" i="2301"/>
  <c r="D12" i="2301"/>
  <c r="R11" i="2301"/>
  <c r="R6" i="2301"/>
  <c r="L6" i="2301"/>
  <c r="D6" i="2301"/>
  <c r="R5" i="2301"/>
  <c r="R4" i="2301"/>
  <c r="R52" i="2300"/>
  <c r="R51" i="2300"/>
  <c r="D50" i="2300"/>
  <c r="R49" i="2300"/>
  <c r="D49" i="2300"/>
  <c r="R48" i="2300"/>
  <c r="D48" i="2300"/>
  <c r="D46" i="2300"/>
  <c r="D45" i="2300"/>
  <c r="R44" i="2300"/>
  <c r="L28" i="2300" s="1"/>
  <c r="D28" i="2300" s="1"/>
  <c r="D44" i="2300"/>
  <c r="R42" i="2300"/>
  <c r="L6" i="2300" s="1"/>
  <c r="D6" i="2300" s="1"/>
  <c r="D42" i="2300"/>
  <c r="R41" i="2300"/>
  <c r="L7" i="2300" s="1"/>
  <c r="D7" i="2300" s="1"/>
  <c r="D41" i="2300"/>
  <c r="R40" i="2300"/>
  <c r="D40" i="2300"/>
  <c r="R39" i="2300"/>
  <c r="H39" i="2300"/>
  <c r="D39" i="2300"/>
  <c r="R38" i="2300"/>
  <c r="L9" i="2300" s="1"/>
  <c r="D9" i="2300" s="1"/>
  <c r="H38" i="2300"/>
  <c r="D38" i="2300"/>
  <c r="R37" i="2300"/>
  <c r="H37" i="2300"/>
  <c r="D37" i="2300"/>
  <c r="R36" i="2300"/>
  <c r="H36" i="2300"/>
  <c r="D36" i="2300"/>
  <c r="R35" i="2300"/>
  <c r="L18" i="2300" s="1"/>
  <c r="D18" i="2300" s="1"/>
  <c r="H35" i="2300"/>
  <c r="D35" i="2300"/>
  <c r="R34" i="2300"/>
  <c r="H34" i="2300"/>
  <c r="G49" i="2300" s="1"/>
  <c r="D34" i="2300"/>
  <c r="R33" i="2300"/>
  <c r="L19" i="2300" s="1"/>
  <c r="D19" i="2300" s="1"/>
  <c r="R32" i="2300"/>
  <c r="L11" i="2300" s="1"/>
  <c r="D11" i="2300" s="1"/>
  <c r="R31" i="2300"/>
  <c r="R30" i="2300"/>
  <c r="R29" i="2300"/>
  <c r="R28" i="2300"/>
  <c r="R27" i="2300"/>
  <c r="L27" i="2300"/>
  <c r="D27" i="2300" s="1"/>
  <c r="R26" i="2300"/>
  <c r="L26" i="2300"/>
  <c r="D26" i="2300" s="1"/>
  <c r="R25" i="2300"/>
  <c r="L25" i="2300"/>
  <c r="D25" i="2300"/>
  <c r="R24" i="2300"/>
  <c r="L24" i="2300"/>
  <c r="D24" i="2300"/>
  <c r="R23" i="2300"/>
  <c r="L23" i="2300"/>
  <c r="D23" i="2300"/>
  <c r="R22" i="2300"/>
  <c r="L20" i="2300" s="1"/>
  <c r="D20" i="2300" s="1"/>
  <c r="L22" i="2300"/>
  <c r="D22" i="2300" s="1"/>
  <c r="R21" i="2300"/>
  <c r="L21" i="2300"/>
  <c r="D21" i="2300"/>
  <c r="R20" i="2300"/>
  <c r="R19" i="2300"/>
  <c r="R18" i="2300"/>
  <c r="R17" i="2300"/>
  <c r="L17" i="2300"/>
  <c r="D17" i="2300"/>
  <c r="R16" i="2300"/>
  <c r="R15" i="2300"/>
  <c r="R14" i="2300"/>
  <c r="D14" i="2300"/>
  <c r="R13" i="2300"/>
  <c r="D13" i="2300"/>
  <c r="R12" i="2300"/>
  <c r="L12" i="2300"/>
  <c r="D12" i="2300"/>
  <c r="R11" i="2300"/>
  <c r="L10" i="2300"/>
  <c r="D10" i="2300" s="1"/>
  <c r="L8" i="2300"/>
  <c r="D8" i="2300" s="1"/>
  <c r="R6" i="2300"/>
  <c r="L16" i="2300" s="1"/>
  <c r="D16" i="2300" s="1"/>
  <c r="R5" i="2300"/>
  <c r="R4" i="2300"/>
  <c r="L15" i="2300" s="1"/>
  <c r="D15" i="2300" s="1"/>
  <c r="R52" i="2299"/>
  <c r="R51" i="2299"/>
  <c r="D50" i="2299"/>
  <c r="R49" i="2299"/>
  <c r="D49" i="2299"/>
  <c r="R48" i="2299"/>
  <c r="D48" i="2299"/>
  <c r="D46" i="2299"/>
  <c r="D45" i="2299"/>
  <c r="R44" i="2299"/>
  <c r="L28" i="2299" s="1"/>
  <c r="D28" i="2299" s="1"/>
  <c r="D44" i="2299"/>
  <c r="R42" i="2299"/>
  <c r="L6" i="2299" s="1"/>
  <c r="D6" i="2299" s="1"/>
  <c r="D42" i="2299"/>
  <c r="R41" i="2299"/>
  <c r="D41" i="2299"/>
  <c r="R40" i="2299"/>
  <c r="D40" i="2299"/>
  <c r="R39" i="2299"/>
  <c r="H39" i="2299"/>
  <c r="D39" i="2299"/>
  <c r="R38" i="2299"/>
  <c r="L9" i="2299" s="1"/>
  <c r="D9" i="2299" s="1"/>
  <c r="H38" i="2299"/>
  <c r="D38" i="2299"/>
  <c r="R37" i="2299"/>
  <c r="H37" i="2299"/>
  <c r="D37" i="2299"/>
  <c r="R36" i="2299"/>
  <c r="H36" i="2299"/>
  <c r="D36" i="2299"/>
  <c r="R35" i="2299"/>
  <c r="H35" i="2299"/>
  <c r="D35" i="2299"/>
  <c r="R34" i="2299"/>
  <c r="H34" i="2299"/>
  <c r="D34" i="2299"/>
  <c r="R33" i="2299"/>
  <c r="R32" i="2299"/>
  <c r="L11" i="2299" s="1"/>
  <c r="D11" i="2299" s="1"/>
  <c r="R31" i="2299"/>
  <c r="R30" i="2299"/>
  <c r="R29" i="2299"/>
  <c r="R28" i="2299"/>
  <c r="R27" i="2299"/>
  <c r="L27" i="2299"/>
  <c r="D27" i="2299" s="1"/>
  <c r="R26" i="2299"/>
  <c r="L26" i="2299"/>
  <c r="D26" i="2299" s="1"/>
  <c r="R25" i="2299"/>
  <c r="L25" i="2299"/>
  <c r="D25" i="2299" s="1"/>
  <c r="R24" i="2299"/>
  <c r="L24" i="2299"/>
  <c r="D24" i="2299"/>
  <c r="R23" i="2299"/>
  <c r="L23" i="2299"/>
  <c r="D23" i="2299"/>
  <c r="R22" i="2299"/>
  <c r="L20" i="2299" s="1"/>
  <c r="D20" i="2299" s="1"/>
  <c r="L22" i="2299"/>
  <c r="D22" i="2299"/>
  <c r="R21" i="2299"/>
  <c r="D21" i="2299"/>
  <c r="R20" i="2299"/>
  <c r="R19" i="2299"/>
  <c r="L19" i="2299"/>
  <c r="D19" i="2299"/>
  <c r="R18" i="2299"/>
  <c r="L18" i="2299"/>
  <c r="D18" i="2299"/>
  <c r="R17" i="2299"/>
  <c r="L17" i="2299"/>
  <c r="D17" i="2299"/>
  <c r="R16" i="2299"/>
  <c r="R15" i="2299"/>
  <c r="L15" i="2299"/>
  <c r="D15" i="2299" s="1"/>
  <c r="R14" i="2299"/>
  <c r="L14" i="2299"/>
  <c r="D14" i="2299"/>
  <c r="R13" i="2299"/>
  <c r="D13" i="2299"/>
  <c r="R12" i="2299"/>
  <c r="L12" i="2299"/>
  <c r="D12" i="2299" s="1"/>
  <c r="R11" i="2299"/>
  <c r="L10" i="2299"/>
  <c r="D10" i="2299" s="1"/>
  <c r="L8" i="2299"/>
  <c r="D8" i="2299"/>
  <c r="L7" i="2299"/>
  <c r="D7" i="2299"/>
  <c r="R6" i="2299"/>
  <c r="L16" i="2299" s="1"/>
  <c r="D16" i="2299" s="1"/>
  <c r="R5" i="2299"/>
  <c r="R4" i="2299"/>
  <c r="V68" i="2298"/>
  <c r="R52" i="2298"/>
  <c r="R51" i="2298"/>
  <c r="D50" i="2298"/>
  <c r="R49" i="2298"/>
  <c r="D49" i="2298"/>
  <c r="R48" i="2298"/>
  <c r="D48" i="2298"/>
  <c r="D46" i="2298"/>
  <c r="D45" i="2298"/>
  <c r="R44" i="2298"/>
  <c r="D44" i="2298"/>
  <c r="R42" i="2298"/>
  <c r="L6" i="2298" s="1"/>
  <c r="D6" i="2298" s="1"/>
  <c r="D42" i="2298"/>
  <c r="R41" i="2298"/>
  <c r="D41" i="2298"/>
  <c r="R40" i="2298"/>
  <c r="L8" i="2298" s="1"/>
  <c r="D8" i="2298" s="1"/>
  <c r="D40" i="2298"/>
  <c r="R39" i="2298"/>
  <c r="H39" i="2298"/>
  <c r="D39" i="2298"/>
  <c r="R38" i="2298"/>
  <c r="H38" i="2298"/>
  <c r="D38" i="2298"/>
  <c r="R37" i="2298"/>
  <c r="H37" i="2298"/>
  <c r="D37" i="2298"/>
  <c r="R36" i="2298"/>
  <c r="H36" i="2298"/>
  <c r="D36" i="2298"/>
  <c r="R35" i="2298"/>
  <c r="H35" i="2298"/>
  <c r="D35" i="2298"/>
  <c r="R34" i="2298"/>
  <c r="L12" i="2298" s="1"/>
  <c r="D12" i="2298" s="1"/>
  <c r="H34" i="2298"/>
  <c r="D34" i="2298"/>
  <c r="R33" i="2298"/>
  <c r="R32" i="2298"/>
  <c r="R31" i="2298"/>
  <c r="R30" i="2298"/>
  <c r="R29" i="2298"/>
  <c r="R28" i="2298"/>
  <c r="L28" i="2298"/>
  <c r="D28" i="2298" s="1"/>
  <c r="R27" i="2298"/>
  <c r="L27" i="2298"/>
  <c r="D27" i="2298"/>
  <c r="R26" i="2298"/>
  <c r="L26" i="2298"/>
  <c r="D26" i="2298" s="1"/>
  <c r="R25" i="2298"/>
  <c r="L25" i="2298"/>
  <c r="D25" i="2298"/>
  <c r="R24" i="2298"/>
  <c r="L24" i="2298"/>
  <c r="D24" i="2298"/>
  <c r="R23" i="2298"/>
  <c r="L23" i="2298"/>
  <c r="D23" i="2298"/>
  <c r="R22" i="2298"/>
  <c r="L22" i="2298"/>
  <c r="D22" i="2298"/>
  <c r="R21" i="2298"/>
  <c r="L17" i="2298" s="1"/>
  <c r="D17" i="2298" s="1"/>
  <c r="L21" i="2298"/>
  <c r="D21" i="2298"/>
  <c r="R20" i="2298"/>
  <c r="L20" i="2298"/>
  <c r="D20" i="2298" s="1"/>
  <c r="R19" i="2298"/>
  <c r="L19" i="2298"/>
  <c r="D19" i="2298"/>
  <c r="R18" i="2298"/>
  <c r="L18" i="2298"/>
  <c r="D18" i="2298"/>
  <c r="R17" i="2298"/>
  <c r="R16" i="2298"/>
  <c r="L16" i="2298"/>
  <c r="D16" i="2298"/>
  <c r="R15" i="2298"/>
  <c r="R14" i="2298"/>
  <c r="D14" i="2298"/>
  <c r="R13" i="2298"/>
  <c r="D13" i="2298"/>
  <c r="R12" i="2298"/>
  <c r="R11" i="2298"/>
  <c r="L11" i="2298"/>
  <c r="D11" i="2298"/>
  <c r="L10" i="2298"/>
  <c r="D10" i="2298" s="1"/>
  <c r="L9" i="2298"/>
  <c r="D9" i="2298" s="1"/>
  <c r="L7" i="2298"/>
  <c r="D7" i="2298"/>
  <c r="R6" i="2298"/>
  <c r="R5" i="2298"/>
  <c r="R4" i="2298"/>
  <c r="L15" i="2298" s="1"/>
  <c r="D15" i="2298" s="1"/>
  <c r="R52" i="2297"/>
  <c r="R51" i="2297"/>
  <c r="D50" i="2297"/>
  <c r="R49" i="2297"/>
  <c r="G49" i="2297"/>
  <c r="D49" i="2297"/>
  <c r="R48" i="2297"/>
  <c r="D48" i="2297"/>
  <c r="D46" i="2297"/>
  <c r="D45" i="2297"/>
  <c r="D44" i="2297"/>
  <c r="R42" i="2297"/>
  <c r="L6" i="2297" s="1"/>
  <c r="D6" i="2297" s="1"/>
  <c r="D42" i="2297"/>
  <c r="R41" i="2297"/>
  <c r="L7" i="2297" s="1"/>
  <c r="D7" i="2297" s="1"/>
  <c r="D41" i="2297"/>
  <c r="R40" i="2297"/>
  <c r="D40" i="2297"/>
  <c r="R39" i="2297"/>
  <c r="D39" i="2297"/>
  <c r="R38" i="2297"/>
  <c r="D38" i="2297"/>
  <c r="R37" i="2297"/>
  <c r="D37" i="2297"/>
  <c r="R36" i="2297"/>
  <c r="L10" i="2297" s="1"/>
  <c r="D10" i="2297" s="1"/>
  <c r="D36" i="2297"/>
  <c r="R35" i="2297"/>
  <c r="D35" i="2297"/>
  <c r="R34" i="2297"/>
  <c r="L12" i="2297" s="1"/>
  <c r="D12" i="2297" s="1"/>
  <c r="D34" i="2297"/>
  <c r="D54" i="2297" s="1"/>
  <c r="H14" i="2297" s="1"/>
  <c r="R33" i="2297"/>
  <c r="L23" i="2297" s="1"/>
  <c r="D23" i="2297" s="1"/>
  <c r="R32" i="2297"/>
  <c r="L11" i="2297" s="1"/>
  <c r="D11" i="2297" s="1"/>
  <c r="R31" i="2297"/>
  <c r="R30" i="2297"/>
  <c r="R29" i="2297"/>
  <c r="R28" i="2297"/>
  <c r="D28" i="2297"/>
  <c r="R27" i="2297"/>
  <c r="D27" i="2297"/>
  <c r="R26" i="2297"/>
  <c r="L26" i="2297"/>
  <c r="D26" i="2297"/>
  <c r="R25" i="2297"/>
  <c r="L25" i="2297"/>
  <c r="D25" i="2297"/>
  <c r="R24" i="2297"/>
  <c r="D24" i="2297"/>
  <c r="R23" i="2297"/>
  <c r="R22" i="2297"/>
  <c r="L22" i="2297"/>
  <c r="D22" i="2297"/>
  <c r="R21" i="2297"/>
  <c r="D21" i="2297"/>
  <c r="R20" i="2297"/>
  <c r="L20" i="2297"/>
  <c r="D20" i="2297"/>
  <c r="R19" i="2297"/>
  <c r="L19" i="2297"/>
  <c r="D19" i="2297"/>
  <c r="R18" i="2297"/>
  <c r="D18" i="2297"/>
  <c r="R17" i="2297"/>
  <c r="D17" i="2297"/>
  <c r="R16" i="2297"/>
  <c r="L16" i="2297"/>
  <c r="D16" i="2297" s="1"/>
  <c r="S15" i="2297"/>
  <c r="R15" i="2297"/>
  <c r="D15" i="2297"/>
  <c r="S14" i="2297"/>
  <c r="R14" i="2297"/>
  <c r="D14" i="2297"/>
  <c r="R13" i="2297"/>
  <c r="D13" i="2297"/>
  <c r="R12" i="2297"/>
  <c r="R11" i="2297"/>
  <c r="L9" i="2297"/>
  <c r="D9" i="2297" s="1"/>
  <c r="L8" i="2297"/>
  <c r="D8" i="2297"/>
  <c r="R6" i="2297"/>
  <c r="R5" i="2297"/>
  <c r="R4" i="2297"/>
  <c r="R52" i="2296"/>
  <c r="R51" i="2296"/>
  <c r="D50" i="2296"/>
  <c r="R49" i="2296"/>
  <c r="D49" i="2296"/>
  <c r="R48" i="2296"/>
  <c r="D48" i="2296"/>
  <c r="D46" i="2296"/>
  <c r="D45" i="2296"/>
  <c r="R44" i="2296"/>
  <c r="L28" i="2296" s="1"/>
  <c r="D28" i="2296" s="1"/>
  <c r="D44" i="2296"/>
  <c r="R42" i="2296"/>
  <c r="D42" i="2296"/>
  <c r="R41" i="2296"/>
  <c r="L7" i="2296" s="1"/>
  <c r="D7" i="2296" s="1"/>
  <c r="D41" i="2296"/>
  <c r="R40" i="2296"/>
  <c r="D40" i="2296"/>
  <c r="R39" i="2296"/>
  <c r="H39" i="2296"/>
  <c r="D39" i="2296"/>
  <c r="R38" i="2296"/>
  <c r="H38" i="2296"/>
  <c r="D38" i="2296"/>
  <c r="R37" i="2296"/>
  <c r="H37" i="2296"/>
  <c r="D37" i="2296"/>
  <c r="R36" i="2296"/>
  <c r="L10" i="2296" s="1"/>
  <c r="D10" i="2296" s="1"/>
  <c r="H36" i="2296"/>
  <c r="D36" i="2296"/>
  <c r="R35" i="2296"/>
  <c r="L18" i="2296" s="1"/>
  <c r="D18" i="2296" s="1"/>
  <c r="H35" i="2296"/>
  <c r="D35" i="2296"/>
  <c r="R34" i="2296"/>
  <c r="H34" i="2296"/>
  <c r="D34" i="2296"/>
  <c r="R33" i="2296"/>
  <c r="R32" i="2296"/>
  <c r="L11" i="2296" s="1"/>
  <c r="D11" i="2296" s="1"/>
  <c r="R31" i="2296"/>
  <c r="R30" i="2296"/>
  <c r="R29" i="2296"/>
  <c r="R28" i="2296"/>
  <c r="R27" i="2296"/>
  <c r="L27" i="2296"/>
  <c r="D27" i="2296" s="1"/>
  <c r="R26" i="2296"/>
  <c r="L26" i="2296"/>
  <c r="D26" i="2296" s="1"/>
  <c r="R25" i="2296"/>
  <c r="L25" i="2296"/>
  <c r="D25" i="2296"/>
  <c r="R24" i="2296"/>
  <c r="L24" i="2296"/>
  <c r="D24" i="2296"/>
  <c r="R23" i="2296"/>
  <c r="L23" i="2296"/>
  <c r="D23" i="2296"/>
  <c r="R22" i="2296"/>
  <c r="L20" i="2296" s="1"/>
  <c r="D20" i="2296" s="1"/>
  <c r="L22" i="2296"/>
  <c r="D22" i="2296"/>
  <c r="R21" i="2296"/>
  <c r="L21" i="2296"/>
  <c r="D21" i="2296"/>
  <c r="R20" i="2296"/>
  <c r="R19" i="2296"/>
  <c r="L19" i="2296"/>
  <c r="D19" i="2296" s="1"/>
  <c r="R18" i="2296"/>
  <c r="R17" i="2296"/>
  <c r="L17" i="2296"/>
  <c r="D17" i="2296"/>
  <c r="R16" i="2296"/>
  <c r="R15" i="2296"/>
  <c r="R14" i="2296"/>
  <c r="D14" i="2296"/>
  <c r="R13" i="2296"/>
  <c r="D13" i="2296"/>
  <c r="R12" i="2296"/>
  <c r="L12" i="2296"/>
  <c r="D12" i="2296"/>
  <c r="R11" i="2296"/>
  <c r="L9" i="2296"/>
  <c r="D9" i="2296"/>
  <c r="L8" i="2296"/>
  <c r="D8" i="2296" s="1"/>
  <c r="R6" i="2296"/>
  <c r="L16" i="2296" s="1"/>
  <c r="D16" i="2296" s="1"/>
  <c r="L6" i="2296"/>
  <c r="D6" i="2296"/>
  <c r="R5" i="2296"/>
  <c r="R4" i="2296"/>
  <c r="L15" i="2296" s="1"/>
  <c r="D15" i="2296" s="1"/>
  <c r="R52" i="2295"/>
  <c r="R51" i="2295"/>
  <c r="D50" i="2295"/>
  <c r="R49" i="2295"/>
  <c r="D49" i="2295"/>
  <c r="R48" i="2295"/>
  <c r="D48" i="2295"/>
  <c r="D46" i="2295"/>
  <c r="D45" i="2295"/>
  <c r="R44" i="2295"/>
  <c r="L28" i="2295" s="1"/>
  <c r="D28" i="2295" s="1"/>
  <c r="D44" i="2295"/>
  <c r="R42" i="2295"/>
  <c r="L6" i="2295" s="1"/>
  <c r="D6" i="2295" s="1"/>
  <c r="D42" i="2295"/>
  <c r="R41" i="2295"/>
  <c r="D41" i="2295"/>
  <c r="R40" i="2295"/>
  <c r="L8" i="2295" s="1"/>
  <c r="D8" i="2295" s="1"/>
  <c r="D40" i="2295"/>
  <c r="R39" i="2295"/>
  <c r="H39" i="2295"/>
  <c r="D39" i="2295"/>
  <c r="R38" i="2295"/>
  <c r="L9" i="2295" s="1"/>
  <c r="D9" i="2295" s="1"/>
  <c r="H38" i="2295"/>
  <c r="D38" i="2295"/>
  <c r="R37" i="2295"/>
  <c r="H37" i="2295"/>
  <c r="D37" i="2295"/>
  <c r="R36" i="2295"/>
  <c r="H36" i="2295"/>
  <c r="D36" i="2295"/>
  <c r="R35" i="2295"/>
  <c r="H35" i="2295"/>
  <c r="D35" i="2295"/>
  <c r="R34" i="2295"/>
  <c r="L12" i="2295" s="1"/>
  <c r="D12" i="2295" s="1"/>
  <c r="H34" i="2295"/>
  <c r="D34" i="2295"/>
  <c r="R33" i="2295"/>
  <c r="R32" i="2295"/>
  <c r="R31" i="2295"/>
  <c r="R30" i="2295"/>
  <c r="R29" i="2295"/>
  <c r="R28" i="2295"/>
  <c r="R27" i="2295"/>
  <c r="L27" i="2295"/>
  <c r="D27" i="2295"/>
  <c r="R26" i="2295"/>
  <c r="L26" i="2295"/>
  <c r="D26" i="2295" s="1"/>
  <c r="R25" i="2295"/>
  <c r="L25" i="2295"/>
  <c r="D25" i="2295"/>
  <c r="R24" i="2295"/>
  <c r="L24" i="2295"/>
  <c r="D24" i="2295"/>
  <c r="R23" i="2295"/>
  <c r="L23" i="2295"/>
  <c r="D23" i="2295"/>
  <c r="R22" i="2295"/>
  <c r="L20" i="2295" s="1"/>
  <c r="D20" i="2295" s="1"/>
  <c r="L22" i="2295"/>
  <c r="D22" i="2295"/>
  <c r="R21" i="2295"/>
  <c r="L17" i="2295" s="1"/>
  <c r="D17" i="2295" s="1"/>
  <c r="D21" i="2295"/>
  <c r="R20" i="2295"/>
  <c r="R19" i="2295"/>
  <c r="L19" i="2295"/>
  <c r="D19" i="2295"/>
  <c r="R18" i="2295"/>
  <c r="L18" i="2295"/>
  <c r="D18" i="2295"/>
  <c r="R17" i="2295"/>
  <c r="R16" i="2295"/>
  <c r="R15" i="2295"/>
  <c r="L15" i="2295"/>
  <c r="D15" i="2295" s="1"/>
  <c r="R14" i="2295"/>
  <c r="L14" i="2295"/>
  <c r="D14" i="2295"/>
  <c r="R13" i="2295"/>
  <c r="D13" i="2295"/>
  <c r="R12" i="2295"/>
  <c r="R11" i="2295"/>
  <c r="L11" i="2295"/>
  <c r="D11" i="2295"/>
  <c r="L10" i="2295"/>
  <c r="D10" i="2295" s="1"/>
  <c r="L7" i="2295"/>
  <c r="D7" i="2295"/>
  <c r="R6" i="2295"/>
  <c r="L16" i="2295" s="1"/>
  <c r="D16" i="2295" s="1"/>
  <c r="R5" i="2295"/>
  <c r="R4" i="2295"/>
  <c r="V68" i="2294"/>
  <c r="R52" i="2294"/>
  <c r="R51" i="2294"/>
  <c r="D50" i="2294"/>
  <c r="R49" i="2294"/>
  <c r="D49" i="2294"/>
  <c r="R48" i="2294"/>
  <c r="D48" i="2294"/>
  <c r="D46" i="2294"/>
  <c r="D45" i="2294"/>
  <c r="R44" i="2294"/>
  <c r="D44" i="2294"/>
  <c r="R42" i="2294"/>
  <c r="L6" i="2294" s="1"/>
  <c r="D6" i="2294" s="1"/>
  <c r="D42" i="2294"/>
  <c r="R41" i="2294"/>
  <c r="D41" i="2294"/>
  <c r="R40" i="2294"/>
  <c r="D40" i="2294"/>
  <c r="R39" i="2294"/>
  <c r="H39" i="2294"/>
  <c r="D39" i="2294"/>
  <c r="R38" i="2294"/>
  <c r="L9" i="2294" s="1"/>
  <c r="D9" i="2294" s="1"/>
  <c r="H38" i="2294"/>
  <c r="D38" i="2294"/>
  <c r="R37" i="2294"/>
  <c r="H37" i="2294"/>
  <c r="D37" i="2294"/>
  <c r="R36" i="2294"/>
  <c r="L10" i="2294" s="1"/>
  <c r="D10" i="2294" s="1"/>
  <c r="H36" i="2294"/>
  <c r="D36" i="2294"/>
  <c r="R35" i="2294"/>
  <c r="H35" i="2294"/>
  <c r="D35" i="2294"/>
  <c r="R34" i="2294"/>
  <c r="H34" i="2294"/>
  <c r="D34" i="2294"/>
  <c r="R33" i="2294"/>
  <c r="R32" i="2294"/>
  <c r="R31" i="2294"/>
  <c r="R30" i="2294"/>
  <c r="R29" i="2294"/>
  <c r="R28" i="2294"/>
  <c r="L28" i="2294"/>
  <c r="D28" i="2294"/>
  <c r="R27" i="2294"/>
  <c r="L27" i="2294"/>
  <c r="D27" i="2294"/>
  <c r="R26" i="2294"/>
  <c r="L26" i="2294"/>
  <c r="D26" i="2294"/>
  <c r="R25" i="2294"/>
  <c r="L25" i="2294"/>
  <c r="D25" i="2294"/>
  <c r="R24" i="2294"/>
  <c r="L24" i="2294"/>
  <c r="D24" i="2294"/>
  <c r="R23" i="2294"/>
  <c r="L23" i="2294"/>
  <c r="D23" i="2294"/>
  <c r="R22" i="2294"/>
  <c r="L20" i="2294" s="1"/>
  <c r="D20" i="2294" s="1"/>
  <c r="L22" i="2294"/>
  <c r="D22" i="2294"/>
  <c r="R21" i="2294"/>
  <c r="L21" i="2294"/>
  <c r="D21" i="2294"/>
  <c r="R20" i="2294"/>
  <c r="R19" i="2294"/>
  <c r="L19" i="2294"/>
  <c r="D19" i="2294"/>
  <c r="R18" i="2294"/>
  <c r="L18" i="2294"/>
  <c r="D18" i="2294"/>
  <c r="R17" i="2294"/>
  <c r="L17" i="2294"/>
  <c r="D17" i="2294" s="1"/>
  <c r="R16" i="2294"/>
  <c r="R15" i="2294"/>
  <c r="L15" i="2294"/>
  <c r="D15" i="2294"/>
  <c r="R14" i="2294"/>
  <c r="D14" i="2294"/>
  <c r="R13" i="2294"/>
  <c r="D13" i="2294"/>
  <c r="R12" i="2294"/>
  <c r="L12" i="2294"/>
  <c r="D12" i="2294" s="1"/>
  <c r="R11" i="2294"/>
  <c r="L11" i="2294"/>
  <c r="D11" i="2294" s="1"/>
  <c r="L8" i="2294"/>
  <c r="D8" i="2294"/>
  <c r="L7" i="2294"/>
  <c r="D7" i="2294"/>
  <c r="R6" i="2294"/>
  <c r="L16" i="2294" s="1"/>
  <c r="D16" i="2294" s="1"/>
  <c r="R5" i="2294"/>
  <c r="R4" i="2294"/>
  <c r="R52" i="2293"/>
  <c r="R51" i="2293"/>
  <c r="D50" i="2293"/>
  <c r="R49" i="2293"/>
  <c r="G49" i="2293"/>
  <c r="D49" i="2293"/>
  <c r="R48" i="2293"/>
  <c r="D48" i="2293"/>
  <c r="D46" i="2293"/>
  <c r="D45" i="2293"/>
  <c r="D44" i="2293"/>
  <c r="R42" i="2293"/>
  <c r="L6" i="2293" s="1"/>
  <c r="D6" i="2293" s="1"/>
  <c r="D42" i="2293"/>
  <c r="R41" i="2293"/>
  <c r="L7" i="2293" s="1"/>
  <c r="D7" i="2293" s="1"/>
  <c r="D41" i="2293"/>
  <c r="R40" i="2293"/>
  <c r="D40" i="2293"/>
  <c r="R39" i="2293"/>
  <c r="D39" i="2293"/>
  <c r="R38" i="2293"/>
  <c r="D38" i="2293"/>
  <c r="R37" i="2293"/>
  <c r="D37" i="2293"/>
  <c r="R36" i="2293"/>
  <c r="L10" i="2293" s="1"/>
  <c r="D10" i="2293" s="1"/>
  <c r="D36" i="2293"/>
  <c r="R35" i="2293"/>
  <c r="D35" i="2293"/>
  <c r="R34" i="2293"/>
  <c r="L12" i="2293" s="1"/>
  <c r="D12" i="2293" s="1"/>
  <c r="D34" i="2293"/>
  <c r="D54" i="2293" s="1"/>
  <c r="H14" i="2293" s="1"/>
  <c r="R33" i="2293"/>
  <c r="L23" i="2293" s="1"/>
  <c r="D23" i="2293" s="1"/>
  <c r="R32" i="2293"/>
  <c r="R31" i="2293"/>
  <c r="R30" i="2293"/>
  <c r="R29" i="2293"/>
  <c r="R28" i="2293"/>
  <c r="D28" i="2293"/>
  <c r="R27" i="2293"/>
  <c r="D27" i="2293"/>
  <c r="R26" i="2293"/>
  <c r="L26" i="2293"/>
  <c r="D26" i="2293"/>
  <c r="R25" i="2293"/>
  <c r="L25" i="2293"/>
  <c r="D25" i="2293"/>
  <c r="R24" i="2293"/>
  <c r="D24" i="2293"/>
  <c r="R23" i="2293"/>
  <c r="R22" i="2293"/>
  <c r="L22" i="2293"/>
  <c r="D22" i="2293"/>
  <c r="R21" i="2293"/>
  <c r="D21" i="2293"/>
  <c r="R20" i="2293"/>
  <c r="L20" i="2293"/>
  <c r="D20" i="2293"/>
  <c r="R19" i="2293"/>
  <c r="L19" i="2293"/>
  <c r="D19" i="2293"/>
  <c r="R18" i="2293"/>
  <c r="D18" i="2293"/>
  <c r="R17" i="2293"/>
  <c r="D17" i="2293"/>
  <c r="R16" i="2293"/>
  <c r="L16" i="2293"/>
  <c r="D16" i="2293" s="1"/>
  <c r="S15" i="2293"/>
  <c r="R15" i="2293"/>
  <c r="D15" i="2293"/>
  <c r="S14" i="2293"/>
  <c r="R14" i="2293"/>
  <c r="D14" i="2293"/>
  <c r="R13" i="2293"/>
  <c r="D13" i="2293"/>
  <c r="R12" i="2293"/>
  <c r="R11" i="2293"/>
  <c r="L11" i="2293"/>
  <c r="D11" i="2293"/>
  <c r="L9" i="2293"/>
  <c r="D9" i="2293"/>
  <c r="L8" i="2293"/>
  <c r="D8" i="2293"/>
  <c r="R6" i="2293"/>
  <c r="R5" i="2293"/>
  <c r="R4" i="2293"/>
  <c r="G49" i="2312" l="1"/>
  <c r="D54" i="2312"/>
  <c r="H14" i="2312" s="1"/>
  <c r="G49" i="2311"/>
  <c r="D54" i="2311"/>
  <c r="H14" i="2311" s="1"/>
  <c r="G49" i="2308"/>
  <c r="D54" i="2308"/>
  <c r="H14" i="2308" s="1"/>
  <c r="D54" i="2307"/>
  <c r="H14" i="2307" s="1"/>
  <c r="G49" i="2306"/>
  <c r="D54" i="2306"/>
  <c r="H14" i="2306" s="1"/>
  <c r="D29" i="2306"/>
  <c r="H13" i="2306" s="1"/>
  <c r="D54" i="2304"/>
  <c r="H14" i="2304" s="1"/>
  <c r="G49" i="2304"/>
  <c r="G49" i="2303"/>
  <c r="D54" i="2303"/>
  <c r="H14" i="2303" s="1"/>
  <c r="G49" i="2302"/>
  <c r="D54" i="2302"/>
  <c r="H14" i="2302" s="1"/>
  <c r="D54" i="2298"/>
  <c r="H14" i="2298" s="1"/>
  <c r="G49" i="2298"/>
  <c r="D54" i="2300"/>
  <c r="H14" i="2300" s="1"/>
  <c r="D54" i="2299"/>
  <c r="H14" i="2299" s="1"/>
  <c r="G49" i="2299"/>
  <c r="D54" i="2295"/>
  <c r="H14" i="2295" s="1"/>
  <c r="G49" i="2295"/>
  <c r="D54" i="2294"/>
  <c r="H14" i="2294" s="1"/>
  <c r="D29" i="2294"/>
  <c r="H13" i="2294" s="1"/>
  <c r="D29" i="2312"/>
  <c r="H13" i="2312" s="1"/>
  <c r="D29" i="2311"/>
  <c r="H13" i="2311" s="1"/>
  <c r="D29" i="2310"/>
  <c r="H13" i="2310" s="1"/>
  <c r="H15" i="2310" s="1"/>
  <c r="H29" i="2310" s="1"/>
  <c r="F51" i="2310" s="1"/>
  <c r="D29" i="2309"/>
  <c r="H13" i="2309" s="1"/>
  <c r="H15" i="2309" s="1"/>
  <c r="H29" i="2309" s="1"/>
  <c r="G51" i="2309"/>
  <c r="D29" i="2308"/>
  <c r="H13" i="2308" s="1"/>
  <c r="D29" i="2307"/>
  <c r="H13" i="2307" s="1"/>
  <c r="D29" i="2305"/>
  <c r="H13" i="2305" s="1"/>
  <c r="H15" i="2305" s="1"/>
  <c r="H29" i="2305" s="1"/>
  <c r="G51" i="2305"/>
  <c r="D29" i="2304"/>
  <c r="H13" i="2304" s="1"/>
  <c r="D29" i="2303"/>
  <c r="H13" i="2303" s="1"/>
  <c r="D29" i="2302"/>
  <c r="H13" i="2302" s="1"/>
  <c r="D29" i="2301"/>
  <c r="H13" i="2301" s="1"/>
  <c r="H15" i="2301" s="1"/>
  <c r="H29" i="2301" s="1"/>
  <c r="G51" i="2301" s="1"/>
  <c r="D29" i="2300"/>
  <c r="H13" i="2300" s="1"/>
  <c r="D29" i="2299"/>
  <c r="H13" i="2299" s="1"/>
  <c r="D29" i="2298"/>
  <c r="H13" i="2298" s="1"/>
  <c r="D29" i="2297"/>
  <c r="H13" i="2297" s="1"/>
  <c r="H15" i="2297" s="1"/>
  <c r="H29" i="2297" s="1"/>
  <c r="G51" i="2297"/>
  <c r="G49" i="2296"/>
  <c r="D54" i="2296"/>
  <c r="H14" i="2296" s="1"/>
  <c r="G49" i="2294"/>
  <c r="D29" i="2296"/>
  <c r="H13" i="2296" s="1"/>
  <c r="D29" i="2295"/>
  <c r="H13" i="2295" s="1"/>
  <c r="H15" i="2295" s="1"/>
  <c r="H29" i="2295" s="1"/>
  <c r="D29" i="2293"/>
  <c r="H13" i="2293" s="1"/>
  <c r="H15" i="2293" s="1"/>
  <c r="H29" i="2293" s="1"/>
  <c r="G51" i="2293" s="1"/>
  <c r="C12" i="2292"/>
  <c r="H15" i="2312" l="1"/>
  <c r="H29" i="2312" s="1"/>
  <c r="F51" i="2312" s="1"/>
  <c r="H15" i="2311"/>
  <c r="H29" i="2311" s="1"/>
  <c r="F51" i="2311" s="1"/>
  <c r="H15" i="2308"/>
  <c r="H29" i="2308" s="1"/>
  <c r="F51" i="2308" s="1"/>
  <c r="H15" i="2307"/>
  <c r="H29" i="2307" s="1"/>
  <c r="F51" i="2307" s="1"/>
  <c r="H15" i="2306"/>
  <c r="H29" i="2306" s="1"/>
  <c r="F51" i="2306" s="1"/>
  <c r="G51" i="2306"/>
  <c r="H15" i="2304"/>
  <c r="H29" i="2304" s="1"/>
  <c r="F51" i="2304" s="1"/>
  <c r="H15" i="2303"/>
  <c r="H29" i="2303" s="1"/>
  <c r="F51" i="2303" s="1"/>
  <c r="H15" i="2302"/>
  <c r="H29" i="2302" s="1"/>
  <c r="F51" i="2302" s="1"/>
  <c r="H15" i="2298"/>
  <c r="H29" i="2298" s="1"/>
  <c r="G51" i="2298" s="1"/>
  <c r="H15" i="2300"/>
  <c r="H29" i="2300" s="1"/>
  <c r="F51" i="2300" s="1"/>
  <c r="H15" i="2299"/>
  <c r="H29" i="2299" s="1"/>
  <c r="G51" i="2299" s="1"/>
  <c r="F51" i="2299"/>
  <c r="H15" i="2296"/>
  <c r="H29" i="2296" s="1"/>
  <c r="F51" i="2296" s="1"/>
  <c r="G51" i="2295"/>
  <c r="F51" i="2295"/>
  <c r="H15" i="2294"/>
  <c r="H29" i="2294" s="1"/>
  <c r="F51" i="2294" s="1"/>
  <c r="G51" i="2310"/>
  <c r="C19" i="2288"/>
  <c r="G51" i="2312" l="1"/>
  <c r="G51" i="2311"/>
  <c r="G51" i="2308"/>
  <c r="G51" i="2307"/>
  <c r="G51" i="2304"/>
  <c r="G51" i="2303"/>
  <c r="G51" i="2302"/>
  <c r="F51" i="2298"/>
  <c r="G51" i="2300"/>
  <c r="G51" i="2296"/>
  <c r="C12" i="2282"/>
  <c r="L14" i="2278" l="1"/>
  <c r="C12" i="2280"/>
  <c r="L14" i="2274" l="1"/>
  <c r="L21" i="2274"/>
  <c r="L14" i="2270" l="1"/>
  <c r="C12" i="2271"/>
  <c r="R52" i="2292" l="1"/>
  <c r="R51" i="2292"/>
  <c r="D50" i="2292"/>
  <c r="R49" i="2292"/>
  <c r="D49" i="2292"/>
  <c r="R48" i="2292"/>
  <c r="D48" i="2292"/>
  <c r="D46" i="2292"/>
  <c r="D45" i="2292"/>
  <c r="R44" i="2292"/>
  <c r="D44" i="2292"/>
  <c r="R42" i="2292"/>
  <c r="L6" i="2292" s="1"/>
  <c r="D6" i="2292" s="1"/>
  <c r="D42" i="2292"/>
  <c r="R41" i="2292"/>
  <c r="D41" i="2292"/>
  <c r="R40" i="2292"/>
  <c r="D40" i="2292"/>
  <c r="R39" i="2292"/>
  <c r="H39" i="2292"/>
  <c r="D39" i="2292"/>
  <c r="R38" i="2292"/>
  <c r="L9" i="2292" s="1"/>
  <c r="D9" i="2292" s="1"/>
  <c r="H38" i="2292"/>
  <c r="D38" i="2292"/>
  <c r="R37" i="2292"/>
  <c r="H37" i="2292"/>
  <c r="D37" i="2292"/>
  <c r="R36" i="2292"/>
  <c r="L10" i="2292" s="1"/>
  <c r="D10" i="2292" s="1"/>
  <c r="H36" i="2292"/>
  <c r="D36" i="2292"/>
  <c r="R35" i="2292"/>
  <c r="H35" i="2292"/>
  <c r="D35" i="2292"/>
  <c r="R34" i="2292"/>
  <c r="H34" i="2292"/>
  <c r="D34" i="2292"/>
  <c r="R33" i="2292"/>
  <c r="R32" i="2292"/>
  <c r="L11" i="2292" s="1"/>
  <c r="D11" i="2292" s="1"/>
  <c r="R31" i="2292"/>
  <c r="R30" i="2292"/>
  <c r="R29" i="2292"/>
  <c r="R28" i="2292"/>
  <c r="L28" i="2292"/>
  <c r="D28" i="2292" s="1"/>
  <c r="R27" i="2292"/>
  <c r="L27" i="2292"/>
  <c r="D27" i="2292"/>
  <c r="R26" i="2292"/>
  <c r="L26" i="2292"/>
  <c r="D26" i="2292" s="1"/>
  <c r="R25" i="2292"/>
  <c r="L25" i="2292"/>
  <c r="D25" i="2292" s="1"/>
  <c r="R24" i="2292"/>
  <c r="L24" i="2292"/>
  <c r="D24" i="2292" s="1"/>
  <c r="R23" i="2292"/>
  <c r="L23" i="2292"/>
  <c r="D23" i="2292"/>
  <c r="R22" i="2292"/>
  <c r="L20" i="2292" s="1"/>
  <c r="D20" i="2292" s="1"/>
  <c r="L22" i="2292"/>
  <c r="D22" i="2292" s="1"/>
  <c r="R21" i="2292"/>
  <c r="L21" i="2292"/>
  <c r="D21" i="2292"/>
  <c r="R20" i="2292"/>
  <c r="R19" i="2292"/>
  <c r="L19" i="2292"/>
  <c r="D19" i="2292"/>
  <c r="R18" i="2292"/>
  <c r="L18" i="2292"/>
  <c r="D18" i="2292" s="1"/>
  <c r="R17" i="2292"/>
  <c r="L17" i="2292"/>
  <c r="D17" i="2292" s="1"/>
  <c r="R16" i="2292"/>
  <c r="R15" i="2292"/>
  <c r="R14" i="2292"/>
  <c r="D14" i="2292"/>
  <c r="R13" i="2292"/>
  <c r="D13" i="2292"/>
  <c r="R12" i="2292"/>
  <c r="L12" i="2292"/>
  <c r="D12" i="2292" s="1"/>
  <c r="R11" i="2292"/>
  <c r="L8" i="2292"/>
  <c r="D8" i="2292"/>
  <c r="L7" i="2292"/>
  <c r="D7" i="2292" s="1"/>
  <c r="R6" i="2292"/>
  <c r="L16" i="2292" s="1"/>
  <c r="D16" i="2292" s="1"/>
  <c r="R5" i="2292"/>
  <c r="R4" i="2292"/>
  <c r="L15" i="2292" s="1"/>
  <c r="D15" i="2292" s="1"/>
  <c r="R52" i="2291"/>
  <c r="R51" i="2291"/>
  <c r="D50" i="2291"/>
  <c r="R49" i="2291"/>
  <c r="D49" i="2291"/>
  <c r="R48" i="2291"/>
  <c r="D48" i="2291"/>
  <c r="D46" i="2291"/>
  <c r="D45" i="2291"/>
  <c r="R44" i="2291"/>
  <c r="D44" i="2291"/>
  <c r="R42" i="2291"/>
  <c r="L6" i="2291" s="1"/>
  <c r="D6" i="2291" s="1"/>
  <c r="D42" i="2291"/>
  <c r="R41" i="2291"/>
  <c r="L7" i="2291" s="1"/>
  <c r="D7" i="2291" s="1"/>
  <c r="D41" i="2291"/>
  <c r="R40" i="2291"/>
  <c r="L8" i="2291" s="1"/>
  <c r="D8" i="2291" s="1"/>
  <c r="D40" i="2291"/>
  <c r="R39" i="2291"/>
  <c r="H39" i="2291"/>
  <c r="D39" i="2291"/>
  <c r="R38" i="2291"/>
  <c r="H38" i="2291"/>
  <c r="D38" i="2291"/>
  <c r="R37" i="2291"/>
  <c r="H37" i="2291"/>
  <c r="D37" i="2291"/>
  <c r="R36" i="2291"/>
  <c r="L10" i="2291" s="1"/>
  <c r="D10" i="2291" s="1"/>
  <c r="H36" i="2291"/>
  <c r="G49" i="2291" s="1"/>
  <c r="D36" i="2291"/>
  <c r="R35" i="2291"/>
  <c r="H35" i="2291"/>
  <c r="D35" i="2291"/>
  <c r="R34" i="2291"/>
  <c r="L12" i="2291" s="1"/>
  <c r="D12" i="2291" s="1"/>
  <c r="H34" i="2291"/>
  <c r="D34" i="2291"/>
  <c r="D54" i="2291" s="1"/>
  <c r="H14" i="2291" s="1"/>
  <c r="R33" i="2291"/>
  <c r="L19" i="2291" s="1"/>
  <c r="D19" i="2291" s="1"/>
  <c r="R32" i="2291"/>
  <c r="R31" i="2291"/>
  <c r="R30" i="2291"/>
  <c r="R29" i="2291"/>
  <c r="R28" i="2291"/>
  <c r="L28" i="2291"/>
  <c r="D28" i="2291" s="1"/>
  <c r="R27" i="2291"/>
  <c r="L27" i="2291"/>
  <c r="D27" i="2291"/>
  <c r="R26" i="2291"/>
  <c r="L26" i="2291"/>
  <c r="D26" i="2291"/>
  <c r="R25" i="2291"/>
  <c r="L25" i="2291"/>
  <c r="D25" i="2291" s="1"/>
  <c r="R24" i="2291"/>
  <c r="L24" i="2291"/>
  <c r="D24" i="2291"/>
  <c r="R23" i="2291"/>
  <c r="L23" i="2291"/>
  <c r="D23" i="2291"/>
  <c r="R22" i="2291"/>
  <c r="L20" i="2291" s="1"/>
  <c r="D20" i="2291" s="1"/>
  <c r="L22" i="2291"/>
  <c r="D22" i="2291" s="1"/>
  <c r="R21" i="2291"/>
  <c r="D21" i="2291"/>
  <c r="R20" i="2291"/>
  <c r="R19" i="2291"/>
  <c r="R18" i="2291"/>
  <c r="L18" i="2291"/>
  <c r="D18" i="2291" s="1"/>
  <c r="R17" i="2291"/>
  <c r="L17" i="2291"/>
  <c r="D17" i="2291" s="1"/>
  <c r="R16" i="2291"/>
  <c r="R15" i="2291"/>
  <c r="R14" i="2291"/>
  <c r="L14" i="2291"/>
  <c r="D14" i="2291"/>
  <c r="R13" i="2291"/>
  <c r="D13" i="2291"/>
  <c r="R12" i="2291"/>
  <c r="R11" i="2291"/>
  <c r="L11" i="2291"/>
  <c r="D11" i="2291"/>
  <c r="L9" i="2291"/>
  <c r="D9" i="2291" s="1"/>
  <c r="R6" i="2291"/>
  <c r="L16" i="2291" s="1"/>
  <c r="D16" i="2291" s="1"/>
  <c r="R5" i="2291"/>
  <c r="R4" i="2291"/>
  <c r="L15" i="2291" s="1"/>
  <c r="D15" i="2291" s="1"/>
  <c r="V68" i="2290"/>
  <c r="R52" i="2290"/>
  <c r="R51" i="2290"/>
  <c r="D50" i="2290"/>
  <c r="R49" i="2290"/>
  <c r="D49" i="2290"/>
  <c r="R48" i="2290"/>
  <c r="D48" i="2290"/>
  <c r="D46" i="2290"/>
  <c r="D45" i="2290"/>
  <c r="R44" i="2290"/>
  <c r="L28" i="2290" s="1"/>
  <c r="D28" i="2290" s="1"/>
  <c r="D44" i="2290"/>
  <c r="R42" i="2290"/>
  <c r="D42" i="2290"/>
  <c r="R41" i="2290"/>
  <c r="L7" i="2290" s="1"/>
  <c r="D7" i="2290" s="1"/>
  <c r="D41" i="2290"/>
  <c r="R40" i="2290"/>
  <c r="D40" i="2290"/>
  <c r="R39" i="2290"/>
  <c r="H39" i="2290"/>
  <c r="D39" i="2290"/>
  <c r="R38" i="2290"/>
  <c r="L9" i="2290" s="1"/>
  <c r="D9" i="2290" s="1"/>
  <c r="H38" i="2290"/>
  <c r="D38" i="2290"/>
  <c r="R37" i="2290"/>
  <c r="H37" i="2290"/>
  <c r="D37" i="2290"/>
  <c r="R36" i="2290"/>
  <c r="L10" i="2290" s="1"/>
  <c r="D10" i="2290" s="1"/>
  <c r="H36" i="2290"/>
  <c r="D36" i="2290"/>
  <c r="R35" i="2290"/>
  <c r="H35" i="2290"/>
  <c r="D35" i="2290"/>
  <c r="R34" i="2290"/>
  <c r="L12" i="2290" s="1"/>
  <c r="D12" i="2290" s="1"/>
  <c r="H34" i="2290"/>
  <c r="D34" i="2290"/>
  <c r="D54" i="2290" s="1"/>
  <c r="H14" i="2290" s="1"/>
  <c r="R33" i="2290"/>
  <c r="R32" i="2290"/>
  <c r="L11" i="2290" s="1"/>
  <c r="D11" i="2290" s="1"/>
  <c r="R31" i="2290"/>
  <c r="R30" i="2290"/>
  <c r="R29" i="2290"/>
  <c r="R28" i="2290"/>
  <c r="R27" i="2290"/>
  <c r="L27" i="2290"/>
  <c r="D27" i="2290"/>
  <c r="R26" i="2290"/>
  <c r="L26" i="2290"/>
  <c r="D26" i="2290"/>
  <c r="R25" i="2290"/>
  <c r="L25" i="2290"/>
  <c r="D25" i="2290" s="1"/>
  <c r="R24" i="2290"/>
  <c r="L24" i="2290"/>
  <c r="D24" i="2290"/>
  <c r="R23" i="2290"/>
  <c r="L23" i="2290"/>
  <c r="D23" i="2290" s="1"/>
  <c r="R22" i="2290"/>
  <c r="L22" i="2290"/>
  <c r="D22" i="2290" s="1"/>
  <c r="R21" i="2290"/>
  <c r="L17" i="2290" s="1"/>
  <c r="D17" i="2290" s="1"/>
  <c r="L21" i="2290"/>
  <c r="D21" i="2290" s="1"/>
  <c r="R20" i="2290"/>
  <c r="L20" i="2290"/>
  <c r="D20" i="2290"/>
  <c r="R19" i="2290"/>
  <c r="L19" i="2290"/>
  <c r="D19" i="2290" s="1"/>
  <c r="R18" i="2290"/>
  <c r="L18" i="2290"/>
  <c r="D18" i="2290"/>
  <c r="R17" i="2290"/>
  <c r="R16" i="2290"/>
  <c r="R15" i="2290"/>
  <c r="R14" i="2290"/>
  <c r="D14" i="2290"/>
  <c r="R13" i="2290"/>
  <c r="D13" i="2290"/>
  <c r="R12" i="2290"/>
  <c r="R11" i="2290"/>
  <c r="L8" i="2290"/>
  <c r="D8" i="2290"/>
  <c r="R6" i="2290"/>
  <c r="L16" i="2290" s="1"/>
  <c r="D16" i="2290" s="1"/>
  <c r="L6" i="2290"/>
  <c r="D6" i="2290" s="1"/>
  <c r="R5" i="2290"/>
  <c r="R4" i="2290"/>
  <c r="L15" i="2290" s="1"/>
  <c r="D15" i="2290" s="1"/>
  <c r="R52" i="2289"/>
  <c r="R51" i="2289"/>
  <c r="D50" i="2289"/>
  <c r="R49" i="2289"/>
  <c r="G49" i="2289"/>
  <c r="D49" i="2289"/>
  <c r="R48" i="2289"/>
  <c r="D48" i="2289"/>
  <c r="D46" i="2289"/>
  <c r="D45" i="2289"/>
  <c r="D44" i="2289"/>
  <c r="R42" i="2289"/>
  <c r="L6" i="2289" s="1"/>
  <c r="D6" i="2289" s="1"/>
  <c r="D42" i="2289"/>
  <c r="R41" i="2289"/>
  <c r="L7" i="2289" s="1"/>
  <c r="D7" i="2289" s="1"/>
  <c r="D41" i="2289"/>
  <c r="R40" i="2289"/>
  <c r="D40" i="2289"/>
  <c r="R39" i="2289"/>
  <c r="D39" i="2289"/>
  <c r="R38" i="2289"/>
  <c r="D38" i="2289"/>
  <c r="R37" i="2289"/>
  <c r="D37" i="2289"/>
  <c r="R36" i="2289"/>
  <c r="D36" i="2289"/>
  <c r="R35" i="2289"/>
  <c r="D35" i="2289"/>
  <c r="R34" i="2289"/>
  <c r="L12" i="2289" s="1"/>
  <c r="D12" i="2289" s="1"/>
  <c r="D34" i="2289"/>
  <c r="D54" i="2289" s="1"/>
  <c r="H14" i="2289" s="1"/>
  <c r="R33" i="2289"/>
  <c r="L23" i="2289" s="1"/>
  <c r="D23" i="2289" s="1"/>
  <c r="R32" i="2289"/>
  <c r="L11" i="2289" s="1"/>
  <c r="D11" i="2289" s="1"/>
  <c r="R31" i="2289"/>
  <c r="R30" i="2289"/>
  <c r="R29" i="2289"/>
  <c r="R28" i="2289"/>
  <c r="L16" i="2289" s="1"/>
  <c r="D16" i="2289" s="1"/>
  <c r="D28" i="2289"/>
  <c r="R27" i="2289"/>
  <c r="D27" i="2289"/>
  <c r="R26" i="2289"/>
  <c r="L26" i="2289"/>
  <c r="D26" i="2289"/>
  <c r="R25" i="2289"/>
  <c r="L25" i="2289"/>
  <c r="D25" i="2289"/>
  <c r="R24" i="2289"/>
  <c r="D24" i="2289"/>
  <c r="R23" i="2289"/>
  <c r="R22" i="2289"/>
  <c r="L22" i="2289"/>
  <c r="D22" i="2289"/>
  <c r="R21" i="2289"/>
  <c r="D21" i="2289"/>
  <c r="R20" i="2289"/>
  <c r="L20" i="2289"/>
  <c r="D20" i="2289"/>
  <c r="R19" i="2289"/>
  <c r="L19" i="2289"/>
  <c r="D19" i="2289"/>
  <c r="R18" i="2289"/>
  <c r="D18" i="2289"/>
  <c r="R17" i="2289"/>
  <c r="D17" i="2289"/>
  <c r="R16" i="2289"/>
  <c r="S15" i="2289"/>
  <c r="R15" i="2289"/>
  <c r="D15" i="2289"/>
  <c r="S14" i="2289"/>
  <c r="R14" i="2289"/>
  <c r="D14" i="2289"/>
  <c r="R13" i="2289"/>
  <c r="D13" i="2289"/>
  <c r="R12" i="2289"/>
  <c r="R11" i="2289"/>
  <c r="L10" i="2289"/>
  <c r="D10" i="2289" s="1"/>
  <c r="L9" i="2289"/>
  <c r="D9" i="2289" s="1"/>
  <c r="L8" i="2289"/>
  <c r="D8" i="2289"/>
  <c r="R6" i="2289"/>
  <c r="R5" i="2289"/>
  <c r="R4" i="2289"/>
  <c r="R52" i="2288"/>
  <c r="R51" i="2288"/>
  <c r="D50" i="2288"/>
  <c r="R49" i="2288"/>
  <c r="D49" i="2288"/>
  <c r="R48" i="2288"/>
  <c r="D48" i="2288"/>
  <c r="D46" i="2288"/>
  <c r="D45" i="2288"/>
  <c r="R44" i="2288"/>
  <c r="D44" i="2288"/>
  <c r="R42" i="2288"/>
  <c r="L6" i="2288" s="1"/>
  <c r="D6" i="2288" s="1"/>
  <c r="D42" i="2288"/>
  <c r="R41" i="2288"/>
  <c r="D41" i="2288"/>
  <c r="R40" i="2288"/>
  <c r="D40" i="2288"/>
  <c r="R39" i="2288"/>
  <c r="H39" i="2288"/>
  <c r="D39" i="2288"/>
  <c r="R38" i="2288"/>
  <c r="H38" i="2288"/>
  <c r="D38" i="2288"/>
  <c r="R37" i="2288"/>
  <c r="H37" i="2288"/>
  <c r="D37" i="2288"/>
  <c r="R36" i="2288"/>
  <c r="L10" i="2288" s="1"/>
  <c r="D10" i="2288" s="1"/>
  <c r="H36" i="2288"/>
  <c r="D36" i="2288"/>
  <c r="R35" i="2288"/>
  <c r="L18" i="2288" s="1"/>
  <c r="D18" i="2288" s="1"/>
  <c r="H35" i="2288"/>
  <c r="D35" i="2288"/>
  <c r="R34" i="2288"/>
  <c r="L12" i="2288" s="1"/>
  <c r="D12" i="2288" s="1"/>
  <c r="H34" i="2288"/>
  <c r="D34" i="2288"/>
  <c r="R33" i="2288"/>
  <c r="L19" i="2288" s="1"/>
  <c r="D19" i="2288" s="1"/>
  <c r="R32" i="2288"/>
  <c r="R31" i="2288"/>
  <c r="R30" i="2288"/>
  <c r="R29" i="2288"/>
  <c r="R28" i="2288"/>
  <c r="L28" i="2288"/>
  <c r="D28" i="2288" s="1"/>
  <c r="R27" i="2288"/>
  <c r="L27" i="2288"/>
  <c r="D27" i="2288" s="1"/>
  <c r="R26" i="2288"/>
  <c r="L26" i="2288"/>
  <c r="D26" i="2288" s="1"/>
  <c r="R25" i="2288"/>
  <c r="L25" i="2288"/>
  <c r="D25" i="2288"/>
  <c r="R24" i="2288"/>
  <c r="L24" i="2288"/>
  <c r="D24" i="2288" s="1"/>
  <c r="R23" i="2288"/>
  <c r="L23" i="2288"/>
  <c r="D23" i="2288"/>
  <c r="R22" i="2288"/>
  <c r="L22" i="2288"/>
  <c r="D22" i="2288"/>
  <c r="R21" i="2288"/>
  <c r="L17" i="2288" s="1"/>
  <c r="D17" i="2288" s="1"/>
  <c r="L21" i="2288"/>
  <c r="D21" i="2288"/>
  <c r="R20" i="2288"/>
  <c r="L20" i="2288"/>
  <c r="D20" i="2288" s="1"/>
  <c r="R19" i="2288"/>
  <c r="R18" i="2288"/>
  <c r="R17" i="2288"/>
  <c r="R16" i="2288"/>
  <c r="L16" i="2288"/>
  <c r="D16" i="2288"/>
  <c r="R15" i="2288"/>
  <c r="L15" i="2288"/>
  <c r="D15" i="2288" s="1"/>
  <c r="R14" i="2288"/>
  <c r="D14" i="2288"/>
  <c r="R13" i="2288"/>
  <c r="D13" i="2288"/>
  <c r="R12" i="2288"/>
  <c r="R11" i="2288"/>
  <c r="L11" i="2288"/>
  <c r="D11" i="2288"/>
  <c r="L9" i="2288"/>
  <c r="D9" i="2288" s="1"/>
  <c r="L8" i="2288"/>
  <c r="D8" i="2288" s="1"/>
  <c r="L7" i="2288"/>
  <c r="D7" i="2288" s="1"/>
  <c r="R6" i="2288"/>
  <c r="R5" i="2288"/>
  <c r="R4" i="2288"/>
  <c r="R52" i="2287"/>
  <c r="R51" i="2287"/>
  <c r="D50" i="2287"/>
  <c r="R49" i="2287"/>
  <c r="D49" i="2287"/>
  <c r="R48" i="2287"/>
  <c r="D48" i="2287"/>
  <c r="D46" i="2287"/>
  <c r="D45" i="2287"/>
  <c r="R44" i="2287"/>
  <c r="D44" i="2287"/>
  <c r="R42" i="2287"/>
  <c r="L6" i="2287" s="1"/>
  <c r="D6" i="2287" s="1"/>
  <c r="D42" i="2287"/>
  <c r="R41" i="2287"/>
  <c r="D41" i="2287"/>
  <c r="R40" i="2287"/>
  <c r="L8" i="2287" s="1"/>
  <c r="D8" i="2287" s="1"/>
  <c r="D40" i="2287"/>
  <c r="R39" i="2287"/>
  <c r="H39" i="2287"/>
  <c r="D39" i="2287"/>
  <c r="R38" i="2287"/>
  <c r="L9" i="2287" s="1"/>
  <c r="D9" i="2287" s="1"/>
  <c r="H38" i="2287"/>
  <c r="D38" i="2287"/>
  <c r="R37" i="2287"/>
  <c r="H37" i="2287"/>
  <c r="D37" i="2287"/>
  <c r="R36" i="2287"/>
  <c r="L10" i="2287" s="1"/>
  <c r="D10" i="2287" s="1"/>
  <c r="H36" i="2287"/>
  <c r="D36" i="2287"/>
  <c r="R35" i="2287"/>
  <c r="H35" i="2287"/>
  <c r="D35" i="2287"/>
  <c r="R34" i="2287"/>
  <c r="H34" i="2287"/>
  <c r="G49" i="2287" s="1"/>
  <c r="D34" i="2287"/>
  <c r="R33" i="2287"/>
  <c r="R32" i="2287"/>
  <c r="R31" i="2287"/>
  <c r="R30" i="2287"/>
  <c r="R29" i="2287"/>
  <c r="R28" i="2287"/>
  <c r="L28" i="2287"/>
  <c r="D28" i="2287"/>
  <c r="R27" i="2287"/>
  <c r="L27" i="2287"/>
  <c r="D27" i="2287"/>
  <c r="R26" i="2287"/>
  <c r="L26" i="2287"/>
  <c r="D26" i="2287" s="1"/>
  <c r="R25" i="2287"/>
  <c r="L25" i="2287"/>
  <c r="D25" i="2287" s="1"/>
  <c r="R24" i="2287"/>
  <c r="L24" i="2287"/>
  <c r="D24" i="2287"/>
  <c r="R23" i="2287"/>
  <c r="L23" i="2287"/>
  <c r="D23" i="2287"/>
  <c r="R22" i="2287"/>
  <c r="L20" i="2287" s="1"/>
  <c r="D20" i="2287" s="1"/>
  <c r="L22" i="2287"/>
  <c r="D22" i="2287" s="1"/>
  <c r="R21" i="2287"/>
  <c r="L17" i="2287" s="1"/>
  <c r="D17" i="2287" s="1"/>
  <c r="D21" i="2287"/>
  <c r="R20" i="2287"/>
  <c r="R19" i="2287"/>
  <c r="L19" i="2287"/>
  <c r="D19" i="2287"/>
  <c r="R18" i="2287"/>
  <c r="L18" i="2287"/>
  <c r="D18" i="2287" s="1"/>
  <c r="R17" i="2287"/>
  <c r="R16" i="2287"/>
  <c r="R15" i="2287"/>
  <c r="R14" i="2287"/>
  <c r="L14" i="2287"/>
  <c r="D14" i="2287"/>
  <c r="R13" i="2287"/>
  <c r="D13" i="2287"/>
  <c r="R12" i="2287"/>
  <c r="L12" i="2287"/>
  <c r="D12" i="2287" s="1"/>
  <c r="R11" i="2287"/>
  <c r="L11" i="2287"/>
  <c r="D11" i="2287"/>
  <c r="L7" i="2287"/>
  <c r="D7" i="2287"/>
  <c r="R6" i="2287"/>
  <c r="L16" i="2287" s="1"/>
  <c r="D16" i="2287" s="1"/>
  <c r="R5" i="2287"/>
  <c r="R4" i="2287"/>
  <c r="L15" i="2287" s="1"/>
  <c r="D15" i="2287" s="1"/>
  <c r="V68" i="2286"/>
  <c r="R52" i="2286"/>
  <c r="R51" i="2286"/>
  <c r="D50" i="2286"/>
  <c r="R49" i="2286"/>
  <c r="D49" i="2286"/>
  <c r="R48" i="2286"/>
  <c r="D48" i="2286"/>
  <c r="D46" i="2286"/>
  <c r="D45" i="2286"/>
  <c r="R44" i="2286"/>
  <c r="L28" i="2286" s="1"/>
  <c r="D28" i="2286" s="1"/>
  <c r="D44" i="2286"/>
  <c r="R42" i="2286"/>
  <c r="D42" i="2286"/>
  <c r="R41" i="2286"/>
  <c r="D41" i="2286"/>
  <c r="R40" i="2286"/>
  <c r="L8" i="2286" s="1"/>
  <c r="D8" i="2286" s="1"/>
  <c r="D40" i="2286"/>
  <c r="R39" i="2286"/>
  <c r="H39" i="2286"/>
  <c r="D39" i="2286"/>
  <c r="R38" i="2286"/>
  <c r="H38" i="2286"/>
  <c r="D38" i="2286"/>
  <c r="R37" i="2286"/>
  <c r="H37" i="2286"/>
  <c r="D37" i="2286"/>
  <c r="R36" i="2286"/>
  <c r="L10" i="2286" s="1"/>
  <c r="D10" i="2286" s="1"/>
  <c r="H36" i="2286"/>
  <c r="D36" i="2286"/>
  <c r="R35" i="2286"/>
  <c r="H35" i="2286"/>
  <c r="D35" i="2286"/>
  <c r="R34" i="2286"/>
  <c r="H34" i="2286"/>
  <c r="D34" i="2286"/>
  <c r="R33" i="2286"/>
  <c r="R32" i="2286"/>
  <c r="R31" i="2286"/>
  <c r="R30" i="2286"/>
  <c r="R29" i="2286"/>
  <c r="R28" i="2286"/>
  <c r="R27" i="2286"/>
  <c r="L27" i="2286"/>
  <c r="D27" i="2286"/>
  <c r="R26" i="2286"/>
  <c r="L26" i="2286"/>
  <c r="D26" i="2286"/>
  <c r="R25" i="2286"/>
  <c r="L25" i="2286"/>
  <c r="D25" i="2286" s="1"/>
  <c r="R24" i="2286"/>
  <c r="L24" i="2286"/>
  <c r="D24" i="2286" s="1"/>
  <c r="R23" i="2286"/>
  <c r="L23" i="2286"/>
  <c r="D23" i="2286" s="1"/>
  <c r="R22" i="2286"/>
  <c r="L20" i="2286" s="1"/>
  <c r="D20" i="2286" s="1"/>
  <c r="L22" i="2286"/>
  <c r="D22" i="2286"/>
  <c r="R21" i="2286"/>
  <c r="L17" i="2286" s="1"/>
  <c r="D17" i="2286" s="1"/>
  <c r="L21" i="2286"/>
  <c r="D21" i="2286"/>
  <c r="R20" i="2286"/>
  <c r="R19" i="2286"/>
  <c r="L19" i="2286"/>
  <c r="D19" i="2286"/>
  <c r="R18" i="2286"/>
  <c r="L18" i="2286"/>
  <c r="D18" i="2286"/>
  <c r="R17" i="2286"/>
  <c r="R16" i="2286"/>
  <c r="L16" i="2286"/>
  <c r="D16" i="2286" s="1"/>
  <c r="R15" i="2286"/>
  <c r="L15" i="2286"/>
  <c r="D15" i="2286" s="1"/>
  <c r="R14" i="2286"/>
  <c r="D14" i="2286"/>
  <c r="R13" i="2286"/>
  <c r="D13" i="2286"/>
  <c r="R12" i="2286"/>
  <c r="L12" i="2286"/>
  <c r="D12" i="2286" s="1"/>
  <c r="R11" i="2286"/>
  <c r="L11" i="2286"/>
  <c r="D11" i="2286" s="1"/>
  <c r="L9" i="2286"/>
  <c r="D9" i="2286"/>
  <c r="L7" i="2286"/>
  <c r="D7" i="2286" s="1"/>
  <c r="R6" i="2286"/>
  <c r="L6" i="2286"/>
  <c r="D6" i="2286" s="1"/>
  <c r="R5" i="2286"/>
  <c r="R4" i="2286"/>
  <c r="R52" i="2285"/>
  <c r="R51" i="2285"/>
  <c r="D50" i="2285"/>
  <c r="R49" i="2285"/>
  <c r="G49" i="2285"/>
  <c r="D49" i="2285"/>
  <c r="R48" i="2285"/>
  <c r="D48" i="2285"/>
  <c r="D46" i="2285"/>
  <c r="D45" i="2285"/>
  <c r="D44" i="2285"/>
  <c r="R42" i="2285"/>
  <c r="L6" i="2285" s="1"/>
  <c r="D6" i="2285" s="1"/>
  <c r="D42" i="2285"/>
  <c r="R41" i="2285"/>
  <c r="L7" i="2285" s="1"/>
  <c r="D7" i="2285" s="1"/>
  <c r="D41" i="2285"/>
  <c r="R40" i="2285"/>
  <c r="D40" i="2285"/>
  <c r="R39" i="2285"/>
  <c r="D39" i="2285"/>
  <c r="R38" i="2285"/>
  <c r="L9" i="2285" s="1"/>
  <c r="D9" i="2285" s="1"/>
  <c r="D38" i="2285"/>
  <c r="R37" i="2285"/>
  <c r="D37" i="2285"/>
  <c r="R36" i="2285"/>
  <c r="L10" i="2285" s="1"/>
  <c r="D10" i="2285" s="1"/>
  <c r="D36" i="2285"/>
  <c r="R35" i="2285"/>
  <c r="L19" i="2285" s="1"/>
  <c r="D19" i="2285" s="1"/>
  <c r="D35" i="2285"/>
  <c r="R34" i="2285"/>
  <c r="L12" i="2285" s="1"/>
  <c r="D12" i="2285" s="1"/>
  <c r="D34" i="2285"/>
  <c r="D54" i="2285" s="1"/>
  <c r="H14" i="2285" s="1"/>
  <c r="R33" i="2285"/>
  <c r="L23" i="2285" s="1"/>
  <c r="D23" i="2285" s="1"/>
  <c r="R32" i="2285"/>
  <c r="R31" i="2285"/>
  <c r="R30" i="2285"/>
  <c r="R29" i="2285"/>
  <c r="R28" i="2285"/>
  <c r="D28" i="2285"/>
  <c r="R27" i="2285"/>
  <c r="D27" i="2285"/>
  <c r="R26" i="2285"/>
  <c r="L26" i="2285"/>
  <c r="D26" i="2285"/>
  <c r="R25" i="2285"/>
  <c r="L25" i="2285"/>
  <c r="D25" i="2285"/>
  <c r="R24" i="2285"/>
  <c r="D24" i="2285"/>
  <c r="R23" i="2285"/>
  <c r="R22" i="2285"/>
  <c r="L22" i="2285"/>
  <c r="D22" i="2285"/>
  <c r="R21" i="2285"/>
  <c r="D21" i="2285"/>
  <c r="R20" i="2285"/>
  <c r="L20" i="2285"/>
  <c r="D20" i="2285"/>
  <c r="R19" i="2285"/>
  <c r="R18" i="2285"/>
  <c r="D18" i="2285"/>
  <c r="R17" i="2285"/>
  <c r="D17" i="2285"/>
  <c r="R16" i="2285"/>
  <c r="L16" i="2285"/>
  <c r="D16" i="2285" s="1"/>
  <c r="S15" i="2285"/>
  <c r="R15" i="2285"/>
  <c r="D15" i="2285"/>
  <c r="S14" i="2285"/>
  <c r="R14" i="2285"/>
  <c r="D14" i="2285"/>
  <c r="R13" i="2285"/>
  <c r="D13" i="2285"/>
  <c r="R12" i="2285"/>
  <c r="R11" i="2285"/>
  <c r="L11" i="2285"/>
  <c r="D11" i="2285"/>
  <c r="L8" i="2285"/>
  <c r="D8" i="2285"/>
  <c r="R6" i="2285"/>
  <c r="R5" i="2285"/>
  <c r="R4" i="2285"/>
  <c r="R52" i="2284"/>
  <c r="R51" i="2284"/>
  <c r="D50" i="2284"/>
  <c r="R49" i="2284"/>
  <c r="D49" i="2284"/>
  <c r="R48" i="2284"/>
  <c r="D48" i="2284"/>
  <c r="D46" i="2284"/>
  <c r="D45" i="2284"/>
  <c r="R44" i="2284"/>
  <c r="D44" i="2284"/>
  <c r="R42" i="2284"/>
  <c r="L6" i="2284" s="1"/>
  <c r="D6" i="2284" s="1"/>
  <c r="D42" i="2284"/>
  <c r="R41" i="2284"/>
  <c r="D41" i="2284"/>
  <c r="R40" i="2284"/>
  <c r="L8" i="2284" s="1"/>
  <c r="D8" i="2284" s="1"/>
  <c r="D40" i="2284"/>
  <c r="R39" i="2284"/>
  <c r="H39" i="2284"/>
  <c r="D39" i="2284"/>
  <c r="R38" i="2284"/>
  <c r="H38" i="2284"/>
  <c r="D38" i="2284"/>
  <c r="R37" i="2284"/>
  <c r="H37" i="2284"/>
  <c r="D37" i="2284"/>
  <c r="R36" i="2284"/>
  <c r="L10" i="2284" s="1"/>
  <c r="D10" i="2284" s="1"/>
  <c r="H36" i="2284"/>
  <c r="D36" i="2284"/>
  <c r="R35" i="2284"/>
  <c r="H35" i="2284"/>
  <c r="G49" i="2284" s="1"/>
  <c r="D35" i="2284"/>
  <c r="R34" i="2284"/>
  <c r="L12" i="2284" s="1"/>
  <c r="D12" i="2284" s="1"/>
  <c r="H34" i="2284"/>
  <c r="D34" i="2284"/>
  <c r="R33" i="2284"/>
  <c r="R32" i="2284"/>
  <c r="R31" i="2284"/>
  <c r="R30" i="2284"/>
  <c r="R29" i="2284"/>
  <c r="R28" i="2284"/>
  <c r="L28" i="2284"/>
  <c r="D28" i="2284" s="1"/>
  <c r="R27" i="2284"/>
  <c r="L27" i="2284"/>
  <c r="D27" i="2284"/>
  <c r="R26" i="2284"/>
  <c r="L26" i="2284"/>
  <c r="D26" i="2284"/>
  <c r="R25" i="2284"/>
  <c r="L25" i="2284"/>
  <c r="D25" i="2284"/>
  <c r="R24" i="2284"/>
  <c r="L24" i="2284"/>
  <c r="D24" i="2284" s="1"/>
  <c r="R23" i="2284"/>
  <c r="L23" i="2284"/>
  <c r="D23" i="2284"/>
  <c r="R22" i="2284"/>
  <c r="L22" i="2284"/>
  <c r="D22" i="2284"/>
  <c r="R21" i="2284"/>
  <c r="L17" i="2284" s="1"/>
  <c r="D17" i="2284" s="1"/>
  <c r="D21" i="2284"/>
  <c r="R20" i="2284"/>
  <c r="L20" i="2284"/>
  <c r="D20" i="2284"/>
  <c r="R19" i="2284"/>
  <c r="L19" i="2284"/>
  <c r="D19" i="2284"/>
  <c r="R18" i="2284"/>
  <c r="L18" i="2284"/>
  <c r="D18" i="2284" s="1"/>
  <c r="R17" i="2284"/>
  <c r="R16" i="2284"/>
  <c r="L16" i="2284"/>
  <c r="D16" i="2284" s="1"/>
  <c r="R15" i="2284"/>
  <c r="L15" i="2284"/>
  <c r="D15" i="2284" s="1"/>
  <c r="R14" i="2284"/>
  <c r="D14" i="2284"/>
  <c r="R13" i="2284"/>
  <c r="D13" i="2284"/>
  <c r="R12" i="2284"/>
  <c r="R11" i="2284"/>
  <c r="L11" i="2284"/>
  <c r="D11" i="2284" s="1"/>
  <c r="L9" i="2284"/>
  <c r="D9" i="2284"/>
  <c r="L7" i="2284"/>
  <c r="D7" i="2284" s="1"/>
  <c r="R6" i="2284"/>
  <c r="R5" i="2284"/>
  <c r="R4" i="2284"/>
  <c r="R52" i="2283"/>
  <c r="R51" i="2283"/>
  <c r="D50" i="2283"/>
  <c r="R49" i="2283"/>
  <c r="D49" i="2283"/>
  <c r="R48" i="2283"/>
  <c r="D48" i="2283"/>
  <c r="D46" i="2283"/>
  <c r="D45" i="2283"/>
  <c r="R44" i="2283"/>
  <c r="L28" i="2283" s="1"/>
  <c r="D28" i="2283" s="1"/>
  <c r="D44" i="2283"/>
  <c r="R42" i="2283"/>
  <c r="L6" i="2283" s="1"/>
  <c r="D6" i="2283" s="1"/>
  <c r="D42" i="2283"/>
  <c r="R41" i="2283"/>
  <c r="D41" i="2283"/>
  <c r="R40" i="2283"/>
  <c r="D40" i="2283"/>
  <c r="R39" i="2283"/>
  <c r="H39" i="2283"/>
  <c r="D39" i="2283"/>
  <c r="R38" i="2283"/>
  <c r="L9" i="2283" s="1"/>
  <c r="D9" i="2283" s="1"/>
  <c r="H38" i="2283"/>
  <c r="D38" i="2283"/>
  <c r="R37" i="2283"/>
  <c r="H37" i="2283"/>
  <c r="D37" i="2283"/>
  <c r="R36" i="2283"/>
  <c r="L10" i="2283" s="1"/>
  <c r="D10" i="2283" s="1"/>
  <c r="H36" i="2283"/>
  <c r="D36" i="2283"/>
  <c r="R35" i="2283"/>
  <c r="H35" i="2283"/>
  <c r="D35" i="2283"/>
  <c r="R34" i="2283"/>
  <c r="L12" i="2283" s="1"/>
  <c r="D12" i="2283" s="1"/>
  <c r="H34" i="2283"/>
  <c r="D34" i="2283"/>
  <c r="R33" i="2283"/>
  <c r="R32" i="2283"/>
  <c r="L11" i="2283" s="1"/>
  <c r="D11" i="2283" s="1"/>
  <c r="R31" i="2283"/>
  <c r="R30" i="2283"/>
  <c r="R29" i="2283"/>
  <c r="R28" i="2283"/>
  <c r="R27" i="2283"/>
  <c r="L27" i="2283"/>
  <c r="D27" i="2283" s="1"/>
  <c r="R26" i="2283"/>
  <c r="L26" i="2283"/>
  <c r="D26" i="2283" s="1"/>
  <c r="R25" i="2283"/>
  <c r="L25" i="2283"/>
  <c r="D25" i="2283"/>
  <c r="R24" i="2283"/>
  <c r="L24" i="2283"/>
  <c r="D24" i="2283"/>
  <c r="R23" i="2283"/>
  <c r="L23" i="2283"/>
  <c r="D23" i="2283"/>
  <c r="R22" i="2283"/>
  <c r="L22" i="2283"/>
  <c r="D22" i="2283"/>
  <c r="R21" i="2283"/>
  <c r="D21" i="2283"/>
  <c r="R20" i="2283"/>
  <c r="L20" i="2283"/>
  <c r="D20" i="2283" s="1"/>
  <c r="R19" i="2283"/>
  <c r="L19" i="2283"/>
  <c r="D19" i="2283" s="1"/>
  <c r="R18" i="2283"/>
  <c r="L18" i="2283"/>
  <c r="D18" i="2283"/>
  <c r="R17" i="2283"/>
  <c r="L17" i="2283"/>
  <c r="D17" i="2283" s="1"/>
  <c r="R16" i="2283"/>
  <c r="R15" i="2283"/>
  <c r="R14" i="2283"/>
  <c r="L14" i="2283"/>
  <c r="D14" i="2283" s="1"/>
  <c r="R13" i="2283"/>
  <c r="D13" i="2283"/>
  <c r="R12" i="2283"/>
  <c r="R11" i="2283"/>
  <c r="L8" i="2283"/>
  <c r="D8" i="2283" s="1"/>
  <c r="L7" i="2283"/>
  <c r="D7" i="2283"/>
  <c r="R6" i="2283"/>
  <c r="L16" i="2283" s="1"/>
  <c r="D16" i="2283" s="1"/>
  <c r="R5" i="2283"/>
  <c r="R4" i="2283"/>
  <c r="L15" i="2283" s="1"/>
  <c r="D15" i="2283" s="1"/>
  <c r="V68" i="2282"/>
  <c r="R52" i="2282"/>
  <c r="R51" i="2282"/>
  <c r="D50" i="2282"/>
  <c r="R49" i="2282"/>
  <c r="D49" i="2282"/>
  <c r="R48" i="2282"/>
  <c r="D48" i="2282"/>
  <c r="D46" i="2282"/>
  <c r="D45" i="2282"/>
  <c r="R44" i="2282"/>
  <c r="L28" i="2282" s="1"/>
  <c r="D28" i="2282" s="1"/>
  <c r="D44" i="2282"/>
  <c r="R42" i="2282"/>
  <c r="D42" i="2282"/>
  <c r="R41" i="2282"/>
  <c r="D41" i="2282"/>
  <c r="R40" i="2282"/>
  <c r="D40" i="2282"/>
  <c r="R39" i="2282"/>
  <c r="H39" i="2282"/>
  <c r="D39" i="2282"/>
  <c r="R38" i="2282"/>
  <c r="H38" i="2282"/>
  <c r="D38" i="2282"/>
  <c r="R37" i="2282"/>
  <c r="H37" i="2282"/>
  <c r="D37" i="2282"/>
  <c r="R36" i="2282"/>
  <c r="L10" i="2282" s="1"/>
  <c r="D10" i="2282" s="1"/>
  <c r="H36" i="2282"/>
  <c r="D36" i="2282"/>
  <c r="R35" i="2282"/>
  <c r="H35" i="2282"/>
  <c r="D35" i="2282"/>
  <c r="R34" i="2282"/>
  <c r="L12" i="2282" s="1"/>
  <c r="D12" i="2282" s="1"/>
  <c r="H34" i="2282"/>
  <c r="D34" i="2282"/>
  <c r="R33" i="2282"/>
  <c r="L19" i="2282" s="1"/>
  <c r="D19" i="2282" s="1"/>
  <c r="R32" i="2282"/>
  <c r="L11" i="2282" s="1"/>
  <c r="D11" i="2282" s="1"/>
  <c r="R31" i="2282"/>
  <c r="R30" i="2282"/>
  <c r="R29" i="2282"/>
  <c r="R28" i="2282"/>
  <c r="R27" i="2282"/>
  <c r="L27" i="2282"/>
  <c r="D27" i="2282" s="1"/>
  <c r="R26" i="2282"/>
  <c r="L26" i="2282"/>
  <c r="D26" i="2282"/>
  <c r="R25" i="2282"/>
  <c r="L25" i="2282"/>
  <c r="D25" i="2282"/>
  <c r="R24" i="2282"/>
  <c r="L24" i="2282"/>
  <c r="D24" i="2282"/>
  <c r="R23" i="2282"/>
  <c r="L23" i="2282"/>
  <c r="D23" i="2282" s="1"/>
  <c r="R22" i="2282"/>
  <c r="L22" i="2282"/>
  <c r="D22" i="2282" s="1"/>
  <c r="R21" i="2282"/>
  <c r="L17" i="2282" s="1"/>
  <c r="D17" i="2282" s="1"/>
  <c r="L21" i="2282"/>
  <c r="D21" i="2282"/>
  <c r="R20" i="2282"/>
  <c r="L20" i="2282"/>
  <c r="D20" i="2282" s="1"/>
  <c r="R19" i="2282"/>
  <c r="R18" i="2282"/>
  <c r="L18" i="2282"/>
  <c r="D18" i="2282"/>
  <c r="R17" i="2282"/>
  <c r="R16" i="2282"/>
  <c r="R15" i="2282"/>
  <c r="R14" i="2282"/>
  <c r="D14" i="2282"/>
  <c r="R13" i="2282"/>
  <c r="D13" i="2282"/>
  <c r="R12" i="2282"/>
  <c r="R11" i="2282"/>
  <c r="L9" i="2282"/>
  <c r="D9" i="2282" s="1"/>
  <c r="L8" i="2282"/>
  <c r="D8" i="2282" s="1"/>
  <c r="L7" i="2282"/>
  <c r="D7" i="2282"/>
  <c r="R6" i="2282"/>
  <c r="L16" i="2282" s="1"/>
  <c r="D16" i="2282" s="1"/>
  <c r="L6" i="2282"/>
  <c r="D6" i="2282" s="1"/>
  <c r="R5" i="2282"/>
  <c r="R4" i="2282"/>
  <c r="L15" i="2282" s="1"/>
  <c r="D15" i="2282" s="1"/>
  <c r="R52" i="2281"/>
  <c r="R51" i="2281"/>
  <c r="D50" i="2281"/>
  <c r="R49" i="2281"/>
  <c r="G49" i="2281"/>
  <c r="D49" i="2281"/>
  <c r="R48" i="2281"/>
  <c r="D48" i="2281"/>
  <c r="D46" i="2281"/>
  <c r="D45" i="2281"/>
  <c r="D44" i="2281"/>
  <c r="R42" i="2281"/>
  <c r="L6" i="2281" s="1"/>
  <c r="D6" i="2281" s="1"/>
  <c r="D42" i="2281"/>
  <c r="R41" i="2281"/>
  <c r="L7" i="2281" s="1"/>
  <c r="D7" i="2281" s="1"/>
  <c r="D41" i="2281"/>
  <c r="R40" i="2281"/>
  <c r="D40" i="2281"/>
  <c r="R39" i="2281"/>
  <c r="D39" i="2281"/>
  <c r="R38" i="2281"/>
  <c r="D38" i="2281"/>
  <c r="R37" i="2281"/>
  <c r="D37" i="2281"/>
  <c r="R36" i="2281"/>
  <c r="D36" i="2281"/>
  <c r="R35" i="2281"/>
  <c r="D35" i="2281"/>
  <c r="R34" i="2281"/>
  <c r="L12" i="2281" s="1"/>
  <c r="D12" i="2281" s="1"/>
  <c r="D34" i="2281"/>
  <c r="D54" i="2281" s="1"/>
  <c r="H14" i="2281" s="1"/>
  <c r="R33" i="2281"/>
  <c r="L23" i="2281" s="1"/>
  <c r="D23" i="2281" s="1"/>
  <c r="R32" i="2281"/>
  <c r="R31" i="2281"/>
  <c r="R30" i="2281"/>
  <c r="R29" i="2281"/>
  <c r="R28" i="2281"/>
  <c r="L16" i="2281" s="1"/>
  <c r="D16" i="2281" s="1"/>
  <c r="D28" i="2281"/>
  <c r="R27" i="2281"/>
  <c r="D27" i="2281"/>
  <c r="R26" i="2281"/>
  <c r="L26" i="2281"/>
  <c r="D26" i="2281"/>
  <c r="R25" i="2281"/>
  <c r="L25" i="2281"/>
  <c r="D25" i="2281"/>
  <c r="R24" i="2281"/>
  <c r="D24" i="2281"/>
  <c r="R23" i="2281"/>
  <c r="R22" i="2281"/>
  <c r="L22" i="2281"/>
  <c r="D22" i="2281" s="1"/>
  <c r="R21" i="2281"/>
  <c r="D21" i="2281"/>
  <c r="R20" i="2281"/>
  <c r="L20" i="2281"/>
  <c r="D20" i="2281"/>
  <c r="R19" i="2281"/>
  <c r="L19" i="2281"/>
  <c r="D19" i="2281"/>
  <c r="R18" i="2281"/>
  <c r="D18" i="2281"/>
  <c r="R17" i="2281"/>
  <c r="D17" i="2281"/>
  <c r="R16" i="2281"/>
  <c r="S15" i="2281"/>
  <c r="R15" i="2281"/>
  <c r="D15" i="2281"/>
  <c r="S14" i="2281"/>
  <c r="R14" i="2281"/>
  <c r="D14" i="2281"/>
  <c r="R13" i="2281"/>
  <c r="D13" i="2281"/>
  <c r="R12" i="2281"/>
  <c r="R11" i="2281"/>
  <c r="L11" i="2281"/>
  <c r="D11" i="2281" s="1"/>
  <c r="L10" i="2281"/>
  <c r="D10" i="2281" s="1"/>
  <c r="L9" i="2281"/>
  <c r="D9" i="2281" s="1"/>
  <c r="L8" i="2281"/>
  <c r="D8" i="2281"/>
  <c r="R6" i="2281"/>
  <c r="R5" i="2281"/>
  <c r="R4" i="2281"/>
  <c r="R52" i="2280"/>
  <c r="R51" i="2280"/>
  <c r="D50" i="2280"/>
  <c r="R49" i="2280"/>
  <c r="D49" i="2280"/>
  <c r="R48" i="2280"/>
  <c r="D48" i="2280"/>
  <c r="D46" i="2280"/>
  <c r="D45" i="2280"/>
  <c r="R44" i="2280"/>
  <c r="L28" i="2280" s="1"/>
  <c r="D28" i="2280" s="1"/>
  <c r="D44" i="2280"/>
  <c r="R42" i="2280"/>
  <c r="L6" i="2280" s="1"/>
  <c r="D6" i="2280" s="1"/>
  <c r="D42" i="2280"/>
  <c r="R41" i="2280"/>
  <c r="D41" i="2280"/>
  <c r="R40" i="2280"/>
  <c r="D40" i="2280"/>
  <c r="R39" i="2280"/>
  <c r="H39" i="2280"/>
  <c r="D39" i="2280"/>
  <c r="R38" i="2280"/>
  <c r="L9" i="2280" s="1"/>
  <c r="D9" i="2280" s="1"/>
  <c r="H38" i="2280"/>
  <c r="D38" i="2280"/>
  <c r="R37" i="2280"/>
  <c r="H37" i="2280"/>
  <c r="D37" i="2280"/>
  <c r="R36" i="2280"/>
  <c r="L10" i="2280" s="1"/>
  <c r="D10" i="2280" s="1"/>
  <c r="H36" i="2280"/>
  <c r="D36" i="2280"/>
  <c r="R35" i="2280"/>
  <c r="H35" i="2280"/>
  <c r="D35" i="2280"/>
  <c r="R34" i="2280"/>
  <c r="H34" i="2280"/>
  <c r="D34" i="2280"/>
  <c r="R33" i="2280"/>
  <c r="R32" i="2280"/>
  <c r="L11" i="2280" s="1"/>
  <c r="D11" i="2280" s="1"/>
  <c r="R31" i="2280"/>
  <c r="R30" i="2280"/>
  <c r="R29" i="2280"/>
  <c r="R28" i="2280"/>
  <c r="R27" i="2280"/>
  <c r="L27" i="2280"/>
  <c r="D27" i="2280"/>
  <c r="R26" i="2280"/>
  <c r="L26" i="2280"/>
  <c r="D26" i="2280" s="1"/>
  <c r="R25" i="2280"/>
  <c r="L25" i="2280"/>
  <c r="D25" i="2280" s="1"/>
  <c r="R24" i="2280"/>
  <c r="L24" i="2280"/>
  <c r="D24" i="2280"/>
  <c r="R23" i="2280"/>
  <c r="L23" i="2280"/>
  <c r="D23" i="2280"/>
  <c r="R22" i="2280"/>
  <c r="L22" i="2280"/>
  <c r="D22" i="2280" s="1"/>
  <c r="R21" i="2280"/>
  <c r="L17" i="2280" s="1"/>
  <c r="D17" i="2280" s="1"/>
  <c r="L21" i="2280"/>
  <c r="D21" i="2280"/>
  <c r="R20" i="2280"/>
  <c r="L20" i="2280"/>
  <c r="D20" i="2280"/>
  <c r="R19" i="2280"/>
  <c r="L19" i="2280"/>
  <c r="D19" i="2280"/>
  <c r="R18" i="2280"/>
  <c r="L18" i="2280"/>
  <c r="D18" i="2280" s="1"/>
  <c r="R17" i="2280"/>
  <c r="R16" i="2280"/>
  <c r="R15" i="2280"/>
  <c r="R14" i="2280"/>
  <c r="D14" i="2280"/>
  <c r="R13" i="2280"/>
  <c r="D13" i="2280"/>
  <c r="R12" i="2280"/>
  <c r="L12" i="2280"/>
  <c r="D12" i="2280"/>
  <c r="R11" i="2280"/>
  <c r="L8" i="2280"/>
  <c r="D8" i="2280"/>
  <c r="L7" i="2280"/>
  <c r="D7" i="2280"/>
  <c r="R6" i="2280"/>
  <c r="L16" i="2280" s="1"/>
  <c r="D16" i="2280" s="1"/>
  <c r="R5" i="2280"/>
  <c r="R4" i="2280"/>
  <c r="L15" i="2280" s="1"/>
  <c r="D15" i="2280" s="1"/>
  <c r="R52" i="2279"/>
  <c r="R51" i="2279"/>
  <c r="D50" i="2279"/>
  <c r="R49" i="2279"/>
  <c r="D49" i="2279"/>
  <c r="R48" i="2279"/>
  <c r="D48" i="2279"/>
  <c r="D46" i="2279"/>
  <c r="D45" i="2279"/>
  <c r="R44" i="2279"/>
  <c r="D44" i="2279"/>
  <c r="R42" i="2279"/>
  <c r="L6" i="2279" s="1"/>
  <c r="D6" i="2279" s="1"/>
  <c r="D42" i="2279"/>
  <c r="R41" i="2279"/>
  <c r="D41" i="2279"/>
  <c r="R40" i="2279"/>
  <c r="D40" i="2279"/>
  <c r="R39" i="2279"/>
  <c r="H39" i="2279"/>
  <c r="D39" i="2279"/>
  <c r="R38" i="2279"/>
  <c r="H38" i="2279"/>
  <c r="D38" i="2279"/>
  <c r="R37" i="2279"/>
  <c r="H37" i="2279"/>
  <c r="D37" i="2279"/>
  <c r="R36" i="2279"/>
  <c r="L10" i="2279" s="1"/>
  <c r="D10" i="2279" s="1"/>
  <c r="H36" i="2279"/>
  <c r="G49" i="2279" s="1"/>
  <c r="D36" i="2279"/>
  <c r="R35" i="2279"/>
  <c r="H35" i="2279"/>
  <c r="D35" i="2279"/>
  <c r="R34" i="2279"/>
  <c r="L12" i="2279" s="1"/>
  <c r="D12" i="2279" s="1"/>
  <c r="H34" i="2279"/>
  <c r="D34" i="2279"/>
  <c r="R33" i="2279"/>
  <c r="R32" i="2279"/>
  <c r="L11" i="2279" s="1"/>
  <c r="D11" i="2279" s="1"/>
  <c r="R31" i="2279"/>
  <c r="R30" i="2279"/>
  <c r="R29" i="2279"/>
  <c r="R28" i="2279"/>
  <c r="L28" i="2279"/>
  <c r="D28" i="2279" s="1"/>
  <c r="R27" i="2279"/>
  <c r="L27" i="2279"/>
  <c r="D27" i="2279"/>
  <c r="R26" i="2279"/>
  <c r="L26" i="2279"/>
  <c r="D26" i="2279"/>
  <c r="R25" i="2279"/>
  <c r="L25" i="2279"/>
  <c r="D25" i="2279"/>
  <c r="R24" i="2279"/>
  <c r="L24" i="2279"/>
  <c r="D24" i="2279"/>
  <c r="R23" i="2279"/>
  <c r="L23" i="2279"/>
  <c r="D23" i="2279"/>
  <c r="R22" i="2279"/>
  <c r="L22" i="2279"/>
  <c r="D22" i="2279"/>
  <c r="R21" i="2279"/>
  <c r="D21" i="2279"/>
  <c r="R20" i="2279"/>
  <c r="L20" i="2279"/>
  <c r="D20" i="2279"/>
  <c r="R19" i="2279"/>
  <c r="L19" i="2279"/>
  <c r="D19" i="2279"/>
  <c r="R18" i="2279"/>
  <c r="L18" i="2279"/>
  <c r="D18" i="2279"/>
  <c r="R17" i="2279"/>
  <c r="L17" i="2279"/>
  <c r="D17" i="2279" s="1"/>
  <c r="R16" i="2279"/>
  <c r="R15" i="2279"/>
  <c r="L15" i="2279"/>
  <c r="D15" i="2279"/>
  <c r="R14" i="2279"/>
  <c r="L14" i="2279"/>
  <c r="D14" i="2279"/>
  <c r="R13" i="2279"/>
  <c r="D13" i="2279"/>
  <c r="R12" i="2279"/>
  <c r="R11" i="2279"/>
  <c r="L9" i="2279"/>
  <c r="D9" i="2279"/>
  <c r="L8" i="2279"/>
  <c r="D8" i="2279"/>
  <c r="L7" i="2279"/>
  <c r="D7" i="2279"/>
  <c r="R6" i="2279"/>
  <c r="L16" i="2279" s="1"/>
  <c r="D16" i="2279" s="1"/>
  <c r="R5" i="2279"/>
  <c r="R4" i="2279"/>
  <c r="V68" i="2278"/>
  <c r="R52" i="2278"/>
  <c r="R51" i="2278"/>
  <c r="D50" i="2278"/>
  <c r="R49" i="2278"/>
  <c r="D49" i="2278"/>
  <c r="R48" i="2278"/>
  <c r="D48" i="2278"/>
  <c r="D46" i="2278"/>
  <c r="D45" i="2278"/>
  <c r="R44" i="2278"/>
  <c r="L28" i="2278" s="1"/>
  <c r="D28" i="2278" s="1"/>
  <c r="D44" i="2278"/>
  <c r="R42" i="2278"/>
  <c r="D42" i="2278"/>
  <c r="R41" i="2278"/>
  <c r="D41" i="2278"/>
  <c r="R40" i="2278"/>
  <c r="D40" i="2278"/>
  <c r="R39" i="2278"/>
  <c r="H39" i="2278"/>
  <c r="D39" i="2278"/>
  <c r="R38" i="2278"/>
  <c r="H38" i="2278"/>
  <c r="D38" i="2278"/>
  <c r="R37" i="2278"/>
  <c r="H37" i="2278"/>
  <c r="D37" i="2278"/>
  <c r="R36" i="2278"/>
  <c r="L10" i="2278" s="1"/>
  <c r="D10" i="2278" s="1"/>
  <c r="H36" i="2278"/>
  <c r="D36" i="2278"/>
  <c r="R35" i="2278"/>
  <c r="H35" i="2278"/>
  <c r="D35" i="2278"/>
  <c r="R34" i="2278"/>
  <c r="L12" i="2278" s="1"/>
  <c r="D12" i="2278" s="1"/>
  <c r="H34" i="2278"/>
  <c r="D34" i="2278"/>
  <c r="R33" i="2278"/>
  <c r="R32" i="2278"/>
  <c r="L11" i="2278" s="1"/>
  <c r="D11" i="2278" s="1"/>
  <c r="R31" i="2278"/>
  <c r="R30" i="2278"/>
  <c r="R29" i="2278"/>
  <c r="R28" i="2278"/>
  <c r="R27" i="2278"/>
  <c r="L27" i="2278"/>
  <c r="D27" i="2278" s="1"/>
  <c r="R26" i="2278"/>
  <c r="L26" i="2278"/>
  <c r="D26" i="2278"/>
  <c r="R25" i="2278"/>
  <c r="L25" i="2278"/>
  <c r="D25" i="2278"/>
  <c r="R24" i="2278"/>
  <c r="L24" i="2278"/>
  <c r="D24" i="2278"/>
  <c r="R23" i="2278"/>
  <c r="L23" i="2278"/>
  <c r="D23" i="2278" s="1"/>
  <c r="R22" i="2278"/>
  <c r="L22" i="2278"/>
  <c r="D22" i="2278"/>
  <c r="R21" i="2278"/>
  <c r="L17" i="2278" s="1"/>
  <c r="D17" i="2278" s="1"/>
  <c r="L21" i="2278"/>
  <c r="D21" i="2278"/>
  <c r="R20" i="2278"/>
  <c r="L20" i="2278"/>
  <c r="D20" i="2278" s="1"/>
  <c r="R19" i="2278"/>
  <c r="L19" i="2278"/>
  <c r="D19" i="2278" s="1"/>
  <c r="R18" i="2278"/>
  <c r="L18" i="2278"/>
  <c r="D18" i="2278"/>
  <c r="R17" i="2278"/>
  <c r="R16" i="2278"/>
  <c r="R15" i="2278"/>
  <c r="L15" i="2278"/>
  <c r="D15" i="2278" s="1"/>
  <c r="R14" i="2278"/>
  <c r="D14" i="2278"/>
  <c r="R13" i="2278"/>
  <c r="D13" i="2278"/>
  <c r="R12" i="2278"/>
  <c r="R11" i="2278"/>
  <c r="L9" i="2278"/>
  <c r="D9" i="2278" s="1"/>
  <c r="L8" i="2278"/>
  <c r="D8" i="2278"/>
  <c r="L7" i="2278"/>
  <c r="D7" i="2278"/>
  <c r="R6" i="2278"/>
  <c r="L16" i="2278" s="1"/>
  <c r="D16" i="2278" s="1"/>
  <c r="L6" i="2278"/>
  <c r="D6" i="2278" s="1"/>
  <c r="R5" i="2278"/>
  <c r="R4" i="2278"/>
  <c r="R52" i="2277"/>
  <c r="R51" i="2277"/>
  <c r="D50" i="2277"/>
  <c r="R49" i="2277"/>
  <c r="G49" i="2277"/>
  <c r="D49" i="2277"/>
  <c r="R48" i="2277"/>
  <c r="D48" i="2277"/>
  <c r="D46" i="2277"/>
  <c r="D45" i="2277"/>
  <c r="D44" i="2277"/>
  <c r="R42" i="2277"/>
  <c r="L6" i="2277" s="1"/>
  <c r="D6" i="2277" s="1"/>
  <c r="D42" i="2277"/>
  <c r="R41" i="2277"/>
  <c r="L7" i="2277" s="1"/>
  <c r="D7" i="2277" s="1"/>
  <c r="D41" i="2277"/>
  <c r="R40" i="2277"/>
  <c r="D40" i="2277"/>
  <c r="R39" i="2277"/>
  <c r="D39" i="2277"/>
  <c r="R38" i="2277"/>
  <c r="D38" i="2277"/>
  <c r="R37" i="2277"/>
  <c r="D37" i="2277"/>
  <c r="R36" i="2277"/>
  <c r="L10" i="2277" s="1"/>
  <c r="D10" i="2277" s="1"/>
  <c r="D36" i="2277"/>
  <c r="R35" i="2277"/>
  <c r="L19" i="2277" s="1"/>
  <c r="D19" i="2277" s="1"/>
  <c r="D35" i="2277"/>
  <c r="R34" i="2277"/>
  <c r="L12" i="2277" s="1"/>
  <c r="D12" i="2277" s="1"/>
  <c r="D34" i="2277"/>
  <c r="D54" i="2277" s="1"/>
  <c r="H14" i="2277" s="1"/>
  <c r="R33" i="2277"/>
  <c r="L23" i="2277" s="1"/>
  <c r="D23" i="2277" s="1"/>
  <c r="R32" i="2277"/>
  <c r="L11" i="2277" s="1"/>
  <c r="D11" i="2277" s="1"/>
  <c r="R31" i="2277"/>
  <c r="R30" i="2277"/>
  <c r="R29" i="2277"/>
  <c r="R28" i="2277"/>
  <c r="D28" i="2277"/>
  <c r="R27" i="2277"/>
  <c r="D27" i="2277"/>
  <c r="R26" i="2277"/>
  <c r="L26" i="2277"/>
  <c r="D26" i="2277" s="1"/>
  <c r="R25" i="2277"/>
  <c r="L25" i="2277"/>
  <c r="D25" i="2277"/>
  <c r="R24" i="2277"/>
  <c r="D24" i="2277"/>
  <c r="R23" i="2277"/>
  <c r="R22" i="2277"/>
  <c r="L22" i="2277"/>
  <c r="D22" i="2277"/>
  <c r="R21" i="2277"/>
  <c r="D21" i="2277"/>
  <c r="R20" i="2277"/>
  <c r="L20" i="2277"/>
  <c r="D20" i="2277" s="1"/>
  <c r="R19" i="2277"/>
  <c r="R18" i="2277"/>
  <c r="D18" i="2277"/>
  <c r="R17" i="2277"/>
  <c r="D17" i="2277"/>
  <c r="R16" i="2277"/>
  <c r="L16" i="2277"/>
  <c r="D16" i="2277" s="1"/>
  <c r="S15" i="2277"/>
  <c r="R15" i="2277"/>
  <c r="D15" i="2277"/>
  <c r="S14" i="2277"/>
  <c r="R14" i="2277"/>
  <c r="D14" i="2277"/>
  <c r="R13" i="2277"/>
  <c r="D13" i="2277"/>
  <c r="R12" i="2277"/>
  <c r="R11" i="2277"/>
  <c r="L9" i="2277"/>
  <c r="D9" i="2277"/>
  <c r="L8" i="2277"/>
  <c r="D8" i="2277"/>
  <c r="R6" i="2277"/>
  <c r="R5" i="2277"/>
  <c r="R4" i="2277"/>
  <c r="R52" i="2276"/>
  <c r="R51" i="2276"/>
  <c r="D50" i="2276"/>
  <c r="R49" i="2276"/>
  <c r="D49" i="2276"/>
  <c r="R48" i="2276"/>
  <c r="D48" i="2276"/>
  <c r="D46" i="2276"/>
  <c r="D45" i="2276"/>
  <c r="R44" i="2276"/>
  <c r="D44" i="2276"/>
  <c r="R42" i="2276"/>
  <c r="L6" i="2276" s="1"/>
  <c r="D6" i="2276" s="1"/>
  <c r="D42" i="2276"/>
  <c r="R41" i="2276"/>
  <c r="D41" i="2276"/>
  <c r="R40" i="2276"/>
  <c r="D40" i="2276"/>
  <c r="R39" i="2276"/>
  <c r="H39" i="2276"/>
  <c r="D39" i="2276"/>
  <c r="R38" i="2276"/>
  <c r="L9" i="2276" s="1"/>
  <c r="D9" i="2276" s="1"/>
  <c r="H38" i="2276"/>
  <c r="D38" i="2276"/>
  <c r="R37" i="2276"/>
  <c r="H37" i="2276"/>
  <c r="D37" i="2276"/>
  <c r="R36" i="2276"/>
  <c r="L10" i="2276" s="1"/>
  <c r="D10" i="2276" s="1"/>
  <c r="H36" i="2276"/>
  <c r="D36" i="2276"/>
  <c r="R35" i="2276"/>
  <c r="H35" i="2276"/>
  <c r="D35" i="2276"/>
  <c r="R34" i="2276"/>
  <c r="L12" i="2276" s="1"/>
  <c r="D12" i="2276" s="1"/>
  <c r="H34" i="2276"/>
  <c r="D34" i="2276"/>
  <c r="R33" i="2276"/>
  <c r="R32" i="2276"/>
  <c r="L11" i="2276" s="1"/>
  <c r="D11" i="2276" s="1"/>
  <c r="R31" i="2276"/>
  <c r="R30" i="2276"/>
  <c r="R29" i="2276"/>
  <c r="R28" i="2276"/>
  <c r="L28" i="2276"/>
  <c r="D28" i="2276" s="1"/>
  <c r="R27" i="2276"/>
  <c r="L27" i="2276"/>
  <c r="D27" i="2276" s="1"/>
  <c r="R26" i="2276"/>
  <c r="L26" i="2276"/>
  <c r="D26" i="2276"/>
  <c r="R25" i="2276"/>
  <c r="L25" i="2276"/>
  <c r="D25" i="2276"/>
  <c r="R24" i="2276"/>
  <c r="L24" i="2276"/>
  <c r="D24" i="2276"/>
  <c r="R23" i="2276"/>
  <c r="L23" i="2276"/>
  <c r="D23" i="2276"/>
  <c r="R22" i="2276"/>
  <c r="L22" i="2276"/>
  <c r="D22" i="2276"/>
  <c r="R21" i="2276"/>
  <c r="L17" i="2276" s="1"/>
  <c r="D17" i="2276" s="1"/>
  <c r="L21" i="2276"/>
  <c r="D21" i="2276"/>
  <c r="R20" i="2276"/>
  <c r="L20" i="2276"/>
  <c r="D20" i="2276"/>
  <c r="R19" i="2276"/>
  <c r="L19" i="2276"/>
  <c r="D19" i="2276"/>
  <c r="R18" i="2276"/>
  <c r="L18" i="2276"/>
  <c r="D18" i="2276"/>
  <c r="R17" i="2276"/>
  <c r="R16" i="2276"/>
  <c r="R15" i="2276"/>
  <c r="L15" i="2276"/>
  <c r="D15" i="2276"/>
  <c r="R14" i="2276"/>
  <c r="D14" i="2276"/>
  <c r="R13" i="2276"/>
  <c r="D13" i="2276"/>
  <c r="R12" i="2276"/>
  <c r="R11" i="2276"/>
  <c r="L8" i="2276"/>
  <c r="D8" i="2276"/>
  <c r="L7" i="2276"/>
  <c r="D7" i="2276"/>
  <c r="R6" i="2276"/>
  <c r="L16" i="2276" s="1"/>
  <c r="D16" i="2276" s="1"/>
  <c r="R5" i="2276"/>
  <c r="R4" i="2276"/>
  <c r="R52" i="2275"/>
  <c r="R51" i="2275"/>
  <c r="D50" i="2275"/>
  <c r="R49" i="2275"/>
  <c r="D49" i="2275"/>
  <c r="R48" i="2275"/>
  <c r="D48" i="2275"/>
  <c r="D46" i="2275"/>
  <c r="D45" i="2275"/>
  <c r="R44" i="2275"/>
  <c r="D44" i="2275"/>
  <c r="R42" i="2275"/>
  <c r="L6" i="2275" s="1"/>
  <c r="D6" i="2275" s="1"/>
  <c r="D42" i="2275"/>
  <c r="R41" i="2275"/>
  <c r="D41" i="2275"/>
  <c r="R40" i="2275"/>
  <c r="D40" i="2275"/>
  <c r="R39" i="2275"/>
  <c r="H39" i="2275"/>
  <c r="D39" i="2275"/>
  <c r="R38" i="2275"/>
  <c r="H38" i="2275"/>
  <c r="D38" i="2275"/>
  <c r="R37" i="2275"/>
  <c r="H37" i="2275"/>
  <c r="D37" i="2275"/>
  <c r="R36" i="2275"/>
  <c r="L10" i="2275" s="1"/>
  <c r="D10" i="2275" s="1"/>
  <c r="H36" i="2275"/>
  <c r="D36" i="2275"/>
  <c r="R35" i="2275"/>
  <c r="H35" i="2275"/>
  <c r="D35" i="2275"/>
  <c r="R34" i="2275"/>
  <c r="H34" i="2275"/>
  <c r="D34" i="2275"/>
  <c r="R33" i="2275"/>
  <c r="R32" i="2275"/>
  <c r="L11" i="2275" s="1"/>
  <c r="D11" i="2275" s="1"/>
  <c r="R31" i="2275"/>
  <c r="R30" i="2275"/>
  <c r="R29" i="2275"/>
  <c r="R28" i="2275"/>
  <c r="L28" i="2275"/>
  <c r="D28" i="2275" s="1"/>
  <c r="R27" i="2275"/>
  <c r="L27" i="2275"/>
  <c r="D27" i="2275" s="1"/>
  <c r="R26" i="2275"/>
  <c r="L26" i="2275"/>
  <c r="D26" i="2275" s="1"/>
  <c r="R25" i="2275"/>
  <c r="L25" i="2275"/>
  <c r="D25" i="2275"/>
  <c r="R24" i="2275"/>
  <c r="L24" i="2275"/>
  <c r="D24" i="2275"/>
  <c r="R23" i="2275"/>
  <c r="L23" i="2275"/>
  <c r="D23" i="2275"/>
  <c r="R22" i="2275"/>
  <c r="L22" i="2275"/>
  <c r="D22" i="2275"/>
  <c r="R21" i="2275"/>
  <c r="D21" i="2275"/>
  <c r="R20" i="2275"/>
  <c r="L20" i="2275"/>
  <c r="D20" i="2275"/>
  <c r="R19" i="2275"/>
  <c r="L19" i="2275"/>
  <c r="D19" i="2275"/>
  <c r="R18" i="2275"/>
  <c r="L18" i="2275"/>
  <c r="D18" i="2275"/>
  <c r="R17" i="2275"/>
  <c r="L17" i="2275"/>
  <c r="D17" i="2275" s="1"/>
  <c r="R16" i="2275"/>
  <c r="R15" i="2275"/>
  <c r="L15" i="2275"/>
  <c r="D15" i="2275"/>
  <c r="R14" i="2275"/>
  <c r="L14" i="2275"/>
  <c r="D14" i="2275"/>
  <c r="R13" i="2275"/>
  <c r="D13" i="2275"/>
  <c r="R12" i="2275"/>
  <c r="L12" i="2275"/>
  <c r="D12" i="2275" s="1"/>
  <c r="R11" i="2275"/>
  <c r="L9" i="2275"/>
  <c r="D9" i="2275"/>
  <c r="L8" i="2275"/>
  <c r="D8" i="2275"/>
  <c r="L7" i="2275"/>
  <c r="D7" i="2275"/>
  <c r="R6" i="2275"/>
  <c r="L16" i="2275" s="1"/>
  <c r="D16" i="2275" s="1"/>
  <c r="R5" i="2275"/>
  <c r="R4" i="2275"/>
  <c r="V68" i="2274"/>
  <c r="R52" i="2274"/>
  <c r="R51" i="2274"/>
  <c r="D50" i="2274"/>
  <c r="R49" i="2274"/>
  <c r="D49" i="2274"/>
  <c r="R48" i="2274"/>
  <c r="D48" i="2274"/>
  <c r="D46" i="2274"/>
  <c r="D45" i="2274"/>
  <c r="R44" i="2274"/>
  <c r="D44" i="2274"/>
  <c r="R42" i="2274"/>
  <c r="L6" i="2274" s="1"/>
  <c r="D6" i="2274" s="1"/>
  <c r="D42" i="2274"/>
  <c r="R41" i="2274"/>
  <c r="D41" i="2274"/>
  <c r="R40" i="2274"/>
  <c r="D40" i="2274"/>
  <c r="R39" i="2274"/>
  <c r="H39" i="2274"/>
  <c r="D39" i="2274"/>
  <c r="R38" i="2274"/>
  <c r="L9" i="2274" s="1"/>
  <c r="D9" i="2274" s="1"/>
  <c r="H38" i="2274"/>
  <c r="D38" i="2274"/>
  <c r="R37" i="2274"/>
  <c r="H37" i="2274"/>
  <c r="D37" i="2274"/>
  <c r="R36" i="2274"/>
  <c r="L10" i="2274" s="1"/>
  <c r="D10" i="2274" s="1"/>
  <c r="H36" i="2274"/>
  <c r="D36" i="2274"/>
  <c r="R35" i="2274"/>
  <c r="H35" i="2274"/>
  <c r="D35" i="2274"/>
  <c r="R34" i="2274"/>
  <c r="H34" i="2274"/>
  <c r="D34" i="2274"/>
  <c r="R33" i="2274"/>
  <c r="R32" i="2274"/>
  <c r="L11" i="2274" s="1"/>
  <c r="D11" i="2274" s="1"/>
  <c r="R31" i="2274"/>
  <c r="R30" i="2274"/>
  <c r="R29" i="2274"/>
  <c r="R28" i="2274"/>
  <c r="L28" i="2274"/>
  <c r="D28" i="2274"/>
  <c r="R27" i="2274"/>
  <c r="L27" i="2274"/>
  <c r="D27" i="2274" s="1"/>
  <c r="R26" i="2274"/>
  <c r="L26" i="2274"/>
  <c r="D26" i="2274"/>
  <c r="R25" i="2274"/>
  <c r="L25" i="2274"/>
  <c r="D25" i="2274"/>
  <c r="R24" i="2274"/>
  <c r="L24" i="2274"/>
  <c r="D24" i="2274"/>
  <c r="R23" i="2274"/>
  <c r="L23" i="2274"/>
  <c r="D23" i="2274"/>
  <c r="R22" i="2274"/>
  <c r="L20" i="2274" s="1"/>
  <c r="D20" i="2274" s="1"/>
  <c r="L22" i="2274"/>
  <c r="D22" i="2274"/>
  <c r="R21" i="2274"/>
  <c r="D21" i="2274"/>
  <c r="R20" i="2274"/>
  <c r="R19" i="2274"/>
  <c r="L19" i="2274"/>
  <c r="D19" i="2274"/>
  <c r="R18" i="2274"/>
  <c r="L18" i="2274"/>
  <c r="D18" i="2274"/>
  <c r="R17" i="2274"/>
  <c r="L17" i="2274"/>
  <c r="D17" i="2274" s="1"/>
  <c r="R16" i="2274"/>
  <c r="R15" i="2274"/>
  <c r="L15" i="2274"/>
  <c r="D15" i="2274"/>
  <c r="R14" i="2274"/>
  <c r="D14" i="2274"/>
  <c r="R13" i="2274"/>
  <c r="D13" i="2274"/>
  <c r="R12" i="2274"/>
  <c r="L12" i="2274"/>
  <c r="D12" i="2274" s="1"/>
  <c r="R11" i="2274"/>
  <c r="L8" i="2274"/>
  <c r="D8" i="2274"/>
  <c r="L7" i="2274"/>
  <c r="D7" i="2274"/>
  <c r="R6" i="2274"/>
  <c r="L16" i="2274" s="1"/>
  <c r="D16" i="2274" s="1"/>
  <c r="R5" i="2274"/>
  <c r="R4" i="2274"/>
  <c r="R52" i="2273"/>
  <c r="R51" i="2273"/>
  <c r="D50" i="2273"/>
  <c r="R49" i="2273"/>
  <c r="G49" i="2273"/>
  <c r="D49" i="2273"/>
  <c r="R48" i="2273"/>
  <c r="D48" i="2273"/>
  <c r="D46" i="2273"/>
  <c r="D45" i="2273"/>
  <c r="D44" i="2273"/>
  <c r="R42" i="2273"/>
  <c r="L6" i="2273" s="1"/>
  <c r="D6" i="2273" s="1"/>
  <c r="D42" i="2273"/>
  <c r="R41" i="2273"/>
  <c r="L7" i="2273" s="1"/>
  <c r="D7" i="2273" s="1"/>
  <c r="D41" i="2273"/>
  <c r="R40" i="2273"/>
  <c r="D40" i="2273"/>
  <c r="R39" i="2273"/>
  <c r="D39" i="2273"/>
  <c r="R38" i="2273"/>
  <c r="D38" i="2273"/>
  <c r="R37" i="2273"/>
  <c r="D37" i="2273"/>
  <c r="R36" i="2273"/>
  <c r="L10" i="2273" s="1"/>
  <c r="D10" i="2273" s="1"/>
  <c r="D36" i="2273"/>
  <c r="R35" i="2273"/>
  <c r="D35" i="2273"/>
  <c r="R34" i="2273"/>
  <c r="L12" i="2273" s="1"/>
  <c r="D12" i="2273" s="1"/>
  <c r="D34" i="2273"/>
  <c r="D54" i="2273" s="1"/>
  <c r="H14" i="2273" s="1"/>
  <c r="R33" i="2273"/>
  <c r="L23" i="2273" s="1"/>
  <c r="D23" i="2273" s="1"/>
  <c r="R32" i="2273"/>
  <c r="R31" i="2273"/>
  <c r="R30" i="2273"/>
  <c r="R29" i="2273"/>
  <c r="R28" i="2273"/>
  <c r="L16" i="2273" s="1"/>
  <c r="D16" i="2273" s="1"/>
  <c r="D28" i="2273"/>
  <c r="R27" i="2273"/>
  <c r="D27" i="2273"/>
  <c r="R26" i="2273"/>
  <c r="L26" i="2273"/>
  <c r="D26" i="2273"/>
  <c r="R25" i="2273"/>
  <c r="L25" i="2273"/>
  <c r="D25" i="2273"/>
  <c r="R24" i="2273"/>
  <c r="D24" i="2273"/>
  <c r="R23" i="2273"/>
  <c r="R22" i="2273"/>
  <c r="L22" i="2273"/>
  <c r="D22" i="2273" s="1"/>
  <c r="R21" i="2273"/>
  <c r="D21" i="2273"/>
  <c r="R20" i="2273"/>
  <c r="L20" i="2273"/>
  <c r="D20" i="2273"/>
  <c r="R19" i="2273"/>
  <c r="L19" i="2273"/>
  <c r="D19" i="2273"/>
  <c r="R18" i="2273"/>
  <c r="D18" i="2273"/>
  <c r="R17" i="2273"/>
  <c r="D17" i="2273"/>
  <c r="R16" i="2273"/>
  <c r="S15" i="2273"/>
  <c r="R15" i="2273"/>
  <c r="D15" i="2273"/>
  <c r="S14" i="2273"/>
  <c r="R14" i="2273"/>
  <c r="D14" i="2273"/>
  <c r="R13" i="2273"/>
  <c r="D13" i="2273"/>
  <c r="R12" i="2273"/>
  <c r="R11" i="2273"/>
  <c r="L11" i="2273"/>
  <c r="D11" i="2273" s="1"/>
  <c r="L9" i="2273"/>
  <c r="D9" i="2273"/>
  <c r="L8" i="2273"/>
  <c r="D8" i="2273"/>
  <c r="R6" i="2273"/>
  <c r="R5" i="2273"/>
  <c r="R4" i="2273"/>
  <c r="D54" i="2292" l="1"/>
  <c r="H14" i="2292" s="1"/>
  <c r="G49" i="2292"/>
  <c r="G49" i="2290"/>
  <c r="D54" i="2288"/>
  <c r="H14" i="2288" s="1"/>
  <c r="G49" i="2288"/>
  <c r="D54" i="2287"/>
  <c r="H14" i="2287" s="1"/>
  <c r="G49" i="2286"/>
  <c r="D54" i="2286"/>
  <c r="H14" i="2286" s="1"/>
  <c r="G49" i="2283"/>
  <c r="G49" i="2282"/>
  <c r="D54" i="2284"/>
  <c r="H14" i="2284" s="1"/>
  <c r="D54" i="2282"/>
  <c r="H14" i="2282" s="1"/>
  <c r="D54" i="2283"/>
  <c r="H14" i="2283" s="1"/>
  <c r="G49" i="2278"/>
  <c r="G49" i="2280"/>
  <c r="D54" i="2278"/>
  <c r="H14" i="2278" s="1"/>
  <c r="D54" i="2279"/>
  <c r="H14" i="2279" s="1"/>
  <c r="D54" i="2280"/>
  <c r="H14" i="2280" s="1"/>
  <c r="G49" i="2275"/>
  <c r="G49" i="2274"/>
  <c r="G49" i="2276"/>
  <c r="D54" i="2274"/>
  <c r="H14" i="2274" s="1"/>
  <c r="D54" i="2275"/>
  <c r="H14" i="2275" s="1"/>
  <c r="D29" i="2275"/>
  <c r="H13" i="2275" s="1"/>
  <c r="D54" i="2276"/>
  <c r="H14" i="2276" s="1"/>
  <c r="D29" i="2276"/>
  <c r="H13" i="2276" s="1"/>
  <c r="D29" i="2292"/>
  <c r="H13" i="2292" s="1"/>
  <c r="D29" i="2291"/>
  <c r="H13" i="2291" s="1"/>
  <c r="H15" i="2291" s="1"/>
  <c r="H29" i="2291" s="1"/>
  <c r="F51" i="2291" s="1"/>
  <c r="D29" i="2290"/>
  <c r="H13" i="2290" s="1"/>
  <c r="H15" i="2290" s="1"/>
  <c r="H29" i="2290" s="1"/>
  <c r="D29" i="2289"/>
  <c r="H13" i="2289" s="1"/>
  <c r="H15" i="2289" s="1"/>
  <c r="H29" i="2289" s="1"/>
  <c r="G51" i="2289"/>
  <c r="D29" i="2288"/>
  <c r="H13" i="2288" s="1"/>
  <c r="D29" i="2287"/>
  <c r="H13" i="2287" s="1"/>
  <c r="D29" i="2286"/>
  <c r="H13" i="2286" s="1"/>
  <c r="D29" i="2285"/>
  <c r="H13" i="2285" s="1"/>
  <c r="H15" i="2285" s="1"/>
  <c r="H29" i="2285" s="1"/>
  <c r="G51" i="2285"/>
  <c r="D29" i="2284"/>
  <c r="H13" i="2284" s="1"/>
  <c r="D29" i="2283"/>
  <c r="H13" i="2283" s="1"/>
  <c r="D29" i="2282"/>
  <c r="H13" i="2282" s="1"/>
  <c r="D29" i="2281"/>
  <c r="H13" i="2281" s="1"/>
  <c r="H15" i="2281" s="1"/>
  <c r="H29" i="2281" s="1"/>
  <c r="G51" i="2281" s="1"/>
  <c r="D29" i="2280"/>
  <c r="H13" i="2280" s="1"/>
  <c r="D29" i="2279"/>
  <c r="H13" i="2279" s="1"/>
  <c r="D29" i="2278"/>
  <c r="H13" i="2278" s="1"/>
  <c r="D29" i="2277"/>
  <c r="H13" i="2277" s="1"/>
  <c r="H15" i="2277" s="1"/>
  <c r="H29" i="2277" s="1"/>
  <c r="G51" i="2277" s="1"/>
  <c r="D29" i="2274"/>
  <c r="H13" i="2274" s="1"/>
  <c r="D29" i="2273"/>
  <c r="H13" i="2273" s="1"/>
  <c r="H15" i="2273" s="1"/>
  <c r="H29" i="2273" s="1"/>
  <c r="G51" i="2273"/>
  <c r="L14" i="2262"/>
  <c r="C16" i="2264"/>
  <c r="H15" i="2292" l="1"/>
  <c r="H29" i="2292" s="1"/>
  <c r="F51" i="2292" s="1"/>
  <c r="G51" i="2290"/>
  <c r="F51" i="2290"/>
  <c r="H15" i="2288"/>
  <c r="H29" i="2288" s="1"/>
  <c r="F51" i="2288" s="1"/>
  <c r="H15" i="2287"/>
  <c r="H29" i="2287" s="1"/>
  <c r="F51" i="2287" s="1"/>
  <c r="H15" i="2286"/>
  <c r="H29" i="2286" s="1"/>
  <c r="F51" i="2286" s="1"/>
  <c r="H15" i="2284"/>
  <c r="H29" i="2284" s="1"/>
  <c r="F51" i="2284" s="1"/>
  <c r="H15" i="2282"/>
  <c r="H29" i="2282" s="1"/>
  <c r="F51" i="2282" s="1"/>
  <c r="H15" i="2283"/>
  <c r="H29" i="2283" s="1"/>
  <c r="F51" i="2283" s="1"/>
  <c r="H15" i="2278"/>
  <c r="H29" i="2278" s="1"/>
  <c r="F51" i="2278" s="1"/>
  <c r="H15" i="2279"/>
  <c r="H29" i="2279" s="1"/>
  <c r="F51" i="2279" s="1"/>
  <c r="H15" i="2280"/>
  <c r="H29" i="2280" s="1"/>
  <c r="F51" i="2280" s="1"/>
  <c r="H15" i="2274"/>
  <c r="H29" i="2274" s="1"/>
  <c r="F51" i="2274" s="1"/>
  <c r="H15" i="2275"/>
  <c r="H29" i="2275" s="1"/>
  <c r="F51" i="2275" s="1"/>
  <c r="H15" i="2276"/>
  <c r="H29" i="2276" s="1"/>
  <c r="F51" i="2276" s="1"/>
  <c r="G51" i="2291"/>
  <c r="G51" i="2292" l="1"/>
  <c r="G51" i="2288"/>
  <c r="G51" i="2287"/>
  <c r="G51" i="2286"/>
  <c r="G51" i="2283"/>
  <c r="G51" i="2284"/>
  <c r="G51" i="2282"/>
  <c r="G51" i="2278"/>
  <c r="G51" i="2279"/>
  <c r="G51" i="2280"/>
  <c r="G51" i="2274"/>
  <c r="G51" i="2275"/>
  <c r="G51" i="2276"/>
  <c r="C19" i="2255"/>
  <c r="R52" i="2272" l="1"/>
  <c r="R51" i="2272"/>
  <c r="D50" i="2272"/>
  <c r="R49" i="2272"/>
  <c r="D49" i="2272"/>
  <c r="R48" i="2272"/>
  <c r="D48" i="2272"/>
  <c r="D46" i="2272"/>
  <c r="D45" i="2272"/>
  <c r="R44" i="2272"/>
  <c r="D44" i="2272"/>
  <c r="R42" i="2272"/>
  <c r="L6" i="2272" s="1"/>
  <c r="D6" i="2272" s="1"/>
  <c r="D42" i="2272"/>
  <c r="R41" i="2272"/>
  <c r="L7" i="2272" s="1"/>
  <c r="D7" i="2272" s="1"/>
  <c r="D41" i="2272"/>
  <c r="R40" i="2272"/>
  <c r="L8" i="2272" s="1"/>
  <c r="D8" i="2272" s="1"/>
  <c r="D40" i="2272"/>
  <c r="R39" i="2272"/>
  <c r="H39" i="2272"/>
  <c r="D39" i="2272"/>
  <c r="R38" i="2272"/>
  <c r="L9" i="2272" s="1"/>
  <c r="D9" i="2272" s="1"/>
  <c r="H38" i="2272"/>
  <c r="D38" i="2272"/>
  <c r="R37" i="2272"/>
  <c r="H37" i="2272"/>
  <c r="D37" i="2272"/>
  <c r="R36" i="2272"/>
  <c r="L10" i="2272" s="1"/>
  <c r="D10" i="2272" s="1"/>
  <c r="H36" i="2272"/>
  <c r="D36" i="2272"/>
  <c r="R35" i="2272"/>
  <c r="L18" i="2272" s="1"/>
  <c r="D18" i="2272" s="1"/>
  <c r="H35" i="2272"/>
  <c r="D35" i="2272"/>
  <c r="D54" i="2272" s="1"/>
  <c r="H14" i="2272" s="1"/>
  <c r="R34" i="2272"/>
  <c r="H34" i="2272"/>
  <c r="D34" i="2272"/>
  <c r="R33" i="2272"/>
  <c r="R32" i="2272"/>
  <c r="R31" i="2272"/>
  <c r="R30" i="2272"/>
  <c r="R29" i="2272"/>
  <c r="R28" i="2272"/>
  <c r="L28" i="2272"/>
  <c r="D28" i="2272" s="1"/>
  <c r="R27" i="2272"/>
  <c r="L27" i="2272"/>
  <c r="D27" i="2272" s="1"/>
  <c r="R26" i="2272"/>
  <c r="L26" i="2272"/>
  <c r="D26" i="2272" s="1"/>
  <c r="R25" i="2272"/>
  <c r="L25" i="2272"/>
  <c r="D25" i="2272"/>
  <c r="R24" i="2272"/>
  <c r="L24" i="2272"/>
  <c r="D24" i="2272"/>
  <c r="R23" i="2272"/>
  <c r="L23" i="2272"/>
  <c r="D23" i="2272"/>
  <c r="R22" i="2272"/>
  <c r="L20" i="2272" s="1"/>
  <c r="D20" i="2272" s="1"/>
  <c r="L22" i="2272"/>
  <c r="D22" i="2272"/>
  <c r="R21" i="2272"/>
  <c r="L17" i="2272" s="1"/>
  <c r="D17" i="2272" s="1"/>
  <c r="L21" i="2272"/>
  <c r="D21" i="2272"/>
  <c r="R20" i="2272"/>
  <c r="R19" i="2272"/>
  <c r="L19" i="2272"/>
  <c r="D19" i="2272" s="1"/>
  <c r="R18" i="2272"/>
  <c r="R17" i="2272"/>
  <c r="R16" i="2272"/>
  <c r="L16" i="2272"/>
  <c r="D16" i="2272" s="1"/>
  <c r="R15" i="2272"/>
  <c r="R14" i="2272"/>
  <c r="D14" i="2272"/>
  <c r="R13" i="2272"/>
  <c r="D13" i="2272"/>
  <c r="R12" i="2272"/>
  <c r="L12" i="2272"/>
  <c r="D12" i="2272"/>
  <c r="R11" i="2272"/>
  <c r="L11" i="2272"/>
  <c r="D11" i="2272" s="1"/>
  <c r="R6" i="2272"/>
  <c r="R5" i="2272"/>
  <c r="R4" i="2272"/>
  <c r="L15" i="2272" s="1"/>
  <c r="D15" i="2272" s="1"/>
  <c r="R52" i="2271"/>
  <c r="R51" i="2271"/>
  <c r="D50" i="2271"/>
  <c r="R49" i="2271"/>
  <c r="D49" i="2271"/>
  <c r="R48" i="2271"/>
  <c r="D48" i="2271"/>
  <c r="D46" i="2271"/>
  <c r="D45" i="2271"/>
  <c r="R44" i="2271"/>
  <c r="D44" i="2271"/>
  <c r="R42" i="2271"/>
  <c r="L6" i="2271" s="1"/>
  <c r="D6" i="2271" s="1"/>
  <c r="D42" i="2271"/>
  <c r="R41" i="2271"/>
  <c r="D41" i="2271"/>
  <c r="R40" i="2271"/>
  <c r="L8" i="2271" s="1"/>
  <c r="D8" i="2271" s="1"/>
  <c r="D40" i="2271"/>
  <c r="R39" i="2271"/>
  <c r="H39" i="2271"/>
  <c r="D39" i="2271"/>
  <c r="R38" i="2271"/>
  <c r="H38" i="2271"/>
  <c r="D38" i="2271"/>
  <c r="R37" i="2271"/>
  <c r="H37" i="2271"/>
  <c r="D37" i="2271"/>
  <c r="R36" i="2271"/>
  <c r="L10" i="2271" s="1"/>
  <c r="D10" i="2271" s="1"/>
  <c r="H36" i="2271"/>
  <c r="D36" i="2271"/>
  <c r="R35" i="2271"/>
  <c r="L18" i="2271" s="1"/>
  <c r="D18" i="2271" s="1"/>
  <c r="H35" i="2271"/>
  <c r="D35" i="2271"/>
  <c r="R34" i="2271"/>
  <c r="H34" i="2271"/>
  <c r="D34" i="2271"/>
  <c r="R33" i="2271"/>
  <c r="R32" i="2271"/>
  <c r="R31" i="2271"/>
  <c r="R30" i="2271"/>
  <c r="R29" i="2271"/>
  <c r="R28" i="2271"/>
  <c r="L28" i="2271"/>
  <c r="D28" i="2271" s="1"/>
  <c r="R27" i="2271"/>
  <c r="L27" i="2271"/>
  <c r="D27" i="2271"/>
  <c r="R26" i="2271"/>
  <c r="L26" i="2271"/>
  <c r="D26" i="2271"/>
  <c r="R25" i="2271"/>
  <c r="L25" i="2271"/>
  <c r="D25" i="2271" s="1"/>
  <c r="R24" i="2271"/>
  <c r="L24" i="2271"/>
  <c r="D24" i="2271" s="1"/>
  <c r="R23" i="2271"/>
  <c r="L23" i="2271"/>
  <c r="D23" i="2271"/>
  <c r="R22" i="2271"/>
  <c r="L22" i="2271"/>
  <c r="D22" i="2271"/>
  <c r="R21" i="2271"/>
  <c r="D21" i="2271"/>
  <c r="R20" i="2271"/>
  <c r="L20" i="2271"/>
  <c r="D20" i="2271" s="1"/>
  <c r="R19" i="2271"/>
  <c r="L19" i="2271"/>
  <c r="D19" i="2271"/>
  <c r="R18" i="2271"/>
  <c r="R17" i="2271"/>
  <c r="L17" i="2271"/>
  <c r="D17" i="2271" s="1"/>
  <c r="R16" i="2271"/>
  <c r="R15" i="2271"/>
  <c r="R14" i="2271"/>
  <c r="L14" i="2271"/>
  <c r="D14" i="2271"/>
  <c r="R13" i="2271"/>
  <c r="D13" i="2271"/>
  <c r="R12" i="2271"/>
  <c r="L12" i="2271"/>
  <c r="D12" i="2271"/>
  <c r="R11" i="2271"/>
  <c r="L11" i="2271"/>
  <c r="D11" i="2271"/>
  <c r="L9" i="2271"/>
  <c r="D9" i="2271"/>
  <c r="L7" i="2271"/>
  <c r="D7" i="2271" s="1"/>
  <c r="R6" i="2271"/>
  <c r="L16" i="2271" s="1"/>
  <c r="D16" i="2271" s="1"/>
  <c r="R5" i="2271"/>
  <c r="R4" i="2271"/>
  <c r="L15" i="2271" s="1"/>
  <c r="D15" i="2271" s="1"/>
  <c r="V68" i="2270"/>
  <c r="R52" i="2270"/>
  <c r="R51" i="2270"/>
  <c r="D50" i="2270"/>
  <c r="R49" i="2270"/>
  <c r="D49" i="2270"/>
  <c r="R48" i="2270"/>
  <c r="D48" i="2270"/>
  <c r="D46" i="2270"/>
  <c r="D45" i="2270"/>
  <c r="R44" i="2270"/>
  <c r="D44" i="2270"/>
  <c r="R42" i="2270"/>
  <c r="D42" i="2270"/>
  <c r="R41" i="2270"/>
  <c r="D41" i="2270"/>
  <c r="R40" i="2270"/>
  <c r="L8" i="2270" s="1"/>
  <c r="D8" i="2270" s="1"/>
  <c r="D40" i="2270"/>
  <c r="R39" i="2270"/>
  <c r="H39" i="2270"/>
  <c r="D39" i="2270"/>
  <c r="R38" i="2270"/>
  <c r="H38" i="2270"/>
  <c r="D38" i="2270"/>
  <c r="R37" i="2270"/>
  <c r="H37" i="2270"/>
  <c r="D37" i="2270"/>
  <c r="R36" i="2270"/>
  <c r="L10" i="2270" s="1"/>
  <c r="D10" i="2270" s="1"/>
  <c r="H36" i="2270"/>
  <c r="D36" i="2270"/>
  <c r="R35" i="2270"/>
  <c r="L18" i="2270" s="1"/>
  <c r="D18" i="2270" s="1"/>
  <c r="H35" i="2270"/>
  <c r="D35" i="2270"/>
  <c r="R34" i="2270"/>
  <c r="H34" i="2270"/>
  <c r="G49" i="2270" s="1"/>
  <c r="D34" i="2270"/>
  <c r="R33" i="2270"/>
  <c r="R32" i="2270"/>
  <c r="R31" i="2270"/>
  <c r="R30" i="2270"/>
  <c r="R29" i="2270"/>
  <c r="R28" i="2270"/>
  <c r="L28" i="2270"/>
  <c r="D28" i="2270"/>
  <c r="R27" i="2270"/>
  <c r="L27" i="2270"/>
  <c r="D27" i="2270"/>
  <c r="R26" i="2270"/>
  <c r="L26" i="2270"/>
  <c r="D26" i="2270" s="1"/>
  <c r="R25" i="2270"/>
  <c r="L25" i="2270"/>
  <c r="D25" i="2270"/>
  <c r="R24" i="2270"/>
  <c r="L24" i="2270"/>
  <c r="D24" i="2270" s="1"/>
  <c r="R23" i="2270"/>
  <c r="L23" i="2270"/>
  <c r="D23" i="2270" s="1"/>
  <c r="R22" i="2270"/>
  <c r="L20" i="2270" s="1"/>
  <c r="D20" i="2270" s="1"/>
  <c r="L22" i="2270"/>
  <c r="D22" i="2270"/>
  <c r="R21" i="2270"/>
  <c r="L17" i="2270" s="1"/>
  <c r="D17" i="2270" s="1"/>
  <c r="L21" i="2270"/>
  <c r="D21" i="2270" s="1"/>
  <c r="R20" i="2270"/>
  <c r="R19" i="2270"/>
  <c r="L19" i="2270"/>
  <c r="D19" i="2270"/>
  <c r="R18" i="2270"/>
  <c r="R17" i="2270"/>
  <c r="R16" i="2270"/>
  <c r="L16" i="2270"/>
  <c r="D16" i="2270" s="1"/>
  <c r="R15" i="2270"/>
  <c r="R14" i="2270"/>
  <c r="D14" i="2270"/>
  <c r="R13" i="2270"/>
  <c r="D13" i="2270"/>
  <c r="R12" i="2270"/>
  <c r="L12" i="2270"/>
  <c r="D12" i="2270" s="1"/>
  <c r="R11" i="2270"/>
  <c r="L11" i="2270"/>
  <c r="D11" i="2270" s="1"/>
  <c r="L9" i="2270"/>
  <c r="D9" i="2270" s="1"/>
  <c r="L7" i="2270"/>
  <c r="D7" i="2270" s="1"/>
  <c r="R6" i="2270"/>
  <c r="L6" i="2270"/>
  <c r="D6" i="2270" s="1"/>
  <c r="R5" i="2270"/>
  <c r="R4" i="2270"/>
  <c r="L15" i="2270" s="1"/>
  <c r="D15" i="2270" s="1"/>
  <c r="R52" i="2269"/>
  <c r="R51" i="2269"/>
  <c r="D50" i="2269"/>
  <c r="R49" i="2269"/>
  <c r="G49" i="2269"/>
  <c r="D49" i="2269"/>
  <c r="R48" i="2269"/>
  <c r="D48" i="2269"/>
  <c r="D46" i="2269"/>
  <c r="D45" i="2269"/>
  <c r="D44" i="2269"/>
  <c r="R42" i="2269"/>
  <c r="L6" i="2269" s="1"/>
  <c r="D6" i="2269" s="1"/>
  <c r="D42" i="2269"/>
  <c r="R41" i="2269"/>
  <c r="L7" i="2269" s="1"/>
  <c r="D7" i="2269" s="1"/>
  <c r="D41" i="2269"/>
  <c r="R40" i="2269"/>
  <c r="D40" i="2269"/>
  <c r="R39" i="2269"/>
  <c r="D39" i="2269"/>
  <c r="R38" i="2269"/>
  <c r="L9" i="2269" s="1"/>
  <c r="D9" i="2269" s="1"/>
  <c r="D38" i="2269"/>
  <c r="R37" i="2269"/>
  <c r="D37" i="2269"/>
  <c r="R36" i="2269"/>
  <c r="L10" i="2269" s="1"/>
  <c r="D10" i="2269" s="1"/>
  <c r="D36" i="2269"/>
  <c r="R35" i="2269"/>
  <c r="D35" i="2269"/>
  <c r="R34" i="2269"/>
  <c r="D34" i="2269"/>
  <c r="D54" i="2269" s="1"/>
  <c r="H14" i="2269" s="1"/>
  <c r="R33" i="2269"/>
  <c r="R32" i="2269"/>
  <c r="R31" i="2269"/>
  <c r="R30" i="2269"/>
  <c r="R29" i="2269"/>
  <c r="R28" i="2269"/>
  <c r="L16" i="2269" s="1"/>
  <c r="D16" i="2269" s="1"/>
  <c r="D28" i="2269"/>
  <c r="R27" i="2269"/>
  <c r="D27" i="2269"/>
  <c r="R26" i="2269"/>
  <c r="L26" i="2269"/>
  <c r="D26" i="2269"/>
  <c r="R25" i="2269"/>
  <c r="L25" i="2269"/>
  <c r="D25" i="2269"/>
  <c r="R24" i="2269"/>
  <c r="D24" i="2269"/>
  <c r="R23" i="2269"/>
  <c r="L23" i="2269"/>
  <c r="D23" i="2269" s="1"/>
  <c r="R22" i="2269"/>
  <c r="L22" i="2269"/>
  <c r="D22" i="2269" s="1"/>
  <c r="R21" i="2269"/>
  <c r="D21" i="2269"/>
  <c r="R20" i="2269"/>
  <c r="L20" i="2269"/>
  <c r="D20" i="2269"/>
  <c r="R19" i="2269"/>
  <c r="L19" i="2269"/>
  <c r="D19" i="2269"/>
  <c r="R18" i="2269"/>
  <c r="D18" i="2269"/>
  <c r="R17" i="2269"/>
  <c r="D17" i="2269"/>
  <c r="R16" i="2269"/>
  <c r="S15" i="2269"/>
  <c r="R15" i="2269"/>
  <c r="D15" i="2269"/>
  <c r="S14" i="2269"/>
  <c r="R14" i="2269"/>
  <c r="D14" i="2269"/>
  <c r="R13" i="2269"/>
  <c r="D13" i="2269"/>
  <c r="R12" i="2269"/>
  <c r="L12" i="2269"/>
  <c r="D12" i="2269" s="1"/>
  <c r="R11" i="2269"/>
  <c r="L11" i="2269"/>
  <c r="D11" i="2269" s="1"/>
  <c r="L8" i="2269"/>
  <c r="D8" i="2269"/>
  <c r="R6" i="2269"/>
  <c r="R5" i="2269"/>
  <c r="R4" i="2269"/>
  <c r="R52" i="2268"/>
  <c r="R51" i="2268"/>
  <c r="D50" i="2268"/>
  <c r="R49" i="2268"/>
  <c r="D49" i="2268"/>
  <c r="R48" i="2268"/>
  <c r="D48" i="2268"/>
  <c r="D46" i="2268"/>
  <c r="D45" i="2268"/>
  <c r="R44" i="2268"/>
  <c r="L28" i="2268" s="1"/>
  <c r="D28" i="2268" s="1"/>
  <c r="D44" i="2268"/>
  <c r="R42" i="2268"/>
  <c r="L6" i="2268" s="1"/>
  <c r="D6" i="2268" s="1"/>
  <c r="D42" i="2268"/>
  <c r="R41" i="2268"/>
  <c r="L7" i="2268" s="1"/>
  <c r="D7" i="2268" s="1"/>
  <c r="D41" i="2268"/>
  <c r="R40" i="2268"/>
  <c r="D40" i="2268"/>
  <c r="R39" i="2268"/>
  <c r="H39" i="2268"/>
  <c r="D39" i="2268"/>
  <c r="R38" i="2268"/>
  <c r="H38" i="2268"/>
  <c r="D38" i="2268"/>
  <c r="R37" i="2268"/>
  <c r="H37" i="2268"/>
  <c r="D37" i="2268"/>
  <c r="R36" i="2268"/>
  <c r="H36" i="2268"/>
  <c r="D36" i="2268"/>
  <c r="R35" i="2268"/>
  <c r="H35" i="2268"/>
  <c r="D35" i="2268"/>
  <c r="R34" i="2268"/>
  <c r="L12" i="2268" s="1"/>
  <c r="D12" i="2268" s="1"/>
  <c r="H34" i="2268"/>
  <c r="D34" i="2268"/>
  <c r="R33" i="2268"/>
  <c r="R32" i="2268"/>
  <c r="L11" i="2268" s="1"/>
  <c r="D11" i="2268" s="1"/>
  <c r="R31" i="2268"/>
  <c r="R30" i="2268"/>
  <c r="R29" i="2268"/>
  <c r="R28" i="2268"/>
  <c r="R27" i="2268"/>
  <c r="L27" i="2268"/>
  <c r="D27" i="2268" s="1"/>
  <c r="R26" i="2268"/>
  <c r="L26" i="2268"/>
  <c r="D26" i="2268" s="1"/>
  <c r="R25" i="2268"/>
  <c r="L25" i="2268"/>
  <c r="D25" i="2268"/>
  <c r="R24" i="2268"/>
  <c r="L24" i="2268"/>
  <c r="D24" i="2268"/>
  <c r="R23" i="2268"/>
  <c r="L23" i="2268"/>
  <c r="D23" i="2268"/>
  <c r="R22" i="2268"/>
  <c r="L22" i="2268"/>
  <c r="D22" i="2268"/>
  <c r="R21" i="2268"/>
  <c r="L21" i="2268"/>
  <c r="D21" i="2268"/>
  <c r="R20" i="2268"/>
  <c r="L20" i="2268"/>
  <c r="D20" i="2268" s="1"/>
  <c r="R19" i="2268"/>
  <c r="L19" i="2268"/>
  <c r="D19" i="2268" s="1"/>
  <c r="R18" i="2268"/>
  <c r="L18" i="2268"/>
  <c r="D18" i="2268" s="1"/>
  <c r="R17" i="2268"/>
  <c r="L17" i="2268"/>
  <c r="D17" i="2268"/>
  <c r="R16" i="2268"/>
  <c r="R15" i="2268"/>
  <c r="R14" i="2268"/>
  <c r="D14" i="2268"/>
  <c r="R13" i="2268"/>
  <c r="D13" i="2268"/>
  <c r="R12" i="2268"/>
  <c r="R11" i="2268"/>
  <c r="L10" i="2268"/>
  <c r="D10" i="2268" s="1"/>
  <c r="L9" i="2268"/>
  <c r="D9" i="2268" s="1"/>
  <c r="L8" i="2268"/>
  <c r="D8" i="2268"/>
  <c r="R6" i="2268"/>
  <c r="L16" i="2268" s="1"/>
  <c r="D16" i="2268" s="1"/>
  <c r="R5" i="2268"/>
  <c r="R4" i="2268"/>
  <c r="L15" i="2268" s="1"/>
  <c r="D15" i="2268" s="1"/>
  <c r="R52" i="2267"/>
  <c r="R51" i="2267"/>
  <c r="D50" i="2267"/>
  <c r="R49" i="2267"/>
  <c r="D49" i="2267"/>
  <c r="R48" i="2267"/>
  <c r="D48" i="2267"/>
  <c r="D46" i="2267"/>
  <c r="D45" i="2267"/>
  <c r="R44" i="2267"/>
  <c r="D44" i="2267"/>
  <c r="R42" i="2267"/>
  <c r="L6" i="2267" s="1"/>
  <c r="D6" i="2267" s="1"/>
  <c r="D42" i="2267"/>
  <c r="R41" i="2267"/>
  <c r="D41" i="2267"/>
  <c r="R40" i="2267"/>
  <c r="D40" i="2267"/>
  <c r="R39" i="2267"/>
  <c r="H39" i="2267"/>
  <c r="D39" i="2267"/>
  <c r="R38" i="2267"/>
  <c r="H38" i="2267"/>
  <c r="D38" i="2267"/>
  <c r="R37" i="2267"/>
  <c r="H37" i="2267"/>
  <c r="D37" i="2267"/>
  <c r="R36" i="2267"/>
  <c r="H36" i="2267"/>
  <c r="D36" i="2267"/>
  <c r="R35" i="2267"/>
  <c r="H35" i="2267"/>
  <c r="D35" i="2267"/>
  <c r="R34" i="2267"/>
  <c r="H34" i="2267"/>
  <c r="G49" i="2267" s="1"/>
  <c r="D34" i="2267"/>
  <c r="R33" i="2267"/>
  <c r="R32" i="2267"/>
  <c r="R31" i="2267"/>
  <c r="R30" i="2267"/>
  <c r="R29" i="2267"/>
  <c r="R28" i="2267"/>
  <c r="L28" i="2267"/>
  <c r="D28" i="2267" s="1"/>
  <c r="R27" i="2267"/>
  <c r="L27" i="2267"/>
  <c r="D27" i="2267"/>
  <c r="R26" i="2267"/>
  <c r="L26" i="2267"/>
  <c r="D26" i="2267" s="1"/>
  <c r="R25" i="2267"/>
  <c r="L25" i="2267"/>
  <c r="D25" i="2267"/>
  <c r="R24" i="2267"/>
  <c r="L24" i="2267"/>
  <c r="D24" i="2267"/>
  <c r="R23" i="2267"/>
  <c r="L23" i="2267"/>
  <c r="D23" i="2267"/>
  <c r="R22" i="2267"/>
  <c r="L20" i="2267" s="1"/>
  <c r="D20" i="2267" s="1"/>
  <c r="L22" i="2267"/>
  <c r="D22" i="2267" s="1"/>
  <c r="R21" i="2267"/>
  <c r="D21" i="2267"/>
  <c r="R20" i="2267"/>
  <c r="R19" i="2267"/>
  <c r="L19" i="2267"/>
  <c r="D19" i="2267" s="1"/>
  <c r="R18" i="2267"/>
  <c r="L18" i="2267"/>
  <c r="D18" i="2267" s="1"/>
  <c r="R17" i="2267"/>
  <c r="L17" i="2267"/>
  <c r="D17" i="2267" s="1"/>
  <c r="R16" i="2267"/>
  <c r="R15" i="2267"/>
  <c r="R14" i="2267"/>
  <c r="L14" i="2267"/>
  <c r="D14" i="2267" s="1"/>
  <c r="R13" i="2267"/>
  <c r="D13" i="2267"/>
  <c r="R12" i="2267"/>
  <c r="L12" i="2267"/>
  <c r="D12" i="2267" s="1"/>
  <c r="R11" i="2267"/>
  <c r="L11" i="2267"/>
  <c r="D11" i="2267"/>
  <c r="L10" i="2267"/>
  <c r="D10" i="2267" s="1"/>
  <c r="L9" i="2267"/>
  <c r="D9" i="2267"/>
  <c r="L8" i="2267"/>
  <c r="D8" i="2267" s="1"/>
  <c r="L7" i="2267"/>
  <c r="D7" i="2267"/>
  <c r="R6" i="2267"/>
  <c r="L16" i="2267" s="1"/>
  <c r="D16" i="2267" s="1"/>
  <c r="R5" i="2267"/>
  <c r="R4" i="2267"/>
  <c r="L15" i="2267" s="1"/>
  <c r="D15" i="2267" s="1"/>
  <c r="V68" i="2266"/>
  <c r="R52" i="2266"/>
  <c r="R51" i="2266"/>
  <c r="D50" i="2266"/>
  <c r="R49" i="2266"/>
  <c r="D49" i="2266"/>
  <c r="R48" i="2266"/>
  <c r="D48" i="2266"/>
  <c r="D46" i="2266"/>
  <c r="D45" i="2266"/>
  <c r="R44" i="2266"/>
  <c r="L28" i="2266" s="1"/>
  <c r="D28" i="2266" s="1"/>
  <c r="D44" i="2266"/>
  <c r="R42" i="2266"/>
  <c r="D42" i="2266"/>
  <c r="R41" i="2266"/>
  <c r="D41" i="2266"/>
  <c r="R40" i="2266"/>
  <c r="L8" i="2266" s="1"/>
  <c r="D8" i="2266" s="1"/>
  <c r="D40" i="2266"/>
  <c r="R39" i="2266"/>
  <c r="H39" i="2266"/>
  <c r="D39" i="2266"/>
  <c r="R38" i="2266"/>
  <c r="L9" i="2266" s="1"/>
  <c r="D9" i="2266" s="1"/>
  <c r="H38" i="2266"/>
  <c r="D38" i="2266"/>
  <c r="R37" i="2266"/>
  <c r="H37" i="2266"/>
  <c r="D37" i="2266"/>
  <c r="R36" i="2266"/>
  <c r="H36" i="2266"/>
  <c r="D36" i="2266"/>
  <c r="R35" i="2266"/>
  <c r="H35" i="2266"/>
  <c r="D35" i="2266"/>
  <c r="R34" i="2266"/>
  <c r="L12" i="2266" s="1"/>
  <c r="D12" i="2266" s="1"/>
  <c r="H34" i="2266"/>
  <c r="G49" i="2266" s="1"/>
  <c r="D34" i="2266"/>
  <c r="D54" i="2266" s="1"/>
  <c r="H14" i="2266" s="1"/>
  <c r="R33" i="2266"/>
  <c r="R32" i="2266"/>
  <c r="R31" i="2266"/>
  <c r="R30" i="2266"/>
  <c r="R29" i="2266"/>
  <c r="R28" i="2266"/>
  <c r="R27" i="2266"/>
  <c r="L27" i="2266"/>
  <c r="D27" i="2266"/>
  <c r="R26" i="2266"/>
  <c r="L26" i="2266"/>
  <c r="D26" i="2266" s="1"/>
  <c r="R25" i="2266"/>
  <c r="L25" i="2266"/>
  <c r="D25" i="2266" s="1"/>
  <c r="R24" i="2266"/>
  <c r="L24" i="2266"/>
  <c r="D24" i="2266"/>
  <c r="R23" i="2266"/>
  <c r="L23" i="2266"/>
  <c r="D23" i="2266" s="1"/>
  <c r="R22" i="2266"/>
  <c r="L20" i="2266" s="1"/>
  <c r="D20" i="2266" s="1"/>
  <c r="L22" i="2266"/>
  <c r="D22" i="2266"/>
  <c r="R21" i="2266"/>
  <c r="L17" i="2266" s="1"/>
  <c r="D17" i="2266" s="1"/>
  <c r="L21" i="2266"/>
  <c r="D21" i="2266"/>
  <c r="R20" i="2266"/>
  <c r="R19" i="2266"/>
  <c r="L19" i="2266"/>
  <c r="D19" i="2266"/>
  <c r="R18" i="2266"/>
  <c r="L18" i="2266"/>
  <c r="D18" i="2266"/>
  <c r="R17" i="2266"/>
  <c r="R16" i="2266"/>
  <c r="L16" i="2266"/>
  <c r="D16" i="2266"/>
  <c r="R15" i="2266"/>
  <c r="L15" i="2266"/>
  <c r="D15" i="2266" s="1"/>
  <c r="R14" i="2266"/>
  <c r="D14" i="2266"/>
  <c r="R13" i="2266"/>
  <c r="D13" i="2266"/>
  <c r="R12" i="2266"/>
  <c r="R11" i="2266"/>
  <c r="L11" i="2266"/>
  <c r="D11" i="2266"/>
  <c r="L10" i="2266"/>
  <c r="D10" i="2266" s="1"/>
  <c r="L7" i="2266"/>
  <c r="D7" i="2266"/>
  <c r="R6" i="2266"/>
  <c r="L6" i="2266"/>
  <c r="D6" i="2266" s="1"/>
  <c r="R5" i="2266"/>
  <c r="R4" i="2266"/>
  <c r="R52" i="2265"/>
  <c r="R51" i="2265"/>
  <c r="D50" i="2265"/>
  <c r="R49" i="2265"/>
  <c r="G49" i="2265"/>
  <c r="D49" i="2265"/>
  <c r="R48" i="2265"/>
  <c r="D48" i="2265"/>
  <c r="D46" i="2265"/>
  <c r="D45" i="2265"/>
  <c r="D44" i="2265"/>
  <c r="R42" i="2265"/>
  <c r="D42" i="2265"/>
  <c r="R41" i="2265"/>
  <c r="L7" i="2265" s="1"/>
  <c r="D7" i="2265" s="1"/>
  <c r="D41" i="2265"/>
  <c r="R40" i="2265"/>
  <c r="L8" i="2265" s="1"/>
  <c r="D8" i="2265" s="1"/>
  <c r="D40" i="2265"/>
  <c r="R39" i="2265"/>
  <c r="D39" i="2265"/>
  <c r="R38" i="2265"/>
  <c r="D38" i="2265"/>
  <c r="R37" i="2265"/>
  <c r="D37" i="2265"/>
  <c r="R36" i="2265"/>
  <c r="L10" i="2265" s="1"/>
  <c r="D10" i="2265" s="1"/>
  <c r="D36" i="2265"/>
  <c r="D54" i="2265" s="1"/>
  <c r="H14" i="2265" s="1"/>
  <c r="R35" i="2265"/>
  <c r="D35" i="2265"/>
  <c r="R34" i="2265"/>
  <c r="D34" i="2265"/>
  <c r="R33" i="2265"/>
  <c r="R32" i="2265"/>
  <c r="L11" i="2265" s="1"/>
  <c r="D11" i="2265" s="1"/>
  <c r="R31" i="2265"/>
  <c r="R30" i="2265"/>
  <c r="R29" i="2265"/>
  <c r="R28" i="2265"/>
  <c r="L16" i="2265" s="1"/>
  <c r="D16" i="2265" s="1"/>
  <c r="D28" i="2265"/>
  <c r="R27" i="2265"/>
  <c r="D27" i="2265"/>
  <c r="R26" i="2265"/>
  <c r="L26" i="2265"/>
  <c r="D26" i="2265"/>
  <c r="R25" i="2265"/>
  <c r="L25" i="2265"/>
  <c r="D25" i="2265"/>
  <c r="R24" i="2265"/>
  <c r="D24" i="2265"/>
  <c r="R23" i="2265"/>
  <c r="L23" i="2265"/>
  <c r="D23" i="2265" s="1"/>
  <c r="R22" i="2265"/>
  <c r="L22" i="2265"/>
  <c r="D22" i="2265" s="1"/>
  <c r="R21" i="2265"/>
  <c r="D21" i="2265"/>
  <c r="R20" i="2265"/>
  <c r="L20" i="2265"/>
  <c r="D20" i="2265"/>
  <c r="R19" i="2265"/>
  <c r="L19" i="2265"/>
  <c r="D19" i="2265"/>
  <c r="R18" i="2265"/>
  <c r="D18" i="2265"/>
  <c r="R17" i="2265"/>
  <c r="D17" i="2265"/>
  <c r="R16" i="2265"/>
  <c r="S15" i="2265"/>
  <c r="R15" i="2265"/>
  <c r="D15" i="2265"/>
  <c r="S14" i="2265"/>
  <c r="R14" i="2265"/>
  <c r="D14" i="2265"/>
  <c r="R13" i="2265"/>
  <c r="D13" i="2265"/>
  <c r="R12" i="2265"/>
  <c r="L12" i="2265"/>
  <c r="D12" i="2265" s="1"/>
  <c r="R11" i="2265"/>
  <c r="L9" i="2265"/>
  <c r="D9" i="2265" s="1"/>
  <c r="R6" i="2265"/>
  <c r="L6" i="2265"/>
  <c r="D6" i="2265" s="1"/>
  <c r="R5" i="2265"/>
  <c r="R4" i="2265"/>
  <c r="R52" i="2264"/>
  <c r="R51" i="2264"/>
  <c r="D50" i="2264"/>
  <c r="R49" i="2264"/>
  <c r="D49" i="2264"/>
  <c r="R48" i="2264"/>
  <c r="D48" i="2264"/>
  <c r="D46" i="2264"/>
  <c r="D45" i="2264"/>
  <c r="R44" i="2264"/>
  <c r="D44" i="2264"/>
  <c r="R42" i="2264"/>
  <c r="L6" i="2264" s="1"/>
  <c r="D6" i="2264" s="1"/>
  <c r="D42" i="2264"/>
  <c r="R41" i="2264"/>
  <c r="L7" i="2264" s="1"/>
  <c r="D7" i="2264" s="1"/>
  <c r="D41" i="2264"/>
  <c r="R40" i="2264"/>
  <c r="D40" i="2264"/>
  <c r="R39" i="2264"/>
  <c r="H39" i="2264"/>
  <c r="D39" i="2264"/>
  <c r="R38" i="2264"/>
  <c r="L9" i="2264" s="1"/>
  <c r="D9" i="2264" s="1"/>
  <c r="H38" i="2264"/>
  <c r="D38" i="2264"/>
  <c r="R37" i="2264"/>
  <c r="H37" i="2264"/>
  <c r="D37" i="2264"/>
  <c r="R36" i="2264"/>
  <c r="H36" i="2264"/>
  <c r="D36" i="2264"/>
  <c r="R35" i="2264"/>
  <c r="L18" i="2264" s="1"/>
  <c r="D18" i="2264" s="1"/>
  <c r="H35" i="2264"/>
  <c r="D35" i="2264"/>
  <c r="R34" i="2264"/>
  <c r="H34" i="2264"/>
  <c r="D34" i="2264"/>
  <c r="R33" i="2264"/>
  <c r="R32" i="2264"/>
  <c r="L11" i="2264" s="1"/>
  <c r="D11" i="2264" s="1"/>
  <c r="R31" i="2264"/>
  <c r="R30" i="2264"/>
  <c r="R29" i="2264"/>
  <c r="R28" i="2264"/>
  <c r="L28" i="2264"/>
  <c r="D28" i="2264"/>
  <c r="R27" i="2264"/>
  <c r="L27" i="2264"/>
  <c r="D27" i="2264" s="1"/>
  <c r="R26" i="2264"/>
  <c r="L26" i="2264"/>
  <c r="D26" i="2264" s="1"/>
  <c r="R25" i="2264"/>
  <c r="L25" i="2264"/>
  <c r="D25" i="2264"/>
  <c r="R24" i="2264"/>
  <c r="L24" i="2264"/>
  <c r="D24" i="2264"/>
  <c r="R23" i="2264"/>
  <c r="L23" i="2264"/>
  <c r="D23" i="2264"/>
  <c r="R22" i="2264"/>
  <c r="L20" i="2264" s="1"/>
  <c r="D20" i="2264" s="1"/>
  <c r="L22" i="2264"/>
  <c r="D22" i="2264"/>
  <c r="R21" i="2264"/>
  <c r="L21" i="2264"/>
  <c r="D21" i="2264"/>
  <c r="R20" i="2264"/>
  <c r="R19" i="2264"/>
  <c r="L19" i="2264"/>
  <c r="D19" i="2264" s="1"/>
  <c r="R18" i="2264"/>
  <c r="R17" i="2264"/>
  <c r="L17" i="2264"/>
  <c r="D17" i="2264"/>
  <c r="R16" i="2264"/>
  <c r="R15" i="2264"/>
  <c r="R14" i="2264"/>
  <c r="D14" i="2264"/>
  <c r="R13" i="2264"/>
  <c r="D13" i="2264"/>
  <c r="R12" i="2264"/>
  <c r="L12" i="2264"/>
  <c r="D12" i="2264"/>
  <c r="R11" i="2264"/>
  <c r="L10" i="2264"/>
  <c r="D10" i="2264" s="1"/>
  <c r="L8" i="2264"/>
  <c r="D8" i="2264"/>
  <c r="R6" i="2264"/>
  <c r="L16" i="2264" s="1"/>
  <c r="D16" i="2264" s="1"/>
  <c r="R5" i="2264"/>
  <c r="R4" i="2264"/>
  <c r="L15" i="2264" s="1"/>
  <c r="D15" i="2264" s="1"/>
  <c r="R52" i="2263"/>
  <c r="R51" i="2263"/>
  <c r="D50" i="2263"/>
  <c r="R49" i="2263"/>
  <c r="D49" i="2263"/>
  <c r="R48" i="2263"/>
  <c r="D48" i="2263"/>
  <c r="D46" i="2263"/>
  <c r="D45" i="2263"/>
  <c r="R44" i="2263"/>
  <c r="L28" i="2263" s="1"/>
  <c r="D28" i="2263" s="1"/>
  <c r="D44" i="2263"/>
  <c r="R42" i="2263"/>
  <c r="L6" i="2263" s="1"/>
  <c r="D6" i="2263" s="1"/>
  <c r="D42" i="2263"/>
  <c r="R41" i="2263"/>
  <c r="D41" i="2263"/>
  <c r="R40" i="2263"/>
  <c r="L8" i="2263" s="1"/>
  <c r="D8" i="2263" s="1"/>
  <c r="D40" i="2263"/>
  <c r="R39" i="2263"/>
  <c r="H39" i="2263"/>
  <c r="D39" i="2263"/>
  <c r="R38" i="2263"/>
  <c r="H38" i="2263"/>
  <c r="D38" i="2263"/>
  <c r="R37" i="2263"/>
  <c r="H37" i="2263"/>
  <c r="D37" i="2263"/>
  <c r="R36" i="2263"/>
  <c r="H36" i="2263"/>
  <c r="D36" i="2263"/>
  <c r="R35" i="2263"/>
  <c r="H35" i="2263"/>
  <c r="D35" i="2263"/>
  <c r="R34" i="2263"/>
  <c r="H34" i="2263"/>
  <c r="D34" i="2263"/>
  <c r="R33" i="2263"/>
  <c r="R32" i="2263"/>
  <c r="R31" i="2263"/>
  <c r="R30" i="2263"/>
  <c r="R29" i="2263"/>
  <c r="R28" i="2263"/>
  <c r="R27" i="2263"/>
  <c r="L27" i="2263"/>
  <c r="D27" i="2263"/>
  <c r="R26" i="2263"/>
  <c r="L26" i="2263"/>
  <c r="D26" i="2263" s="1"/>
  <c r="R25" i="2263"/>
  <c r="L25" i="2263"/>
  <c r="D25" i="2263"/>
  <c r="R24" i="2263"/>
  <c r="L24" i="2263"/>
  <c r="D24" i="2263"/>
  <c r="R23" i="2263"/>
  <c r="L23" i="2263"/>
  <c r="D23" i="2263"/>
  <c r="R22" i="2263"/>
  <c r="L20" i="2263" s="1"/>
  <c r="D20" i="2263" s="1"/>
  <c r="L22" i="2263"/>
  <c r="D22" i="2263"/>
  <c r="R21" i="2263"/>
  <c r="L17" i="2263" s="1"/>
  <c r="D17" i="2263" s="1"/>
  <c r="D21" i="2263"/>
  <c r="R20" i="2263"/>
  <c r="R19" i="2263"/>
  <c r="L19" i="2263"/>
  <c r="D19" i="2263"/>
  <c r="R18" i="2263"/>
  <c r="L18" i="2263"/>
  <c r="D18" i="2263"/>
  <c r="R17" i="2263"/>
  <c r="R16" i="2263"/>
  <c r="R15" i="2263"/>
  <c r="R14" i="2263"/>
  <c r="L14" i="2263"/>
  <c r="D14" i="2263"/>
  <c r="R13" i="2263"/>
  <c r="D13" i="2263"/>
  <c r="R12" i="2263"/>
  <c r="L12" i="2263"/>
  <c r="D12" i="2263"/>
  <c r="R11" i="2263"/>
  <c r="L11" i="2263"/>
  <c r="D11" i="2263" s="1"/>
  <c r="L10" i="2263"/>
  <c r="D10" i="2263" s="1"/>
  <c r="L9" i="2263"/>
  <c r="D9" i="2263" s="1"/>
  <c r="L7" i="2263"/>
  <c r="D7" i="2263"/>
  <c r="R6" i="2263"/>
  <c r="L16" i="2263" s="1"/>
  <c r="D16" i="2263" s="1"/>
  <c r="R5" i="2263"/>
  <c r="R4" i="2263"/>
  <c r="L15" i="2263" s="1"/>
  <c r="D15" i="2263" s="1"/>
  <c r="V68" i="2262"/>
  <c r="R52" i="2262"/>
  <c r="R51" i="2262"/>
  <c r="D50" i="2262"/>
  <c r="R49" i="2262"/>
  <c r="D49" i="2262"/>
  <c r="R48" i="2262"/>
  <c r="D48" i="2262"/>
  <c r="D46" i="2262"/>
  <c r="D45" i="2262"/>
  <c r="R44" i="2262"/>
  <c r="L28" i="2262" s="1"/>
  <c r="D28" i="2262" s="1"/>
  <c r="D44" i="2262"/>
  <c r="R42" i="2262"/>
  <c r="D42" i="2262"/>
  <c r="R41" i="2262"/>
  <c r="D41" i="2262"/>
  <c r="R40" i="2262"/>
  <c r="D40" i="2262"/>
  <c r="R39" i="2262"/>
  <c r="H39" i="2262"/>
  <c r="D39" i="2262"/>
  <c r="R38" i="2262"/>
  <c r="H38" i="2262"/>
  <c r="D38" i="2262"/>
  <c r="R37" i="2262"/>
  <c r="H37" i="2262"/>
  <c r="D37" i="2262"/>
  <c r="R36" i="2262"/>
  <c r="L10" i="2262" s="1"/>
  <c r="D10" i="2262" s="1"/>
  <c r="H36" i="2262"/>
  <c r="D36" i="2262"/>
  <c r="R35" i="2262"/>
  <c r="H35" i="2262"/>
  <c r="D35" i="2262"/>
  <c r="R34" i="2262"/>
  <c r="L12" i="2262" s="1"/>
  <c r="D12" i="2262" s="1"/>
  <c r="H34" i="2262"/>
  <c r="D34" i="2262"/>
  <c r="R33" i="2262"/>
  <c r="R32" i="2262"/>
  <c r="R31" i="2262"/>
  <c r="R30" i="2262"/>
  <c r="R29" i="2262"/>
  <c r="R28" i="2262"/>
  <c r="R27" i="2262"/>
  <c r="L27" i="2262"/>
  <c r="D27" i="2262" s="1"/>
  <c r="R26" i="2262"/>
  <c r="L26" i="2262"/>
  <c r="D26" i="2262" s="1"/>
  <c r="R25" i="2262"/>
  <c r="L25" i="2262"/>
  <c r="D25" i="2262"/>
  <c r="R24" i="2262"/>
  <c r="L24" i="2262"/>
  <c r="D24" i="2262"/>
  <c r="R23" i="2262"/>
  <c r="L23" i="2262"/>
  <c r="D23" i="2262" s="1"/>
  <c r="R22" i="2262"/>
  <c r="L22" i="2262"/>
  <c r="D22" i="2262"/>
  <c r="R21" i="2262"/>
  <c r="L17" i="2262" s="1"/>
  <c r="D17" i="2262" s="1"/>
  <c r="L21" i="2262"/>
  <c r="D21" i="2262"/>
  <c r="R20" i="2262"/>
  <c r="L20" i="2262"/>
  <c r="D20" i="2262"/>
  <c r="R19" i="2262"/>
  <c r="L19" i="2262"/>
  <c r="D19" i="2262"/>
  <c r="R18" i="2262"/>
  <c r="L18" i="2262"/>
  <c r="D18" i="2262"/>
  <c r="R17" i="2262"/>
  <c r="R16" i="2262"/>
  <c r="R15" i="2262"/>
  <c r="R14" i="2262"/>
  <c r="D14" i="2262"/>
  <c r="R13" i="2262"/>
  <c r="D13" i="2262"/>
  <c r="R12" i="2262"/>
  <c r="R11" i="2262"/>
  <c r="L11" i="2262"/>
  <c r="D11" i="2262" s="1"/>
  <c r="L9" i="2262"/>
  <c r="D9" i="2262"/>
  <c r="L8" i="2262"/>
  <c r="D8" i="2262" s="1"/>
  <c r="L7" i="2262"/>
  <c r="D7" i="2262"/>
  <c r="R6" i="2262"/>
  <c r="L16" i="2262" s="1"/>
  <c r="D16" i="2262" s="1"/>
  <c r="L6" i="2262"/>
  <c r="D6" i="2262" s="1"/>
  <c r="R5" i="2262"/>
  <c r="R4" i="2262"/>
  <c r="L15" i="2262" s="1"/>
  <c r="D15" i="2262" s="1"/>
  <c r="R52" i="2261"/>
  <c r="R51" i="2261"/>
  <c r="D50" i="2261"/>
  <c r="R49" i="2261"/>
  <c r="G49" i="2261"/>
  <c r="D49" i="2261"/>
  <c r="R48" i="2261"/>
  <c r="D48" i="2261"/>
  <c r="D46" i="2261"/>
  <c r="D45" i="2261"/>
  <c r="D44" i="2261"/>
  <c r="R42" i="2261"/>
  <c r="L6" i="2261" s="1"/>
  <c r="D6" i="2261" s="1"/>
  <c r="D42" i="2261"/>
  <c r="R41" i="2261"/>
  <c r="L7" i="2261" s="1"/>
  <c r="D7" i="2261" s="1"/>
  <c r="D41" i="2261"/>
  <c r="R40" i="2261"/>
  <c r="D40" i="2261"/>
  <c r="R39" i="2261"/>
  <c r="D39" i="2261"/>
  <c r="R38" i="2261"/>
  <c r="D38" i="2261"/>
  <c r="R37" i="2261"/>
  <c r="D37" i="2261"/>
  <c r="R36" i="2261"/>
  <c r="D36" i="2261"/>
  <c r="R35" i="2261"/>
  <c r="L19" i="2261" s="1"/>
  <c r="D19" i="2261" s="1"/>
  <c r="D35" i="2261"/>
  <c r="R34" i="2261"/>
  <c r="L12" i="2261" s="1"/>
  <c r="D12" i="2261" s="1"/>
  <c r="D34" i="2261"/>
  <c r="D54" i="2261" s="1"/>
  <c r="H14" i="2261" s="1"/>
  <c r="R33" i="2261"/>
  <c r="L23" i="2261" s="1"/>
  <c r="D23" i="2261" s="1"/>
  <c r="R32" i="2261"/>
  <c r="R31" i="2261"/>
  <c r="R30" i="2261"/>
  <c r="R29" i="2261"/>
  <c r="R28" i="2261"/>
  <c r="D28" i="2261"/>
  <c r="R27" i="2261"/>
  <c r="D27" i="2261"/>
  <c r="R26" i="2261"/>
  <c r="L26" i="2261"/>
  <c r="D26" i="2261" s="1"/>
  <c r="R25" i="2261"/>
  <c r="L25" i="2261"/>
  <c r="D25" i="2261"/>
  <c r="R24" i="2261"/>
  <c r="D24" i="2261"/>
  <c r="R23" i="2261"/>
  <c r="R22" i="2261"/>
  <c r="L22" i="2261"/>
  <c r="D22" i="2261"/>
  <c r="R21" i="2261"/>
  <c r="D21" i="2261"/>
  <c r="R20" i="2261"/>
  <c r="L20" i="2261"/>
  <c r="D20" i="2261" s="1"/>
  <c r="R19" i="2261"/>
  <c r="R18" i="2261"/>
  <c r="D18" i="2261"/>
  <c r="R17" i="2261"/>
  <c r="D17" i="2261"/>
  <c r="R16" i="2261"/>
  <c r="L16" i="2261"/>
  <c r="D16" i="2261" s="1"/>
  <c r="S15" i="2261"/>
  <c r="R15" i="2261"/>
  <c r="D15" i="2261"/>
  <c r="S14" i="2261"/>
  <c r="R14" i="2261"/>
  <c r="D14" i="2261"/>
  <c r="R13" i="2261"/>
  <c r="D13" i="2261"/>
  <c r="R12" i="2261"/>
  <c r="R11" i="2261"/>
  <c r="L11" i="2261"/>
  <c r="D11" i="2261"/>
  <c r="L10" i="2261"/>
  <c r="D10" i="2261" s="1"/>
  <c r="L9" i="2261"/>
  <c r="D9" i="2261"/>
  <c r="L8" i="2261"/>
  <c r="D8" i="2261"/>
  <c r="R6" i="2261"/>
  <c r="R5" i="2261"/>
  <c r="R4" i="2261"/>
  <c r="R52" i="2260"/>
  <c r="R51" i="2260"/>
  <c r="D50" i="2260"/>
  <c r="R49" i="2260"/>
  <c r="D49" i="2260"/>
  <c r="R48" i="2260"/>
  <c r="D48" i="2260"/>
  <c r="D46" i="2260"/>
  <c r="D45" i="2260"/>
  <c r="R44" i="2260"/>
  <c r="D44" i="2260"/>
  <c r="R42" i="2260"/>
  <c r="L6" i="2260" s="1"/>
  <c r="D6" i="2260" s="1"/>
  <c r="D42" i="2260"/>
  <c r="R41" i="2260"/>
  <c r="D41" i="2260"/>
  <c r="R40" i="2260"/>
  <c r="D40" i="2260"/>
  <c r="R39" i="2260"/>
  <c r="H39" i="2260"/>
  <c r="D39" i="2260"/>
  <c r="R38" i="2260"/>
  <c r="H38" i="2260"/>
  <c r="D38" i="2260"/>
  <c r="R37" i="2260"/>
  <c r="H37" i="2260"/>
  <c r="D37" i="2260"/>
  <c r="R36" i="2260"/>
  <c r="L10" i="2260" s="1"/>
  <c r="D10" i="2260" s="1"/>
  <c r="H36" i="2260"/>
  <c r="D36" i="2260"/>
  <c r="R35" i="2260"/>
  <c r="L18" i="2260" s="1"/>
  <c r="D18" i="2260" s="1"/>
  <c r="H35" i="2260"/>
  <c r="D35" i="2260"/>
  <c r="R34" i="2260"/>
  <c r="L12" i="2260" s="1"/>
  <c r="D12" i="2260" s="1"/>
  <c r="H34" i="2260"/>
  <c r="D34" i="2260"/>
  <c r="R33" i="2260"/>
  <c r="L19" i="2260" s="1"/>
  <c r="D19" i="2260" s="1"/>
  <c r="R32" i="2260"/>
  <c r="R31" i="2260"/>
  <c r="R30" i="2260"/>
  <c r="R29" i="2260"/>
  <c r="R28" i="2260"/>
  <c r="L28" i="2260"/>
  <c r="D28" i="2260" s="1"/>
  <c r="R27" i="2260"/>
  <c r="L27" i="2260"/>
  <c r="D27" i="2260"/>
  <c r="R26" i="2260"/>
  <c r="L26" i="2260"/>
  <c r="D26" i="2260"/>
  <c r="R25" i="2260"/>
  <c r="L25" i="2260"/>
  <c r="D25" i="2260"/>
  <c r="R24" i="2260"/>
  <c r="L24" i="2260"/>
  <c r="D24" i="2260"/>
  <c r="R23" i="2260"/>
  <c r="L23" i="2260"/>
  <c r="D23" i="2260"/>
  <c r="R22" i="2260"/>
  <c r="L22" i="2260"/>
  <c r="D22" i="2260" s="1"/>
  <c r="R21" i="2260"/>
  <c r="L17" i="2260" s="1"/>
  <c r="D17" i="2260" s="1"/>
  <c r="L21" i="2260"/>
  <c r="D21" i="2260" s="1"/>
  <c r="R20" i="2260"/>
  <c r="L20" i="2260"/>
  <c r="D20" i="2260" s="1"/>
  <c r="R19" i="2260"/>
  <c r="R18" i="2260"/>
  <c r="R17" i="2260"/>
  <c r="R16" i="2260"/>
  <c r="L16" i="2260"/>
  <c r="D16" i="2260"/>
  <c r="R15" i="2260"/>
  <c r="R14" i="2260"/>
  <c r="D14" i="2260"/>
  <c r="R13" i="2260"/>
  <c r="D13" i="2260"/>
  <c r="R12" i="2260"/>
  <c r="R11" i="2260"/>
  <c r="L11" i="2260"/>
  <c r="D11" i="2260"/>
  <c r="L9" i="2260"/>
  <c r="D9" i="2260" s="1"/>
  <c r="L8" i="2260"/>
  <c r="D8" i="2260" s="1"/>
  <c r="L7" i="2260"/>
  <c r="D7" i="2260"/>
  <c r="R6" i="2260"/>
  <c r="R5" i="2260"/>
  <c r="R4" i="2260"/>
  <c r="L15" i="2260" s="1"/>
  <c r="D15" i="2260" s="1"/>
  <c r="R52" i="2259"/>
  <c r="R51" i="2259"/>
  <c r="D50" i="2259"/>
  <c r="R49" i="2259"/>
  <c r="D49" i="2259"/>
  <c r="R48" i="2259"/>
  <c r="D48" i="2259"/>
  <c r="D46" i="2259"/>
  <c r="D45" i="2259"/>
  <c r="R44" i="2259"/>
  <c r="L28" i="2259" s="1"/>
  <c r="D28" i="2259" s="1"/>
  <c r="D44" i="2259"/>
  <c r="R42" i="2259"/>
  <c r="D42" i="2259"/>
  <c r="R41" i="2259"/>
  <c r="D41" i="2259"/>
  <c r="R40" i="2259"/>
  <c r="D40" i="2259"/>
  <c r="R39" i="2259"/>
  <c r="H39" i="2259"/>
  <c r="D39" i="2259"/>
  <c r="R38" i="2259"/>
  <c r="L9" i="2259" s="1"/>
  <c r="D9" i="2259" s="1"/>
  <c r="H38" i="2259"/>
  <c r="D38" i="2259"/>
  <c r="R37" i="2259"/>
  <c r="H37" i="2259"/>
  <c r="D37" i="2259"/>
  <c r="R36" i="2259"/>
  <c r="L10" i="2259" s="1"/>
  <c r="D10" i="2259" s="1"/>
  <c r="H36" i="2259"/>
  <c r="D36" i="2259"/>
  <c r="R35" i="2259"/>
  <c r="H35" i="2259"/>
  <c r="D35" i="2259"/>
  <c r="R34" i="2259"/>
  <c r="L12" i="2259" s="1"/>
  <c r="D12" i="2259" s="1"/>
  <c r="H34" i="2259"/>
  <c r="D34" i="2259"/>
  <c r="R33" i="2259"/>
  <c r="R32" i="2259"/>
  <c r="L11" i="2259" s="1"/>
  <c r="D11" i="2259" s="1"/>
  <c r="R31" i="2259"/>
  <c r="R30" i="2259"/>
  <c r="R29" i="2259"/>
  <c r="R28" i="2259"/>
  <c r="R27" i="2259"/>
  <c r="L27" i="2259"/>
  <c r="D27" i="2259" s="1"/>
  <c r="R26" i="2259"/>
  <c r="L26" i="2259"/>
  <c r="D26" i="2259"/>
  <c r="R25" i="2259"/>
  <c r="L25" i="2259"/>
  <c r="D25" i="2259"/>
  <c r="R24" i="2259"/>
  <c r="L24" i="2259"/>
  <c r="D24" i="2259"/>
  <c r="R23" i="2259"/>
  <c r="L23" i="2259"/>
  <c r="D23" i="2259" s="1"/>
  <c r="R22" i="2259"/>
  <c r="L22" i="2259"/>
  <c r="D22" i="2259"/>
  <c r="R21" i="2259"/>
  <c r="D21" i="2259"/>
  <c r="R20" i="2259"/>
  <c r="L20" i="2259"/>
  <c r="D20" i="2259"/>
  <c r="R19" i="2259"/>
  <c r="L19" i="2259"/>
  <c r="D19" i="2259" s="1"/>
  <c r="R18" i="2259"/>
  <c r="L18" i="2259"/>
  <c r="D18" i="2259"/>
  <c r="R17" i="2259"/>
  <c r="L17" i="2259"/>
  <c r="D17" i="2259" s="1"/>
  <c r="R16" i="2259"/>
  <c r="R15" i="2259"/>
  <c r="L15" i="2259"/>
  <c r="D15" i="2259"/>
  <c r="R14" i="2259"/>
  <c r="L14" i="2259"/>
  <c r="D14" i="2259"/>
  <c r="R13" i="2259"/>
  <c r="D13" i="2259"/>
  <c r="R12" i="2259"/>
  <c r="R11" i="2259"/>
  <c r="L8" i="2259"/>
  <c r="D8" i="2259" s="1"/>
  <c r="L7" i="2259"/>
  <c r="D7" i="2259"/>
  <c r="R6" i="2259"/>
  <c r="L16" i="2259" s="1"/>
  <c r="D16" i="2259" s="1"/>
  <c r="L6" i="2259"/>
  <c r="D6" i="2259" s="1"/>
  <c r="R5" i="2259"/>
  <c r="R4" i="2259"/>
  <c r="V68" i="2258"/>
  <c r="R52" i="2258"/>
  <c r="R51" i="2258"/>
  <c r="D50" i="2258"/>
  <c r="R49" i="2258"/>
  <c r="D49" i="2258"/>
  <c r="R48" i="2258"/>
  <c r="D48" i="2258"/>
  <c r="D46" i="2258"/>
  <c r="D45" i="2258"/>
  <c r="R44" i="2258"/>
  <c r="D44" i="2258"/>
  <c r="R42" i="2258"/>
  <c r="L6" i="2258" s="1"/>
  <c r="D6" i="2258" s="1"/>
  <c r="D42" i="2258"/>
  <c r="R41" i="2258"/>
  <c r="D41" i="2258"/>
  <c r="R40" i="2258"/>
  <c r="L8" i="2258" s="1"/>
  <c r="D8" i="2258" s="1"/>
  <c r="D40" i="2258"/>
  <c r="R39" i="2258"/>
  <c r="H39" i="2258"/>
  <c r="D39" i="2258"/>
  <c r="R38" i="2258"/>
  <c r="H38" i="2258"/>
  <c r="D38" i="2258"/>
  <c r="R37" i="2258"/>
  <c r="H37" i="2258"/>
  <c r="D37" i="2258"/>
  <c r="R36" i="2258"/>
  <c r="L10" i="2258" s="1"/>
  <c r="D10" i="2258" s="1"/>
  <c r="H36" i="2258"/>
  <c r="D36" i="2258"/>
  <c r="R35" i="2258"/>
  <c r="H35" i="2258"/>
  <c r="G49" i="2258" s="1"/>
  <c r="D35" i="2258"/>
  <c r="R34" i="2258"/>
  <c r="L12" i="2258" s="1"/>
  <c r="D12" i="2258" s="1"/>
  <c r="H34" i="2258"/>
  <c r="D34" i="2258"/>
  <c r="D54" i="2258" s="1"/>
  <c r="H14" i="2258" s="1"/>
  <c r="R33" i="2258"/>
  <c r="R32" i="2258"/>
  <c r="R31" i="2258"/>
  <c r="R30" i="2258"/>
  <c r="R29" i="2258"/>
  <c r="R28" i="2258"/>
  <c r="L28" i="2258"/>
  <c r="D28" i="2258" s="1"/>
  <c r="R27" i="2258"/>
  <c r="L27" i="2258"/>
  <c r="D27" i="2258"/>
  <c r="R26" i="2258"/>
  <c r="L26" i="2258"/>
  <c r="D26" i="2258"/>
  <c r="R25" i="2258"/>
  <c r="L25" i="2258"/>
  <c r="D25" i="2258"/>
  <c r="R24" i="2258"/>
  <c r="L24" i="2258"/>
  <c r="D24" i="2258" s="1"/>
  <c r="R23" i="2258"/>
  <c r="L23" i="2258"/>
  <c r="D23" i="2258"/>
  <c r="R22" i="2258"/>
  <c r="L22" i="2258"/>
  <c r="D22" i="2258"/>
  <c r="R21" i="2258"/>
  <c r="L17" i="2258" s="1"/>
  <c r="D17" i="2258" s="1"/>
  <c r="L21" i="2258"/>
  <c r="D21" i="2258" s="1"/>
  <c r="R20" i="2258"/>
  <c r="L20" i="2258"/>
  <c r="D20" i="2258"/>
  <c r="R19" i="2258"/>
  <c r="L19" i="2258"/>
  <c r="D19" i="2258"/>
  <c r="R18" i="2258"/>
  <c r="L18" i="2258"/>
  <c r="D18" i="2258"/>
  <c r="R17" i="2258"/>
  <c r="R16" i="2258"/>
  <c r="L16" i="2258"/>
  <c r="D16" i="2258" s="1"/>
  <c r="R15" i="2258"/>
  <c r="R14" i="2258"/>
  <c r="D14" i="2258"/>
  <c r="R13" i="2258"/>
  <c r="D13" i="2258"/>
  <c r="R12" i="2258"/>
  <c r="R11" i="2258"/>
  <c r="L11" i="2258"/>
  <c r="D11" i="2258" s="1"/>
  <c r="L9" i="2258"/>
  <c r="D9" i="2258"/>
  <c r="L7" i="2258"/>
  <c r="D7" i="2258" s="1"/>
  <c r="R6" i="2258"/>
  <c r="R5" i="2258"/>
  <c r="R4" i="2258"/>
  <c r="L15" i="2258" s="1"/>
  <c r="D15" i="2258" s="1"/>
  <c r="R52" i="2257"/>
  <c r="R51" i="2257"/>
  <c r="D50" i="2257"/>
  <c r="R49" i="2257"/>
  <c r="G49" i="2257"/>
  <c r="D49" i="2257"/>
  <c r="R48" i="2257"/>
  <c r="D48" i="2257"/>
  <c r="D46" i="2257"/>
  <c r="D45" i="2257"/>
  <c r="D44" i="2257"/>
  <c r="R42" i="2257"/>
  <c r="L6" i="2257" s="1"/>
  <c r="D6" i="2257" s="1"/>
  <c r="D42" i="2257"/>
  <c r="R41" i="2257"/>
  <c r="L7" i="2257" s="1"/>
  <c r="D7" i="2257" s="1"/>
  <c r="D41" i="2257"/>
  <c r="R40" i="2257"/>
  <c r="D40" i="2257"/>
  <c r="R39" i="2257"/>
  <c r="D39" i="2257"/>
  <c r="R38" i="2257"/>
  <c r="L9" i="2257" s="1"/>
  <c r="D9" i="2257" s="1"/>
  <c r="D38" i="2257"/>
  <c r="R37" i="2257"/>
  <c r="D37" i="2257"/>
  <c r="R36" i="2257"/>
  <c r="L10" i="2257" s="1"/>
  <c r="D10" i="2257" s="1"/>
  <c r="D36" i="2257"/>
  <c r="R35" i="2257"/>
  <c r="L19" i="2257" s="1"/>
  <c r="D19" i="2257" s="1"/>
  <c r="D35" i="2257"/>
  <c r="R34" i="2257"/>
  <c r="L12" i="2257" s="1"/>
  <c r="D12" i="2257" s="1"/>
  <c r="D34" i="2257"/>
  <c r="D54" i="2257" s="1"/>
  <c r="H14" i="2257" s="1"/>
  <c r="R33" i="2257"/>
  <c r="R32" i="2257"/>
  <c r="R31" i="2257"/>
  <c r="R30" i="2257"/>
  <c r="R29" i="2257"/>
  <c r="R28" i="2257"/>
  <c r="D28" i="2257"/>
  <c r="R27" i="2257"/>
  <c r="D27" i="2257"/>
  <c r="R26" i="2257"/>
  <c r="L26" i="2257"/>
  <c r="D26" i="2257"/>
  <c r="R25" i="2257"/>
  <c r="L25" i="2257"/>
  <c r="D25" i="2257"/>
  <c r="R24" i="2257"/>
  <c r="D24" i="2257"/>
  <c r="R23" i="2257"/>
  <c r="L23" i="2257"/>
  <c r="D23" i="2257"/>
  <c r="R22" i="2257"/>
  <c r="L22" i="2257"/>
  <c r="D22" i="2257"/>
  <c r="R21" i="2257"/>
  <c r="D21" i="2257"/>
  <c r="R20" i="2257"/>
  <c r="L20" i="2257"/>
  <c r="D20" i="2257"/>
  <c r="R19" i="2257"/>
  <c r="R18" i="2257"/>
  <c r="D18" i="2257"/>
  <c r="R17" i="2257"/>
  <c r="D17" i="2257"/>
  <c r="R16" i="2257"/>
  <c r="L16" i="2257"/>
  <c r="D16" i="2257" s="1"/>
  <c r="S15" i="2257"/>
  <c r="R15" i="2257"/>
  <c r="D15" i="2257"/>
  <c r="S14" i="2257"/>
  <c r="R14" i="2257"/>
  <c r="D14" i="2257"/>
  <c r="R13" i="2257"/>
  <c r="D13" i="2257"/>
  <c r="R12" i="2257"/>
  <c r="R11" i="2257"/>
  <c r="L11" i="2257"/>
  <c r="D11" i="2257"/>
  <c r="L8" i="2257"/>
  <c r="D8" i="2257"/>
  <c r="R6" i="2257"/>
  <c r="R5" i="2257"/>
  <c r="R4" i="2257"/>
  <c r="R52" i="2256"/>
  <c r="R51" i="2256"/>
  <c r="D50" i="2256"/>
  <c r="R49" i="2256"/>
  <c r="D49" i="2256"/>
  <c r="R48" i="2256"/>
  <c r="D48" i="2256"/>
  <c r="D46" i="2256"/>
  <c r="D45" i="2256"/>
  <c r="R44" i="2256"/>
  <c r="D44" i="2256"/>
  <c r="R42" i="2256"/>
  <c r="L6" i="2256" s="1"/>
  <c r="D6" i="2256" s="1"/>
  <c r="D42" i="2256"/>
  <c r="D54" i="2256" s="1"/>
  <c r="H14" i="2256" s="1"/>
  <c r="R41" i="2256"/>
  <c r="D41" i="2256"/>
  <c r="R40" i="2256"/>
  <c r="D40" i="2256"/>
  <c r="R39" i="2256"/>
  <c r="H39" i="2256"/>
  <c r="D39" i="2256"/>
  <c r="R38" i="2256"/>
  <c r="L9" i="2256" s="1"/>
  <c r="D9" i="2256" s="1"/>
  <c r="H38" i="2256"/>
  <c r="D38" i="2256"/>
  <c r="R37" i="2256"/>
  <c r="H37" i="2256"/>
  <c r="D37" i="2256"/>
  <c r="R36" i="2256"/>
  <c r="L10" i="2256" s="1"/>
  <c r="D10" i="2256" s="1"/>
  <c r="H36" i="2256"/>
  <c r="G49" i="2256" s="1"/>
  <c r="D36" i="2256"/>
  <c r="R35" i="2256"/>
  <c r="H35" i="2256"/>
  <c r="D35" i="2256"/>
  <c r="R34" i="2256"/>
  <c r="H34" i="2256"/>
  <c r="D34" i="2256"/>
  <c r="R33" i="2256"/>
  <c r="R32" i="2256"/>
  <c r="L11" i="2256" s="1"/>
  <c r="D11" i="2256" s="1"/>
  <c r="R31" i="2256"/>
  <c r="R30" i="2256"/>
  <c r="R29" i="2256"/>
  <c r="R28" i="2256"/>
  <c r="L28" i="2256"/>
  <c r="D28" i="2256"/>
  <c r="R27" i="2256"/>
  <c r="L27" i="2256"/>
  <c r="D27" i="2256"/>
  <c r="R26" i="2256"/>
  <c r="L26" i="2256"/>
  <c r="D26" i="2256"/>
  <c r="R25" i="2256"/>
  <c r="L25" i="2256"/>
  <c r="D25" i="2256"/>
  <c r="R24" i="2256"/>
  <c r="L24" i="2256"/>
  <c r="D24" i="2256"/>
  <c r="R23" i="2256"/>
  <c r="L23" i="2256"/>
  <c r="D23" i="2256"/>
  <c r="R22" i="2256"/>
  <c r="L20" i="2256" s="1"/>
  <c r="D20" i="2256" s="1"/>
  <c r="L22" i="2256"/>
  <c r="D22" i="2256"/>
  <c r="R21" i="2256"/>
  <c r="L21" i="2256"/>
  <c r="D21" i="2256" s="1"/>
  <c r="R20" i="2256"/>
  <c r="R19" i="2256"/>
  <c r="L19" i="2256"/>
  <c r="D19" i="2256"/>
  <c r="R18" i="2256"/>
  <c r="L18" i="2256"/>
  <c r="D18" i="2256" s="1"/>
  <c r="R17" i="2256"/>
  <c r="L17" i="2256"/>
  <c r="D17" i="2256" s="1"/>
  <c r="R16" i="2256"/>
  <c r="R15" i="2256"/>
  <c r="L15" i="2256"/>
  <c r="D15" i="2256"/>
  <c r="R14" i="2256"/>
  <c r="D14" i="2256"/>
  <c r="R13" i="2256"/>
  <c r="D13" i="2256"/>
  <c r="R12" i="2256"/>
  <c r="L12" i="2256"/>
  <c r="D12" i="2256" s="1"/>
  <c r="R11" i="2256"/>
  <c r="L8" i="2256"/>
  <c r="D8" i="2256" s="1"/>
  <c r="L7" i="2256"/>
  <c r="D7" i="2256"/>
  <c r="R6" i="2256"/>
  <c r="L16" i="2256" s="1"/>
  <c r="D16" i="2256" s="1"/>
  <c r="R5" i="2256"/>
  <c r="R4" i="2256"/>
  <c r="R52" i="2255"/>
  <c r="R51" i="2255"/>
  <c r="D50" i="2255"/>
  <c r="R49" i="2255"/>
  <c r="D49" i="2255"/>
  <c r="R48" i="2255"/>
  <c r="D48" i="2255"/>
  <c r="D46" i="2255"/>
  <c r="D45" i="2255"/>
  <c r="R44" i="2255"/>
  <c r="D44" i="2255"/>
  <c r="R42" i="2255"/>
  <c r="L6" i="2255" s="1"/>
  <c r="D6" i="2255" s="1"/>
  <c r="D42" i="2255"/>
  <c r="R41" i="2255"/>
  <c r="D41" i="2255"/>
  <c r="R40" i="2255"/>
  <c r="D40" i="2255"/>
  <c r="R39" i="2255"/>
  <c r="H39" i="2255"/>
  <c r="D39" i="2255"/>
  <c r="R38" i="2255"/>
  <c r="H38" i="2255"/>
  <c r="D38" i="2255"/>
  <c r="R37" i="2255"/>
  <c r="H37" i="2255"/>
  <c r="D37" i="2255"/>
  <c r="R36" i="2255"/>
  <c r="L10" i="2255" s="1"/>
  <c r="D10" i="2255" s="1"/>
  <c r="H36" i="2255"/>
  <c r="D36" i="2255"/>
  <c r="R35" i="2255"/>
  <c r="H35" i="2255"/>
  <c r="D35" i="2255"/>
  <c r="R34" i="2255"/>
  <c r="L12" i="2255" s="1"/>
  <c r="D12" i="2255" s="1"/>
  <c r="H34" i="2255"/>
  <c r="D34" i="2255"/>
  <c r="R33" i="2255"/>
  <c r="R32" i="2255"/>
  <c r="L11" i="2255" s="1"/>
  <c r="D11" i="2255" s="1"/>
  <c r="R31" i="2255"/>
  <c r="R30" i="2255"/>
  <c r="R29" i="2255"/>
  <c r="R28" i="2255"/>
  <c r="L28" i="2255"/>
  <c r="D28" i="2255" s="1"/>
  <c r="R27" i="2255"/>
  <c r="L27" i="2255"/>
  <c r="D27" i="2255" s="1"/>
  <c r="R26" i="2255"/>
  <c r="L26" i="2255"/>
  <c r="D26" i="2255" s="1"/>
  <c r="R25" i="2255"/>
  <c r="L25" i="2255"/>
  <c r="D25" i="2255"/>
  <c r="R24" i="2255"/>
  <c r="L24" i="2255"/>
  <c r="D24" i="2255"/>
  <c r="R23" i="2255"/>
  <c r="L23" i="2255"/>
  <c r="D23" i="2255"/>
  <c r="R22" i="2255"/>
  <c r="L22" i="2255"/>
  <c r="D22" i="2255"/>
  <c r="R21" i="2255"/>
  <c r="D21" i="2255"/>
  <c r="R20" i="2255"/>
  <c r="L20" i="2255"/>
  <c r="D20" i="2255"/>
  <c r="R19" i="2255"/>
  <c r="L19" i="2255"/>
  <c r="D19" i="2255"/>
  <c r="R18" i="2255"/>
  <c r="L18" i="2255"/>
  <c r="D18" i="2255"/>
  <c r="R17" i="2255"/>
  <c r="L17" i="2255"/>
  <c r="D17" i="2255" s="1"/>
  <c r="R16" i="2255"/>
  <c r="R15" i="2255"/>
  <c r="L15" i="2255"/>
  <c r="D15" i="2255" s="1"/>
  <c r="R14" i="2255"/>
  <c r="L14" i="2255"/>
  <c r="D14" i="2255"/>
  <c r="R13" i="2255"/>
  <c r="D13" i="2255"/>
  <c r="R12" i="2255"/>
  <c r="R11" i="2255"/>
  <c r="L9" i="2255"/>
  <c r="D9" i="2255"/>
  <c r="L8" i="2255"/>
  <c r="D8" i="2255"/>
  <c r="L7" i="2255"/>
  <c r="D7" i="2255"/>
  <c r="R6" i="2255"/>
  <c r="L16" i="2255" s="1"/>
  <c r="D16" i="2255" s="1"/>
  <c r="R5" i="2255"/>
  <c r="R4" i="2255"/>
  <c r="V68" i="2254"/>
  <c r="R52" i="2254"/>
  <c r="R51" i="2254"/>
  <c r="D50" i="2254"/>
  <c r="R49" i="2254"/>
  <c r="D49" i="2254"/>
  <c r="R48" i="2254"/>
  <c r="D48" i="2254"/>
  <c r="D46" i="2254"/>
  <c r="D45" i="2254"/>
  <c r="R44" i="2254"/>
  <c r="D44" i="2254"/>
  <c r="R42" i="2254"/>
  <c r="L6" i="2254" s="1"/>
  <c r="D6" i="2254" s="1"/>
  <c r="D42" i="2254"/>
  <c r="R41" i="2254"/>
  <c r="D41" i="2254"/>
  <c r="R40" i="2254"/>
  <c r="D40" i="2254"/>
  <c r="R39" i="2254"/>
  <c r="H39" i="2254"/>
  <c r="D39" i="2254"/>
  <c r="R38" i="2254"/>
  <c r="L9" i="2254" s="1"/>
  <c r="D9" i="2254" s="1"/>
  <c r="H38" i="2254"/>
  <c r="D38" i="2254"/>
  <c r="R37" i="2254"/>
  <c r="H37" i="2254"/>
  <c r="D37" i="2254"/>
  <c r="R36" i="2254"/>
  <c r="L10" i="2254" s="1"/>
  <c r="D10" i="2254" s="1"/>
  <c r="H36" i="2254"/>
  <c r="D36" i="2254"/>
  <c r="R35" i="2254"/>
  <c r="H35" i="2254"/>
  <c r="D35" i="2254"/>
  <c r="R34" i="2254"/>
  <c r="H34" i="2254"/>
  <c r="D34" i="2254"/>
  <c r="R33" i="2254"/>
  <c r="L19" i="2254" s="1"/>
  <c r="D19" i="2254" s="1"/>
  <c r="R32" i="2254"/>
  <c r="L11" i="2254" s="1"/>
  <c r="D11" i="2254" s="1"/>
  <c r="R31" i="2254"/>
  <c r="R30" i="2254"/>
  <c r="R29" i="2254"/>
  <c r="R28" i="2254"/>
  <c r="L28" i="2254"/>
  <c r="D28" i="2254"/>
  <c r="R27" i="2254"/>
  <c r="L27" i="2254"/>
  <c r="D27" i="2254"/>
  <c r="R26" i="2254"/>
  <c r="L26" i="2254"/>
  <c r="D26" i="2254"/>
  <c r="R25" i="2254"/>
  <c r="L25" i="2254"/>
  <c r="D25" i="2254" s="1"/>
  <c r="R24" i="2254"/>
  <c r="L24" i="2254"/>
  <c r="D24" i="2254"/>
  <c r="R23" i="2254"/>
  <c r="L23" i="2254"/>
  <c r="D23" i="2254"/>
  <c r="R22" i="2254"/>
  <c r="L20" i="2254" s="1"/>
  <c r="D20" i="2254" s="1"/>
  <c r="L22" i="2254"/>
  <c r="D22" i="2254"/>
  <c r="R21" i="2254"/>
  <c r="L21" i="2254"/>
  <c r="D21" i="2254" s="1"/>
  <c r="R20" i="2254"/>
  <c r="R19" i="2254"/>
  <c r="R18" i="2254"/>
  <c r="L18" i="2254"/>
  <c r="D18" i="2254"/>
  <c r="R17" i="2254"/>
  <c r="L17" i="2254"/>
  <c r="D17" i="2254" s="1"/>
  <c r="R16" i="2254"/>
  <c r="R15" i="2254"/>
  <c r="L15" i="2254"/>
  <c r="D15" i="2254"/>
  <c r="R14" i="2254"/>
  <c r="D14" i="2254"/>
  <c r="R13" i="2254"/>
  <c r="D13" i="2254"/>
  <c r="R12" i="2254"/>
  <c r="L12" i="2254"/>
  <c r="D12" i="2254" s="1"/>
  <c r="R11" i="2254"/>
  <c r="L8" i="2254"/>
  <c r="D8" i="2254" s="1"/>
  <c r="L7" i="2254"/>
  <c r="D7" i="2254"/>
  <c r="R6" i="2254"/>
  <c r="L16" i="2254" s="1"/>
  <c r="D16" i="2254" s="1"/>
  <c r="R5" i="2254"/>
  <c r="R4" i="2254"/>
  <c r="R52" i="2253"/>
  <c r="R51" i="2253"/>
  <c r="D50" i="2253"/>
  <c r="R49" i="2253"/>
  <c r="G49" i="2253"/>
  <c r="D49" i="2253"/>
  <c r="R48" i="2253"/>
  <c r="D48" i="2253"/>
  <c r="D46" i="2253"/>
  <c r="D45" i="2253"/>
  <c r="D44" i="2253"/>
  <c r="R42" i="2253"/>
  <c r="D42" i="2253"/>
  <c r="R41" i="2253"/>
  <c r="L7" i="2253" s="1"/>
  <c r="D7" i="2253" s="1"/>
  <c r="D41" i="2253"/>
  <c r="R40" i="2253"/>
  <c r="L8" i="2253" s="1"/>
  <c r="D8" i="2253" s="1"/>
  <c r="D40" i="2253"/>
  <c r="D54" i="2253" s="1"/>
  <c r="H14" i="2253" s="1"/>
  <c r="R39" i="2253"/>
  <c r="D39" i="2253"/>
  <c r="R38" i="2253"/>
  <c r="D38" i="2253"/>
  <c r="R37" i="2253"/>
  <c r="D37" i="2253"/>
  <c r="R36" i="2253"/>
  <c r="L10" i="2253" s="1"/>
  <c r="D10" i="2253" s="1"/>
  <c r="D36" i="2253"/>
  <c r="R35" i="2253"/>
  <c r="D35" i="2253"/>
  <c r="R34" i="2253"/>
  <c r="L12" i="2253" s="1"/>
  <c r="D12" i="2253" s="1"/>
  <c r="D34" i="2253"/>
  <c r="R33" i="2253"/>
  <c r="L23" i="2253" s="1"/>
  <c r="D23" i="2253" s="1"/>
  <c r="R32" i="2253"/>
  <c r="L11" i="2253" s="1"/>
  <c r="D11" i="2253" s="1"/>
  <c r="R31" i="2253"/>
  <c r="R30" i="2253"/>
  <c r="R29" i="2253"/>
  <c r="R28" i="2253"/>
  <c r="D28" i="2253"/>
  <c r="R27" i="2253"/>
  <c r="D27" i="2253"/>
  <c r="R26" i="2253"/>
  <c r="L26" i="2253"/>
  <c r="D26" i="2253"/>
  <c r="R25" i="2253"/>
  <c r="L25" i="2253"/>
  <c r="D25" i="2253"/>
  <c r="R24" i="2253"/>
  <c r="D24" i="2253"/>
  <c r="R23" i="2253"/>
  <c r="R22" i="2253"/>
  <c r="L22" i="2253"/>
  <c r="D22" i="2253"/>
  <c r="R21" i="2253"/>
  <c r="D21" i="2253"/>
  <c r="R20" i="2253"/>
  <c r="L20" i="2253"/>
  <c r="D20" i="2253"/>
  <c r="R19" i="2253"/>
  <c r="L19" i="2253"/>
  <c r="D19" i="2253"/>
  <c r="R18" i="2253"/>
  <c r="D18" i="2253"/>
  <c r="R17" i="2253"/>
  <c r="D17" i="2253"/>
  <c r="R16" i="2253"/>
  <c r="L16" i="2253"/>
  <c r="D16" i="2253" s="1"/>
  <c r="S15" i="2253"/>
  <c r="R15" i="2253"/>
  <c r="D15" i="2253"/>
  <c r="S14" i="2253"/>
  <c r="R14" i="2253"/>
  <c r="D14" i="2253"/>
  <c r="R13" i="2253"/>
  <c r="D13" i="2253"/>
  <c r="R12" i="2253"/>
  <c r="R11" i="2253"/>
  <c r="L9" i="2253"/>
  <c r="D9" i="2253"/>
  <c r="R6" i="2253"/>
  <c r="L6" i="2253"/>
  <c r="D6" i="2253" s="1"/>
  <c r="R5" i="2253"/>
  <c r="R4" i="2253"/>
  <c r="L14" i="2250"/>
  <c r="C12" i="2252"/>
  <c r="C19" i="2251"/>
  <c r="C16" i="2251"/>
  <c r="G49" i="2272" l="1"/>
  <c r="G49" i="2271"/>
  <c r="D54" i="2271"/>
  <c r="H14" i="2271" s="1"/>
  <c r="D54" i="2270"/>
  <c r="H14" i="2270" s="1"/>
  <c r="G49" i="2268"/>
  <c r="D54" i="2268"/>
  <c r="H14" i="2268" s="1"/>
  <c r="D54" i="2267"/>
  <c r="H14" i="2267" s="1"/>
  <c r="G49" i="2262"/>
  <c r="G49" i="2264"/>
  <c r="D54" i="2264"/>
  <c r="H14" i="2264" s="1"/>
  <c r="G49" i="2263"/>
  <c r="D54" i="2263"/>
  <c r="H14" i="2263" s="1"/>
  <c r="D54" i="2262"/>
  <c r="H14" i="2262" s="1"/>
  <c r="D54" i="2259"/>
  <c r="H14" i="2259" s="1"/>
  <c r="D54" i="2260"/>
  <c r="H14" i="2260" s="1"/>
  <c r="G49" i="2260"/>
  <c r="G49" i="2259"/>
  <c r="G49" i="2255"/>
  <c r="G49" i="2254"/>
  <c r="D54" i="2255"/>
  <c r="H14" i="2255" s="1"/>
  <c r="D54" i="2254"/>
  <c r="H14" i="2254" s="1"/>
  <c r="D29" i="2272"/>
  <c r="H13" i="2272" s="1"/>
  <c r="H15" i="2272" s="1"/>
  <c r="H29" i="2272" s="1"/>
  <c r="D29" i="2271"/>
  <c r="H13" i="2271" s="1"/>
  <c r="D29" i="2270"/>
  <c r="H13" i="2270" s="1"/>
  <c r="D29" i="2269"/>
  <c r="H13" i="2269" s="1"/>
  <c r="H15" i="2269" s="1"/>
  <c r="H29" i="2269" s="1"/>
  <c r="G51" i="2269"/>
  <c r="D29" i="2268"/>
  <c r="H13" i="2268" s="1"/>
  <c r="D29" i="2267"/>
  <c r="H13" i="2267" s="1"/>
  <c r="D29" i="2266"/>
  <c r="H13" i="2266" s="1"/>
  <c r="H15" i="2266" s="1"/>
  <c r="H29" i="2266" s="1"/>
  <c r="F51" i="2266" s="1"/>
  <c r="G51" i="2266"/>
  <c r="D29" i="2265"/>
  <c r="H13" i="2265" s="1"/>
  <c r="H15" i="2265" s="1"/>
  <c r="H29" i="2265" s="1"/>
  <c r="G51" i="2265" s="1"/>
  <c r="D29" i="2264"/>
  <c r="H13" i="2264" s="1"/>
  <c r="D29" i="2263"/>
  <c r="H13" i="2263" s="1"/>
  <c r="D29" i="2262"/>
  <c r="H13" i="2262" s="1"/>
  <c r="D29" i="2261"/>
  <c r="H13" i="2261" s="1"/>
  <c r="H15" i="2261" s="1"/>
  <c r="H29" i="2261" s="1"/>
  <c r="G51" i="2261" s="1"/>
  <c r="D29" i="2260"/>
  <c r="H13" i="2260" s="1"/>
  <c r="D29" i="2259"/>
  <c r="H13" i="2259" s="1"/>
  <c r="D29" i="2258"/>
  <c r="H13" i="2258" s="1"/>
  <c r="H15" i="2258" s="1"/>
  <c r="H29" i="2258" s="1"/>
  <c r="F51" i="2258" s="1"/>
  <c r="D29" i="2257"/>
  <c r="H13" i="2257" s="1"/>
  <c r="H15" i="2257" s="1"/>
  <c r="H29" i="2257" s="1"/>
  <c r="G51" i="2257" s="1"/>
  <c r="D29" i="2256"/>
  <c r="H13" i="2256" s="1"/>
  <c r="H15" i="2256" s="1"/>
  <c r="H29" i="2256" s="1"/>
  <c r="F51" i="2256" s="1"/>
  <c r="D29" i="2255"/>
  <c r="H13" i="2255" s="1"/>
  <c r="D29" i="2254"/>
  <c r="H13" i="2254" s="1"/>
  <c r="D29" i="2253"/>
  <c r="H13" i="2253" s="1"/>
  <c r="H15" i="2253" s="1"/>
  <c r="H29" i="2253" s="1"/>
  <c r="G51" i="2253" s="1"/>
  <c r="R52" i="2252"/>
  <c r="R51" i="2252"/>
  <c r="D50" i="2252"/>
  <c r="R49" i="2252"/>
  <c r="D49" i="2252"/>
  <c r="R48" i="2252"/>
  <c r="D48" i="2252"/>
  <c r="D46" i="2252"/>
  <c r="D45" i="2252"/>
  <c r="R44" i="2252"/>
  <c r="D44" i="2252"/>
  <c r="R42" i="2252"/>
  <c r="L6" i="2252" s="1"/>
  <c r="D6" i="2252" s="1"/>
  <c r="D42" i="2252"/>
  <c r="R41" i="2252"/>
  <c r="D41" i="2252"/>
  <c r="R40" i="2252"/>
  <c r="D40" i="2252"/>
  <c r="R39" i="2252"/>
  <c r="H39" i="2252"/>
  <c r="D39" i="2252"/>
  <c r="R38" i="2252"/>
  <c r="H38" i="2252"/>
  <c r="D38" i="2252"/>
  <c r="R37" i="2252"/>
  <c r="H37" i="2252"/>
  <c r="D37" i="2252"/>
  <c r="R36" i="2252"/>
  <c r="L10" i="2252" s="1"/>
  <c r="D10" i="2252" s="1"/>
  <c r="H36" i="2252"/>
  <c r="D36" i="2252"/>
  <c r="R35" i="2252"/>
  <c r="H35" i="2252"/>
  <c r="D35" i="2252"/>
  <c r="R34" i="2252"/>
  <c r="H34" i="2252"/>
  <c r="D34" i="2252"/>
  <c r="R33" i="2252"/>
  <c r="R32" i="2252"/>
  <c r="L11" i="2252" s="1"/>
  <c r="D11" i="2252" s="1"/>
  <c r="R31" i="2252"/>
  <c r="R30" i="2252"/>
  <c r="R29" i="2252"/>
  <c r="R28" i="2252"/>
  <c r="L28" i="2252"/>
  <c r="D28" i="2252" s="1"/>
  <c r="R27" i="2252"/>
  <c r="L27" i="2252"/>
  <c r="D27" i="2252" s="1"/>
  <c r="R26" i="2252"/>
  <c r="L26" i="2252"/>
  <c r="D26" i="2252" s="1"/>
  <c r="R25" i="2252"/>
  <c r="L25" i="2252"/>
  <c r="D25" i="2252"/>
  <c r="R24" i="2252"/>
  <c r="L24" i="2252"/>
  <c r="D24" i="2252"/>
  <c r="R23" i="2252"/>
  <c r="L23" i="2252"/>
  <c r="D23" i="2252"/>
  <c r="R22" i="2252"/>
  <c r="L22" i="2252"/>
  <c r="D22" i="2252"/>
  <c r="R21" i="2252"/>
  <c r="L21" i="2252"/>
  <c r="D21" i="2252"/>
  <c r="R20" i="2252"/>
  <c r="L20" i="2252"/>
  <c r="D20" i="2252" s="1"/>
  <c r="R19" i="2252"/>
  <c r="L19" i="2252"/>
  <c r="D19" i="2252" s="1"/>
  <c r="R18" i="2252"/>
  <c r="L18" i="2252"/>
  <c r="D18" i="2252"/>
  <c r="R17" i="2252"/>
  <c r="L17" i="2252"/>
  <c r="D17" i="2252" s="1"/>
  <c r="R16" i="2252"/>
  <c r="R15" i="2252"/>
  <c r="L15" i="2252"/>
  <c r="D15" i="2252"/>
  <c r="R14" i="2252"/>
  <c r="D14" i="2252"/>
  <c r="R13" i="2252"/>
  <c r="D13" i="2252"/>
  <c r="R12" i="2252"/>
  <c r="L12" i="2252"/>
  <c r="D12" i="2252" s="1"/>
  <c r="R11" i="2252"/>
  <c r="L9" i="2252"/>
  <c r="D9" i="2252" s="1"/>
  <c r="L8" i="2252"/>
  <c r="D8" i="2252"/>
  <c r="L7" i="2252"/>
  <c r="D7" i="2252"/>
  <c r="R6" i="2252"/>
  <c r="L16" i="2252" s="1"/>
  <c r="D16" i="2252" s="1"/>
  <c r="R5" i="2252"/>
  <c r="R4" i="2252"/>
  <c r="R52" i="2251"/>
  <c r="R51" i="2251"/>
  <c r="D50" i="2251"/>
  <c r="R49" i="2251"/>
  <c r="D49" i="2251"/>
  <c r="R48" i="2251"/>
  <c r="D48" i="2251"/>
  <c r="D46" i="2251"/>
  <c r="D45" i="2251"/>
  <c r="R44" i="2251"/>
  <c r="L28" i="2251" s="1"/>
  <c r="D28" i="2251" s="1"/>
  <c r="D44" i="2251"/>
  <c r="R42" i="2251"/>
  <c r="L6" i="2251" s="1"/>
  <c r="D6" i="2251" s="1"/>
  <c r="D42" i="2251"/>
  <c r="R41" i="2251"/>
  <c r="L7" i="2251" s="1"/>
  <c r="D7" i="2251" s="1"/>
  <c r="D41" i="2251"/>
  <c r="R40" i="2251"/>
  <c r="D40" i="2251"/>
  <c r="R39" i="2251"/>
  <c r="H39" i="2251"/>
  <c r="D39" i="2251"/>
  <c r="R38" i="2251"/>
  <c r="L9" i="2251" s="1"/>
  <c r="D9" i="2251" s="1"/>
  <c r="H38" i="2251"/>
  <c r="D38" i="2251"/>
  <c r="R37" i="2251"/>
  <c r="H37" i="2251"/>
  <c r="D37" i="2251"/>
  <c r="R36" i="2251"/>
  <c r="L10" i="2251" s="1"/>
  <c r="D10" i="2251" s="1"/>
  <c r="H36" i="2251"/>
  <c r="D36" i="2251"/>
  <c r="R35" i="2251"/>
  <c r="L18" i="2251" s="1"/>
  <c r="D18" i="2251" s="1"/>
  <c r="H35" i="2251"/>
  <c r="D35" i="2251"/>
  <c r="R34" i="2251"/>
  <c r="H34" i="2251"/>
  <c r="D34" i="2251"/>
  <c r="R33" i="2251"/>
  <c r="L19" i="2251" s="1"/>
  <c r="D19" i="2251" s="1"/>
  <c r="R32" i="2251"/>
  <c r="L11" i="2251" s="1"/>
  <c r="D11" i="2251" s="1"/>
  <c r="R31" i="2251"/>
  <c r="R30" i="2251"/>
  <c r="R29" i="2251"/>
  <c r="R28" i="2251"/>
  <c r="R27" i="2251"/>
  <c r="L27" i="2251"/>
  <c r="D27" i="2251" s="1"/>
  <c r="R26" i="2251"/>
  <c r="L26" i="2251"/>
  <c r="D26" i="2251" s="1"/>
  <c r="R25" i="2251"/>
  <c r="L25" i="2251"/>
  <c r="D25" i="2251" s="1"/>
  <c r="R24" i="2251"/>
  <c r="L24" i="2251"/>
  <c r="D24" i="2251"/>
  <c r="R23" i="2251"/>
  <c r="L23" i="2251"/>
  <c r="D23" i="2251"/>
  <c r="R22" i="2251"/>
  <c r="L20" i="2251" s="1"/>
  <c r="D20" i="2251" s="1"/>
  <c r="L22" i="2251"/>
  <c r="D22" i="2251" s="1"/>
  <c r="R21" i="2251"/>
  <c r="D21" i="2251"/>
  <c r="R20" i="2251"/>
  <c r="R19" i="2251"/>
  <c r="R18" i="2251"/>
  <c r="R17" i="2251"/>
  <c r="L17" i="2251"/>
  <c r="D17" i="2251"/>
  <c r="R16" i="2251"/>
  <c r="L16" i="2251"/>
  <c r="D16" i="2251" s="1"/>
  <c r="R15" i="2251"/>
  <c r="R14" i="2251"/>
  <c r="L14" i="2251"/>
  <c r="D14" i="2251"/>
  <c r="R13" i="2251"/>
  <c r="D13" i="2251"/>
  <c r="R12" i="2251"/>
  <c r="L12" i="2251"/>
  <c r="D12" i="2251"/>
  <c r="R11" i="2251"/>
  <c r="L8" i="2251"/>
  <c r="D8" i="2251"/>
  <c r="R6" i="2251"/>
  <c r="R5" i="2251"/>
  <c r="R4" i="2251"/>
  <c r="L15" i="2251" s="1"/>
  <c r="D15" i="2251" s="1"/>
  <c r="V68" i="2250"/>
  <c r="R52" i="2250"/>
  <c r="R51" i="2250"/>
  <c r="D50" i="2250"/>
  <c r="R49" i="2250"/>
  <c r="D49" i="2250"/>
  <c r="R48" i="2250"/>
  <c r="D48" i="2250"/>
  <c r="D46" i="2250"/>
  <c r="D45" i="2250"/>
  <c r="R44" i="2250"/>
  <c r="L28" i="2250" s="1"/>
  <c r="D28" i="2250" s="1"/>
  <c r="D44" i="2250"/>
  <c r="R42" i="2250"/>
  <c r="D42" i="2250"/>
  <c r="R41" i="2250"/>
  <c r="D41" i="2250"/>
  <c r="R40" i="2250"/>
  <c r="L8" i="2250" s="1"/>
  <c r="D8" i="2250" s="1"/>
  <c r="D40" i="2250"/>
  <c r="R39" i="2250"/>
  <c r="H39" i="2250"/>
  <c r="D39" i="2250"/>
  <c r="R38" i="2250"/>
  <c r="L9" i="2250" s="1"/>
  <c r="D9" i="2250" s="1"/>
  <c r="H38" i="2250"/>
  <c r="D38" i="2250"/>
  <c r="R37" i="2250"/>
  <c r="H37" i="2250"/>
  <c r="D37" i="2250"/>
  <c r="R36" i="2250"/>
  <c r="H36" i="2250"/>
  <c r="D36" i="2250"/>
  <c r="R35" i="2250"/>
  <c r="L18" i="2250" s="1"/>
  <c r="D18" i="2250" s="1"/>
  <c r="H35" i="2250"/>
  <c r="D35" i="2250"/>
  <c r="R34" i="2250"/>
  <c r="L12" i="2250" s="1"/>
  <c r="D12" i="2250" s="1"/>
  <c r="H34" i="2250"/>
  <c r="D34" i="2250"/>
  <c r="R33" i="2250"/>
  <c r="R32" i="2250"/>
  <c r="R31" i="2250"/>
  <c r="R30" i="2250"/>
  <c r="R29" i="2250"/>
  <c r="R28" i="2250"/>
  <c r="R27" i="2250"/>
  <c r="L27" i="2250"/>
  <c r="D27" i="2250"/>
  <c r="R26" i="2250"/>
  <c r="L26" i="2250"/>
  <c r="D26" i="2250"/>
  <c r="R25" i="2250"/>
  <c r="L25" i="2250"/>
  <c r="D25" i="2250"/>
  <c r="R24" i="2250"/>
  <c r="L24" i="2250"/>
  <c r="D24" i="2250"/>
  <c r="R23" i="2250"/>
  <c r="L23" i="2250"/>
  <c r="D23" i="2250" s="1"/>
  <c r="R22" i="2250"/>
  <c r="L20" i="2250" s="1"/>
  <c r="D20" i="2250" s="1"/>
  <c r="L22" i="2250"/>
  <c r="D22" i="2250"/>
  <c r="R21" i="2250"/>
  <c r="L17" i="2250" s="1"/>
  <c r="D17" i="2250" s="1"/>
  <c r="L21" i="2250"/>
  <c r="D21" i="2250"/>
  <c r="R20" i="2250"/>
  <c r="R19" i="2250"/>
  <c r="L19" i="2250"/>
  <c r="D19" i="2250"/>
  <c r="R18" i="2250"/>
  <c r="R17" i="2250"/>
  <c r="R16" i="2250"/>
  <c r="L16" i="2250"/>
  <c r="D16" i="2250"/>
  <c r="R15" i="2250"/>
  <c r="L15" i="2250"/>
  <c r="D15" i="2250" s="1"/>
  <c r="R14" i="2250"/>
  <c r="D14" i="2250"/>
  <c r="R13" i="2250"/>
  <c r="D13" i="2250"/>
  <c r="R12" i="2250"/>
  <c r="R11" i="2250"/>
  <c r="L11" i="2250"/>
  <c r="D11" i="2250"/>
  <c r="L10" i="2250"/>
  <c r="D10" i="2250"/>
  <c r="L7" i="2250"/>
  <c r="D7" i="2250"/>
  <c r="R6" i="2250"/>
  <c r="L6" i="2250"/>
  <c r="D6" i="2250" s="1"/>
  <c r="R5" i="2250"/>
  <c r="R4" i="2250"/>
  <c r="R52" i="2249"/>
  <c r="R51" i="2249"/>
  <c r="D50" i="2249"/>
  <c r="R49" i="2249"/>
  <c r="G49" i="2249"/>
  <c r="D49" i="2249"/>
  <c r="R48" i="2249"/>
  <c r="D48" i="2249"/>
  <c r="D46" i="2249"/>
  <c r="D45" i="2249"/>
  <c r="D44" i="2249"/>
  <c r="R42" i="2249"/>
  <c r="D42" i="2249"/>
  <c r="R41" i="2249"/>
  <c r="L7" i="2249" s="1"/>
  <c r="D7" i="2249" s="1"/>
  <c r="D41" i="2249"/>
  <c r="R40" i="2249"/>
  <c r="L8" i="2249" s="1"/>
  <c r="D8" i="2249" s="1"/>
  <c r="D40" i="2249"/>
  <c r="D54" i="2249" s="1"/>
  <c r="H14" i="2249" s="1"/>
  <c r="R39" i="2249"/>
  <c r="D39" i="2249"/>
  <c r="R38" i="2249"/>
  <c r="D38" i="2249"/>
  <c r="R37" i="2249"/>
  <c r="D37" i="2249"/>
  <c r="R36" i="2249"/>
  <c r="L10" i="2249" s="1"/>
  <c r="D10" i="2249" s="1"/>
  <c r="D36" i="2249"/>
  <c r="R35" i="2249"/>
  <c r="D35" i="2249"/>
  <c r="R34" i="2249"/>
  <c r="L12" i="2249" s="1"/>
  <c r="D12" i="2249" s="1"/>
  <c r="D34" i="2249"/>
  <c r="R33" i="2249"/>
  <c r="L23" i="2249" s="1"/>
  <c r="D23" i="2249" s="1"/>
  <c r="R32" i="2249"/>
  <c r="L11" i="2249" s="1"/>
  <c r="D11" i="2249" s="1"/>
  <c r="R31" i="2249"/>
  <c r="R30" i="2249"/>
  <c r="R29" i="2249"/>
  <c r="R28" i="2249"/>
  <c r="D28" i="2249"/>
  <c r="R27" i="2249"/>
  <c r="D27" i="2249"/>
  <c r="R26" i="2249"/>
  <c r="L26" i="2249"/>
  <c r="D26" i="2249"/>
  <c r="R25" i="2249"/>
  <c r="L25" i="2249"/>
  <c r="D25" i="2249"/>
  <c r="R24" i="2249"/>
  <c r="D24" i="2249"/>
  <c r="R23" i="2249"/>
  <c r="R22" i="2249"/>
  <c r="L22" i="2249"/>
  <c r="D22" i="2249"/>
  <c r="R21" i="2249"/>
  <c r="D21" i="2249"/>
  <c r="R20" i="2249"/>
  <c r="L20" i="2249"/>
  <c r="D20" i="2249"/>
  <c r="R19" i="2249"/>
  <c r="L19" i="2249"/>
  <c r="D19" i="2249"/>
  <c r="R18" i="2249"/>
  <c r="D18" i="2249"/>
  <c r="R17" i="2249"/>
  <c r="D17" i="2249"/>
  <c r="R16" i="2249"/>
  <c r="L16" i="2249"/>
  <c r="D16" i="2249" s="1"/>
  <c r="S15" i="2249"/>
  <c r="R15" i="2249"/>
  <c r="D15" i="2249"/>
  <c r="S14" i="2249"/>
  <c r="R14" i="2249"/>
  <c r="D14" i="2249"/>
  <c r="R13" i="2249"/>
  <c r="D13" i="2249"/>
  <c r="R12" i="2249"/>
  <c r="R11" i="2249"/>
  <c r="L9" i="2249"/>
  <c r="D9" i="2249" s="1"/>
  <c r="R6" i="2249"/>
  <c r="L6" i="2249"/>
  <c r="D6" i="2249"/>
  <c r="R5" i="2249"/>
  <c r="R4" i="2249"/>
  <c r="R52" i="2248"/>
  <c r="R51" i="2248"/>
  <c r="D50" i="2248"/>
  <c r="R49" i="2248"/>
  <c r="D49" i="2248"/>
  <c r="R48" i="2248"/>
  <c r="D48" i="2248"/>
  <c r="D46" i="2248"/>
  <c r="D45" i="2248"/>
  <c r="R44" i="2248"/>
  <c r="D44" i="2248"/>
  <c r="R42" i="2248"/>
  <c r="L6" i="2248" s="1"/>
  <c r="D6" i="2248" s="1"/>
  <c r="D42" i="2248"/>
  <c r="R41" i="2248"/>
  <c r="D41" i="2248"/>
  <c r="R40" i="2248"/>
  <c r="D40" i="2248"/>
  <c r="R39" i="2248"/>
  <c r="H39" i="2248"/>
  <c r="D39" i="2248"/>
  <c r="R38" i="2248"/>
  <c r="L9" i="2248" s="1"/>
  <c r="D9" i="2248" s="1"/>
  <c r="H38" i="2248"/>
  <c r="D38" i="2248"/>
  <c r="R37" i="2248"/>
  <c r="H37" i="2248"/>
  <c r="D37" i="2248"/>
  <c r="R36" i="2248"/>
  <c r="L10" i="2248" s="1"/>
  <c r="D10" i="2248" s="1"/>
  <c r="H36" i="2248"/>
  <c r="D36" i="2248"/>
  <c r="R35" i="2248"/>
  <c r="H35" i="2248"/>
  <c r="D35" i="2248"/>
  <c r="R34" i="2248"/>
  <c r="L12" i="2248" s="1"/>
  <c r="D12" i="2248" s="1"/>
  <c r="H34" i="2248"/>
  <c r="D34" i="2248"/>
  <c r="R33" i="2248"/>
  <c r="R32" i="2248"/>
  <c r="R31" i="2248"/>
  <c r="R30" i="2248"/>
  <c r="R29" i="2248"/>
  <c r="R28" i="2248"/>
  <c r="L28" i="2248"/>
  <c r="D28" i="2248" s="1"/>
  <c r="R27" i="2248"/>
  <c r="L27" i="2248"/>
  <c r="D27" i="2248"/>
  <c r="R26" i="2248"/>
  <c r="L26" i="2248"/>
  <c r="D26" i="2248"/>
  <c r="R25" i="2248"/>
  <c r="L25" i="2248"/>
  <c r="D25" i="2248" s="1"/>
  <c r="R24" i="2248"/>
  <c r="L24" i="2248"/>
  <c r="D24" i="2248"/>
  <c r="R23" i="2248"/>
  <c r="L23" i="2248"/>
  <c r="D23" i="2248"/>
  <c r="R22" i="2248"/>
  <c r="L22" i="2248"/>
  <c r="D22" i="2248"/>
  <c r="R21" i="2248"/>
  <c r="L17" i="2248" s="1"/>
  <c r="D17" i="2248" s="1"/>
  <c r="L21" i="2248"/>
  <c r="D21" i="2248"/>
  <c r="R20" i="2248"/>
  <c r="L20" i="2248"/>
  <c r="D20" i="2248"/>
  <c r="R19" i="2248"/>
  <c r="L19" i="2248"/>
  <c r="D19" i="2248"/>
  <c r="R18" i="2248"/>
  <c r="L18" i="2248"/>
  <c r="D18" i="2248" s="1"/>
  <c r="R17" i="2248"/>
  <c r="R16" i="2248"/>
  <c r="R15" i="2248"/>
  <c r="L15" i="2248"/>
  <c r="D15" i="2248" s="1"/>
  <c r="R14" i="2248"/>
  <c r="D14" i="2248"/>
  <c r="R13" i="2248"/>
  <c r="D13" i="2248"/>
  <c r="R12" i="2248"/>
  <c r="R11" i="2248"/>
  <c r="L11" i="2248"/>
  <c r="D11" i="2248"/>
  <c r="L8" i="2248"/>
  <c r="D8" i="2248"/>
  <c r="L7" i="2248"/>
  <c r="D7" i="2248"/>
  <c r="R6" i="2248"/>
  <c r="L16" i="2248" s="1"/>
  <c r="D16" i="2248" s="1"/>
  <c r="R5" i="2248"/>
  <c r="R4" i="2248"/>
  <c r="R52" i="2247"/>
  <c r="R51" i="2247"/>
  <c r="D50" i="2247"/>
  <c r="R49" i="2247"/>
  <c r="D49" i="2247"/>
  <c r="R48" i="2247"/>
  <c r="D48" i="2247"/>
  <c r="D46" i="2247"/>
  <c r="D45" i="2247"/>
  <c r="R44" i="2247"/>
  <c r="L28" i="2247" s="1"/>
  <c r="D28" i="2247" s="1"/>
  <c r="D44" i="2247"/>
  <c r="R42" i="2247"/>
  <c r="L6" i="2247" s="1"/>
  <c r="D6" i="2247" s="1"/>
  <c r="D42" i="2247"/>
  <c r="R41" i="2247"/>
  <c r="L7" i="2247" s="1"/>
  <c r="D7" i="2247" s="1"/>
  <c r="D41" i="2247"/>
  <c r="R40" i="2247"/>
  <c r="L8" i="2247" s="1"/>
  <c r="D8" i="2247" s="1"/>
  <c r="D40" i="2247"/>
  <c r="R39" i="2247"/>
  <c r="H39" i="2247"/>
  <c r="D39" i="2247"/>
  <c r="R38" i="2247"/>
  <c r="L9" i="2247" s="1"/>
  <c r="D9" i="2247" s="1"/>
  <c r="H38" i="2247"/>
  <c r="D38" i="2247"/>
  <c r="R37" i="2247"/>
  <c r="H37" i="2247"/>
  <c r="D37" i="2247"/>
  <c r="R36" i="2247"/>
  <c r="H36" i="2247"/>
  <c r="D36" i="2247"/>
  <c r="R35" i="2247"/>
  <c r="L18" i="2247" s="1"/>
  <c r="D18" i="2247" s="1"/>
  <c r="H35" i="2247"/>
  <c r="D35" i="2247"/>
  <c r="R34" i="2247"/>
  <c r="L12" i="2247" s="1"/>
  <c r="D12" i="2247" s="1"/>
  <c r="H34" i="2247"/>
  <c r="D34" i="2247"/>
  <c r="R33" i="2247"/>
  <c r="R32" i="2247"/>
  <c r="R31" i="2247"/>
  <c r="R30" i="2247"/>
  <c r="R29" i="2247"/>
  <c r="R28" i="2247"/>
  <c r="R27" i="2247"/>
  <c r="L27" i="2247"/>
  <c r="D27" i="2247"/>
  <c r="R26" i="2247"/>
  <c r="L26" i="2247"/>
  <c r="D26" i="2247"/>
  <c r="R25" i="2247"/>
  <c r="L25" i="2247"/>
  <c r="D25" i="2247"/>
  <c r="R24" i="2247"/>
  <c r="L24" i="2247"/>
  <c r="D24" i="2247"/>
  <c r="R23" i="2247"/>
  <c r="L23" i="2247"/>
  <c r="D23" i="2247"/>
  <c r="R22" i="2247"/>
  <c r="L22" i="2247"/>
  <c r="D22" i="2247"/>
  <c r="R21" i="2247"/>
  <c r="L17" i="2247" s="1"/>
  <c r="D17" i="2247" s="1"/>
  <c r="D21" i="2247"/>
  <c r="R20" i="2247"/>
  <c r="L20" i="2247"/>
  <c r="D20" i="2247" s="1"/>
  <c r="R19" i="2247"/>
  <c r="L19" i="2247"/>
  <c r="D19" i="2247"/>
  <c r="R18" i="2247"/>
  <c r="R17" i="2247"/>
  <c r="R16" i="2247"/>
  <c r="L16" i="2247"/>
  <c r="D16" i="2247"/>
  <c r="R15" i="2247"/>
  <c r="L15" i="2247"/>
  <c r="D15" i="2247" s="1"/>
  <c r="R14" i="2247"/>
  <c r="L14" i="2247"/>
  <c r="D14" i="2247" s="1"/>
  <c r="R13" i="2247"/>
  <c r="D13" i="2247"/>
  <c r="R12" i="2247"/>
  <c r="R11" i="2247"/>
  <c r="L11" i="2247"/>
  <c r="D11" i="2247"/>
  <c r="L10" i="2247"/>
  <c r="D10" i="2247"/>
  <c r="R6" i="2247"/>
  <c r="R5" i="2247"/>
  <c r="R4" i="2247"/>
  <c r="V68" i="2246"/>
  <c r="R52" i="2246"/>
  <c r="R51" i="2246"/>
  <c r="D50" i="2246"/>
  <c r="R49" i="2246"/>
  <c r="D49" i="2246"/>
  <c r="R48" i="2246"/>
  <c r="D48" i="2246"/>
  <c r="D46" i="2246"/>
  <c r="D45" i="2246"/>
  <c r="R44" i="2246"/>
  <c r="L28" i="2246" s="1"/>
  <c r="D28" i="2246" s="1"/>
  <c r="D44" i="2246"/>
  <c r="R42" i="2246"/>
  <c r="D42" i="2246"/>
  <c r="R41" i="2246"/>
  <c r="D41" i="2246"/>
  <c r="R40" i="2246"/>
  <c r="D40" i="2246"/>
  <c r="R39" i="2246"/>
  <c r="H39" i="2246"/>
  <c r="D39" i="2246"/>
  <c r="R38" i="2246"/>
  <c r="L9" i="2246" s="1"/>
  <c r="D9" i="2246" s="1"/>
  <c r="H38" i="2246"/>
  <c r="D38" i="2246"/>
  <c r="R37" i="2246"/>
  <c r="H37" i="2246"/>
  <c r="D37" i="2246"/>
  <c r="R36" i="2246"/>
  <c r="L10" i="2246" s="1"/>
  <c r="D10" i="2246" s="1"/>
  <c r="H36" i="2246"/>
  <c r="D36" i="2246"/>
  <c r="R35" i="2246"/>
  <c r="H35" i="2246"/>
  <c r="D35" i="2246"/>
  <c r="R34" i="2246"/>
  <c r="L12" i="2246" s="1"/>
  <c r="D12" i="2246" s="1"/>
  <c r="H34" i="2246"/>
  <c r="G49" i="2246" s="1"/>
  <c r="D34" i="2246"/>
  <c r="D54" i="2246" s="1"/>
  <c r="H14" i="2246" s="1"/>
  <c r="R33" i="2246"/>
  <c r="R32" i="2246"/>
  <c r="R31" i="2246"/>
  <c r="R30" i="2246"/>
  <c r="R29" i="2246"/>
  <c r="R28" i="2246"/>
  <c r="R27" i="2246"/>
  <c r="L27" i="2246"/>
  <c r="D27" i="2246" s="1"/>
  <c r="R26" i="2246"/>
  <c r="L26" i="2246"/>
  <c r="D26" i="2246"/>
  <c r="R25" i="2246"/>
  <c r="L25" i="2246"/>
  <c r="D25" i="2246"/>
  <c r="R24" i="2246"/>
  <c r="L24" i="2246"/>
  <c r="D24" i="2246"/>
  <c r="R23" i="2246"/>
  <c r="L23" i="2246"/>
  <c r="D23" i="2246" s="1"/>
  <c r="R22" i="2246"/>
  <c r="L20" i="2246" s="1"/>
  <c r="D20" i="2246" s="1"/>
  <c r="L22" i="2246"/>
  <c r="D22" i="2246"/>
  <c r="R21" i="2246"/>
  <c r="L17" i="2246" s="1"/>
  <c r="D17" i="2246" s="1"/>
  <c r="L21" i="2246"/>
  <c r="D21" i="2246" s="1"/>
  <c r="R20" i="2246"/>
  <c r="R19" i="2246"/>
  <c r="L19" i="2246"/>
  <c r="D19" i="2246"/>
  <c r="R18" i="2246"/>
  <c r="L18" i="2246"/>
  <c r="D18" i="2246"/>
  <c r="R17" i="2246"/>
  <c r="R16" i="2246"/>
  <c r="R15" i="2246"/>
  <c r="R14" i="2246"/>
  <c r="D14" i="2246"/>
  <c r="R13" i="2246"/>
  <c r="D13" i="2246"/>
  <c r="R12" i="2246"/>
  <c r="R11" i="2246"/>
  <c r="L11" i="2246"/>
  <c r="D11" i="2246"/>
  <c r="L8" i="2246"/>
  <c r="D8" i="2246" s="1"/>
  <c r="L7" i="2246"/>
  <c r="D7" i="2246"/>
  <c r="R6" i="2246"/>
  <c r="L16" i="2246" s="1"/>
  <c r="D16" i="2246" s="1"/>
  <c r="L6" i="2246"/>
  <c r="D6" i="2246" s="1"/>
  <c r="R5" i="2246"/>
  <c r="R4" i="2246"/>
  <c r="L15" i="2246" s="1"/>
  <c r="D15" i="2246" s="1"/>
  <c r="F51" i="2272" l="1"/>
  <c r="G51" i="2272"/>
  <c r="H15" i="2271"/>
  <c r="H29" i="2271" s="1"/>
  <c r="F51" i="2271" s="1"/>
  <c r="H15" i="2270"/>
  <c r="H29" i="2270" s="1"/>
  <c r="F51" i="2270" s="1"/>
  <c r="H15" i="2268"/>
  <c r="H29" i="2268" s="1"/>
  <c r="F51" i="2268" s="1"/>
  <c r="H15" i="2267"/>
  <c r="H29" i="2267" s="1"/>
  <c r="F51" i="2267" s="1"/>
  <c r="H15" i="2264"/>
  <c r="H29" i="2264" s="1"/>
  <c r="F51" i="2264" s="1"/>
  <c r="H15" i="2263"/>
  <c r="H29" i="2263" s="1"/>
  <c r="F51" i="2263" s="1"/>
  <c r="H15" i="2262"/>
  <c r="H29" i="2262" s="1"/>
  <c r="F51" i="2262" s="1"/>
  <c r="H15" i="2259"/>
  <c r="H29" i="2259" s="1"/>
  <c r="F51" i="2259" s="1"/>
  <c r="H15" i="2260"/>
  <c r="H29" i="2260" s="1"/>
  <c r="F51" i="2260" s="1"/>
  <c r="H15" i="2255"/>
  <c r="H29" i="2255" s="1"/>
  <c r="F51" i="2255" s="1"/>
  <c r="H15" i="2254"/>
  <c r="H29" i="2254" s="1"/>
  <c r="F51" i="2254" s="1"/>
  <c r="G49" i="2247"/>
  <c r="G49" i="2248"/>
  <c r="D54" i="2248"/>
  <c r="H14" i="2248" s="1"/>
  <c r="D54" i="2247"/>
  <c r="H14" i="2247" s="1"/>
  <c r="G51" i="2258"/>
  <c r="G51" i="2256"/>
  <c r="G49" i="2252"/>
  <c r="G49" i="2251"/>
  <c r="G49" i="2250"/>
  <c r="D54" i="2252"/>
  <c r="H14" i="2252" s="1"/>
  <c r="D54" i="2251"/>
  <c r="H14" i="2251" s="1"/>
  <c r="D54" i="2250"/>
  <c r="H14" i="2250" s="1"/>
  <c r="D29" i="2252"/>
  <c r="H13" i="2252" s="1"/>
  <c r="D29" i="2251"/>
  <c r="H13" i="2251" s="1"/>
  <c r="D29" i="2250"/>
  <c r="H13" i="2250" s="1"/>
  <c r="D29" i="2249"/>
  <c r="H13" i="2249" s="1"/>
  <c r="H15" i="2249" s="1"/>
  <c r="H29" i="2249" s="1"/>
  <c r="G51" i="2249" s="1"/>
  <c r="D29" i="2248"/>
  <c r="H13" i="2248" s="1"/>
  <c r="D29" i="2247"/>
  <c r="H13" i="2247" s="1"/>
  <c r="D29" i="2246"/>
  <c r="H13" i="2246" s="1"/>
  <c r="H15" i="2246" s="1"/>
  <c r="H29" i="2246" s="1"/>
  <c r="F51" i="2246" s="1"/>
  <c r="G51" i="2246"/>
  <c r="R52" i="2245"/>
  <c r="R51" i="2245"/>
  <c r="D50" i="2245"/>
  <c r="R49" i="2245"/>
  <c r="G49" i="2245"/>
  <c r="D49" i="2245"/>
  <c r="R48" i="2245"/>
  <c r="D48" i="2245"/>
  <c r="D46" i="2245"/>
  <c r="D45" i="2245"/>
  <c r="D44" i="2245"/>
  <c r="R42" i="2245"/>
  <c r="D42" i="2245"/>
  <c r="R41" i="2245"/>
  <c r="L7" i="2245" s="1"/>
  <c r="D7" i="2245" s="1"/>
  <c r="D41" i="2245"/>
  <c r="R40" i="2245"/>
  <c r="L8" i="2245" s="1"/>
  <c r="D8" i="2245" s="1"/>
  <c r="D40" i="2245"/>
  <c r="R39" i="2245"/>
  <c r="D39" i="2245"/>
  <c r="R38" i="2245"/>
  <c r="D38" i="2245"/>
  <c r="R37" i="2245"/>
  <c r="D37" i="2245"/>
  <c r="R36" i="2245"/>
  <c r="L10" i="2245" s="1"/>
  <c r="D10" i="2245" s="1"/>
  <c r="D36" i="2245"/>
  <c r="D54" i="2245" s="1"/>
  <c r="H14" i="2245" s="1"/>
  <c r="R35" i="2245"/>
  <c r="D35" i="2245"/>
  <c r="R34" i="2245"/>
  <c r="L12" i="2245" s="1"/>
  <c r="D12" i="2245" s="1"/>
  <c r="D34" i="2245"/>
  <c r="R33" i="2245"/>
  <c r="L23" i="2245" s="1"/>
  <c r="D23" i="2245" s="1"/>
  <c r="R32" i="2245"/>
  <c r="L11" i="2245" s="1"/>
  <c r="D11" i="2245" s="1"/>
  <c r="R31" i="2245"/>
  <c r="R30" i="2245"/>
  <c r="R29" i="2245"/>
  <c r="R28" i="2245"/>
  <c r="L16" i="2245" s="1"/>
  <c r="D16" i="2245" s="1"/>
  <c r="D28" i="2245"/>
  <c r="R27" i="2245"/>
  <c r="D27" i="2245"/>
  <c r="R26" i="2245"/>
  <c r="L26" i="2245"/>
  <c r="D26" i="2245"/>
  <c r="R25" i="2245"/>
  <c r="L25" i="2245"/>
  <c r="D25" i="2245"/>
  <c r="R24" i="2245"/>
  <c r="D24" i="2245"/>
  <c r="R23" i="2245"/>
  <c r="R22" i="2245"/>
  <c r="L22" i="2245"/>
  <c r="D22" i="2245"/>
  <c r="R21" i="2245"/>
  <c r="D21" i="2245"/>
  <c r="R20" i="2245"/>
  <c r="L20" i="2245"/>
  <c r="D20" i="2245"/>
  <c r="R19" i="2245"/>
  <c r="L19" i="2245"/>
  <c r="D19" i="2245"/>
  <c r="R18" i="2245"/>
  <c r="D18" i="2245"/>
  <c r="R17" i="2245"/>
  <c r="D17" i="2245"/>
  <c r="R16" i="2245"/>
  <c r="S15" i="2245"/>
  <c r="R15" i="2245"/>
  <c r="D15" i="2245"/>
  <c r="S14" i="2245"/>
  <c r="R14" i="2245"/>
  <c r="D14" i="2245"/>
  <c r="R13" i="2245"/>
  <c r="D13" i="2245"/>
  <c r="R12" i="2245"/>
  <c r="R11" i="2245"/>
  <c r="L9" i="2245"/>
  <c r="D9" i="2245" s="1"/>
  <c r="R6" i="2245"/>
  <c r="L6" i="2245"/>
  <c r="D6" i="2245"/>
  <c r="R5" i="2245"/>
  <c r="R4" i="2245"/>
  <c r="G51" i="2260" l="1"/>
  <c r="G51" i="2259"/>
  <c r="G51" i="2271"/>
  <c r="G51" i="2270"/>
  <c r="G51" i="2268"/>
  <c r="G51" i="2267"/>
  <c r="G51" i="2264"/>
  <c r="G51" i="2263"/>
  <c r="G51" i="2262"/>
  <c r="G51" i="2255"/>
  <c r="G51" i="2254"/>
  <c r="H15" i="2248"/>
  <c r="H29" i="2248" s="1"/>
  <c r="F51" i="2248" s="1"/>
  <c r="H15" i="2247"/>
  <c r="H29" i="2247" s="1"/>
  <c r="F51" i="2247" s="1"/>
  <c r="H15" i="2252"/>
  <c r="H29" i="2252" s="1"/>
  <c r="F51" i="2252" s="1"/>
  <c r="H15" i="2251"/>
  <c r="H29" i="2251" s="1"/>
  <c r="F51" i="2251" s="1"/>
  <c r="H15" i="2250"/>
  <c r="H29" i="2250" s="1"/>
  <c r="F51" i="2250" s="1"/>
  <c r="D29" i="2245"/>
  <c r="H13" i="2245" s="1"/>
  <c r="H15" i="2245" s="1"/>
  <c r="H29" i="2245" s="1"/>
  <c r="G51" i="2245" s="1"/>
  <c r="R52" i="2244"/>
  <c r="R51" i="2244"/>
  <c r="D50" i="2244"/>
  <c r="R49" i="2244"/>
  <c r="D49" i="2244"/>
  <c r="R48" i="2244"/>
  <c r="D48" i="2244"/>
  <c r="D46" i="2244"/>
  <c r="D45" i="2244"/>
  <c r="R44" i="2244"/>
  <c r="D44" i="2244"/>
  <c r="R42" i="2244"/>
  <c r="L6" i="2244" s="1"/>
  <c r="D6" i="2244" s="1"/>
  <c r="D42" i="2244"/>
  <c r="R41" i="2244"/>
  <c r="D41" i="2244"/>
  <c r="R40" i="2244"/>
  <c r="L8" i="2244" s="1"/>
  <c r="D8" i="2244" s="1"/>
  <c r="D40" i="2244"/>
  <c r="R39" i="2244"/>
  <c r="H39" i="2244"/>
  <c r="D39" i="2244"/>
  <c r="R38" i="2244"/>
  <c r="H38" i="2244"/>
  <c r="D38" i="2244"/>
  <c r="R37" i="2244"/>
  <c r="H37" i="2244"/>
  <c r="D37" i="2244"/>
  <c r="R36" i="2244"/>
  <c r="L10" i="2244" s="1"/>
  <c r="D10" i="2244" s="1"/>
  <c r="H36" i="2244"/>
  <c r="D36" i="2244"/>
  <c r="R35" i="2244"/>
  <c r="H35" i="2244"/>
  <c r="D35" i="2244"/>
  <c r="R34" i="2244"/>
  <c r="H34" i="2244"/>
  <c r="D34" i="2244"/>
  <c r="R33" i="2244"/>
  <c r="L19" i="2244" s="1"/>
  <c r="D19" i="2244" s="1"/>
  <c r="R32" i="2244"/>
  <c r="L11" i="2244" s="1"/>
  <c r="D11" i="2244" s="1"/>
  <c r="R31" i="2244"/>
  <c r="R30" i="2244"/>
  <c r="R29" i="2244"/>
  <c r="R28" i="2244"/>
  <c r="L28" i="2244"/>
  <c r="D28" i="2244"/>
  <c r="R27" i="2244"/>
  <c r="L27" i="2244"/>
  <c r="D27" i="2244" s="1"/>
  <c r="R26" i="2244"/>
  <c r="L26" i="2244"/>
  <c r="D26" i="2244"/>
  <c r="R25" i="2244"/>
  <c r="L25" i="2244"/>
  <c r="D25" i="2244" s="1"/>
  <c r="R24" i="2244"/>
  <c r="L24" i="2244"/>
  <c r="D24" i="2244"/>
  <c r="R23" i="2244"/>
  <c r="L23" i="2244"/>
  <c r="D23" i="2244"/>
  <c r="R22" i="2244"/>
  <c r="L20" i="2244" s="1"/>
  <c r="D20" i="2244" s="1"/>
  <c r="L22" i="2244"/>
  <c r="D22" i="2244"/>
  <c r="R21" i="2244"/>
  <c r="L21" i="2244"/>
  <c r="D21" i="2244" s="1"/>
  <c r="R20" i="2244"/>
  <c r="R19" i="2244"/>
  <c r="R18" i="2244"/>
  <c r="L18" i="2244"/>
  <c r="D18" i="2244"/>
  <c r="R17" i="2244"/>
  <c r="L17" i="2244"/>
  <c r="D17" i="2244" s="1"/>
  <c r="R16" i="2244"/>
  <c r="L16" i="2244"/>
  <c r="D16" i="2244"/>
  <c r="R15" i="2244"/>
  <c r="L15" i="2244"/>
  <c r="D15" i="2244"/>
  <c r="R14" i="2244"/>
  <c r="D14" i="2244"/>
  <c r="R13" i="2244"/>
  <c r="D13" i="2244"/>
  <c r="R12" i="2244"/>
  <c r="L12" i="2244"/>
  <c r="D12" i="2244" s="1"/>
  <c r="R11" i="2244"/>
  <c r="L9" i="2244"/>
  <c r="D9" i="2244"/>
  <c r="L7" i="2244"/>
  <c r="D7" i="2244"/>
  <c r="R6" i="2244"/>
  <c r="R5" i="2244"/>
  <c r="R4" i="2244"/>
  <c r="R52" i="2243"/>
  <c r="R51" i="2243"/>
  <c r="D50" i="2243"/>
  <c r="R49" i="2243"/>
  <c r="D49" i="2243"/>
  <c r="R48" i="2243"/>
  <c r="D48" i="2243"/>
  <c r="D46" i="2243"/>
  <c r="D45" i="2243"/>
  <c r="R44" i="2243"/>
  <c r="D44" i="2243"/>
  <c r="R42" i="2243"/>
  <c r="D42" i="2243"/>
  <c r="R41" i="2243"/>
  <c r="D41" i="2243"/>
  <c r="R40" i="2243"/>
  <c r="L8" i="2243" s="1"/>
  <c r="D8" i="2243" s="1"/>
  <c r="D40" i="2243"/>
  <c r="R39" i="2243"/>
  <c r="H39" i="2243"/>
  <c r="D39" i="2243"/>
  <c r="R38" i="2243"/>
  <c r="L9" i="2243" s="1"/>
  <c r="D9" i="2243" s="1"/>
  <c r="H38" i="2243"/>
  <c r="D38" i="2243"/>
  <c r="R37" i="2243"/>
  <c r="H37" i="2243"/>
  <c r="D37" i="2243"/>
  <c r="R36" i="2243"/>
  <c r="L10" i="2243" s="1"/>
  <c r="D10" i="2243" s="1"/>
  <c r="H36" i="2243"/>
  <c r="D36" i="2243"/>
  <c r="R35" i="2243"/>
  <c r="H35" i="2243"/>
  <c r="D35" i="2243"/>
  <c r="R34" i="2243"/>
  <c r="L12" i="2243" s="1"/>
  <c r="D12" i="2243" s="1"/>
  <c r="H34" i="2243"/>
  <c r="D34" i="2243"/>
  <c r="R33" i="2243"/>
  <c r="R32" i="2243"/>
  <c r="R31" i="2243"/>
  <c r="R30" i="2243"/>
  <c r="R29" i="2243"/>
  <c r="R28" i="2243"/>
  <c r="L28" i="2243"/>
  <c r="D28" i="2243"/>
  <c r="R27" i="2243"/>
  <c r="L27" i="2243"/>
  <c r="D27" i="2243"/>
  <c r="R26" i="2243"/>
  <c r="L26" i="2243"/>
  <c r="D26" i="2243"/>
  <c r="R25" i="2243"/>
  <c r="L25" i="2243"/>
  <c r="D25" i="2243"/>
  <c r="R24" i="2243"/>
  <c r="L24" i="2243"/>
  <c r="D24" i="2243"/>
  <c r="R23" i="2243"/>
  <c r="L23" i="2243"/>
  <c r="D23" i="2243" s="1"/>
  <c r="R22" i="2243"/>
  <c r="L22" i="2243"/>
  <c r="D22" i="2243"/>
  <c r="R21" i="2243"/>
  <c r="L17" i="2243" s="1"/>
  <c r="D17" i="2243" s="1"/>
  <c r="D21" i="2243"/>
  <c r="R20" i="2243"/>
  <c r="L20" i="2243"/>
  <c r="D20" i="2243" s="1"/>
  <c r="R19" i="2243"/>
  <c r="L19" i="2243"/>
  <c r="D19" i="2243"/>
  <c r="R18" i="2243"/>
  <c r="L18" i="2243"/>
  <c r="D18" i="2243" s="1"/>
  <c r="R17" i="2243"/>
  <c r="R16" i="2243"/>
  <c r="L16" i="2243"/>
  <c r="D16" i="2243"/>
  <c r="R15" i="2243"/>
  <c r="R14" i="2243"/>
  <c r="L14" i="2243"/>
  <c r="D14" i="2243"/>
  <c r="R13" i="2243"/>
  <c r="D13" i="2243"/>
  <c r="R12" i="2243"/>
  <c r="R11" i="2243"/>
  <c r="L11" i="2243"/>
  <c r="D11" i="2243"/>
  <c r="L7" i="2243"/>
  <c r="D7" i="2243"/>
  <c r="R6" i="2243"/>
  <c r="L6" i="2243"/>
  <c r="D6" i="2243" s="1"/>
  <c r="R5" i="2243"/>
  <c r="R4" i="2243"/>
  <c r="L15" i="2243" s="1"/>
  <c r="D15" i="2243" s="1"/>
  <c r="V68" i="2242"/>
  <c r="R52" i="2242"/>
  <c r="R51" i="2242"/>
  <c r="D50" i="2242"/>
  <c r="R49" i="2242"/>
  <c r="D49" i="2242"/>
  <c r="R48" i="2242"/>
  <c r="D48" i="2242"/>
  <c r="D46" i="2242"/>
  <c r="D45" i="2242"/>
  <c r="R44" i="2242"/>
  <c r="L28" i="2242" s="1"/>
  <c r="D28" i="2242" s="1"/>
  <c r="D44" i="2242"/>
  <c r="R42" i="2242"/>
  <c r="L6" i="2242" s="1"/>
  <c r="D6" i="2242" s="1"/>
  <c r="D42" i="2242"/>
  <c r="R41" i="2242"/>
  <c r="L7" i="2242" s="1"/>
  <c r="D7" i="2242" s="1"/>
  <c r="D41" i="2242"/>
  <c r="R40" i="2242"/>
  <c r="L8" i="2242" s="1"/>
  <c r="D8" i="2242" s="1"/>
  <c r="D40" i="2242"/>
  <c r="R39" i="2242"/>
  <c r="H39" i="2242"/>
  <c r="D39" i="2242"/>
  <c r="R38" i="2242"/>
  <c r="H38" i="2242"/>
  <c r="D38" i="2242"/>
  <c r="R37" i="2242"/>
  <c r="H37" i="2242"/>
  <c r="D37" i="2242"/>
  <c r="R36" i="2242"/>
  <c r="H36" i="2242"/>
  <c r="D36" i="2242"/>
  <c r="R35" i="2242"/>
  <c r="H35" i="2242"/>
  <c r="D35" i="2242"/>
  <c r="R34" i="2242"/>
  <c r="L12" i="2242" s="1"/>
  <c r="D12" i="2242" s="1"/>
  <c r="H34" i="2242"/>
  <c r="D34" i="2242"/>
  <c r="R33" i="2242"/>
  <c r="L19" i="2242" s="1"/>
  <c r="D19" i="2242" s="1"/>
  <c r="R32" i="2242"/>
  <c r="R31" i="2242"/>
  <c r="R30" i="2242"/>
  <c r="R29" i="2242"/>
  <c r="R28" i="2242"/>
  <c r="R27" i="2242"/>
  <c r="L27" i="2242"/>
  <c r="D27" i="2242"/>
  <c r="R26" i="2242"/>
  <c r="L26" i="2242"/>
  <c r="D26" i="2242"/>
  <c r="R25" i="2242"/>
  <c r="L25" i="2242"/>
  <c r="D25" i="2242"/>
  <c r="R24" i="2242"/>
  <c r="L24" i="2242"/>
  <c r="D24" i="2242"/>
  <c r="R23" i="2242"/>
  <c r="L23" i="2242"/>
  <c r="D23" i="2242"/>
  <c r="R22" i="2242"/>
  <c r="L22" i="2242"/>
  <c r="D22" i="2242"/>
  <c r="R21" i="2242"/>
  <c r="L17" i="2242" s="1"/>
  <c r="D17" i="2242" s="1"/>
  <c r="L21" i="2242"/>
  <c r="D21" i="2242"/>
  <c r="R20" i="2242"/>
  <c r="L20" i="2242"/>
  <c r="D20" i="2242" s="1"/>
  <c r="R19" i="2242"/>
  <c r="R18" i="2242"/>
  <c r="L18" i="2242"/>
  <c r="D18" i="2242" s="1"/>
  <c r="R17" i="2242"/>
  <c r="R16" i="2242"/>
  <c r="L16" i="2242"/>
  <c r="D16" i="2242"/>
  <c r="R15" i="2242"/>
  <c r="L15" i="2242"/>
  <c r="D15" i="2242" s="1"/>
  <c r="R14" i="2242"/>
  <c r="D14" i="2242"/>
  <c r="R13" i="2242"/>
  <c r="D13" i="2242"/>
  <c r="R12" i="2242"/>
  <c r="R11" i="2242"/>
  <c r="L11" i="2242"/>
  <c r="D11" i="2242"/>
  <c r="L10" i="2242"/>
  <c r="D10" i="2242"/>
  <c r="L9" i="2242"/>
  <c r="D9" i="2242" s="1"/>
  <c r="R6" i="2242"/>
  <c r="R5" i="2242"/>
  <c r="R4" i="2242"/>
  <c r="R52" i="2241"/>
  <c r="R51" i="2241"/>
  <c r="D50" i="2241"/>
  <c r="R49" i="2241"/>
  <c r="G49" i="2241"/>
  <c r="D49" i="2241"/>
  <c r="R48" i="2241"/>
  <c r="D48" i="2241"/>
  <c r="D46" i="2241"/>
  <c r="D45" i="2241"/>
  <c r="D44" i="2241"/>
  <c r="R42" i="2241"/>
  <c r="L6" i="2241" s="1"/>
  <c r="D6" i="2241" s="1"/>
  <c r="D42" i="2241"/>
  <c r="R41" i="2241"/>
  <c r="L7" i="2241" s="1"/>
  <c r="D7" i="2241" s="1"/>
  <c r="D41" i="2241"/>
  <c r="R40" i="2241"/>
  <c r="D40" i="2241"/>
  <c r="R39" i="2241"/>
  <c r="D39" i="2241"/>
  <c r="R38" i="2241"/>
  <c r="L9" i="2241" s="1"/>
  <c r="D9" i="2241" s="1"/>
  <c r="D38" i="2241"/>
  <c r="D54" i="2241" s="1"/>
  <c r="H14" i="2241" s="1"/>
  <c r="R37" i="2241"/>
  <c r="D37" i="2241"/>
  <c r="R36" i="2241"/>
  <c r="L10" i="2241" s="1"/>
  <c r="D10" i="2241" s="1"/>
  <c r="D36" i="2241"/>
  <c r="R35" i="2241"/>
  <c r="D35" i="2241"/>
  <c r="R34" i="2241"/>
  <c r="L12" i="2241" s="1"/>
  <c r="D12" i="2241" s="1"/>
  <c r="D34" i="2241"/>
  <c r="R33" i="2241"/>
  <c r="L23" i="2241" s="1"/>
  <c r="D23" i="2241" s="1"/>
  <c r="R32" i="2241"/>
  <c r="R31" i="2241"/>
  <c r="R30" i="2241"/>
  <c r="R29" i="2241"/>
  <c r="R28" i="2241"/>
  <c r="L16" i="2241" s="1"/>
  <c r="D16" i="2241" s="1"/>
  <c r="D28" i="2241"/>
  <c r="R27" i="2241"/>
  <c r="D27" i="2241"/>
  <c r="R26" i="2241"/>
  <c r="L26" i="2241"/>
  <c r="D26" i="2241"/>
  <c r="R25" i="2241"/>
  <c r="L25" i="2241"/>
  <c r="D25" i="2241"/>
  <c r="R24" i="2241"/>
  <c r="D24" i="2241"/>
  <c r="R23" i="2241"/>
  <c r="R22" i="2241"/>
  <c r="L22" i="2241"/>
  <c r="D22" i="2241" s="1"/>
  <c r="R21" i="2241"/>
  <c r="D21" i="2241"/>
  <c r="R20" i="2241"/>
  <c r="L20" i="2241"/>
  <c r="D20" i="2241"/>
  <c r="R19" i="2241"/>
  <c r="L19" i="2241"/>
  <c r="D19" i="2241"/>
  <c r="R18" i="2241"/>
  <c r="D18" i="2241"/>
  <c r="R17" i="2241"/>
  <c r="D17" i="2241"/>
  <c r="R16" i="2241"/>
  <c r="S15" i="2241"/>
  <c r="R15" i="2241"/>
  <c r="D15" i="2241"/>
  <c r="S14" i="2241"/>
  <c r="R14" i="2241"/>
  <c r="D14" i="2241"/>
  <c r="R13" i="2241"/>
  <c r="D13" i="2241"/>
  <c r="R12" i="2241"/>
  <c r="R11" i="2241"/>
  <c r="L11" i="2241"/>
  <c r="D11" i="2241" s="1"/>
  <c r="L8" i="2241"/>
  <c r="D8" i="2241"/>
  <c r="R6" i="2241"/>
  <c r="R5" i="2241"/>
  <c r="R4" i="2241"/>
  <c r="G51" i="2248" l="1"/>
  <c r="G51" i="2247"/>
  <c r="G51" i="2252"/>
  <c r="G51" i="2251"/>
  <c r="G51" i="2250"/>
  <c r="G49" i="2244"/>
  <c r="D54" i="2244"/>
  <c r="H14" i="2244" s="1"/>
  <c r="G49" i="2242"/>
  <c r="G49" i="2243"/>
  <c r="D54" i="2243"/>
  <c r="H14" i="2243" s="1"/>
  <c r="D29" i="2243"/>
  <c r="H13" i="2243" s="1"/>
  <c r="D54" i="2242"/>
  <c r="H14" i="2242" s="1"/>
  <c r="D29" i="2244"/>
  <c r="H13" i="2244" s="1"/>
  <c r="D29" i="2242"/>
  <c r="H13" i="2242" s="1"/>
  <c r="D29" i="2241"/>
  <c r="H13" i="2241" s="1"/>
  <c r="H15" i="2241" s="1"/>
  <c r="H29" i="2241" s="1"/>
  <c r="G51" i="2241"/>
  <c r="H15" i="2244" l="1"/>
  <c r="H29" i="2244" s="1"/>
  <c r="F51" i="2244" s="1"/>
  <c r="H15" i="2243"/>
  <c r="H29" i="2243" s="1"/>
  <c r="G51" i="2243" s="1"/>
  <c r="H15" i="2242"/>
  <c r="H29" i="2242" s="1"/>
  <c r="F51" i="2242" s="1"/>
  <c r="G51" i="2244" l="1"/>
  <c r="F51" i="2243"/>
  <c r="G51" i="224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20" authorId="0" shapeId="0" xr:uid="{B19EEE54-4103-42EE-BB65-DE41CC5116F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SHIRMAY ANN STORE
SI NO. 11701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20" authorId="0" shapeId="0" xr:uid="{4DB4874D-7704-488B-AE10-64809E66425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TAGULOB STORE
SI NO. 11718
650 X 7 = 4550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20" authorId="0" shapeId="0" xr:uid="{060713BA-A845-4420-9F84-0D46A22359D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JODIS VARIETY STORE
SI NO. 11764
650 X 5 = 3250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20" authorId="0" shapeId="0" xr:uid="{18A107F4-3A78-4150-9916-805D13629AB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FACOMA 2307
</t>
        </r>
      </text>
    </comment>
  </commentList>
</comments>
</file>

<file path=xl/sharedStrings.xml><?xml version="1.0" encoding="utf-8"?>
<sst xmlns="http://schemas.openxmlformats.org/spreadsheetml/2006/main" count="9782" uniqueCount="205">
  <si>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</si>
  <si>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</si>
  <si>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</si>
  <si>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</si>
  <si>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</si>
  <si>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</si>
  <si>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</si>
  <si>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</si>
  <si>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</si>
  <si>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</si>
  <si>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</si>
  <si>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</si>
  <si>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</si>
  <si>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</si>
  <si>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</si>
  <si>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</si>
  <si>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</si>
  <si>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</si>
  <si>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</si>
  <si>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</si>
  <si>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</si>
  <si>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</si>
  <si>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</si>
  <si>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</si>
  <si>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</si>
  <si>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</si>
  <si>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</si>
  <si>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</si>
  <si>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</si>
  <si>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</si>
  <si>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</si>
  <si>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</si>
  <si>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</si>
  <si>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</si>
  <si>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</si>
  <si>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</si>
  <si>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</si>
  <si>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</si>
  <si>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</si>
  <si>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</si>
  <si>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</si>
  <si>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</si>
  <si>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</si>
  <si>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</si>
  <si>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</si>
  <si>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</si>
  <si>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</si>
  <si>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</si>
  <si>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</si>
  <si>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</si>
  <si>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</si>
  <si>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</si>
  <si>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</si>
  <si>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</si>
  <si>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</si>
  <si>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</si>
  <si>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</si>
  <si>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</si>
  <si>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</si>
  <si>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</si>
  <si>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</si>
  <si>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</si>
  <si>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</si>
  <si>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</si>
  <si>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</si>
  <si>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</si>
  <si>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</si>
  <si>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</si>
  <si>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</si>
  <si>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</si>
  <si>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</si>
  <si>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</si>
  <si>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</si>
  <si>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</si>
  <si>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</si>
  <si>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</si>
  <si>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</si>
  <si>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</si>
  <si>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</si>
  <si>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</si>
  <si>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</si>
  <si>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</si>
  <si>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</si>
  <si>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</si>
  <si>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</si>
  <si>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</si>
  <si>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</si>
  <si>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</si>
  <si>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</si>
  <si>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</si>
  <si>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</si>
  <si>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</si>
  <si>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RHSL</t>
  </si>
  <si>
    <t>S.I. NO.</t>
  </si>
  <si>
    <t>LESS: CREDIT</t>
  </si>
  <si>
    <t>ADD: COLLECTION</t>
  </si>
  <si>
    <t>CHOCO LAGER CAN</t>
  </si>
  <si>
    <t>RED HORSE 500 CAN</t>
  </si>
  <si>
    <t>RED HORSE SUPER 1000</t>
  </si>
  <si>
    <t>DANDAYO, RONNEL</t>
  </si>
  <si>
    <t>ENCLONAR, JEROME</t>
  </si>
  <si>
    <t>SALIG, JOVANI</t>
  </si>
  <si>
    <t>OTHERS/PROMO</t>
  </si>
  <si>
    <t>RHS BOTT.</t>
  </si>
  <si>
    <t>RHSL BOTT.</t>
  </si>
  <si>
    <t>SMLC/PPC/RHC</t>
  </si>
  <si>
    <t>SHORT / OVER</t>
  </si>
  <si>
    <t>PORMENTO, ESTEMARK</t>
  </si>
  <si>
    <t>BAOC, PRECILLANO</t>
  </si>
  <si>
    <t>GOMORA, JURLAN</t>
  </si>
  <si>
    <t>CC/CIC/C10C</t>
  </si>
  <si>
    <t>SAN MIG FREE 330ml</t>
  </si>
  <si>
    <t>SAN MIG HARD SELTZER CAN 330ml</t>
  </si>
  <si>
    <t>GICA, GRACE</t>
  </si>
  <si>
    <t xml:space="preserve">                            GRACE B. GICA</t>
  </si>
  <si>
    <t>SALIG, JULIVEN</t>
  </si>
  <si>
    <t>PP BOTT.</t>
  </si>
  <si>
    <t>CB/CIB</t>
  </si>
  <si>
    <t>PAMB/CBB/SDB/CNB</t>
  </si>
  <si>
    <t>RACAZA, ALEXANDER</t>
  </si>
  <si>
    <t>FBAC/FBLC/FBLYC</t>
  </si>
  <si>
    <t>PAMC/CBC/SDC/CLC</t>
  </si>
  <si>
    <t>SMLB BOTT.</t>
  </si>
  <si>
    <t>FB BOTT</t>
  </si>
  <si>
    <t>RHP BOTT.</t>
  </si>
  <si>
    <t>SMFB BOTT.</t>
  </si>
  <si>
    <t>RH500C</t>
  </si>
  <si>
    <t xml:space="preserve">                        ESTEMARK PORMENTO</t>
  </si>
  <si>
    <t xml:space="preserve">                           RONNEL, DANDAYO</t>
  </si>
  <si>
    <t>SMLB  BOTT.</t>
  </si>
  <si>
    <t>SHORT OVER</t>
  </si>
  <si>
    <t>NET SALES</t>
  </si>
  <si>
    <t>SOUND CHECK</t>
  </si>
  <si>
    <t>PNB</t>
  </si>
  <si>
    <t>BANK TRANSFER</t>
  </si>
  <si>
    <t>G-CASH</t>
  </si>
  <si>
    <t>BDO</t>
  </si>
  <si>
    <t>132798</t>
  </si>
  <si>
    <t>1VB</t>
  </si>
  <si>
    <t>5252209</t>
  </si>
  <si>
    <t>51199</t>
  </si>
  <si>
    <t>60740</t>
  </si>
  <si>
    <t>PODIOTAN, AIR JOHN</t>
  </si>
  <si>
    <t xml:space="preserve">                            AIR JOHN PODIOTAN</t>
  </si>
  <si>
    <t>51200</t>
  </si>
  <si>
    <t>2000003246</t>
  </si>
  <si>
    <t>2000008747</t>
  </si>
  <si>
    <t>151284</t>
  </si>
  <si>
    <t>PSBC</t>
  </si>
  <si>
    <t>2130022077</t>
  </si>
  <si>
    <t>153277</t>
  </si>
  <si>
    <t>51205</t>
  </si>
  <si>
    <t>60752</t>
  </si>
  <si>
    <t>2000003302</t>
  </si>
  <si>
    <t>2000004272</t>
  </si>
  <si>
    <t>2130022085</t>
  </si>
  <si>
    <t>51208</t>
  </si>
  <si>
    <t>2000008766</t>
  </si>
  <si>
    <t>2000003304</t>
  </si>
  <si>
    <t>151305</t>
  </si>
  <si>
    <t>51210</t>
  </si>
  <si>
    <t>60756</t>
  </si>
  <si>
    <t>SML500C</t>
  </si>
  <si>
    <t>BALWARTE</t>
  </si>
  <si>
    <t>2000008771</t>
  </si>
  <si>
    <t>2120013249</t>
  </si>
  <si>
    <t xml:space="preserve">PNB </t>
  </si>
  <si>
    <t>153301</t>
  </si>
  <si>
    <t>2130022091</t>
  </si>
  <si>
    <t>SHIRMAY ANN STORE(Promo)</t>
  </si>
  <si>
    <t>TAGULOB STORE (Promo)</t>
  </si>
  <si>
    <t>JODI'S VARIETY STORE(Promo)</t>
  </si>
  <si>
    <t>SMFC</t>
  </si>
  <si>
    <t>2120013252</t>
  </si>
  <si>
    <t>2130022095</t>
  </si>
  <si>
    <t>51216</t>
  </si>
  <si>
    <t>2000006291</t>
  </si>
  <si>
    <t>154142</t>
  </si>
  <si>
    <t>153318</t>
  </si>
  <si>
    <t>2000003324</t>
  </si>
  <si>
    <t>2000008782</t>
  </si>
  <si>
    <t>2000003329</t>
  </si>
  <si>
    <t>2000008786</t>
  </si>
  <si>
    <t>154150</t>
  </si>
  <si>
    <t>153002</t>
  </si>
  <si>
    <t>2130022099</t>
  </si>
  <si>
    <t>51222</t>
  </si>
  <si>
    <t>60771</t>
  </si>
  <si>
    <t>1ST VB</t>
  </si>
  <si>
    <t>5252217</t>
  </si>
  <si>
    <t>2130022004</t>
  </si>
  <si>
    <t>153330</t>
  </si>
  <si>
    <t xml:space="preserve">                        GINA GRACE LOPEZ</t>
  </si>
  <si>
    <t>GINA GRACE LOPEZ</t>
  </si>
  <si>
    <t>LOPEZ, GINA GRACE</t>
  </si>
  <si>
    <t xml:space="preserve">                        GINA GRACE, LOPEZ</t>
  </si>
  <si>
    <t>2120013446</t>
  </si>
  <si>
    <t>51225</t>
  </si>
  <si>
    <t>SMLC500C</t>
  </si>
  <si>
    <t>1418124</t>
  </si>
  <si>
    <t>153331</t>
  </si>
  <si>
    <t>2000003340</t>
  </si>
  <si>
    <t>2000006309</t>
  </si>
  <si>
    <t>132805</t>
  </si>
  <si>
    <t>51953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</si>
</sst>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65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21" fillId="0" borderId="16" xfId="0" applyFont="1" applyBorder="1"/>
    <xf numFmtId="0" fontId="20" fillId="0" borderId="21" xfId="0" applyFont="1" applyBorder="1"/>
    <xf numFmtId="0" fontId="20" fillId="0" borderId="0" xfId="0" applyFont="1"/>
    <xf numFmtId="0" fontId="20" fillId="0" borderId="10" xfId="0" applyFont="1" applyBorder="1"/>
    <xf numFmtId="0" fontId="20" fillId="0" borderId="16" xfId="0" applyFont="1" applyBorder="1"/>
    <xf numFmtId="49" fontId="0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49" fontId="20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24" fillId="0" borderId="10" xfId="0" applyFont="1" applyBorder="1" applyAlignment="1">
      <alignment horizontal="center"/>
    </xf>
    <xf numFmtId="0" fontId="14" fillId="0" borderId="10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2" fontId="0" fillId="0" borderId="0" xfId="0" applyNumberFormat="1"/>
    <xf numFmtId="43" fontId="0" fillId="2" borderId="1" xfId="1" applyFont="1" applyFill="1" applyBorder="1"/>
    <xf numFmtId="0" fontId="0" fillId="0" borderId="6" xfId="0" applyBorder="1" applyAlignment="1">
      <alignment horizontal="right" vertical="center" wrapText="1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9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0" fontId="0" fillId="3" borderId="16" xfId="0" applyFill="1" applyBorder="1" applyAlignment="1">
      <alignment horizont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0" fontId="0" fillId="0" borderId="23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4" fillId="0" borderId="23" xfId="0" applyFont="1" applyBorder="1" applyAlignment="1">
      <alignment horizontal="right"/>
    </xf>
    <xf numFmtId="4" fontId="4" fillId="0" borderId="12" xfId="0" applyNumberFormat="1" applyFont="1" applyBorder="1" applyAlignment="1">
      <alignment horizontal="right"/>
    </xf>
    <xf numFmtId="4" fontId="4" fillId="0" borderId="28" xfId="0" applyNumberFormat="1" applyFont="1" applyBorder="1" applyAlignment="1">
      <alignment horizontal="right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44" fontId="12" fillId="3" borderId="16" xfId="0" applyNumberFormat="1" applyFont="1" applyFill="1" applyBorder="1" applyAlignment="1">
      <alignment horizontal="right"/>
    </xf>
    <xf numFmtId="4" fontId="12" fillId="0" borderId="23" xfId="0" applyNumberFormat="1" applyFont="1" applyBorder="1" applyAlignment="1">
      <alignment horizontal="right"/>
    </xf>
  </cellXfs>
  <cellStyles count="2">
    <cellStyle name="Comma" xfId="1" builtinId="3"/>
    <cellStyle name="Normal" xfId="0" builtinId="0"/>
  </cellStyles>
  <dxfs count="162"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</font>
    </dxf>
    <dxf>
      <font>
        <u/>
        <color rgb="FFFF0000"/>
      </font>
      <numFmt numFmtId="30" formatCode="@"/>
      <fill>
        <patternFill>
          <bgColor theme="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worksheet" Target="worksheets/sheet66.xml"/><Relationship Id="rId74" Type="http://schemas.openxmlformats.org/officeDocument/2006/relationships/theme" Target="theme/theme1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77" Type="http://schemas.openxmlformats.org/officeDocument/2006/relationships/calcChain" Target="calcChain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9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60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6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4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6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8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6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1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72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BEAC3E2-2EB3-4D95-B55B-DDBF6AA0DE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5A01B87-3BB5-43A1-936C-8818BE7CF8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AE624D2-5C6D-4694-9AB8-87C60C9011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46D830F-AC8D-4B47-B48B-AF801AC854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551A01D-B01D-4230-B4A3-F6B917A167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CB85E1F-9D2B-4E08-A22D-7E15D3ADE3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3945BB2-C57D-4E69-B7EB-744E6A5328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495300</xdr:colOff>
      <xdr:row>50</xdr:row>
      <xdr:rowOff>0</xdr:rowOff>
    </xdr:from>
    <xdr:to>
      <xdr:col>3</xdr:col>
      <xdr:colOff>577245</xdr:colOff>
      <xdr:row>61</xdr:row>
      <xdr:rowOff>152400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97F7D53-E9B9-402B-A601-37081EDF46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85800" y="9772650"/>
          <a:ext cx="1701195" cy="2266950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F1895F-B5AA-4CC3-8BC3-23093AB925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4376C2E-EAA7-4CD2-BD56-D53A4D0DA5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072A39A-2914-4A3B-BF79-1C0481BEA2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F32345F-35BB-41C7-8676-56CD9B1D47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7E099EF-5BF4-44A7-8F78-D3EE3CC6A9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19872DA-6D6E-426B-B233-7AB9A5460E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2D3884F-11A7-4F29-BC20-1DB42B8B63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3DF6C1D-3075-43A9-A83A-24FCC6B67A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0290492-1AEB-4342-8096-15F16A55EB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7BA8B39-ADF7-4C48-9CDB-2CFA5A92BC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9C6B139-2FE6-4D5C-BCDE-B5F06F4806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26CCE10-A7F7-41C4-A200-41352C1037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2BD5720-A593-4EDD-BDF0-8E39770A63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69090BE-2947-40EE-BA53-22C5D18350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DD7BA5C-7D06-43F2-93DC-7A14710283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602ED57-B967-4BF7-B5C1-1655C383E6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535FCAE-97BE-4E9A-BDB1-DDF866ADB2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E11D802-80A2-4F21-9C8F-7BB7A7605C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77B9DFD-59F2-4EC9-82F8-5485DCFC48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9664FEF-B0AC-4081-B2D0-B0A8B982AC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C87C17A-0622-4170-8D51-0CFA2C4047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85FF356-D7B0-4FE8-94B4-1FBBBE9E5A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52D253D-C977-40BD-9FD0-DC0BD78D57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40397FB-7387-4ABE-8039-2E34DF3EFD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1A4507E-7064-427E-96A8-E78F98F871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AA2ABB9-D870-4C39-AF50-B5A9D38ACC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17ED4E5-BEAD-4981-A3BD-67A86321B4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3B9ECDA-CB11-497D-B1E9-60539FEE63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6354FBE-DA53-43BB-A69A-43230E24B7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6074DE5-7CA4-47CC-95A4-3ADC9EA74F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7627991-37F6-46D3-8222-A4BBCE959C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691BBFB-35BC-4121-9663-7D337DE5FC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E9D0E80-0FE0-41AD-A201-9334EF7626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0860FF5-D621-4417-A229-C58FA8640A6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E5E4921-ED28-4E08-819C-CF93C01DAE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01E924-B3B3-4202-A0B3-7BB02BF5C8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0CF106B-BDB6-42A6-8FA1-A8B0FB5BF2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F9DB7DA-5B94-475A-B2B4-C75304CE8C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6244578-D99B-4C4B-A5CE-5BC133BF67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31AA897-8B03-4830-B066-91EAAF118B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D9389-BB39-4706-8A5C-4E05239C84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FC5F1A9-9D4B-478B-AC25-1B93792338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BAD3D66-6D43-404C-8774-8F67EDF685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63DB900-7B69-4845-8D66-9AF7A19873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2F0A96B-E668-458C-99E5-BEF7E1C244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AA66C37-ADE0-4965-BB58-8F4B365300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E0F27F5-5B76-4303-BD0A-76CA4D5F76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080445C-89C9-4568-B510-AAAFFA5EB7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3CB2ABB-A1D4-4F55-8BE6-D20150EC2A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5460217-223C-4BE3-843B-35D7205A4E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28575</xdr:colOff>
      <xdr:row>54</xdr:row>
      <xdr:rowOff>57151</xdr:rowOff>
    </xdr:from>
    <xdr:to>
      <xdr:col>3</xdr:col>
      <xdr:colOff>9525</xdr:colOff>
      <xdr:row>57</xdr:row>
      <xdr:rowOff>147359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6EF0D2C-822E-4E26-9167-48344D1173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28700" y="10610851"/>
          <a:ext cx="790575" cy="661708"/>
        </a:xfrm>
        <a:prstGeom prst="rect">
          <a:avLst/>
        </a:prstGeom>
      </xdr:spPr>
    </xdr:pic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AE90E15-0F25-41C5-B79F-F64AE0D93A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drawings/drawing6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4602B73-C972-41FC-9CF0-E4030ECB92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7983032-42A8-4B49-98EE-2083CED655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7206642-3788-4E2B-B2FA-C1C86992B5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6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390823D-1A9A-4B03-8B2E-BFFBB4C0FA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drawings/drawing6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3884F36-BB3B-46F7-84DB-D4D92902E0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89D1DFD-C521-4541-8DE1-E60B00A611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228600</xdr:colOff>
      <xdr:row>48</xdr:row>
      <xdr:rowOff>161925</xdr:rowOff>
    </xdr:from>
    <xdr:to>
      <xdr:col>3</xdr:col>
      <xdr:colOff>733425</xdr:colOff>
      <xdr:row>63</xdr:row>
      <xdr:rowOff>96788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8C2B3F6-CCA3-41B3-B733-DE7D2A2366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19100" y="9534525"/>
          <a:ext cx="2124075" cy="2830463"/>
        </a:xfrm>
        <a:prstGeom prst="rect">
          <a:avLst/>
        </a:prstGeom>
      </xdr:spPr>
    </xdr:pic>
    <xdr:clientData/>
  </xdr:twoCellAnchor>
</xdr:wsDr>
</file>

<file path=xl/drawings/drawing6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68EB3BD-D9F3-4B08-AE34-3B61E35FDD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drawings/drawing6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7141F43-2A6A-4F11-8B0B-C7A7B18C81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27CE598-2B20-4A60-96BF-43C69E9B4B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54</xdr:row>
      <xdr:rowOff>47626</xdr:rowOff>
    </xdr:from>
    <xdr:to>
      <xdr:col>3</xdr:col>
      <xdr:colOff>85725</xdr:colOff>
      <xdr:row>58</xdr:row>
      <xdr:rowOff>35030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231E5DD-FB18-4EE6-8067-C347404800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0125" y="10601326"/>
          <a:ext cx="895350" cy="749404"/>
        </a:xfrm>
        <a:prstGeom prst="rect">
          <a:avLst/>
        </a:prstGeom>
      </xdr:spPr>
    </xdr:pic>
    <xdr:clientData/>
  </xdr:twoCellAnchor>
</xdr:wsDr>
</file>

<file path=xl/drawings/drawing7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7F68750-6489-4147-9A4C-2B8237DDD1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Relationship Id="rId4" Type="http://schemas.openxmlformats.org/officeDocument/2006/relationships/comments" Target="../comments1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Relationship Id="rId4" Type="http://schemas.openxmlformats.org/officeDocument/2006/relationships/comments" Target="../comments2.xml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Relationship Id="rId4" Type="http://schemas.openxmlformats.org/officeDocument/2006/relationships/comments" Target="../comments3.x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Relationship Id="rId4" Type="http://schemas.openxmlformats.org/officeDocument/2006/relationships/comments" Target="../comments4.xml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9.xml"/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0.xml"/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1.xml"/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2.xml"/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3.xml"/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4.xml"/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5.xml"/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6.xml"/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7.xml"/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8.xml"/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9.xml"/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0.xml"/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1.xml"/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2.xml"/><Relationship Id="rId1" Type="http://schemas.openxmlformats.org/officeDocument/2006/relationships/printerSettings" Target="../printerSettings/printerSettings7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I4" sqref="I4:J5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592998-3B69-4029-98BD-BD9E18561165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1" t="s">
        <v>1</v>
      </c>
      <c r="O1" s="221"/>
      <c r="P1" s="88" t="s">
        <v>2</v>
      </c>
      <c r="Q1" s="8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2" t="s">
        <v>7</v>
      </c>
      <c r="B4" s="173"/>
      <c r="C4" s="173"/>
      <c r="D4" s="174"/>
      <c r="F4" s="222" t="s">
        <v>8</v>
      </c>
      <c r="G4" s="224"/>
      <c r="H4" s="226" t="s">
        <v>9</v>
      </c>
      <c r="I4" s="228"/>
      <c r="J4" s="22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6" t="s">
        <v>7</v>
      </c>
      <c r="B5" s="15" t="s">
        <v>11</v>
      </c>
      <c r="C5" s="9" t="s">
        <v>12</v>
      </c>
      <c r="D5" s="25" t="s">
        <v>13</v>
      </c>
      <c r="F5" s="223"/>
      <c r="G5" s="225"/>
      <c r="H5" s="227"/>
      <c r="I5" s="230"/>
      <c r="J5" s="23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7"/>
      <c r="B6" s="16"/>
      <c r="C6" s="10"/>
      <c r="D6" s="13">
        <f t="shared" ref="D6:D28" si="1">C6*L6</f>
        <v>0</v>
      </c>
      <c r="F6" s="232" t="s">
        <v>16</v>
      </c>
      <c r="G6" s="234"/>
      <c r="H6" s="235"/>
      <c r="I6" s="235"/>
      <c r="J6" s="23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7"/>
      <c r="B7" s="16"/>
      <c r="C7" s="10"/>
      <c r="D7" s="13">
        <f t="shared" si="1"/>
        <v>0</v>
      </c>
      <c r="F7" s="233"/>
      <c r="G7" s="237"/>
      <c r="H7" s="238"/>
      <c r="I7" s="238"/>
      <c r="J7" s="23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7"/>
      <c r="B8" s="16"/>
      <c r="C8" s="10"/>
      <c r="D8" s="13">
        <f t="shared" si="1"/>
        <v>0</v>
      </c>
      <c r="F8" s="240" t="s">
        <v>21</v>
      </c>
      <c r="G8" s="241"/>
      <c r="H8" s="242"/>
      <c r="I8" s="242"/>
      <c r="J8" s="24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7"/>
      <c r="B9" s="16"/>
      <c r="C9" s="10"/>
      <c r="D9" s="13">
        <f t="shared" si="1"/>
        <v>0</v>
      </c>
      <c r="F9" s="233"/>
      <c r="G9" s="244"/>
      <c r="H9" s="245"/>
      <c r="I9" s="245"/>
      <c r="J9" s="24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7"/>
      <c r="C10" s="10"/>
      <c r="D10" s="13">
        <f t="shared" si="1"/>
        <v>0</v>
      </c>
      <c r="F10" s="232" t="s">
        <v>26</v>
      </c>
      <c r="G10" s="247"/>
      <c r="H10" s="248"/>
      <c r="I10" s="248"/>
      <c r="J10" s="249"/>
      <c r="K10" s="8"/>
      <c r="L10" s="6">
        <f>R36</f>
        <v>972</v>
      </c>
      <c r="P10" s="4"/>
      <c r="Q10" s="4"/>
      <c r="R10" s="5"/>
    </row>
    <row r="11" spans="1:19" ht="15.75" x14ac:dyDescent="0.25">
      <c r="A11" s="167"/>
      <c r="B11" s="17"/>
      <c r="C11" s="10"/>
      <c r="D11" s="13">
        <f t="shared" si="1"/>
        <v>0</v>
      </c>
      <c r="F11" s="233"/>
      <c r="G11" s="244"/>
      <c r="H11" s="245"/>
      <c r="I11" s="245"/>
      <c r="J11" s="24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7"/>
      <c r="B12" s="17"/>
      <c r="C12" s="10"/>
      <c r="D12" s="48">
        <f t="shared" si="1"/>
        <v>0</v>
      </c>
      <c r="F12" s="250" t="s">
        <v>33</v>
      </c>
      <c r="G12" s="251"/>
      <c r="H12" s="251"/>
      <c r="I12" s="251"/>
      <c r="J12" s="25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7"/>
      <c r="B13" s="17"/>
      <c r="C13" s="10"/>
      <c r="D13" s="48">
        <f t="shared" si="1"/>
        <v>0</v>
      </c>
      <c r="F13" s="253" t="s">
        <v>36</v>
      </c>
      <c r="G13" s="217"/>
      <c r="H13" s="208">
        <f>D29</f>
        <v>0</v>
      </c>
      <c r="I13" s="209"/>
      <c r="J13" s="21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7"/>
      <c r="B14" s="14"/>
      <c r="C14" s="10"/>
      <c r="D14" s="31">
        <f t="shared" si="1"/>
        <v>0</v>
      </c>
      <c r="F14" s="211" t="s">
        <v>38</v>
      </c>
      <c r="G14" s="212"/>
      <c r="H14" s="213">
        <f>D54</f>
        <v>0</v>
      </c>
      <c r="I14" s="214"/>
      <c r="J14" s="21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7"/>
      <c r="B15" s="14"/>
      <c r="C15" s="10"/>
      <c r="D15" s="31">
        <f t="shared" si="1"/>
        <v>0</v>
      </c>
      <c r="F15" s="216" t="s">
        <v>39</v>
      </c>
      <c r="G15" s="217"/>
      <c r="H15" s="218">
        <f>H13-H14</f>
        <v>0</v>
      </c>
      <c r="I15" s="219"/>
      <c r="J15" s="22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8"/>
      <c r="I16" s="178"/>
      <c r="J16" s="17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7"/>
      <c r="C17" s="10"/>
      <c r="D17" s="48">
        <f t="shared" si="1"/>
        <v>0</v>
      </c>
      <c r="F17" s="56"/>
      <c r="G17" s="66" t="s">
        <v>44</v>
      </c>
      <c r="H17" s="189"/>
      <c r="I17" s="189"/>
      <c r="J17" s="18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7"/>
      <c r="B18" s="19"/>
      <c r="C18" s="10"/>
      <c r="D18" s="48">
        <f t="shared" si="1"/>
        <v>0</v>
      </c>
      <c r="F18" s="56"/>
      <c r="G18" s="66" t="s">
        <v>46</v>
      </c>
      <c r="H18" s="189"/>
      <c r="I18" s="189"/>
      <c r="J18" s="18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7"/>
      <c r="B19" s="14"/>
      <c r="C19" s="10"/>
      <c r="D19" s="48">
        <f t="shared" si="1"/>
        <v>0</v>
      </c>
      <c r="F19" s="56"/>
      <c r="G19" s="68" t="s">
        <v>49</v>
      </c>
      <c r="H19" s="190"/>
      <c r="I19" s="190"/>
      <c r="J19" s="19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7"/>
      <c r="B20" s="46"/>
      <c r="C20" s="10"/>
      <c r="D20" s="13">
        <f t="shared" si="1"/>
        <v>0</v>
      </c>
      <c r="F20" s="57"/>
      <c r="G20" s="70" t="s">
        <v>102</v>
      </c>
      <c r="H20" s="178"/>
      <c r="I20" s="178"/>
      <c r="J20" s="17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7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91" t="s">
        <v>13</v>
      </c>
      <c r="I21" s="192"/>
      <c r="J21" s="193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7"/>
      <c r="B22" s="46"/>
      <c r="C22" s="10"/>
      <c r="D22" s="48">
        <f t="shared" si="1"/>
        <v>0</v>
      </c>
      <c r="F22" s="76"/>
      <c r="G22" s="72"/>
      <c r="H22" s="194"/>
      <c r="I22" s="194"/>
      <c r="J22" s="194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7"/>
      <c r="B23" s="14"/>
      <c r="C23" s="10"/>
      <c r="D23" s="48">
        <f t="shared" si="1"/>
        <v>0</v>
      </c>
      <c r="F23" s="77"/>
      <c r="G23" s="78"/>
      <c r="H23" s="195"/>
      <c r="I23" s="164"/>
      <c r="J23" s="16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7"/>
      <c r="B24" s="14"/>
      <c r="C24" s="10"/>
      <c r="D24" s="48">
        <f t="shared" si="1"/>
        <v>0</v>
      </c>
      <c r="F24" s="38"/>
      <c r="G24" s="37"/>
      <c r="H24" s="195"/>
      <c r="I24" s="164"/>
      <c r="J24" s="16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6" t="s">
        <v>13</v>
      </c>
      <c r="I25" s="197"/>
      <c r="J25" s="19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7"/>
      <c r="B26" s="14"/>
      <c r="C26" s="10"/>
      <c r="D26" s="48">
        <f t="shared" si="1"/>
        <v>0</v>
      </c>
      <c r="F26" s="64"/>
      <c r="G26" s="59"/>
      <c r="H26" s="199"/>
      <c r="I26" s="200"/>
      <c r="J26" s="20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7"/>
      <c r="B27" s="14"/>
      <c r="C27" s="10"/>
      <c r="D27" s="44">
        <f t="shared" si="1"/>
        <v>0</v>
      </c>
      <c r="F27" s="25"/>
      <c r="G27" s="79"/>
      <c r="H27" s="202"/>
      <c r="I27" s="203"/>
      <c r="J27" s="20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8"/>
      <c r="B28" s="46"/>
      <c r="C28" s="10"/>
      <c r="D28" s="48">
        <f t="shared" si="1"/>
        <v>0</v>
      </c>
      <c r="F28" s="89"/>
      <c r="G28" s="61"/>
      <c r="H28" s="205"/>
      <c r="I28" s="206"/>
      <c r="J28" s="20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9" t="s">
        <v>36</v>
      </c>
      <c r="B29" s="180"/>
      <c r="C29" s="181"/>
      <c r="D29" s="185">
        <f>SUM(D6:D28)</f>
        <v>0</v>
      </c>
      <c r="F29" s="125" t="s">
        <v>54</v>
      </c>
      <c r="G29" s="187"/>
      <c r="H29" s="147">
        <f>H15-H16-H17-H18-H19-H20-H22-H23-H24+H26+H27</f>
        <v>0</v>
      </c>
      <c r="I29" s="148"/>
      <c r="J29" s="14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2"/>
      <c r="B30" s="183"/>
      <c r="C30" s="184"/>
      <c r="D30" s="186"/>
      <c r="F30" s="128"/>
      <c r="G30" s="188"/>
      <c r="H30" s="150"/>
      <c r="I30" s="151"/>
      <c r="J30" s="15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2" t="s">
        <v>57</v>
      </c>
      <c r="B32" s="173"/>
      <c r="C32" s="173"/>
      <c r="D32" s="174"/>
      <c r="F32" s="175" t="s">
        <v>58</v>
      </c>
      <c r="G32" s="176"/>
      <c r="H32" s="176"/>
      <c r="I32" s="176"/>
      <c r="J32" s="17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0" t="s">
        <v>62</v>
      </c>
      <c r="H33" s="175" t="s">
        <v>13</v>
      </c>
      <c r="I33" s="176"/>
      <c r="J33" s="17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6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69"/>
      <c r="I34" s="170"/>
      <c r="J34" s="17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7"/>
      <c r="B35" s="27" t="s">
        <v>67</v>
      </c>
      <c r="C35" s="52"/>
      <c r="D35" s="30">
        <f>C35*84</f>
        <v>0</v>
      </c>
      <c r="F35" s="58">
        <v>500</v>
      </c>
      <c r="G35" s="41"/>
      <c r="H35" s="169"/>
      <c r="I35" s="170"/>
      <c r="J35" s="17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8"/>
      <c r="B36" s="26" t="s">
        <v>69</v>
      </c>
      <c r="C36" s="10"/>
      <c r="D36" s="12">
        <f>C36*1.5</f>
        <v>0</v>
      </c>
      <c r="F36" s="12">
        <v>200</v>
      </c>
      <c r="G36" s="37"/>
      <c r="H36" s="169"/>
      <c r="I36" s="170"/>
      <c r="J36" s="17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9"/>
      <c r="I37" s="170"/>
      <c r="J37" s="17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7"/>
      <c r="B38" s="29" t="s">
        <v>67</v>
      </c>
      <c r="C38" s="54"/>
      <c r="D38" s="12">
        <f>C38*84</f>
        <v>0</v>
      </c>
      <c r="F38" s="30">
        <v>50</v>
      </c>
      <c r="G38" s="39"/>
      <c r="H38" s="169"/>
      <c r="I38" s="170"/>
      <c r="J38" s="17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8"/>
      <c r="B39" s="29" t="s">
        <v>69</v>
      </c>
      <c r="C39" s="52"/>
      <c r="D39" s="31">
        <f>C39*4.5</f>
        <v>0</v>
      </c>
      <c r="F39" s="12">
        <v>20</v>
      </c>
      <c r="G39" s="37"/>
      <c r="H39" s="169"/>
      <c r="I39" s="170"/>
      <c r="J39" s="17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9"/>
      <c r="I40" s="170"/>
      <c r="J40" s="17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7"/>
      <c r="B41" s="27" t="s">
        <v>67</v>
      </c>
      <c r="C41" s="10"/>
      <c r="D41" s="12">
        <f>C41*84</f>
        <v>0</v>
      </c>
      <c r="F41" s="12">
        <v>5</v>
      </c>
      <c r="G41" s="42"/>
      <c r="H41" s="169"/>
      <c r="I41" s="170"/>
      <c r="J41" s="17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8"/>
      <c r="B42" s="27" t="s">
        <v>69</v>
      </c>
      <c r="C42" s="11"/>
      <c r="D42" s="12">
        <f>C42*2.25</f>
        <v>0</v>
      </c>
      <c r="F42" s="39" t="s">
        <v>78</v>
      </c>
      <c r="G42" s="169"/>
      <c r="H42" s="170"/>
      <c r="I42" s="170"/>
      <c r="J42" s="17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9" t="s">
        <v>80</v>
      </c>
      <c r="C43" s="11"/>
      <c r="D43" s="12"/>
      <c r="F43" s="59" t="s">
        <v>81</v>
      </c>
      <c r="G43" s="91" t="s">
        <v>82</v>
      </c>
      <c r="H43" s="161" t="s">
        <v>13</v>
      </c>
      <c r="I43" s="162"/>
      <c r="J43" s="163"/>
      <c r="K43" s="21"/>
      <c r="P43" s="4"/>
      <c r="Q43" s="4"/>
      <c r="R43" s="5"/>
    </row>
    <row r="44" spans="1:18" ht="15.75" x14ac:dyDescent="0.25">
      <c r="A44" s="140"/>
      <c r="B44" s="27" t="s">
        <v>65</v>
      </c>
      <c r="C44" s="10"/>
      <c r="D44" s="12">
        <f>C44*120</f>
        <v>0</v>
      </c>
      <c r="F44" s="37"/>
      <c r="G44" s="75"/>
      <c r="H44" s="164"/>
      <c r="I44" s="164"/>
      <c r="J44" s="164"/>
      <c r="K44" s="21"/>
      <c r="P44" s="4"/>
      <c r="Q44" s="4"/>
      <c r="R44" s="5"/>
    </row>
    <row r="45" spans="1:18" ht="15.75" x14ac:dyDescent="0.25">
      <c r="A45" s="140"/>
      <c r="B45" s="27" t="s">
        <v>67</v>
      </c>
      <c r="C45" s="33"/>
      <c r="D45" s="12">
        <f>C45*84</f>
        <v>0</v>
      </c>
      <c r="F45" s="37"/>
      <c r="G45" s="75"/>
      <c r="H45" s="164"/>
      <c r="I45" s="164"/>
      <c r="J45" s="164"/>
      <c r="K45" s="21"/>
      <c r="P45" s="4"/>
      <c r="Q45" s="4"/>
      <c r="R45" s="5"/>
    </row>
    <row r="46" spans="1:18" ht="15.75" x14ac:dyDescent="0.25">
      <c r="A46" s="140"/>
      <c r="B46" s="49" t="s">
        <v>69</v>
      </c>
      <c r="C46" s="80"/>
      <c r="D46" s="12">
        <f>C46*1.5</f>
        <v>0</v>
      </c>
      <c r="F46" s="37"/>
      <c r="G46" s="62"/>
      <c r="H46" s="165"/>
      <c r="I46" s="165"/>
      <c r="J46" s="165"/>
      <c r="K46" s="21"/>
      <c r="P46" s="4"/>
      <c r="Q46" s="4"/>
      <c r="R46" s="5"/>
    </row>
    <row r="47" spans="1:18" ht="15.75" x14ac:dyDescent="0.25">
      <c r="A47" s="141"/>
      <c r="B47" s="27"/>
      <c r="C47" s="11"/>
      <c r="D47" s="12"/>
      <c r="F47" s="59"/>
      <c r="G47" s="59"/>
      <c r="H47" s="142"/>
      <c r="I47" s="143"/>
      <c r="J47" s="144"/>
      <c r="K47" s="21"/>
      <c r="P47" s="4"/>
      <c r="Q47" s="4"/>
      <c r="R47" s="5"/>
    </row>
    <row r="48" spans="1:18" ht="15" customHeight="1" x14ac:dyDescent="0.25">
      <c r="A48" s="139" t="s">
        <v>32</v>
      </c>
      <c r="B48" s="27" t="s">
        <v>65</v>
      </c>
      <c r="C48" s="10"/>
      <c r="D48" s="12">
        <f>C48*78</f>
        <v>0</v>
      </c>
      <c r="F48" s="59"/>
      <c r="G48" s="59"/>
      <c r="H48" s="142"/>
      <c r="I48" s="143"/>
      <c r="J48" s="14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0"/>
      <c r="B49" s="29" t="s">
        <v>67</v>
      </c>
      <c r="C49" s="33"/>
      <c r="D49" s="12">
        <f>C49*42</f>
        <v>0</v>
      </c>
      <c r="F49" s="145" t="s">
        <v>85</v>
      </c>
      <c r="G49" s="147">
        <f>H34+H35+H36+H37+H38+H39+H40+H41+G42+H44+H45+H46</f>
        <v>0</v>
      </c>
      <c r="H49" s="148"/>
      <c r="I49" s="148"/>
      <c r="J49" s="14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0"/>
      <c r="B50" s="32" t="s">
        <v>69</v>
      </c>
      <c r="C50" s="11"/>
      <c r="D50" s="12">
        <f>C50*1.5</f>
        <v>0</v>
      </c>
      <c r="F50" s="146"/>
      <c r="G50" s="150"/>
      <c r="H50" s="151"/>
      <c r="I50" s="151"/>
      <c r="J50" s="152"/>
      <c r="P50" s="4"/>
      <c r="Q50" s="4"/>
      <c r="R50" s="5"/>
    </row>
    <row r="51" spans="1:18" ht="15" customHeight="1" x14ac:dyDescent="0.25">
      <c r="A51" s="140"/>
      <c r="B51" s="27"/>
      <c r="C51" s="10"/>
      <c r="D51" s="31"/>
      <c r="F51" s="153" t="s">
        <v>106</v>
      </c>
      <c r="G51" s="155">
        <f>G49-H29</f>
        <v>0</v>
      </c>
      <c r="H51" s="156"/>
      <c r="I51" s="156"/>
      <c r="J51" s="15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0"/>
      <c r="B52" s="29"/>
      <c r="C52" s="33"/>
      <c r="D52" s="45"/>
      <c r="F52" s="154"/>
      <c r="G52" s="158"/>
      <c r="H52" s="159"/>
      <c r="I52" s="159"/>
      <c r="J52" s="1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5" t="s">
        <v>89</v>
      </c>
      <c r="B54" s="126"/>
      <c r="C54" s="127"/>
      <c r="D54" s="131">
        <f>SUM(D34:D53)</f>
        <v>0</v>
      </c>
      <c r="F54" s="21"/>
      <c r="J54" s="34"/>
    </row>
    <row r="55" spans="1:18" x14ac:dyDescent="0.25">
      <c r="A55" s="128"/>
      <c r="B55" s="129"/>
      <c r="C55" s="130"/>
      <c r="D55" s="13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3" t="s">
        <v>90</v>
      </c>
      <c r="B58" s="134"/>
      <c r="C58" s="134"/>
      <c r="D58" s="135"/>
      <c r="F58" s="133" t="s">
        <v>91</v>
      </c>
      <c r="G58" s="134"/>
      <c r="H58" s="134"/>
      <c r="I58" s="134"/>
      <c r="J58" s="135"/>
    </row>
    <row r="59" spans="1:18" x14ac:dyDescent="0.25">
      <c r="A59" s="136"/>
      <c r="B59" s="137"/>
      <c r="C59" s="137"/>
      <c r="D59" s="138"/>
      <c r="F59" s="136"/>
      <c r="G59" s="137"/>
      <c r="H59" s="137"/>
      <c r="I59" s="137"/>
      <c r="J59" s="13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A981E5-409B-4A4A-B645-7D25DD19A4CE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1" t="s">
        <v>1</v>
      </c>
      <c r="O1" s="221"/>
      <c r="P1" s="88" t="s">
        <v>2</v>
      </c>
      <c r="Q1" s="8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2" t="s">
        <v>7</v>
      </c>
      <c r="B4" s="173"/>
      <c r="C4" s="173"/>
      <c r="D4" s="174"/>
      <c r="F4" s="222" t="s">
        <v>8</v>
      </c>
      <c r="G4" s="224">
        <v>1</v>
      </c>
      <c r="H4" s="226" t="s">
        <v>9</v>
      </c>
      <c r="I4" s="228">
        <v>46235</v>
      </c>
      <c r="J4" s="22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6" t="s">
        <v>7</v>
      </c>
      <c r="B5" s="15" t="s">
        <v>11</v>
      </c>
      <c r="C5" s="9" t="s">
        <v>12</v>
      </c>
      <c r="D5" s="25" t="s">
        <v>13</v>
      </c>
      <c r="F5" s="223"/>
      <c r="G5" s="225"/>
      <c r="H5" s="227"/>
      <c r="I5" s="230"/>
      <c r="J5" s="23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7"/>
      <c r="B6" s="16" t="s">
        <v>15</v>
      </c>
      <c r="C6" s="10"/>
      <c r="D6" s="13">
        <f t="shared" ref="D6:D28" si="1">C6*L6</f>
        <v>0</v>
      </c>
      <c r="F6" s="232" t="s">
        <v>16</v>
      </c>
      <c r="G6" s="234" t="s">
        <v>99</v>
      </c>
      <c r="H6" s="235"/>
      <c r="I6" s="235"/>
      <c r="J6" s="2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7"/>
      <c r="B7" s="16" t="s">
        <v>18</v>
      </c>
      <c r="C7" s="10"/>
      <c r="D7" s="13">
        <f t="shared" si="1"/>
        <v>0</v>
      </c>
      <c r="F7" s="233"/>
      <c r="G7" s="237"/>
      <c r="H7" s="238"/>
      <c r="I7" s="238"/>
      <c r="J7" s="2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7"/>
      <c r="B8" s="16" t="s">
        <v>20</v>
      </c>
      <c r="C8" s="10"/>
      <c r="D8" s="13">
        <f t="shared" si="1"/>
        <v>0</v>
      </c>
      <c r="F8" s="240" t="s">
        <v>21</v>
      </c>
      <c r="G8" s="241" t="s">
        <v>115</v>
      </c>
      <c r="H8" s="242"/>
      <c r="I8" s="242"/>
      <c r="J8" s="24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7"/>
      <c r="B9" s="16" t="s">
        <v>23</v>
      </c>
      <c r="C9" s="10"/>
      <c r="D9" s="13">
        <f t="shared" si="1"/>
        <v>0</v>
      </c>
      <c r="F9" s="233"/>
      <c r="G9" s="244"/>
      <c r="H9" s="245"/>
      <c r="I9" s="245"/>
      <c r="J9" s="24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7"/>
      <c r="B10" t="s">
        <v>25</v>
      </c>
      <c r="C10" s="10"/>
      <c r="D10" s="13">
        <f t="shared" si="1"/>
        <v>0</v>
      </c>
      <c r="F10" s="232" t="s">
        <v>26</v>
      </c>
      <c r="G10" s="247" t="s">
        <v>108</v>
      </c>
      <c r="H10" s="248"/>
      <c r="I10" s="248"/>
      <c r="J10" s="249"/>
      <c r="K10" s="8"/>
      <c r="L10" s="6">
        <f>R36</f>
        <v>1032</v>
      </c>
      <c r="P10" s="4"/>
      <c r="Q10" s="4"/>
      <c r="R10" s="5"/>
    </row>
    <row r="11" spans="1:18" ht="15.75" x14ac:dyDescent="0.25">
      <c r="A11" s="167"/>
      <c r="B11" s="17" t="s">
        <v>28</v>
      </c>
      <c r="C11" s="10"/>
      <c r="D11" s="13">
        <f t="shared" si="1"/>
        <v>0</v>
      </c>
      <c r="F11" s="233"/>
      <c r="G11" s="244"/>
      <c r="H11" s="245"/>
      <c r="I11" s="245"/>
      <c r="J11" s="24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7"/>
      <c r="B12" s="17" t="s">
        <v>30</v>
      </c>
      <c r="C12" s="10"/>
      <c r="D12" s="48">
        <f t="shared" si="1"/>
        <v>0</v>
      </c>
      <c r="F12" s="250" t="s">
        <v>33</v>
      </c>
      <c r="G12" s="251"/>
      <c r="H12" s="251"/>
      <c r="I12" s="251"/>
      <c r="J12" s="25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7"/>
      <c r="B13" s="17" t="s">
        <v>32</v>
      </c>
      <c r="C13" s="10"/>
      <c r="D13" s="48">
        <f t="shared" si="1"/>
        <v>0</v>
      </c>
      <c r="F13" s="253" t="s">
        <v>36</v>
      </c>
      <c r="G13" s="217"/>
      <c r="H13" s="208">
        <f>D29</f>
        <v>0</v>
      </c>
      <c r="I13" s="209"/>
      <c r="J13" s="21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7"/>
      <c r="B14" s="14" t="s">
        <v>35</v>
      </c>
      <c r="C14" s="10"/>
      <c r="D14" s="31">
        <f t="shared" si="1"/>
        <v>0</v>
      </c>
      <c r="F14" s="211" t="s">
        <v>38</v>
      </c>
      <c r="G14" s="212"/>
      <c r="H14" s="213">
        <f>D54</f>
        <v>0</v>
      </c>
      <c r="I14" s="214"/>
      <c r="J14" s="215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7"/>
      <c r="B15" s="14" t="s">
        <v>117</v>
      </c>
      <c r="C15" s="10"/>
      <c r="D15" s="31">
        <f t="shared" si="1"/>
        <v>0</v>
      </c>
      <c r="F15" s="216" t="s">
        <v>39</v>
      </c>
      <c r="G15" s="217"/>
      <c r="H15" s="218">
        <f>H13-H14</f>
        <v>0</v>
      </c>
      <c r="I15" s="219"/>
      <c r="J15" s="22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7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8"/>
      <c r="I16" s="178"/>
      <c r="J16" s="17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7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9"/>
      <c r="I17" s="189"/>
      <c r="J17" s="18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7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9"/>
      <c r="I18" s="189"/>
      <c r="J18" s="18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7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8"/>
      <c r="I19" s="178"/>
      <c r="J19" s="17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7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8"/>
      <c r="I20" s="178"/>
      <c r="J20" s="17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7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91" t="s">
        <v>13</v>
      </c>
      <c r="I21" s="192"/>
      <c r="J21" s="19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7"/>
      <c r="B22" s="46" t="s">
        <v>103</v>
      </c>
      <c r="C22" s="10"/>
      <c r="D22" s="48">
        <f t="shared" si="1"/>
        <v>0</v>
      </c>
      <c r="F22" s="76"/>
      <c r="G22" s="72"/>
      <c r="H22" s="194"/>
      <c r="I22" s="194"/>
      <c r="J22" s="19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7"/>
      <c r="B23" s="14" t="s">
        <v>116</v>
      </c>
      <c r="C23" s="10"/>
      <c r="D23" s="48">
        <f t="shared" si="1"/>
        <v>0</v>
      </c>
      <c r="F23" s="76"/>
      <c r="G23" s="78"/>
      <c r="H23" s="259"/>
      <c r="I23" s="260"/>
      <c r="J23" s="26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7"/>
      <c r="B24" s="14" t="s">
        <v>123</v>
      </c>
      <c r="C24" s="10"/>
      <c r="D24" s="48">
        <f t="shared" si="1"/>
        <v>0</v>
      </c>
      <c r="F24" s="76"/>
      <c r="G24" s="78"/>
      <c r="H24" s="259"/>
      <c r="I24" s="260"/>
      <c r="J24" s="26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6" t="s">
        <v>13</v>
      </c>
      <c r="I25" s="197"/>
      <c r="J25" s="19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7"/>
      <c r="B26" s="14" t="s">
        <v>124</v>
      </c>
      <c r="C26" s="10"/>
      <c r="D26" s="48">
        <f t="shared" si="1"/>
        <v>0</v>
      </c>
      <c r="F26" s="74"/>
      <c r="G26" s="65"/>
      <c r="H26" s="164"/>
      <c r="I26" s="164"/>
      <c r="J26" s="16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7"/>
      <c r="B27" s="14" t="s">
        <v>125</v>
      </c>
      <c r="C27" s="10"/>
      <c r="D27" s="44">
        <f t="shared" si="1"/>
        <v>0</v>
      </c>
      <c r="F27" s="71"/>
      <c r="G27" s="91"/>
      <c r="H27" s="261"/>
      <c r="I27" s="262"/>
      <c r="J27" s="26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8"/>
      <c r="B28" s="46" t="s">
        <v>92</v>
      </c>
      <c r="C28" s="10"/>
      <c r="D28" s="48">
        <f t="shared" si="1"/>
        <v>0</v>
      </c>
      <c r="F28" s="89"/>
      <c r="G28" s="61"/>
      <c r="H28" s="205"/>
      <c r="I28" s="206"/>
      <c r="J28" s="20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9" t="s">
        <v>36</v>
      </c>
      <c r="B29" s="180"/>
      <c r="C29" s="181"/>
      <c r="D29" s="185">
        <f>SUM(D6:D28)</f>
        <v>0</v>
      </c>
      <c r="F29" s="125" t="s">
        <v>54</v>
      </c>
      <c r="G29" s="187"/>
      <c r="H29" s="147">
        <f>H15-H16-H17-H18-H19-H20-H22-H23-H24+H26+H27+H28</f>
        <v>0</v>
      </c>
      <c r="I29" s="148"/>
      <c r="J29" s="14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2"/>
      <c r="B30" s="183"/>
      <c r="C30" s="184"/>
      <c r="D30" s="186"/>
      <c r="F30" s="128"/>
      <c r="G30" s="188"/>
      <c r="H30" s="150"/>
      <c r="I30" s="151"/>
      <c r="J30" s="15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2" t="s">
        <v>57</v>
      </c>
      <c r="B32" s="173"/>
      <c r="C32" s="173"/>
      <c r="D32" s="174"/>
      <c r="F32" s="175" t="s">
        <v>58</v>
      </c>
      <c r="G32" s="176"/>
      <c r="H32" s="176"/>
      <c r="I32" s="176"/>
      <c r="J32" s="17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0" t="s">
        <v>62</v>
      </c>
      <c r="H33" s="175" t="s">
        <v>13</v>
      </c>
      <c r="I33" s="176"/>
      <c r="J33" s="17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6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69">
        <f t="shared" ref="H34:H39" si="2">F34*G34</f>
        <v>0</v>
      </c>
      <c r="I34" s="170"/>
      <c r="J34" s="17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7"/>
      <c r="B35" s="27" t="s">
        <v>67</v>
      </c>
      <c r="C35" s="52"/>
      <c r="D35" s="30">
        <f>C35*84</f>
        <v>0</v>
      </c>
      <c r="F35" s="58">
        <v>500</v>
      </c>
      <c r="G35" s="41"/>
      <c r="H35" s="169">
        <f t="shared" si="2"/>
        <v>0</v>
      </c>
      <c r="I35" s="170"/>
      <c r="J35" s="17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8"/>
      <c r="B36" s="26" t="s">
        <v>69</v>
      </c>
      <c r="C36" s="10"/>
      <c r="D36" s="12">
        <f>C36*1.5</f>
        <v>0</v>
      </c>
      <c r="F36" s="12">
        <v>200</v>
      </c>
      <c r="G36" s="37"/>
      <c r="H36" s="169">
        <f t="shared" si="2"/>
        <v>0</v>
      </c>
      <c r="I36" s="170"/>
      <c r="J36" s="17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9">
        <f t="shared" si="2"/>
        <v>0</v>
      </c>
      <c r="I37" s="170"/>
      <c r="J37" s="17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7"/>
      <c r="B38" s="29" t="s">
        <v>67</v>
      </c>
      <c r="C38" s="54"/>
      <c r="D38" s="12">
        <f>C38*84</f>
        <v>0</v>
      </c>
      <c r="F38" s="30">
        <v>50</v>
      </c>
      <c r="G38" s="39"/>
      <c r="H38" s="169">
        <f t="shared" si="2"/>
        <v>0</v>
      </c>
      <c r="I38" s="170"/>
      <c r="J38" s="17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8"/>
      <c r="B39" s="29" t="s">
        <v>69</v>
      </c>
      <c r="C39" s="52"/>
      <c r="D39" s="31">
        <f>C39*4.5</f>
        <v>0</v>
      </c>
      <c r="F39" s="12">
        <v>20</v>
      </c>
      <c r="G39" s="37"/>
      <c r="H39" s="169">
        <f t="shared" si="2"/>
        <v>0</v>
      </c>
      <c r="I39" s="170"/>
      <c r="J39" s="17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57"/>
      <c r="I40" s="258"/>
      <c r="J40" s="19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7"/>
      <c r="B41" s="27" t="s">
        <v>67</v>
      </c>
      <c r="C41" s="10"/>
      <c r="D41" s="12">
        <f>C41*84</f>
        <v>0</v>
      </c>
      <c r="F41" s="12">
        <v>5</v>
      </c>
      <c r="G41" s="42"/>
      <c r="H41" s="169"/>
      <c r="I41" s="170"/>
      <c r="J41" s="17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8"/>
      <c r="B42" s="27" t="s">
        <v>69</v>
      </c>
      <c r="C42" s="11"/>
      <c r="D42" s="12">
        <f>C42*2.25</f>
        <v>0</v>
      </c>
      <c r="F42" s="39" t="s">
        <v>78</v>
      </c>
      <c r="G42" s="169"/>
      <c r="H42" s="170"/>
      <c r="I42" s="170"/>
      <c r="J42" s="17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9" t="s">
        <v>80</v>
      </c>
      <c r="C43" s="11"/>
      <c r="D43" s="12"/>
      <c r="F43" s="59" t="s">
        <v>81</v>
      </c>
      <c r="G43" s="91" t="s">
        <v>82</v>
      </c>
      <c r="H43" s="161" t="s">
        <v>13</v>
      </c>
      <c r="I43" s="162"/>
      <c r="J43" s="16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0"/>
      <c r="B44" s="27" t="s">
        <v>65</v>
      </c>
      <c r="C44" s="10"/>
      <c r="D44" s="12">
        <f>C44*120</f>
        <v>0</v>
      </c>
      <c r="F44" s="37"/>
      <c r="G44" s="87"/>
      <c r="H44" s="164"/>
      <c r="I44" s="164"/>
      <c r="J44" s="16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0"/>
      <c r="B45" s="27" t="s">
        <v>67</v>
      </c>
      <c r="C45" s="33"/>
      <c r="D45" s="12">
        <f>C45*84</f>
        <v>0</v>
      </c>
      <c r="F45" s="37"/>
      <c r="G45" s="87"/>
      <c r="H45" s="164"/>
      <c r="I45" s="164"/>
      <c r="J45" s="164"/>
      <c r="K45" s="21"/>
      <c r="P45" s="4"/>
      <c r="Q45" s="4"/>
      <c r="R45" s="5"/>
    </row>
    <row r="46" spans="1:18" ht="15.75" x14ac:dyDescent="0.25">
      <c r="A46" s="140"/>
      <c r="B46" s="49" t="s">
        <v>69</v>
      </c>
      <c r="C46" s="80"/>
      <c r="D46" s="12">
        <f>C46*1.5</f>
        <v>0</v>
      </c>
      <c r="F46" s="37"/>
      <c r="G46" s="62"/>
      <c r="H46" s="164"/>
      <c r="I46" s="164"/>
      <c r="J46" s="164"/>
      <c r="K46" s="21"/>
      <c r="P46" s="4"/>
      <c r="Q46" s="4"/>
      <c r="R46" s="5"/>
    </row>
    <row r="47" spans="1:18" ht="15.75" x14ac:dyDescent="0.25">
      <c r="A47" s="141"/>
      <c r="B47" s="27"/>
      <c r="C47" s="11"/>
      <c r="D47" s="12"/>
      <c r="F47" s="59"/>
      <c r="G47" s="59"/>
      <c r="H47" s="254"/>
      <c r="I47" s="255"/>
      <c r="J47" s="256"/>
      <c r="K47" s="21"/>
      <c r="P47" s="4"/>
      <c r="Q47" s="4"/>
      <c r="R47" s="5"/>
    </row>
    <row r="48" spans="1:18" ht="15" customHeight="1" x14ac:dyDescent="0.25">
      <c r="A48" s="139" t="s">
        <v>32</v>
      </c>
      <c r="B48" s="27" t="s">
        <v>65</v>
      </c>
      <c r="C48" s="10"/>
      <c r="D48" s="12">
        <f>C48*78</f>
        <v>0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0"/>
      <c r="B49" s="29" t="s">
        <v>67</v>
      </c>
      <c r="C49" s="33"/>
      <c r="D49" s="12">
        <f>C49*42</f>
        <v>0</v>
      </c>
      <c r="F49" s="145" t="s">
        <v>85</v>
      </c>
      <c r="G49" s="147">
        <f>H34+H35+H36+H37+H38+H39+H40+H41+G42+H44+H45+H46+H47+H48</f>
        <v>0</v>
      </c>
      <c r="H49" s="148"/>
      <c r="I49" s="148"/>
      <c r="J49" s="14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0"/>
      <c r="B50" s="32" t="s">
        <v>69</v>
      </c>
      <c r="C50" s="11"/>
      <c r="D50" s="12">
        <f>C50*1.5</f>
        <v>0</v>
      </c>
      <c r="F50" s="146"/>
      <c r="G50" s="150"/>
      <c r="H50" s="151"/>
      <c r="I50" s="151"/>
      <c r="J50" s="152"/>
      <c r="O50" t="s">
        <v>112</v>
      </c>
      <c r="P50" s="4">
        <v>1204</v>
      </c>
      <c r="Q50" s="4"/>
      <c r="R50" s="5"/>
    </row>
    <row r="51" spans="1:18" ht="15" customHeight="1" x14ac:dyDescent="0.25">
      <c r="A51" s="140"/>
      <c r="B51" s="27"/>
      <c r="C51" s="10"/>
      <c r="D51" s="31"/>
      <c r="F51" s="153" t="str">
        <f>_xlfn.IFS(H29&gt;G49,"SHORT",H29&lt;G49,"OVER",H29&lt;=G49,"-")</f>
        <v>-</v>
      </c>
      <c r="G51" s="155">
        <f>G49-H29</f>
        <v>0</v>
      </c>
      <c r="H51" s="156"/>
      <c r="I51" s="156"/>
      <c r="J51" s="1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0"/>
      <c r="B52" s="29"/>
      <c r="C52" s="33"/>
      <c r="D52" s="45"/>
      <c r="F52" s="154"/>
      <c r="G52" s="158"/>
      <c r="H52" s="159"/>
      <c r="I52" s="159"/>
      <c r="J52" s="1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5" t="s">
        <v>89</v>
      </c>
      <c r="B54" s="126"/>
      <c r="C54" s="127"/>
      <c r="D54" s="13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8"/>
      <c r="B55" s="129"/>
      <c r="C55" s="130"/>
      <c r="D55" s="13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33" t="s">
        <v>90</v>
      </c>
      <c r="B58" s="134"/>
      <c r="C58" s="134"/>
      <c r="D58" s="135"/>
      <c r="F58" s="133" t="s">
        <v>91</v>
      </c>
      <c r="G58" s="134"/>
      <c r="H58" s="134"/>
      <c r="I58" s="134"/>
      <c r="J58" s="135"/>
    </row>
    <row r="59" spans="1:18" x14ac:dyDescent="0.25">
      <c r="A59" s="136"/>
      <c r="B59" s="137"/>
      <c r="C59" s="137"/>
      <c r="D59" s="138"/>
      <c r="F59" s="136"/>
      <c r="G59" s="137"/>
      <c r="H59" s="137"/>
      <c r="I59" s="137"/>
      <c r="J59" s="138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honeticPr fontId="16" type="noConversion"/>
  <conditionalFormatting sqref="F51:F52">
    <cfRule type="containsText" dxfId="161" priority="4" operator="containsText" text="SHORT">
      <formula>NOT(ISERROR(SEARCH("SHORT",F51)))</formula>
    </cfRule>
    <cfRule type="containsText" dxfId="160" priority="1" operator="containsText" text="OVER">
      <formula>NOT(ISERROR(SEARCH("OVER",F51)))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478F95BA-522D-4E32-A18B-4959907FA704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C22DB7-FFA9-480E-8273-41BA6FD99A23}">
  <dimension ref="A1:R59"/>
  <sheetViews>
    <sheetView tabSelected="1" zoomScaleNormal="100" zoomScaleSheetLayoutView="85" workbookViewId="0">
      <selection activeCell="M34" sqref="M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1" t="s">
        <v>1</v>
      </c>
      <c r="O1" s="221"/>
      <c r="P1" s="88" t="s">
        <v>2</v>
      </c>
      <c r="Q1" s="8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2" t="s">
        <v>7</v>
      </c>
      <c r="B4" s="173"/>
      <c r="C4" s="173"/>
      <c r="D4" s="174"/>
      <c r="F4" s="222" t="s">
        <v>8</v>
      </c>
      <c r="G4" s="224">
        <v>2</v>
      </c>
      <c r="H4" s="226" t="s">
        <v>9</v>
      </c>
      <c r="I4" s="228">
        <v>46235</v>
      </c>
      <c r="J4" s="22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6" t="s">
        <v>7</v>
      </c>
      <c r="B5" s="15" t="s">
        <v>11</v>
      </c>
      <c r="C5" s="9" t="s">
        <v>12</v>
      </c>
      <c r="D5" s="25" t="s">
        <v>13</v>
      </c>
      <c r="F5" s="223"/>
      <c r="G5" s="225"/>
      <c r="H5" s="227"/>
      <c r="I5" s="230"/>
      <c r="J5" s="23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7"/>
      <c r="B6" s="16" t="s">
        <v>15</v>
      </c>
      <c r="C6" s="10"/>
      <c r="D6" s="13">
        <f t="shared" ref="D6:D28" si="1">C6*L6</f>
        <v>0</v>
      </c>
      <c r="F6" s="232" t="s">
        <v>16</v>
      </c>
      <c r="G6" s="234" t="s">
        <v>107</v>
      </c>
      <c r="H6" s="235"/>
      <c r="I6" s="235"/>
      <c r="J6" s="2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7"/>
      <c r="B7" s="16" t="s">
        <v>18</v>
      </c>
      <c r="C7" s="10"/>
      <c r="D7" s="13">
        <f t="shared" si="1"/>
        <v>0</v>
      </c>
      <c r="F7" s="233"/>
      <c r="G7" s="237"/>
      <c r="H7" s="238"/>
      <c r="I7" s="238"/>
      <c r="J7" s="2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7"/>
      <c r="B8" s="16" t="s">
        <v>20</v>
      </c>
      <c r="C8" s="10"/>
      <c r="D8" s="13">
        <f t="shared" si="1"/>
        <v>0</v>
      </c>
      <c r="F8" s="240" t="s">
        <v>21</v>
      </c>
      <c r="G8" s="241" t="s">
        <v>100</v>
      </c>
      <c r="H8" s="242"/>
      <c r="I8" s="242"/>
      <c r="J8" s="24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7"/>
      <c r="B9" s="16" t="s">
        <v>23</v>
      </c>
      <c r="C9" s="10"/>
      <c r="D9" s="13">
        <f t="shared" si="1"/>
        <v>0</v>
      </c>
      <c r="F9" s="233"/>
      <c r="G9" s="244"/>
      <c r="H9" s="245"/>
      <c r="I9" s="245"/>
      <c r="J9" s="24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7"/>
      <c r="B10" t="s">
        <v>25</v>
      </c>
      <c r="C10" s="10"/>
      <c r="D10" s="13">
        <f t="shared" si="1"/>
        <v>0</v>
      </c>
      <c r="F10" s="232" t="s">
        <v>26</v>
      </c>
      <c r="G10" s="247" t="s">
        <v>101</v>
      </c>
      <c r="H10" s="248"/>
      <c r="I10" s="248"/>
      <c r="J10" s="249"/>
      <c r="K10" s="8"/>
      <c r="L10" s="6">
        <f>R36</f>
        <v>1032</v>
      </c>
      <c r="P10" s="4"/>
      <c r="Q10" s="4"/>
      <c r="R10" s="5"/>
    </row>
    <row r="11" spans="1:18" ht="15.75" x14ac:dyDescent="0.25">
      <c r="A11" s="167"/>
      <c r="B11" s="17" t="s">
        <v>28</v>
      </c>
      <c r="C11" s="10"/>
      <c r="D11" s="13">
        <f t="shared" si="1"/>
        <v>0</v>
      </c>
      <c r="F11" s="233"/>
      <c r="G11" s="244"/>
      <c r="H11" s="245"/>
      <c r="I11" s="245"/>
      <c r="J11" s="24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7"/>
      <c r="B12" s="17" t="s">
        <v>30</v>
      </c>
      <c r="C12" s="10"/>
      <c r="D12" s="48">
        <f t="shared" si="1"/>
        <v>0</v>
      </c>
      <c r="F12" s="250" t="s">
        <v>33</v>
      </c>
      <c r="G12" s="251"/>
      <c r="H12" s="251"/>
      <c r="I12" s="251"/>
      <c r="J12" s="25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7"/>
      <c r="B13" s="17" t="s">
        <v>32</v>
      </c>
      <c r="C13" s="10"/>
      <c r="D13" s="48">
        <f t="shared" si="1"/>
        <v>0</v>
      </c>
      <c r="F13" s="253" t="s">
        <v>36</v>
      </c>
      <c r="G13" s="217"/>
      <c r="H13" s="208">
        <f>D29</f>
        <v>0</v>
      </c>
      <c r="I13" s="209"/>
      <c r="J13" s="21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7"/>
      <c r="B14" s="14" t="s">
        <v>35</v>
      </c>
      <c r="C14" s="10"/>
      <c r="D14" s="31">
        <f t="shared" si="1"/>
        <v>0</v>
      </c>
      <c r="F14" s="211" t="s">
        <v>38</v>
      </c>
      <c r="G14" s="212"/>
      <c r="H14" s="213">
        <f>D54</f>
        <v>0</v>
      </c>
      <c r="I14" s="214"/>
      <c r="J14" s="215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7"/>
      <c r="B15" s="14" t="s">
        <v>117</v>
      </c>
      <c r="C15" s="10"/>
      <c r="D15" s="31">
        <f t="shared" si="1"/>
        <v>0</v>
      </c>
      <c r="F15" s="216" t="s">
        <v>39</v>
      </c>
      <c r="G15" s="217"/>
      <c r="H15" s="218">
        <f>H13-H14</f>
        <v>0</v>
      </c>
      <c r="I15" s="219"/>
      <c r="J15" s="22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7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8"/>
      <c r="I16" s="178"/>
      <c r="J16" s="17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7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9"/>
      <c r="I17" s="189"/>
      <c r="J17" s="18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7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9"/>
      <c r="I18" s="189"/>
      <c r="J18" s="18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7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3"/>
      <c r="I19" s="263"/>
      <c r="J19" s="26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7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8"/>
      <c r="I20" s="178"/>
      <c r="J20" s="17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7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91" t="s">
        <v>13</v>
      </c>
      <c r="I21" s="192"/>
      <c r="J21" s="193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7"/>
      <c r="B22" s="46" t="s">
        <v>103</v>
      </c>
      <c r="C22" s="10"/>
      <c r="D22" s="48">
        <f t="shared" si="1"/>
        <v>0</v>
      </c>
      <c r="F22" s="76"/>
      <c r="G22" s="72"/>
      <c r="H22" s="194"/>
      <c r="I22" s="194"/>
      <c r="J22" s="19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7"/>
      <c r="B23" s="14" t="s">
        <v>116</v>
      </c>
      <c r="C23" s="10"/>
      <c r="D23" s="48">
        <f t="shared" si="1"/>
        <v>0</v>
      </c>
      <c r="F23" s="77"/>
      <c r="G23" s="78"/>
      <c r="H23" s="264"/>
      <c r="I23" s="194"/>
      <c r="J23" s="19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7"/>
      <c r="B24" s="14" t="s">
        <v>123</v>
      </c>
      <c r="C24" s="10"/>
      <c r="D24" s="48">
        <f t="shared" si="1"/>
        <v>0</v>
      </c>
      <c r="F24" s="38"/>
      <c r="G24" s="37"/>
      <c r="H24" s="195"/>
      <c r="I24" s="164"/>
      <c r="J24" s="16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6" t="s">
        <v>13</v>
      </c>
      <c r="I25" s="197"/>
      <c r="J25" s="19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7"/>
      <c r="B26" s="14" t="s">
        <v>124</v>
      </c>
      <c r="C26" s="10"/>
      <c r="D26" s="48">
        <f t="shared" si="1"/>
        <v>0</v>
      </c>
      <c r="F26" s="64" t="s">
        <v>132</v>
      </c>
      <c r="G26" s="59">
        <v>11623</v>
      </c>
      <c r="H26" s="199">
        <v>69862</v>
      </c>
      <c r="I26" s="200"/>
      <c r="J26" s="20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7"/>
      <c r="B27" s="14" t="s">
        <v>125</v>
      </c>
      <c r="C27" s="10"/>
      <c r="D27" s="44">
        <f t="shared" si="1"/>
        <v>0</v>
      </c>
      <c r="F27" s="25"/>
      <c r="G27" s="79"/>
      <c r="H27" s="202"/>
      <c r="I27" s="203"/>
      <c r="J27" s="20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8"/>
      <c r="B28" s="46" t="s">
        <v>92</v>
      </c>
      <c r="C28" s="10"/>
      <c r="D28" s="48">
        <f t="shared" si="1"/>
        <v>0</v>
      </c>
      <c r="F28" s="89"/>
      <c r="G28" s="61"/>
      <c r="H28" s="205"/>
      <c r="I28" s="206"/>
      <c r="J28" s="20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9" t="s">
        <v>36</v>
      </c>
      <c r="B29" s="180"/>
      <c r="C29" s="181"/>
      <c r="D29" s="185">
        <f>SUM(D6:D28)</f>
        <v>0</v>
      </c>
      <c r="F29" s="125" t="s">
        <v>54</v>
      </c>
      <c r="G29" s="187"/>
      <c r="H29" s="147">
        <f>H15-H16-H17-H18-H19-H20-H22-H23-H24+H26+H27</f>
        <v>69862</v>
      </c>
      <c r="I29" s="148"/>
      <c r="J29" s="14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2"/>
      <c r="B30" s="183"/>
      <c r="C30" s="184"/>
      <c r="D30" s="186"/>
      <c r="F30" s="128"/>
      <c r="G30" s="188"/>
      <c r="H30" s="150"/>
      <c r="I30" s="151"/>
      <c r="J30" s="15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2" t="s">
        <v>57</v>
      </c>
      <c r="B32" s="173"/>
      <c r="C32" s="173"/>
      <c r="D32" s="174"/>
      <c r="F32" s="175" t="s">
        <v>58</v>
      </c>
      <c r="G32" s="176"/>
      <c r="H32" s="176"/>
      <c r="I32" s="176"/>
      <c r="J32" s="17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0" t="s">
        <v>62</v>
      </c>
      <c r="H33" s="175" t="s">
        <v>13</v>
      </c>
      <c r="I33" s="176"/>
      <c r="J33" s="17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6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53</v>
      </c>
      <c r="H34" s="169">
        <f>F34*G34</f>
        <v>53000</v>
      </c>
      <c r="I34" s="170"/>
      <c r="J34" s="17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7"/>
      <c r="B35" s="27" t="s">
        <v>67</v>
      </c>
      <c r="C35" s="52"/>
      <c r="D35" s="30">
        <f>C35*84</f>
        <v>0</v>
      </c>
      <c r="F35" s="58">
        <v>500</v>
      </c>
      <c r="G35" s="41">
        <v>33</v>
      </c>
      <c r="H35" s="169">
        <f>F35*G35</f>
        <v>16500</v>
      </c>
      <c r="I35" s="170"/>
      <c r="J35" s="17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8"/>
      <c r="B36" s="26" t="s">
        <v>69</v>
      </c>
      <c r="C36" s="10"/>
      <c r="D36" s="12">
        <f>C36*1.5</f>
        <v>0</v>
      </c>
      <c r="F36" s="12">
        <v>200</v>
      </c>
      <c r="G36" s="37"/>
      <c r="H36" s="169">
        <f t="shared" ref="H36:H39" si="2">F36*G36</f>
        <v>0</v>
      </c>
      <c r="I36" s="170"/>
      <c r="J36" s="17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6" t="s">
        <v>71</v>
      </c>
      <c r="B37" s="28" t="s">
        <v>65</v>
      </c>
      <c r="C37" s="53"/>
      <c r="D37" s="12">
        <f>C37*111</f>
        <v>0</v>
      </c>
      <c r="F37" s="12">
        <v>100</v>
      </c>
      <c r="G37" s="39">
        <v>3</v>
      </c>
      <c r="H37" s="169">
        <f t="shared" si="2"/>
        <v>300</v>
      </c>
      <c r="I37" s="170"/>
      <c r="J37" s="17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7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169">
        <f t="shared" si="2"/>
        <v>50</v>
      </c>
      <c r="I38" s="170"/>
      <c r="J38" s="17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8"/>
      <c r="B39" s="29" t="s">
        <v>69</v>
      </c>
      <c r="C39" s="52"/>
      <c r="D39" s="31">
        <f>C39*4.5</f>
        <v>0</v>
      </c>
      <c r="F39" s="12">
        <v>20</v>
      </c>
      <c r="G39" s="37"/>
      <c r="H39" s="169">
        <f t="shared" si="2"/>
        <v>0</v>
      </c>
      <c r="I39" s="170"/>
      <c r="J39" s="17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9"/>
      <c r="I40" s="170"/>
      <c r="J40" s="17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7"/>
      <c r="B41" s="27" t="s">
        <v>67</v>
      </c>
      <c r="C41" s="10"/>
      <c r="D41" s="12">
        <f>C41*84</f>
        <v>0</v>
      </c>
      <c r="F41" s="12">
        <v>5</v>
      </c>
      <c r="G41" s="42"/>
      <c r="H41" s="169"/>
      <c r="I41" s="170"/>
      <c r="J41" s="17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8"/>
      <c r="B42" s="27" t="s">
        <v>69</v>
      </c>
      <c r="C42" s="11"/>
      <c r="D42" s="12">
        <f>C42*2.25</f>
        <v>0</v>
      </c>
      <c r="F42" s="39" t="s">
        <v>78</v>
      </c>
      <c r="G42" s="169">
        <v>12</v>
      </c>
      <c r="H42" s="170"/>
      <c r="I42" s="170"/>
      <c r="J42" s="17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9" t="s">
        <v>80</v>
      </c>
      <c r="C43" s="11"/>
      <c r="D43" s="12"/>
      <c r="F43" s="59" t="s">
        <v>81</v>
      </c>
      <c r="G43" s="91" t="s">
        <v>82</v>
      </c>
      <c r="H43" s="161" t="s">
        <v>13</v>
      </c>
      <c r="I43" s="162"/>
      <c r="J43" s="16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0"/>
      <c r="B44" s="27" t="s">
        <v>65</v>
      </c>
      <c r="C44" s="10"/>
      <c r="D44" s="12">
        <f>C44*120</f>
        <v>0</v>
      </c>
      <c r="F44" s="37"/>
      <c r="G44" s="62"/>
      <c r="H44" s="164"/>
      <c r="I44" s="164"/>
      <c r="J44" s="16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0"/>
      <c r="B45" s="27" t="s">
        <v>67</v>
      </c>
      <c r="C45" s="33"/>
      <c r="D45" s="12">
        <f>C45*84</f>
        <v>0</v>
      </c>
      <c r="F45" s="37"/>
      <c r="G45" s="75"/>
      <c r="H45" s="164"/>
      <c r="I45" s="164"/>
      <c r="J45" s="164"/>
      <c r="K45" s="21"/>
      <c r="P45" s="4"/>
      <c r="Q45" s="4"/>
      <c r="R45" s="5"/>
    </row>
    <row r="46" spans="1:18" ht="15.75" x14ac:dyDescent="0.25">
      <c r="A46" s="140"/>
      <c r="B46" s="49" t="s">
        <v>69</v>
      </c>
      <c r="C46" s="80"/>
      <c r="D46" s="12">
        <f>C46*1.5</f>
        <v>0</v>
      </c>
      <c r="F46" s="37"/>
      <c r="G46" s="62"/>
      <c r="H46" s="164"/>
      <c r="I46" s="164"/>
      <c r="J46" s="164"/>
      <c r="K46" s="21"/>
      <c r="P46" s="4"/>
      <c r="Q46" s="4"/>
      <c r="R46" s="5"/>
    </row>
    <row r="47" spans="1:18" ht="15.75" x14ac:dyDescent="0.25">
      <c r="A47" s="141"/>
      <c r="B47" s="27"/>
      <c r="C47" s="11"/>
      <c r="D47" s="12"/>
      <c r="F47" s="59"/>
      <c r="G47" s="59"/>
      <c r="H47" s="164"/>
      <c r="I47" s="164"/>
      <c r="J47" s="164"/>
      <c r="K47" s="21"/>
      <c r="P47" s="4"/>
      <c r="Q47" s="4"/>
      <c r="R47" s="5"/>
    </row>
    <row r="48" spans="1:18" ht="15" customHeight="1" x14ac:dyDescent="0.25">
      <c r="A48" s="139" t="s">
        <v>32</v>
      </c>
      <c r="B48" s="27" t="s">
        <v>65</v>
      </c>
      <c r="C48" s="10"/>
      <c r="D48" s="12">
        <f>C48*78</f>
        <v>0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0"/>
      <c r="B49" s="29" t="s">
        <v>67</v>
      </c>
      <c r="C49" s="33"/>
      <c r="D49" s="12">
        <f>C49*42</f>
        <v>0</v>
      </c>
      <c r="F49" s="145" t="s">
        <v>85</v>
      </c>
      <c r="G49" s="147">
        <f>H34+H35+H36+H37+H38+H39+H40+H41+G42+H44+H45+H46+H47+H48</f>
        <v>69862</v>
      </c>
      <c r="H49" s="148"/>
      <c r="I49" s="148"/>
      <c r="J49" s="14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0"/>
      <c r="B50" s="32" t="s">
        <v>69</v>
      </c>
      <c r="C50" s="80"/>
      <c r="D50" s="12">
        <f>C50*1.5</f>
        <v>0</v>
      </c>
      <c r="F50" s="146"/>
      <c r="G50" s="150"/>
      <c r="H50" s="151"/>
      <c r="I50" s="151"/>
      <c r="J50" s="152"/>
      <c r="O50" t="s">
        <v>112</v>
      </c>
      <c r="P50" s="4">
        <v>1204</v>
      </c>
      <c r="Q50" s="4"/>
      <c r="R50" s="5"/>
    </row>
    <row r="51" spans="1:18" ht="15" customHeight="1" x14ac:dyDescent="0.25">
      <c r="A51" s="140"/>
      <c r="B51" s="27"/>
      <c r="C51" s="10"/>
      <c r="D51" s="31"/>
      <c r="F51" s="153" t="str">
        <f>_xlfn.IFS(H29&gt;G49,"SHORT",H29&lt;G49,"OVER",H29&lt;=G49,"-")</f>
        <v>-</v>
      </c>
      <c r="G51" s="155">
        <f>G49-H29</f>
        <v>0</v>
      </c>
      <c r="H51" s="156"/>
      <c r="I51" s="156"/>
      <c r="J51" s="1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140"/>
      <c r="B52" s="29"/>
      <c r="C52" s="33"/>
      <c r="D52" s="45"/>
      <c r="F52" s="154"/>
      <c r="G52" s="158"/>
      <c r="H52" s="159"/>
      <c r="I52" s="159"/>
      <c r="J52" s="1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5" t="s">
        <v>89</v>
      </c>
      <c r="B54" s="126"/>
      <c r="C54" s="127"/>
      <c r="D54" s="13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8"/>
      <c r="B55" s="129"/>
      <c r="C55" s="130"/>
      <c r="D55" s="13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133" t="s">
        <v>90</v>
      </c>
      <c r="B58" s="134"/>
      <c r="C58" s="134"/>
      <c r="D58" s="135"/>
      <c r="F58" s="133" t="s">
        <v>91</v>
      </c>
      <c r="G58" s="134"/>
      <c r="H58" s="134"/>
      <c r="I58" s="134"/>
      <c r="J58" s="135"/>
    </row>
    <row r="59" spans="1:18" x14ac:dyDescent="0.25">
      <c r="A59" s="136"/>
      <c r="B59" s="137"/>
      <c r="C59" s="137"/>
      <c r="D59" s="138"/>
      <c r="F59" s="136"/>
      <c r="G59" s="137"/>
      <c r="H59" s="137"/>
      <c r="I59" s="137"/>
      <c r="J59" s="13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158" priority="1" operator="containsText" text="OVER">
      <formula>NOT(ISERROR(SEARCH("OVER",F51)))</formula>
    </cfRule>
    <cfRule type="containsText" dxfId="157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0686CAD8-F39C-4B50-9254-B30DC22E91C8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D7E822-2C94-4EE2-958E-94ACFEBEF81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1" t="s">
        <v>1</v>
      </c>
      <c r="O1" s="221"/>
      <c r="P1" s="88" t="s">
        <v>2</v>
      </c>
      <c r="Q1" s="8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2" t="s">
        <v>7</v>
      </c>
      <c r="B4" s="173"/>
      <c r="C4" s="173"/>
      <c r="D4" s="174"/>
      <c r="F4" s="222" t="s">
        <v>8</v>
      </c>
      <c r="G4" s="224">
        <v>3</v>
      </c>
      <c r="H4" s="226" t="s">
        <v>9</v>
      </c>
      <c r="I4" s="228">
        <v>46235</v>
      </c>
      <c r="J4" s="22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6" t="s">
        <v>7</v>
      </c>
      <c r="B5" s="15" t="s">
        <v>11</v>
      </c>
      <c r="C5" s="9" t="s">
        <v>12</v>
      </c>
      <c r="D5" s="25" t="s">
        <v>13</v>
      </c>
      <c r="F5" s="223"/>
      <c r="G5" s="225"/>
      <c r="H5" s="227"/>
      <c r="I5" s="230"/>
      <c r="J5" s="23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7"/>
      <c r="B6" s="16" t="s">
        <v>15</v>
      </c>
      <c r="C6" s="10"/>
      <c r="D6" s="13">
        <f t="shared" ref="D6:D28" si="1">C6*L6</f>
        <v>0</v>
      </c>
      <c r="F6" s="232" t="s">
        <v>16</v>
      </c>
      <c r="G6" s="234" t="s">
        <v>113</v>
      </c>
      <c r="H6" s="235"/>
      <c r="I6" s="235"/>
      <c r="J6" s="2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7"/>
      <c r="B7" s="16" t="s">
        <v>18</v>
      </c>
      <c r="C7" s="10"/>
      <c r="D7" s="13">
        <f t="shared" si="1"/>
        <v>0</v>
      </c>
      <c r="F7" s="233"/>
      <c r="G7" s="237"/>
      <c r="H7" s="238"/>
      <c r="I7" s="238"/>
      <c r="J7" s="2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7"/>
      <c r="B8" s="16" t="s">
        <v>20</v>
      </c>
      <c r="C8" s="10"/>
      <c r="D8" s="13">
        <f t="shared" si="1"/>
        <v>0</v>
      </c>
      <c r="F8" s="240" t="s">
        <v>21</v>
      </c>
      <c r="G8" s="241" t="s">
        <v>109</v>
      </c>
      <c r="H8" s="242"/>
      <c r="I8" s="242"/>
      <c r="J8" s="24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7"/>
      <c r="B9" s="16" t="s">
        <v>23</v>
      </c>
      <c r="C9" s="10"/>
      <c r="D9" s="13">
        <f t="shared" si="1"/>
        <v>0</v>
      </c>
      <c r="F9" s="233"/>
      <c r="G9" s="244"/>
      <c r="H9" s="245"/>
      <c r="I9" s="245"/>
      <c r="J9" s="24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7"/>
      <c r="B10" t="s">
        <v>25</v>
      </c>
      <c r="C10" s="10"/>
      <c r="D10" s="13">
        <f t="shared" si="1"/>
        <v>0</v>
      </c>
      <c r="F10" s="232" t="s">
        <v>26</v>
      </c>
      <c r="G10" s="247" t="s">
        <v>119</v>
      </c>
      <c r="H10" s="248"/>
      <c r="I10" s="248"/>
      <c r="J10" s="249"/>
      <c r="K10" s="8"/>
      <c r="L10" s="6">
        <f>R36</f>
        <v>1032</v>
      </c>
      <c r="P10" s="4"/>
      <c r="Q10" s="4"/>
      <c r="R10" s="5"/>
    </row>
    <row r="11" spans="1:18" ht="15.75" x14ac:dyDescent="0.25">
      <c r="A11" s="167"/>
      <c r="B11" s="17" t="s">
        <v>28</v>
      </c>
      <c r="C11" s="10"/>
      <c r="D11" s="13">
        <f t="shared" si="1"/>
        <v>0</v>
      </c>
      <c r="F11" s="233"/>
      <c r="G11" s="244"/>
      <c r="H11" s="245"/>
      <c r="I11" s="245"/>
      <c r="J11" s="24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7"/>
      <c r="B12" s="17" t="s">
        <v>30</v>
      </c>
      <c r="C12" s="10"/>
      <c r="D12" s="48">
        <f t="shared" si="1"/>
        <v>0</v>
      </c>
      <c r="F12" s="250" t="s">
        <v>33</v>
      </c>
      <c r="G12" s="251"/>
      <c r="H12" s="251"/>
      <c r="I12" s="251"/>
      <c r="J12" s="25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7"/>
      <c r="B13" s="17" t="s">
        <v>32</v>
      </c>
      <c r="C13" s="10"/>
      <c r="D13" s="48">
        <f t="shared" si="1"/>
        <v>0</v>
      </c>
      <c r="F13" s="253" t="s">
        <v>36</v>
      </c>
      <c r="G13" s="217"/>
      <c r="H13" s="208">
        <f>D29</f>
        <v>0</v>
      </c>
      <c r="I13" s="209"/>
      <c r="J13" s="21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7"/>
      <c r="B14" s="14" t="s">
        <v>35</v>
      </c>
      <c r="C14" s="10"/>
      <c r="D14" s="31">
        <f t="shared" si="1"/>
        <v>0</v>
      </c>
      <c r="F14" s="211" t="s">
        <v>38</v>
      </c>
      <c r="G14" s="212"/>
      <c r="H14" s="213">
        <f>D54</f>
        <v>0</v>
      </c>
      <c r="I14" s="214"/>
      <c r="J14" s="215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7"/>
      <c r="B15" s="14" t="s">
        <v>117</v>
      </c>
      <c r="C15" s="10"/>
      <c r="D15" s="31">
        <f t="shared" si="1"/>
        <v>0</v>
      </c>
      <c r="F15" s="216" t="s">
        <v>39</v>
      </c>
      <c r="G15" s="217"/>
      <c r="H15" s="218">
        <f>H13-H14</f>
        <v>0</v>
      </c>
      <c r="I15" s="219"/>
      <c r="J15" s="22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7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8"/>
      <c r="I16" s="178"/>
      <c r="J16" s="17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7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9"/>
      <c r="I17" s="189"/>
      <c r="J17" s="18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7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9"/>
      <c r="I18" s="189"/>
      <c r="J18" s="18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7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3"/>
      <c r="I19" s="263"/>
      <c r="J19" s="26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7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8"/>
      <c r="I20" s="178"/>
      <c r="J20" s="17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7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191" t="s">
        <v>13</v>
      </c>
      <c r="I21" s="192"/>
      <c r="J21" s="19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7"/>
      <c r="B22" s="46" t="s">
        <v>103</v>
      </c>
      <c r="C22" s="10"/>
      <c r="D22" s="48">
        <f t="shared" si="1"/>
        <v>0</v>
      </c>
      <c r="F22" s="76"/>
      <c r="G22" s="72"/>
      <c r="H22" s="194"/>
      <c r="I22" s="194"/>
      <c r="J22" s="19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7"/>
      <c r="B23" s="14" t="s">
        <v>116</v>
      </c>
      <c r="C23" s="10"/>
      <c r="D23" s="48">
        <f t="shared" si="1"/>
        <v>0</v>
      </c>
      <c r="F23" s="77"/>
      <c r="G23" s="78"/>
      <c r="H23" s="264"/>
      <c r="I23" s="194"/>
      <c r="J23" s="19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7"/>
      <c r="B24" s="14" t="s">
        <v>123</v>
      </c>
      <c r="C24" s="10"/>
      <c r="D24" s="48">
        <f t="shared" si="1"/>
        <v>0</v>
      </c>
      <c r="F24" s="38"/>
      <c r="G24" s="37"/>
      <c r="H24" s="195"/>
      <c r="I24" s="164"/>
      <c r="J24" s="16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6" t="s">
        <v>13</v>
      </c>
      <c r="I25" s="197"/>
      <c r="J25" s="19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7"/>
      <c r="B26" s="14" t="s">
        <v>124</v>
      </c>
      <c r="C26" s="10"/>
      <c r="D26" s="48">
        <f t="shared" si="1"/>
        <v>0</v>
      </c>
      <c r="F26" s="64"/>
      <c r="G26" s="59"/>
      <c r="H26" s="199"/>
      <c r="I26" s="200"/>
      <c r="J26" s="20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7"/>
      <c r="B27" s="14" t="s">
        <v>125</v>
      </c>
      <c r="C27" s="10"/>
      <c r="D27" s="44">
        <f t="shared" si="1"/>
        <v>0</v>
      </c>
      <c r="F27" s="25"/>
      <c r="G27" s="79"/>
      <c r="H27" s="202"/>
      <c r="I27" s="203"/>
      <c r="J27" s="20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8"/>
      <c r="B28" s="46" t="s">
        <v>92</v>
      </c>
      <c r="C28" s="10"/>
      <c r="D28" s="48">
        <f t="shared" si="1"/>
        <v>0</v>
      </c>
      <c r="F28" s="89"/>
      <c r="G28" s="61"/>
      <c r="H28" s="205"/>
      <c r="I28" s="206"/>
      <c r="J28" s="20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9" t="s">
        <v>36</v>
      </c>
      <c r="B29" s="180"/>
      <c r="C29" s="181"/>
      <c r="D29" s="185">
        <f>SUM(D6:D28)</f>
        <v>0</v>
      </c>
      <c r="F29" s="125" t="s">
        <v>54</v>
      </c>
      <c r="G29" s="187"/>
      <c r="H29" s="147">
        <f>H15-H16-H17-H18-H19-H20-H22-H23-H24+H26+H27</f>
        <v>0</v>
      </c>
      <c r="I29" s="148"/>
      <c r="J29" s="14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2"/>
      <c r="B30" s="183"/>
      <c r="C30" s="184"/>
      <c r="D30" s="186"/>
      <c r="F30" s="128"/>
      <c r="G30" s="188"/>
      <c r="H30" s="150"/>
      <c r="I30" s="151"/>
      <c r="J30" s="15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2" t="s">
        <v>57</v>
      </c>
      <c r="B32" s="173"/>
      <c r="C32" s="173"/>
      <c r="D32" s="174"/>
      <c r="F32" s="175" t="s">
        <v>58</v>
      </c>
      <c r="G32" s="176"/>
      <c r="H32" s="176"/>
      <c r="I32" s="176"/>
      <c r="J32" s="17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0" t="s">
        <v>62</v>
      </c>
      <c r="H33" s="175" t="s">
        <v>13</v>
      </c>
      <c r="I33" s="176"/>
      <c r="J33" s="17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6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69">
        <f>F34*G34</f>
        <v>0</v>
      </c>
      <c r="I34" s="170"/>
      <c r="J34" s="17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7"/>
      <c r="B35" s="27" t="s">
        <v>67</v>
      </c>
      <c r="C35" s="52"/>
      <c r="D35" s="30">
        <f>C35*84</f>
        <v>0</v>
      </c>
      <c r="F35" s="58">
        <v>500</v>
      </c>
      <c r="G35" s="41"/>
      <c r="H35" s="169">
        <f>F35*G35</f>
        <v>0</v>
      </c>
      <c r="I35" s="170"/>
      <c r="J35" s="17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8"/>
      <c r="B36" s="26" t="s">
        <v>69</v>
      </c>
      <c r="C36" s="10"/>
      <c r="D36" s="12">
        <f>C36*1.5</f>
        <v>0</v>
      </c>
      <c r="F36" s="12">
        <v>200</v>
      </c>
      <c r="G36" s="37"/>
      <c r="H36" s="169">
        <f t="shared" ref="H36:H39" si="2">F36*G36</f>
        <v>0</v>
      </c>
      <c r="I36" s="170"/>
      <c r="J36" s="17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9">
        <f t="shared" si="2"/>
        <v>0</v>
      </c>
      <c r="I37" s="170"/>
      <c r="J37" s="17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7"/>
      <c r="B38" s="29" t="s">
        <v>67</v>
      </c>
      <c r="C38" s="54"/>
      <c r="D38" s="12">
        <f>C38*84</f>
        <v>0</v>
      </c>
      <c r="F38" s="30">
        <v>50</v>
      </c>
      <c r="G38" s="39"/>
      <c r="H38" s="169">
        <f t="shared" si="2"/>
        <v>0</v>
      </c>
      <c r="I38" s="170"/>
      <c r="J38" s="17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8"/>
      <c r="B39" s="29" t="s">
        <v>69</v>
      </c>
      <c r="C39" s="52"/>
      <c r="D39" s="31">
        <f>C39*4.5</f>
        <v>0</v>
      </c>
      <c r="F39" s="12">
        <v>20</v>
      </c>
      <c r="G39" s="37"/>
      <c r="H39" s="169">
        <f t="shared" si="2"/>
        <v>0</v>
      </c>
      <c r="I39" s="170"/>
      <c r="J39" s="17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9"/>
      <c r="I40" s="170"/>
      <c r="J40" s="17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7"/>
      <c r="B41" s="27" t="s">
        <v>67</v>
      </c>
      <c r="C41" s="10"/>
      <c r="D41" s="12">
        <f>C41*84</f>
        <v>0</v>
      </c>
      <c r="F41" s="12">
        <v>5</v>
      </c>
      <c r="G41" s="42"/>
      <c r="H41" s="169"/>
      <c r="I41" s="170"/>
      <c r="J41" s="17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8"/>
      <c r="B42" s="27" t="s">
        <v>69</v>
      </c>
      <c r="C42" s="11"/>
      <c r="D42" s="12">
        <f>C42*2.25</f>
        <v>0</v>
      </c>
      <c r="F42" s="39" t="s">
        <v>78</v>
      </c>
      <c r="G42" s="169"/>
      <c r="H42" s="170"/>
      <c r="I42" s="170"/>
      <c r="J42" s="17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9" t="s">
        <v>80</v>
      </c>
      <c r="C43" s="11"/>
      <c r="D43" s="12"/>
      <c r="F43" s="59" t="s">
        <v>81</v>
      </c>
      <c r="G43" s="91" t="s">
        <v>82</v>
      </c>
      <c r="H43" s="161" t="s">
        <v>13</v>
      </c>
      <c r="I43" s="162"/>
      <c r="J43" s="16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0"/>
      <c r="B44" s="27" t="s">
        <v>65</v>
      </c>
      <c r="C44" s="10"/>
      <c r="D44" s="12">
        <f>C44*120</f>
        <v>0</v>
      </c>
      <c r="F44" s="37"/>
      <c r="G44" s="62"/>
      <c r="H44" s="164"/>
      <c r="I44" s="164"/>
      <c r="J44" s="16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0"/>
      <c r="B45" s="27" t="s">
        <v>67</v>
      </c>
      <c r="C45" s="33"/>
      <c r="D45" s="12">
        <f>C45*84</f>
        <v>0</v>
      </c>
      <c r="F45" s="37"/>
      <c r="G45" s="62"/>
      <c r="H45" s="164"/>
      <c r="I45" s="164"/>
      <c r="J45" s="164"/>
      <c r="K45" s="21"/>
      <c r="P45" s="4"/>
      <c r="Q45" s="4"/>
      <c r="R45" s="5"/>
    </row>
    <row r="46" spans="1:18" ht="15.75" x14ac:dyDescent="0.25">
      <c r="A46" s="140"/>
      <c r="B46" s="49" t="s">
        <v>69</v>
      </c>
      <c r="C46" s="80"/>
      <c r="D46" s="12">
        <f>C46*1.5</f>
        <v>0</v>
      </c>
      <c r="F46" s="37"/>
      <c r="G46" s="75"/>
      <c r="H46" s="164"/>
      <c r="I46" s="164"/>
      <c r="J46" s="164"/>
      <c r="K46" s="21"/>
      <c r="P46" s="4"/>
      <c r="Q46" s="4"/>
      <c r="R46" s="5"/>
    </row>
    <row r="47" spans="1:18" ht="15.75" x14ac:dyDescent="0.25">
      <c r="A47" s="141"/>
      <c r="B47" s="27"/>
      <c r="C47" s="11"/>
      <c r="D47" s="12"/>
      <c r="F47" s="37"/>
      <c r="G47" s="75"/>
      <c r="H47" s="164"/>
      <c r="I47" s="164"/>
      <c r="J47" s="164"/>
      <c r="K47" s="21"/>
      <c r="P47" s="4"/>
      <c r="Q47" s="4"/>
      <c r="R47" s="5"/>
    </row>
    <row r="48" spans="1:18" ht="15" customHeight="1" x14ac:dyDescent="0.25">
      <c r="A48" s="139" t="s">
        <v>32</v>
      </c>
      <c r="B48" s="27" t="s">
        <v>65</v>
      </c>
      <c r="C48" s="10"/>
      <c r="D48" s="12">
        <f>C48*78</f>
        <v>0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0"/>
      <c r="B49" s="29" t="s">
        <v>67</v>
      </c>
      <c r="C49" s="33"/>
      <c r="D49" s="12">
        <f>C49*42</f>
        <v>0</v>
      </c>
      <c r="F49" s="145" t="s">
        <v>85</v>
      </c>
      <c r="G49" s="147">
        <f>H34+H35+H36+H37+H38+H39+H40+H41+G42+H44+H45+H46+H47+H48</f>
        <v>0</v>
      </c>
      <c r="H49" s="148"/>
      <c r="I49" s="148"/>
      <c r="J49" s="14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0"/>
      <c r="B50" s="32" t="s">
        <v>69</v>
      </c>
      <c r="C50" s="11"/>
      <c r="D50" s="12">
        <f>C50*1.5</f>
        <v>0</v>
      </c>
      <c r="F50" s="146"/>
      <c r="G50" s="150"/>
      <c r="H50" s="151"/>
      <c r="I50" s="151"/>
      <c r="J50" s="152"/>
      <c r="O50" t="s">
        <v>112</v>
      </c>
      <c r="P50" s="4">
        <v>1204</v>
      </c>
      <c r="Q50" s="4"/>
      <c r="R50" s="5"/>
    </row>
    <row r="51" spans="1:18" ht="15" customHeight="1" x14ac:dyDescent="0.25">
      <c r="A51" s="140"/>
      <c r="B51" s="27"/>
      <c r="C51" s="10"/>
      <c r="D51" s="31"/>
      <c r="F51" s="153" t="str">
        <f>_xlfn.IFS(H29&gt;G49,"SHORT",H29&lt;G49,"OVER",H29&lt;=G49,"-")</f>
        <v>-</v>
      </c>
      <c r="G51" s="155">
        <f>G49-H29</f>
        <v>0</v>
      </c>
      <c r="H51" s="156"/>
      <c r="I51" s="156"/>
      <c r="J51" s="1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140"/>
      <c r="B52" s="29"/>
      <c r="C52" s="33"/>
      <c r="D52" s="45"/>
      <c r="F52" s="154"/>
      <c r="G52" s="158"/>
      <c r="H52" s="159"/>
      <c r="I52" s="159"/>
      <c r="J52" s="1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5" t="s">
        <v>89</v>
      </c>
      <c r="B54" s="126"/>
      <c r="C54" s="127"/>
      <c r="D54" s="13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8"/>
      <c r="B55" s="129"/>
      <c r="C55" s="130"/>
      <c r="D55" s="13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33" t="s">
        <v>90</v>
      </c>
      <c r="B58" s="134"/>
      <c r="C58" s="134"/>
      <c r="D58" s="135"/>
      <c r="F58" s="133" t="s">
        <v>91</v>
      </c>
      <c r="G58" s="134"/>
      <c r="H58" s="134"/>
      <c r="I58" s="134"/>
      <c r="J58" s="135"/>
    </row>
    <row r="59" spans="1:18" x14ac:dyDescent="0.25">
      <c r="A59" s="136"/>
      <c r="B59" s="137"/>
      <c r="C59" s="137"/>
      <c r="D59" s="138"/>
      <c r="F59" s="136"/>
      <c r="G59" s="137"/>
      <c r="H59" s="137"/>
      <c r="I59" s="137"/>
      <c r="J59" s="13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155" priority="1" operator="containsText" text="OVER">
      <formula>NOT(ISERROR(SEARCH("OVER",F51)))</formula>
    </cfRule>
    <cfRule type="containsText" dxfId="154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32B81432-E346-4F53-BBC6-B41A8106C080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BBF397-8613-4236-9D43-35F92E937FA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1" t="s">
        <v>1</v>
      </c>
      <c r="O1" s="221"/>
      <c r="P1" s="96" t="s">
        <v>2</v>
      </c>
      <c r="Q1" s="9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2" t="s">
        <v>7</v>
      </c>
      <c r="B4" s="173"/>
      <c r="C4" s="173"/>
      <c r="D4" s="174"/>
      <c r="F4" s="222" t="s">
        <v>8</v>
      </c>
      <c r="G4" s="224"/>
      <c r="H4" s="226" t="s">
        <v>9</v>
      </c>
      <c r="I4" s="228"/>
      <c r="J4" s="22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6" t="s">
        <v>7</v>
      </c>
      <c r="B5" s="15" t="s">
        <v>11</v>
      </c>
      <c r="C5" s="9" t="s">
        <v>12</v>
      </c>
      <c r="D5" s="25" t="s">
        <v>13</v>
      </c>
      <c r="F5" s="223"/>
      <c r="G5" s="225"/>
      <c r="H5" s="227"/>
      <c r="I5" s="230"/>
      <c r="J5" s="23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7"/>
      <c r="B6" s="16"/>
      <c r="C6" s="10"/>
      <c r="D6" s="13">
        <f t="shared" ref="D6:D28" si="1">C6*L6</f>
        <v>0</v>
      </c>
      <c r="F6" s="232" t="s">
        <v>16</v>
      </c>
      <c r="G6" s="234"/>
      <c r="H6" s="235"/>
      <c r="I6" s="235"/>
      <c r="J6" s="23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7"/>
      <c r="B7" s="16"/>
      <c r="C7" s="10"/>
      <c r="D7" s="13">
        <f t="shared" si="1"/>
        <v>0</v>
      </c>
      <c r="F7" s="233"/>
      <c r="G7" s="237"/>
      <c r="H7" s="238"/>
      <c r="I7" s="238"/>
      <c r="J7" s="23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7"/>
      <c r="B8" s="16"/>
      <c r="C8" s="10"/>
      <c r="D8" s="13">
        <f t="shared" si="1"/>
        <v>0</v>
      </c>
      <c r="F8" s="240" t="s">
        <v>21</v>
      </c>
      <c r="G8" s="241"/>
      <c r="H8" s="242"/>
      <c r="I8" s="242"/>
      <c r="J8" s="24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7"/>
      <c r="B9" s="16"/>
      <c r="C9" s="10"/>
      <c r="D9" s="13">
        <f t="shared" si="1"/>
        <v>0</v>
      </c>
      <c r="F9" s="233"/>
      <c r="G9" s="244"/>
      <c r="H9" s="245"/>
      <c r="I9" s="245"/>
      <c r="J9" s="24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7"/>
      <c r="C10" s="10"/>
      <c r="D10" s="13">
        <f t="shared" si="1"/>
        <v>0</v>
      </c>
      <c r="F10" s="232" t="s">
        <v>26</v>
      </c>
      <c r="G10" s="247"/>
      <c r="H10" s="248"/>
      <c r="I10" s="248"/>
      <c r="J10" s="249"/>
      <c r="K10" s="8"/>
      <c r="L10" s="6">
        <f>R36</f>
        <v>972</v>
      </c>
      <c r="P10" s="4"/>
      <c r="Q10" s="4"/>
      <c r="R10" s="5"/>
    </row>
    <row r="11" spans="1:19" ht="15.75" x14ac:dyDescent="0.25">
      <c r="A11" s="167"/>
      <c r="B11" s="17"/>
      <c r="C11" s="10"/>
      <c r="D11" s="13">
        <f t="shared" si="1"/>
        <v>0</v>
      </c>
      <c r="F11" s="233"/>
      <c r="G11" s="244"/>
      <c r="H11" s="245"/>
      <c r="I11" s="245"/>
      <c r="J11" s="24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7"/>
      <c r="B12" s="17"/>
      <c r="C12" s="10"/>
      <c r="D12" s="48">
        <f t="shared" si="1"/>
        <v>0</v>
      </c>
      <c r="F12" s="250" t="s">
        <v>33</v>
      </c>
      <c r="G12" s="251"/>
      <c r="H12" s="251"/>
      <c r="I12" s="251"/>
      <c r="J12" s="25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7"/>
      <c r="B13" s="17"/>
      <c r="C13" s="10"/>
      <c r="D13" s="48">
        <f t="shared" si="1"/>
        <v>0</v>
      </c>
      <c r="F13" s="253" t="s">
        <v>36</v>
      </c>
      <c r="G13" s="217"/>
      <c r="H13" s="208">
        <f>D29</f>
        <v>0</v>
      </c>
      <c r="I13" s="209"/>
      <c r="J13" s="21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7"/>
      <c r="B14" s="14"/>
      <c r="C14" s="10"/>
      <c r="D14" s="31">
        <f t="shared" si="1"/>
        <v>0</v>
      </c>
      <c r="F14" s="211" t="s">
        <v>38</v>
      </c>
      <c r="G14" s="212"/>
      <c r="H14" s="213">
        <f>D54</f>
        <v>0</v>
      </c>
      <c r="I14" s="214"/>
      <c r="J14" s="21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7"/>
      <c r="B15" s="14"/>
      <c r="C15" s="10"/>
      <c r="D15" s="31">
        <f t="shared" si="1"/>
        <v>0</v>
      </c>
      <c r="F15" s="216" t="s">
        <v>39</v>
      </c>
      <c r="G15" s="217"/>
      <c r="H15" s="218">
        <f>H13-H14</f>
        <v>0</v>
      </c>
      <c r="I15" s="219"/>
      <c r="J15" s="22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8"/>
      <c r="I16" s="178"/>
      <c r="J16" s="17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7"/>
      <c r="C17" s="10"/>
      <c r="D17" s="48">
        <f t="shared" si="1"/>
        <v>0</v>
      </c>
      <c r="F17" s="56"/>
      <c r="G17" s="66" t="s">
        <v>44</v>
      </c>
      <c r="H17" s="189"/>
      <c r="I17" s="189"/>
      <c r="J17" s="18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7"/>
      <c r="B18" s="19"/>
      <c r="C18" s="10"/>
      <c r="D18" s="48">
        <f t="shared" si="1"/>
        <v>0</v>
      </c>
      <c r="F18" s="56"/>
      <c r="G18" s="66" t="s">
        <v>46</v>
      </c>
      <c r="H18" s="189"/>
      <c r="I18" s="189"/>
      <c r="J18" s="18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7"/>
      <c r="B19" s="14"/>
      <c r="C19" s="10"/>
      <c r="D19" s="48">
        <f t="shared" si="1"/>
        <v>0</v>
      </c>
      <c r="F19" s="56"/>
      <c r="G19" s="68" t="s">
        <v>49</v>
      </c>
      <c r="H19" s="190"/>
      <c r="I19" s="190"/>
      <c r="J19" s="19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7"/>
      <c r="B20" s="46"/>
      <c r="C20" s="10"/>
      <c r="D20" s="13">
        <f t="shared" si="1"/>
        <v>0</v>
      </c>
      <c r="F20" s="57"/>
      <c r="G20" s="70" t="s">
        <v>102</v>
      </c>
      <c r="H20" s="178"/>
      <c r="I20" s="178"/>
      <c r="J20" s="17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7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91" t="s">
        <v>13</v>
      </c>
      <c r="I21" s="192"/>
      <c r="J21" s="193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7"/>
      <c r="B22" s="46"/>
      <c r="C22" s="10"/>
      <c r="D22" s="48">
        <f t="shared" si="1"/>
        <v>0</v>
      </c>
      <c r="F22" s="76"/>
      <c r="G22" s="72"/>
      <c r="H22" s="194"/>
      <c r="I22" s="194"/>
      <c r="J22" s="194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7"/>
      <c r="B23" s="14"/>
      <c r="C23" s="10"/>
      <c r="D23" s="48">
        <f t="shared" si="1"/>
        <v>0</v>
      </c>
      <c r="F23" s="77"/>
      <c r="G23" s="78"/>
      <c r="H23" s="195"/>
      <c r="I23" s="164"/>
      <c r="J23" s="16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7"/>
      <c r="B24" s="14"/>
      <c r="C24" s="10"/>
      <c r="D24" s="48">
        <f t="shared" si="1"/>
        <v>0</v>
      </c>
      <c r="F24" s="38"/>
      <c r="G24" s="37"/>
      <c r="H24" s="195"/>
      <c r="I24" s="164"/>
      <c r="J24" s="16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6" t="s">
        <v>13</v>
      </c>
      <c r="I25" s="197"/>
      <c r="J25" s="19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7"/>
      <c r="B26" s="14"/>
      <c r="C26" s="10"/>
      <c r="D26" s="48">
        <f t="shared" si="1"/>
        <v>0</v>
      </c>
      <c r="F26" s="64"/>
      <c r="G26" s="59"/>
      <c r="H26" s="199"/>
      <c r="I26" s="200"/>
      <c r="J26" s="20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7"/>
      <c r="B27" s="14"/>
      <c r="C27" s="10"/>
      <c r="D27" s="44">
        <f t="shared" si="1"/>
        <v>0</v>
      </c>
      <c r="F27" s="25"/>
      <c r="G27" s="79"/>
      <c r="H27" s="202"/>
      <c r="I27" s="203"/>
      <c r="J27" s="20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8"/>
      <c r="B28" s="46"/>
      <c r="C28" s="10"/>
      <c r="D28" s="48">
        <f t="shared" si="1"/>
        <v>0</v>
      </c>
      <c r="F28" s="97"/>
      <c r="G28" s="61"/>
      <c r="H28" s="205"/>
      <c r="I28" s="206"/>
      <c r="J28" s="20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9" t="s">
        <v>36</v>
      </c>
      <c r="B29" s="180"/>
      <c r="C29" s="181"/>
      <c r="D29" s="185">
        <f>SUM(D6:D28)</f>
        <v>0</v>
      </c>
      <c r="F29" s="125" t="s">
        <v>54</v>
      </c>
      <c r="G29" s="187"/>
      <c r="H29" s="147">
        <f>H15-H16-H17-H18-H19-H20-H22-H23-H24+H26+H27</f>
        <v>0</v>
      </c>
      <c r="I29" s="148"/>
      <c r="J29" s="14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2"/>
      <c r="B30" s="183"/>
      <c r="C30" s="184"/>
      <c r="D30" s="186"/>
      <c r="F30" s="128"/>
      <c r="G30" s="188"/>
      <c r="H30" s="150"/>
      <c r="I30" s="151"/>
      <c r="J30" s="15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2" t="s">
        <v>57</v>
      </c>
      <c r="B32" s="173"/>
      <c r="C32" s="173"/>
      <c r="D32" s="174"/>
      <c r="F32" s="175" t="s">
        <v>58</v>
      </c>
      <c r="G32" s="176"/>
      <c r="H32" s="176"/>
      <c r="I32" s="176"/>
      <c r="J32" s="17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175" t="s">
        <v>13</v>
      </c>
      <c r="I33" s="176"/>
      <c r="J33" s="17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6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69"/>
      <c r="I34" s="170"/>
      <c r="J34" s="17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7"/>
      <c r="B35" s="27" t="s">
        <v>67</v>
      </c>
      <c r="C35" s="52"/>
      <c r="D35" s="30">
        <f>C35*84</f>
        <v>0</v>
      </c>
      <c r="F35" s="58">
        <v>500</v>
      </c>
      <c r="G35" s="100"/>
      <c r="H35" s="169"/>
      <c r="I35" s="170"/>
      <c r="J35" s="17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8"/>
      <c r="B36" s="26" t="s">
        <v>69</v>
      </c>
      <c r="C36" s="10"/>
      <c r="D36" s="12">
        <f>C36*1.5</f>
        <v>0</v>
      </c>
      <c r="F36" s="12">
        <v>200</v>
      </c>
      <c r="G36" s="37"/>
      <c r="H36" s="169"/>
      <c r="I36" s="170"/>
      <c r="J36" s="17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9"/>
      <c r="I37" s="170"/>
      <c r="J37" s="17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7"/>
      <c r="B38" s="29" t="s">
        <v>67</v>
      </c>
      <c r="C38" s="54"/>
      <c r="D38" s="12">
        <f>C38*84</f>
        <v>0</v>
      </c>
      <c r="F38" s="30">
        <v>50</v>
      </c>
      <c r="G38" s="39"/>
      <c r="H38" s="169"/>
      <c r="I38" s="170"/>
      <c r="J38" s="17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8"/>
      <c r="B39" s="29" t="s">
        <v>69</v>
      </c>
      <c r="C39" s="52"/>
      <c r="D39" s="31">
        <f>C39*4.5</f>
        <v>0</v>
      </c>
      <c r="F39" s="12">
        <v>20</v>
      </c>
      <c r="G39" s="37"/>
      <c r="H39" s="169"/>
      <c r="I39" s="170"/>
      <c r="J39" s="17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6" t="s">
        <v>75</v>
      </c>
      <c r="B40" s="27" t="s">
        <v>65</v>
      </c>
      <c r="C40" s="63"/>
      <c r="D40" s="12">
        <f>C40*111</f>
        <v>0</v>
      </c>
      <c r="F40" s="12">
        <v>10</v>
      </c>
      <c r="G40" s="101"/>
      <c r="H40" s="169"/>
      <c r="I40" s="170"/>
      <c r="J40" s="17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7"/>
      <c r="B41" s="27" t="s">
        <v>67</v>
      </c>
      <c r="C41" s="10"/>
      <c r="D41" s="12">
        <f>C41*84</f>
        <v>0</v>
      </c>
      <c r="F41" s="12">
        <v>5</v>
      </c>
      <c r="G41" s="101"/>
      <c r="H41" s="169"/>
      <c r="I41" s="170"/>
      <c r="J41" s="17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8"/>
      <c r="B42" s="27" t="s">
        <v>69</v>
      </c>
      <c r="C42" s="11"/>
      <c r="D42" s="12">
        <f>C42*2.25</f>
        <v>0</v>
      </c>
      <c r="F42" s="39" t="s">
        <v>78</v>
      </c>
      <c r="G42" s="169"/>
      <c r="H42" s="170"/>
      <c r="I42" s="170"/>
      <c r="J42" s="17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9" t="s">
        <v>80</v>
      </c>
      <c r="C43" s="11"/>
      <c r="D43" s="12"/>
      <c r="F43" s="59" t="s">
        <v>81</v>
      </c>
      <c r="G43" s="99" t="s">
        <v>82</v>
      </c>
      <c r="H43" s="161" t="s">
        <v>13</v>
      </c>
      <c r="I43" s="162"/>
      <c r="J43" s="163"/>
      <c r="K43" s="21"/>
      <c r="P43" s="4"/>
      <c r="Q43" s="4"/>
      <c r="R43" s="5"/>
    </row>
    <row r="44" spans="1:18" ht="15.75" x14ac:dyDescent="0.25">
      <c r="A44" s="140"/>
      <c r="B44" s="27" t="s">
        <v>65</v>
      </c>
      <c r="C44" s="10"/>
      <c r="D44" s="12">
        <f>C44*120</f>
        <v>0</v>
      </c>
      <c r="F44" s="37"/>
      <c r="G44" s="75"/>
      <c r="H44" s="164"/>
      <c r="I44" s="164"/>
      <c r="J44" s="164"/>
      <c r="K44" s="21"/>
      <c r="P44" s="4"/>
      <c r="Q44" s="4"/>
      <c r="R44" s="5"/>
    </row>
    <row r="45" spans="1:18" ht="15.75" x14ac:dyDescent="0.25">
      <c r="A45" s="140"/>
      <c r="B45" s="27" t="s">
        <v>67</v>
      </c>
      <c r="C45" s="33"/>
      <c r="D45" s="12">
        <f>C45*84</f>
        <v>0</v>
      </c>
      <c r="F45" s="37"/>
      <c r="G45" s="75"/>
      <c r="H45" s="164"/>
      <c r="I45" s="164"/>
      <c r="J45" s="164"/>
      <c r="K45" s="21"/>
      <c r="P45" s="4"/>
      <c r="Q45" s="4"/>
      <c r="R45" s="5"/>
    </row>
    <row r="46" spans="1:18" ht="15.75" x14ac:dyDescent="0.25">
      <c r="A46" s="140"/>
      <c r="B46" s="49" t="s">
        <v>69</v>
      </c>
      <c r="C46" s="80"/>
      <c r="D46" s="12">
        <f>C46*1.5</f>
        <v>0</v>
      </c>
      <c r="F46" s="37"/>
      <c r="G46" s="62"/>
      <c r="H46" s="165"/>
      <c r="I46" s="165"/>
      <c r="J46" s="165"/>
      <c r="K46" s="21"/>
      <c r="P46" s="4"/>
      <c r="Q46" s="4"/>
      <c r="R46" s="5"/>
    </row>
    <row r="47" spans="1:18" ht="15.75" x14ac:dyDescent="0.25">
      <c r="A47" s="141"/>
      <c r="B47" s="27"/>
      <c r="C47" s="11"/>
      <c r="D47" s="12"/>
      <c r="F47" s="59"/>
      <c r="G47" s="59"/>
      <c r="H47" s="142"/>
      <c r="I47" s="143"/>
      <c r="J47" s="144"/>
      <c r="K47" s="21"/>
      <c r="P47" s="4"/>
      <c r="Q47" s="4"/>
      <c r="R47" s="5"/>
    </row>
    <row r="48" spans="1:18" ht="15" customHeight="1" x14ac:dyDescent="0.25">
      <c r="A48" s="139" t="s">
        <v>32</v>
      </c>
      <c r="B48" s="27" t="s">
        <v>65</v>
      </c>
      <c r="C48" s="10"/>
      <c r="D48" s="12">
        <f>C48*78</f>
        <v>0</v>
      </c>
      <c r="F48" s="59"/>
      <c r="G48" s="59"/>
      <c r="H48" s="142"/>
      <c r="I48" s="143"/>
      <c r="J48" s="14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0"/>
      <c r="B49" s="29" t="s">
        <v>67</v>
      </c>
      <c r="C49" s="33"/>
      <c r="D49" s="12">
        <f>C49*42</f>
        <v>0</v>
      </c>
      <c r="F49" s="145" t="s">
        <v>85</v>
      </c>
      <c r="G49" s="147">
        <f>H34+H35+H36+H37+H38+H39+H40+H41+G42+H44+H45+H46</f>
        <v>0</v>
      </c>
      <c r="H49" s="148"/>
      <c r="I49" s="148"/>
      <c r="J49" s="14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0"/>
      <c r="B50" s="32" t="s">
        <v>69</v>
      </c>
      <c r="C50" s="11"/>
      <c r="D50" s="12">
        <f>C50*1.5</f>
        <v>0</v>
      </c>
      <c r="F50" s="146"/>
      <c r="G50" s="150"/>
      <c r="H50" s="151"/>
      <c r="I50" s="151"/>
      <c r="J50" s="152"/>
      <c r="P50" s="4"/>
      <c r="Q50" s="4"/>
      <c r="R50" s="5"/>
    </row>
    <row r="51" spans="1:18" ht="15" customHeight="1" x14ac:dyDescent="0.25">
      <c r="A51" s="140"/>
      <c r="B51" s="27"/>
      <c r="C51" s="10"/>
      <c r="D51" s="31"/>
      <c r="F51" s="153" t="s">
        <v>106</v>
      </c>
      <c r="G51" s="155">
        <f>G49-H29</f>
        <v>0</v>
      </c>
      <c r="H51" s="156"/>
      <c r="I51" s="156"/>
      <c r="J51" s="15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0"/>
      <c r="B52" s="29"/>
      <c r="C52" s="33"/>
      <c r="D52" s="45"/>
      <c r="F52" s="154"/>
      <c r="G52" s="158"/>
      <c r="H52" s="159"/>
      <c r="I52" s="159"/>
      <c r="J52" s="1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5" t="s">
        <v>89</v>
      </c>
      <c r="B54" s="126"/>
      <c r="C54" s="127"/>
      <c r="D54" s="131">
        <f>SUM(D34:D53)</f>
        <v>0</v>
      </c>
      <c r="F54" s="21"/>
      <c r="J54" s="34"/>
    </row>
    <row r="55" spans="1:18" x14ac:dyDescent="0.25">
      <c r="A55" s="128"/>
      <c r="B55" s="129"/>
      <c r="C55" s="130"/>
      <c r="D55" s="13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3" t="s">
        <v>90</v>
      </c>
      <c r="B58" s="134"/>
      <c r="C58" s="134"/>
      <c r="D58" s="135"/>
      <c r="F58" s="133" t="s">
        <v>91</v>
      </c>
      <c r="G58" s="134"/>
      <c r="H58" s="134"/>
      <c r="I58" s="134"/>
      <c r="J58" s="135"/>
    </row>
    <row r="59" spans="1:18" x14ac:dyDescent="0.25">
      <c r="A59" s="136"/>
      <c r="B59" s="137"/>
      <c r="C59" s="137"/>
      <c r="D59" s="138"/>
      <c r="F59" s="136"/>
      <c r="G59" s="137"/>
      <c r="H59" s="137"/>
      <c r="I59" s="137"/>
      <c r="J59" s="13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189DE-A74E-46FF-92E0-5E3A25395106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1" t="s">
        <v>1</v>
      </c>
      <c r="O1" s="221"/>
      <c r="P1" s="96" t="s">
        <v>2</v>
      </c>
      <c r="Q1" s="9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2" t="s">
        <v>7</v>
      </c>
      <c r="B4" s="173"/>
      <c r="C4" s="173"/>
      <c r="D4" s="174"/>
      <c r="F4" s="222" t="s">
        <v>8</v>
      </c>
      <c r="G4" s="224">
        <v>1</v>
      </c>
      <c r="H4" s="226" t="s">
        <v>9</v>
      </c>
      <c r="I4" s="228">
        <v>46237</v>
      </c>
      <c r="J4" s="22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6" t="s">
        <v>7</v>
      </c>
      <c r="B5" s="15" t="s">
        <v>11</v>
      </c>
      <c r="C5" s="9" t="s">
        <v>12</v>
      </c>
      <c r="D5" s="25" t="s">
        <v>13</v>
      </c>
      <c r="F5" s="223"/>
      <c r="G5" s="225"/>
      <c r="H5" s="227"/>
      <c r="I5" s="230"/>
      <c r="J5" s="23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7"/>
      <c r="B6" s="16" t="s">
        <v>15</v>
      </c>
      <c r="C6" s="10">
        <v>283</v>
      </c>
      <c r="D6" s="13">
        <f t="shared" ref="D6:D28" si="1">C6*L6</f>
        <v>215363</v>
      </c>
      <c r="F6" s="232" t="s">
        <v>16</v>
      </c>
      <c r="G6" s="234" t="s">
        <v>99</v>
      </c>
      <c r="H6" s="235"/>
      <c r="I6" s="235"/>
      <c r="J6" s="2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7"/>
      <c r="B7" s="16" t="s">
        <v>18</v>
      </c>
      <c r="C7" s="10">
        <v>9</v>
      </c>
      <c r="D7" s="13">
        <f t="shared" si="1"/>
        <v>7029</v>
      </c>
      <c r="F7" s="233"/>
      <c r="G7" s="237"/>
      <c r="H7" s="238"/>
      <c r="I7" s="238"/>
      <c r="J7" s="2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7"/>
      <c r="B8" s="16" t="s">
        <v>20</v>
      </c>
      <c r="C8" s="10"/>
      <c r="D8" s="13">
        <f t="shared" si="1"/>
        <v>0</v>
      </c>
      <c r="F8" s="240" t="s">
        <v>21</v>
      </c>
      <c r="G8" s="241" t="s">
        <v>115</v>
      </c>
      <c r="H8" s="242"/>
      <c r="I8" s="242"/>
      <c r="J8" s="24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7"/>
      <c r="B9" s="16" t="s">
        <v>23</v>
      </c>
      <c r="C9" s="10">
        <v>32</v>
      </c>
      <c r="D9" s="13">
        <f t="shared" si="1"/>
        <v>23456</v>
      </c>
      <c r="F9" s="233"/>
      <c r="G9" s="244"/>
      <c r="H9" s="245"/>
      <c r="I9" s="245"/>
      <c r="J9" s="24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7"/>
      <c r="B10" t="s">
        <v>25</v>
      </c>
      <c r="C10" s="10"/>
      <c r="D10" s="13">
        <f t="shared" si="1"/>
        <v>0</v>
      </c>
      <c r="F10" s="232" t="s">
        <v>26</v>
      </c>
      <c r="G10" s="247" t="s">
        <v>108</v>
      </c>
      <c r="H10" s="248"/>
      <c r="I10" s="248"/>
      <c r="J10" s="249"/>
      <c r="K10" s="8"/>
      <c r="L10" s="6">
        <f>R36</f>
        <v>1032</v>
      </c>
      <c r="P10" s="4"/>
      <c r="Q10" s="4"/>
      <c r="R10" s="5"/>
    </row>
    <row r="11" spans="1:18" ht="15.75" x14ac:dyDescent="0.25">
      <c r="A11" s="167"/>
      <c r="B11" s="17" t="s">
        <v>28</v>
      </c>
      <c r="C11" s="10"/>
      <c r="D11" s="13">
        <f t="shared" si="1"/>
        <v>0</v>
      </c>
      <c r="F11" s="233"/>
      <c r="G11" s="244"/>
      <c r="H11" s="245"/>
      <c r="I11" s="245"/>
      <c r="J11" s="24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7"/>
      <c r="B12" s="17" t="s">
        <v>30</v>
      </c>
      <c r="C12" s="10">
        <v>1</v>
      </c>
      <c r="D12" s="48">
        <f t="shared" si="1"/>
        <v>992</v>
      </c>
      <c r="F12" s="250" t="s">
        <v>33</v>
      </c>
      <c r="G12" s="251"/>
      <c r="H12" s="251"/>
      <c r="I12" s="251"/>
      <c r="J12" s="25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7"/>
      <c r="B13" s="17" t="s">
        <v>32</v>
      </c>
      <c r="C13" s="10">
        <v>2</v>
      </c>
      <c r="D13" s="48">
        <f t="shared" si="1"/>
        <v>614</v>
      </c>
      <c r="F13" s="253" t="s">
        <v>36</v>
      </c>
      <c r="G13" s="217"/>
      <c r="H13" s="208">
        <f>D29</f>
        <v>248162.33333333334</v>
      </c>
      <c r="I13" s="209"/>
      <c r="J13" s="21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7"/>
      <c r="B14" s="14" t="s">
        <v>35</v>
      </c>
      <c r="C14" s="10">
        <v>8</v>
      </c>
      <c r="D14" s="31">
        <f t="shared" si="1"/>
        <v>88.333333333333329</v>
      </c>
      <c r="F14" s="211" t="s">
        <v>38</v>
      </c>
      <c r="G14" s="212"/>
      <c r="H14" s="213">
        <f>D54</f>
        <v>36360.75</v>
      </c>
      <c r="I14" s="214"/>
      <c r="J14" s="215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7"/>
      <c r="B15" s="14" t="s">
        <v>117</v>
      </c>
      <c r="C15" s="10">
        <v>1</v>
      </c>
      <c r="D15" s="31">
        <f t="shared" si="1"/>
        <v>620</v>
      </c>
      <c r="F15" s="216" t="s">
        <v>39</v>
      </c>
      <c r="G15" s="217"/>
      <c r="H15" s="218">
        <f>H13-H14</f>
        <v>211801.58333333334</v>
      </c>
      <c r="I15" s="219"/>
      <c r="J15" s="22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7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8"/>
      <c r="I16" s="178"/>
      <c r="J16" s="17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7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9"/>
      <c r="I17" s="189"/>
      <c r="J17" s="18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7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9"/>
      <c r="I18" s="189"/>
      <c r="J18" s="18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7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8"/>
      <c r="I19" s="178"/>
      <c r="J19" s="17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7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8"/>
      <c r="I20" s="178"/>
      <c r="J20" s="17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7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91" t="s">
        <v>13</v>
      </c>
      <c r="I21" s="192"/>
      <c r="J21" s="19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7"/>
      <c r="B22" s="46" t="s">
        <v>103</v>
      </c>
      <c r="C22" s="10"/>
      <c r="D22" s="48">
        <f t="shared" si="1"/>
        <v>0</v>
      </c>
      <c r="F22" s="76"/>
      <c r="G22" s="72"/>
      <c r="H22" s="194"/>
      <c r="I22" s="194"/>
      <c r="J22" s="19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7"/>
      <c r="B23" s="14" t="s">
        <v>116</v>
      </c>
      <c r="C23" s="10"/>
      <c r="D23" s="48">
        <f t="shared" si="1"/>
        <v>0</v>
      </c>
      <c r="F23" s="76"/>
      <c r="G23" s="78"/>
      <c r="H23" s="259"/>
      <c r="I23" s="260"/>
      <c r="J23" s="26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7"/>
      <c r="B24" s="14" t="s">
        <v>123</v>
      </c>
      <c r="C24" s="10"/>
      <c r="D24" s="48">
        <f t="shared" si="1"/>
        <v>0</v>
      </c>
      <c r="F24" s="76"/>
      <c r="G24" s="78"/>
      <c r="H24" s="259"/>
      <c r="I24" s="260"/>
      <c r="J24" s="26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6" t="s">
        <v>13</v>
      </c>
      <c r="I25" s="197"/>
      <c r="J25" s="19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7"/>
      <c r="B26" s="14" t="s">
        <v>124</v>
      </c>
      <c r="C26" s="10"/>
      <c r="D26" s="48">
        <f t="shared" si="1"/>
        <v>0</v>
      </c>
      <c r="F26" s="74"/>
      <c r="G26" s="65"/>
      <c r="H26" s="164"/>
      <c r="I26" s="164"/>
      <c r="J26" s="16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7"/>
      <c r="B27" s="14" t="s">
        <v>125</v>
      </c>
      <c r="C27" s="10"/>
      <c r="D27" s="44">
        <f t="shared" si="1"/>
        <v>0</v>
      </c>
      <c r="F27" s="71"/>
      <c r="G27" s="99"/>
      <c r="H27" s="261"/>
      <c r="I27" s="262"/>
      <c r="J27" s="26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8"/>
      <c r="B28" s="46" t="s">
        <v>92</v>
      </c>
      <c r="C28" s="10"/>
      <c r="D28" s="48">
        <f t="shared" si="1"/>
        <v>0</v>
      </c>
      <c r="F28" s="97"/>
      <c r="G28" s="61"/>
      <c r="H28" s="205"/>
      <c r="I28" s="206"/>
      <c r="J28" s="20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9" t="s">
        <v>36</v>
      </c>
      <c r="B29" s="180"/>
      <c r="C29" s="181"/>
      <c r="D29" s="185">
        <f>SUM(D6:D28)</f>
        <v>248162.33333333334</v>
      </c>
      <c r="F29" s="125" t="s">
        <v>54</v>
      </c>
      <c r="G29" s="187"/>
      <c r="H29" s="147">
        <f>H15-H16-H17-H18-H19-H20-H22-H23-H24+H26+H27+H28</f>
        <v>211801.58333333334</v>
      </c>
      <c r="I29" s="148"/>
      <c r="J29" s="14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2"/>
      <c r="B30" s="183"/>
      <c r="C30" s="184"/>
      <c r="D30" s="186"/>
      <c r="F30" s="128"/>
      <c r="G30" s="188"/>
      <c r="H30" s="150"/>
      <c r="I30" s="151"/>
      <c r="J30" s="15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2" t="s">
        <v>57</v>
      </c>
      <c r="B32" s="173"/>
      <c r="C32" s="173"/>
      <c r="D32" s="174"/>
      <c r="F32" s="175" t="s">
        <v>58</v>
      </c>
      <c r="G32" s="176"/>
      <c r="H32" s="176"/>
      <c r="I32" s="176"/>
      <c r="J32" s="17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175" t="s">
        <v>13</v>
      </c>
      <c r="I33" s="176"/>
      <c r="J33" s="17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6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111</v>
      </c>
      <c r="H34" s="169">
        <f t="shared" ref="H34:H39" si="2">F34*G34</f>
        <v>111000</v>
      </c>
      <c r="I34" s="170"/>
      <c r="J34" s="17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7"/>
      <c r="B35" s="27" t="s">
        <v>67</v>
      </c>
      <c r="C35" s="52"/>
      <c r="D35" s="30">
        <f>C35*84</f>
        <v>0</v>
      </c>
      <c r="F35" s="58">
        <v>500</v>
      </c>
      <c r="G35" s="100">
        <v>41</v>
      </c>
      <c r="H35" s="169">
        <f t="shared" si="2"/>
        <v>20500</v>
      </c>
      <c r="I35" s="170"/>
      <c r="J35" s="17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8"/>
      <c r="B36" s="26" t="s">
        <v>69</v>
      </c>
      <c r="C36" s="10"/>
      <c r="D36" s="12">
        <f>C36*1.5</f>
        <v>0</v>
      </c>
      <c r="F36" s="12">
        <v>200</v>
      </c>
      <c r="G36" s="37"/>
      <c r="H36" s="169">
        <f t="shared" si="2"/>
        <v>0</v>
      </c>
      <c r="I36" s="170"/>
      <c r="J36" s="17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6" t="s">
        <v>71</v>
      </c>
      <c r="B37" s="28" t="s">
        <v>65</v>
      </c>
      <c r="C37" s="53">
        <v>309</v>
      </c>
      <c r="D37" s="12">
        <f>C37*111</f>
        <v>34299</v>
      </c>
      <c r="F37" s="12">
        <v>100</v>
      </c>
      <c r="G37" s="39">
        <v>13</v>
      </c>
      <c r="H37" s="169">
        <f t="shared" si="2"/>
        <v>1300</v>
      </c>
      <c r="I37" s="170"/>
      <c r="J37" s="17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7"/>
      <c r="B38" s="29" t="s">
        <v>67</v>
      </c>
      <c r="C38" s="54">
        <v>4</v>
      </c>
      <c r="D38" s="12">
        <f>C38*84</f>
        <v>336</v>
      </c>
      <c r="F38" s="30">
        <v>50</v>
      </c>
      <c r="G38" s="39">
        <v>21</v>
      </c>
      <c r="H38" s="169">
        <f t="shared" si="2"/>
        <v>1050</v>
      </c>
      <c r="I38" s="170"/>
      <c r="J38" s="17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8"/>
      <c r="B39" s="29" t="s">
        <v>69</v>
      </c>
      <c r="C39" s="52"/>
      <c r="D39" s="31">
        <f>C39*4.5</f>
        <v>0</v>
      </c>
      <c r="F39" s="12">
        <v>20</v>
      </c>
      <c r="G39" s="37">
        <v>2</v>
      </c>
      <c r="H39" s="169">
        <f t="shared" si="2"/>
        <v>40</v>
      </c>
      <c r="I39" s="170"/>
      <c r="J39" s="17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6" t="s">
        <v>75</v>
      </c>
      <c r="B40" s="27" t="s">
        <v>65</v>
      </c>
      <c r="C40" s="63">
        <v>11</v>
      </c>
      <c r="D40" s="12">
        <f>C40*111</f>
        <v>1221</v>
      </c>
      <c r="F40" s="12">
        <v>10</v>
      </c>
      <c r="G40" s="101"/>
      <c r="H40" s="257"/>
      <c r="I40" s="258"/>
      <c r="J40" s="19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7"/>
      <c r="B41" s="27" t="s">
        <v>67</v>
      </c>
      <c r="C41" s="10">
        <v>1</v>
      </c>
      <c r="D41" s="12">
        <f>C41*84</f>
        <v>84</v>
      </c>
      <c r="F41" s="12">
        <v>5</v>
      </c>
      <c r="G41" s="101"/>
      <c r="H41" s="169"/>
      <c r="I41" s="170"/>
      <c r="J41" s="17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8"/>
      <c r="B42" s="27" t="s">
        <v>69</v>
      </c>
      <c r="C42" s="11">
        <v>5</v>
      </c>
      <c r="D42" s="12">
        <f>C42*2.25</f>
        <v>11.25</v>
      </c>
      <c r="F42" s="39" t="s">
        <v>78</v>
      </c>
      <c r="G42" s="169">
        <v>116</v>
      </c>
      <c r="H42" s="170"/>
      <c r="I42" s="170"/>
      <c r="J42" s="17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9" t="s">
        <v>80</v>
      </c>
      <c r="C43" s="11"/>
      <c r="D43" s="12"/>
      <c r="F43" s="59" t="s">
        <v>81</v>
      </c>
      <c r="G43" s="99" t="s">
        <v>82</v>
      </c>
      <c r="H43" s="161" t="s">
        <v>13</v>
      </c>
      <c r="I43" s="162"/>
      <c r="J43" s="16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0"/>
      <c r="B44" s="27" t="s">
        <v>65</v>
      </c>
      <c r="C44" s="10">
        <v>1</v>
      </c>
      <c r="D44" s="12">
        <f>C44*120</f>
        <v>120</v>
      </c>
      <c r="F44" s="37" t="s">
        <v>133</v>
      </c>
      <c r="G44" s="108" t="s">
        <v>134</v>
      </c>
      <c r="H44" s="164">
        <v>62000</v>
      </c>
      <c r="I44" s="164"/>
      <c r="J44" s="16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0"/>
      <c r="B45" s="27" t="s">
        <v>67</v>
      </c>
      <c r="C45" s="33">
        <v>1</v>
      </c>
      <c r="D45" s="12">
        <f>C45*84</f>
        <v>84</v>
      </c>
      <c r="F45" s="37" t="s">
        <v>135</v>
      </c>
      <c r="G45" s="87"/>
      <c r="H45" s="164">
        <v>16444</v>
      </c>
      <c r="I45" s="164"/>
      <c r="J45" s="164"/>
      <c r="K45" s="21"/>
      <c r="P45" s="4"/>
      <c r="Q45" s="4"/>
      <c r="R45" s="5"/>
    </row>
    <row r="46" spans="1:18" ht="15.75" x14ac:dyDescent="0.25">
      <c r="A46" s="140"/>
      <c r="B46" s="49" t="s">
        <v>69</v>
      </c>
      <c r="C46" s="80">
        <v>16</v>
      </c>
      <c r="D46" s="12">
        <f>C46*1.5</f>
        <v>24</v>
      </c>
      <c r="F46" s="37"/>
      <c r="G46" s="62"/>
      <c r="H46" s="164"/>
      <c r="I46" s="164"/>
      <c r="J46" s="164"/>
      <c r="K46" s="21"/>
      <c r="P46" s="4"/>
      <c r="Q46" s="4"/>
      <c r="R46" s="5"/>
    </row>
    <row r="47" spans="1:18" ht="15.75" x14ac:dyDescent="0.25">
      <c r="A47" s="141"/>
      <c r="B47" s="27"/>
      <c r="C47" s="11"/>
      <c r="D47" s="12"/>
      <c r="F47" s="59"/>
      <c r="G47" s="59"/>
      <c r="H47" s="254"/>
      <c r="I47" s="255"/>
      <c r="J47" s="256"/>
      <c r="K47" s="21"/>
      <c r="P47" s="4"/>
      <c r="Q47" s="4"/>
      <c r="R47" s="5"/>
    </row>
    <row r="48" spans="1:18" ht="15" customHeight="1" x14ac:dyDescent="0.25">
      <c r="A48" s="139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0"/>
      <c r="B49" s="29" t="s">
        <v>67</v>
      </c>
      <c r="C49" s="33">
        <v>2</v>
      </c>
      <c r="D49" s="12">
        <f>C49*42</f>
        <v>84</v>
      </c>
      <c r="F49" s="145" t="s">
        <v>85</v>
      </c>
      <c r="G49" s="147">
        <f>H34+H35+H36+H37+H38+H39+H40+H41+G42+H44+H45+H46+H47+H48</f>
        <v>212450</v>
      </c>
      <c r="H49" s="148"/>
      <c r="I49" s="148"/>
      <c r="J49" s="14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0"/>
      <c r="B50" s="32" t="s">
        <v>69</v>
      </c>
      <c r="C50" s="11">
        <v>13</v>
      </c>
      <c r="D50" s="12">
        <f>C50*1.5</f>
        <v>19.5</v>
      </c>
      <c r="F50" s="146"/>
      <c r="G50" s="150"/>
      <c r="H50" s="151"/>
      <c r="I50" s="151"/>
      <c r="J50" s="152"/>
      <c r="O50" t="s">
        <v>112</v>
      </c>
      <c r="P50" s="4">
        <v>1204</v>
      </c>
      <c r="Q50" s="4"/>
      <c r="R50" s="5"/>
    </row>
    <row r="51" spans="1:18" ht="15" customHeight="1" x14ac:dyDescent="0.25">
      <c r="A51" s="140"/>
      <c r="B51" s="27"/>
      <c r="C51" s="10"/>
      <c r="D51" s="31"/>
      <c r="F51" s="153" t="str">
        <f>_xlfn.IFS(H29&gt;G49,"SHORT",H29&lt;G49,"OVER",H29&lt;=G49,"-")</f>
        <v>OVER</v>
      </c>
      <c r="G51" s="155">
        <f>G49-H29</f>
        <v>648.41666666665697</v>
      </c>
      <c r="H51" s="156"/>
      <c r="I51" s="156"/>
      <c r="J51" s="1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0"/>
      <c r="B52" s="29"/>
      <c r="C52" s="33"/>
      <c r="D52" s="45"/>
      <c r="F52" s="154"/>
      <c r="G52" s="158"/>
      <c r="H52" s="159"/>
      <c r="I52" s="159"/>
      <c r="J52" s="1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5" t="s">
        <v>89</v>
      </c>
      <c r="B54" s="126"/>
      <c r="C54" s="127"/>
      <c r="D54" s="131">
        <f>SUM(D34:D53)</f>
        <v>36360.75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8"/>
      <c r="B55" s="129"/>
      <c r="C55" s="130"/>
      <c r="D55" s="13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33" t="s">
        <v>90</v>
      </c>
      <c r="B58" s="134"/>
      <c r="C58" s="134"/>
      <c r="D58" s="135"/>
      <c r="F58" s="133" t="s">
        <v>91</v>
      </c>
      <c r="G58" s="134"/>
      <c r="H58" s="134"/>
      <c r="I58" s="134"/>
      <c r="J58" s="135"/>
    </row>
    <row r="59" spans="1:18" x14ac:dyDescent="0.25">
      <c r="A59" s="136"/>
      <c r="B59" s="137"/>
      <c r="C59" s="137"/>
      <c r="D59" s="138"/>
      <c r="F59" s="136"/>
      <c r="G59" s="137"/>
      <c r="H59" s="137"/>
      <c r="I59" s="137"/>
      <c r="J59" s="138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152" priority="1" operator="containsText" text="OVER">
      <formula>NOT(ISERROR(SEARCH("OVER",F51)))</formula>
    </cfRule>
    <cfRule type="containsText" dxfId="151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8D05D359-5E91-40C2-984A-EC1974F7849D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36C338-13F4-49A3-AF50-48508A21647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1" t="s">
        <v>1</v>
      </c>
      <c r="O1" s="221"/>
      <c r="P1" s="96" t="s">
        <v>2</v>
      </c>
      <c r="Q1" s="9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2" t="s">
        <v>7</v>
      </c>
      <c r="B4" s="173"/>
      <c r="C4" s="173"/>
      <c r="D4" s="174"/>
      <c r="F4" s="222" t="s">
        <v>8</v>
      </c>
      <c r="G4" s="224">
        <v>2</v>
      </c>
      <c r="H4" s="226" t="s">
        <v>9</v>
      </c>
      <c r="I4" s="228">
        <v>46237</v>
      </c>
      <c r="J4" s="22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6" t="s">
        <v>7</v>
      </c>
      <c r="B5" s="15" t="s">
        <v>11</v>
      </c>
      <c r="C5" s="9" t="s">
        <v>12</v>
      </c>
      <c r="D5" s="25" t="s">
        <v>13</v>
      </c>
      <c r="F5" s="223"/>
      <c r="G5" s="225"/>
      <c r="H5" s="227"/>
      <c r="I5" s="230"/>
      <c r="J5" s="23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7"/>
      <c r="B6" s="16" t="s">
        <v>15</v>
      </c>
      <c r="C6" s="10">
        <v>487</v>
      </c>
      <c r="D6" s="13">
        <f t="shared" ref="D6:D28" si="1">C6*L6</f>
        <v>370607</v>
      </c>
      <c r="F6" s="232" t="s">
        <v>16</v>
      </c>
      <c r="G6" s="234" t="s">
        <v>107</v>
      </c>
      <c r="H6" s="235"/>
      <c r="I6" s="235"/>
      <c r="J6" s="2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7"/>
      <c r="B7" s="16" t="s">
        <v>18</v>
      </c>
      <c r="C7" s="10">
        <v>6</v>
      </c>
      <c r="D7" s="13">
        <f t="shared" si="1"/>
        <v>4686</v>
      </c>
      <c r="F7" s="233"/>
      <c r="G7" s="237"/>
      <c r="H7" s="238"/>
      <c r="I7" s="238"/>
      <c r="J7" s="2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7"/>
      <c r="B8" s="16" t="s">
        <v>20</v>
      </c>
      <c r="C8" s="10"/>
      <c r="D8" s="13">
        <f t="shared" si="1"/>
        <v>0</v>
      </c>
      <c r="F8" s="240" t="s">
        <v>21</v>
      </c>
      <c r="G8" s="241" t="s">
        <v>100</v>
      </c>
      <c r="H8" s="242"/>
      <c r="I8" s="242"/>
      <c r="J8" s="24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7"/>
      <c r="B9" s="16" t="s">
        <v>23</v>
      </c>
      <c r="C9" s="10">
        <v>168</v>
      </c>
      <c r="D9" s="13">
        <f t="shared" si="1"/>
        <v>123144</v>
      </c>
      <c r="F9" s="233"/>
      <c r="G9" s="244"/>
      <c r="H9" s="245"/>
      <c r="I9" s="245"/>
      <c r="J9" s="24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7"/>
      <c r="B10" t="s">
        <v>25</v>
      </c>
      <c r="C10" s="10"/>
      <c r="D10" s="13">
        <f t="shared" si="1"/>
        <v>0</v>
      </c>
      <c r="F10" s="232" t="s">
        <v>26</v>
      </c>
      <c r="G10" s="247" t="s">
        <v>101</v>
      </c>
      <c r="H10" s="248"/>
      <c r="I10" s="248"/>
      <c r="J10" s="249"/>
      <c r="K10" s="8"/>
      <c r="L10" s="6">
        <f>R36</f>
        <v>1032</v>
      </c>
      <c r="P10" s="4"/>
      <c r="Q10" s="4"/>
      <c r="R10" s="5"/>
    </row>
    <row r="11" spans="1:18" ht="15.75" x14ac:dyDescent="0.25">
      <c r="A11" s="167"/>
      <c r="B11" s="17" t="s">
        <v>28</v>
      </c>
      <c r="C11" s="10"/>
      <c r="D11" s="13">
        <f t="shared" si="1"/>
        <v>0</v>
      </c>
      <c r="F11" s="233"/>
      <c r="G11" s="244"/>
      <c r="H11" s="245"/>
      <c r="I11" s="245"/>
      <c r="J11" s="24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7"/>
      <c r="B12" s="17" t="s">
        <v>30</v>
      </c>
      <c r="C12" s="10"/>
      <c r="D12" s="48">
        <f t="shared" si="1"/>
        <v>0</v>
      </c>
      <c r="F12" s="250" t="s">
        <v>33</v>
      </c>
      <c r="G12" s="251"/>
      <c r="H12" s="251"/>
      <c r="I12" s="251"/>
      <c r="J12" s="25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7"/>
      <c r="B13" s="17" t="s">
        <v>32</v>
      </c>
      <c r="C13" s="10">
        <v>25</v>
      </c>
      <c r="D13" s="48">
        <f t="shared" si="1"/>
        <v>7675</v>
      </c>
      <c r="F13" s="253" t="s">
        <v>36</v>
      </c>
      <c r="G13" s="217"/>
      <c r="H13" s="208">
        <f>D29</f>
        <v>516071.33333333331</v>
      </c>
      <c r="I13" s="209"/>
      <c r="J13" s="21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7"/>
      <c r="B14" s="14" t="s">
        <v>35</v>
      </c>
      <c r="C14" s="10">
        <v>8</v>
      </c>
      <c r="D14" s="31">
        <f t="shared" si="1"/>
        <v>88.333333333333329</v>
      </c>
      <c r="F14" s="211" t="s">
        <v>38</v>
      </c>
      <c r="G14" s="212"/>
      <c r="H14" s="213">
        <f>D54</f>
        <v>76411.5</v>
      </c>
      <c r="I14" s="214"/>
      <c r="J14" s="215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7"/>
      <c r="B15" s="14" t="s">
        <v>117</v>
      </c>
      <c r="C15" s="10"/>
      <c r="D15" s="31">
        <f t="shared" si="1"/>
        <v>0</v>
      </c>
      <c r="F15" s="216" t="s">
        <v>39</v>
      </c>
      <c r="G15" s="217"/>
      <c r="H15" s="218">
        <f>H13-H14</f>
        <v>439659.83333333331</v>
      </c>
      <c r="I15" s="219"/>
      <c r="J15" s="22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7"/>
      <c r="B16" s="18" t="s">
        <v>110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178">
        <v>3396</v>
      </c>
      <c r="I16" s="178"/>
      <c r="J16" s="17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7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9"/>
      <c r="I17" s="189"/>
      <c r="J17" s="18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7"/>
      <c r="B18" s="85" t="s">
        <v>120</v>
      </c>
      <c r="C18" s="10">
        <v>2</v>
      </c>
      <c r="D18" s="48">
        <f t="shared" si="1"/>
        <v>2204</v>
      </c>
      <c r="F18" s="56"/>
      <c r="G18" s="66" t="s">
        <v>46</v>
      </c>
      <c r="H18" s="189"/>
      <c r="I18" s="189"/>
      <c r="J18" s="18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7"/>
      <c r="B19" s="86" t="s">
        <v>105</v>
      </c>
      <c r="C19" s="10">
        <f>1+1+2</f>
        <v>4</v>
      </c>
      <c r="D19" s="48">
        <f t="shared" si="1"/>
        <v>4700</v>
      </c>
      <c r="F19" s="56"/>
      <c r="G19" s="68" t="s">
        <v>49</v>
      </c>
      <c r="H19" s="263"/>
      <c r="I19" s="263"/>
      <c r="J19" s="26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7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8"/>
      <c r="I20" s="178"/>
      <c r="J20" s="17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7"/>
      <c r="B21" s="14" t="s">
        <v>126</v>
      </c>
      <c r="C21" s="10">
        <v>1</v>
      </c>
      <c r="D21" s="48">
        <f t="shared" si="1"/>
        <v>1667</v>
      </c>
      <c r="F21" s="69" t="s">
        <v>94</v>
      </c>
      <c r="G21" s="81" t="s">
        <v>93</v>
      </c>
      <c r="H21" s="191" t="s">
        <v>13</v>
      </c>
      <c r="I21" s="192"/>
      <c r="J21" s="193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7"/>
      <c r="B22" s="46" t="s">
        <v>103</v>
      </c>
      <c r="C22" s="10"/>
      <c r="D22" s="48">
        <f t="shared" si="1"/>
        <v>0</v>
      </c>
      <c r="F22" s="76"/>
      <c r="G22" s="72"/>
      <c r="H22" s="194"/>
      <c r="I22" s="194"/>
      <c r="J22" s="19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7"/>
      <c r="B23" s="14" t="s">
        <v>116</v>
      </c>
      <c r="C23" s="10"/>
      <c r="D23" s="48">
        <f t="shared" si="1"/>
        <v>0</v>
      </c>
      <c r="F23" s="77"/>
      <c r="G23" s="78"/>
      <c r="H23" s="264"/>
      <c r="I23" s="194"/>
      <c r="J23" s="19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7"/>
      <c r="B24" s="14" t="s">
        <v>123</v>
      </c>
      <c r="C24" s="10"/>
      <c r="D24" s="48">
        <f t="shared" si="1"/>
        <v>0</v>
      </c>
      <c r="F24" s="38"/>
      <c r="G24" s="37"/>
      <c r="H24" s="195"/>
      <c r="I24" s="164"/>
      <c r="J24" s="16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6" t="s">
        <v>13</v>
      </c>
      <c r="I25" s="197"/>
      <c r="J25" s="19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7"/>
      <c r="B26" s="14" t="s">
        <v>124</v>
      </c>
      <c r="C26" s="10"/>
      <c r="D26" s="48">
        <f t="shared" si="1"/>
        <v>0</v>
      </c>
      <c r="F26" s="64"/>
      <c r="G26" s="59"/>
      <c r="H26" s="199"/>
      <c r="I26" s="200"/>
      <c r="J26" s="20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7"/>
      <c r="B27" s="14" t="s">
        <v>125</v>
      </c>
      <c r="C27" s="10"/>
      <c r="D27" s="44">
        <f t="shared" si="1"/>
        <v>0</v>
      </c>
      <c r="F27" s="25"/>
      <c r="G27" s="79"/>
      <c r="H27" s="202"/>
      <c r="I27" s="203"/>
      <c r="J27" s="20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8"/>
      <c r="B28" s="46" t="s">
        <v>92</v>
      </c>
      <c r="C28" s="10"/>
      <c r="D28" s="48">
        <f t="shared" si="1"/>
        <v>0</v>
      </c>
      <c r="F28" s="97"/>
      <c r="G28" s="61"/>
      <c r="H28" s="205"/>
      <c r="I28" s="206"/>
      <c r="J28" s="20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9" t="s">
        <v>36</v>
      </c>
      <c r="B29" s="180"/>
      <c r="C29" s="181"/>
      <c r="D29" s="185">
        <f>SUM(D6:D28)</f>
        <v>516071.33333333331</v>
      </c>
      <c r="F29" s="125" t="s">
        <v>54</v>
      </c>
      <c r="G29" s="187"/>
      <c r="H29" s="147">
        <f>H15-H16-H17-H18-H19-H20-H22-H23-H24+H26+H27</f>
        <v>436263.83333333331</v>
      </c>
      <c r="I29" s="148"/>
      <c r="J29" s="14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2"/>
      <c r="B30" s="183"/>
      <c r="C30" s="184"/>
      <c r="D30" s="186"/>
      <c r="F30" s="128"/>
      <c r="G30" s="188"/>
      <c r="H30" s="150"/>
      <c r="I30" s="151"/>
      <c r="J30" s="15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2" t="s">
        <v>57</v>
      </c>
      <c r="B32" s="173"/>
      <c r="C32" s="173"/>
      <c r="D32" s="174"/>
      <c r="F32" s="175" t="s">
        <v>58</v>
      </c>
      <c r="G32" s="176"/>
      <c r="H32" s="176"/>
      <c r="I32" s="176"/>
      <c r="J32" s="17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175" t="s">
        <v>13</v>
      </c>
      <c r="I33" s="176"/>
      <c r="J33" s="17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6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73">
        <v>47</v>
      </c>
      <c r="H34" s="169">
        <f>F34*G34</f>
        <v>47000</v>
      </c>
      <c r="I34" s="170"/>
      <c r="J34" s="17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7"/>
      <c r="B35" s="27" t="s">
        <v>67</v>
      </c>
      <c r="C35" s="52"/>
      <c r="D35" s="30">
        <f>C35*84</f>
        <v>0</v>
      </c>
      <c r="F35" s="58">
        <v>500</v>
      </c>
      <c r="G35" s="100">
        <v>310</v>
      </c>
      <c r="H35" s="169">
        <f>F35*G35</f>
        <v>155000</v>
      </c>
      <c r="I35" s="170"/>
      <c r="J35" s="17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8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169">
        <f t="shared" ref="H36:H39" si="2">F36*G36</f>
        <v>200</v>
      </c>
      <c r="I36" s="170"/>
      <c r="J36" s="17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6" t="s">
        <v>71</v>
      </c>
      <c r="B37" s="28" t="s">
        <v>65</v>
      </c>
      <c r="C37" s="53">
        <v>664</v>
      </c>
      <c r="D37" s="12">
        <f>C37*111</f>
        <v>73704</v>
      </c>
      <c r="F37" s="12">
        <v>100</v>
      </c>
      <c r="G37" s="39">
        <v>32</v>
      </c>
      <c r="H37" s="169">
        <f t="shared" si="2"/>
        <v>3200</v>
      </c>
      <c r="I37" s="170"/>
      <c r="J37" s="17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7"/>
      <c r="B38" s="29" t="s">
        <v>67</v>
      </c>
      <c r="C38" s="54">
        <v>3</v>
      </c>
      <c r="D38" s="12">
        <f>C38*84</f>
        <v>252</v>
      </c>
      <c r="F38" s="30">
        <v>50</v>
      </c>
      <c r="G38" s="39"/>
      <c r="H38" s="169">
        <f t="shared" si="2"/>
        <v>0</v>
      </c>
      <c r="I38" s="170"/>
      <c r="J38" s="17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8"/>
      <c r="B39" s="29" t="s">
        <v>69</v>
      </c>
      <c r="C39" s="52">
        <v>10</v>
      </c>
      <c r="D39" s="31">
        <f>C39*4.5</f>
        <v>45</v>
      </c>
      <c r="F39" s="12">
        <v>20</v>
      </c>
      <c r="G39" s="37"/>
      <c r="H39" s="169">
        <f t="shared" si="2"/>
        <v>0</v>
      </c>
      <c r="I39" s="170"/>
      <c r="J39" s="17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6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101"/>
      <c r="H40" s="169"/>
      <c r="I40" s="170"/>
      <c r="J40" s="17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7"/>
      <c r="B41" s="27" t="s">
        <v>67</v>
      </c>
      <c r="C41" s="10"/>
      <c r="D41" s="12">
        <f>C41*84</f>
        <v>0</v>
      </c>
      <c r="F41" s="12">
        <v>5</v>
      </c>
      <c r="G41" s="101"/>
      <c r="H41" s="169"/>
      <c r="I41" s="170"/>
      <c r="J41" s="17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8"/>
      <c r="B42" s="27" t="s">
        <v>69</v>
      </c>
      <c r="C42" s="11">
        <v>10</v>
      </c>
      <c r="D42" s="12">
        <f>C42*2.25</f>
        <v>22.5</v>
      </c>
      <c r="F42" s="39" t="s">
        <v>78</v>
      </c>
      <c r="G42" s="169">
        <v>83</v>
      </c>
      <c r="H42" s="170"/>
      <c r="I42" s="170"/>
      <c r="J42" s="17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9" t="s">
        <v>80</v>
      </c>
      <c r="C43" s="11"/>
      <c r="D43" s="12"/>
      <c r="F43" s="59" t="s">
        <v>81</v>
      </c>
      <c r="G43" s="99" t="s">
        <v>82</v>
      </c>
      <c r="H43" s="161" t="s">
        <v>13</v>
      </c>
      <c r="I43" s="162"/>
      <c r="J43" s="16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0"/>
      <c r="B44" s="27" t="s">
        <v>65</v>
      </c>
      <c r="C44" s="10">
        <v>7</v>
      </c>
      <c r="D44" s="12">
        <f>C44*120</f>
        <v>840</v>
      </c>
      <c r="F44" s="37" t="s">
        <v>136</v>
      </c>
      <c r="G44" s="62" t="s">
        <v>137</v>
      </c>
      <c r="H44" s="164">
        <v>231443</v>
      </c>
      <c r="I44" s="164"/>
      <c r="J44" s="16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0"/>
      <c r="B45" s="27" t="s">
        <v>67</v>
      </c>
      <c r="C45" s="33"/>
      <c r="D45" s="12">
        <f>C45*84</f>
        <v>0</v>
      </c>
      <c r="F45" s="37"/>
      <c r="G45" s="75"/>
      <c r="H45" s="164"/>
      <c r="I45" s="164"/>
      <c r="J45" s="164"/>
      <c r="K45" s="21"/>
      <c r="P45" s="4"/>
      <c r="Q45" s="4"/>
      <c r="R45" s="5"/>
    </row>
    <row r="46" spans="1:18" ht="15.75" x14ac:dyDescent="0.25">
      <c r="A46" s="140"/>
      <c r="B46" s="49" t="s">
        <v>69</v>
      </c>
      <c r="C46" s="80"/>
      <c r="D46" s="12">
        <f>C46*1.5</f>
        <v>0</v>
      </c>
      <c r="F46" s="37"/>
      <c r="G46" s="62"/>
      <c r="H46" s="164"/>
      <c r="I46" s="164"/>
      <c r="J46" s="164"/>
      <c r="K46" s="21"/>
      <c r="P46" s="4"/>
      <c r="Q46" s="4"/>
      <c r="R46" s="5"/>
    </row>
    <row r="47" spans="1:18" ht="15.75" x14ac:dyDescent="0.25">
      <c r="A47" s="141"/>
      <c r="B47" s="27"/>
      <c r="C47" s="11"/>
      <c r="D47" s="12"/>
      <c r="F47" s="59"/>
      <c r="G47" s="59"/>
      <c r="H47" s="164"/>
      <c r="I47" s="164"/>
      <c r="J47" s="164"/>
      <c r="K47" s="21"/>
      <c r="P47" s="4"/>
      <c r="Q47" s="4"/>
      <c r="R47" s="5"/>
    </row>
    <row r="48" spans="1:18" ht="15" customHeight="1" x14ac:dyDescent="0.25">
      <c r="A48" s="139" t="s">
        <v>32</v>
      </c>
      <c r="B48" s="27" t="s">
        <v>65</v>
      </c>
      <c r="C48" s="10">
        <v>8</v>
      </c>
      <c r="D48" s="12">
        <f>C48*78</f>
        <v>624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0"/>
      <c r="B49" s="29" t="s">
        <v>67</v>
      </c>
      <c r="C49" s="33">
        <v>8</v>
      </c>
      <c r="D49" s="12">
        <f>C49*42</f>
        <v>336</v>
      </c>
      <c r="F49" s="145" t="s">
        <v>85</v>
      </c>
      <c r="G49" s="147">
        <f>H34+H35+H36+H37+H38+H39+H40+H41+G42+H44+H45+H46+H47+H48</f>
        <v>436926</v>
      </c>
      <c r="H49" s="148"/>
      <c r="I49" s="148"/>
      <c r="J49" s="14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0"/>
      <c r="B50" s="32" t="s">
        <v>69</v>
      </c>
      <c r="C50" s="80">
        <v>4</v>
      </c>
      <c r="D50" s="12">
        <f>C50*1.5</f>
        <v>6</v>
      </c>
      <c r="F50" s="146"/>
      <c r="G50" s="150"/>
      <c r="H50" s="151"/>
      <c r="I50" s="151"/>
      <c r="J50" s="152"/>
      <c r="O50" t="s">
        <v>112</v>
      </c>
      <c r="P50" s="4">
        <v>1204</v>
      </c>
      <c r="Q50" s="4"/>
      <c r="R50" s="5"/>
    </row>
    <row r="51" spans="1:18" ht="15" customHeight="1" x14ac:dyDescent="0.25">
      <c r="A51" s="140"/>
      <c r="B51" s="27"/>
      <c r="C51" s="10"/>
      <c r="D51" s="31"/>
      <c r="F51" s="153" t="str">
        <f>_xlfn.IFS(H29&gt;G49,"SHORT",H29&lt;G49,"OVER",H29&lt;=G49,"-")</f>
        <v>OVER</v>
      </c>
      <c r="G51" s="155">
        <f>G49-H29</f>
        <v>662.16666666668607</v>
      </c>
      <c r="H51" s="156"/>
      <c r="I51" s="156"/>
      <c r="J51" s="1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140"/>
      <c r="B52" s="29"/>
      <c r="C52" s="33"/>
      <c r="D52" s="45"/>
      <c r="F52" s="154"/>
      <c r="G52" s="158"/>
      <c r="H52" s="159"/>
      <c r="I52" s="159"/>
      <c r="J52" s="1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5" t="s">
        <v>89</v>
      </c>
      <c r="B54" s="126"/>
      <c r="C54" s="127"/>
      <c r="D54" s="131">
        <f>SUM(D34:D53)</f>
        <v>76411.5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8"/>
      <c r="B55" s="129"/>
      <c r="C55" s="130"/>
      <c r="D55" s="13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133" t="s">
        <v>90</v>
      </c>
      <c r="B58" s="134"/>
      <c r="C58" s="134"/>
      <c r="D58" s="135"/>
      <c r="F58" s="133" t="s">
        <v>91</v>
      </c>
      <c r="G58" s="134"/>
      <c r="H58" s="134"/>
      <c r="I58" s="134"/>
      <c r="J58" s="135"/>
    </row>
    <row r="59" spans="1:18" x14ac:dyDescent="0.25">
      <c r="A59" s="136"/>
      <c r="B59" s="137"/>
      <c r="C59" s="137"/>
      <c r="D59" s="138"/>
      <c r="F59" s="136"/>
      <c r="G59" s="137"/>
      <c r="H59" s="137"/>
      <c r="I59" s="137"/>
      <c r="J59" s="13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149" priority="1" operator="containsText" text="OVER">
      <formula>NOT(ISERROR(SEARCH("OVER",F51)))</formula>
    </cfRule>
    <cfRule type="containsText" dxfId="148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F9C3E7F0-97B9-425D-9DFB-1FDF07BE9C63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372228-AF99-4AAD-8650-BEDD5F843D3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1" t="s">
        <v>1</v>
      </c>
      <c r="O1" s="221"/>
      <c r="P1" s="96" t="s">
        <v>2</v>
      </c>
      <c r="Q1" s="9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2" t="s">
        <v>7</v>
      </c>
      <c r="B4" s="173"/>
      <c r="C4" s="173"/>
      <c r="D4" s="174"/>
      <c r="F4" s="222" t="s">
        <v>8</v>
      </c>
      <c r="G4" s="224">
        <v>3</v>
      </c>
      <c r="H4" s="226" t="s">
        <v>9</v>
      </c>
      <c r="I4" s="228">
        <v>46237</v>
      </c>
      <c r="J4" s="22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6" t="s">
        <v>7</v>
      </c>
      <c r="B5" s="15" t="s">
        <v>11</v>
      </c>
      <c r="C5" s="9" t="s">
        <v>12</v>
      </c>
      <c r="D5" s="25" t="s">
        <v>13</v>
      </c>
      <c r="F5" s="223"/>
      <c r="G5" s="225"/>
      <c r="H5" s="227"/>
      <c r="I5" s="230"/>
      <c r="J5" s="23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7"/>
      <c r="B6" s="16" t="s">
        <v>15</v>
      </c>
      <c r="C6" s="10">
        <v>428</v>
      </c>
      <c r="D6" s="13">
        <f t="shared" ref="D6:D28" si="1">C6*L6</f>
        <v>325708</v>
      </c>
      <c r="F6" s="232" t="s">
        <v>16</v>
      </c>
      <c r="G6" s="234" t="s">
        <v>142</v>
      </c>
      <c r="H6" s="235"/>
      <c r="I6" s="235"/>
      <c r="J6" s="2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7"/>
      <c r="B7" s="16" t="s">
        <v>18</v>
      </c>
      <c r="C7" s="10">
        <v>14</v>
      </c>
      <c r="D7" s="13">
        <f t="shared" si="1"/>
        <v>10934</v>
      </c>
      <c r="F7" s="233"/>
      <c r="G7" s="237"/>
      <c r="H7" s="238"/>
      <c r="I7" s="238"/>
      <c r="J7" s="2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7"/>
      <c r="B8" s="16" t="s">
        <v>20</v>
      </c>
      <c r="C8" s="10"/>
      <c r="D8" s="13">
        <f t="shared" si="1"/>
        <v>0</v>
      </c>
      <c r="F8" s="240" t="s">
        <v>21</v>
      </c>
      <c r="G8" s="241" t="s">
        <v>109</v>
      </c>
      <c r="H8" s="242"/>
      <c r="I8" s="242"/>
      <c r="J8" s="24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7"/>
      <c r="B9" s="16" t="s">
        <v>23</v>
      </c>
      <c r="C9" s="10">
        <v>81</v>
      </c>
      <c r="D9" s="13">
        <f t="shared" si="1"/>
        <v>59373</v>
      </c>
      <c r="F9" s="233"/>
      <c r="G9" s="244"/>
      <c r="H9" s="245"/>
      <c r="I9" s="245"/>
      <c r="J9" s="24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7"/>
      <c r="B10" t="s">
        <v>25</v>
      </c>
      <c r="C10" s="10">
        <v>2</v>
      </c>
      <c r="D10" s="13">
        <f t="shared" si="1"/>
        <v>2064</v>
      </c>
      <c r="F10" s="232" t="s">
        <v>26</v>
      </c>
      <c r="G10" s="247" t="s">
        <v>119</v>
      </c>
      <c r="H10" s="248"/>
      <c r="I10" s="248"/>
      <c r="J10" s="249"/>
      <c r="K10" s="8"/>
      <c r="L10" s="6">
        <f>R36</f>
        <v>1032</v>
      </c>
      <c r="P10" s="4"/>
      <c r="Q10" s="4"/>
      <c r="R10" s="5"/>
    </row>
    <row r="11" spans="1:18" ht="15.75" x14ac:dyDescent="0.25">
      <c r="A11" s="167"/>
      <c r="B11" s="17" t="s">
        <v>28</v>
      </c>
      <c r="C11" s="10"/>
      <c r="D11" s="13">
        <f t="shared" si="1"/>
        <v>0</v>
      </c>
      <c r="F11" s="233"/>
      <c r="G11" s="244"/>
      <c r="H11" s="245"/>
      <c r="I11" s="245"/>
      <c r="J11" s="24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7"/>
      <c r="B12" s="17" t="s">
        <v>30</v>
      </c>
      <c r="C12" s="10">
        <f>2+1</f>
        <v>3</v>
      </c>
      <c r="D12" s="48">
        <f t="shared" si="1"/>
        <v>2976</v>
      </c>
      <c r="F12" s="250" t="s">
        <v>33</v>
      </c>
      <c r="G12" s="251"/>
      <c r="H12" s="251"/>
      <c r="I12" s="251"/>
      <c r="J12" s="25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7"/>
      <c r="B13" s="17" t="s">
        <v>32</v>
      </c>
      <c r="C13" s="10">
        <v>17</v>
      </c>
      <c r="D13" s="48">
        <f t="shared" si="1"/>
        <v>5219</v>
      </c>
      <c r="F13" s="253" t="s">
        <v>36</v>
      </c>
      <c r="G13" s="217"/>
      <c r="H13" s="208">
        <f>D29</f>
        <v>406307.125</v>
      </c>
      <c r="I13" s="209"/>
      <c r="J13" s="21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7"/>
      <c r="B14" s="14" t="s">
        <v>35</v>
      </c>
      <c r="C14" s="10">
        <v>3</v>
      </c>
      <c r="D14" s="31">
        <f t="shared" si="1"/>
        <v>33.125</v>
      </c>
      <c r="F14" s="211" t="s">
        <v>38</v>
      </c>
      <c r="G14" s="212"/>
      <c r="H14" s="213">
        <f>D54</f>
        <v>66713.25</v>
      </c>
      <c r="I14" s="214"/>
      <c r="J14" s="215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7"/>
      <c r="B15" s="14" t="s">
        <v>117</v>
      </c>
      <c r="C15" s="10"/>
      <c r="D15" s="31">
        <f t="shared" si="1"/>
        <v>0</v>
      </c>
      <c r="F15" s="216" t="s">
        <v>39</v>
      </c>
      <c r="G15" s="217"/>
      <c r="H15" s="218">
        <f>H13-H14</f>
        <v>339593.875</v>
      </c>
      <c r="I15" s="219"/>
      <c r="J15" s="22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7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8">
        <v>1602</v>
      </c>
      <c r="I16" s="178"/>
      <c r="J16" s="17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7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9"/>
      <c r="I17" s="189"/>
      <c r="J17" s="18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7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9"/>
      <c r="I18" s="189"/>
      <c r="J18" s="18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7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3">
        <v>50</v>
      </c>
      <c r="I19" s="263"/>
      <c r="J19" s="26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7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8"/>
      <c r="I20" s="178"/>
      <c r="J20" s="17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7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191" t="s">
        <v>13</v>
      </c>
      <c r="I21" s="192"/>
      <c r="J21" s="19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7"/>
      <c r="B22" s="46" t="s">
        <v>103</v>
      </c>
      <c r="C22" s="10"/>
      <c r="D22" s="48">
        <f t="shared" si="1"/>
        <v>0</v>
      </c>
      <c r="F22" s="76"/>
      <c r="G22" s="72"/>
      <c r="H22" s="194"/>
      <c r="I22" s="194"/>
      <c r="J22" s="19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7"/>
      <c r="B23" s="14" t="s">
        <v>116</v>
      </c>
      <c r="C23" s="10"/>
      <c r="D23" s="48">
        <f t="shared" si="1"/>
        <v>0</v>
      </c>
      <c r="F23" s="77"/>
      <c r="G23" s="78"/>
      <c r="H23" s="264"/>
      <c r="I23" s="194"/>
      <c r="J23" s="19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7"/>
      <c r="B24" s="14" t="s">
        <v>123</v>
      </c>
      <c r="C24" s="10"/>
      <c r="D24" s="48">
        <f t="shared" si="1"/>
        <v>0</v>
      </c>
      <c r="F24" s="38"/>
      <c r="G24" s="37"/>
      <c r="H24" s="195"/>
      <c r="I24" s="164"/>
      <c r="J24" s="16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6" t="s">
        <v>13</v>
      </c>
      <c r="I25" s="197"/>
      <c r="J25" s="19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7"/>
      <c r="B26" s="14" t="s">
        <v>124</v>
      </c>
      <c r="C26" s="10"/>
      <c r="D26" s="48">
        <f t="shared" si="1"/>
        <v>0</v>
      </c>
      <c r="F26" s="64"/>
      <c r="G26" s="59"/>
      <c r="H26" s="199"/>
      <c r="I26" s="200"/>
      <c r="J26" s="20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7"/>
      <c r="B27" s="14" t="s">
        <v>125</v>
      </c>
      <c r="C27" s="10"/>
      <c r="D27" s="44">
        <f t="shared" si="1"/>
        <v>0</v>
      </c>
      <c r="F27" s="25"/>
      <c r="G27" s="79"/>
      <c r="H27" s="202"/>
      <c r="I27" s="203"/>
      <c r="J27" s="20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8"/>
      <c r="B28" s="46" t="s">
        <v>92</v>
      </c>
      <c r="C28" s="10"/>
      <c r="D28" s="48">
        <f t="shared" si="1"/>
        <v>0</v>
      </c>
      <c r="F28" s="97"/>
      <c r="G28" s="61"/>
      <c r="H28" s="205"/>
      <c r="I28" s="206"/>
      <c r="J28" s="20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9" t="s">
        <v>36</v>
      </c>
      <c r="B29" s="180"/>
      <c r="C29" s="181"/>
      <c r="D29" s="185">
        <f>SUM(D6:D28)</f>
        <v>406307.125</v>
      </c>
      <c r="F29" s="125" t="s">
        <v>54</v>
      </c>
      <c r="G29" s="187"/>
      <c r="H29" s="147">
        <f>H15-H16-H17-H18-H19-H20-H22-H23-H24+H26+H27</f>
        <v>337941.875</v>
      </c>
      <c r="I29" s="148"/>
      <c r="J29" s="14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2"/>
      <c r="B30" s="183"/>
      <c r="C30" s="184"/>
      <c r="D30" s="186"/>
      <c r="F30" s="128"/>
      <c r="G30" s="188"/>
      <c r="H30" s="150"/>
      <c r="I30" s="151"/>
      <c r="J30" s="15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2" t="s">
        <v>57</v>
      </c>
      <c r="B32" s="173"/>
      <c r="C32" s="173"/>
      <c r="D32" s="174"/>
      <c r="F32" s="175" t="s">
        <v>58</v>
      </c>
      <c r="G32" s="176"/>
      <c r="H32" s="176"/>
      <c r="I32" s="176"/>
      <c r="J32" s="17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175" t="s">
        <v>13</v>
      </c>
      <c r="I33" s="176"/>
      <c r="J33" s="17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6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25</v>
      </c>
      <c r="H34" s="169">
        <f>F34*G34</f>
        <v>25000</v>
      </c>
      <c r="I34" s="170"/>
      <c r="J34" s="17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7"/>
      <c r="B35" s="27" t="s">
        <v>67</v>
      </c>
      <c r="C35" s="52"/>
      <c r="D35" s="30">
        <f>C35*84</f>
        <v>0</v>
      </c>
      <c r="F35" s="58">
        <v>500</v>
      </c>
      <c r="G35" s="100">
        <v>2</v>
      </c>
      <c r="H35" s="169">
        <f>F35*G35</f>
        <v>1000</v>
      </c>
      <c r="I35" s="170"/>
      <c r="J35" s="17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8"/>
      <c r="B36" s="26" t="s">
        <v>69</v>
      </c>
      <c r="C36" s="10"/>
      <c r="D36" s="12">
        <f>C36*1.5</f>
        <v>0</v>
      </c>
      <c r="F36" s="12">
        <v>200</v>
      </c>
      <c r="G36" s="37"/>
      <c r="H36" s="169">
        <f t="shared" ref="H36:H39" si="2">F36*G36</f>
        <v>0</v>
      </c>
      <c r="I36" s="170"/>
      <c r="J36" s="17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6" t="s">
        <v>71</v>
      </c>
      <c r="B37" s="28" t="s">
        <v>65</v>
      </c>
      <c r="C37" s="53">
        <v>572</v>
      </c>
      <c r="D37" s="12">
        <f>C37*111</f>
        <v>63492</v>
      </c>
      <c r="F37" s="12">
        <v>100</v>
      </c>
      <c r="G37" s="39">
        <v>14</v>
      </c>
      <c r="H37" s="169">
        <f t="shared" si="2"/>
        <v>1400</v>
      </c>
      <c r="I37" s="170"/>
      <c r="J37" s="17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7"/>
      <c r="B38" s="29" t="s">
        <v>67</v>
      </c>
      <c r="C38" s="54">
        <v>4</v>
      </c>
      <c r="D38" s="12">
        <f>C38*84</f>
        <v>336</v>
      </c>
      <c r="F38" s="30">
        <v>50</v>
      </c>
      <c r="G38" s="39">
        <v>3</v>
      </c>
      <c r="H38" s="169">
        <f t="shared" si="2"/>
        <v>150</v>
      </c>
      <c r="I38" s="170"/>
      <c r="J38" s="17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8"/>
      <c r="B39" s="29" t="s">
        <v>69</v>
      </c>
      <c r="C39" s="52">
        <v>5</v>
      </c>
      <c r="D39" s="31">
        <f>C39*4.5</f>
        <v>22.5</v>
      </c>
      <c r="F39" s="12">
        <v>20</v>
      </c>
      <c r="G39" s="37">
        <v>1</v>
      </c>
      <c r="H39" s="169">
        <f t="shared" si="2"/>
        <v>20</v>
      </c>
      <c r="I39" s="170"/>
      <c r="J39" s="17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6" t="s">
        <v>75</v>
      </c>
      <c r="B40" s="27" t="s">
        <v>65</v>
      </c>
      <c r="C40" s="63">
        <v>16</v>
      </c>
      <c r="D40" s="12">
        <f>C40*111</f>
        <v>1776</v>
      </c>
      <c r="F40" s="12">
        <v>10</v>
      </c>
      <c r="G40" s="101"/>
      <c r="H40" s="169"/>
      <c r="I40" s="170"/>
      <c r="J40" s="17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7"/>
      <c r="B41" s="27" t="s">
        <v>67</v>
      </c>
      <c r="C41" s="10"/>
      <c r="D41" s="12">
        <f>C41*84</f>
        <v>0</v>
      </c>
      <c r="F41" s="12">
        <v>5</v>
      </c>
      <c r="G41" s="101"/>
      <c r="H41" s="169"/>
      <c r="I41" s="170"/>
      <c r="J41" s="17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8"/>
      <c r="B42" s="27" t="s">
        <v>69</v>
      </c>
      <c r="C42" s="11">
        <v>3</v>
      </c>
      <c r="D42" s="12">
        <f>C42*2.25</f>
        <v>6.75</v>
      </c>
      <c r="F42" s="39" t="s">
        <v>78</v>
      </c>
      <c r="G42" s="169">
        <v>20</v>
      </c>
      <c r="H42" s="170"/>
      <c r="I42" s="170"/>
      <c r="J42" s="17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9" t="s">
        <v>80</v>
      </c>
      <c r="C43" s="11"/>
      <c r="D43" s="12"/>
      <c r="F43" s="59" t="s">
        <v>81</v>
      </c>
      <c r="G43" s="99" t="s">
        <v>82</v>
      </c>
      <c r="H43" s="161" t="s">
        <v>13</v>
      </c>
      <c r="I43" s="162"/>
      <c r="J43" s="16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0"/>
      <c r="B44" s="27" t="s">
        <v>65</v>
      </c>
      <c r="C44" s="10">
        <v>1</v>
      </c>
      <c r="D44" s="12">
        <f>C44*120</f>
        <v>120</v>
      </c>
      <c r="F44" s="37" t="s">
        <v>136</v>
      </c>
      <c r="G44" s="62" t="s">
        <v>141</v>
      </c>
      <c r="H44" s="164">
        <v>56443</v>
      </c>
      <c r="I44" s="164"/>
      <c r="J44" s="16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0"/>
      <c r="B45" s="27" t="s">
        <v>67</v>
      </c>
      <c r="C45" s="33"/>
      <c r="D45" s="12">
        <f>C45*84</f>
        <v>0</v>
      </c>
      <c r="F45" s="37" t="s">
        <v>136</v>
      </c>
      <c r="G45" s="62" t="s">
        <v>140</v>
      </c>
      <c r="H45" s="164">
        <v>115712</v>
      </c>
      <c r="I45" s="164"/>
      <c r="J45" s="164"/>
      <c r="K45" s="21"/>
      <c r="P45" s="4"/>
      <c r="Q45" s="4"/>
      <c r="R45" s="5"/>
    </row>
    <row r="46" spans="1:18" ht="15.75" x14ac:dyDescent="0.25">
      <c r="A46" s="140"/>
      <c r="B46" s="49" t="s">
        <v>69</v>
      </c>
      <c r="C46" s="80">
        <v>5</v>
      </c>
      <c r="D46" s="12">
        <f>C46*1.5</f>
        <v>7.5</v>
      </c>
      <c r="F46" s="37" t="s">
        <v>138</v>
      </c>
      <c r="G46" s="75" t="s">
        <v>139</v>
      </c>
      <c r="H46" s="164">
        <v>137865</v>
      </c>
      <c r="I46" s="164"/>
      <c r="J46" s="164"/>
      <c r="K46" s="21"/>
      <c r="P46" s="4"/>
      <c r="Q46" s="4"/>
      <c r="R46" s="5"/>
    </row>
    <row r="47" spans="1:18" ht="15.75" x14ac:dyDescent="0.25">
      <c r="A47" s="141"/>
      <c r="B47" s="27"/>
      <c r="C47" s="11"/>
      <c r="D47" s="12"/>
      <c r="F47" s="37"/>
      <c r="G47" s="75"/>
      <c r="H47" s="164"/>
      <c r="I47" s="164"/>
      <c r="J47" s="164"/>
      <c r="K47" s="21"/>
      <c r="P47" s="4"/>
      <c r="Q47" s="4"/>
      <c r="R47" s="5"/>
    </row>
    <row r="48" spans="1:18" ht="15" customHeight="1" x14ac:dyDescent="0.25">
      <c r="A48" s="139" t="s">
        <v>32</v>
      </c>
      <c r="B48" s="27" t="s">
        <v>65</v>
      </c>
      <c r="C48" s="10">
        <v>6</v>
      </c>
      <c r="D48" s="12">
        <f>C48*78</f>
        <v>468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0"/>
      <c r="B49" s="29" t="s">
        <v>67</v>
      </c>
      <c r="C49" s="33">
        <v>11</v>
      </c>
      <c r="D49" s="12">
        <f>C49*42</f>
        <v>462</v>
      </c>
      <c r="F49" s="145" t="s">
        <v>85</v>
      </c>
      <c r="G49" s="147">
        <f>H34+H35+H36+H37+H38+H39+H40+H41+G42+H44+H45+H46+H47+H48</f>
        <v>337610</v>
      </c>
      <c r="H49" s="148"/>
      <c r="I49" s="148"/>
      <c r="J49" s="14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0"/>
      <c r="B50" s="32" t="s">
        <v>69</v>
      </c>
      <c r="C50" s="11">
        <v>15</v>
      </c>
      <c r="D50" s="12">
        <f>C50*1.5</f>
        <v>22.5</v>
      </c>
      <c r="F50" s="146"/>
      <c r="G50" s="150"/>
      <c r="H50" s="151"/>
      <c r="I50" s="151"/>
      <c r="J50" s="152"/>
      <c r="O50" t="s">
        <v>112</v>
      </c>
      <c r="P50" s="4">
        <v>1204</v>
      </c>
      <c r="Q50" s="4"/>
      <c r="R50" s="5"/>
    </row>
    <row r="51" spans="1:18" ht="15" customHeight="1" x14ac:dyDescent="0.25">
      <c r="A51" s="140"/>
      <c r="B51" s="27"/>
      <c r="C51" s="10"/>
      <c r="D51" s="31"/>
      <c r="F51" s="153" t="str">
        <f>_xlfn.IFS(H29&gt;G49,"SHORT",H29&lt;G49,"OVER",H29&lt;=G49,"-")</f>
        <v>SHORT</v>
      </c>
      <c r="G51" s="155">
        <f>G49-H29</f>
        <v>-331.875</v>
      </c>
      <c r="H51" s="156"/>
      <c r="I51" s="156"/>
      <c r="J51" s="1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140"/>
      <c r="B52" s="29"/>
      <c r="C52" s="33"/>
      <c r="D52" s="45"/>
      <c r="F52" s="154"/>
      <c r="G52" s="158"/>
      <c r="H52" s="159"/>
      <c r="I52" s="159"/>
      <c r="J52" s="1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5" t="s">
        <v>89</v>
      </c>
      <c r="B54" s="126"/>
      <c r="C54" s="127"/>
      <c r="D54" s="131">
        <f>SUM(D34:D53)</f>
        <v>66713.25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8"/>
      <c r="B55" s="129"/>
      <c r="C55" s="130"/>
      <c r="D55" s="13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33" t="s">
        <v>90</v>
      </c>
      <c r="B58" s="134"/>
      <c r="C58" s="134"/>
      <c r="D58" s="135"/>
      <c r="F58" s="133" t="s">
        <v>91</v>
      </c>
      <c r="G58" s="134"/>
      <c r="H58" s="134"/>
      <c r="I58" s="134"/>
      <c r="J58" s="135"/>
    </row>
    <row r="59" spans="1:18" x14ac:dyDescent="0.25">
      <c r="A59" s="136"/>
      <c r="B59" s="137"/>
      <c r="C59" s="137"/>
      <c r="D59" s="138"/>
      <c r="F59" s="136"/>
      <c r="G59" s="137"/>
      <c r="H59" s="137"/>
      <c r="I59" s="137"/>
      <c r="J59" s="13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146" priority="1" operator="containsText" text="OVER">
      <formula>NOT(ISERROR(SEARCH("OVER",F51)))</formula>
    </cfRule>
    <cfRule type="containsText" dxfId="145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F8A46AFD-439B-4D64-995F-C089838F9D00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C8929-4AA7-405E-B23D-6AE6BADCDE7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1" t="s">
        <v>1</v>
      </c>
      <c r="O1" s="221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2" t="s">
        <v>7</v>
      </c>
      <c r="B4" s="173"/>
      <c r="C4" s="173"/>
      <c r="D4" s="174"/>
      <c r="F4" s="222" t="s">
        <v>8</v>
      </c>
      <c r="G4" s="224"/>
      <c r="H4" s="226" t="s">
        <v>9</v>
      </c>
      <c r="I4" s="228"/>
      <c r="J4" s="22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6" t="s">
        <v>7</v>
      </c>
      <c r="B5" s="15" t="s">
        <v>11</v>
      </c>
      <c r="C5" s="9" t="s">
        <v>12</v>
      </c>
      <c r="D5" s="25" t="s">
        <v>13</v>
      </c>
      <c r="F5" s="223"/>
      <c r="G5" s="225"/>
      <c r="H5" s="227"/>
      <c r="I5" s="230"/>
      <c r="J5" s="23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7"/>
      <c r="B6" s="16"/>
      <c r="C6" s="10"/>
      <c r="D6" s="13">
        <f t="shared" ref="D6:D28" si="1">C6*L6</f>
        <v>0</v>
      </c>
      <c r="F6" s="232" t="s">
        <v>16</v>
      </c>
      <c r="G6" s="234"/>
      <c r="H6" s="235"/>
      <c r="I6" s="235"/>
      <c r="J6" s="23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7"/>
      <c r="B7" s="16"/>
      <c r="C7" s="10"/>
      <c r="D7" s="13">
        <f t="shared" si="1"/>
        <v>0</v>
      </c>
      <c r="F7" s="233"/>
      <c r="G7" s="237"/>
      <c r="H7" s="238"/>
      <c r="I7" s="238"/>
      <c r="J7" s="23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7"/>
      <c r="B8" s="16"/>
      <c r="C8" s="10"/>
      <c r="D8" s="13">
        <f t="shared" si="1"/>
        <v>0</v>
      </c>
      <c r="F8" s="240" t="s">
        <v>21</v>
      </c>
      <c r="G8" s="241"/>
      <c r="H8" s="242"/>
      <c r="I8" s="242"/>
      <c r="J8" s="24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7"/>
      <c r="B9" s="16"/>
      <c r="C9" s="10"/>
      <c r="D9" s="13">
        <f t="shared" si="1"/>
        <v>0</v>
      </c>
      <c r="F9" s="233"/>
      <c r="G9" s="244"/>
      <c r="H9" s="245"/>
      <c r="I9" s="245"/>
      <c r="J9" s="24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7"/>
      <c r="C10" s="10"/>
      <c r="D10" s="13">
        <f t="shared" si="1"/>
        <v>0</v>
      </c>
      <c r="F10" s="232" t="s">
        <v>26</v>
      </c>
      <c r="G10" s="247"/>
      <c r="H10" s="248"/>
      <c r="I10" s="248"/>
      <c r="J10" s="249"/>
      <c r="K10" s="8"/>
      <c r="L10" s="6">
        <f>R36</f>
        <v>972</v>
      </c>
      <c r="P10" s="4"/>
      <c r="Q10" s="4"/>
      <c r="R10" s="5"/>
    </row>
    <row r="11" spans="1:19" ht="15.75" x14ac:dyDescent="0.25">
      <c r="A11" s="167"/>
      <c r="B11" s="17"/>
      <c r="C11" s="10"/>
      <c r="D11" s="13">
        <f t="shared" si="1"/>
        <v>0</v>
      </c>
      <c r="F11" s="233"/>
      <c r="G11" s="244"/>
      <c r="H11" s="245"/>
      <c r="I11" s="245"/>
      <c r="J11" s="24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7"/>
      <c r="B12" s="17"/>
      <c r="C12" s="10"/>
      <c r="D12" s="48">
        <f t="shared" si="1"/>
        <v>0</v>
      </c>
      <c r="F12" s="250" t="s">
        <v>33</v>
      </c>
      <c r="G12" s="251"/>
      <c r="H12" s="251"/>
      <c r="I12" s="251"/>
      <c r="J12" s="25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7"/>
      <c r="B13" s="17"/>
      <c r="C13" s="10"/>
      <c r="D13" s="48">
        <f t="shared" si="1"/>
        <v>0</v>
      </c>
      <c r="F13" s="253" t="s">
        <v>36</v>
      </c>
      <c r="G13" s="217"/>
      <c r="H13" s="208">
        <f>D29</f>
        <v>0</v>
      </c>
      <c r="I13" s="209"/>
      <c r="J13" s="21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7"/>
      <c r="B14" s="14"/>
      <c r="C14" s="10"/>
      <c r="D14" s="31">
        <f t="shared" si="1"/>
        <v>0</v>
      </c>
      <c r="F14" s="211" t="s">
        <v>38</v>
      </c>
      <c r="G14" s="212"/>
      <c r="H14" s="213">
        <f>D54</f>
        <v>0</v>
      </c>
      <c r="I14" s="214"/>
      <c r="J14" s="21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7"/>
      <c r="B15" s="14"/>
      <c r="C15" s="10"/>
      <c r="D15" s="31">
        <f t="shared" si="1"/>
        <v>0</v>
      </c>
      <c r="F15" s="216" t="s">
        <v>39</v>
      </c>
      <c r="G15" s="217"/>
      <c r="H15" s="218">
        <f>H13-H14</f>
        <v>0</v>
      </c>
      <c r="I15" s="219"/>
      <c r="J15" s="22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8"/>
      <c r="I16" s="178"/>
      <c r="J16" s="17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7"/>
      <c r="C17" s="10"/>
      <c r="D17" s="48">
        <f t="shared" si="1"/>
        <v>0</v>
      </c>
      <c r="F17" s="56"/>
      <c r="G17" s="66" t="s">
        <v>44</v>
      </c>
      <c r="H17" s="189"/>
      <c r="I17" s="189"/>
      <c r="J17" s="18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7"/>
      <c r="B18" s="19"/>
      <c r="C18" s="10"/>
      <c r="D18" s="48">
        <f t="shared" si="1"/>
        <v>0</v>
      </c>
      <c r="F18" s="56"/>
      <c r="G18" s="66" t="s">
        <v>46</v>
      </c>
      <c r="H18" s="189"/>
      <c r="I18" s="189"/>
      <c r="J18" s="18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7"/>
      <c r="B19" s="14"/>
      <c r="C19" s="10"/>
      <c r="D19" s="48">
        <f t="shared" si="1"/>
        <v>0</v>
      </c>
      <c r="F19" s="56"/>
      <c r="G19" s="68" t="s">
        <v>49</v>
      </c>
      <c r="H19" s="190"/>
      <c r="I19" s="190"/>
      <c r="J19" s="19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7"/>
      <c r="B20" s="46"/>
      <c r="C20" s="10"/>
      <c r="D20" s="13">
        <f t="shared" si="1"/>
        <v>0</v>
      </c>
      <c r="F20" s="57"/>
      <c r="G20" s="70" t="s">
        <v>102</v>
      </c>
      <c r="H20" s="178"/>
      <c r="I20" s="178"/>
      <c r="J20" s="17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7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91" t="s">
        <v>13</v>
      </c>
      <c r="I21" s="192"/>
      <c r="J21" s="193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7"/>
      <c r="B22" s="46"/>
      <c r="C22" s="10"/>
      <c r="D22" s="48">
        <f t="shared" si="1"/>
        <v>0</v>
      </c>
      <c r="F22" s="76"/>
      <c r="G22" s="72"/>
      <c r="H22" s="194"/>
      <c r="I22" s="194"/>
      <c r="J22" s="194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7"/>
      <c r="B23" s="14"/>
      <c r="C23" s="10"/>
      <c r="D23" s="48">
        <f t="shared" si="1"/>
        <v>0</v>
      </c>
      <c r="F23" s="77"/>
      <c r="G23" s="78"/>
      <c r="H23" s="195"/>
      <c r="I23" s="164"/>
      <c r="J23" s="16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7"/>
      <c r="B24" s="14"/>
      <c r="C24" s="10"/>
      <c r="D24" s="48">
        <f t="shared" si="1"/>
        <v>0</v>
      </c>
      <c r="F24" s="38"/>
      <c r="G24" s="37"/>
      <c r="H24" s="195"/>
      <c r="I24" s="164"/>
      <c r="J24" s="16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6" t="s">
        <v>13</v>
      </c>
      <c r="I25" s="197"/>
      <c r="J25" s="19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7"/>
      <c r="B26" s="14"/>
      <c r="C26" s="10"/>
      <c r="D26" s="48">
        <f t="shared" si="1"/>
        <v>0</v>
      </c>
      <c r="F26" s="64"/>
      <c r="G26" s="59"/>
      <c r="H26" s="199"/>
      <c r="I26" s="200"/>
      <c r="J26" s="20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7"/>
      <c r="B27" s="14"/>
      <c r="C27" s="10"/>
      <c r="D27" s="44">
        <f t="shared" si="1"/>
        <v>0</v>
      </c>
      <c r="F27" s="25"/>
      <c r="G27" s="79"/>
      <c r="H27" s="202"/>
      <c r="I27" s="203"/>
      <c r="J27" s="20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8"/>
      <c r="B28" s="46"/>
      <c r="C28" s="10"/>
      <c r="D28" s="48">
        <f t="shared" si="1"/>
        <v>0</v>
      </c>
      <c r="F28" s="93"/>
      <c r="G28" s="61"/>
      <c r="H28" s="205"/>
      <c r="I28" s="206"/>
      <c r="J28" s="20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9" t="s">
        <v>36</v>
      </c>
      <c r="B29" s="180"/>
      <c r="C29" s="181"/>
      <c r="D29" s="185">
        <f>SUM(D6:D28)</f>
        <v>0</v>
      </c>
      <c r="F29" s="125" t="s">
        <v>54</v>
      </c>
      <c r="G29" s="187"/>
      <c r="H29" s="147">
        <f>H15-H16-H17-H18-H19-H20-H22-H23-H24+H26+H27</f>
        <v>0</v>
      </c>
      <c r="I29" s="148"/>
      <c r="J29" s="14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2"/>
      <c r="B30" s="183"/>
      <c r="C30" s="184"/>
      <c r="D30" s="186"/>
      <c r="F30" s="128"/>
      <c r="G30" s="188"/>
      <c r="H30" s="150"/>
      <c r="I30" s="151"/>
      <c r="J30" s="15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2" t="s">
        <v>57</v>
      </c>
      <c r="B32" s="173"/>
      <c r="C32" s="173"/>
      <c r="D32" s="174"/>
      <c r="F32" s="175" t="s">
        <v>58</v>
      </c>
      <c r="G32" s="176"/>
      <c r="H32" s="176"/>
      <c r="I32" s="176"/>
      <c r="J32" s="17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4" t="s">
        <v>62</v>
      </c>
      <c r="H33" s="175" t="s">
        <v>13</v>
      </c>
      <c r="I33" s="176"/>
      <c r="J33" s="17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6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69"/>
      <c r="I34" s="170"/>
      <c r="J34" s="17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7"/>
      <c r="B35" s="27" t="s">
        <v>67</v>
      </c>
      <c r="C35" s="52"/>
      <c r="D35" s="30">
        <f>C35*84</f>
        <v>0</v>
      </c>
      <c r="F35" s="58">
        <v>500</v>
      </c>
      <c r="G35" s="41"/>
      <c r="H35" s="169"/>
      <c r="I35" s="170"/>
      <c r="J35" s="17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8"/>
      <c r="B36" s="26" t="s">
        <v>69</v>
      </c>
      <c r="C36" s="10"/>
      <c r="D36" s="12">
        <f>C36*1.5</f>
        <v>0</v>
      </c>
      <c r="F36" s="12">
        <v>200</v>
      </c>
      <c r="G36" s="37"/>
      <c r="H36" s="169"/>
      <c r="I36" s="170"/>
      <c r="J36" s="17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9"/>
      <c r="I37" s="170"/>
      <c r="J37" s="17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7"/>
      <c r="B38" s="29" t="s">
        <v>67</v>
      </c>
      <c r="C38" s="54"/>
      <c r="D38" s="12">
        <f>C38*84</f>
        <v>0</v>
      </c>
      <c r="F38" s="30">
        <v>50</v>
      </c>
      <c r="G38" s="39"/>
      <c r="H38" s="169"/>
      <c r="I38" s="170"/>
      <c r="J38" s="17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8"/>
      <c r="B39" s="29" t="s">
        <v>69</v>
      </c>
      <c r="C39" s="52"/>
      <c r="D39" s="31">
        <f>C39*4.5</f>
        <v>0</v>
      </c>
      <c r="F39" s="12">
        <v>20</v>
      </c>
      <c r="G39" s="37"/>
      <c r="H39" s="169"/>
      <c r="I39" s="170"/>
      <c r="J39" s="17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9"/>
      <c r="I40" s="170"/>
      <c r="J40" s="17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7"/>
      <c r="B41" s="27" t="s">
        <v>67</v>
      </c>
      <c r="C41" s="10"/>
      <c r="D41" s="12">
        <f>C41*84</f>
        <v>0</v>
      </c>
      <c r="F41" s="12">
        <v>5</v>
      </c>
      <c r="G41" s="42"/>
      <c r="H41" s="169"/>
      <c r="I41" s="170"/>
      <c r="J41" s="17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8"/>
      <c r="B42" s="27" t="s">
        <v>69</v>
      </c>
      <c r="C42" s="11"/>
      <c r="D42" s="12">
        <f>C42*2.25</f>
        <v>0</v>
      </c>
      <c r="F42" s="39" t="s">
        <v>78</v>
      </c>
      <c r="G42" s="169"/>
      <c r="H42" s="170"/>
      <c r="I42" s="170"/>
      <c r="J42" s="17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9" t="s">
        <v>80</v>
      </c>
      <c r="C43" s="11"/>
      <c r="D43" s="12"/>
      <c r="F43" s="59" t="s">
        <v>81</v>
      </c>
      <c r="G43" s="95" t="s">
        <v>82</v>
      </c>
      <c r="H43" s="161" t="s">
        <v>13</v>
      </c>
      <c r="I43" s="162"/>
      <c r="J43" s="163"/>
      <c r="K43" s="21"/>
      <c r="P43" s="4"/>
      <c r="Q43" s="4"/>
      <c r="R43" s="5"/>
    </row>
    <row r="44" spans="1:18" ht="15.75" x14ac:dyDescent="0.25">
      <c r="A44" s="140"/>
      <c r="B44" s="27" t="s">
        <v>65</v>
      </c>
      <c r="C44" s="10"/>
      <c r="D44" s="12">
        <f>C44*120</f>
        <v>0</v>
      </c>
      <c r="F44" s="37"/>
      <c r="G44" s="75"/>
      <c r="H44" s="164"/>
      <c r="I44" s="164"/>
      <c r="J44" s="164"/>
      <c r="K44" s="21"/>
      <c r="P44" s="4"/>
      <c r="Q44" s="4"/>
      <c r="R44" s="5"/>
    </row>
    <row r="45" spans="1:18" ht="15.75" x14ac:dyDescent="0.25">
      <c r="A45" s="140"/>
      <c r="B45" s="27" t="s">
        <v>67</v>
      </c>
      <c r="C45" s="33"/>
      <c r="D45" s="12">
        <f>C45*84</f>
        <v>0</v>
      </c>
      <c r="F45" s="37"/>
      <c r="G45" s="75"/>
      <c r="H45" s="164"/>
      <c r="I45" s="164"/>
      <c r="J45" s="164"/>
      <c r="K45" s="21"/>
      <c r="P45" s="4"/>
      <c r="Q45" s="4"/>
      <c r="R45" s="5"/>
    </row>
    <row r="46" spans="1:18" ht="15.75" x14ac:dyDescent="0.25">
      <c r="A46" s="140"/>
      <c r="B46" s="49" t="s">
        <v>69</v>
      </c>
      <c r="C46" s="80"/>
      <c r="D46" s="12">
        <f>C46*1.5</f>
        <v>0</v>
      </c>
      <c r="F46" s="37"/>
      <c r="G46" s="62"/>
      <c r="H46" s="165"/>
      <c r="I46" s="165"/>
      <c r="J46" s="165"/>
      <c r="K46" s="21"/>
      <c r="P46" s="4"/>
      <c r="Q46" s="4"/>
      <c r="R46" s="5"/>
    </row>
    <row r="47" spans="1:18" ht="15.75" x14ac:dyDescent="0.25">
      <c r="A47" s="141"/>
      <c r="B47" s="27"/>
      <c r="C47" s="11"/>
      <c r="D47" s="12"/>
      <c r="F47" s="59"/>
      <c r="G47" s="59"/>
      <c r="H47" s="142"/>
      <c r="I47" s="143"/>
      <c r="J47" s="144"/>
      <c r="K47" s="21"/>
      <c r="P47" s="4"/>
      <c r="Q47" s="4"/>
      <c r="R47" s="5"/>
    </row>
    <row r="48" spans="1:18" ht="15" customHeight="1" x14ac:dyDescent="0.25">
      <c r="A48" s="139" t="s">
        <v>32</v>
      </c>
      <c r="B48" s="27" t="s">
        <v>65</v>
      </c>
      <c r="C48" s="10"/>
      <c r="D48" s="12">
        <f>C48*78</f>
        <v>0</v>
      </c>
      <c r="F48" s="59"/>
      <c r="G48" s="59"/>
      <c r="H48" s="142"/>
      <c r="I48" s="143"/>
      <c r="J48" s="14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0"/>
      <c r="B49" s="29" t="s">
        <v>67</v>
      </c>
      <c r="C49" s="33"/>
      <c r="D49" s="12">
        <f>C49*42</f>
        <v>0</v>
      </c>
      <c r="F49" s="145" t="s">
        <v>85</v>
      </c>
      <c r="G49" s="147">
        <f>H34+H35+H36+H37+H38+H39+H40+H41+G42+H44+H45+H46</f>
        <v>0</v>
      </c>
      <c r="H49" s="148"/>
      <c r="I49" s="148"/>
      <c r="J49" s="14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0"/>
      <c r="B50" s="32" t="s">
        <v>69</v>
      </c>
      <c r="C50" s="11"/>
      <c r="D50" s="12">
        <f>C50*1.5</f>
        <v>0</v>
      </c>
      <c r="F50" s="146"/>
      <c r="G50" s="150"/>
      <c r="H50" s="151"/>
      <c r="I50" s="151"/>
      <c r="J50" s="152"/>
      <c r="P50" s="4"/>
      <c r="Q50" s="4"/>
      <c r="R50" s="5"/>
    </row>
    <row r="51" spans="1:18" ht="15" customHeight="1" x14ac:dyDescent="0.25">
      <c r="A51" s="140"/>
      <c r="B51" s="27"/>
      <c r="C51" s="10"/>
      <c r="D51" s="31"/>
      <c r="F51" s="153" t="s">
        <v>106</v>
      </c>
      <c r="G51" s="155">
        <f>G49-H29</f>
        <v>0</v>
      </c>
      <c r="H51" s="156"/>
      <c r="I51" s="156"/>
      <c r="J51" s="15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0"/>
      <c r="B52" s="29"/>
      <c r="C52" s="33"/>
      <c r="D52" s="45"/>
      <c r="F52" s="154"/>
      <c r="G52" s="158"/>
      <c r="H52" s="159"/>
      <c r="I52" s="159"/>
      <c r="J52" s="1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5" t="s">
        <v>89</v>
      </c>
      <c r="B54" s="126"/>
      <c r="C54" s="127"/>
      <c r="D54" s="131">
        <f>SUM(D34:D53)</f>
        <v>0</v>
      </c>
      <c r="F54" s="21"/>
      <c r="J54" s="34"/>
    </row>
    <row r="55" spans="1:18" x14ac:dyDescent="0.25">
      <c r="A55" s="128"/>
      <c r="B55" s="129"/>
      <c r="C55" s="130"/>
      <c r="D55" s="13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3" t="s">
        <v>90</v>
      </c>
      <c r="B58" s="134"/>
      <c r="C58" s="134"/>
      <c r="D58" s="135"/>
      <c r="F58" s="133" t="s">
        <v>91</v>
      </c>
      <c r="G58" s="134"/>
      <c r="H58" s="134"/>
      <c r="I58" s="134"/>
      <c r="J58" s="135"/>
    </row>
    <row r="59" spans="1:18" x14ac:dyDescent="0.25">
      <c r="A59" s="136"/>
      <c r="B59" s="137"/>
      <c r="C59" s="137"/>
      <c r="D59" s="138"/>
      <c r="F59" s="136"/>
      <c r="G59" s="137"/>
      <c r="H59" s="137"/>
      <c r="I59" s="137"/>
      <c r="J59" s="13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B289BF-1BE7-49CE-B7D6-6B26C905BD10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1" t="s">
        <v>1</v>
      </c>
      <c r="O1" s="221"/>
      <c r="P1" s="96" t="s">
        <v>2</v>
      </c>
      <c r="Q1" s="9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2" t="s">
        <v>7</v>
      </c>
      <c r="B4" s="173"/>
      <c r="C4" s="173"/>
      <c r="D4" s="174"/>
      <c r="F4" s="222" t="s">
        <v>8</v>
      </c>
      <c r="G4" s="224">
        <v>1</v>
      </c>
      <c r="H4" s="226" t="s">
        <v>9</v>
      </c>
      <c r="I4" s="228">
        <v>46238</v>
      </c>
      <c r="J4" s="22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6" t="s">
        <v>7</v>
      </c>
      <c r="B5" s="15" t="s">
        <v>11</v>
      </c>
      <c r="C5" s="9" t="s">
        <v>12</v>
      </c>
      <c r="D5" s="25" t="s">
        <v>13</v>
      </c>
      <c r="F5" s="223"/>
      <c r="G5" s="225"/>
      <c r="H5" s="227"/>
      <c r="I5" s="230"/>
      <c r="J5" s="23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7"/>
      <c r="B6" s="16" t="s">
        <v>15</v>
      </c>
      <c r="C6" s="10"/>
      <c r="D6" s="13">
        <f t="shared" ref="D6:D28" si="1">C6*L6</f>
        <v>0</v>
      </c>
      <c r="F6" s="232" t="s">
        <v>16</v>
      </c>
      <c r="G6" s="234" t="s">
        <v>99</v>
      </c>
      <c r="H6" s="235"/>
      <c r="I6" s="235"/>
      <c r="J6" s="2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7"/>
      <c r="B7" s="16" t="s">
        <v>18</v>
      </c>
      <c r="C7" s="10"/>
      <c r="D7" s="13">
        <f t="shared" si="1"/>
        <v>0</v>
      </c>
      <c r="F7" s="233"/>
      <c r="G7" s="237"/>
      <c r="H7" s="238"/>
      <c r="I7" s="238"/>
      <c r="J7" s="2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7"/>
      <c r="B8" s="16" t="s">
        <v>20</v>
      </c>
      <c r="C8" s="10"/>
      <c r="D8" s="13">
        <f t="shared" si="1"/>
        <v>0</v>
      </c>
      <c r="F8" s="240" t="s">
        <v>21</v>
      </c>
      <c r="G8" s="241" t="s">
        <v>115</v>
      </c>
      <c r="H8" s="242"/>
      <c r="I8" s="242"/>
      <c r="J8" s="24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7"/>
      <c r="B9" s="16" t="s">
        <v>23</v>
      </c>
      <c r="C9" s="10"/>
      <c r="D9" s="13">
        <f t="shared" si="1"/>
        <v>0</v>
      </c>
      <c r="F9" s="233"/>
      <c r="G9" s="244"/>
      <c r="H9" s="245"/>
      <c r="I9" s="245"/>
      <c r="J9" s="24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7"/>
      <c r="B10" t="s">
        <v>25</v>
      </c>
      <c r="C10" s="10"/>
      <c r="D10" s="13">
        <f t="shared" si="1"/>
        <v>0</v>
      </c>
      <c r="F10" s="232" t="s">
        <v>26</v>
      </c>
      <c r="G10" s="247" t="s">
        <v>108</v>
      </c>
      <c r="H10" s="248"/>
      <c r="I10" s="248"/>
      <c r="J10" s="249"/>
      <c r="K10" s="8"/>
      <c r="L10" s="6">
        <f>R36</f>
        <v>1032</v>
      </c>
      <c r="P10" s="4"/>
      <c r="Q10" s="4"/>
      <c r="R10" s="5"/>
    </row>
    <row r="11" spans="1:18" ht="15.75" x14ac:dyDescent="0.25">
      <c r="A11" s="167"/>
      <c r="B11" s="17" t="s">
        <v>28</v>
      </c>
      <c r="C11" s="10"/>
      <c r="D11" s="13">
        <f t="shared" si="1"/>
        <v>0</v>
      </c>
      <c r="F11" s="233"/>
      <c r="G11" s="244"/>
      <c r="H11" s="245"/>
      <c r="I11" s="245"/>
      <c r="J11" s="24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7"/>
      <c r="B12" s="17" t="s">
        <v>30</v>
      </c>
      <c r="C12" s="10"/>
      <c r="D12" s="48">
        <f t="shared" si="1"/>
        <v>0</v>
      </c>
      <c r="F12" s="250" t="s">
        <v>33</v>
      </c>
      <c r="G12" s="251"/>
      <c r="H12" s="251"/>
      <c r="I12" s="251"/>
      <c r="J12" s="25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7"/>
      <c r="B13" s="17" t="s">
        <v>32</v>
      </c>
      <c r="C13" s="10"/>
      <c r="D13" s="48">
        <f t="shared" si="1"/>
        <v>0</v>
      </c>
      <c r="F13" s="253" t="s">
        <v>36</v>
      </c>
      <c r="G13" s="217"/>
      <c r="H13" s="208">
        <f>D29</f>
        <v>0</v>
      </c>
      <c r="I13" s="209"/>
      <c r="J13" s="21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7"/>
      <c r="B14" s="14" t="s">
        <v>35</v>
      </c>
      <c r="C14" s="10"/>
      <c r="D14" s="31">
        <f t="shared" si="1"/>
        <v>0</v>
      </c>
      <c r="F14" s="211" t="s">
        <v>38</v>
      </c>
      <c r="G14" s="212"/>
      <c r="H14" s="213">
        <f>D54</f>
        <v>0</v>
      </c>
      <c r="I14" s="214"/>
      <c r="J14" s="215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7"/>
      <c r="B15" s="14" t="s">
        <v>117</v>
      </c>
      <c r="C15" s="10"/>
      <c r="D15" s="31">
        <f t="shared" si="1"/>
        <v>0</v>
      </c>
      <c r="F15" s="216" t="s">
        <v>39</v>
      </c>
      <c r="G15" s="217"/>
      <c r="H15" s="218">
        <f>H13-H14</f>
        <v>0</v>
      </c>
      <c r="I15" s="219"/>
      <c r="J15" s="22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7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8"/>
      <c r="I16" s="178"/>
      <c r="J16" s="17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7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9"/>
      <c r="I17" s="189"/>
      <c r="J17" s="18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7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9"/>
      <c r="I18" s="189"/>
      <c r="J18" s="18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7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8"/>
      <c r="I19" s="178"/>
      <c r="J19" s="17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7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8"/>
      <c r="I20" s="178"/>
      <c r="J20" s="17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7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91" t="s">
        <v>13</v>
      </c>
      <c r="I21" s="192"/>
      <c r="J21" s="19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7"/>
      <c r="B22" s="46" t="s">
        <v>103</v>
      </c>
      <c r="C22" s="10"/>
      <c r="D22" s="48">
        <f t="shared" si="1"/>
        <v>0</v>
      </c>
      <c r="F22" s="76"/>
      <c r="G22" s="72"/>
      <c r="H22" s="194"/>
      <c r="I22" s="194"/>
      <c r="J22" s="19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7"/>
      <c r="B23" s="14" t="s">
        <v>116</v>
      </c>
      <c r="C23" s="10"/>
      <c r="D23" s="48">
        <f t="shared" si="1"/>
        <v>0</v>
      </c>
      <c r="F23" s="76"/>
      <c r="G23" s="78"/>
      <c r="H23" s="259"/>
      <c r="I23" s="260"/>
      <c r="J23" s="26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7"/>
      <c r="B24" s="14" t="s">
        <v>123</v>
      </c>
      <c r="C24" s="10"/>
      <c r="D24" s="48">
        <f t="shared" si="1"/>
        <v>0</v>
      </c>
      <c r="F24" s="76"/>
      <c r="G24" s="78"/>
      <c r="H24" s="259"/>
      <c r="I24" s="260"/>
      <c r="J24" s="26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6" t="s">
        <v>13</v>
      </c>
      <c r="I25" s="197"/>
      <c r="J25" s="19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7"/>
      <c r="B26" s="14" t="s">
        <v>124</v>
      </c>
      <c r="C26" s="10"/>
      <c r="D26" s="48">
        <f t="shared" si="1"/>
        <v>0</v>
      </c>
      <c r="F26" s="74"/>
      <c r="G26" s="65"/>
      <c r="H26" s="164"/>
      <c r="I26" s="164"/>
      <c r="J26" s="16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7"/>
      <c r="B27" s="14" t="s">
        <v>125</v>
      </c>
      <c r="C27" s="10"/>
      <c r="D27" s="44">
        <f t="shared" si="1"/>
        <v>0</v>
      </c>
      <c r="F27" s="71"/>
      <c r="G27" s="99"/>
      <c r="H27" s="261"/>
      <c r="I27" s="262"/>
      <c r="J27" s="26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8"/>
      <c r="B28" s="46" t="s">
        <v>92</v>
      </c>
      <c r="C28" s="10"/>
      <c r="D28" s="48">
        <f t="shared" si="1"/>
        <v>0</v>
      </c>
      <c r="F28" s="97"/>
      <c r="G28" s="61"/>
      <c r="H28" s="205"/>
      <c r="I28" s="206"/>
      <c r="J28" s="20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9" t="s">
        <v>36</v>
      </c>
      <c r="B29" s="180"/>
      <c r="C29" s="181"/>
      <c r="D29" s="185">
        <f>SUM(D6:D28)</f>
        <v>0</v>
      </c>
      <c r="F29" s="125" t="s">
        <v>54</v>
      </c>
      <c r="G29" s="187"/>
      <c r="H29" s="147">
        <f>H15-H16-H17-H18-H19-H20-H22-H23-H24+H26+H27+H28</f>
        <v>0</v>
      </c>
      <c r="I29" s="148"/>
      <c r="J29" s="14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2"/>
      <c r="B30" s="183"/>
      <c r="C30" s="184"/>
      <c r="D30" s="186"/>
      <c r="F30" s="128"/>
      <c r="G30" s="188"/>
      <c r="H30" s="150"/>
      <c r="I30" s="151"/>
      <c r="J30" s="15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2" t="s">
        <v>57</v>
      </c>
      <c r="B32" s="173"/>
      <c r="C32" s="173"/>
      <c r="D32" s="174"/>
      <c r="F32" s="175" t="s">
        <v>58</v>
      </c>
      <c r="G32" s="176"/>
      <c r="H32" s="176"/>
      <c r="I32" s="176"/>
      <c r="J32" s="17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175" t="s">
        <v>13</v>
      </c>
      <c r="I33" s="176"/>
      <c r="J33" s="17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6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69">
        <f t="shared" ref="H34:H39" si="2">F34*G34</f>
        <v>0</v>
      </c>
      <c r="I34" s="170"/>
      <c r="J34" s="17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7"/>
      <c r="B35" s="27" t="s">
        <v>67</v>
      </c>
      <c r="C35" s="52"/>
      <c r="D35" s="30">
        <f>C35*84</f>
        <v>0</v>
      </c>
      <c r="F35" s="58">
        <v>500</v>
      </c>
      <c r="G35" s="100"/>
      <c r="H35" s="169">
        <f t="shared" si="2"/>
        <v>0</v>
      </c>
      <c r="I35" s="170"/>
      <c r="J35" s="17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8"/>
      <c r="B36" s="26" t="s">
        <v>69</v>
      </c>
      <c r="C36" s="10"/>
      <c r="D36" s="12">
        <f>C36*1.5</f>
        <v>0</v>
      </c>
      <c r="F36" s="12">
        <v>200</v>
      </c>
      <c r="G36" s="37"/>
      <c r="H36" s="169">
        <f t="shared" si="2"/>
        <v>0</v>
      </c>
      <c r="I36" s="170"/>
      <c r="J36" s="17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9">
        <f t="shared" si="2"/>
        <v>0</v>
      </c>
      <c r="I37" s="170"/>
      <c r="J37" s="17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7"/>
      <c r="B38" s="29" t="s">
        <v>67</v>
      </c>
      <c r="C38" s="54"/>
      <c r="D38" s="12">
        <f>C38*84</f>
        <v>0</v>
      </c>
      <c r="F38" s="30">
        <v>50</v>
      </c>
      <c r="G38" s="39"/>
      <c r="H38" s="169">
        <f t="shared" si="2"/>
        <v>0</v>
      </c>
      <c r="I38" s="170"/>
      <c r="J38" s="17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8"/>
      <c r="B39" s="29" t="s">
        <v>69</v>
      </c>
      <c r="C39" s="52"/>
      <c r="D39" s="31">
        <f>C39*4.5</f>
        <v>0</v>
      </c>
      <c r="F39" s="12">
        <v>20</v>
      </c>
      <c r="G39" s="37"/>
      <c r="H39" s="169">
        <f t="shared" si="2"/>
        <v>0</v>
      </c>
      <c r="I39" s="170"/>
      <c r="J39" s="17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6" t="s">
        <v>75</v>
      </c>
      <c r="B40" s="27" t="s">
        <v>65</v>
      </c>
      <c r="C40" s="63"/>
      <c r="D40" s="12">
        <f>C40*111</f>
        <v>0</v>
      </c>
      <c r="F40" s="12">
        <v>10</v>
      </c>
      <c r="G40" s="101"/>
      <c r="H40" s="257"/>
      <c r="I40" s="258"/>
      <c r="J40" s="19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7"/>
      <c r="B41" s="27" t="s">
        <v>67</v>
      </c>
      <c r="C41" s="10"/>
      <c r="D41" s="12">
        <f>C41*84</f>
        <v>0</v>
      </c>
      <c r="F41" s="12">
        <v>5</v>
      </c>
      <c r="G41" s="101"/>
      <c r="H41" s="169"/>
      <c r="I41" s="170"/>
      <c r="J41" s="17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8"/>
      <c r="B42" s="27" t="s">
        <v>69</v>
      </c>
      <c r="C42" s="11"/>
      <c r="D42" s="12">
        <f>C42*2.25</f>
        <v>0</v>
      </c>
      <c r="F42" s="39" t="s">
        <v>78</v>
      </c>
      <c r="G42" s="169"/>
      <c r="H42" s="170"/>
      <c r="I42" s="170"/>
      <c r="J42" s="17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9" t="s">
        <v>80</v>
      </c>
      <c r="C43" s="11"/>
      <c r="D43" s="12"/>
      <c r="F43" s="59" t="s">
        <v>81</v>
      </c>
      <c r="G43" s="99" t="s">
        <v>82</v>
      </c>
      <c r="H43" s="161" t="s">
        <v>13</v>
      </c>
      <c r="I43" s="162"/>
      <c r="J43" s="16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0"/>
      <c r="B44" s="27" t="s">
        <v>65</v>
      </c>
      <c r="C44" s="10"/>
      <c r="D44" s="12">
        <f>C44*120</f>
        <v>0</v>
      </c>
      <c r="F44" s="37"/>
      <c r="G44" s="87"/>
      <c r="H44" s="164"/>
      <c r="I44" s="164"/>
      <c r="J44" s="16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0"/>
      <c r="B45" s="27" t="s">
        <v>67</v>
      </c>
      <c r="C45" s="33"/>
      <c r="D45" s="12">
        <f>C45*84</f>
        <v>0</v>
      </c>
      <c r="F45" s="37"/>
      <c r="G45" s="87"/>
      <c r="H45" s="164"/>
      <c r="I45" s="164"/>
      <c r="J45" s="164"/>
      <c r="K45" s="21"/>
      <c r="P45" s="4"/>
      <c r="Q45" s="4"/>
      <c r="R45" s="5"/>
    </row>
    <row r="46" spans="1:18" ht="15.75" x14ac:dyDescent="0.25">
      <c r="A46" s="140"/>
      <c r="B46" s="49" t="s">
        <v>69</v>
      </c>
      <c r="C46" s="80"/>
      <c r="D46" s="12">
        <f>C46*1.5</f>
        <v>0</v>
      </c>
      <c r="F46" s="37"/>
      <c r="G46" s="62"/>
      <c r="H46" s="164"/>
      <c r="I46" s="164"/>
      <c r="J46" s="164"/>
      <c r="K46" s="21"/>
      <c r="P46" s="4"/>
      <c r="Q46" s="4"/>
      <c r="R46" s="5"/>
    </row>
    <row r="47" spans="1:18" ht="15.75" x14ac:dyDescent="0.25">
      <c r="A47" s="141"/>
      <c r="B47" s="27"/>
      <c r="C47" s="11"/>
      <c r="D47" s="12"/>
      <c r="F47" s="59"/>
      <c r="G47" s="59"/>
      <c r="H47" s="254"/>
      <c r="I47" s="255"/>
      <c r="J47" s="256"/>
      <c r="K47" s="21"/>
      <c r="P47" s="4"/>
      <c r="Q47" s="4"/>
      <c r="R47" s="5"/>
    </row>
    <row r="48" spans="1:18" ht="15" customHeight="1" x14ac:dyDescent="0.25">
      <c r="A48" s="139" t="s">
        <v>32</v>
      </c>
      <c r="B48" s="27" t="s">
        <v>65</v>
      </c>
      <c r="C48" s="10"/>
      <c r="D48" s="12">
        <f>C48*78</f>
        <v>0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0"/>
      <c r="B49" s="29" t="s">
        <v>67</v>
      </c>
      <c r="C49" s="33"/>
      <c r="D49" s="12">
        <f>C49*42</f>
        <v>0</v>
      </c>
      <c r="F49" s="145" t="s">
        <v>85</v>
      </c>
      <c r="G49" s="147">
        <f>H34+H35+H36+H37+H38+H39+H40+H41+G42+H44+H45+H46+H47+H48</f>
        <v>0</v>
      </c>
      <c r="H49" s="148"/>
      <c r="I49" s="148"/>
      <c r="J49" s="14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0"/>
      <c r="B50" s="32" t="s">
        <v>69</v>
      </c>
      <c r="C50" s="11"/>
      <c r="D50" s="12">
        <f>C50*1.5</f>
        <v>0</v>
      </c>
      <c r="F50" s="146"/>
      <c r="G50" s="150"/>
      <c r="H50" s="151"/>
      <c r="I50" s="151"/>
      <c r="J50" s="152"/>
      <c r="O50" t="s">
        <v>112</v>
      </c>
      <c r="P50" s="4">
        <v>1204</v>
      </c>
      <c r="Q50" s="4"/>
      <c r="R50" s="5"/>
    </row>
    <row r="51" spans="1:18" ht="15" customHeight="1" x14ac:dyDescent="0.25">
      <c r="A51" s="140"/>
      <c r="B51" s="27"/>
      <c r="C51" s="10"/>
      <c r="D51" s="31"/>
      <c r="F51" s="153" t="str">
        <f>_xlfn.IFS(H29&gt;G49,"SHORT",H29&lt;G49,"OVER",H29&lt;=G49,"-")</f>
        <v>-</v>
      </c>
      <c r="G51" s="155">
        <f>G49-H29</f>
        <v>0</v>
      </c>
      <c r="H51" s="156"/>
      <c r="I51" s="156"/>
      <c r="J51" s="1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0"/>
      <c r="B52" s="29"/>
      <c r="C52" s="33"/>
      <c r="D52" s="45"/>
      <c r="F52" s="154"/>
      <c r="G52" s="158"/>
      <c r="H52" s="159"/>
      <c r="I52" s="159"/>
      <c r="J52" s="1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5" t="s">
        <v>89</v>
      </c>
      <c r="B54" s="126"/>
      <c r="C54" s="127"/>
      <c r="D54" s="13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8"/>
      <c r="B55" s="129"/>
      <c r="C55" s="130"/>
      <c r="D55" s="13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33" t="s">
        <v>90</v>
      </c>
      <c r="B58" s="134"/>
      <c r="C58" s="134"/>
      <c r="D58" s="135"/>
      <c r="F58" s="133" t="s">
        <v>91</v>
      </c>
      <c r="G58" s="134"/>
      <c r="H58" s="134"/>
      <c r="I58" s="134"/>
      <c r="J58" s="135"/>
    </row>
    <row r="59" spans="1:18" x14ac:dyDescent="0.25">
      <c r="A59" s="136"/>
      <c r="B59" s="137"/>
      <c r="C59" s="137"/>
      <c r="D59" s="138"/>
      <c r="F59" s="136"/>
      <c r="G59" s="137"/>
      <c r="H59" s="137"/>
      <c r="I59" s="137"/>
      <c r="J59" s="138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143" priority="1" operator="containsText" text="OVER">
      <formula>NOT(ISERROR(SEARCH("OVER",F51)))</formula>
    </cfRule>
    <cfRule type="containsText" dxfId="142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24D6F5D8-305E-45E8-B635-BC560FCCEA3E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6F1EEE-7709-4877-B3A6-8E6FF7E238C6}">
  <dimension ref="A1:R59"/>
  <sheetViews>
    <sheetView zoomScaleNormal="100" zoomScaleSheetLayoutView="85" workbookViewId="0">
      <selection activeCell="H20" sqref="H20:J20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9.85546875" bestFit="1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1" t="s">
        <v>1</v>
      </c>
      <c r="O1" s="221"/>
      <c r="P1" s="96" t="s">
        <v>2</v>
      </c>
      <c r="Q1" s="9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2" t="s">
        <v>7</v>
      </c>
      <c r="B4" s="173"/>
      <c r="C4" s="173"/>
      <c r="D4" s="174"/>
      <c r="F4" s="222" t="s">
        <v>8</v>
      </c>
      <c r="G4" s="224">
        <v>2</v>
      </c>
      <c r="H4" s="226" t="s">
        <v>9</v>
      </c>
      <c r="I4" s="228">
        <v>46238</v>
      </c>
      <c r="J4" s="22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6" t="s">
        <v>7</v>
      </c>
      <c r="B5" s="15" t="s">
        <v>11</v>
      </c>
      <c r="C5" s="9" t="s">
        <v>12</v>
      </c>
      <c r="D5" s="25" t="s">
        <v>13</v>
      </c>
      <c r="F5" s="223"/>
      <c r="G5" s="225"/>
      <c r="H5" s="227"/>
      <c r="I5" s="230"/>
      <c r="J5" s="23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7"/>
      <c r="B6" s="16" t="s">
        <v>15</v>
      </c>
      <c r="C6" s="10">
        <v>431</v>
      </c>
      <c r="D6" s="13">
        <f t="shared" ref="D6:D28" si="1">C6*L6</f>
        <v>327991</v>
      </c>
      <c r="F6" s="232" t="s">
        <v>16</v>
      </c>
      <c r="G6" s="234" t="s">
        <v>107</v>
      </c>
      <c r="H6" s="235"/>
      <c r="I6" s="235"/>
      <c r="J6" s="2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7"/>
      <c r="B7" s="16" t="s">
        <v>18</v>
      </c>
      <c r="C7" s="10">
        <v>2</v>
      </c>
      <c r="D7" s="13">
        <f t="shared" si="1"/>
        <v>1562</v>
      </c>
      <c r="F7" s="233"/>
      <c r="G7" s="237"/>
      <c r="H7" s="238"/>
      <c r="I7" s="238"/>
      <c r="J7" s="2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7"/>
      <c r="B8" s="16" t="s">
        <v>20</v>
      </c>
      <c r="C8" s="10"/>
      <c r="D8" s="13">
        <f t="shared" si="1"/>
        <v>0</v>
      </c>
      <c r="F8" s="240" t="s">
        <v>21</v>
      </c>
      <c r="G8" s="241" t="s">
        <v>100</v>
      </c>
      <c r="H8" s="242"/>
      <c r="I8" s="242"/>
      <c r="J8" s="24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7"/>
      <c r="B9" s="16" t="s">
        <v>23</v>
      </c>
      <c r="C9" s="10">
        <v>20</v>
      </c>
      <c r="D9" s="13">
        <f t="shared" si="1"/>
        <v>14660</v>
      </c>
      <c r="F9" s="233"/>
      <c r="G9" s="244"/>
      <c r="H9" s="245"/>
      <c r="I9" s="245"/>
      <c r="J9" s="24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7"/>
      <c r="B10" t="s">
        <v>25</v>
      </c>
      <c r="C10" s="10"/>
      <c r="D10" s="13">
        <f t="shared" si="1"/>
        <v>0</v>
      </c>
      <c r="F10" s="232" t="s">
        <v>26</v>
      </c>
      <c r="G10" s="247" t="s">
        <v>101</v>
      </c>
      <c r="H10" s="248"/>
      <c r="I10" s="248"/>
      <c r="J10" s="249"/>
      <c r="K10" s="8"/>
      <c r="L10" s="6">
        <f>R36</f>
        <v>1032</v>
      </c>
      <c r="P10" s="4"/>
      <c r="Q10" s="4"/>
      <c r="R10" s="5"/>
    </row>
    <row r="11" spans="1:18" ht="15.75" x14ac:dyDescent="0.25">
      <c r="A11" s="167"/>
      <c r="B11" s="17" t="s">
        <v>28</v>
      </c>
      <c r="C11" s="10"/>
      <c r="D11" s="13">
        <f t="shared" si="1"/>
        <v>0</v>
      </c>
      <c r="F11" s="233"/>
      <c r="G11" s="244"/>
      <c r="H11" s="245"/>
      <c r="I11" s="245"/>
      <c r="J11" s="24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7"/>
      <c r="B12" s="17" t="s">
        <v>30</v>
      </c>
      <c r="C12" s="10"/>
      <c r="D12" s="48">
        <f t="shared" si="1"/>
        <v>0</v>
      </c>
      <c r="F12" s="250" t="s">
        <v>33</v>
      </c>
      <c r="G12" s="251"/>
      <c r="H12" s="251"/>
      <c r="I12" s="251"/>
      <c r="J12" s="25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7"/>
      <c r="B13" s="17" t="s">
        <v>32</v>
      </c>
      <c r="C13" s="10">
        <v>11</v>
      </c>
      <c r="D13" s="48">
        <f t="shared" si="1"/>
        <v>3377</v>
      </c>
      <c r="F13" s="253" t="s">
        <v>36</v>
      </c>
      <c r="G13" s="217"/>
      <c r="H13" s="208">
        <f>D29</f>
        <v>347634.16666666669</v>
      </c>
      <c r="I13" s="209"/>
      <c r="J13" s="21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7"/>
      <c r="B14" s="14" t="s">
        <v>35</v>
      </c>
      <c r="C14" s="10">
        <v>4</v>
      </c>
      <c r="D14" s="31">
        <f t="shared" si="1"/>
        <v>44.166666666666664</v>
      </c>
      <c r="F14" s="211" t="s">
        <v>38</v>
      </c>
      <c r="G14" s="212"/>
      <c r="H14" s="213">
        <f>D54</f>
        <v>52755</v>
      </c>
      <c r="I14" s="214"/>
      <c r="J14" s="215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7"/>
      <c r="B15" s="14" t="s">
        <v>117</v>
      </c>
      <c r="C15" s="10"/>
      <c r="D15" s="31">
        <f t="shared" si="1"/>
        <v>0</v>
      </c>
      <c r="F15" s="216" t="s">
        <v>39</v>
      </c>
      <c r="G15" s="217"/>
      <c r="H15" s="218">
        <f>H13-H14</f>
        <v>294879.16666666669</v>
      </c>
      <c r="I15" s="219"/>
      <c r="J15" s="22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7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8">
        <v>2004</v>
      </c>
      <c r="I16" s="178"/>
      <c r="J16" s="17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7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9"/>
      <c r="I17" s="189"/>
      <c r="J17" s="18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7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9"/>
      <c r="I18" s="189"/>
      <c r="J18" s="18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7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3"/>
      <c r="I19" s="263"/>
      <c r="J19" s="26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7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8"/>
      <c r="I20" s="178"/>
      <c r="J20" s="17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7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91" t="s">
        <v>13</v>
      </c>
      <c r="I21" s="192"/>
      <c r="J21" s="193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7"/>
      <c r="B22" s="46" t="s">
        <v>103</v>
      </c>
      <c r="C22" s="10"/>
      <c r="D22" s="48">
        <f t="shared" si="1"/>
        <v>0</v>
      </c>
      <c r="F22" s="116" t="s">
        <v>169</v>
      </c>
      <c r="G22" s="72">
        <v>11701</v>
      </c>
      <c r="H22" s="194">
        <v>5850</v>
      </c>
      <c r="I22" s="194"/>
      <c r="J22" s="19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7"/>
      <c r="B23" s="14" t="s">
        <v>116</v>
      </c>
      <c r="C23" s="10"/>
      <c r="D23" s="48">
        <f t="shared" si="1"/>
        <v>0</v>
      </c>
      <c r="F23" s="77"/>
      <c r="G23" s="78"/>
      <c r="H23" s="264"/>
      <c r="I23" s="194"/>
      <c r="J23" s="19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7"/>
      <c r="B24" s="14" t="s">
        <v>123</v>
      </c>
      <c r="C24" s="10"/>
      <c r="D24" s="48">
        <f t="shared" si="1"/>
        <v>0</v>
      </c>
      <c r="F24" s="38"/>
      <c r="G24" s="37"/>
      <c r="H24" s="195"/>
      <c r="I24" s="164"/>
      <c r="J24" s="16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6" t="s">
        <v>13</v>
      </c>
      <c r="I25" s="197"/>
      <c r="J25" s="19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7"/>
      <c r="B26" s="14" t="s">
        <v>124</v>
      </c>
      <c r="C26" s="10"/>
      <c r="D26" s="48">
        <f t="shared" si="1"/>
        <v>0</v>
      </c>
      <c r="F26" s="64"/>
      <c r="G26" s="59"/>
      <c r="H26" s="199"/>
      <c r="I26" s="200"/>
      <c r="J26" s="20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7"/>
      <c r="B27" s="14" t="s">
        <v>125</v>
      </c>
      <c r="C27" s="10"/>
      <c r="D27" s="44">
        <f t="shared" si="1"/>
        <v>0</v>
      </c>
      <c r="F27" s="25"/>
      <c r="G27" s="79"/>
      <c r="H27" s="202"/>
      <c r="I27" s="203"/>
      <c r="J27" s="20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8"/>
      <c r="B28" s="46" t="s">
        <v>92</v>
      </c>
      <c r="C28" s="10"/>
      <c r="D28" s="48">
        <f t="shared" si="1"/>
        <v>0</v>
      </c>
      <c r="F28" s="97"/>
      <c r="G28" s="61"/>
      <c r="H28" s="205"/>
      <c r="I28" s="206"/>
      <c r="J28" s="20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9" t="s">
        <v>36</v>
      </c>
      <c r="B29" s="180"/>
      <c r="C29" s="181"/>
      <c r="D29" s="185">
        <f>SUM(D6:D28)</f>
        <v>347634.16666666669</v>
      </c>
      <c r="F29" s="125" t="s">
        <v>54</v>
      </c>
      <c r="G29" s="187"/>
      <c r="H29" s="147">
        <f>H15-H16-H17-H18-H19-H20-H22-H23-H24+H26+H27</f>
        <v>287025.16666666669</v>
      </c>
      <c r="I29" s="148"/>
      <c r="J29" s="14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2"/>
      <c r="B30" s="183"/>
      <c r="C30" s="184"/>
      <c r="D30" s="186"/>
      <c r="F30" s="128"/>
      <c r="G30" s="188"/>
      <c r="H30" s="150"/>
      <c r="I30" s="151"/>
      <c r="J30" s="15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2" t="s">
        <v>57</v>
      </c>
      <c r="B32" s="173"/>
      <c r="C32" s="173"/>
      <c r="D32" s="174"/>
      <c r="F32" s="175" t="s">
        <v>58</v>
      </c>
      <c r="G32" s="176"/>
      <c r="H32" s="176"/>
      <c r="I32" s="176"/>
      <c r="J32" s="17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175" t="s">
        <v>13</v>
      </c>
      <c r="I33" s="176"/>
      <c r="J33" s="17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6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120</v>
      </c>
      <c r="H34" s="169">
        <f>F34*G34</f>
        <v>120000</v>
      </c>
      <c r="I34" s="170"/>
      <c r="J34" s="17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7"/>
      <c r="B35" s="27" t="s">
        <v>67</v>
      </c>
      <c r="C35" s="52"/>
      <c r="D35" s="30">
        <f>C35*84</f>
        <v>0</v>
      </c>
      <c r="F35" s="58">
        <v>500</v>
      </c>
      <c r="G35" s="100">
        <v>333</v>
      </c>
      <c r="H35" s="169">
        <f>F35*G35</f>
        <v>166500</v>
      </c>
      <c r="I35" s="170"/>
      <c r="J35" s="17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8"/>
      <c r="B36" s="26" t="s">
        <v>69</v>
      </c>
      <c r="C36" s="10"/>
      <c r="D36" s="12">
        <f>C36*1.5</f>
        <v>0</v>
      </c>
      <c r="F36" s="12">
        <v>200</v>
      </c>
      <c r="G36" s="37"/>
      <c r="H36" s="169">
        <f t="shared" ref="H36:H39" si="2">F36*G36</f>
        <v>0</v>
      </c>
      <c r="I36" s="170"/>
      <c r="J36" s="17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6" t="s">
        <v>71</v>
      </c>
      <c r="B37" s="28" t="s">
        <v>65</v>
      </c>
      <c r="C37" s="53">
        <v>466</v>
      </c>
      <c r="D37" s="12">
        <f>C37*111</f>
        <v>51726</v>
      </c>
      <c r="F37" s="12">
        <v>100</v>
      </c>
      <c r="G37" s="39">
        <v>2</v>
      </c>
      <c r="H37" s="169">
        <f t="shared" si="2"/>
        <v>200</v>
      </c>
      <c r="I37" s="170"/>
      <c r="J37" s="17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7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1</v>
      </c>
      <c r="H38" s="169">
        <f t="shared" si="2"/>
        <v>50</v>
      </c>
      <c r="I38" s="170"/>
      <c r="J38" s="17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8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169">
        <f t="shared" si="2"/>
        <v>0</v>
      </c>
      <c r="I39" s="170"/>
      <c r="J39" s="17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6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101"/>
      <c r="H40" s="169"/>
      <c r="I40" s="170"/>
      <c r="J40" s="17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7"/>
      <c r="B41" s="27" t="s">
        <v>67</v>
      </c>
      <c r="C41" s="10"/>
      <c r="D41" s="12">
        <f>C41*84</f>
        <v>0</v>
      </c>
      <c r="F41" s="12">
        <v>5</v>
      </c>
      <c r="G41" s="101"/>
      <c r="H41" s="169"/>
      <c r="I41" s="170"/>
      <c r="J41" s="17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8"/>
      <c r="B42" s="27" t="s">
        <v>69</v>
      </c>
      <c r="C42" s="11"/>
      <c r="D42" s="12">
        <f>C42*2.25</f>
        <v>0</v>
      </c>
      <c r="F42" s="39" t="s">
        <v>78</v>
      </c>
      <c r="G42" s="169">
        <v>64</v>
      </c>
      <c r="H42" s="170"/>
      <c r="I42" s="170"/>
      <c r="J42" s="17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9" t="s">
        <v>80</v>
      </c>
      <c r="C43" s="11"/>
      <c r="D43" s="12"/>
      <c r="F43" s="59" t="s">
        <v>81</v>
      </c>
      <c r="G43" s="99" t="s">
        <v>82</v>
      </c>
      <c r="H43" s="161" t="s">
        <v>13</v>
      </c>
      <c r="I43" s="162"/>
      <c r="J43" s="16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0"/>
      <c r="B44" s="27" t="s">
        <v>65</v>
      </c>
      <c r="C44" s="10"/>
      <c r="D44" s="12">
        <f>C44*120</f>
        <v>0</v>
      </c>
      <c r="F44" s="37"/>
      <c r="G44" s="62"/>
      <c r="H44" s="164"/>
      <c r="I44" s="164"/>
      <c r="J44" s="16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0"/>
      <c r="B45" s="27" t="s">
        <v>67</v>
      </c>
      <c r="C45" s="33"/>
      <c r="D45" s="12">
        <f>C45*84</f>
        <v>0</v>
      </c>
      <c r="F45" s="37"/>
      <c r="G45" s="75"/>
      <c r="H45" s="164"/>
      <c r="I45" s="164"/>
      <c r="J45" s="164"/>
      <c r="K45" s="21"/>
      <c r="P45" s="4"/>
      <c r="Q45" s="4"/>
      <c r="R45" s="5"/>
    </row>
    <row r="46" spans="1:18" ht="15.75" x14ac:dyDescent="0.25">
      <c r="A46" s="140"/>
      <c r="B46" s="49" t="s">
        <v>69</v>
      </c>
      <c r="C46" s="80"/>
      <c r="D46" s="12">
        <f>C46*1.5</f>
        <v>0</v>
      </c>
      <c r="F46" s="37"/>
      <c r="G46" s="62"/>
      <c r="H46" s="164"/>
      <c r="I46" s="164"/>
      <c r="J46" s="164"/>
      <c r="K46" s="21"/>
      <c r="P46" s="4"/>
      <c r="Q46" s="4"/>
      <c r="R46" s="5"/>
    </row>
    <row r="47" spans="1:18" ht="15.75" x14ac:dyDescent="0.25">
      <c r="A47" s="141"/>
      <c r="B47" s="27"/>
      <c r="C47" s="11"/>
      <c r="D47" s="12"/>
      <c r="F47" s="59"/>
      <c r="G47" s="59"/>
      <c r="H47" s="164"/>
      <c r="I47" s="164"/>
      <c r="J47" s="164"/>
      <c r="K47" s="21"/>
      <c r="P47" s="4"/>
      <c r="Q47" s="4"/>
      <c r="R47" s="5"/>
    </row>
    <row r="48" spans="1:18" ht="15" customHeight="1" x14ac:dyDescent="0.25">
      <c r="A48" s="139" t="s">
        <v>32</v>
      </c>
      <c r="B48" s="27" t="s">
        <v>65</v>
      </c>
      <c r="C48" s="10"/>
      <c r="D48" s="12">
        <f>C48*78</f>
        <v>0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0"/>
      <c r="B49" s="29" t="s">
        <v>67</v>
      </c>
      <c r="C49" s="33">
        <v>9</v>
      </c>
      <c r="D49" s="12">
        <f>C49*42</f>
        <v>378</v>
      </c>
      <c r="F49" s="145" t="s">
        <v>85</v>
      </c>
      <c r="G49" s="147">
        <f>H34+H35+H36+H37+H38+H39+H40+H41+G42+H44+H45+H46+H47+H48</f>
        <v>286814</v>
      </c>
      <c r="H49" s="148"/>
      <c r="I49" s="148"/>
      <c r="J49" s="14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0"/>
      <c r="B50" s="32" t="s">
        <v>69</v>
      </c>
      <c r="C50" s="80">
        <v>5</v>
      </c>
      <c r="D50" s="12">
        <f>C50*1.5</f>
        <v>7.5</v>
      </c>
      <c r="F50" s="146"/>
      <c r="G50" s="150"/>
      <c r="H50" s="151"/>
      <c r="I50" s="151"/>
      <c r="J50" s="152"/>
      <c r="O50" t="s">
        <v>112</v>
      </c>
      <c r="P50" s="4">
        <v>1204</v>
      </c>
      <c r="Q50" s="4"/>
      <c r="R50" s="5"/>
    </row>
    <row r="51" spans="1:18" ht="15" customHeight="1" x14ac:dyDescent="0.25">
      <c r="A51" s="140"/>
      <c r="B51" s="27"/>
      <c r="C51" s="10"/>
      <c r="D51" s="31"/>
      <c r="F51" s="153" t="str">
        <f>_xlfn.IFS(H29&gt;G49,"SHORT",H29&lt;G49,"OVER",H29&lt;=G49,"-")</f>
        <v>SHORT</v>
      </c>
      <c r="G51" s="155">
        <f>G49-H29</f>
        <v>-211.16666666668607</v>
      </c>
      <c r="H51" s="156"/>
      <c r="I51" s="156"/>
      <c r="J51" s="1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140"/>
      <c r="B52" s="29"/>
      <c r="C52" s="33"/>
      <c r="D52" s="45"/>
      <c r="F52" s="154"/>
      <c r="G52" s="158"/>
      <c r="H52" s="159"/>
      <c r="I52" s="159"/>
      <c r="J52" s="1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5" t="s">
        <v>89</v>
      </c>
      <c r="B54" s="126"/>
      <c r="C54" s="127"/>
      <c r="D54" s="131">
        <f>SUM(D34:D53)</f>
        <v>52755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8"/>
      <c r="B55" s="129"/>
      <c r="C55" s="130"/>
      <c r="D55" s="13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133" t="s">
        <v>90</v>
      </c>
      <c r="B58" s="134"/>
      <c r="C58" s="134"/>
      <c r="D58" s="135"/>
      <c r="F58" s="133" t="s">
        <v>91</v>
      </c>
      <c r="G58" s="134"/>
      <c r="H58" s="134"/>
      <c r="I58" s="134"/>
      <c r="J58" s="135"/>
    </row>
    <row r="59" spans="1:18" x14ac:dyDescent="0.25">
      <c r="A59" s="136"/>
      <c r="B59" s="137"/>
      <c r="C59" s="137"/>
      <c r="D59" s="138"/>
      <c r="F59" s="136"/>
      <c r="G59" s="137"/>
      <c r="H59" s="137"/>
      <c r="I59" s="137"/>
      <c r="J59" s="13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140" priority="1" operator="containsText" text="OVER">
      <formula>NOT(ISERROR(SEARCH("OVER",F51)))</formula>
    </cfRule>
    <cfRule type="containsText" dxfId="139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BC67DF5F-1DFC-43A1-B8C9-70103D219E02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7313BD-3B60-486A-A89D-86017D3825F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1" t="s">
        <v>1</v>
      </c>
      <c r="O1" s="221"/>
      <c r="P1" s="96" t="s">
        <v>2</v>
      </c>
      <c r="Q1" s="9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2" t="s">
        <v>7</v>
      </c>
      <c r="B4" s="173"/>
      <c r="C4" s="173"/>
      <c r="D4" s="174"/>
      <c r="F4" s="222" t="s">
        <v>8</v>
      </c>
      <c r="G4" s="224">
        <v>3</v>
      </c>
      <c r="H4" s="226" t="s">
        <v>9</v>
      </c>
      <c r="I4" s="228">
        <v>46238</v>
      </c>
      <c r="J4" s="22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6" t="s">
        <v>7</v>
      </c>
      <c r="B5" s="15" t="s">
        <v>11</v>
      </c>
      <c r="C5" s="9" t="s">
        <v>12</v>
      </c>
      <c r="D5" s="25" t="s">
        <v>13</v>
      </c>
      <c r="F5" s="223"/>
      <c r="G5" s="225"/>
      <c r="H5" s="227"/>
      <c r="I5" s="230"/>
      <c r="J5" s="23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7"/>
      <c r="B6" s="16" t="s">
        <v>15</v>
      </c>
      <c r="C6" s="10">
        <v>548</v>
      </c>
      <c r="D6" s="13">
        <f t="shared" ref="D6:D28" si="1">C6*L6</f>
        <v>417028</v>
      </c>
      <c r="F6" s="232" t="s">
        <v>16</v>
      </c>
      <c r="G6" s="234" t="s">
        <v>142</v>
      </c>
      <c r="H6" s="235"/>
      <c r="I6" s="235"/>
      <c r="J6" s="2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7"/>
      <c r="B7" s="16" t="s">
        <v>18</v>
      </c>
      <c r="C7" s="10">
        <v>4</v>
      </c>
      <c r="D7" s="13">
        <f t="shared" si="1"/>
        <v>3124</v>
      </c>
      <c r="F7" s="233"/>
      <c r="G7" s="237"/>
      <c r="H7" s="238"/>
      <c r="I7" s="238"/>
      <c r="J7" s="2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7"/>
      <c r="B8" s="16" t="s">
        <v>20</v>
      </c>
      <c r="C8" s="10"/>
      <c r="D8" s="13">
        <f t="shared" si="1"/>
        <v>0</v>
      </c>
      <c r="F8" s="240" t="s">
        <v>21</v>
      </c>
      <c r="G8" s="241" t="s">
        <v>109</v>
      </c>
      <c r="H8" s="242"/>
      <c r="I8" s="242"/>
      <c r="J8" s="24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7"/>
      <c r="B9" s="16" t="s">
        <v>23</v>
      </c>
      <c r="C9" s="10">
        <v>55</v>
      </c>
      <c r="D9" s="13">
        <f t="shared" si="1"/>
        <v>40315</v>
      </c>
      <c r="F9" s="233"/>
      <c r="G9" s="244"/>
      <c r="H9" s="245"/>
      <c r="I9" s="245"/>
      <c r="J9" s="24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7"/>
      <c r="B10" t="s">
        <v>25</v>
      </c>
      <c r="C10" s="10"/>
      <c r="D10" s="13">
        <f t="shared" si="1"/>
        <v>0</v>
      </c>
      <c r="F10" s="232" t="s">
        <v>26</v>
      </c>
      <c r="G10" s="247" t="s">
        <v>119</v>
      </c>
      <c r="H10" s="248"/>
      <c r="I10" s="248"/>
      <c r="J10" s="249"/>
      <c r="K10" s="8"/>
      <c r="L10" s="6">
        <f>R36</f>
        <v>1032</v>
      </c>
      <c r="P10" s="4"/>
      <c r="Q10" s="4"/>
      <c r="R10" s="5"/>
    </row>
    <row r="11" spans="1:18" ht="15.75" x14ac:dyDescent="0.25">
      <c r="A11" s="167"/>
      <c r="B11" s="17" t="s">
        <v>28</v>
      </c>
      <c r="C11" s="10">
        <v>2</v>
      </c>
      <c r="D11" s="13">
        <f t="shared" si="1"/>
        <v>2340</v>
      </c>
      <c r="F11" s="233"/>
      <c r="G11" s="244"/>
      <c r="H11" s="245"/>
      <c r="I11" s="245"/>
      <c r="J11" s="24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7"/>
      <c r="B12" s="17" t="s">
        <v>30</v>
      </c>
      <c r="C12" s="10">
        <v>4</v>
      </c>
      <c r="D12" s="48">
        <f t="shared" si="1"/>
        <v>3968</v>
      </c>
      <c r="F12" s="250" t="s">
        <v>33</v>
      </c>
      <c r="G12" s="251"/>
      <c r="H12" s="251"/>
      <c r="I12" s="251"/>
      <c r="J12" s="25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7"/>
      <c r="B13" s="17" t="s">
        <v>32</v>
      </c>
      <c r="C13" s="10">
        <v>17</v>
      </c>
      <c r="D13" s="48">
        <f t="shared" si="1"/>
        <v>5219</v>
      </c>
      <c r="F13" s="253" t="s">
        <v>36</v>
      </c>
      <c r="G13" s="217"/>
      <c r="H13" s="208">
        <f>D29</f>
        <v>472049.20833333331</v>
      </c>
      <c r="I13" s="209"/>
      <c r="J13" s="21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7"/>
      <c r="B14" s="14" t="s">
        <v>35</v>
      </c>
      <c r="C14" s="10">
        <v>5</v>
      </c>
      <c r="D14" s="31">
        <f t="shared" si="1"/>
        <v>55.208333333333329</v>
      </c>
      <c r="F14" s="211" t="s">
        <v>38</v>
      </c>
      <c r="G14" s="212"/>
      <c r="H14" s="213">
        <f>D54</f>
        <v>71464.5</v>
      </c>
      <c r="I14" s="214"/>
      <c r="J14" s="215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7"/>
      <c r="B15" s="14" t="s">
        <v>117</v>
      </c>
      <c r="C15" s="10"/>
      <c r="D15" s="31">
        <f t="shared" si="1"/>
        <v>0</v>
      </c>
      <c r="F15" s="216" t="s">
        <v>39</v>
      </c>
      <c r="G15" s="217"/>
      <c r="H15" s="218">
        <f>H13-H14</f>
        <v>400584.70833333331</v>
      </c>
      <c r="I15" s="219"/>
      <c r="J15" s="22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7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8">
        <v>3366</v>
      </c>
      <c r="I16" s="178"/>
      <c r="J16" s="17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7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9"/>
      <c r="I17" s="189"/>
      <c r="J17" s="18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7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9"/>
      <c r="I18" s="189"/>
      <c r="J18" s="18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7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3"/>
      <c r="I19" s="263"/>
      <c r="J19" s="26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7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8"/>
      <c r="I20" s="178"/>
      <c r="J20" s="17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7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191" t="s">
        <v>13</v>
      </c>
      <c r="I21" s="192"/>
      <c r="J21" s="19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7"/>
      <c r="B22" s="46" t="s">
        <v>103</v>
      </c>
      <c r="C22" s="10"/>
      <c r="D22" s="48">
        <f t="shared" si="1"/>
        <v>0</v>
      </c>
      <c r="F22" s="76"/>
      <c r="G22" s="72"/>
      <c r="H22" s="194"/>
      <c r="I22" s="194"/>
      <c r="J22" s="19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7"/>
      <c r="B23" s="14" t="s">
        <v>116</v>
      </c>
      <c r="C23" s="10"/>
      <c r="D23" s="48">
        <f t="shared" si="1"/>
        <v>0</v>
      </c>
      <c r="F23" s="77"/>
      <c r="G23" s="78"/>
      <c r="H23" s="264"/>
      <c r="I23" s="194"/>
      <c r="J23" s="19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7"/>
      <c r="B24" s="14" t="s">
        <v>123</v>
      </c>
      <c r="C24" s="10"/>
      <c r="D24" s="48">
        <f t="shared" si="1"/>
        <v>0</v>
      </c>
      <c r="F24" s="38"/>
      <c r="G24" s="37"/>
      <c r="H24" s="195"/>
      <c r="I24" s="164"/>
      <c r="J24" s="16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6" t="s">
        <v>13</v>
      </c>
      <c r="I25" s="197"/>
      <c r="J25" s="19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7"/>
      <c r="B26" s="14" t="s">
        <v>124</v>
      </c>
      <c r="C26" s="10"/>
      <c r="D26" s="48">
        <f t="shared" si="1"/>
        <v>0</v>
      </c>
      <c r="F26" s="64"/>
      <c r="G26" s="59"/>
      <c r="H26" s="199"/>
      <c r="I26" s="200"/>
      <c r="J26" s="20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7"/>
      <c r="B27" s="14" t="s">
        <v>125</v>
      </c>
      <c r="C27" s="10"/>
      <c r="D27" s="44">
        <f t="shared" si="1"/>
        <v>0</v>
      </c>
      <c r="F27" s="25"/>
      <c r="G27" s="79"/>
      <c r="H27" s="202"/>
      <c r="I27" s="203"/>
      <c r="J27" s="20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8"/>
      <c r="B28" s="46" t="s">
        <v>92</v>
      </c>
      <c r="C28" s="10"/>
      <c r="D28" s="48">
        <f t="shared" si="1"/>
        <v>0</v>
      </c>
      <c r="F28" s="97"/>
      <c r="G28" s="61"/>
      <c r="H28" s="205"/>
      <c r="I28" s="206"/>
      <c r="J28" s="20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9" t="s">
        <v>36</v>
      </c>
      <c r="B29" s="180"/>
      <c r="C29" s="181"/>
      <c r="D29" s="185">
        <f>SUM(D6:D28)</f>
        <v>472049.20833333331</v>
      </c>
      <c r="F29" s="125" t="s">
        <v>54</v>
      </c>
      <c r="G29" s="187"/>
      <c r="H29" s="147">
        <f>H15-H16-H17-H18-H19-H20-H22-H23-H24+H26+H27</f>
        <v>397218.70833333331</v>
      </c>
      <c r="I29" s="148"/>
      <c r="J29" s="14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2"/>
      <c r="B30" s="183"/>
      <c r="C30" s="184"/>
      <c r="D30" s="186"/>
      <c r="F30" s="128"/>
      <c r="G30" s="188"/>
      <c r="H30" s="150"/>
      <c r="I30" s="151"/>
      <c r="J30" s="15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2" t="s">
        <v>57</v>
      </c>
      <c r="B32" s="173"/>
      <c r="C32" s="173"/>
      <c r="D32" s="174"/>
      <c r="F32" s="175" t="s">
        <v>58</v>
      </c>
      <c r="G32" s="176"/>
      <c r="H32" s="176"/>
      <c r="I32" s="176"/>
      <c r="J32" s="17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175" t="s">
        <v>13</v>
      </c>
      <c r="I33" s="176"/>
      <c r="J33" s="17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6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31</v>
      </c>
      <c r="H34" s="169">
        <f>F34*G34</f>
        <v>31000</v>
      </c>
      <c r="I34" s="170"/>
      <c r="J34" s="17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7"/>
      <c r="B35" s="27" t="s">
        <v>67</v>
      </c>
      <c r="C35" s="52"/>
      <c r="D35" s="30">
        <f>C35*84</f>
        <v>0</v>
      </c>
      <c r="F35" s="58">
        <v>500</v>
      </c>
      <c r="G35" s="100"/>
      <c r="H35" s="169">
        <f>F35*G35</f>
        <v>0</v>
      </c>
      <c r="I35" s="170"/>
      <c r="J35" s="17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8"/>
      <c r="B36" s="26" t="s">
        <v>69</v>
      </c>
      <c r="C36" s="10"/>
      <c r="D36" s="12">
        <f>C36*1.5</f>
        <v>0</v>
      </c>
      <c r="F36" s="12">
        <v>200</v>
      </c>
      <c r="G36" s="37"/>
      <c r="H36" s="169">
        <f t="shared" ref="H36:H39" si="2">F36*G36</f>
        <v>0</v>
      </c>
      <c r="I36" s="170"/>
      <c r="J36" s="17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6" t="s">
        <v>71</v>
      </c>
      <c r="B37" s="28" t="s">
        <v>65</v>
      </c>
      <c r="C37" s="53">
        <v>620</v>
      </c>
      <c r="D37" s="12">
        <f>C37*111</f>
        <v>68820</v>
      </c>
      <c r="F37" s="12">
        <v>100</v>
      </c>
      <c r="G37" s="39">
        <v>6</v>
      </c>
      <c r="H37" s="169">
        <f t="shared" si="2"/>
        <v>600</v>
      </c>
      <c r="I37" s="170"/>
      <c r="J37" s="17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7"/>
      <c r="B38" s="29" t="s">
        <v>67</v>
      </c>
      <c r="C38" s="54">
        <v>2</v>
      </c>
      <c r="D38" s="12">
        <f>C38*84</f>
        <v>168</v>
      </c>
      <c r="F38" s="30">
        <v>50</v>
      </c>
      <c r="G38" s="39">
        <v>2</v>
      </c>
      <c r="H38" s="169">
        <f t="shared" si="2"/>
        <v>100</v>
      </c>
      <c r="I38" s="170"/>
      <c r="J38" s="17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8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69">
        <f t="shared" si="2"/>
        <v>0</v>
      </c>
      <c r="I39" s="170"/>
      <c r="J39" s="17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6" t="s">
        <v>75</v>
      </c>
      <c r="B40" s="27" t="s">
        <v>65</v>
      </c>
      <c r="C40" s="63">
        <v>6</v>
      </c>
      <c r="D40" s="12">
        <f>C40*111</f>
        <v>666</v>
      </c>
      <c r="F40" s="12">
        <v>10</v>
      </c>
      <c r="G40" s="101"/>
      <c r="H40" s="169"/>
      <c r="I40" s="170"/>
      <c r="J40" s="17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7"/>
      <c r="B41" s="27" t="s">
        <v>67</v>
      </c>
      <c r="C41" s="10"/>
      <c r="D41" s="12">
        <f>C41*84</f>
        <v>0</v>
      </c>
      <c r="F41" s="12">
        <v>5</v>
      </c>
      <c r="G41" s="101"/>
      <c r="H41" s="169"/>
      <c r="I41" s="170"/>
      <c r="J41" s="17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8"/>
      <c r="B42" s="27" t="s">
        <v>69</v>
      </c>
      <c r="C42" s="11"/>
      <c r="D42" s="12">
        <f>C42*2.25</f>
        <v>0</v>
      </c>
      <c r="F42" s="39" t="s">
        <v>78</v>
      </c>
      <c r="G42" s="169">
        <v>63</v>
      </c>
      <c r="H42" s="170"/>
      <c r="I42" s="170"/>
      <c r="J42" s="17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9" t="s">
        <v>80</v>
      </c>
      <c r="C43" s="11"/>
      <c r="D43" s="12"/>
      <c r="F43" s="59" t="s">
        <v>81</v>
      </c>
      <c r="G43" s="99" t="s">
        <v>82</v>
      </c>
      <c r="H43" s="161" t="s">
        <v>13</v>
      </c>
      <c r="I43" s="162"/>
      <c r="J43" s="16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0"/>
      <c r="B44" s="27" t="s">
        <v>65</v>
      </c>
      <c r="C44" s="10">
        <v>5</v>
      </c>
      <c r="D44" s="12">
        <f>C44*120</f>
        <v>600</v>
      </c>
      <c r="F44" s="37" t="s">
        <v>136</v>
      </c>
      <c r="G44" s="62" t="s">
        <v>144</v>
      </c>
      <c r="H44" s="164">
        <v>135285</v>
      </c>
      <c r="I44" s="164"/>
      <c r="J44" s="16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0"/>
      <c r="B45" s="27" t="s">
        <v>67</v>
      </c>
      <c r="C45" s="33">
        <v>1</v>
      </c>
      <c r="D45" s="12">
        <f>C45*84</f>
        <v>84</v>
      </c>
      <c r="F45" s="37" t="s">
        <v>133</v>
      </c>
      <c r="G45" s="87" t="s">
        <v>145</v>
      </c>
      <c r="H45" s="164">
        <v>141116</v>
      </c>
      <c r="I45" s="164"/>
      <c r="J45" s="164"/>
      <c r="K45" s="21"/>
      <c r="P45" s="4"/>
      <c r="Q45" s="4"/>
      <c r="R45" s="5"/>
    </row>
    <row r="46" spans="1:18" ht="15.75" x14ac:dyDescent="0.25">
      <c r="A46" s="140"/>
      <c r="B46" s="49" t="s">
        <v>69</v>
      </c>
      <c r="C46" s="80">
        <v>14</v>
      </c>
      <c r="D46" s="12">
        <f>C46*1.5</f>
        <v>21</v>
      </c>
      <c r="F46" s="37" t="s">
        <v>133</v>
      </c>
      <c r="G46" s="75" t="s">
        <v>146</v>
      </c>
      <c r="H46" s="164">
        <v>89177</v>
      </c>
      <c r="I46" s="164"/>
      <c r="J46" s="164"/>
      <c r="K46" s="21"/>
      <c r="P46" s="4"/>
      <c r="Q46" s="4"/>
      <c r="R46" s="5"/>
    </row>
    <row r="47" spans="1:18" ht="15.75" x14ac:dyDescent="0.25">
      <c r="A47" s="141"/>
      <c r="B47" s="27"/>
      <c r="C47" s="11"/>
      <c r="D47" s="12"/>
      <c r="F47" s="37"/>
      <c r="G47" s="75"/>
      <c r="H47" s="164"/>
      <c r="I47" s="164"/>
      <c r="J47" s="164"/>
      <c r="K47" s="21"/>
      <c r="P47" s="4"/>
      <c r="Q47" s="4"/>
      <c r="R47" s="5"/>
    </row>
    <row r="48" spans="1:18" ht="15" customHeight="1" x14ac:dyDescent="0.25">
      <c r="A48" s="139" t="s">
        <v>32</v>
      </c>
      <c r="B48" s="27" t="s">
        <v>65</v>
      </c>
      <c r="C48" s="10">
        <v>9</v>
      </c>
      <c r="D48" s="12">
        <f>C48*78</f>
        <v>702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0"/>
      <c r="B49" s="29" t="s">
        <v>67</v>
      </c>
      <c r="C49" s="33">
        <v>9</v>
      </c>
      <c r="D49" s="12">
        <f>C49*42</f>
        <v>378</v>
      </c>
      <c r="F49" s="145" t="s">
        <v>85</v>
      </c>
      <c r="G49" s="147">
        <f>H34+H35+H36+H37+H38+H39+H40+H41+G42+H44+H45+H46+H47+H48</f>
        <v>397341</v>
      </c>
      <c r="H49" s="148"/>
      <c r="I49" s="148"/>
      <c r="J49" s="14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0"/>
      <c r="B50" s="32" t="s">
        <v>69</v>
      </c>
      <c r="C50" s="11">
        <v>2</v>
      </c>
      <c r="D50" s="12">
        <f>C50*1.5</f>
        <v>3</v>
      </c>
      <c r="F50" s="146"/>
      <c r="G50" s="150"/>
      <c r="H50" s="151"/>
      <c r="I50" s="151"/>
      <c r="J50" s="152"/>
      <c r="O50" t="s">
        <v>112</v>
      </c>
      <c r="P50" s="4">
        <v>1204</v>
      </c>
      <c r="Q50" s="4"/>
      <c r="R50" s="5"/>
    </row>
    <row r="51" spans="1:18" ht="15" customHeight="1" x14ac:dyDescent="0.25">
      <c r="A51" s="140"/>
      <c r="B51" s="27"/>
      <c r="C51" s="10"/>
      <c r="D51" s="31"/>
      <c r="F51" s="153" t="str">
        <f>_xlfn.IFS(H29&gt;G49,"SHORT",H29&lt;G49,"OVER",H29&lt;=G49,"-")</f>
        <v>OVER</v>
      </c>
      <c r="G51" s="155">
        <f>G49-H29</f>
        <v>122.29166666668607</v>
      </c>
      <c r="H51" s="156"/>
      <c r="I51" s="156"/>
      <c r="J51" s="1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140"/>
      <c r="B52" s="29"/>
      <c r="C52" s="33"/>
      <c r="D52" s="45"/>
      <c r="F52" s="154"/>
      <c r="G52" s="158"/>
      <c r="H52" s="159"/>
      <c r="I52" s="159"/>
      <c r="J52" s="1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5" t="s">
        <v>89</v>
      </c>
      <c r="B54" s="126"/>
      <c r="C54" s="127"/>
      <c r="D54" s="131">
        <f>SUM(D34:D53)</f>
        <v>71464.5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8"/>
      <c r="B55" s="129"/>
      <c r="C55" s="130"/>
      <c r="D55" s="13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33" t="s">
        <v>90</v>
      </c>
      <c r="B58" s="134"/>
      <c r="C58" s="134"/>
      <c r="D58" s="135"/>
      <c r="F58" s="133" t="s">
        <v>91</v>
      </c>
      <c r="G58" s="134"/>
      <c r="H58" s="134"/>
      <c r="I58" s="134"/>
      <c r="J58" s="135"/>
    </row>
    <row r="59" spans="1:18" x14ac:dyDescent="0.25">
      <c r="A59" s="136"/>
      <c r="B59" s="137"/>
      <c r="C59" s="137"/>
      <c r="D59" s="138"/>
      <c r="F59" s="136"/>
      <c r="G59" s="137"/>
      <c r="H59" s="137"/>
      <c r="I59" s="137"/>
      <c r="J59" s="13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137" priority="1" operator="containsText" text="OVER">
      <formula>NOT(ISERROR(SEARCH("OVER",F51)))</formula>
    </cfRule>
    <cfRule type="containsText" dxfId="136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2348A605-64EB-4A7F-9E70-BF91BC528FC2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E34CDA-3ECC-43BC-ACE6-0D6421C9CB5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1" t="s">
        <v>1</v>
      </c>
      <c r="O1" s="221"/>
      <c r="P1" s="102" t="s">
        <v>2</v>
      </c>
      <c r="Q1" s="10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2" t="s">
        <v>7</v>
      </c>
      <c r="B4" s="173"/>
      <c r="C4" s="173"/>
      <c r="D4" s="174"/>
      <c r="F4" s="222" t="s">
        <v>8</v>
      </c>
      <c r="G4" s="224"/>
      <c r="H4" s="226" t="s">
        <v>9</v>
      </c>
      <c r="I4" s="228"/>
      <c r="J4" s="22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6" t="s">
        <v>7</v>
      </c>
      <c r="B5" s="15" t="s">
        <v>11</v>
      </c>
      <c r="C5" s="9" t="s">
        <v>12</v>
      </c>
      <c r="D5" s="25" t="s">
        <v>13</v>
      </c>
      <c r="F5" s="223"/>
      <c r="G5" s="225"/>
      <c r="H5" s="227"/>
      <c r="I5" s="230"/>
      <c r="J5" s="23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7"/>
      <c r="B6" s="16"/>
      <c r="C6" s="10"/>
      <c r="D6" s="13">
        <f t="shared" ref="D6:D28" si="1">C6*L6</f>
        <v>0</v>
      </c>
      <c r="F6" s="232" t="s">
        <v>16</v>
      </c>
      <c r="G6" s="234"/>
      <c r="H6" s="235"/>
      <c r="I6" s="235"/>
      <c r="J6" s="23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7"/>
      <c r="B7" s="16"/>
      <c r="C7" s="10"/>
      <c r="D7" s="13">
        <f t="shared" si="1"/>
        <v>0</v>
      </c>
      <c r="F7" s="233"/>
      <c r="G7" s="237"/>
      <c r="H7" s="238"/>
      <c r="I7" s="238"/>
      <c r="J7" s="23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7"/>
      <c r="B8" s="16"/>
      <c r="C8" s="10"/>
      <c r="D8" s="13">
        <f t="shared" si="1"/>
        <v>0</v>
      </c>
      <c r="F8" s="240" t="s">
        <v>21</v>
      </c>
      <c r="G8" s="241"/>
      <c r="H8" s="242"/>
      <c r="I8" s="242"/>
      <c r="J8" s="24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7"/>
      <c r="B9" s="16"/>
      <c r="C9" s="10"/>
      <c r="D9" s="13">
        <f t="shared" si="1"/>
        <v>0</v>
      </c>
      <c r="F9" s="233"/>
      <c r="G9" s="244"/>
      <c r="H9" s="245"/>
      <c r="I9" s="245"/>
      <c r="J9" s="24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7"/>
      <c r="C10" s="10"/>
      <c r="D10" s="13">
        <f t="shared" si="1"/>
        <v>0</v>
      </c>
      <c r="F10" s="232" t="s">
        <v>26</v>
      </c>
      <c r="G10" s="247"/>
      <c r="H10" s="248"/>
      <c r="I10" s="248"/>
      <c r="J10" s="249"/>
      <c r="K10" s="8"/>
      <c r="L10" s="6">
        <f>R36</f>
        <v>972</v>
      </c>
      <c r="P10" s="4"/>
      <c r="Q10" s="4"/>
      <c r="R10" s="5"/>
    </row>
    <row r="11" spans="1:19" ht="15.75" x14ac:dyDescent="0.25">
      <c r="A11" s="167"/>
      <c r="B11" s="17"/>
      <c r="C11" s="10"/>
      <c r="D11" s="13">
        <f t="shared" si="1"/>
        <v>0</v>
      </c>
      <c r="F11" s="233"/>
      <c r="G11" s="244"/>
      <c r="H11" s="245"/>
      <c r="I11" s="245"/>
      <c r="J11" s="24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7"/>
      <c r="B12" s="17"/>
      <c r="C12" s="10"/>
      <c r="D12" s="48">
        <f t="shared" si="1"/>
        <v>0</v>
      </c>
      <c r="F12" s="250" t="s">
        <v>33</v>
      </c>
      <c r="G12" s="251"/>
      <c r="H12" s="251"/>
      <c r="I12" s="251"/>
      <c r="J12" s="25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7"/>
      <c r="B13" s="17"/>
      <c r="C13" s="10"/>
      <c r="D13" s="48">
        <f t="shared" si="1"/>
        <v>0</v>
      </c>
      <c r="F13" s="253" t="s">
        <v>36</v>
      </c>
      <c r="G13" s="217"/>
      <c r="H13" s="208">
        <f>D29</f>
        <v>0</v>
      </c>
      <c r="I13" s="209"/>
      <c r="J13" s="21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7"/>
      <c r="B14" s="14"/>
      <c r="C14" s="10"/>
      <c r="D14" s="31">
        <f t="shared" si="1"/>
        <v>0</v>
      </c>
      <c r="F14" s="211" t="s">
        <v>38</v>
      </c>
      <c r="G14" s="212"/>
      <c r="H14" s="213">
        <f>D54</f>
        <v>0</v>
      </c>
      <c r="I14" s="214"/>
      <c r="J14" s="21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7"/>
      <c r="B15" s="14"/>
      <c r="C15" s="10"/>
      <c r="D15" s="31">
        <f t="shared" si="1"/>
        <v>0</v>
      </c>
      <c r="F15" s="216" t="s">
        <v>39</v>
      </c>
      <c r="G15" s="217"/>
      <c r="H15" s="218">
        <f>H13-H14</f>
        <v>0</v>
      </c>
      <c r="I15" s="219"/>
      <c r="J15" s="22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8"/>
      <c r="I16" s="178"/>
      <c r="J16" s="17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7"/>
      <c r="C17" s="10"/>
      <c r="D17" s="48">
        <f t="shared" si="1"/>
        <v>0</v>
      </c>
      <c r="F17" s="56"/>
      <c r="G17" s="66" t="s">
        <v>44</v>
      </c>
      <c r="H17" s="189"/>
      <c r="I17" s="189"/>
      <c r="J17" s="18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7"/>
      <c r="B18" s="19"/>
      <c r="C18" s="10"/>
      <c r="D18" s="48">
        <f t="shared" si="1"/>
        <v>0</v>
      </c>
      <c r="F18" s="56"/>
      <c r="G18" s="66" t="s">
        <v>46</v>
      </c>
      <c r="H18" s="189"/>
      <c r="I18" s="189"/>
      <c r="J18" s="18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7"/>
      <c r="B19" s="14"/>
      <c r="C19" s="10"/>
      <c r="D19" s="48">
        <f t="shared" si="1"/>
        <v>0</v>
      </c>
      <c r="F19" s="56"/>
      <c r="G19" s="68" t="s">
        <v>49</v>
      </c>
      <c r="H19" s="190"/>
      <c r="I19" s="190"/>
      <c r="J19" s="19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7"/>
      <c r="B20" s="46"/>
      <c r="C20" s="10"/>
      <c r="D20" s="13">
        <f t="shared" si="1"/>
        <v>0</v>
      </c>
      <c r="F20" s="57"/>
      <c r="G20" s="70" t="s">
        <v>102</v>
      </c>
      <c r="H20" s="178"/>
      <c r="I20" s="178"/>
      <c r="J20" s="17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7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91" t="s">
        <v>13</v>
      </c>
      <c r="I21" s="192"/>
      <c r="J21" s="193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7"/>
      <c r="B22" s="46"/>
      <c r="C22" s="10"/>
      <c r="D22" s="48">
        <f t="shared" si="1"/>
        <v>0</v>
      </c>
      <c r="F22" s="76"/>
      <c r="G22" s="72"/>
      <c r="H22" s="194"/>
      <c r="I22" s="194"/>
      <c r="J22" s="194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7"/>
      <c r="B23" s="14"/>
      <c r="C23" s="10"/>
      <c r="D23" s="48">
        <f t="shared" si="1"/>
        <v>0</v>
      </c>
      <c r="F23" s="77"/>
      <c r="G23" s="78"/>
      <c r="H23" s="195"/>
      <c r="I23" s="164"/>
      <c r="J23" s="16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7"/>
      <c r="B24" s="14"/>
      <c r="C24" s="10"/>
      <c r="D24" s="48">
        <f t="shared" si="1"/>
        <v>0</v>
      </c>
      <c r="F24" s="38"/>
      <c r="G24" s="37"/>
      <c r="H24" s="195"/>
      <c r="I24" s="164"/>
      <c r="J24" s="16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6" t="s">
        <v>13</v>
      </c>
      <c r="I25" s="197"/>
      <c r="J25" s="19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7"/>
      <c r="B26" s="14"/>
      <c r="C26" s="10"/>
      <c r="D26" s="48">
        <f t="shared" si="1"/>
        <v>0</v>
      </c>
      <c r="F26" s="64"/>
      <c r="G26" s="59"/>
      <c r="H26" s="199"/>
      <c r="I26" s="200"/>
      <c r="J26" s="20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7"/>
      <c r="B27" s="14"/>
      <c r="C27" s="10"/>
      <c r="D27" s="44">
        <f t="shared" si="1"/>
        <v>0</v>
      </c>
      <c r="F27" s="25"/>
      <c r="G27" s="79"/>
      <c r="H27" s="202"/>
      <c r="I27" s="203"/>
      <c r="J27" s="20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8"/>
      <c r="B28" s="46"/>
      <c r="C28" s="10"/>
      <c r="D28" s="48">
        <f t="shared" si="1"/>
        <v>0</v>
      </c>
      <c r="F28" s="103"/>
      <c r="G28" s="61"/>
      <c r="H28" s="205"/>
      <c r="I28" s="206"/>
      <c r="J28" s="20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9" t="s">
        <v>36</v>
      </c>
      <c r="B29" s="180"/>
      <c r="C29" s="181"/>
      <c r="D29" s="185">
        <f>SUM(D6:D28)</f>
        <v>0</v>
      </c>
      <c r="F29" s="125" t="s">
        <v>54</v>
      </c>
      <c r="G29" s="187"/>
      <c r="H29" s="147">
        <f>H15-H16-H17-H18-H19-H20-H22-H23-H24+H26+H27</f>
        <v>0</v>
      </c>
      <c r="I29" s="148"/>
      <c r="J29" s="14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2"/>
      <c r="B30" s="183"/>
      <c r="C30" s="184"/>
      <c r="D30" s="186"/>
      <c r="F30" s="128"/>
      <c r="G30" s="188"/>
      <c r="H30" s="150"/>
      <c r="I30" s="151"/>
      <c r="J30" s="15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2" t="s">
        <v>57</v>
      </c>
      <c r="B32" s="173"/>
      <c r="C32" s="173"/>
      <c r="D32" s="174"/>
      <c r="F32" s="175" t="s">
        <v>58</v>
      </c>
      <c r="G32" s="176"/>
      <c r="H32" s="176"/>
      <c r="I32" s="176"/>
      <c r="J32" s="17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175" t="s">
        <v>13</v>
      </c>
      <c r="I33" s="176"/>
      <c r="J33" s="17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6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69"/>
      <c r="I34" s="170"/>
      <c r="J34" s="17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7"/>
      <c r="B35" s="27" t="s">
        <v>67</v>
      </c>
      <c r="C35" s="52"/>
      <c r="D35" s="30">
        <f>C35*84</f>
        <v>0</v>
      </c>
      <c r="F35" s="58">
        <v>500</v>
      </c>
      <c r="G35" s="106"/>
      <c r="H35" s="169"/>
      <c r="I35" s="170"/>
      <c r="J35" s="17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8"/>
      <c r="B36" s="26" t="s">
        <v>69</v>
      </c>
      <c r="C36" s="10"/>
      <c r="D36" s="12">
        <f>C36*1.5</f>
        <v>0</v>
      </c>
      <c r="F36" s="12">
        <v>200</v>
      </c>
      <c r="G36" s="37"/>
      <c r="H36" s="169"/>
      <c r="I36" s="170"/>
      <c r="J36" s="17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9"/>
      <c r="I37" s="170"/>
      <c r="J37" s="17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7"/>
      <c r="B38" s="29" t="s">
        <v>67</v>
      </c>
      <c r="C38" s="54"/>
      <c r="D38" s="12">
        <f>C38*84</f>
        <v>0</v>
      </c>
      <c r="F38" s="30">
        <v>50</v>
      </c>
      <c r="G38" s="39"/>
      <c r="H38" s="169"/>
      <c r="I38" s="170"/>
      <c r="J38" s="17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8"/>
      <c r="B39" s="29" t="s">
        <v>69</v>
      </c>
      <c r="C39" s="52"/>
      <c r="D39" s="31">
        <f>C39*4.5</f>
        <v>0</v>
      </c>
      <c r="F39" s="12">
        <v>20</v>
      </c>
      <c r="G39" s="37"/>
      <c r="H39" s="169"/>
      <c r="I39" s="170"/>
      <c r="J39" s="17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6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169"/>
      <c r="I40" s="170"/>
      <c r="J40" s="17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7"/>
      <c r="B41" s="27" t="s">
        <v>67</v>
      </c>
      <c r="C41" s="10"/>
      <c r="D41" s="12">
        <f>C41*84</f>
        <v>0</v>
      </c>
      <c r="F41" s="12">
        <v>5</v>
      </c>
      <c r="G41" s="107"/>
      <c r="H41" s="169"/>
      <c r="I41" s="170"/>
      <c r="J41" s="17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8"/>
      <c r="B42" s="27" t="s">
        <v>69</v>
      </c>
      <c r="C42" s="11"/>
      <c r="D42" s="12">
        <f>C42*2.25</f>
        <v>0</v>
      </c>
      <c r="F42" s="39" t="s">
        <v>78</v>
      </c>
      <c r="G42" s="169"/>
      <c r="H42" s="170"/>
      <c r="I42" s="170"/>
      <c r="J42" s="17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9" t="s">
        <v>80</v>
      </c>
      <c r="C43" s="11"/>
      <c r="D43" s="12"/>
      <c r="F43" s="59" t="s">
        <v>81</v>
      </c>
      <c r="G43" s="105" t="s">
        <v>82</v>
      </c>
      <c r="H43" s="161" t="s">
        <v>13</v>
      </c>
      <c r="I43" s="162"/>
      <c r="J43" s="163"/>
      <c r="K43" s="21"/>
      <c r="P43" s="4"/>
      <c r="Q43" s="4"/>
      <c r="R43" s="5"/>
    </row>
    <row r="44" spans="1:18" ht="15.75" x14ac:dyDescent="0.25">
      <c r="A44" s="140"/>
      <c r="B44" s="27" t="s">
        <v>65</v>
      </c>
      <c r="C44" s="10"/>
      <c r="D44" s="12">
        <f>C44*120</f>
        <v>0</v>
      </c>
      <c r="F44" s="37"/>
      <c r="G44" s="75"/>
      <c r="H44" s="164"/>
      <c r="I44" s="164"/>
      <c r="J44" s="164"/>
      <c r="K44" s="21"/>
      <c r="P44" s="4"/>
      <c r="Q44" s="4"/>
      <c r="R44" s="5"/>
    </row>
    <row r="45" spans="1:18" ht="15.75" x14ac:dyDescent="0.25">
      <c r="A45" s="140"/>
      <c r="B45" s="27" t="s">
        <v>67</v>
      </c>
      <c r="C45" s="33"/>
      <c r="D45" s="12">
        <f>C45*84</f>
        <v>0</v>
      </c>
      <c r="F45" s="37"/>
      <c r="G45" s="75"/>
      <c r="H45" s="164"/>
      <c r="I45" s="164"/>
      <c r="J45" s="164"/>
      <c r="K45" s="21"/>
      <c r="P45" s="4"/>
      <c r="Q45" s="4"/>
      <c r="R45" s="5"/>
    </row>
    <row r="46" spans="1:18" ht="15.75" x14ac:dyDescent="0.25">
      <c r="A46" s="140"/>
      <c r="B46" s="49" t="s">
        <v>69</v>
      </c>
      <c r="C46" s="80"/>
      <c r="D46" s="12">
        <f>C46*1.5</f>
        <v>0</v>
      </c>
      <c r="F46" s="37"/>
      <c r="G46" s="62"/>
      <c r="H46" s="165"/>
      <c r="I46" s="165"/>
      <c r="J46" s="165"/>
      <c r="K46" s="21"/>
      <c r="P46" s="4"/>
      <c r="Q46" s="4"/>
      <c r="R46" s="5"/>
    </row>
    <row r="47" spans="1:18" ht="15.75" x14ac:dyDescent="0.25">
      <c r="A47" s="141"/>
      <c r="B47" s="27"/>
      <c r="C47" s="11"/>
      <c r="D47" s="12"/>
      <c r="F47" s="59"/>
      <c r="G47" s="59"/>
      <c r="H47" s="142"/>
      <c r="I47" s="143"/>
      <c r="J47" s="144"/>
      <c r="K47" s="21"/>
      <c r="P47" s="4"/>
      <c r="Q47" s="4"/>
      <c r="R47" s="5"/>
    </row>
    <row r="48" spans="1:18" ht="15" customHeight="1" x14ac:dyDescent="0.25">
      <c r="A48" s="139" t="s">
        <v>32</v>
      </c>
      <c r="B48" s="27" t="s">
        <v>65</v>
      </c>
      <c r="C48" s="10"/>
      <c r="D48" s="12">
        <f>C48*78</f>
        <v>0</v>
      </c>
      <c r="F48" s="59"/>
      <c r="G48" s="59"/>
      <c r="H48" s="142"/>
      <c r="I48" s="143"/>
      <c r="J48" s="14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0"/>
      <c r="B49" s="29" t="s">
        <v>67</v>
      </c>
      <c r="C49" s="33"/>
      <c r="D49" s="12">
        <f>C49*42</f>
        <v>0</v>
      </c>
      <c r="F49" s="145" t="s">
        <v>85</v>
      </c>
      <c r="G49" s="147">
        <f>H34+H35+H36+H37+H38+H39+H40+H41+G42+H44+H45+H46</f>
        <v>0</v>
      </c>
      <c r="H49" s="148"/>
      <c r="I49" s="148"/>
      <c r="J49" s="14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0"/>
      <c r="B50" s="32" t="s">
        <v>69</v>
      </c>
      <c r="C50" s="11"/>
      <c r="D50" s="12">
        <f>C50*1.5</f>
        <v>0</v>
      </c>
      <c r="F50" s="146"/>
      <c r="G50" s="150"/>
      <c r="H50" s="151"/>
      <c r="I50" s="151"/>
      <c r="J50" s="152"/>
      <c r="P50" s="4"/>
      <c r="Q50" s="4"/>
      <c r="R50" s="5"/>
    </row>
    <row r="51" spans="1:18" ht="15" customHeight="1" x14ac:dyDescent="0.25">
      <c r="A51" s="140"/>
      <c r="B51" s="27"/>
      <c r="C51" s="10"/>
      <c r="D51" s="31"/>
      <c r="F51" s="153" t="s">
        <v>106</v>
      </c>
      <c r="G51" s="155">
        <f>G49-H29</f>
        <v>0</v>
      </c>
      <c r="H51" s="156"/>
      <c r="I51" s="156"/>
      <c r="J51" s="15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0"/>
      <c r="B52" s="29"/>
      <c r="C52" s="33"/>
      <c r="D52" s="45"/>
      <c r="F52" s="154"/>
      <c r="G52" s="158"/>
      <c r="H52" s="159"/>
      <c r="I52" s="159"/>
      <c r="J52" s="1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5" t="s">
        <v>89</v>
      </c>
      <c r="B54" s="126"/>
      <c r="C54" s="127"/>
      <c r="D54" s="131">
        <f>SUM(D34:D53)</f>
        <v>0</v>
      </c>
      <c r="F54" s="21"/>
      <c r="J54" s="34"/>
    </row>
    <row r="55" spans="1:18" x14ac:dyDescent="0.25">
      <c r="A55" s="128"/>
      <c r="B55" s="129"/>
      <c r="C55" s="130"/>
      <c r="D55" s="13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3" t="s">
        <v>90</v>
      </c>
      <c r="B58" s="134"/>
      <c r="C58" s="134"/>
      <c r="D58" s="135"/>
      <c r="F58" s="133" t="s">
        <v>91</v>
      </c>
      <c r="G58" s="134"/>
      <c r="H58" s="134"/>
      <c r="I58" s="134"/>
      <c r="J58" s="135"/>
    </row>
    <row r="59" spans="1:18" x14ac:dyDescent="0.25">
      <c r="A59" s="136"/>
      <c r="B59" s="137"/>
      <c r="C59" s="137"/>
      <c r="D59" s="138"/>
      <c r="F59" s="136"/>
      <c r="G59" s="137"/>
      <c r="H59" s="137"/>
      <c r="I59" s="137"/>
      <c r="J59" s="13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D6C2CF-F71C-41EA-BA9C-FCB5112AD8F4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1" t="s">
        <v>1</v>
      </c>
      <c r="O1" s="221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2" t="s">
        <v>7</v>
      </c>
      <c r="B4" s="173"/>
      <c r="C4" s="173"/>
      <c r="D4" s="174"/>
      <c r="F4" s="222" t="s">
        <v>8</v>
      </c>
      <c r="G4" s="224">
        <v>1</v>
      </c>
      <c r="H4" s="226" t="s">
        <v>9</v>
      </c>
      <c r="I4" s="228">
        <v>46239</v>
      </c>
      <c r="J4" s="22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6" t="s">
        <v>7</v>
      </c>
      <c r="B5" s="15" t="s">
        <v>11</v>
      </c>
      <c r="C5" s="9" t="s">
        <v>12</v>
      </c>
      <c r="D5" s="25" t="s">
        <v>13</v>
      </c>
      <c r="F5" s="223"/>
      <c r="G5" s="225"/>
      <c r="H5" s="227"/>
      <c r="I5" s="230"/>
      <c r="J5" s="23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7"/>
      <c r="B6" s="16" t="s">
        <v>15</v>
      </c>
      <c r="C6" s="10">
        <v>236</v>
      </c>
      <c r="D6" s="13">
        <f t="shared" ref="D6:D28" si="1">C6*L6</f>
        <v>179596</v>
      </c>
      <c r="F6" s="232" t="s">
        <v>16</v>
      </c>
      <c r="G6" s="234" t="s">
        <v>99</v>
      </c>
      <c r="H6" s="235"/>
      <c r="I6" s="235"/>
      <c r="J6" s="2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7"/>
      <c r="B7" s="16" t="s">
        <v>18</v>
      </c>
      <c r="C7" s="10">
        <v>15</v>
      </c>
      <c r="D7" s="13">
        <f t="shared" si="1"/>
        <v>11715</v>
      </c>
      <c r="F7" s="233"/>
      <c r="G7" s="237"/>
      <c r="H7" s="238"/>
      <c r="I7" s="238"/>
      <c r="J7" s="2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7"/>
      <c r="B8" s="16" t="s">
        <v>20</v>
      </c>
      <c r="C8" s="10"/>
      <c r="D8" s="13">
        <f t="shared" si="1"/>
        <v>0</v>
      </c>
      <c r="F8" s="240" t="s">
        <v>21</v>
      </c>
      <c r="G8" s="241" t="s">
        <v>115</v>
      </c>
      <c r="H8" s="242"/>
      <c r="I8" s="242"/>
      <c r="J8" s="24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7"/>
      <c r="B9" s="16" t="s">
        <v>23</v>
      </c>
      <c r="C9" s="10">
        <v>113</v>
      </c>
      <c r="D9" s="13">
        <f t="shared" si="1"/>
        <v>82829</v>
      </c>
      <c r="F9" s="233"/>
      <c r="G9" s="244"/>
      <c r="H9" s="245"/>
      <c r="I9" s="245"/>
      <c r="J9" s="24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7"/>
      <c r="B10" t="s">
        <v>25</v>
      </c>
      <c r="C10" s="10"/>
      <c r="D10" s="13">
        <f t="shared" si="1"/>
        <v>0</v>
      </c>
      <c r="F10" s="232" t="s">
        <v>26</v>
      </c>
      <c r="G10" s="247" t="s">
        <v>108</v>
      </c>
      <c r="H10" s="248"/>
      <c r="I10" s="248"/>
      <c r="J10" s="249"/>
      <c r="K10" s="8"/>
      <c r="L10" s="6">
        <f>R36</f>
        <v>1032</v>
      </c>
      <c r="P10" s="4"/>
      <c r="Q10" s="4"/>
      <c r="R10" s="5"/>
    </row>
    <row r="11" spans="1:18" ht="15.75" x14ac:dyDescent="0.25">
      <c r="A11" s="167"/>
      <c r="B11" s="17" t="s">
        <v>28</v>
      </c>
      <c r="C11" s="10"/>
      <c r="D11" s="13">
        <f t="shared" si="1"/>
        <v>0</v>
      </c>
      <c r="F11" s="233"/>
      <c r="G11" s="244"/>
      <c r="H11" s="245"/>
      <c r="I11" s="245"/>
      <c r="J11" s="24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7"/>
      <c r="B12" s="17" t="s">
        <v>30</v>
      </c>
      <c r="C12" s="10"/>
      <c r="D12" s="48">
        <f t="shared" si="1"/>
        <v>0</v>
      </c>
      <c r="F12" s="250" t="s">
        <v>33</v>
      </c>
      <c r="G12" s="251"/>
      <c r="H12" s="251"/>
      <c r="I12" s="251"/>
      <c r="J12" s="25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7"/>
      <c r="B13" s="17" t="s">
        <v>32</v>
      </c>
      <c r="C13" s="10">
        <v>8</v>
      </c>
      <c r="D13" s="48">
        <f t="shared" si="1"/>
        <v>2456</v>
      </c>
      <c r="F13" s="253" t="s">
        <v>36</v>
      </c>
      <c r="G13" s="217"/>
      <c r="H13" s="208">
        <f>D29</f>
        <v>276596</v>
      </c>
      <c r="I13" s="209"/>
      <c r="J13" s="21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7"/>
      <c r="B14" s="14" t="s">
        <v>35</v>
      </c>
      <c r="C14" s="10"/>
      <c r="D14" s="31">
        <f t="shared" si="1"/>
        <v>0</v>
      </c>
      <c r="F14" s="211" t="s">
        <v>38</v>
      </c>
      <c r="G14" s="212"/>
      <c r="H14" s="213">
        <f>D54</f>
        <v>37282.5</v>
      </c>
      <c r="I14" s="214"/>
      <c r="J14" s="215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7"/>
      <c r="B15" s="14" t="s">
        <v>117</v>
      </c>
      <c r="C15" s="10"/>
      <c r="D15" s="31">
        <f t="shared" si="1"/>
        <v>0</v>
      </c>
      <c r="F15" s="216" t="s">
        <v>39</v>
      </c>
      <c r="G15" s="217"/>
      <c r="H15" s="218">
        <f>H13-H14</f>
        <v>239313.5</v>
      </c>
      <c r="I15" s="219"/>
      <c r="J15" s="22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7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8">
        <v>2034</v>
      </c>
      <c r="I16" s="178"/>
      <c r="J16" s="17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7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9"/>
      <c r="I17" s="189"/>
      <c r="J17" s="18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7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9"/>
      <c r="I18" s="189"/>
      <c r="J18" s="18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7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8"/>
      <c r="I19" s="178"/>
      <c r="J19" s="17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7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8"/>
      <c r="I20" s="178"/>
      <c r="J20" s="17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7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91" t="s">
        <v>13</v>
      </c>
      <c r="I21" s="192"/>
      <c r="J21" s="19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7"/>
      <c r="B22" s="46" t="s">
        <v>103</v>
      </c>
      <c r="C22" s="10"/>
      <c r="D22" s="48">
        <f t="shared" si="1"/>
        <v>0</v>
      </c>
      <c r="F22" s="76"/>
      <c r="G22" s="72"/>
      <c r="H22" s="194"/>
      <c r="I22" s="194"/>
      <c r="J22" s="19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7"/>
      <c r="B23" s="14" t="s">
        <v>116</v>
      </c>
      <c r="C23" s="10"/>
      <c r="D23" s="48">
        <f t="shared" si="1"/>
        <v>0</v>
      </c>
      <c r="F23" s="76"/>
      <c r="G23" s="78"/>
      <c r="H23" s="259"/>
      <c r="I23" s="260"/>
      <c r="J23" s="26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7"/>
      <c r="B24" s="14" t="s">
        <v>123</v>
      </c>
      <c r="C24" s="10"/>
      <c r="D24" s="48">
        <f t="shared" si="1"/>
        <v>0</v>
      </c>
      <c r="F24" s="76"/>
      <c r="G24" s="78"/>
      <c r="H24" s="259"/>
      <c r="I24" s="260"/>
      <c r="J24" s="26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6" t="s">
        <v>13</v>
      </c>
      <c r="I25" s="197"/>
      <c r="J25" s="19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7"/>
      <c r="B26" s="14" t="s">
        <v>124</v>
      </c>
      <c r="C26" s="10"/>
      <c r="D26" s="48">
        <f t="shared" si="1"/>
        <v>0</v>
      </c>
      <c r="F26" s="74"/>
      <c r="G26" s="65"/>
      <c r="H26" s="164"/>
      <c r="I26" s="164"/>
      <c r="J26" s="16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7"/>
      <c r="B27" s="14" t="s">
        <v>125</v>
      </c>
      <c r="C27" s="10"/>
      <c r="D27" s="44">
        <f t="shared" si="1"/>
        <v>0</v>
      </c>
      <c r="F27" s="71"/>
      <c r="G27" s="105"/>
      <c r="H27" s="261"/>
      <c r="I27" s="262"/>
      <c r="J27" s="26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8"/>
      <c r="B28" s="46" t="s">
        <v>92</v>
      </c>
      <c r="C28" s="10"/>
      <c r="D28" s="48">
        <f t="shared" si="1"/>
        <v>0</v>
      </c>
      <c r="F28" s="103"/>
      <c r="G28" s="61"/>
      <c r="H28" s="205"/>
      <c r="I28" s="206"/>
      <c r="J28" s="20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9" t="s">
        <v>36</v>
      </c>
      <c r="B29" s="180"/>
      <c r="C29" s="181"/>
      <c r="D29" s="185">
        <f>SUM(D6:D28)</f>
        <v>276596</v>
      </c>
      <c r="F29" s="125" t="s">
        <v>54</v>
      </c>
      <c r="G29" s="187"/>
      <c r="H29" s="147">
        <f>H15-H16-H17-H18-H19-H20-H22-H23-H24+H26+H27+H28</f>
        <v>237279.5</v>
      </c>
      <c r="I29" s="148"/>
      <c r="J29" s="14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2"/>
      <c r="B30" s="183"/>
      <c r="C30" s="184"/>
      <c r="D30" s="186"/>
      <c r="F30" s="128"/>
      <c r="G30" s="188"/>
      <c r="H30" s="150"/>
      <c r="I30" s="151"/>
      <c r="J30" s="15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2" t="s">
        <v>57</v>
      </c>
      <c r="B32" s="173"/>
      <c r="C32" s="173"/>
      <c r="D32" s="174"/>
      <c r="F32" s="175" t="s">
        <v>58</v>
      </c>
      <c r="G32" s="176"/>
      <c r="H32" s="176"/>
      <c r="I32" s="176"/>
      <c r="J32" s="17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175" t="s">
        <v>13</v>
      </c>
      <c r="I33" s="176"/>
      <c r="J33" s="17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6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40">
        <v>11</v>
      </c>
      <c r="H34" s="169">
        <f t="shared" ref="H34:H39" si="2">F34*G34</f>
        <v>11000</v>
      </c>
      <c r="I34" s="170"/>
      <c r="J34" s="17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7"/>
      <c r="B35" s="27" t="s">
        <v>67</v>
      </c>
      <c r="C35" s="52"/>
      <c r="D35" s="30">
        <f>C35*84</f>
        <v>0</v>
      </c>
      <c r="F35" s="58">
        <v>500</v>
      </c>
      <c r="G35" s="106">
        <v>4</v>
      </c>
      <c r="H35" s="169">
        <f t="shared" si="2"/>
        <v>2000</v>
      </c>
      <c r="I35" s="170"/>
      <c r="J35" s="17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8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169">
        <f t="shared" si="2"/>
        <v>200</v>
      </c>
      <c r="I36" s="170"/>
      <c r="J36" s="17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6" t="s">
        <v>71</v>
      </c>
      <c r="B37" s="28" t="s">
        <v>65</v>
      </c>
      <c r="C37" s="53">
        <v>315</v>
      </c>
      <c r="D37" s="12">
        <f>C37*111</f>
        <v>34965</v>
      </c>
      <c r="F37" s="12">
        <v>100</v>
      </c>
      <c r="G37" s="39">
        <v>9</v>
      </c>
      <c r="H37" s="169">
        <f t="shared" si="2"/>
        <v>900</v>
      </c>
      <c r="I37" s="170"/>
      <c r="J37" s="17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7"/>
      <c r="B38" s="29" t="s">
        <v>67</v>
      </c>
      <c r="C38" s="54">
        <v>2</v>
      </c>
      <c r="D38" s="12">
        <f>C38*84</f>
        <v>168</v>
      </c>
      <c r="F38" s="30">
        <v>50</v>
      </c>
      <c r="G38" s="39"/>
      <c r="H38" s="169">
        <f t="shared" si="2"/>
        <v>0</v>
      </c>
      <c r="I38" s="170"/>
      <c r="J38" s="17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8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69">
        <f t="shared" si="2"/>
        <v>0</v>
      </c>
      <c r="I39" s="170"/>
      <c r="J39" s="17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6" t="s">
        <v>75</v>
      </c>
      <c r="B40" s="27" t="s">
        <v>65</v>
      </c>
      <c r="C40" s="63">
        <v>9</v>
      </c>
      <c r="D40" s="12">
        <f>C40*111</f>
        <v>999</v>
      </c>
      <c r="F40" s="12">
        <v>10</v>
      </c>
      <c r="G40" s="107"/>
      <c r="H40" s="257"/>
      <c r="I40" s="258"/>
      <c r="J40" s="19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7"/>
      <c r="B41" s="27" t="s">
        <v>67</v>
      </c>
      <c r="C41" s="10">
        <v>1</v>
      </c>
      <c r="D41" s="12">
        <f>C41*84</f>
        <v>84</v>
      </c>
      <c r="F41" s="12">
        <v>5</v>
      </c>
      <c r="G41" s="107"/>
      <c r="H41" s="169"/>
      <c r="I41" s="170"/>
      <c r="J41" s="17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8"/>
      <c r="B42" s="27" t="s">
        <v>69</v>
      </c>
      <c r="C42" s="11">
        <v>2</v>
      </c>
      <c r="D42" s="12">
        <f>C42*2.25</f>
        <v>4.5</v>
      </c>
      <c r="F42" s="39" t="s">
        <v>78</v>
      </c>
      <c r="G42" s="169">
        <v>11</v>
      </c>
      <c r="H42" s="170"/>
      <c r="I42" s="170"/>
      <c r="J42" s="17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9" t="s">
        <v>80</v>
      </c>
      <c r="C43" s="11"/>
      <c r="D43" s="12"/>
      <c r="F43" s="59" t="s">
        <v>81</v>
      </c>
      <c r="G43" s="105" t="s">
        <v>82</v>
      </c>
      <c r="H43" s="161" t="s">
        <v>13</v>
      </c>
      <c r="I43" s="162"/>
      <c r="J43" s="16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0"/>
      <c r="B44" s="27" t="s">
        <v>65</v>
      </c>
      <c r="C44" s="10">
        <v>3</v>
      </c>
      <c r="D44" s="12">
        <f>C44*120</f>
        <v>360</v>
      </c>
      <c r="F44" s="37" t="s">
        <v>136</v>
      </c>
      <c r="G44" s="62" t="s">
        <v>147</v>
      </c>
      <c r="H44" s="164">
        <v>223169</v>
      </c>
      <c r="I44" s="164"/>
      <c r="J44" s="16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0"/>
      <c r="B45" s="27" t="s">
        <v>67</v>
      </c>
      <c r="C45" s="33"/>
      <c r="D45" s="12">
        <f>C45*84</f>
        <v>0</v>
      </c>
      <c r="F45" s="37"/>
      <c r="G45" s="87"/>
      <c r="H45" s="164"/>
      <c r="I45" s="164"/>
      <c r="J45" s="164"/>
      <c r="K45" s="21"/>
      <c r="P45" s="4"/>
      <c r="Q45" s="4"/>
      <c r="R45" s="5"/>
    </row>
    <row r="46" spans="1:18" ht="15.75" x14ac:dyDescent="0.25">
      <c r="A46" s="140"/>
      <c r="B46" s="49" t="s">
        <v>69</v>
      </c>
      <c r="C46" s="80"/>
      <c r="D46" s="12">
        <f>C46*1.5</f>
        <v>0</v>
      </c>
      <c r="F46" s="37"/>
      <c r="G46" s="62"/>
      <c r="H46" s="164"/>
      <c r="I46" s="164"/>
      <c r="J46" s="164"/>
      <c r="K46" s="21"/>
      <c r="P46" s="4"/>
      <c r="Q46" s="4"/>
      <c r="R46" s="5"/>
    </row>
    <row r="47" spans="1:18" ht="15.75" x14ac:dyDescent="0.25">
      <c r="A47" s="141"/>
      <c r="B47" s="27"/>
      <c r="C47" s="11"/>
      <c r="D47" s="12"/>
      <c r="F47" s="59"/>
      <c r="G47" s="59"/>
      <c r="H47" s="254"/>
      <c r="I47" s="255"/>
      <c r="J47" s="256"/>
      <c r="K47" s="21"/>
      <c r="P47" s="4"/>
      <c r="Q47" s="4"/>
      <c r="R47" s="5"/>
    </row>
    <row r="48" spans="1:18" ht="15" customHeight="1" x14ac:dyDescent="0.25">
      <c r="A48" s="139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0"/>
      <c r="B49" s="29" t="s">
        <v>67</v>
      </c>
      <c r="C49" s="33">
        <v>4</v>
      </c>
      <c r="D49" s="12">
        <f>C49*42</f>
        <v>168</v>
      </c>
      <c r="F49" s="145" t="s">
        <v>85</v>
      </c>
      <c r="G49" s="147">
        <f>H34+H35+H36+H37+H38+H39+H40+H41+G42+H44+H45+H46+H47+H48</f>
        <v>237280</v>
      </c>
      <c r="H49" s="148"/>
      <c r="I49" s="148"/>
      <c r="J49" s="14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0"/>
      <c r="B50" s="32" t="s">
        <v>69</v>
      </c>
      <c r="C50" s="11">
        <v>1</v>
      </c>
      <c r="D50" s="12">
        <f>C50*1.5</f>
        <v>1.5</v>
      </c>
      <c r="F50" s="146"/>
      <c r="G50" s="150"/>
      <c r="H50" s="151"/>
      <c r="I50" s="151"/>
      <c r="J50" s="152"/>
      <c r="O50" t="s">
        <v>112</v>
      </c>
      <c r="P50" s="4">
        <v>1204</v>
      </c>
      <c r="Q50" s="4"/>
      <c r="R50" s="5"/>
    </row>
    <row r="51" spans="1:18" ht="15" customHeight="1" x14ac:dyDescent="0.25">
      <c r="A51" s="140"/>
      <c r="B51" s="27"/>
      <c r="C51" s="10"/>
      <c r="D51" s="31"/>
      <c r="F51" s="153" t="str">
        <f>_xlfn.IFS(H29&gt;G49,"SHORT",H29&lt;G49,"OVER",H29&lt;=G49,"-")</f>
        <v>OVER</v>
      </c>
      <c r="G51" s="155">
        <f>G49-H29</f>
        <v>0.5</v>
      </c>
      <c r="H51" s="156"/>
      <c r="I51" s="156"/>
      <c r="J51" s="1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0"/>
      <c r="B52" s="29"/>
      <c r="C52" s="33"/>
      <c r="D52" s="45"/>
      <c r="F52" s="154"/>
      <c r="G52" s="158"/>
      <c r="H52" s="159"/>
      <c r="I52" s="159"/>
      <c r="J52" s="1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5" t="s">
        <v>89</v>
      </c>
      <c r="B54" s="126"/>
      <c r="C54" s="127"/>
      <c r="D54" s="131">
        <f>SUM(D34:D53)</f>
        <v>37282.5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8"/>
      <c r="B55" s="129"/>
      <c r="C55" s="130"/>
      <c r="D55" s="13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33" t="s">
        <v>90</v>
      </c>
      <c r="B58" s="134"/>
      <c r="C58" s="134"/>
      <c r="D58" s="135"/>
      <c r="F58" s="133" t="s">
        <v>91</v>
      </c>
      <c r="G58" s="134"/>
      <c r="H58" s="134"/>
      <c r="I58" s="134"/>
      <c r="J58" s="135"/>
    </row>
    <row r="59" spans="1:18" x14ac:dyDescent="0.25">
      <c r="A59" s="136"/>
      <c r="B59" s="137"/>
      <c r="C59" s="137"/>
      <c r="D59" s="138"/>
      <c r="F59" s="136"/>
      <c r="G59" s="137"/>
      <c r="H59" s="137"/>
      <c r="I59" s="137"/>
      <c r="J59" s="138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134" priority="1" operator="containsText" text="OVER">
      <formula>NOT(ISERROR(SEARCH("OVER",F51)))</formula>
    </cfRule>
    <cfRule type="containsText" dxfId="133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606C5C97-2ABC-4542-AF55-A20D9FA2792F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9092A9-849E-4747-A98F-14C557FCD55D}">
  <dimension ref="A1:R59"/>
  <sheetViews>
    <sheetView topLeftCell="A19" zoomScaleNormal="100" zoomScaleSheetLayoutView="85" workbookViewId="0">
      <selection activeCell="C42" sqref="C4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1" t="s">
        <v>1</v>
      </c>
      <c r="O1" s="221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2" t="s">
        <v>7</v>
      </c>
      <c r="B4" s="173"/>
      <c r="C4" s="173"/>
      <c r="D4" s="174"/>
      <c r="F4" s="222" t="s">
        <v>8</v>
      </c>
      <c r="G4" s="224">
        <v>2</v>
      </c>
      <c r="H4" s="226" t="s">
        <v>9</v>
      </c>
      <c r="I4" s="228">
        <v>46239</v>
      </c>
      <c r="J4" s="22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6" t="s">
        <v>7</v>
      </c>
      <c r="B5" s="15" t="s">
        <v>11</v>
      </c>
      <c r="C5" s="9" t="s">
        <v>12</v>
      </c>
      <c r="D5" s="25" t="s">
        <v>13</v>
      </c>
      <c r="F5" s="223"/>
      <c r="G5" s="225"/>
      <c r="H5" s="227"/>
      <c r="I5" s="230"/>
      <c r="J5" s="23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7"/>
      <c r="B6" s="16" t="s">
        <v>15</v>
      </c>
      <c r="C6" s="10">
        <v>322</v>
      </c>
      <c r="D6" s="13">
        <f t="shared" ref="D6:D28" si="1">C6*L6</f>
        <v>245042</v>
      </c>
      <c r="F6" s="232" t="s">
        <v>16</v>
      </c>
      <c r="G6" s="234" t="s">
        <v>107</v>
      </c>
      <c r="H6" s="235"/>
      <c r="I6" s="235"/>
      <c r="J6" s="2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7"/>
      <c r="B7" s="16" t="s">
        <v>18</v>
      </c>
      <c r="C7" s="10"/>
      <c r="D7" s="13">
        <f t="shared" si="1"/>
        <v>0</v>
      </c>
      <c r="F7" s="233"/>
      <c r="G7" s="237"/>
      <c r="H7" s="238"/>
      <c r="I7" s="238"/>
      <c r="J7" s="2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7"/>
      <c r="B8" s="16" t="s">
        <v>20</v>
      </c>
      <c r="C8" s="10"/>
      <c r="D8" s="13">
        <f t="shared" si="1"/>
        <v>0</v>
      </c>
      <c r="F8" s="240" t="s">
        <v>21</v>
      </c>
      <c r="G8" s="241" t="s">
        <v>100</v>
      </c>
      <c r="H8" s="242"/>
      <c r="I8" s="242"/>
      <c r="J8" s="24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7"/>
      <c r="B9" s="16" t="s">
        <v>23</v>
      </c>
      <c r="C9" s="10">
        <v>21</v>
      </c>
      <c r="D9" s="13">
        <f t="shared" si="1"/>
        <v>15393</v>
      </c>
      <c r="F9" s="233"/>
      <c r="G9" s="244"/>
      <c r="H9" s="245"/>
      <c r="I9" s="245"/>
      <c r="J9" s="24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7"/>
      <c r="B10" t="s">
        <v>25</v>
      </c>
      <c r="C10" s="10"/>
      <c r="D10" s="13">
        <f t="shared" si="1"/>
        <v>0</v>
      </c>
      <c r="F10" s="232" t="s">
        <v>26</v>
      </c>
      <c r="G10" s="247" t="s">
        <v>101</v>
      </c>
      <c r="H10" s="248"/>
      <c r="I10" s="248"/>
      <c r="J10" s="249"/>
      <c r="K10" s="8"/>
      <c r="L10" s="6">
        <f>R36</f>
        <v>1032</v>
      </c>
      <c r="P10" s="4"/>
      <c r="Q10" s="4"/>
      <c r="R10" s="5"/>
    </row>
    <row r="11" spans="1:18" ht="15.75" x14ac:dyDescent="0.25">
      <c r="A11" s="167"/>
      <c r="B11" s="17" t="s">
        <v>28</v>
      </c>
      <c r="C11" s="10"/>
      <c r="D11" s="13">
        <f t="shared" si="1"/>
        <v>0</v>
      </c>
      <c r="F11" s="233"/>
      <c r="G11" s="244"/>
      <c r="H11" s="245"/>
      <c r="I11" s="245"/>
      <c r="J11" s="24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7"/>
      <c r="B12" s="17" t="s">
        <v>30</v>
      </c>
      <c r="C12" s="10">
        <v>1</v>
      </c>
      <c r="D12" s="48">
        <f t="shared" si="1"/>
        <v>992</v>
      </c>
      <c r="F12" s="250" t="s">
        <v>33</v>
      </c>
      <c r="G12" s="251"/>
      <c r="H12" s="251"/>
      <c r="I12" s="251"/>
      <c r="J12" s="25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7"/>
      <c r="B13" s="17" t="s">
        <v>32</v>
      </c>
      <c r="C13" s="10">
        <v>10</v>
      </c>
      <c r="D13" s="48">
        <f t="shared" si="1"/>
        <v>3070</v>
      </c>
      <c r="F13" s="253" t="s">
        <v>36</v>
      </c>
      <c r="G13" s="217"/>
      <c r="H13" s="208">
        <f>D29</f>
        <v>271026.41666666669</v>
      </c>
      <c r="I13" s="209"/>
      <c r="J13" s="21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7"/>
      <c r="B14" s="14" t="s">
        <v>35</v>
      </c>
      <c r="C14" s="10">
        <v>10</v>
      </c>
      <c r="D14" s="31">
        <f t="shared" si="1"/>
        <v>110.41666666666666</v>
      </c>
      <c r="F14" s="211" t="s">
        <v>38</v>
      </c>
      <c r="G14" s="212"/>
      <c r="H14" s="213">
        <f>D54</f>
        <v>36957</v>
      </c>
      <c r="I14" s="214"/>
      <c r="J14" s="215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7"/>
      <c r="B15" s="14" t="s">
        <v>117</v>
      </c>
      <c r="C15" s="10"/>
      <c r="D15" s="31">
        <f t="shared" si="1"/>
        <v>0</v>
      </c>
      <c r="F15" s="216" t="s">
        <v>39</v>
      </c>
      <c r="G15" s="217"/>
      <c r="H15" s="218">
        <f>H13-H14</f>
        <v>234069.41666666669</v>
      </c>
      <c r="I15" s="219"/>
      <c r="J15" s="22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7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78">
        <v>1818</v>
      </c>
      <c r="I16" s="178"/>
      <c r="J16" s="17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7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9"/>
      <c r="I17" s="189"/>
      <c r="J17" s="18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7"/>
      <c r="B18" s="85" t="s">
        <v>120</v>
      </c>
      <c r="C18" s="10">
        <v>1</v>
      </c>
      <c r="D18" s="48">
        <f t="shared" si="1"/>
        <v>1102</v>
      </c>
      <c r="F18" s="56"/>
      <c r="G18" s="66" t="s">
        <v>46</v>
      </c>
      <c r="H18" s="189"/>
      <c r="I18" s="189"/>
      <c r="J18" s="18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7"/>
      <c r="B19" s="86" t="s">
        <v>105</v>
      </c>
      <c r="C19" s="10">
        <f>1+1</f>
        <v>2</v>
      </c>
      <c r="D19" s="48">
        <f t="shared" si="1"/>
        <v>2350</v>
      </c>
      <c r="F19" s="56"/>
      <c r="G19" s="68" t="s">
        <v>49</v>
      </c>
      <c r="H19" s="263"/>
      <c r="I19" s="263"/>
      <c r="J19" s="26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7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8"/>
      <c r="I20" s="178"/>
      <c r="J20" s="17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7"/>
      <c r="B21" s="14" t="s">
        <v>126</v>
      </c>
      <c r="C21" s="10">
        <v>1</v>
      </c>
      <c r="D21" s="48">
        <f t="shared" si="1"/>
        <v>1667</v>
      </c>
      <c r="F21" s="69" t="s">
        <v>94</v>
      </c>
      <c r="G21" s="81" t="s">
        <v>93</v>
      </c>
      <c r="H21" s="191" t="s">
        <v>13</v>
      </c>
      <c r="I21" s="192"/>
      <c r="J21" s="193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7"/>
      <c r="B22" s="46" t="s">
        <v>103</v>
      </c>
      <c r="C22" s="10"/>
      <c r="D22" s="48">
        <f t="shared" si="1"/>
        <v>0</v>
      </c>
      <c r="F22" s="76"/>
      <c r="G22" s="72"/>
      <c r="H22" s="194"/>
      <c r="I22" s="194"/>
      <c r="J22" s="19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7"/>
      <c r="B23" s="14" t="s">
        <v>116</v>
      </c>
      <c r="C23" s="10"/>
      <c r="D23" s="48">
        <f t="shared" si="1"/>
        <v>0</v>
      </c>
      <c r="F23" s="77"/>
      <c r="G23" s="78"/>
      <c r="H23" s="264"/>
      <c r="I23" s="194"/>
      <c r="J23" s="19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7"/>
      <c r="B24" s="14" t="s">
        <v>123</v>
      </c>
      <c r="C24" s="10"/>
      <c r="D24" s="48">
        <f t="shared" si="1"/>
        <v>0</v>
      </c>
      <c r="F24" s="38"/>
      <c r="G24" s="37"/>
      <c r="H24" s="195"/>
      <c r="I24" s="164"/>
      <c r="J24" s="16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6" t="s">
        <v>13</v>
      </c>
      <c r="I25" s="197"/>
      <c r="J25" s="19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7"/>
      <c r="B26" s="14" t="s">
        <v>124</v>
      </c>
      <c r="C26" s="10"/>
      <c r="D26" s="48">
        <f t="shared" si="1"/>
        <v>0</v>
      </c>
      <c r="F26" s="64"/>
      <c r="G26" s="59"/>
      <c r="H26" s="199"/>
      <c r="I26" s="200"/>
      <c r="J26" s="20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7"/>
      <c r="B27" s="14" t="s">
        <v>125</v>
      </c>
      <c r="C27" s="10"/>
      <c r="D27" s="44">
        <f t="shared" si="1"/>
        <v>0</v>
      </c>
      <c r="F27" s="25"/>
      <c r="G27" s="79"/>
      <c r="H27" s="202"/>
      <c r="I27" s="203"/>
      <c r="J27" s="20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8"/>
      <c r="B28" s="46" t="s">
        <v>92</v>
      </c>
      <c r="C28" s="10"/>
      <c r="D28" s="48">
        <f t="shared" si="1"/>
        <v>0</v>
      </c>
      <c r="F28" s="103"/>
      <c r="G28" s="61"/>
      <c r="H28" s="205"/>
      <c r="I28" s="206"/>
      <c r="J28" s="20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9" t="s">
        <v>36</v>
      </c>
      <c r="B29" s="180"/>
      <c r="C29" s="181"/>
      <c r="D29" s="185">
        <f>SUM(D6:D28)</f>
        <v>271026.41666666669</v>
      </c>
      <c r="F29" s="125" t="s">
        <v>54</v>
      </c>
      <c r="G29" s="187"/>
      <c r="H29" s="147">
        <f>H15-H16-H17-H18-H19-H20-H22-H23-H24+H26+H27</f>
        <v>232251.41666666669</v>
      </c>
      <c r="I29" s="148"/>
      <c r="J29" s="14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2"/>
      <c r="B30" s="183"/>
      <c r="C30" s="184"/>
      <c r="D30" s="186"/>
      <c r="F30" s="128"/>
      <c r="G30" s="188"/>
      <c r="H30" s="150"/>
      <c r="I30" s="151"/>
      <c r="J30" s="15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2" t="s">
        <v>57</v>
      </c>
      <c r="B32" s="173"/>
      <c r="C32" s="173"/>
      <c r="D32" s="174"/>
      <c r="F32" s="175" t="s">
        <v>58</v>
      </c>
      <c r="G32" s="176"/>
      <c r="H32" s="176"/>
      <c r="I32" s="176"/>
      <c r="J32" s="17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175" t="s">
        <v>13</v>
      </c>
      <c r="I33" s="176"/>
      <c r="J33" s="17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6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24</v>
      </c>
      <c r="H34" s="169">
        <f>F34*G34</f>
        <v>24000</v>
      </c>
      <c r="I34" s="170"/>
      <c r="J34" s="17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7"/>
      <c r="B35" s="27" t="s">
        <v>67</v>
      </c>
      <c r="C35" s="52">
        <v>1</v>
      </c>
      <c r="D35" s="30">
        <f>C35*84</f>
        <v>84</v>
      </c>
      <c r="F35" s="58">
        <v>500</v>
      </c>
      <c r="G35" s="106">
        <v>4</v>
      </c>
      <c r="H35" s="169">
        <f>F35*G35</f>
        <v>2000</v>
      </c>
      <c r="I35" s="170"/>
      <c r="J35" s="17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8"/>
      <c r="B36" s="26" t="s">
        <v>69</v>
      </c>
      <c r="C36" s="10">
        <v>15</v>
      </c>
      <c r="D36" s="12">
        <f>C36*1.5</f>
        <v>22.5</v>
      </c>
      <c r="F36" s="12">
        <v>200</v>
      </c>
      <c r="G36" s="37"/>
      <c r="H36" s="169">
        <f t="shared" ref="H36:H39" si="2">F36*G36</f>
        <v>0</v>
      </c>
      <c r="I36" s="170"/>
      <c r="J36" s="17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6" t="s">
        <v>71</v>
      </c>
      <c r="B37" s="28" t="s">
        <v>65</v>
      </c>
      <c r="C37" s="53">
        <v>316</v>
      </c>
      <c r="D37" s="12">
        <f>C37*111</f>
        <v>35076</v>
      </c>
      <c r="F37" s="12">
        <v>100</v>
      </c>
      <c r="G37" s="39">
        <v>1</v>
      </c>
      <c r="H37" s="169">
        <f t="shared" si="2"/>
        <v>100</v>
      </c>
      <c r="I37" s="170"/>
      <c r="J37" s="17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7"/>
      <c r="B38" s="29" t="s">
        <v>67</v>
      </c>
      <c r="C38" s="54">
        <v>10</v>
      </c>
      <c r="D38" s="12">
        <f>C38*84</f>
        <v>840</v>
      </c>
      <c r="F38" s="30">
        <v>50</v>
      </c>
      <c r="G38" s="39"/>
      <c r="H38" s="169">
        <f t="shared" si="2"/>
        <v>0</v>
      </c>
      <c r="I38" s="170"/>
      <c r="J38" s="17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8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169">
        <f t="shared" si="2"/>
        <v>0</v>
      </c>
      <c r="I39" s="170"/>
      <c r="J39" s="17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6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107"/>
      <c r="H40" s="169"/>
      <c r="I40" s="170"/>
      <c r="J40" s="17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7"/>
      <c r="B41" s="27" t="s">
        <v>67</v>
      </c>
      <c r="C41" s="10"/>
      <c r="D41" s="12">
        <f>C41*84</f>
        <v>0</v>
      </c>
      <c r="F41" s="12">
        <v>5</v>
      </c>
      <c r="G41" s="107"/>
      <c r="H41" s="169"/>
      <c r="I41" s="170"/>
      <c r="J41" s="17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8"/>
      <c r="B42" s="27" t="s">
        <v>69</v>
      </c>
      <c r="C42" s="11">
        <v>24</v>
      </c>
      <c r="D42" s="12">
        <f>C42*2.25</f>
        <v>54</v>
      </c>
      <c r="F42" s="39" t="s">
        <v>78</v>
      </c>
      <c r="G42" s="169">
        <v>41</v>
      </c>
      <c r="H42" s="170"/>
      <c r="I42" s="170"/>
      <c r="J42" s="17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9" t="s">
        <v>80</v>
      </c>
      <c r="C43" s="11"/>
      <c r="D43" s="12"/>
      <c r="F43" s="59" t="s">
        <v>81</v>
      </c>
      <c r="G43" s="105" t="s">
        <v>82</v>
      </c>
      <c r="H43" s="161" t="s">
        <v>13</v>
      </c>
      <c r="I43" s="162"/>
      <c r="J43" s="16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0"/>
      <c r="B44" s="27" t="s">
        <v>65</v>
      </c>
      <c r="C44" s="10"/>
      <c r="D44" s="12">
        <f>C44*120</f>
        <v>0</v>
      </c>
      <c r="F44" s="37" t="s">
        <v>148</v>
      </c>
      <c r="G44" s="87" t="s">
        <v>149</v>
      </c>
      <c r="H44" s="164">
        <v>70296</v>
      </c>
      <c r="I44" s="164"/>
      <c r="J44" s="16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0"/>
      <c r="B45" s="27" t="s">
        <v>67</v>
      </c>
      <c r="C45" s="33">
        <v>1</v>
      </c>
      <c r="D45" s="12">
        <f>C45*84</f>
        <v>84</v>
      </c>
      <c r="F45" s="37" t="s">
        <v>136</v>
      </c>
      <c r="G45" s="75" t="s">
        <v>150</v>
      </c>
      <c r="H45" s="164">
        <v>136287</v>
      </c>
      <c r="I45" s="164"/>
      <c r="J45" s="164"/>
      <c r="K45" s="21"/>
      <c r="P45" s="4"/>
      <c r="Q45" s="4"/>
      <c r="R45" s="5"/>
    </row>
    <row r="46" spans="1:18" ht="15.75" x14ac:dyDescent="0.25">
      <c r="A46" s="140"/>
      <c r="B46" s="49" t="s">
        <v>69</v>
      </c>
      <c r="C46" s="80">
        <v>1</v>
      </c>
      <c r="D46" s="12">
        <f>C46*1.5</f>
        <v>1.5</v>
      </c>
      <c r="F46" s="37"/>
      <c r="G46" s="62"/>
      <c r="H46" s="164"/>
      <c r="I46" s="164"/>
      <c r="J46" s="164"/>
      <c r="K46" s="21"/>
      <c r="P46" s="4"/>
      <c r="Q46" s="4"/>
      <c r="R46" s="5"/>
    </row>
    <row r="47" spans="1:18" ht="15.75" x14ac:dyDescent="0.25">
      <c r="A47" s="141"/>
      <c r="B47" s="27"/>
      <c r="C47" s="11"/>
      <c r="D47" s="12"/>
      <c r="F47" s="59"/>
      <c r="G47" s="59"/>
      <c r="H47" s="164"/>
      <c r="I47" s="164"/>
      <c r="J47" s="164"/>
      <c r="K47" s="21"/>
      <c r="P47" s="4"/>
      <c r="Q47" s="4"/>
      <c r="R47" s="5"/>
    </row>
    <row r="48" spans="1:18" ht="15" customHeight="1" x14ac:dyDescent="0.25">
      <c r="A48" s="139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0"/>
      <c r="B49" s="29" t="s">
        <v>67</v>
      </c>
      <c r="C49" s="33">
        <v>6</v>
      </c>
      <c r="D49" s="12">
        <f>C49*42</f>
        <v>252</v>
      </c>
      <c r="F49" s="145" t="s">
        <v>85</v>
      </c>
      <c r="G49" s="147">
        <f>H34+H35+H36+H37+H38+H39+H40+H41+G42+H44+H45+H46+H47+H48</f>
        <v>232724</v>
      </c>
      <c r="H49" s="148"/>
      <c r="I49" s="148"/>
      <c r="J49" s="14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0"/>
      <c r="B50" s="32" t="s">
        <v>69</v>
      </c>
      <c r="C50" s="80"/>
      <c r="D50" s="12">
        <f>C50*1.5</f>
        <v>0</v>
      </c>
      <c r="F50" s="146"/>
      <c r="G50" s="150"/>
      <c r="H50" s="151"/>
      <c r="I50" s="151"/>
      <c r="J50" s="152"/>
      <c r="O50" t="s">
        <v>112</v>
      </c>
      <c r="P50" s="4">
        <v>1204</v>
      </c>
      <c r="Q50" s="4"/>
      <c r="R50" s="5"/>
    </row>
    <row r="51" spans="1:18" ht="15" customHeight="1" x14ac:dyDescent="0.25">
      <c r="A51" s="140"/>
      <c r="B51" s="27"/>
      <c r="C51" s="10"/>
      <c r="D51" s="31"/>
      <c r="F51" s="153" t="str">
        <f>_xlfn.IFS(H29&gt;G49,"SHORT",H29&lt;G49,"OVER",H29&lt;=G49,"-")</f>
        <v>OVER</v>
      </c>
      <c r="G51" s="155">
        <f>G49-H29</f>
        <v>472.58333333331393</v>
      </c>
      <c r="H51" s="156"/>
      <c r="I51" s="156"/>
      <c r="J51" s="1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140"/>
      <c r="B52" s="29"/>
      <c r="C52" s="33"/>
      <c r="D52" s="45"/>
      <c r="F52" s="154"/>
      <c r="G52" s="158"/>
      <c r="H52" s="159"/>
      <c r="I52" s="159"/>
      <c r="J52" s="1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5" t="s">
        <v>89</v>
      </c>
      <c r="B54" s="126"/>
      <c r="C54" s="127"/>
      <c r="D54" s="131">
        <f>SUM(D34:D53)</f>
        <v>36957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8"/>
      <c r="B55" s="129"/>
      <c r="C55" s="130"/>
      <c r="D55" s="13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133" t="s">
        <v>90</v>
      </c>
      <c r="B58" s="134"/>
      <c r="C58" s="134"/>
      <c r="D58" s="135"/>
      <c r="F58" s="133" t="s">
        <v>91</v>
      </c>
      <c r="G58" s="134"/>
      <c r="H58" s="134"/>
      <c r="I58" s="134"/>
      <c r="J58" s="135"/>
    </row>
    <row r="59" spans="1:18" x14ac:dyDescent="0.25">
      <c r="A59" s="136"/>
      <c r="B59" s="137"/>
      <c r="C59" s="137"/>
      <c r="D59" s="138"/>
      <c r="F59" s="136"/>
      <c r="G59" s="137"/>
      <c r="H59" s="137"/>
      <c r="I59" s="137"/>
      <c r="J59" s="13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131" priority="1" operator="containsText" text="OVER">
      <formula>NOT(ISERROR(SEARCH("OVER",F51)))</formula>
    </cfRule>
    <cfRule type="containsText" dxfId="130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194DAD1C-2CDF-4FA0-99FF-960EB41116B4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8E3969-CE49-4567-ACEA-C7A532429CF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1" t="s">
        <v>1</v>
      </c>
      <c r="O1" s="221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2" t="s">
        <v>7</v>
      </c>
      <c r="B4" s="173"/>
      <c r="C4" s="173"/>
      <c r="D4" s="174"/>
      <c r="F4" s="222" t="s">
        <v>8</v>
      </c>
      <c r="G4" s="224">
        <v>3</v>
      </c>
      <c r="H4" s="226" t="s">
        <v>9</v>
      </c>
      <c r="I4" s="228">
        <v>46239</v>
      </c>
      <c r="J4" s="22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6" t="s">
        <v>7</v>
      </c>
      <c r="B5" s="15" t="s">
        <v>11</v>
      </c>
      <c r="C5" s="9" t="s">
        <v>12</v>
      </c>
      <c r="D5" s="25" t="s">
        <v>13</v>
      </c>
      <c r="F5" s="223"/>
      <c r="G5" s="225"/>
      <c r="H5" s="227"/>
      <c r="I5" s="230"/>
      <c r="J5" s="23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7"/>
      <c r="B6" s="16" t="s">
        <v>15</v>
      </c>
      <c r="C6" s="10"/>
      <c r="D6" s="13">
        <f t="shared" ref="D6:D28" si="1">C6*L6</f>
        <v>0</v>
      </c>
      <c r="F6" s="232" t="s">
        <v>16</v>
      </c>
      <c r="G6" s="234" t="s">
        <v>142</v>
      </c>
      <c r="H6" s="235"/>
      <c r="I6" s="235"/>
      <c r="J6" s="2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7"/>
      <c r="B7" s="16" t="s">
        <v>18</v>
      </c>
      <c r="C7" s="10"/>
      <c r="D7" s="13">
        <f t="shared" si="1"/>
        <v>0</v>
      </c>
      <c r="F7" s="233"/>
      <c r="G7" s="237"/>
      <c r="H7" s="238"/>
      <c r="I7" s="238"/>
      <c r="J7" s="2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7"/>
      <c r="B8" s="16" t="s">
        <v>20</v>
      </c>
      <c r="C8" s="10"/>
      <c r="D8" s="13">
        <f t="shared" si="1"/>
        <v>0</v>
      </c>
      <c r="F8" s="240" t="s">
        <v>21</v>
      </c>
      <c r="G8" s="241" t="s">
        <v>109</v>
      </c>
      <c r="H8" s="242"/>
      <c r="I8" s="242"/>
      <c r="J8" s="24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7"/>
      <c r="B9" s="16" t="s">
        <v>23</v>
      </c>
      <c r="C9" s="10"/>
      <c r="D9" s="13">
        <f t="shared" si="1"/>
        <v>0</v>
      </c>
      <c r="F9" s="233"/>
      <c r="G9" s="244"/>
      <c r="H9" s="245"/>
      <c r="I9" s="245"/>
      <c r="J9" s="24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7"/>
      <c r="B10" t="s">
        <v>25</v>
      </c>
      <c r="C10" s="10"/>
      <c r="D10" s="13">
        <f t="shared" si="1"/>
        <v>0</v>
      </c>
      <c r="F10" s="232" t="s">
        <v>26</v>
      </c>
      <c r="G10" s="247" t="s">
        <v>119</v>
      </c>
      <c r="H10" s="248"/>
      <c r="I10" s="248"/>
      <c r="J10" s="249"/>
      <c r="K10" s="8"/>
      <c r="L10" s="6">
        <f>R36</f>
        <v>1032</v>
      </c>
      <c r="P10" s="4"/>
      <c r="Q10" s="4"/>
      <c r="R10" s="5"/>
    </row>
    <row r="11" spans="1:18" ht="15.75" x14ac:dyDescent="0.25">
      <c r="A11" s="167"/>
      <c r="B11" s="17" t="s">
        <v>28</v>
      </c>
      <c r="C11" s="10"/>
      <c r="D11" s="13">
        <f t="shared" si="1"/>
        <v>0</v>
      </c>
      <c r="F11" s="233"/>
      <c r="G11" s="244"/>
      <c r="H11" s="245"/>
      <c r="I11" s="245"/>
      <c r="J11" s="24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7"/>
      <c r="B12" s="17" t="s">
        <v>30</v>
      </c>
      <c r="C12" s="10"/>
      <c r="D12" s="48">
        <f t="shared" si="1"/>
        <v>0</v>
      </c>
      <c r="F12" s="250" t="s">
        <v>33</v>
      </c>
      <c r="G12" s="251"/>
      <c r="H12" s="251"/>
      <c r="I12" s="251"/>
      <c r="J12" s="25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7"/>
      <c r="B13" s="17" t="s">
        <v>32</v>
      </c>
      <c r="C13" s="10"/>
      <c r="D13" s="48">
        <f t="shared" si="1"/>
        <v>0</v>
      </c>
      <c r="F13" s="253" t="s">
        <v>36</v>
      </c>
      <c r="G13" s="217"/>
      <c r="H13" s="208">
        <f>D29</f>
        <v>0</v>
      </c>
      <c r="I13" s="209"/>
      <c r="J13" s="21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7"/>
      <c r="B14" s="14" t="s">
        <v>35</v>
      </c>
      <c r="C14" s="10"/>
      <c r="D14" s="31">
        <f t="shared" si="1"/>
        <v>0</v>
      </c>
      <c r="F14" s="211" t="s">
        <v>38</v>
      </c>
      <c r="G14" s="212"/>
      <c r="H14" s="213">
        <f>D54</f>
        <v>0</v>
      </c>
      <c r="I14" s="214"/>
      <c r="J14" s="215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7"/>
      <c r="B15" s="14" t="s">
        <v>117</v>
      </c>
      <c r="C15" s="10"/>
      <c r="D15" s="31">
        <f t="shared" si="1"/>
        <v>0</v>
      </c>
      <c r="F15" s="216" t="s">
        <v>39</v>
      </c>
      <c r="G15" s="217"/>
      <c r="H15" s="218">
        <f>H13-H14</f>
        <v>0</v>
      </c>
      <c r="I15" s="219"/>
      <c r="J15" s="22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7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8"/>
      <c r="I16" s="178"/>
      <c r="J16" s="17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7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9"/>
      <c r="I17" s="189"/>
      <c r="J17" s="18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7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9"/>
      <c r="I18" s="189"/>
      <c r="J18" s="18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7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3"/>
      <c r="I19" s="263"/>
      <c r="J19" s="26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7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8"/>
      <c r="I20" s="178"/>
      <c r="J20" s="17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7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191" t="s">
        <v>13</v>
      </c>
      <c r="I21" s="192"/>
      <c r="J21" s="19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7"/>
      <c r="B22" s="46" t="s">
        <v>103</v>
      </c>
      <c r="C22" s="10"/>
      <c r="D22" s="48">
        <f t="shared" si="1"/>
        <v>0</v>
      </c>
      <c r="F22" s="76"/>
      <c r="G22" s="72"/>
      <c r="H22" s="194"/>
      <c r="I22" s="194"/>
      <c r="J22" s="19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7"/>
      <c r="B23" s="14" t="s">
        <v>116</v>
      </c>
      <c r="C23" s="10"/>
      <c r="D23" s="48">
        <f t="shared" si="1"/>
        <v>0</v>
      </c>
      <c r="F23" s="77"/>
      <c r="G23" s="78"/>
      <c r="H23" s="264"/>
      <c r="I23" s="194"/>
      <c r="J23" s="19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7"/>
      <c r="B24" s="14" t="s">
        <v>123</v>
      </c>
      <c r="C24" s="10"/>
      <c r="D24" s="48">
        <f t="shared" si="1"/>
        <v>0</v>
      </c>
      <c r="F24" s="38"/>
      <c r="G24" s="37"/>
      <c r="H24" s="195"/>
      <c r="I24" s="164"/>
      <c r="J24" s="16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6" t="s">
        <v>13</v>
      </c>
      <c r="I25" s="197"/>
      <c r="J25" s="19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7"/>
      <c r="B26" s="14" t="s">
        <v>124</v>
      </c>
      <c r="C26" s="10"/>
      <c r="D26" s="48">
        <f t="shared" si="1"/>
        <v>0</v>
      </c>
      <c r="F26" s="64"/>
      <c r="G26" s="59"/>
      <c r="H26" s="199"/>
      <c r="I26" s="200"/>
      <c r="J26" s="20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7"/>
      <c r="B27" s="14" t="s">
        <v>125</v>
      </c>
      <c r="C27" s="10"/>
      <c r="D27" s="44">
        <f t="shared" si="1"/>
        <v>0</v>
      </c>
      <c r="F27" s="25"/>
      <c r="G27" s="79"/>
      <c r="H27" s="202"/>
      <c r="I27" s="203"/>
      <c r="J27" s="20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8"/>
      <c r="B28" s="46" t="s">
        <v>92</v>
      </c>
      <c r="C28" s="10"/>
      <c r="D28" s="48">
        <f t="shared" si="1"/>
        <v>0</v>
      </c>
      <c r="F28" s="103"/>
      <c r="G28" s="61"/>
      <c r="H28" s="205"/>
      <c r="I28" s="206"/>
      <c r="J28" s="20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9" t="s">
        <v>36</v>
      </c>
      <c r="B29" s="180"/>
      <c r="C29" s="181"/>
      <c r="D29" s="185">
        <f>SUM(D6:D28)</f>
        <v>0</v>
      </c>
      <c r="F29" s="125" t="s">
        <v>54</v>
      </c>
      <c r="G29" s="187"/>
      <c r="H29" s="147">
        <f>H15-H16-H17-H18-H19-H20-H22-H23-H24+H26+H27</f>
        <v>0</v>
      </c>
      <c r="I29" s="148"/>
      <c r="J29" s="14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2"/>
      <c r="B30" s="183"/>
      <c r="C30" s="184"/>
      <c r="D30" s="186"/>
      <c r="F30" s="128"/>
      <c r="G30" s="188"/>
      <c r="H30" s="150"/>
      <c r="I30" s="151"/>
      <c r="J30" s="15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2" t="s">
        <v>57</v>
      </c>
      <c r="B32" s="173"/>
      <c r="C32" s="173"/>
      <c r="D32" s="174"/>
      <c r="F32" s="175" t="s">
        <v>58</v>
      </c>
      <c r="G32" s="176"/>
      <c r="H32" s="176"/>
      <c r="I32" s="176"/>
      <c r="J32" s="17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175" t="s">
        <v>13</v>
      </c>
      <c r="I33" s="176"/>
      <c r="J33" s="17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6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69">
        <f>F34*G34</f>
        <v>0</v>
      </c>
      <c r="I34" s="170"/>
      <c r="J34" s="17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7"/>
      <c r="B35" s="27" t="s">
        <v>67</v>
      </c>
      <c r="C35" s="52"/>
      <c r="D35" s="30">
        <f>C35*84</f>
        <v>0</v>
      </c>
      <c r="F35" s="58">
        <v>500</v>
      </c>
      <c r="G35" s="106"/>
      <c r="H35" s="169">
        <f>F35*G35</f>
        <v>0</v>
      </c>
      <c r="I35" s="170"/>
      <c r="J35" s="17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8"/>
      <c r="B36" s="26" t="s">
        <v>69</v>
      </c>
      <c r="C36" s="10"/>
      <c r="D36" s="12">
        <f>C36*1.5</f>
        <v>0</v>
      </c>
      <c r="F36" s="12">
        <v>200</v>
      </c>
      <c r="G36" s="37"/>
      <c r="H36" s="169">
        <f t="shared" ref="H36:H39" si="2">F36*G36</f>
        <v>0</v>
      </c>
      <c r="I36" s="170"/>
      <c r="J36" s="17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9">
        <f t="shared" si="2"/>
        <v>0</v>
      </c>
      <c r="I37" s="170"/>
      <c r="J37" s="17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7"/>
      <c r="B38" s="29" t="s">
        <v>67</v>
      </c>
      <c r="C38" s="54"/>
      <c r="D38" s="12">
        <f>C38*84</f>
        <v>0</v>
      </c>
      <c r="F38" s="30">
        <v>50</v>
      </c>
      <c r="G38" s="39"/>
      <c r="H38" s="169">
        <f t="shared" si="2"/>
        <v>0</v>
      </c>
      <c r="I38" s="170"/>
      <c r="J38" s="17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8"/>
      <c r="B39" s="29" t="s">
        <v>69</v>
      </c>
      <c r="C39" s="52"/>
      <c r="D39" s="31">
        <f>C39*4.5</f>
        <v>0</v>
      </c>
      <c r="F39" s="12">
        <v>20</v>
      </c>
      <c r="G39" s="37"/>
      <c r="H39" s="169">
        <f t="shared" si="2"/>
        <v>0</v>
      </c>
      <c r="I39" s="170"/>
      <c r="J39" s="17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6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169"/>
      <c r="I40" s="170"/>
      <c r="J40" s="17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7"/>
      <c r="B41" s="27" t="s">
        <v>67</v>
      </c>
      <c r="C41" s="10"/>
      <c r="D41" s="12">
        <f>C41*84</f>
        <v>0</v>
      </c>
      <c r="F41" s="12">
        <v>5</v>
      </c>
      <c r="G41" s="107"/>
      <c r="H41" s="169"/>
      <c r="I41" s="170"/>
      <c r="J41" s="17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8"/>
      <c r="B42" s="27" t="s">
        <v>69</v>
      </c>
      <c r="C42" s="11"/>
      <c r="D42" s="12">
        <f>C42*2.25</f>
        <v>0</v>
      </c>
      <c r="F42" s="39" t="s">
        <v>78</v>
      </c>
      <c r="G42" s="169"/>
      <c r="H42" s="170"/>
      <c r="I42" s="170"/>
      <c r="J42" s="17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9" t="s">
        <v>80</v>
      </c>
      <c r="C43" s="11"/>
      <c r="D43" s="12"/>
      <c r="F43" s="59" t="s">
        <v>81</v>
      </c>
      <c r="G43" s="105" t="s">
        <v>82</v>
      </c>
      <c r="H43" s="161" t="s">
        <v>13</v>
      </c>
      <c r="I43" s="162"/>
      <c r="J43" s="16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0"/>
      <c r="B44" s="27" t="s">
        <v>65</v>
      </c>
      <c r="C44" s="10"/>
      <c r="D44" s="12">
        <f>C44*120</f>
        <v>0</v>
      </c>
      <c r="F44" s="37"/>
      <c r="G44" s="62"/>
      <c r="H44" s="164"/>
      <c r="I44" s="164"/>
      <c r="J44" s="16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0"/>
      <c r="B45" s="27" t="s">
        <v>67</v>
      </c>
      <c r="C45" s="33"/>
      <c r="D45" s="12">
        <f>C45*84</f>
        <v>0</v>
      </c>
      <c r="F45" s="37"/>
      <c r="G45" s="62"/>
      <c r="H45" s="164"/>
      <c r="I45" s="164"/>
      <c r="J45" s="164"/>
      <c r="K45" s="21"/>
      <c r="P45" s="4"/>
      <c r="Q45" s="4"/>
      <c r="R45" s="5"/>
    </row>
    <row r="46" spans="1:18" ht="15.75" x14ac:dyDescent="0.25">
      <c r="A46" s="140"/>
      <c r="B46" s="49" t="s">
        <v>69</v>
      </c>
      <c r="C46" s="80"/>
      <c r="D46" s="12">
        <f>C46*1.5</f>
        <v>0</v>
      </c>
      <c r="F46" s="37"/>
      <c r="G46" s="75"/>
      <c r="H46" s="164"/>
      <c r="I46" s="164"/>
      <c r="J46" s="164"/>
      <c r="K46" s="21"/>
      <c r="P46" s="4"/>
      <c r="Q46" s="4"/>
      <c r="R46" s="5"/>
    </row>
    <row r="47" spans="1:18" ht="15.75" x14ac:dyDescent="0.25">
      <c r="A47" s="141"/>
      <c r="B47" s="27"/>
      <c r="C47" s="11"/>
      <c r="D47" s="12"/>
      <c r="F47" s="37"/>
      <c r="G47" s="75"/>
      <c r="H47" s="164"/>
      <c r="I47" s="164"/>
      <c r="J47" s="164"/>
      <c r="K47" s="21"/>
      <c r="P47" s="4"/>
      <c r="Q47" s="4"/>
      <c r="R47" s="5"/>
    </row>
    <row r="48" spans="1:18" ht="15" customHeight="1" x14ac:dyDescent="0.25">
      <c r="A48" s="139" t="s">
        <v>32</v>
      </c>
      <c r="B48" s="27" t="s">
        <v>65</v>
      </c>
      <c r="C48" s="10"/>
      <c r="D48" s="12">
        <f>C48*78</f>
        <v>0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0"/>
      <c r="B49" s="29" t="s">
        <v>67</v>
      </c>
      <c r="C49" s="33"/>
      <c r="D49" s="12">
        <f>C49*42</f>
        <v>0</v>
      </c>
      <c r="F49" s="145" t="s">
        <v>85</v>
      </c>
      <c r="G49" s="147">
        <f>H34+H35+H36+H37+H38+H39+H40+H41+G42+H44+H45+H46+H47+H48</f>
        <v>0</v>
      </c>
      <c r="H49" s="148"/>
      <c r="I49" s="148"/>
      <c r="J49" s="14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0"/>
      <c r="B50" s="32" t="s">
        <v>69</v>
      </c>
      <c r="C50" s="11"/>
      <c r="D50" s="12">
        <f>C50*1.5</f>
        <v>0</v>
      </c>
      <c r="F50" s="146"/>
      <c r="G50" s="150"/>
      <c r="H50" s="151"/>
      <c r="I50" s="151"/>
      <c r="J50" s="152"/>
      <c r="O50" t="s">
        <v>112</v>
      </c>
      <c r="P50" s="4">
        <v>1204</v>
      </c>
      <c r="Q50" s="4"/>
      <c r="R50" s="5"/>
    </row>
    <row r="51" spans="1:18" ht="15" customHeight="1" x14ac:dyDescent="0.25">
      <c r="A51" s="140"/>
      <c r="B51" s="27"/>
      <c r="C51" s="10"/>
      <c r="D51" s="31"/>
      <c r="F51" s="153" t="str">
        <f>_xlfn.IFS(H29&gt;G49,"SHORT",H29&lt;G49,"OVER",H29&lt;=G49,"-")</f>
        <v>-</v>
      </c>
      <c r="G51" s="155">
        <f>G49-H29</f>
        <v>0</v>
      </c>
      <c r="H51" s="156"/>
      <c r="I51" s="156"/>
      <c r="J51" s="1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140"/>
      <c r="B52" s="29"/>
      <c r="C52" s="33"/>
      <c r="D52" s="45"/>
      <c r="F52" s="154"/>
      <c r="G52" s="158"/>
      <c r="H52" s="159"/>
      <c r="I52" s="159"/>
      <c r="J52" s="1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5" t="s">
        <v>89</v>
      </c>
      <c r="B54" s="126"/>
      <c r="C54" s="127"/>
      <c r="D54" s="13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8"/>
      <c r="B55" s="129"/>
      <c r="C55" s="130"/>
      <c r="D55" s="13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33" t="s">
        <v>90</v>
      </c>
      <c r="B58" s="134"/>
      <c r="C58" s="134"/>
      <c r="D58" s="135"/>
      <c r="F58" s="133" t="s">
        <v>91</v>
      </c>
      <c r="G58" s="134"/>
      <c r="H58" s="134"/>
      <c r="I58" s="134"/>
      <c r="J58" s="135"/>
    </row>
    <row r="59" spans="1:18" x14ac:dyDescent="0.25">
      <c r="A59" s="136"/>
      <c r="B59" s="137"/>
      <c r="C59" s="137"/>
      <c r="D59" s="138"/>
      <c r="F59" s="136"/>
      <c r="G59" s="137"/>
      <c r="H59" s="137"/>
      <c r="I59" s="137"/>
      <c r="J59" s="13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128" priority="1" operator="containsText" text="OVER">
      <formula>NOT(ISERROR(SEARCH("OVER",F51)))</formula>
    </cfRule>
    <cfRule type="containsText" dxfId="127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1F422771-CF61-4A59-975D-1A567954917B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7054E5-5AB1-467A-8ED4-EB78E222912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1" t="s">
        <v>1</v>
      </c>
      <c r="O1" s="221"/>
      <c r="P1" s="102" t="s">
        <v>2</v>
      </c>
      <c r="Q1" s="10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2" t="s">
        <v>7</v>
      </c>
      <c r="B4" s="173"/>
      <c r="C4" s="173"/>
      <c r="D4" s="174"/>
      <c r="F4" s="222" t="s">
        <v>8</v>
      </c>
      <c r="G4" s="224"/>
      <c r="H4" s="226" t="s">
        <v>9</v>
      </c>
      <c r="I4" s="228"/>
      <c r="J4" s="22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6" t="s">
        <v>7</v>
      </c>
      <c r="B5" s="15" t="s">
        <v>11</v>
      </c>
      <c r="C5" s="9" t="s">
        <v>12</v>
      </c>
      <c r="D5" s="25" t="s">
        <v>13</v>
      </c>
      <c r="F5" s="223"/>
      <c r="G5" s="225"/>
      <c r="H5" s="227"/>
      <c r="I5" s="230"/>
      <c r="J5" s="23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7"/>
      <c r="B6" s="16"/>
      <c r="C6" s="10"/>
      <c r="D6" s="13">
        <f t="shared" ref="D6:D28" si="1">C6*L6</f>
        <v>0</v>
      </c>
      <c r="F6" s="232" t="s">
        <v>16</v>
      </c>
      <c r="G6" s="234"/>
      <c r="H6" s="235"/>
      <c r="I6" s="235"/>
      <c r="J6" s="23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7"/>
      <c r="B7" s="16"/>
      <c r="C7" s="10"/>
      <c r="D7" s="13">
        <f t="shared" si="1"/>
        <v>0</v>
      </c>
      <c r="F7" s="233"/>
      <c r="G7" s="237"/>
      <c r="H7" s="238"/>
      <c r="I7" s="238"/>
      <c r="J7" s="23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7"/>
      <c r="B8" s="16"/>
      <c r="C8" s="10"/>
      <c r="D8" s="13">
        <f t="shared" si="1"/>
        <v>0</v>
      </c>
      <c r="F8" s="240" t="s">
        <v>21</v>
      </c>
      <c r="G8" s="241"/>
      <c r="H8" s="242"/>
      <c r="I8" s="242"/>
      <c r="J8" s="24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7"/>
      <c r="B9" s="16"/>
      <c r="C9" s="10"/>
      <c r="D9" s="13">
        <f t="shared" si="1"/>
        <v>0</v>
      </c>
      <c r="F9" s="233"/>
      <c r="G9" s="244"/>
      <c r="H9" s="245"/>
      <c r="I9" s="245"/>
      <c r="J9" s="24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7"/>
      <c r="C10" s="10"/>
      <c r="D10" s="13">
        <f t="shared" si="1"/>
        <v>0</v>
      </c>
      <c r="F10" s="232" t="s">
        <v>26</v>
      </c>
      <c r="G10" s="247"/>
      <c r="H10" s="248"/>
      <c r="I10" s="248"/>
      <c r="J10" s="249"/>
      <c r="K10" s="8"/>
      <c r="L10" s="6">
        <f>R36</f>
        <v>972</v>
      </c>
      <c r="P10" s="4"/>
      <c r="Q10" s="4"/>
      <c r="R10" s="5"/>
    </row>
    <row r="11" spans="1:19" ht="15.75" x14ac:dyDescent="0.25">
      <c r="A11" s="167"/>
      <c r="B11" s="17"/>
      <c r="C11" s="10"/>
      <c r="D11" s="13">
        <f t="shared" si="1"/>
        <v>0</v>
      </c>
      <c r="F11" s="233"/>
      <c r="G11" s="244"/>
      <c r="H11" s="245"/>
      <c r="I11" s="245"/>
      <c r="J11" s="24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7"/>
      <c r="B12" s="17"/>
      <c r="C12" s="10"/>
      <c r="D12" s="48">
        <f t="shared" si="1"/>
        <v>0</v>
      </c>
      <c r="F12" s="250" t="s">
        <v>33</v>
      </c>
      <c r="G12" s="251"/>
      <c r="H12" s="251"/>
      <c r="I12" s="251"/>
      <c r="J12" s="25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7"/>
      <c r="B13" s="17"/>
      <c r="C13" s="10"/>
      <c r="D13" s="48">
        <f t="shared" si="1"/>
        <v>0</v>
      </c>
      <c r="F13" s="253" t="s">
        <v>36</v>
      </c>
      <c r="G13" s="217"/>
      <c r="H13" s="208">
        <f>D29</f>
        <v>0</v>
      </c>
      <c r="I13" s="209"/>
      <c r="J13" s="21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7"/>
      <c r="B14" s="14"/>
      <c r="C14" s="10"/>
      <c r="D14" s="31">
        <f t="shared" si="1"/>
        <v>0</v>
      </c>
      <c r="F14" s="211" t="s">
        <v>38</v>
      </c>
      <c r="G14" s="212"/>
      <c r="H14" s="213">
        <f>D54</f>
        <v>0</v>
      </c>
      <c r="I14" s="214"/>
      <c r="J14" s="21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7"/>
      <c r="B15" s="14"/>
      <c r="C15" s="10"/>
      <c r="D15" s="31">
        <f t="shared" si="1"/>
        <v>0</v>
      </c>
      <c r="F15" s="216" t="s">
        <v>39</v>
      </c>
      <c r="G15" s="217"/>
      <c r="H15" s="218">
        <f>H13-H14</f>
        <v>0</v>
      </c>
      <c r="I15" s="219"/>
      <c r="J15" s="22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8"/>
      <c r="I16" s="178"/>
      <c r="J16" s="17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7"/>
      <c r="C17" s="10"/>
      <c r="D17" s="48">
        <f t="shared" si="1"/>
        <v>0</v>
      </c>
      <c r="F17" s="56"/>
      <c r="G17" s="66" t="s">
        <v>44</v>
      </c>
      <c r="H17" s="189"/>
      <c r="I17" s="189"/>
      <c r="J17" s="18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7"/>
      <c r="B18" s="19"/>
      <c r="C18" s="10"/>
      <c r="D18" s="48">
        <f t="shared" si="1"/>
        <v>0</v>
      </c>
      <c r="F18" s="56"/>
      <c r="G18" s="66" t="s">
        <v>46</v>
      </c>
      <c r="H18" s="189"/>
      <c r="I18" s="189"/>
      <c r="J18" s="18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7"/>
      <c r="B19" s="14"/>
      <c r="C19" s="10"/>
      <c r="D19" s="48">
        <f t="shared" si="1"/>
        <v>0</v>
      </c>
      <c r="F19" s="56"/>
      <c r="G19" s="68" t="s">
        <v>49</v>
      </c>
      <c r="H19" s="190"/>
      <c r="I19" s="190"/>
      <c r="J19" s="19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7"/>
      <c r="B20" s="46"/>
      <c r="C20" s="10"/>
      <c r="D20" s="13">
        <f t="shared" si="1"/>
        <v>0</v>
      </c>
      <c r="F20" s="57"/>
      <c r="G20" s="70" t="s">
        <v>102</v>
      </c>
      <c r="H20" s="178"/>
      <c r="I20" s="178"/>
      <c r="J20" s="17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7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91" t="s">
        <v>13</v>
      </c>
      <c r="I21" s="192"/>
      <c r="J21" s="193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7"/>
      <c r="B22" s="46"/>
      <c r="C22" s="10"/>
      <c r="D22" s="48">
        <f t="shared" si="1"/>
        <v>0</v>
      </c>
      <c r="F22" s="76"/>
      <c r="G22" s="72"/>
      <c r="H22" s="194"/>
      <c r="I22" s="194"/>
      <c r="J22" s="194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7"/>
      <c r="B23" s="14"/>
      <c r="C23" s="10"/>
      <c r="D23" s="48">
        <f t="shared" si="1"/>
        <v>0</v>
      </c>
      <c r="F23" s="77"/>
      <c r="G23" s="78"/>
      <c r="H23" s="195"/>
      <c r="I23" s="164"/>
      <c r="J23" s="16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7"/>
      <c r="B24" s="14"/>
      <c r="C24" s="10"/>
      <c r="D24" s="48">
        <f t="shared" si="1"/>
        <v>0</v>
      </c>
      <c r="F24" s="38"/>
      <c r="G24" s="37"/>
      <c r="H24" s="195"/>
      <c r="I24" s="164"/>
      <c r="J24" s="16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6" t="s">
        <v>13</v>
      </c>
      <c r="I25" s="197"/>
      <c r="J25" s="19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7"/>
      <c r="B26" s="14"/>
      <c r="C26" s="10"/>
      <c r="D26" s="48">
        <f t="shared" si="1"/>
        <v>0</v>
      </c>
      <c r="F26" s="64"/>
      <c r="G26" s="59"/>
      <c r="H26" s="199"/>
      <c r="I26" s="200"/>
      <c r="J26" s="20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7"/>
      <c r="B27" s="14"/>
      <c r="C27" s="10"/>
      <c r="D27" s="44">
        <f t="shared" si="1"/>
        <v>0</v>
      </c>
      <c r="F27" s="25"/>
      <c r="G27" s="79"/>
      <c r="H27" s="202"/>
      <c r="I27" s="203"/>
      <c r="J27" s="20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8"/>
      <c r="B28" s="46"/>
      <c r="C28" s="10"/>
      <c r="D28" s="48">
        <f t="shared" si="1"/>
        <v>0</v>
      </c>
      <c r="F28" s="103"/>
      <c r="G28" s="61"/>
      <c r="H28" s="205"/>
      <c r="I28" s="206"/>
      <c r="J28" s="20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9" t="s">
        <v>36</v>
      </c>
      <c r="B29" s="180"/>
      <c r="C29" s="181"/>
      <c r="D29" s="185">
        <f>SUM(D6:D28)</f>
        <v>0</v>
      </c>
      <c r="F29" s="125" t="s">
        <v>54</v>
      </c>
      <c r="G29" s="187"/>
      <c r="H29" s="147">
        <f>H15-H16-H17-H18-H19-H20-H22-H23-H24+H26+H27</f>
        <v>0</v>
      </c>
      <c r="I29" s="148"/>
      <c r="J29" s="14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2"/>
      <c r="B30" s="183"/>
      <c r="C30" s="184"/>
      <c r="D30" s="186"/>
      <c r="F30" s="128"/>
      <c r="G30" s="188"/>
      <c r="H30" s="150"/>
      <c r="I30" s="151"/>
      <c r="J30" s="15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2" t="s">
        <v>57</v>
      </c>
      <c r="B32" s="173"/>
      <c r="C32" s="173"/>
      <c r="D32" s="174"/>
      <c r="F32" s="175" t="s">
        <v>58</v>
      </c>
      <c r="G32" s="176"/>
      <c r="H32" s="176"/>
      <c r="I32" s="176"/>
      <c r="J32" s="17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175" t="s">
        <v>13</v>
      </c>
      <c r="I33" s="176"/>
      <c r="J33" s="17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6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69"/>
      <c r="I34" s="170"/>
      <c r="J34" s="17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7"/>
      <c r="B35" s="27" t="s">
        <v>67</v>
      </c>
      <c r="C35" s="52"/>
      <c r="D35" s="30">
        <f>C35*84</f>
        <v>0</v>
      </c>
      <c r="F35" s="58">
        <v>500</v>
      </c>
      <c r="G35" s="106"/>
      <c r="H35" s="169"/>
      <c r="I35" s="170"/>
      <c r="J35" s="17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8"/>
      <c r="B36" s="26" t="s">
        <v>69</v>
      </c>
      <c r="C36" s="10"/>
      <c r="D36" s="12">
        <f>C36*1.5</f>
        <v>0</v>
      </c>
      <c r="F36" s="12">
        <v>200</v>
      </c>
      <c r="G36" s="37"/>
      <c r="H36" s="169"/>
      <c r="I36" s="170"/>
      <c r="J36" s="17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9"/>
      <c r="I37" s="170"/>
      <c r="J37" s="17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7"/>
      <c r="B38" s="29" t="s">
        <v>67</v>
      </c>
      <c r="C38" s="54"/>
      <c r="D38" s="12">
        <f>C38*84</f>
        <v>0</v>
      </c>
      <c r="F38" s="30">
        <v>50</v>
      </c>
      <c r="G38" s="39"/>
      <c r="H38" s="169"/>
      <c r="I38" s="170"/>
      <c r="J38" s="17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8"/>
      <c r="B39" s="29" t="s">
        <v>69</v>
      </c>
      <c r="C39" s="52"/>
      <c r="D39" s="31">
        <f>C39*4.5</f>
        <v>0</v>
      </c>
      <c r="F39" s="12">
        <v>20</v>
      </c>
      <c r="G39" s="37"/>
      <c r="H39" s="169"/>
      <c r="I39" s="170"/>
      <c r="J39" s="17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6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169"/>
      <c r="I40" s="170"/>
      <c r="J40" s="17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7"/>
      <c r="B41" s="27" t="s">
        <v>67</v>
      </c>
      <c r="C41" s="10"/>
      <c r="D41" s="12">
        <f>C41*84</f>
        <v>0</v>
      </c>
      <c r="F41" s="12">
        <v>5</v>
      </c>
      <c r="G41" s="107"/>
      <c r="H41" s="169"/>
      <c r="I41" s="170"/>
      <c r="J41" s="17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8"/>
      <c r="B42" s="27" t="s">
        <v>69</v>
      </c>
      <c r="C42" s="11"/>
      <c r="D42" s="12">
        <f>C42*2.25</f>
        <v>0</v>
      </c>
      <c r="F42" s="39" t="s">
        <v>78</v>
      </c>
      <c r="G42" s="169"/>
      <c r="H42" s="170"/>
      <c r="I42" s="170"/>
      <c r="J42" s="17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9" t="s">
        <v>80</v>
      </c>
      <c r="C43" s="11"/>
      <c r="D43" s="12"/>
      <c r="F43" s="59" t="s">
        <v>81</v>
      </c>
      <c r="G43" s="105" t="s">
        <v>82</v>
      </c>
      <c r="H43" s="161" t="s">
        <v>13</v>
      </c>
      <c r="I43" s="162"/>
      <c r="J43" s="163"/>
      <c r="K43" s="21"/>
      <c r="P43" s="4"/>
      <c r="Q43" s="4"/>
      <c r="R43" s="5"/>
    </row>
    <row r="44" spans="1:18" ht="15.75" x14ac:dyDescent="0.25">
      <c r="A44" s="140"/>
      <c r="B44" s="27" t="s">
        <v>65</v>
      </c>
      <c r="C44" s="10"/>
      <c r="D44" s="12">
        <f>C44*120</f>
        <v>0</v>
      </c>
      <c r="F44" s="37"/>
      <c r="G44" s="75"/>
      <c r="H44" s="164"/>
      <c r="I44" s="164"/>
      <c r="J44" s="164"/>
      <c r="K44" s="21"/>
      <c r="P44" s="4"/>
      <c r="Q44" s="4"/>
      <c r="R44" s="5"/>
    </row>
    <row r="45" spans="1:18" ht="15.75" x14ac:dyDescent="0.25">
      <c r="A45" s="140"/>
      <c r="B45" s="27" t="s">
        <v>67</v>
      </c>
      <c r="C45" s="33"/>
      <c r="D45" s="12">
        <f>C45*84</f>
        <v>0</v>
      </c>
      <c r="F45" s="37"/>
      <c r="G45" s="75"/>
      <c r="H45" s="164"/>
      <c r="I45" s="164"/>
      <c r="J45" s="164"/>
      <c r="K45" s="21"/>
      <c r="P45" s="4"/>
      <c r="Q45" s="4"/>
      <c r="R45" s="5"/>
    </row>
    <row r="46" spans="1:18" ht="15.75" x14ac:dyDescent="0.25">
      <c r="A46" s="140"/>
      <c r="B46" s="49" t="s">
        <v>69</v>
      </c>
      <c r="C46" s="80"/>
      <c r="D46" s="12">
        <f>C46*1.5</f>
        <v>0</v>
      </c>
      <c r="F46" s="37"/>
      <c r="G46" s="62"/>
      <c r="H46" s="165"/>
      <c r="I46" s="165"/>
      <c r="J46" s="165"/>
      <c r="K46" s="21"/>
      <c r="P46" s="4"/>
      <c r="Q46" s="4"/>
      <c r="R46" s="5"/>
    </row>
    <row r="47" spans="1:18" ht="15.75" x14ac:dyDescent="0.25">
      <c r="A47" s="141"/>
      <c r="B47" s="27"/>
      <c r="C47" s="11"/>
      <c r="D47" s="12"/>
      <c r="F47" s="59"/>
      <c r="G47" s="59"/>
      <c r="H47" s="142"/>
      <c r="I47" s="143"/>
      <c r="J47" s="144"/>
      <c r="K47" s="21"/>
      <c r="P47" s="4"/>
      <c r="Q47" s="4"/>
      <c r="R47" s="5"/>
    </row>
    <row r="48" spans="1:18" ht="15" customHeight="1" x14ac:dyDescent="0.25">
      <c r="A48" s="139" t="s">
        <v>32</v>
      </c>
      <c r="B48" s="27" t="s">
        <v>65</v>
      </c>
      <c r="C48" s="10"/>
      <c r="D48" s="12">
        <f>C48*78</f>
        <v>0</v>
      </c>
      <c r="F48" s="59"/>
      <c r="G48" s="59"/>
      <c r="H48" s="142"/>
      <c r="I48" s="143"/>
      <c r="J48" s="14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0"/>
      <c r="B49" s="29" t="s">
        <v>67</v>
      </c>
      <c r="C49" s="33"/>
      <c r="D49" s="12">
        <f>C49*42</f>
        <v>0</v>
      </c>
      <c r="F49" s="145" t="s">
        <v>85</v>
      </c>
      <c r="G49" s="147">
        <f>H34+H35+H36+H37+H38+H39+H40+H41+G42+H44+H45+H46</f>
        <v>0</v>
      </c>
      <c r="H49" s="148"/>
      <c r="I49" s="148"/>
      <c r="J49" s="14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0"/>
      <c r="B50" s="32" t="s">
        <v>69</v>
      </c>
      <c r="C50" s="11"/>
      <c r="D50" s="12">
        <f>C50*1.5</f>
        <v>0</v>
      </c>
      <c r="F50" s="146"/>
      <c r="G50" s="150"/>
      <c r="H50" s="151"/>
      <c r="I50" s="151"/>
      <c r="J50" s="152"/>
      <c r="P50" s="4"/>
      <c r="Q50" s="4"/>
      <c r="R50" s="5"/>
    </row>
    <row r="51" spans="1:18" ht="15" customHeight="1" x14ac:dyDescent="0.25">
      <c r="A51" s="140"/>
      <c r="B51" s="27"/>
      <c r="C51" s="10"/>
      <c r="D51" s="31"/>
      <c r="F51" s="153" t="s">
        <v>106</v>
      </c>
      <c r="G51" s="155">
        <f>G49-H29</f>
        <v>0</v>
      </c>
      <c r="H51" s="156"/>
      <c r="I51" s="156"/>
      <c r="J51" s="15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0"/>
      <c r="B52" s="29"/>
      <c r="C52" s="33"/>
      <c r="D52" s="45"/>
      <c r="F52" s="154"/>
      <c r="G52" s="158"/>
      <c r="H52" s="159"/>
      <c r="I52" s="159"/>
      <c r="J52" s="1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5" t="s">
        <v>89</v>
      </c>
      <c r="B54" s="126"/>
      <c r="C54" s="127"/>
      <c r="D54" s="131">
        <f>SUM(D34:D53)</f>
        <v>0</v>
      </c>
      <c r="F54" s="21"/>
      <c r="J54" s="34"/>
    </row>
    <row r="55" spans="1:18" x14ac:dyDescent="0.25">
      <c r="A55" s="128"/>
      <c r="B55" s="129"/>
      <c r="C55" s="130"/>
      <c r="D55" s="13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3" t="s">
        <v>90</v>
      </c>
      <c r="B58" s="134"/>
      <c r="C58" s="134"/>
      <c r="D58" s="135"/>
      <c r="F58" s="133" t="s">
        <v>91</v>
      </c>
      <c r="G58" s="134"/>
      <c r="H58" s="134"/>
      <c r="I58" s="134"/>
      <c r="J58" s="135"/>
    </row>
    <row r="59" spans="1:18" x14ac:dyDescent="0.25">
      <c r="A59" s="136"/>
      <c r="B59" s="137"/>
      <c r="C59" s="137"/>
      <c r="D59" s="138"/>
      <c r="F59" s="136"/>
      <c r="G59" s="137"/>
      <c r="H59" s="137"/>
      <c r="I59" s="137"/>
      <c r="J59" s="13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5AFE4E-EC3F-40B3-A536-8E6672576473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1" t="s">
        <v>1</v>
      </c>
      <c r="O1" s="221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2" t="s">
        <v>7</v>
      </c>
      <c r="B4" s="173"/>
      <c r="C4" s="173"/>
      <c r="D4" s="174"/>
      <c r="F4" s="222" t="s">
        <v>8</v>
      </c>
      <c r="G4" s="224">
        <v>1</v>
      </c>
      <c r="H4" s="226" t="s">
        <v>9</v>
      </c>
      <c r="I4" s="228">
        <v>46240</v>
      </c>
      <c r="J4" s="22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6" t="s">
        <v>7</v>
      </c>
      <c r="B5" s="15" t="s">
        <v>11</v>
      </c>
      <c r="C5" s="9" t="s">
        <v>12</v>
      </c>
      <c r="D5" s="25" t="s">
        <v>13</v>
      </c>
      <c r="F5" s="223"/>
      <c r="G5" s="225"/>
      <c r="H5" s="227"/>
      <c r="I5" s="230"/>
      <c r="J5" s="23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7"/>
      <c r="B6" s="16" t="s">
        <v>15</v>
      </c>
      <c r="C6" s="10"/>
      <c r="D6" s="13">
        <f t="shared" ref="D6:D28" si="1">C6*L6</f>
        <v>0</v>
      </c>
      <c r="F6" s="232" t="s">
        <v>16</v>
      </c>
      <c r="G6" s="234" t="s">
        <v>99</v>
      </c>
      <c r="H6" s="235"/>
      <c r="I6" s="235"/>
      <c r="J6" s="2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7"/>
      <c r="B7" s="16" t="s">
        <v>18</v>
      </c>
      <c r="C7" s="10"/>
      <c r="D7" s="13">
        <f t="shared" si="1"/>
        <v>0</v>
      </c>
      <c r="F7" s="233"/>
      <c r="G7" s="237"/>
      <c r="H7" s="238"/>
      <c r="I7" s="238"/>
      <c r="J7" s="2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7"/>
      <c r="B8" s="16" t="s">
        <v>20</v>
      </c>
      <c r="C8" s="10"/>
      <c r="D8" s="13">
        <f t="shared" si="1"/>
        <v>0</v>
      </c>
      <c r="F8" s="240" t="s">
        <v>21</v>
      </c>
      <c r="G8" s="241" t="s">
        <v>115</v>
      </c>
      <c r="H8" s="242"/>
      <c r="I8" s="242"/>
      <c r="J8" s="24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7"/>
      <c r="B9" s="16" t="s">
        <v>23</v>
      </c>
      <c r="C9" s="10"/>
      <c r="D9" s="13">
        <f t="shared" si="1"/>
        <v>0</v>
      </c>
      <c r="F9" s="233"/>
      <c r="G9" s="244"/>
      <c r="H9" s="245"/>
      <c r="I9" s="245"/>
      <c r="J9" s="24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7"/>
      <c r="B10" t="s">
        <v>25</v>
      </c>
      <c r="C10" s="10"/>
      <c r="D10" s="13">
        <f t="shared" si="1"/>
        <v>0</v>
      </c>
      <c r="F10" s="232" t="s">
        <v>26</v>
      </c>
      <c r="G10" s="247" t="s">
        <v>108</v>
      </c>
      <c r="H10" s="248"/>
      <c r="I10" s="248"/>
      <c r="J10" s="249"/>
      <c r="K10" s="8"/>
      <c r="L10" s="6">
        <f>R36</f>
        <v>1032</v>
      </c>
      <c r="P10" s="4"/>
      <c r="Q10" s="4"/>
      <c r="R10" s="5"/>
    </row>
    <row r="11" spans="1:18" ht="15.75" x14ac:dyDescent="0.25">
      <c r="A11" s="167"/>
      <c r="B11" s="17" t="s">
        <v>28</v>
      </c>
      <c r="C11" s="10"/>
      <c r="D11" s="13">
        <f t="shared" si="1"/>
        <v>0</v>
      </c>
      <c r="F11" s="233"/>
      <c r="G11" s="244"/>
      <c r="H11" s="245"/>
      <c r="I11" s="245"/>
      <c r="J11" s="24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7"/>
      <c r="B12" s="17" t="s">
        <v>30</v>
      </c>
      <c r="C12" s="10"/>
      <c r="D12" s="48">
        <f t="shared" si="1"/>
        <v>0</v>
      </c>
      <c r="F12" s="250" t="s">
        <v>33</v>
      </c>
      <c r="G12" s="251"/>
      <c r="H12" s="251"/>
      <c r="I12" s="251"/>
      <c r="J12" s="25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7"/>
      <c r="B13" s="17" t="s">
        <v>32</v>
      </c>
      <c r="C13" s="10"/>
      <c r="D13" s="48">
        <f t="shared" si="1"/>
        <v>0</v>
      </c>
      <c r="F13" s="253" t="s">
        <v>36</v>
      </c>
      <c r="G13" s="217"/>
      <c r="H13" s="208">
        <f>D29</f>
        <v>0</v>
      </c>
      <c r="I13" s="209"/>
      <c r="J13" s="21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7"/>
      <c r="B14" s="14" t="s">
        <v>35</v>
      </c>
      <c r="C14" s="10"/>
      <c r="D14" s="31">
        <f t="shared" si="1"/>
        <v>0</v>
      </c>
      <c r="F14" s="211" t="s">
        <v>38</v>
      </c>
      <c r="G14" s="212"/>
      <c r="H14" s="213">
        <f>D54</f>
        <v>0</v>
      </c>
      <c r="I14" s="214"/>
      <c r="J14" s="215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7"/>
      <c r="B15" s="14" t="s">
        <v>117</v>
      </c>
      <c r="C15" s="10"/>
      <c r="D15" s="31">
        <f t="shared" si="1"/>
        <v>0</v>
      </c>
      <c r="F15" s="216" t="s">
        <v>39</v>
      </c>
      <c r="G15" s="217"/>
      <c r="H15" s="218">
        <f>H13-H14</f>
        <v>0</v>
      </c>
      <c r="I15" s="219"/>
      <c r="J15" s="22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7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8"/>
      <c r="I16" s="178"/>
      <c r="J16" s="17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7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9"/>
      <c r="I17" s="189"/>
      <c r="J17" s="18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7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9"/>
      <c r="I18" s="189"/>
      <c r="J18" s="18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7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8"/>
      <c r="I19" s="178"/>
      <c r="J19" s="17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7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8"/>
      <c r="I20" s="178"/>
      <c r="J20" s="17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7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91" t="s">
        <v>13</v>
      </c>
      <c r="I21" s="192"/>
      <c r="J21" s="19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7"/>
      <c r="B22" s="46" t="s">
        <v>103</v>
      </c>
      <c r="C22" s="10"/>
      <c r="D22" s="48">
        <f t="shared" si="1"/>
        <v>0</v>
      </c>
      <c r="F22" s="76"/>
      <c r="G22" s="72"/>
      <c r="H22" s="194"/>
      <c r="I22" s="194"/>
      <c r="J22" s="19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7"/>
      <c r="B23" s="14" t="s">
        <v>116</v>
      </c>
      <c r="C23" s="10"/>
      <c r="D23" s="48">
        <f t="shared" si="1"/>
        <v>0</v>
      </c>
      <c r="F23" s="76"/>
      <c r="G23" s="78"/>
      <c r="H23" s="259"/>
      <c r="I23" s="260"/>
      <c r="J23" s="26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7"/>
      <c r="B24" s="14" t="s">
        <v>123</v>
      </c>
      <c r="C24" s="10"/>
      <c r="D24" s="48">
        <f t="shared" si="1"/>
        <v>0</v>
      </c>
      <c r="F24" s="76"/>
      <c r="G24" s="78"/>
      <c r="H24" s="259"/>
      <c r="I24" s="260"/>
      <c r="J24" s="26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6" t="s">
        <v>13</v>
      </c>
      <c r="I25" s="197"/>
      <c r="J25" s="19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7"/>
      <c r="B26" s="14" t="s">
        <v>124</v>
      </c>
      <c r="C26" s="10"/>
      <c r="D26" s="48">
        <f t="shared" si="1"/>
        <v>0</v>
      </c>
      <c r="F26" s="74"/>
      <c r="G26" s="65"/>
      <c r="H26" s="164"/>
      <c r="I26" s="164"/>
      <c r="J26" s="16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7"/>
      <c r="B27" s="14" t="s">
        <v>125</v>
      </c>
      <c r="C27" s="10"/>
      <c r="D27" s="44">
        <f t="shared" si="1"/>
        <v>0</v>
      </c>
      <c r="F27" s="71"/>
      <c r="G27" s="105"/>
      <c r="H27" s="261"/>
      <c r="I27" s="262"/>
      <c r="J27" s="26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8"/>
      <c r="B28" s="46" t="s">
        <v>92</v>
      </c>
      <c r="C28" s="10"/>
      <c r="D28" s="48">
        <f t="shared" si="1"/>
        <v>0</v>
      </c>
      <c r="F28" s="103"/>
      <c r="G28" s="61"/>
      <c r="H28" s="205"/>
      <c r="I28" s="206"/>
      <c r="J28" s="20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9" t="s">
        <v>36</v>
      </c>
      <c r="B29" s="180"/>
      <c r="C29" s="181"/>
      <c r="D29" s="185">
        <f>SUM(D6:D28)</f>
        <v>0</v>
      </c>
      <c r="F29" s="125" t="s">
        <v>54</v>
      </c>
      <c r="G29" s="187"/>
      <c r="H29" s="147">
        <f>H15-H16-H17-H18-H19-H20-H22-H23-H24+H26+H27+H28</f>
        <v>0</v>
      </c>
      <c r="I29" s="148"/>
      <c r="J29" s="14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2"/>
      <c r="B30" s="183"/>
      <c r="C30" s="184"/>
      <c r="D30" s="186"/>
      <c r="F30" s="128"/>
      <c r="G30" s="188"/>
      <c r="H30" s="150"/>
      <c r="I30" s="151"/>
      <c r="J30" s="15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2" t="s">
        <v>57</v>
      </c>
      <c r="B32" s="173"/>
      <c r="C32" s="173"/>
      <c r="D32" s="174"/>
      <c r="F32" s="175" t="s">
        <v>58</v>
      </c>
      <c r="G32" s="176"/>
      <c r="H32" s="176"/>
      <c r="I32" s="176"/>
      <c r="J32" s="17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175" t="s">
        <v>13</v>
      </c>
      <c r="I33" s="176"/>
      <c r="J33" s="17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6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69">
        <f t="shared" ref="H34:H39" si="2">F34*G34</f>
        <v>0</v>
      </c>
      <c r="I34" s="170"/>
      <c r="J34" s="17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7"/>
      <c r="B35" s="27" t="s">
        <v>67</v>
      </c>
      <c r="C35" s="52"/>
      <c r="D35" s="30">
        <f>C35*84</f>
        <v>0</v>
      </c>
      <c r="F35" s="58">
        <v>500</v>
      </c>
      <c r="G35" s="106"/>
      <c r="H35" s="169">
        <f t="shared" si="2"/>
        <v>0</v>
      </c>
      <c r="I35" s="170"/>
      <c r="J35" s="17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8"/>
      <c r="B36" s="26" t="s">
        <v>69</v>
      </c>
      <c r="C36" s="10"/>
      <c r="D36" s="12">
        <f>C36*1.5</f>
        <v>0</v>
      </c>
      <c r="F36" s="12">
        <v>200</v>
      </c>
      <c r="G36" s="37"/>
      <c r="H36" s="169">
        <f t="shared" si="2"/>
        <v>0</v>
      </c>
      <c r="I36" s="170"/>
      <c r="J36" s="17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9">
        <f t="shared" si="2"/>
        <v>0</v>
      </c>
      <c r="I37" s="170"/>
      <c r="J37" s="17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7"/>
      <c r="B38" s="29" t="s">
        <v>67</v>
      </c>
      <c r="C38" s="54"/>
      <c r="D38" s="12">
        <f>C38*84</f>
        <v>0</v>
      </c>
      <c r="F38" s="30">
        <v>50</v>
      </c>
      <c r="G38" s="39"/>
      <c r="H38" s="169">
        <f t="shared" si="2"/>
        <v>0</v>
      </c>
      <c r="I38" s="170"/>
      <c r="J38" s="17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8"/>
      <c r="B39" s="29" t="s">
        <v>69</v>
      </c>
      <c r="C39" s="52"/>
      <c r="D39" s="31">
        <f>C39*4.5</f>
        <v>0</v>
      </c>
      <c r="F39" s="12">
        <v>20</v>
      </c>
      <c r="G39" s="37"/>
      <c r="H39" s="169">
        <f t="shared" si="2"/>
        <v>0</v>
      </c>
      <c r="I39" s="170"/>
      <c r="J39" s="17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6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257"/>
      <c r="I40" s="258"/>
      <c r="J40" s="19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7"/>
      <c r="B41" s="27" t="s">
        <v>67</v>
      </c>
      <c r="C41" s="10"/>
      <c r="D41" s="12">
        <f>C41*84</f>
        <v>0</v>
      </c>
      <c r="F41" s="12">
        <v>5</v>
      </c>
      <c r="G41" s="107"/>
      <c r="H41" s="169"/>
      <c r="I41" s="170"/>
      <c r="J41" s="17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8"/>
      <c r="B42" s="27" t="s">
        <v>69</v>
      </c>
      <c r="C42" s="11"/>
      <c r="D42" s="12">
        <f>C42*2.25</f>
        <v>0</v>
      </c>
      <c r="F42" s="39" t="s">
        <v>78</v>
      </c>
      <c r="G42" s="169"/>
      <c r="H42" s="170"/>
      <c r="I42" s="170"/>
      <c r="J42" s="17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9" t="s">
        <v>80</v>
      </c>
      <c r="C43" s="11"/>
      <c r="D43" s="12"/>
      <c r="F43" s="59" t="s">
        <v>81</v>
      </c>
      <c r="G43" s="105" t="s">
        <v>82</v>
      </c>
      <c r="H43" s="161" t="s">
        <v>13</v>
      </c>
      <c r="I43" s="162"/>
      <c r="J43" s="16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0"/>
      <c r="B44" s="27" t="s">
        <v>65</v>
      </c>
      <c r="C44" s="10"/>
      <c r="D44" s="12">
        <f>C44*120</f>
        <v>0</v>
      </c>
      <c r="F44" s="37"/>
      <c r="G44" s="87"/>
      <c r="H44" s="164"/>
      <c r="I44" s="164"/>
      <c r="J44" s="16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0"/>
      <c r="B45" s="27" t="s">
        <v>67</v>
      </c>
      <c r="C45" s="33"/>
      <c r="D45" s="12">
        <f>C45*84</f>
        <v>0</v>
      </c>
      <c r="F45" s="37"/>
      <c r="G45" s="87"/>
      <c r="H45" s="164"/>
      <c r="I45" s="164"/>
      <c r="J45" s="164"/>
      <c r="K45" s="21"/>
      <c r="P45" s="4"/>
      <c r="Q45" s="4"/>
      <c r="R45" s="5"/>
    </row>
    <row r="46" spans="1:18" ht="15.75" x14ac:dyDescent="0.25">
      <c r="A46" s="140"/>
      <c r="B46" s="49" t="s">
        <v>69</v>
      </c>
      <c r="C46" s="80"/>
      <c r="D46" s="12">
        <f>C46*1.5</f>
        <v>0</v>
      </c>
      <c r="F46" s="37"/>
      <c r="G46" s="62"/>
      <c r="H46" s="164"/>
      <c r="I46" s="164"/>
      <c r="J46" s="164"/>
      <c r="K46" s="21"/>
      <c r="P46" s="4"/>
      <c r="Q46" s="4"/>
      <c r="R46" s="5"/>
    </row>
    <row r="47" spans="1:18" ht="15.75" x14ac:dyDescent="0.25">
      <c r="A47" s="141"/>
      <c r="B47" s="27"/>
      <c r="C47" s="11"/>
      <c r="D47" s="12"/>
      <c r="F47" s="59"/>
      <c r="G47" s="59"/>
      <c r="H47" s="254"/>
      <c r="I47" s="255"/>
      <c r="J47" s="256"/>
      <c r="K47" s="21"/>
      <c r="P47" s="4"/>
      <c r="Q47" s="4"/>
      <c r="R47" s="5"/>
    </row>
    <row r="48" spans="1:18" ht="15" customHeight="1" x14ac:dyDescent="0.25">
      <c r="A48" s="139" t="s">
        <v>32</v>
      </c>
      <c r="B48" s="27" t="s">
        <v>65</v>
      </c>
      <c r="C48" s="10"/>
      <c r="D48" s="12">
        <f>C48*78</f>
        <v>0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0"/>
      <c r="B49" s="29" t="s">
        <v>67</v>
      </c>
      <c r="C49" s="33"/>
      <c r="D49" s="12">
        <f>C49*42</f>
        <v>0</v>
      </c>
      <c r="F49" s="145" t="s">
        <v>85</v>
      </c>
      <c r="G49" s="147">
        <f>H34+H35+H36+H37+H38+H39+H40+H41+G42+H44+H45+H46+H47+H48</f>
        <v>0</v>
      </c>
      <c r="H49" s="148"/>
      <c r="I49" s="148"/>
      <c r="J49" s="14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0"/>
      <c r="B50" s="32" t="s">
        <v>69</v>
      </c>
      <c r="C50" s="11"/>
      <c r="D50" s="12">
        <f>C50*1.5</f>
        <v>0</v>
      </c>
      <c r="F50" s="146"/>
      <c r="G50" s="150"/>
      <c r="H50" s="151"/>
      <c r="I50" s="151"/>
      <c r="J50" s="152"/>
      <c r="O50" t="s">
        <v>112</v>
      </c>
      <c r="P50" s="4">
        <v>1204</v>
      </c>
      <c r="Q50" s="4"/>
      <c r="R50" s="5"/>
    </row>
    <row r="51" spans="1:18" ht="15" customHeight="1" x14ac:dyDescent="0.25">
      <c r="A51" s="140"/>
      <c r="B51" s="27"/>
      <c r="C51" s="10"/>
      <c r="D51" s="31"/>
      <c r="F51" s="153" t="str">
        <f>_xlfn.IFS(H29&gt;G49,"SHORT",H29&lt;G49,"OVER",H29&lt;=G49,"-")</f>
        <v>-</v>
      </c>
      <c r="G51" s="155">
        <f>G49-H29</f>
        <v>0</v>
      </c>
      <c r="H51" s="156"/>
      <c r="I51" s="156"/>
      <c r="J51" s="1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0"/>
      <c r="B52" s="29"/>
      <c r="C52" s="33"/>
      <c r="D52" s="45"/>
      <c r="F52" s="154"/>
      <c r="G52" s="158"/>
      <c r="H52" s="159"/>
      <c r="I52" s="159"/>
      <c r="J52" s="1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5" t="s">
        <v>89</v>
      </c>
      <c r="B54" s="126"/>
      <c r="C54" s="127"/>
      <c r="D54" s="13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8"/>
      <c r="B55" s="129"/>
      <c r="C55" s="130"/>
      <c r="D55" s="13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33" t="s">
        <v>90</v>
      </c>
      <c r="B58" s="134"/>
      <c r="C58" s="134"/>
      <c r="D58" s="135"/>
      <c r="F58" s="133" t="s">
        <v>91</v>
      </c>
      <c r="G58" s="134"/>
      <c r="H58" s="134"/>
      <c r="I58" s="134"/>
      <c r="J58" s="135"/>
    </row>
    <row r="59" spans="1:18" x14ac:dyDescent="0.25">
      <c r="A59" s="136"/>
      <c r="B59" s="137"/>
      <c r="C59" s="137"/>
      <c r="D59" s="138"/>
      <c r="F59" s="136"/>
      <c r="G59" s="137"/>
      <c r="H59" s="137"/>
      <c r="I59" s="137"/>
      <c r="J59" s="138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125" priority="1" operator="containsText" text="OVER">
      <formula>NOT(ISERROR(SEARCH("OVER",F51)))</formula>
    </cfRule>
    <cfRule type="containsText" dxfId="124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32AB964F-ABC7-4816-8BEE-0B81B5C3F71D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EAD49F-F93E-4166-9427-89DFDDBF0232}">
  <dimension ref="A1:R59"/>
  <sheetViews>
    <sheetView zoomScaleNormal="100" zoomScaleSheetLayoutView="85" workbookViewId="0">
      <selection activeCell="F23" sqref="F2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20.42578125" bestFit="1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1" t="s">
        <v>1</v>
      </c>
      <c r="O1" s="221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2" t="s">
        <v>7</v>
      </c>
      <c r="B4" s="173"/>
      <c r="C4" s="173"/>
      <c r="D4" s="174"/>
      <c r="F4" s="222" t="s">
        <v>8</v>
      </c>
      <c r="G4" s="224">
        <v>2</v>
      </c>
      <c r="H4" s="226" t="s">
        <v>9</v>
      </c>
      <c r="I4" s="228">
        <v>46240</v>
      </c>
      <c r="J4" s="22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6" t="s">
        <v>7</v>
      </c>
      <c r="B5" s="15" t="s">
        <v>11</v>
      </c>
      <c r="C5" s="9" t="s">
        <v>12</v>
      </c>
      <c r="D5" s="25" t="s">
        <v>13</v>
      </c>
      <c r="F5" s="223"/>
      <c r="G5" s="225"/>
      <c r="H5" s="227"/>
      <c r="I5" s="230"/>
      <c r="J5" s="23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7"/>
      <c r="B6" s="16" t="s">
        <v>15</v>
      </c>
      <c r="C6" s="10">
        <v>385</v>
      </c>
      <c r="D6" s="13">
        <f t="shared" ref="D6:D28" si="1">C6*L6</f>
        <v>292985</v>
      </c>
      <c r="F6" s="232" t="s">
        <v>16</v>
      </c>
      <c r="G6" s="234" t="s">
        <v>107</v>
      </c>
      <c r="H6" s="235"/>
      <c r="I6" s="235"/>
      <c r="J6" s="2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7"/>
      <c r="B7" s="16" t="s">
        <v>18</v>
      </c>
      <c r="C7" s="10">
        <v>12</v>
      </c>
      <c r="D7" s="13">
        <f t="shared" si="1"/>
        <v>9372</v>
      </c>
      <c r="F7" s="233"/>
      <c r="G7" s="237"/>
      <c r="H7" s="238"/>
      <c r="I7" s="238"/>
      <c r="J7" s="2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7"/>
      <c r="B8" s="16" t="s">
        <v>20</v>
      </c>
      <c r="C8" s="10">
        <v>67</v>
      </c>
      <c r="D8" s="13">
        <f t="shared" si="1"/>
        <v>73231</v>
      </c>
      <c r="F8" s="240" t="s">
        <v>21</v>
      </c>
      <c r="G8" s="241" t="s">
        <v>109</v>
      </c>
      <c r="H8" s="242"/>
      <c r="I8" s="242"/>
      <c r="J8" s="24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7"/>
      <c r="B9" s="16" t="s">
        <v>23</v>
      </c>
      <c r="C9" s="10">
        <v>28</v>
      </c>
      <c r="D9" s="13">
        <f t="shared" si="1"/>
        <v>20524</v>
      </c>
      <c r="F9" s="233"/>
      <c r="G9" s="244"/>
      <c r="H9" s="245"/>
      <c r="I9" s="245"/>
      <c r="J9" s="24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7"/>
      <c r="B10" t="s">
        <v>25</v>
      </c>
      <c r="C10" s="10">
        <v>3</v>
      </c>
      <c r="D10" s="13">
        <f t="shared" si="1"/>
        <v>3096</v>
      </c>
      <c r="F10" s="232" t="s">
        <v>26</v>
      </c>
      <c r="G10" s="247" t="s">
        <v>119</v>
      </c>
      <c r="H10" s="248"/>
      <c r="I10" s="248"/>
      <c r="J10" s="249"/>
      <c r="K10" s="8"/>
      <c r="L10" s="6">
        <f>R36</f>
        <v>1032</v>
      </c>
      <c r="P10" s="4"/>
      <c r="Q10" s="4"/>
      <c r="R10" s="5"/>
    </row>
    <row r="11" spans="1:18" ht="15.75" x14ac:dyDescent="0.25">
      <c r="A11" s="167"/>
      <c r="B11" s="17" t="s">
        <v>28</v>
      </c>
      <c r="C11" s="10"/>
      <c r="D11" s="13">
        <f t="shared" si="1"/>
        <v>0</v>
      </c>
      <c r="F11" s="233"/>
      <c r="G11" s="244"/>
      <c r="H11" s="245"/>
      <c r="I11" s="245"/>
      <c r="J11" s="24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7"/>
      <c r="B12" s="17" t="s">
        <v>30</v>
      </c>
      <c r="C12" s="10"/>
      <c r="D12" s="48">
        <f t="shared" si="1"/>
        <v>0</v>
      </c>
      <c r="F12" s="250" t="s">
        <v>33</v>
      </c>
      <c r="G12" s="251"/>
      <c r="H12" s="251"/>
      <c r="I12" s="251"/>
      <c r="J12" s="25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7"/>
      <c r="B13" s="17" t="s">
        <v>32</v>
      </c>
      <c r="C13" s="10">
        <v>11</v>
      </c>
      <c r="D13" s="48">
        <f t="shared" si="1"/>
        <v>3377</v>
      </c>
      <c r="F13" s="253" t="s">
        <v>36</v>
      </c>
      <c r="G13" s="217"/>
      <c r="H13" s="208">
        <f>D29</f>
        <v>402717.5</v>
      </c>
      <c r="I13" s="209"/>
      <c r="J13" s="21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7"/>
      <c r="B14" s="14" t="s">
        <v>35</v>
      </c>
      <c r="C14" s="10">
        <v>12</v>
      </c>
      <c r="D14" s="31">
        <f t="shared" si="1"/>
        <v>132.5</v>
      </c>
      <c r="F14" s="211" t="s">
        <v>38</v>
      </c>
      <c r="G14" s="212"/>
      <c r="H14" s="213">
        <f>D54</f>
        <v>60681</v>
      </c>
      <c r="I14" s="214"/>
      <c r="J14" s="215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7"/>
      <c r="B15" s="14" t="s">
        <v>117</v>
      </c>
      <c r="C15" s="10"/>
      <c r="D15" s="31">
        <f t="shared" si="1"/>
        <v>0</v>
      </c>
      <c r="F15" s="216" t="s">
        <v>39</v>
      </c>
      <c r="G15" s="217"/>
      <c r="H15" s="218">
        <f>H13-H14</f>
        <v>342036.5</v>
      </c>
      <c r="I15" s="219"/>
      <c r="J15" s="22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7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8">
        <v>2178</v>
      </c>
      <c r="I16" s="178"/>
      <c r="J16" s="17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7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9"/>
      <c r="I17" s="189"/>
      <c r="J17" s="18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7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9"/>
      <c r="I18" s="189"/>
      <c r="J18" s="18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7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3">
        <v>50</v>
      </c>
      <c r="I19" s="263"/>
      <c r="J19" s="26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7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8"/>
      <c r="I20" s="178"/>
      <c r="J20" s="17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7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91" t="s">
        <v>13</v>
      </c>
      <c r="I21" s="192"/>
      <c r="J21" s="193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7"/>
      <c r="B22" s="46" t="s">
        <v>103</v>
      </c>
      <c r="C22" s="10"/>
      <c r="D22" s="48">
        <f t="shared" si="1"/>
        <v>0</v>
      </c>
      <c r="F22" s="76" t="s">
        <v>132</v>
      </c>
      <c r="G22" s="72">
        <v>11720</v>
      </c>
      <c r="H22" s="194">
        <v>67927</v>
      </c>
      <c r="I22" s="194"/>
      <c r="J22" s="19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7"/>
      <c r="B23" s="14" t="s">
        <v>116</v>
      </c>
      <c r="C23" s="10"/>
      <c r="D23" s="48">
        <f t="shared" si="1"/>
        <v>0</v>
      </c>
      <c r="F23" s="77" t="s">
        <v>170</v>
      </c>
      <c r="G23" s="78">
        <v>11718</v>
      </c>
      <c r="H23" s="264">
        <v>4550</v>
      </c>
      <c r="I23" s="194"/>
      <c r="J23" s="19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7"/>
      <c r="B24" s="14" t="s">
        <v>123</v>
      </c>
      <c r="C24" s="10"/>
      <c r="D24" s="48">
        <f t="shared" si="1"/>
        <v>0</v>
      </c>
      <c r="F24" s="38"/>
      <c r="G24" s="37"/>
      <c r="H24" s="195"/>
      <c r="I24" s="164"/>
      <c r="J24" s="16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6" t="s">
        <v>13</v>
      </c>
      <c r="I25" s="197"/>
      <c r="J25" s="19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7"/>
      <c r="B26" s="14" t="s">
        <v>124</v>
      </c>
      <c r="C26" s="10"/>
      <c r="D26" s="48">
        <f t="shared" si="1"/>
        <v>0</v>
      </c>
      <c r="F26" s="64"/>
      <c r="G26" s="59"/>
      <c r="H26" s="199"/>
      <c r="I26" s="200"/>
      <c r="J26" s="20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7"/>
      <c r="B27" s="14" t="s">
        <v>125</v>
      </c>
      <c r="C27" s="10"/>
      <c r="D27" s="44">
        <f t="shared" si="1"/>
        <v>0</v>
      </c>
      <c r="F27" s="25"/>
      <c r="G27" s="79"/>
      <c r="H27" s="202"/>
      <c r="I27" s="203"/>
      <c r="J27" s="20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8"/>
      <c r="B28" s="46" t="s">
        <v>92</v>
      </c>
      <c r="C28" s="10"/>
      <c r="D28" s="48">
        <f t="shared" si="1"/>
        <v>0</v>
      </c>
      <c r="F28" s="103"/>
      <c r="G28" s="61"/>
      <c r="H28" s="205"/>
      <c r="I28" s="206"/>
      <c r="J28" s="20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9" t="s">
        <v>36</v>
      </c>
      <c r="B29" s="180"/>
      <c r="C29" s="181"/>
      <c r="D29" s="185">
        <f>SUM(D6:D28)</f>
        <v>402717.5</v>
      </c>
      <c r="F29" s="125" t="s">
        <v>54</v>
      </c>
      <c r="G29" s="187"/>
      <c r="H29" s="147">
        <f>H15-H16-H17-H18-H19-H20-H22-H23-H24+H26+H27</f>
        <v>267331.5</v>
      </c>
      <c r="I29" s="148"/>
      <c r="J29" s="14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2"/>
      <c r="B30" s="183"/>
      <c r="C30" s="184"/>
      <c r="D30" s="186"/>
      <c r="F30" s="128"/>
      <c r="G30" s="188"/>
      <c r="H30" s="150"/>
      <c r="I30" s="151"/>
      <c r="J30" s="15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2" t="s">
        <v>57</v>
      </c>
      <c r="B32" s="173"/>
      <c r="C32" s="173"/>
      <c r="D32" s="174"/>
      <c r="F32" s="175" t="s">
        <v>58</v>
      </c>
      <c r="G32" s="176"/>
      <c r="H32" s="176"/>
      <c r="I32" s="176"/>
      <c r="J32" s="17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175" t="s">
        <v>13</v>
      </c>
      <c r="I33" s="176"/>
      <c r="J33" s="17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6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73">
        <v>66</v>
      </c>
      <c r="H34" s="169">
        <f>F34*G34</f>
        <v>66000</v>
      </c>
      <c r="I34" s="170"/>
      <c r="J34" s="17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7"/>
      <c r="B35" s="27" t="s">
        <v>67</v>
      </c>
      <c r="C35" s="52"/>
      <c r="D35" s="30">
        <f>C35*84</f>
        <v>0</v>
      </c>
      <c r="F35" s="58">
        <v>500</v>
      </c>
      <c r="G35" s="106">
        <v>57</v>
      </c>
      <c r="H35" s="169">
        <f>F35*G35</f>
        <v>28500</v>
      </c>
      <c r="I35" s="170"/>
      <c r="J35" s="17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8"/>
      <c r="B36" s="26" t="s">
        <v>69</v>
      </c>
      <c r="C36" s="10"/>
      <c r="D36" s="12">
        <f>C36*1.5</f>
        <v>0</v>
      </c>
      <c r="F36" s="12">
        <v>200</v>
      </c>
      <c r="G36" s="37"/>
      <c r="H36" s="169">
        <f t="shared" ref="H36:H39" si="2">F36*G36</f>
        <v>0</v>
      </c>
      <c r="I36" s="170"/>
      <c r="J36" s="17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6" t="s">
        <v>71</v>
      </c>
      <c r="B37" s="28" t="s">
        <v>65</v>
      </c>
      <c r="C37" s="53">
        <v>457</v>
      </c>
      <c r="D37" s="12">
        <f>C37*111</f>
        <v>50727</v>
      </c>
      <c r="F37" s="12">
        <v>100</v>
      </c>
      <c r="G37" s="39">
        <v>65</v>
      </c>
      <c r="H37" s="169">
        <f t="shared" si="2"/>
        <v>6500</v>
      </c>
      <c r="I37" s="170"/>
      <c r="J37" s="17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7"/>
      <c r="B38" s="29" t="s">
        <v>67</v>
      </c>
      <c r="C38" s="54"/>
      <c r="D38" s="12">
        <f>C38*84</f>
        <v>0</v>
      </c>
      <c r="F38" s="30">
        <v>50</v>
      </c>
      <c r="G38" s="39">
        <v>36</v>
      </c>
      <c r="H38" s="169">
        <f t="shared" si="2"/>
        <v>1800</v>
      </c>
      <c r="I38" s="170"/>
      <c r="J38" s="17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8"/>
      <c r="B39" s="29" t="s">
        <v>69</v>
      </c>
      <c r="C39" s="52"/>
      <c r="D39" s="31">
        <f>C39*4.5</f>
        <v>0</v>
      </c>
      <c r="F39" s="12">
        <v>20</v>
      </c>
      <c r="G39" s="37"/>
      <c r="H39" s="169">
        <f t="shared" si="2"/>
        <v>0</v>
      </c>
      <c r="I39" s="170"/>
      <c r="J39" s="17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6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107"/>
      <c r="H40" s="169"/>
      <c r="I40" s="170"/>
      <c r="J40" s="17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7"/>
      <c r="B41" s="27" t="s">
        <v>67</v>
      </c>
      <c r="C41" s="10"/>
      <c r="D41" s="12">
        <f>C41*84</f>
        <v>0</v>
      </c>
      <c r="F41" s="12">
        <v>5</v>
      </c>
      <c r="G41" s="107"/>
      <c r="H41" s="169"/>
      <c r="I41" s="170"/>
      <c r="J41" s="17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8"/>
      <c r="B42" s="27" t="s">
        <v>69</v>
      </c>
      <c r="C42" s="11"/>
      <c r="D42" s="12">
        <f>C42*2.25</f>
        <v>0</v>
      </c>
      <c r="F42" s="39" t="s">
        <v>78</v>
      </c>
      <c r="G42" s="169">
        <v>20</v>
      </c>
      <c r="H42" s="170"/>
      <c r="I42" s="170"/>
      <c r="J42" s="17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9" t="s">
        <v>80</v>
      </c>
      <c r="C43" s="11"/>
      <c r="D43" s="12"/>
      <c r="F43" s="59" t="s">
        <v>81</v>
      </c>
      <c r="G43" s="105" t="s">
        <v>82</v>
      </c>
      <c r="H43" s="161" t="s">
        <v>13</v>
      </c>
      <c r="I43" s="162"/>
      <c r="J43" s="16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0"/>
      <c r="B44" s="27" t="s">
        <v>65</v>
      </c>
      <c r="C44" s="10">
        <v>67</v>
      </c>
      <c r="D44" s="12">
        <f>C44*120</f>
        <v>8040</v>
      </c>
      <c r="F44" s="37" t="s">
        <v>136</v>
      </c>
      <c r="G44" s="62" t="s">
        <v>151</v>
      </c>
      <c r="H44" s="164">
        <v>74658</v>
      </c>
      <c r="I44" s="164"/>
      <c r="J44" s="16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0"/>
      <c r="B45" s="27" t="s">
        <v>67</v>
      </c>
      <c r="C45" s="33"/>
      <c r="D45" s="12">
        <f>C45*84</f>
        <v>0</v>
      </c>
      <c r="F45" s="37" t="s">
        <v>136</v>
      </c>
      <c r="G45" s="62" t="s">
        <v>152</v>
      </c>
      <c r="H45" s="164">
        <v>90788</v>
      </c>
      <c r="I45" s="164"/>
      <c r="J45" s="164"/>
      <c r="K45" s="21"/>
      <c r="P45" s="4"/>
      <c r="Q45" s="4"/>
      <c r="R45" s="5"/>
    </row>
    <row r="46" spans="1:18" ht="15.75" x14ac:dyDescent="0.25">
      <c r="A46" s="140"/>
      <c r="B46" s="49" t="s">
        <v>69</v>
      </c>
      <c r="C46" s="80"/>
      <c r="D46" s="12">
        <f>C46*1.5</f>
        <v>0</v>
      </c>
      <c r="F46" s="37"/>
      <c r="G46" s="62"/>
      <c r="H46" s="164"/>
      <c r="I46" s="164"/>
      <c r="J46" s="164"/>
      <c r="K46" s="21"/>
      <c r="P46" s="4"/>
      <c r="Q46" s="4"/>
      <c r="R46" s="5"/>
    </row>
    <row r="47" spans="1:18" ht="15.75" x14ac:dyDescent="0.25">
      <c r="A47" s="141"/>
      <c r="B47" s="27"/>
      <c r="C47" s="11"/>
      <c r="D47" s="12"/>
      <c r="F47" s="59"/>
      <c r="G47" s="59"/>
      <c r="H47" s="164"/>
      <c r="I47" s="164"/>
      <c r="J47" s="164"/>
      <c r="K47" s="21"/>
      <c r="P47" s="4"/>
      <c r="Q47" s="4"/>
      <c r="R47" s="5"/>
    </row>
    <row r="48" spans="1:18" ht="15" customHeight="1" x14ac:dyDescent="0.25">
      <c r="A48" s="139" t="s">
        <v>32</v>
      </c>
      <c r="B48" s="27" t="s">
        <v>65</v>
      </c>
      <c r="C48" s="10">
        <v>11</v>
      </c>
      <c r="D48" s="12">
        <f>C48*78</f>
        <v>858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0"/>
      <c r="B49" s="29" t="s">
        <v>67</v>
      </c>
      <c r="C49" s="33">
        <v>6</v>
      </c>
      <c r="D49" s="12">
        <f>C49*42</f>
        <v>252</v>
      </c>
      <c r="F49" s="145" t="s">
        <v>85</v>
      </c>
      <c r="G49" s="147">
        <f>H34+H35+H36+H37+H38+H39+H40+H41+G42+H44+H45+H46+H47+H48</f>
        <v>268266</v>
      </c>
      <c r="H49" s="148"/>
      <c r="I49" s="148"/>
      <c r="J49" s="14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0"/>
      <c r="B50" s="32" t="s">
        <v>69</v>
      </c>
      <c r="C50" s="80"/>
      <c r="D50" s="12">
        <f>C50*1.5</f>
        <v>0</v>
      </c>
      <c r="F50" s="146"/>
      <c r="G50" s="150"/>
      <c r="H50" s="151"/>
      <c r="I50" s="151"/>
      <c r="J50" s="152"/>
      <c r="O50" t="s">
        <v>112</v>
      </c>
      <c r="P50" s="4">
        <v>1204</v>
      </c>
      <c r="Q50" s="4"/>
      <c r="R50" s="5"/>
    </row>
    <row r="51" spans="1:18" ht="15" customHeight="1" x14ac:dyDescent="0.25">
      <c r="A51" s="140"/>
      <c r="B51" s="27"/>
      <c r="C51" s="10"/>
      <c r="D51" s="31"/>
      <c r="F51" s="153" t="str">
        <f>_xlfn.IFS(H29&gt;G49,"SHORT",H29&lt;G49,"OVER",H29&lt;=G49,"-")</f>
        <v>OVER</v>
      </c>
      <c r="G51" s="155">
        <f>G49-H29</f>
        <v>934.5</v>
      </c>
      <c r="H51" s="156"/>
      <c r="I51" s="156"/>
      <c r="J51" s="1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140"/>
      <c r="B52" s="29"/>
      <c r="C52" s="33"/>
      <c r="D52" s="45"/>
      <c r="F52" s="154"/>
      <c r="G52" s="158"/>
      <c r="H52" s="159"/>
      <c r="I52" s="159"/>
      <c r="J52" s="1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5" t="s">
        <v>89</v>
      </c>
      <c r="B54" s="126"/>
      <c r="C54" s="127"/>
      <c r="D54" s="131">
        <f>SUM(D34:D53)</f>
        <v>60681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8"/>
      <c r="B55" s="129"/>
      <c r="C55" s="130"/>
      <c r="D55" s="13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133" t="s">
        <v>90</v>
      </c>
      <c r="B58" s="134"/>
      <c r="C58" s="134"/>
      <c r="D58" s="135"/>
      <c r="F58" s="133" t="s">
        <v>91</v>
      </c>
      <c r="G58" s="134"/>
      <c r="H58" s="134"/>
      <c r="I58" s="134"/>
      <c r="J58" s="135"/>
    </row>
    <row r="59" spans="1:18" x14ac:dyDescent="0.25">
      <c r="A59" s="136"/>
      <c r="B59" s="137"/>
      <c r="C59" s="137"/>
      <c r="D59" s="138"/>
      <c r="F59" s="136"/>
      <c r="G59" s="137"/>
      <c r="H59" s="137"/>
      <c r="I59" s="137"/>
      <c r="J59" s="13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122" priority="1" operator="containsText" text="OVER">
      <formula>NOT(ISERROR(SEARCH("OVER",F51)))</formula>
    </cfRule>
    <cfRule type="containsText" dxfId="121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5FCC0775-670B-42A8-AC16-CB7D72103A75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143B5F-9A1E-4D24-85E9-09D869C6880C}">
  <dimension ref="A1:R59"/>
  <sheetViews>
    <sheetView zoomScaleNormal="100" zoomScaleSheetLayoutView="85" workbookViewId="0">
      <selection activeCell="F22" sqref="F2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23.85546875" bestFit="1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1" t="s">
        <v>1</v>
      </c>
      <c r="O1" s="221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2" t="s">
        <v>7</v>
      </c>
      <c r="B4" s="173"/>
      <c r="C4" s="173"/>
      <c r="D4" s="174"/>
      <c r="F4" s="222" t="s">
        <v>8</v>
      </c>
      <c r="G4" s="224">
        <v>3</v>
      </c>
      <c r="H4" s="226" t="s">
        <v>9</v>
      </c>
      <c r="I4" s="228">
        <v>46240</v>
      </c>
      <c r="J4" s="22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6" t="s">
        <v>7</v>
      </c>
      <c r="B5" s="15" t="s">
        <v>11</v>
      </c>
      <c r="C5" s="9" t="s">
        <v>12</v>
      </c>
      <c r="D5" s="25" t="s">
        <v>13</v>
      </c>
      <c r="F5" s="223"/>
      <c r="G5" s="225"/>
      <c r="H5" s="227"/>
      <c r="I5" s="230"/>
      <c r="J5" s="23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7"/>
      <c r="B6" s="16" t="s">
        <v>15</v>
      </c>
      <c r="C6" s="10">
        <v>367</v>
      </c>
      <c r="D6" s="13">
        <f t="shared" ref="D6:D28" si="1">C6*L6</f>
        <v>279287</v>
      </c>
      <c r="F6" s="232" t="s">
        <v>16</v>
      </c>
      <c r="G6" s="234" t="s">
        <v>142</v>
      </c>
      <c r="H6" s="235"/>
      <c r="I6" s="235"/>
      <c r="J6" s="2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7"/>
      <c r="B7" s="16" t="s">
        <v>18</v>
      </c>
      <c r="C7" s="10">
        <v>12</v>
      </c>
      <c r="D7" s="13">
        <f t="shared" si="1"/>
        <v>9372</v>
      </c>
      <c r="F7" s="233"/>
      <c r="G7" s="237"/>
      <c r="H7" s="238"/>
      <c r="I7" s="238"/>
      <c r="J7" s="2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7"/>
      <c r="B8" s="16" t="s">
        <v>20</v>
      </c>
      <c r="C8" s="10">
        <v>20</v>
      </c>
      <c r="D8" s="13">
        <f t="shared" si="1"/>
        <v>21860</v>
      </c>
      <c r="F8" s="240" t="s">
        <v>21</v>
      </c>
      <c r="G8" s="241" t="s">
        <v>100</v>
      </c>
      <c r="H8" s="242"/>
      <c r="I8" s="242"/>
      <c r="J8" s="24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7"/>
      <c r="B9" s="16" t="s">
        <v>23</v>
      </c>
      <c r="C9" s="10"/>
      <c r="D9" s="13">
        <f t="shared" si="1"/>
        <v>0</v>
      </c>
      <c r="F9" s="233"/>
      <c r="G9" s="244"/>
      <c r="H9" s="245"/>
      <c r="I9" s="245"/>
      <c r="J9" s="24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7"/>
      <c r="B10" t="s">
        <v>25</v>
      </c>
      <c r="C10" s="10">
        <v>3</v>
      </c>
      <c r="D10" s="13">
        <f t="shared" si="1"/>
        <v>3096</v>
      </c>
      <c r="F10" s="232" t="s">
        <v>26</v>
      </c>
      <c r="G10" s="247" t="s">
        <v>101</v>
      </c>
      <c r="H10" s="248"/>
      <c r="I10" s="248"/>
      <c r="J10" s="249"/>
      <c r="K10" s="8"/>
      <c r="L10" s="6">
        <f>R36</f>
        <v>1032</v>
      </c>
      <c r="P10" s="4"/>
      <c r="Q10" s="4"/>
      <c r="R10" s="5"/>
    </row>
    <row r="11" spans="1:18" ht="15.75" x14ac:dyDescent="0.25">
      <c r="A11" s="167"/>
      <c r="B11" s="17" t="s">
        <v>28</v>
      </c>
      <c r="C11" s="10"/>
      <c r="D11" s="13">
        <f t="shared" si="1"/>
        <v>0</v>
      </c>
      <c r="F11" s="233"/>
      <c r="G11" s="244"/>
      <c r="H11" s="245"/>
      <c r="I11" s="245"/>
      <c r="J11" s="24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7"/>
      <c r="B12" s="17" t="s">
        <v>30</v>
      </c>
      <c r="C12" s="10">
        <v>1</v>
      </c>
      <c r="D12" s="48">
        <f t="shared" si="1"/>
        <v>992</v>
      </c>
      <c r="F12" s="250" t="s">
        <v>33</v>
      </c>
      <c r="G12" s="251"/>
      <c r="H12" s="251"/>
      <c r="I12" s="251"/>
      <c r="J12" s="25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7"/>
      <c r="B13" s="17" t="s">
        <v>32</v>
      </c>
      <c r="C13" s="10">
        <v>11</v>
      </c>
      <c r="D13" s="48">
        <f t="shared" si="1"/>
        <v>3377</v>
      </c>
      <c r="F13" s="253" t="s">
        <v>36</v>
      </c>
      <c r="G13" s="217"/>
      <c r="H13" s="208">
        <f>D29</f>
        <v>318659.20833333331</v>
      </c>
      <c r="I13" s="209"/>
      <c r="J13" s="21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7"/>
      <c r="B14" s="14" t="s">
        <v>35</v>
      </c>
      <c r="C14" s="10">
        <v>5</v>
      </c>
      <c r="D14" s="31">
        <f t="shared" si="1"/>
        <v>55.208333333333329</v>
      </c>
      <c r="F14" s="211" t="s">
        <v>38</v>
      </c>
      <c r="G14" s="212"/>
      <c r="H14" s="213">
        <f>D54</f>
        <v>45737.25</v>
      </c>
      <c r="I14" s="214"/>
      <c r="J14" s="215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7"/>
      <c r="B15" s="14" t="s">
        <v>117</v>
      </c>
      <c r="C15" s="10">
        <v>1</v>
      </c>
      <c r="D15" s="31">
        <f t="shared" si="1"/>
        <v>620</v>
      </c>
      <c r="F15" s="216" t="s">
        <v>39</v>
      </c>
      <c r="G15" s="217"/>
      <c r="H15" s="218">
        <f>H13-H14</f>
        <v>272921.95833333331</v>
      </c>
      <c r="I15" s="219"/>
      <c r="J15" s="22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7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8">
        <v>1896</v>
      </c>
      <c r="I16" s="178"/>
      <c r="J16" s="17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7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9"/>
      <c r="I17" s="189"/>
      <c r="J17" s="18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7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9"/>
      <c r="I18" s="189"/>
      <c r="J18" s="18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7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3"/>
      <c r="I19" s="263"/>
      <c r="J19" s="26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7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8"/>
      <c r="I20" s="178"/>
      <c r="J20" s="17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7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191" t="s">
        <v>13</v>
      </c>
      <c r="I21" s="192"/>
      <c r="J21" s="19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7"/>
      <c r="B22" s="46" t="s">
        <v>103</v>
      </c>
      <c r="C22" s="10"/>
      <c r="D22" s="48">
        <f t="shared" si="1"/>
        <v>0</v>
      </c>
      <c r="F22" s="115" t="s">
        <v>171</v>
      </c>
      <c r="G22" s="72">
        <v>11764</v>
      </c>
      <c r="H22" s="194">
        <v>3250</v>
      </c>
      <c r="I22" s="194"/>
      <c r="J22" s="19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7"/>
      <c r="B23" s="14" t="s">
        <v>116</v>
      </c>
      <c r="C23" s="10"/>
      <c r="D23" s="48">
        <f t="shared" si="1"/>
        <v>0</v>
      </c>
      <c r="F23" s="77"/>
      <c r="G23" s="78"/>
      <c r="H23" s="264"/>
      <c r="I23" s="194"/>
      <c r="J23" s="19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7"/>
      <c r="B24" s="14" t="s">
        <v>123</v>
      </c>
      <c r="C24" s="10"/>
      <c r="D24" s="48">
        <f t="shared" si="1"/>
        <v>0</v>
      </c>
      <c r="F24" s="38"/>
      <c r="G24" s="37"/>
      <c r="H24" s="195"/>
      <c r="I24" s="164"/>
      <c r="J24" s="16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6" t="s">
        <v>13</v>
      </c>
      <c r="I25" s="197"/>
      <c r="J25" s="19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7"/>
      <c r="B26" s="14" t="s">
        <v>124</v>
      </c>
      <c r="C26" s="10"/>
      <c r="D26" s="48">
        <f t="shared" si="1"/>
        <v>0</v>
      </c>
      <c r="F26" s="64"/>
      <c r="G26" s="59"/>
      <c r="H26" s="199"/>
      <c r="I26" s="200"/>
      <c r="J26" s="20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7"/>
      <c r="B27" s="14" t="s">
        <v>125</v>
      </c>
      <c r="C27" s="10"/>
      <c r="D27" s="44">
        <f t="shared" si="1"/>
        <v>0</v>
      </c>
      <c r="F27" s="25"/>
      <c r="G27" s="79"/>
      <c r="H27" s="202"/>
      <c r="I27" s="203"/>
      <c r="J27" s="20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8"/>
      <c r="B28" s="46" t="s">
        <v>92</v>
      </c>
      <c r="C28" s="10"/>
      <c r="D28" s="48">
        <f t="shared" si="1"/>
        <v>0</v>
      </c>
      <c r="F28" s="103"/>
      <c r="G28" s="61"/>
      <c r="H28" s="205"/>
      <c r="I28" s="206"/>
      <c r="J28" s="20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9" t="s">
        <v>36</v>
      </c>
      <c r="B29" s="180"/>
      <c r="C29" s="181"/>
      <c r="D29" s="185">
        <f>SUM(D6:D28)</f>
        <v>318659.20833333331</v>
      </c>
      <c r="F29" s="125" t="s">
        <v>54</v>
      </c>
      <c r="G29" s="187"/>
      <c r="H29" s="147">
        <f>H15-H16-H17-H18-H19-H20-H22-H23-H24+H26+H27</f>
        <v>267775.95833333331</v>
      </c>
      <c r="I29" s="148"/>
      <c r="J29" s="14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2"/>
      <c r="B30" s="183"/>
      <c r="C30" s="184"/>
      <c r="D30" s="186"/>
      <c r="F30" s="128"/>
      <c r="G30" s="188"/>
      <c r="H30" s="150"/>
      <c r="I30" s="151"/>
      <c r="J30" s="15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2" t="s">
        <v>57</v>
      </c>
      <c r="B32" s="173"/>
      <c r="C32" s="173"/>
      <c r="D32" s="174"/>
      <c r="F32" s="175" t="s">
        <v>58</v>
      </c>
      <c r="G32" s="176"/>
      <c r="H32" s="176"/>
      <c r="I32" s="176"/>
      <c r="J32" s="17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175" t="s">
        <v>13</v>
      </c>
      <c r="I33" s="176"/>
      <c r="J33" s="17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6" t="s">
        <v>64</v>
      </c>
      <c r="B34" s="26" t="s">
        <v>65</v>
      </c>
      <c r="C34" s="51">
        <v>5</v>
      </c>
      <c r="D34" s="30">
        <f>C34*120</f>
        <v>600</v>
      </c>
      <c r="F34" s="12">
        <v>1000</v>
      </c>
      <c r="G34" s="73">
        <v>63</v>
      </c>
      <c r="H34" s="169">
        <f>F34*G34</f>
        <v>63000</v>
      </c>
      <c r="I34" s="170"/>
      <c r="J34" s="17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7"/>
      <c r="B35" s="27" t="s">
        <v>67</v>
      </c>
      <c r="C35" s="52"/>
      <c r="D35" s="30">
        <f>C35*84</f>
        <v>0</v>
      </c>
      <c r="F35" s="58">
        <v>500</v>
      </c>
      <c r="G35" s="106">
        <v>58</v>
      </c>
      <c r="H35" s="169">
        <f>F35*G35</f>
        <v>29000</v>
      </c>
      <c r="I35" s="170"/>
      <c r="J35" s="17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8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169">
        <f t="shared" ref="H36:H39" si="2">F36*G36</f>
        <v>200</v>
      </c>
      <c r="I36" s="170"/>
      <c r="J36" s="17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6" t="s">
        <v>71</v>
      </c>
      <c r="B37" s="28" t="s">
        <v>65</v>
      </c>
      <c r="C37" s="53">
        <v>378</v>
      </c>
      <c r="D37" s="12">
        <f>C37*111</f>
        <v>41958</v>
      </c>
      <c r="F37" s="12">
        <v>100</v>
      </c>
      <c r="G37" s="39">
        <v>13</v>
      </c>
      <c r="H37" s="169">
        <f t="shared" si="2"/>
        <v>1300</v>
      </c>
      <c r="I37" s="170"/>
      <c r="J37" s="17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7"/>
      <c r="B38" s="29" t="s">
        <v>67</v>
      </c>
      <c r="C38" s="54">
        <v>6</v>
      </c>
      <c r="D38" s="12">
        <f>C38*84</f>
        <v>504</v>
      </c>
      <c r="F38" s="30">
        <v>50</v>
      </c>
      <c r="G38" s="39">
        <v>3</v>
      </c>
      <c r="H38" s="169">
        <f t="shared" si="2"/>
        <v>150</v>
      </c>
      <c r="I38" s="170"/>
      <c r="J38" s="17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8"/>
      <c r="B39" s="29" t="s">
        <v>69</v>
      </c>
      <c r="C39" s="52"/>
      <c r="D39" s="31">
        <f>C39*4.5</f>
        <v>0</v>
      </c>
      <c r="F39" s="12">
        <v>20</v>
      </c>
      <c r="G39" s="37"/>
      <c r="H39" s="169">
        <f t="shared" si="2"/>
        <v>0</v>
      </c>
      <c r="I39" s="170"/>
      <c r="J39" s="17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6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169"/>
      <c r="I40" s="170"/>
      <c r="J40" s="17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7"/>
      <c r="B41" s="27" t="s">
        <v>67</v>
      </c>
      <c r="C41" s="10">
        <v>1</v>
      </c>
      <c r="D41" s="12">
        <f>C41*84</f>
        <v>84</v>
      </c>
      <c r="F41" s="12">
        <v>5</v>
      </c>
      <c r="G41" s="107"/>
      <c r="H41" s="169"/>
      <c r="I41" s="170"/>
      <c r="J41" s="17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8"/>
      <c r="B42" s="27" t="s">
        <v>69</v>
      </c>
      <c r="C42" s="11">
        <v>9</v>
      </c>
      <c r="D42" s="12">
        <f>C42*2.25</f>
        <v>20.25</v>
      </c>
      <c r="F42" s="39" t="s">
        <v>78</v>
      </c>
      <c r="G42" s="169">
        <v>75</v>
      </c>
      <c r="H42" s="170"/>
      <c r="I42" s="170"/>
      <c r="J42" s="17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9" t="s">
        <v>80</v>
      </c>
      <c r="C43" s="11"/>
      <c r="D43" s="12"/>
      <c r="F43" s="59" t="s">
        <v>81</v>
      </c>
      <c r="G43" s="105" t="s">
        <v>82</v>
      </c>
      <c r="H43" s="161" t="s">
        <v>13</v>
      </c>
      <c r="I43" s="162"/>
      <c r="J43" s="16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0"/>
      <c r="B44" s="27" t="s">
        <v>65</v>
      </c>
      <c r="C44" s="10">
        <v>13</v>
      </c>
      <c r="D44" s="12">
        <f>C44*120</f>
        <v>1560</v>
      </c>
      <c r="F44" s="37" t="s">
        <v>133</v>
      </c>
      <c r="G44" s="87" t="s">
        <v>153</v>
      </c>
      <c r="H44" s="164">
        <v>140936</v>
      </c>
      <c r="I44" s="164"/>
      <c r="J44" s="16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0"/>
      <c r="B45" s="27" t="s">
        <v>67</v>
      </c>
      <c r="C45" s="33">
        <v>7</v>
      </c>
      <c r="D45" s="12">
        <f>C45*84</f>
        <v>588</v>
      </c>
      <c r="F45" s="37" t="s">
        <v>133</v>
      </c>
      <c r="G45" s="87" t="s">
        <v>154</v>
      </c>
      <c r="H45" s="164">
        <v>32838</v>
      </c>
      <c r="I45" s="164"/>
      <c r="J45" s="164"/>
      <c r="K45" s="21"/>
      <c r="P45" s="4"/>
      <c r="Q45" s="4"/>
      <c r="R45" s="5"/>
    </row>
    <row r="46" spans="1:18" ht="15.75" x14ac:dyDescent="0.25">
      <c r="A46" s="140"/>
      <c r="B46" s="49" t="s">
        <v>69</v>
      </c>
      <c r="C46" s="80">
        <v>2</v>
      </c>
      <c r="D46" s="12">
        <f>C46*1.5</f>
        <v>3</v>
      </c>
      <c r="F46" s="37"/>
      <c r="G46" s="75"/>
      <c r="H46" s="164"/>
      <c r="I46" s="164"/>
      <c r="J46" s="164"/>
      <c r="K46" s="21"/>
      <c r="P46" s="4"/>
      <c r="Q46" s="4"/>
      <c r="R46" s="5"/>
    </row>
    <row r="47" spans="1:18" ht="15.75" x14ac:dyDescent="0.25">
      <c r="A47" s="141"/>
      <c r="B47" s="27"/>
      <c r="C47" s="11"/>
      <c r="D47" s="12"/>
      <c r="F47" s="37"/>
      <c r="G47" s="75"/>
      <c r="H47" s="164"/>
      <c r="I47" s="164"/>
      <c r="J47" s="164"/>
      <c r="K47" s="21"/>
      <c r="P47" s="4"/>
      <c r="Q47" s="4"/>
      <c r="R47" s="5"/>
    </row>
    <row r="48" spans="1:18" ht="15" customHeight="1" x14ac:dyDescent="0.25">
      <c r="A48" s="139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0"/>
      <c r="B49" s="29" t="s">
        <v>67</v>
      </c>
      <c r="C49" s="33">
        <v>6</v>
      </c>
      <c r="D49" s="12">
        <f>C49*42</f>
        <v>252</v>
      </c>
      <c r="F49" s="145" t="s">
        <v>85</v>
      </c>
      <c r="G49" s="147">
        <f>H34+H35+H36+H37+H38+H39+H40+H41+G42+H44+H45+H46+H47+H48</f>
        <v>267499</v>
      </c>
      <c r="H49" s="148"/>
      <c r="I49" s="148"/>
      <c r="J49" s="14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0"/>
      <c r="B50" s="32" t="s">
        <v>69</v>
      </c>
      <c r="C50" s="11">
        <v>8</v>
      </c>
      <c r="D50" s="12">
        <f>C50*1.5</f>
        <v>12</v>
      </c>
      <c r="F50" s="146"/>
      <c r="G50" s="150"/>
      <c r="H50" s="151"/>
      <c r="I50" s="151"/>
      <c r="J50" s="152"/>
      <c r="O50" t="s">
        <v>112</v>
      </c>
      <c r="P50" s="4">
        <v>1204</v>
      </c>
      <c r="Q50" s="4"/>
      <c r="R50" s="5"/>
    </row>
    <row r="51" spans="1:18" ht="15" customHeight="1" x14ac:dyDescent="0.25">
      <c r="A51" s="140"/>
      <c r="B51" s="27"/>
      <c r="C51" s="10"/>
      <c r="D51" s="31"/>
      <c r="F51" s="153" t="str">
        <f>_xlfn.IFS(H29&gt;G49,"SHORT",H29&lt;G49,"OVER",H29&lt;=G49,"-")</f>
        <v>SHORT</v>
      </c>
      <c r="G51" s="155">
        <f>G49-H29</f>
        <v>-276.95833333331393</v>
      </c>
      <c r="H51" s="156"/>
      <c r="I51" s="156"/>
      <c r="J51" s="1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140"/>
      <c r="B52" s="29"/>
      <c r="C52" s="33"/>
      <c r="D52" s="45"/>
      <c r="F52" s="154"/>
      <c r="G52" s="158"/>
      <c r="H52" s="159"/>
      <c r="I52" s="159"/>
      <c r="J52" s="1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5" t="s">
        <v>89</v>
      </c>
      <c r="B54" s="126"/>
      <c r="C54" s="127"/>
      <c r="D54" s="131">
        <f>SUM(D34:D53)</f>
        <v>45737.25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8"/>
      <c r="B55" s="129"/>
      <c r="C55" s="130"/>
      <c r="D55" s="13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33" t="s">
        <v>90</v>
      </c>
      <c r="B58" s="134"/>
      <c r="C58" s="134"/>
      <c r="D58" s="135"/>
      <c r="F58" s="133" t="s">
        <v>91</v>
      </c>
      <c r="G58" s="134"/>
      <c r="H58" s="134"/>
      <c r="I58" s="134"/>
      <c r="J58" s="135"/>
    </row>
    <row r="59" spans="1:18" x14ac:dyDescent="0.25">
      <c r="A59" s="136"/>
      <c r="B59" s="137"/>
      <c r="C59" s="137"/>
      <c r="D59" s="138"/>
      <c r="F59" s="136"/>
      <c r="G59" s="137"/>
      <c r="H59" s="137"/>
      <c r="I59" s="137"/>
      <c r="J59" s="13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119" priority="1" operator="containsText" text="OVER">
      <formula>NOT(ISERROR(SEARCH("OVER",F51)))</formula>
    </cfRule>
    <cfRule type="containsText" dxfId="118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DB820B3F-845E-462E-82D4-131475B7FF07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1F6AD9-1EDB-49A0-90E4-E69CF83482E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1" t="s">
        <v>1</v>
      </c>
      <c r="O1" s="221"/>
      <c r="P1" s="102" t="s">
        <v>2</v>
      </c>
      <c r="Q1" s="10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2" t="s">
        <v>7</v>
      </c>
      <c r="B4" s="173"/>
      <c r="C4" s="173"/>
      <c r="D4" s="174"/>
      <c r="F4" s="222" t="s">
        <v>8</v>
      </c>
      <c r="G4" s="224"/>
      <c r="H4" s="226" t="s">
        <v>9</v>
      </c>
      <c r="I4" s="228"/>
      <c r="J4" s="22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6" t="s">
        <v>7</v>
      </c>
      <c r="B5" s="15" t="s">
        <v>11</v>
      </c>
      <c r="C5" s="9" t="s">
        <v>12</v>
      </c>
      <c r="D5" s="25" t="s">
        <v>13</v>
      </c>
      <c r="F5" s="223"/>
      <c r="G5" s="225"/>
      <c r="H5" s="227"/>
      <c r="I5" s="230"/>
      <c r="J5" s="23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7"/>
      <c r="B6" s="16"/>
      <c r="C6" s="10"/>
      <c r="D6" s="13">
        <f t="shared" ref="D6:D28" si="1">C6*L6</f>
        <v>0</v>
      </c>
      <c r="F6" s="232" t="s">
        <v>16</v>
      </c>
      <c r="G6" s="234"/>
      <c r="H6" s="235"/>
      <c r="I6" s="235"/>
      <c r="J6" s="23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7"/>
      <c r="B7" s="16"/>
      <c r="C7" s="10"/>
      <c r="D7" s="13">
        <f t="shared" si="1"/>
        <v>0</v>
      </c>
      <c r="F7" s="233"/>
      <c r="G7" s="237"/>
      <c r="H7" s="238"/>
      <c r="I7" s="238"/>
      <c r="J7" s="23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7"/>
      <c r="B8" s="16"/>
      <c r="C8" s="10"/>
      <c r="D8" s="13">
        <f t="shared" si="1"/>
        <v>0</v>
      </c>
      <c r="F8" s="240" t="s">
        <v>21</v>
      </c>
      <c r="G8" s="241"/>
      <c r="H8" s="242"/>
      <c r="I8" s="242"/>
      <c r="J8" s="24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7"/>
      <c r="B9" s="16"/>
      <c r="C9" s="10"/>
      <c r="D9" s="13">
        <f t="shared" si="1"/>
        <v>0</v>
      </c>
      <c r="F9" s="233"/>
      <c r="G9" s="244"/>
      <c r="H9" s="245"/>
      <c r="I9" s="245"/>
      <c r="J9" s="24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7"/>
      <c r="C10" s="10"/>
      <c r="D10" s="13">
        <f t="shared" si="1"/>
        <v>0</v>
      </c>
      <c r="F10" s="232" t="s">
        <v>26</v>
      </c>
      <c r="G10" s="247"/>
      <c r="H10" s="248"/>
      <c r="I10" s="248"/>
      <c r="J10" s="249"/>
      <c r="K10" s="8"/>
      <c r="L10" s="6">
        <f>R36</f>
        <v>972</v>
      </c>
      <c r="P10" s="4"/>
      <c r="Q10" s="4"/>
      <c r="R10" s="5"/>
    </row>
    <row r="11" spans="1:19" ht="15.75" x14ac:dyDescent="0.25">
      <c r="A11" s="167"/>
      <c r="B11" s="17"/>
      <c r="C11" s="10"/>
      <c r="D11" s="13">
        <f t="shared" si="1"/>
        <v>0</v>
      </c>
      <c r="F11" s="233"/>
      <c r="G11" s="244"/>
      <c r="H11" s="245"/>
      <c r="I11" s="245"/>
      <c r="J11" s="24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7"/>
      <c r="B12" s="17"/>
      <c r="C12" s="10"/>
      <c r="D12" s="48">
        <f t="shared" si="1"/>
        <v>0</v>
      </c>
      <c r="F12" s="250" t="s">
        <v>33</v>
      </c>
      <c r="G12" s="251"/>
      <c r="H12" s="251"/>
      <c r="I12" s="251"/>
      <c r="J12" s="25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7"/>
      <c r="B13" s="17"/>
      <c r="C13" s="10"/>
      <c r="D13" s="48">
        <f t="shared" si="1"/>
        <v>0</v>
      </c>
      <c r="F13" s="253" t="s">
        <v>36</v>
      </c>
      <c r="G13" s="217"/>
      <c r="H13" s="208">
        <f>D29</f>
        <v>0</v>
      </c>
      <c r="I13" s="209"/>
      <c r="J13" s="21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7"/>
      <c r="B14" s="14"/>
      <c r="C14" s="10"/>
      <c r="D14" s="31">
        <f t="shared" si="1"/>
        <v>0</v>
      </c>
      <c r="F14" s="211" t="s">
        <v>38</v>
      </c>
      <c r="G14" s="212"/>
      <c r="H14" s="213">
        <f>D54</f>
        <v>0</v>
      </c>
      <c r="I14" s="214"/>
      <c r="J14" s="21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7"/>
      <c r="B15" s="14"/>
      <c r="C15" s="10"/>
      <c r="D15" s="31">
        <f t="shared" si="1"/>
        <v>0</v>
      </c>
      <c r="F15" s="216" t="s">
        <v>39</v>
      </c>
      <c r="G15" s="217"/>
      <c r="H15" s="218">
        <f>H13-H14</f>
        <v>0</v>
      </c>
      <c r="I15" s="219"/>
      <c r="J15" s="22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8"/>
      <c r="I16" s="178"/>
      <c r="J16" s="17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7"/>
      <c r="C17" s="10"/>
      <c r="D17" s="48">
        <f t="shared" si="1"/>
        <v>0</v>
      </c>
      <c r="F17" s="56"/>
      <c r="G17" s="66" t="s">
        <v>44</v>
      </c>
      <c r="H17" s="189"/>
      <c r="I17" s="189"/>
      <c r="J17" s="18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7"/>
      <c r="B18" s="19"/>
      <c r="C18" s="10"/>
      <c r="D18" s="48">
        <f t="shared" si="1"/>
        <v>0</v>
      </c>
      <c r="F18" s="56"/>
      <c r="G18" s="66" t="s">
        <v>46</v>
      </c>
      <c r="H18" s="189"/>
      <c r="I18" s="189"/>
      <c r="J18" s="18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7"/>
      <c r="B19" s="14"/>
      <c r="C19" s="10"/>
      <c r="D19" s="48">
        <f t="shared" si="1"/>
        <v>0</v>
      </c>
      <c r="F19" s="56"/>
      <c r="G19" s="68" t="s">
        <v>49</v>
      </c>
      <c r="H19" s="190"/>
      <c r="I19" s="190"/>
      <c r="J19" s="19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7"/>
      <c r="B20" s="46"/>
      <c r="C20" s="10"/>
      <c r="D20" s="13">
        <f t="shared" si="1"/>
        <v>0</v>
      </c>
      <c r="F20" s="57"/>
      <c r="G20" s="70" t="s">
        <v>102</v>
      </c>
      <c r="H20" s="178"/>
      <c r="I20" s="178"/>
      <c r="J20" s="17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7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91" t="s">
        <v>13</v>
      </c>
      <c r="I21" s="192"/>
      <c r="J21" s="193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7"/>
      <c r="B22" s="46"/>
      <c r="C22" s="10"/>
      <c r="D22" s="48">
        <f t="shared" si="1"/>
        <v>0</v>
      </c>
      <c r="F22" s="76"/>
      <c r="G22" s="72"/>
      <c r="H22" s="194"/>
      <c r="I22" s="194"/>
      <c r="J22" s="194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7"/>
      <c r="B23" s="14"/>
      <c r="C23" s="10"/>
      <c r="D23" s="48">
        <f t="shared" si="1"/>
        <v>0</v>
      </c>
      <c r="F23" s="77"/>
      <c r="G23" s="78"/>
      <c r="H23" s="195"/>
      <c r="I23" s="164"/>
      <c r="J23" s="16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7"/>
      <c r="B24" s="14"/>
      <c r="C24" s="10"/>
      <c r="D24" s="48">
        <f t="shared" si="1"/>
        <v>0</v>
      </c>
      <c r="F24" s="38"/>
      <c r="G24" s="37"/>
      <c r="H24" s="195"/>
      <c r="I24" s="164"/>
      <c r="J24" s="16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6" t="s">
        <v>13</v>
      </c>
      <c r="I25" s="197"/>
      <c r="J25" s="19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7"/>
      <c r="B26" s="14"/>
      <c r="C26" s="10"/>
      <c r="D26" s="48">
        <f t="shared" si="1"/>
        <v>0</v>
      </c>
      <c r="F26" s="64"/>
      <c r="G26" s="59"/>
      <c r="H26" s="199"/>
      <c r="I26" s="200"/>
      <c r="J26" s="20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7"/>
      <c r="B27" s="14"/>
      <c r="C27" s="10"/>
      <c r="D27" s="44">
        <f t="shared" si="1"/>
        <v>0</v>
      </c>
      <c r="F27" s="25"/>
      <c r="G27" s="79"/>
      <c r="H27" s="202"/>
      <c r="I27" s="203"/>
      <c r="J27" s="20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8"/>
      <c r="B28" s="46"/>
      <c r="C28" s="10"/>
      <c r="D28" s="48">
        <f t="shared" si="1"/>
        <v>0</v>
      </c>
      <c r="F28" s="103"/>
      <c r="G28" s="61"/>
      <c r="H28" s="205"/>
      <c r="I28" s="206"/>
      <c r="J28" s="20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9" t="s">
        <v>36</v>
      </c>
      <c r="B29" s="180"/>
      <c r="C29" s="181"/>
      <c r="D29" s="185">
        <f>SUM(D6:D28)</f>
        <v>0</v>
      </c>
      <c r="F29" s="125" t="s">
        <v>54</v>
      </c>
      <c r="G29" s="187"/>
      <c r="H29" s="147">
        <f>H15-H16-H17-H18-H19-H20-H22-H23-H24+H26+H27</f>
        <v>0</v>
      </c>
      <c r="I29" s="148"/>
      <c r="J29" s="14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2"/>
      <c r="B30" s="183"/>
      <c r="C30" s="184"/>
      <c r="D30" s="186"/>
      <c r="F30" s="128"/>
      <c r="G30" s="188"/>
      <c r="H30" s="150"/>
      <c r="I30" s="151"/>
      <c r="J30" s="15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2" t="s">
        <v>57</v>
      </c>
      <c r="B32" s="173"/>
      <c r="C32" s="173"/>
      <c r="D32" s="174"/>
      <c r="F32" s="175" t="s">
        <v>58</v>
      </c>
      <c r="G32" s="176"/>
      <c r="H32" s="176"/>
      <c r="I32" s="176"/>
      <c r="J32" s="17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175" t="s">
        <v>13</v>
      </c>
      <c r="I33" s="176"/>
      <c r="J33" s="17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6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69"/>
      <c r="I34" s="170"/>
      <c r="J34" s="17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7"/>
      <c r="B35" s="27" t="s">
        <v>67</v>
      </c>
      <c r="C35" s="52"/>
      <c r="D35" s="30">
        <f>C35*84</f>
        <v>0</v>
      </c>
      <c r="F35" s="58">
        <v>500</v>
      </c>
      <c r="G35" s="106"/>
      <c r="H35" s="169"/>
      <c r="I35" s="170"/>
      <c r="J35" s="17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8"/>
      <c r="B36" s="26" t="s">
        <v>69</v>
      </c>
      <c r="C36" s="10"/>
      <c r="D36" s="12">
        <f>C36*1.5</f>
        <v>0</v>
      </c>
      <c r="F36" s="12">
        <v>200</v>
      </c>
      <c r="G36" s="37"/>
      <c r="H36" s="169"/>
      <c r="I36" s="170"/>
      <c r="J36" s="17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9"/>
      <c r="I37" s="170"/>
      <c r="J37" s="17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7"/>
      <c r="B38" s="29" t="s">
        <v>67</v>
      </c>
      <c r="C38" s="54"/>
      <c r="D38" s="12">
        <f>C38*84</f>
        <v>0</v>
      </c>
      <c r="F38" s="30">
        <v>50</v>
      </c>
      <c r="G38" s="39"/>
      <c r="H38" s="169"/>
      <c r="I38" s="170"/>
      <c r="J38" s="17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8"/>
      <c r="B39" s="29" t="s">
        <v>69</v>
      </c>
      <c r="C39" s="52"/>
      <c r="D39" s="31">
        <f>C39*4.5</f>
        <v>0</v>
      </c>
      <c r="F39" s="12">
        <v>20</v>
      </c>
      <c r="G39" s="37"/>
      <c r="H39" s="169"/>
      <c r="I39" s="170"/>
      <c r="J39" s="17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6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169"/>
      <c r="I40" s="170"/>
      <c r="J40" s="17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7"/>
      <c r="B41" s="27" t="s">
        <v>67</v>
      </c>
      <c r="C41" s="10"/>
      <c r="D41" s="12">
        <f>C41*84</f>
        <v>0</v>
      </c>
      <c r="F41" s="12">
        <v>5</v>
      </c>
      <c r="G41" s="107"/>
      <c r="H41" s="169"/>
      <c r="I41" s="170"/>
      <c r="J41" s="17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8"/>
      <c r="B42" s="27" t="s">
        <v>69</v>
      </c>
      <c r="C42" s="11"/>
      <c r="D42" s="12">
        <f>C42*2.25</f>
        <v>0</v>
      </c>
      <c r="F42" s="39" t="s">
        <v>78</v>
      </c>
      <c r="G42" s="169"/>
      <c r="H42" s="170"/>
      <c r="I42" s="170"/>
      <c r="J42" s="17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9" t="s">
        <v>80</v>
      </c>
      <c r="C43" s="11"/>
      <c r="D43" s="12"/>
      <c r="F43" s="59" t="s">
        <v>81</v>
      </c>
      <c r="G43" s="105" t="s">
        <v>82</v>
      </c>
      <c r="H43" s="161" t="s">
        <v>13</v>
      </c>
      <c r="I43" s="162"/>
      <c r="J43" s="163"/>
      <c r="K43" s="21"/>
      <c r="P43" s="4"/>
      <c r="Q43" s="4"/>
      <c r="R43" s="5"/>
    </row>
    <row r="44" spans="1:18" ht="15.75" x14ac:dyDescent="0.25">
      <c r="A44" s="140"/>
      <c r="B44" s="27" t="s">
        <v>65</v>
      </c>
      <c r="C44" s="10"/>
      <c r="D44" s="12">
        <f>C44*120</f>
        <v>0</v>
      </c>
      <c r="F44" s="37"/>
      <c r="G44" s="75"/>
      <c r="H44" s="164"/>
      <c r="I44" s="164"/>
      <c r="J44" s="164"/>
      <c r="K44" s="21"/>
      <c r="P44" s="4"/>
      <c r="Q44" s="4"/>
      <c r="R44" s="5"/>
    </row>
    <row r="45" spans="1:18" ht="15.75" x14ac:dyDescent="0.25">
      <c r="A45" s="140"/>
      <c r="B45" s="27" t="s">
        <v>67</v>
      </c>
      <c r="C45" s="33"/>
      <c r="D45" s="12">
        <f>C45*84</f>
        <v>0</v>
      </c>
      <c r="F45" s="37"/>
      <c r="G45" s="75"/>
      <c r="H45" s="164"/>
      <c r="I45" s="164"/>
      <c r="J45" s="164"/>
      <c r="K45" s="21"/>
      <c r="P45" s="4"/>
      <c r="Q45" s="4"/>
      <c r="R45" s="5"/>
    </row>
    <row r="46" spans="1:18" ht="15.75" x14ac:dyDescent="0.25">
      <c r="A46" s="140"/>
      <c r="B46" s="49" t="s">
        <v>69</v>
      </c>
      <c r="C46" s="80"/>
      <c r="D46" s="12">
        <f>C46*1.5</f>
        <v>0</v>
      </c>
      <c r="F46" s="37"/>
      <c r="G46" s="62"/>
      <c r="H46" s="165"/>
      <c r="I46" s="165"/>
      <c r="J46" s="165"/>
      <c r="K46" s="21"/>
      <c r="P46" s="4"/>
      <c r="Q46" s="4"/>
      <c r="R46" s="5"/>
    </row>
    <row r="47" spans="1:18" ht="15.75" x14ac:dyDescent="0.25">
      <c r="A47" s="141"/>
      <c r="B47" s="27"/>
      <c r="C47" s="11"/>
      <c r="D47" s="12"/>
      <c r="F47" s="59"/>
      <c r="G47" s="59"/>
      <c r="H47" s="142"/>
      <c r="I47" s="143"/>
      <c r="J47" s="144"/>
      <c r="K47" s="21"/>
      <c r="P47" s="4"/>
      <c r="Q47" s="4"/>
      <c r="R47" s="5"/>
    </row>
    <row r="48" spans="1:18" ht="15" customHeight="1" x14ac:dyDescent="0.25">
      <c r="A48" s="139" t="s">
        <v>32</v>
      </c>
      <c r="B48" s="27" t="s">
        <v>65</v>
      </c>
      <c r="C48" s="10"/>
      <c r="D48" s="12">
        <f>C48*78</f>
        <v>0</v>
      </c>
      <c r="F48" s="59"/>
      <c r="G48" s="59"/>
      <c r="H48" s="142"/>
      <c r="I48" s="143"/>
      <c r="J48" s="14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0"/>
      <c r="B49" s="29" t="s">
        <v>67</v>
      </c>
      <c r="C49" s="33"/>
      <c r="D49" s="12">
        <f>C49*42</f>
        <v>0</v>
      </c>
      <c r="F49" s="145" t="s">
        <v>85</v>
      </c>
      <c r="G49" s="147">
        <f>H34+H35+H36+H37+H38+H39+H40+H41+G42+H44+H45+H46</f>
        <v>0</v>
      </c>
      <c r="H49" s="148"/>
      <c r="I49" s="148"/>
      <c r="J49" s="14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0"/>
      <c r="B50" s="32" t="s">
        <v>69</v>
      </c>
      <c r="C50" s="11"/>
      <c r="D50" s="12">
        <f>C50*1.5</f>
        <v>0</v>
      </c>
      <c r="F50" s="146"/>
      <c r="G50" s="150"/>
      <c r="H50" s="151"/>
      <c r="I50" s="151"/>
      <c r="J50" s="152"/>
      <c r="P50" s="4"/>
      <c r="Q50" s="4"/>
      <c r="R50" s="5"/>
    </row>
    <row r="51" spans="1:18" ht="15" customHeight="1" x14ac:dyDescent="0.25">
      <c r="A51" s="140"/>
      <c r="B51" s="27"/>
      <c r="C51" s="10"/>
      <c r="D51" s="31"/>
      <c r="F51" s="153" t="s">
        <v>106</v>
      </c>
      <c r="G51" s="155">
        <f>G49-H29</f>
        <v>0</v>
      </c>
      <c r="H51" s="156"/>
      <c r="I51" s="156"/>
      <c r="J51" s="15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0"/>
      <c r="B52" s="29"/>
      <c r="C52" s="33"/>
      <c r="D52" s="45"/>
      <c r="F52" s="154"/>
      <c r="G52" s="158"/>
      <c r="H52" s="159"/>
      <c r="I52" s="159"/>
      <c r="J52" s="1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5" t="s">
        <v>89</v>
      </c>
      <c r="B54" s="126"/>
      <c r="C54" s="127"/>
      <c r="D54" s="131">
        <f>SUM(D34:D53)</f>
        <v>0</v>
      </c>
      <c r="F54" s="21"/>
      <c r="J54" s="34"/>
    </row>
    <row r="55" spans="1:18" x14ac:dyDescent="0.25">
      <c r="A55" s="128"/>
      <c r="B55" s="129"/>
      <c r="C55" s="130"/>
      <c r="D55" s="13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3" t="s">
        <v>90</v>
      </c>
      <c r="B58" s="134"/>
      <c r="C58" s="134"/>
      <c r="D58" s="135"/>
      <c r="F58" s="133" t="s">
        <v>91</v>
      </c>
      <c r="G58" s="134"/>
      <c r="H58" s="134"/>
      <c r="I58" s="134"/>
      <c r="J58" s="135"/>
    </row>
    <row r="59" spans="1:18" x14ac:dyDescent="0.25">
      <c r="A59" s="136"/>
      <c r="B59" s="137"/>
      <c r="C59" s="137"/>
      <c r="D59" s="138"/>
      <c r="F59" s="136"/>
      <c r="G59" s="137"/>
      <c r="H59" s="137"/>
      <c r="I59" s="137"/>
      <c r="J59" s="13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27EA21-BEEB-46EC-8B95-1C84FFAF7DF1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1" t="s">
        <v>1</v>
      </c>
      <c r="O1" s="221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2" t="s">
        <v>7</v>
      </c>
      <c r="B4" s="173"/>
      <c r="C4" s="173"/>
      <c r="D4" s="174"/>
      <c r="F4" s="222" t="s">
        <v>8</v>
      </c>
      <c r="G4" s="224">
        <v>1</v>
      </c>
      <c r="H4" s="226" t="s">
        <v>9</v>
      </c>
      <c r="I4" s="228">
        <v>46241</v>
      </c>
      <c r="J4" s="22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6" t="s">
        <v>7</v>
      </c>
      <c r="B5" s="15" t="s">
        <v>11</v>
      </c>
      <c r="C5" s="9" t="s">
        <v>12</v>
      </c>
      <c r="D5" s="25" t="s">
        <v>13</v>
      </c>
      <c r="F5" s="223"/>
      <c r="G5" s="225"/>
      <c r="H5" s="227"/>
      <c r="I5" s="230"/>
      <c r="J5" s="23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7"/>
      <c r="B6" s="16" t="s">
        <v>15</v>
      </c>
      <c r="C6" s="10">
        <v>482</v>
      </c>
      <c r="D6" s="13">
        <f t="shared" ref="D6:D28" si="1">C6*L6</f>
        <v>366802</v>
      </c>
      <c r="F6" s="232" t="s">
        <v>16</v>
      </c>
      <c r="G6" s="234" t="s">
        <v>99</v>
      </c>
      <c r="H6" s="235"/>
      <c r="I6" s="235"/>
      <c r="J6" s="2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7"/>
      <c r="B7" s="16" t="s">
        <v>18</v>
      </c>
      <c r="C7" s="10">
        <v>15</v>
      </c>
      <c r="D7" s="13">
        <f t="shared" si="1"/>
        <v>11715</v>
      </c>
      <c r="F7" s="233"/>
      <c r="G7" s="237"/>
      <c r="H7" s="238"/>
      <c r="I7" s="238"/>
      <c r="J7" s="2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7"/>
      <c r="B8" s="16" t="s">
        <v>20</v>
      </c>
      <c r="C8" s="10"/>
      <c r="D8" s="13">
        <f t="shared" si="1"/>
        <v>0</v>
      </c>
      <c r="F8" s="240" t="s">
        <v>21</v>
      </c>
      <c r="G8" s="241" t="s">
        <v>115</v>
      </c>
      <c r="H8" s="242"/>
      <c r="I8" s="242"/>
      <c r="J8" s="24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7"/>
      <c r="B9" s="16" t="s">
        <v>23</v>
      </c>
      <c r="C9" s="10">
        <v>37</v>
      </c>
      <c r="D9" s="13">
        <f t="shared" si="1"/>
        <v>27121</v>
      </c>
      <c r="F9" s="233"/>
      <c r="G9" s="244"/>
      <c r="H9" s="245"/>
      <c r="I9" s="245"/>
      <c r="J9" s="24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7"/>
      <c r="B10" t="s">
        <v>25</v>
      </c>
      <c r="C10" s="10">
        <v>2</v>
      </c>
      <c r="D10" s="13">
        <f t="shared" si="1"/>
        <v>2064</v>
      </c>
      <c r="F10" s="232" t="s">
        <v>26</v>
      </c>
      <c r="G10" s="247" t="s">
        <v>108</v>
      </c>
      <c r="H10" s="248"/>
      <c r="I10" s="248"/>
      <c r="J10" s="249"/>
      <c r="K10" s="8"/>
      <c r="L10" s="6">
        <f>R36</f>
        <v>1032</v>
      </c>
      <c r="P10" s="4"/>
      <c r="Q10" s="4"/>
      <c r="R10" s="5"/>
    </row>
    <row r="11" spans="1:18" ht="15.75" x14ac:dyDescent="0.25">
      <c r="A11" s="167"/>
      <c r="B11" s="17" t="s">
        <v>28</v>
      </c>
      <c r="C11" s="10"/>
      <c r="D11" s="13">
        <f t="shared" si="1"/>
        <v>0</v>
      </c>
      <c r="F11" s="233"/>
      <c r="G11" s="244"/>
      <c r="H11" s="245"/>
      <c r="I11" s="245"/>
      <c r="J11" s="24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7"/>
      <c r="B12" s="17" t="s">
        <v>30</v>
      </c>
      <c r="C12" s="10"/>
      <c r="D12" s="48">
        <f t="shared" si="1"/>
        <v>0</v>
      </c>
      <c r="F12" s="250" t="s">
        <v>33</v>
      </c>
      <c r="G12" s="251"/>
      <c r="H12" s="251"/>
      <c r="I12" s="251"/>
      <c r="J12" s="25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7"/>
      <c r="B13" s="17" t="s">
        <v>32</v>
      </c>
      <c r="C13" s="10">
        <v>3</v>
      </c>
      <c r="D13" s="48">
        <f t="shared" si="1"/>
        <v>921</v>
      </c>
      <c r="F13" s="253" t="s">
        <v>36</v>
      </c>
      <c r="G13" s="217"/>
      <c r="H13" s="208">
        <f>D29</f>
        <v>408810.70833333331</v>
      </c>
      <c r="I13" s="209"/>
      <c r="J13" s="21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7"/>
      <c r="B14" s="14" t="s">
        <v>35</v>
      </c>
      <c r="C14" s="10">
        <v>17</v>
      </c>
      <c r="D14" s="31">
        <f t="shared" si="1"/>
        <v>187.70833333333331</v>
      </c>
      <c r="F14" s="211" t="s">
        <v>38</v>
      </c>
      <c r="G14" s="212"/>
      <c r="H14" s="213">
        <f>D54</f>
        <v>60101.25</v>
      </c>
      <c r="I14" s="214"/>
      <c r="J14" s="215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7"/>
      <c r="B15" s="14" t="s">
        <v>117</v>
      </c>
      <c r="C15" s="10"/>
      <c r="D15" s="31">
        <f t="shared" si="1"/>
        <v>0</v>
      </c>
      <c r="F15" s="216" t="s">
        <v>39</v>
      </c>
      <c r="G15" s="217"/>
      <c r="H15" s="218">
        <f>H13-H14</f>
        <v>348709.45833333331</v>
      </c>
      <c r="I15" s="219"/>
      <c r="J15" s="22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7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8"/>
      <c r="I16" s="178"/>
      <c r="J16" s="17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7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9"/>
      <c r="I17" s="189"/>
      <c r="J17" s="18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7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9"/>
      <c r="I18" s="189"/>
      <c r="J18" s="18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7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8"/>
      <c r="I19" s="178"/>
      <c r="J19" s="17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7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8"/>
      <c r="I20" s="178"/>
      <c r="J20" s="17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7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91" t="s">
        <v>13</v>
      </c>
      <c r="I21" s="192"/>
      <c r="J21" s="19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7"/>
      <c r="B22" s="46" t="s">
        <v>103</v>
      </c>
      <c r="C22" s="10"/>
      <c r="D22" s="48">
        <f t="shared" si="1"/>
        <v>0</v>
      </c>
      <c r="F22" s="76"/>
      <c r="G22" s="72"/>
      <c r="H22" s="194"/>
      <c r="I22" s="194"/>
      <c r="J22" s="19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7"/>
      <c r="B23" s="14" t="s">
        <v>116</v>
      </c>
      <c r="C23" s="10"/>
      <c r="D23" s="48">
        <f t="shared" si="1"/>
        <v>0</v>
      </c>
      <c r="F23" s="76"/>
      <c r="G23" s="78"/>
      <c r="H23" s="259"/>
      <c r="I23" s="260"/>
      <c r="J23" s="26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7"/>
      <c r="B24" s="14" t="s">
        <v>123</v>
      </c>
      <c r="C24" s="10"/>
      <c r="D24" s="48">
        <f t="shared" si="1"/>
        <v>0</v>
      </c>
      <c r="F24" s="76"/>
      <c r="G24" s="78"/>
      <c r="H24" s="259"/>
      <c r="I24" s="260"/>
      <c r="J24" s="26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6" t="s">
        <v>13</v>
      </c>
      <c r="I25" s="197"/>
      <c r="J25" s="19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7"/>
      <c r="B26" s="14" t="s">
        <v>124</v>
      </c>
      <c r="C26" s="10"/>
      <c r="D26" s="48">
        <f t="shared" si="1"/>
        <v>0</v>
      </c>
      <c r="F26" s="74"/>
      <c r="G26" s="65"/>
      <c r="H26" s="164"/>
      <c r="I26" s="164"/>
      <c r="J26" s="16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7"/>
      <c r="B27" s="14" t="s">
        <v>125</v>
      </c>
      <c r="C27" s="10"/>
      <c r="D27" s="44">
        <f t="shared" si="1"/>
        <v>0</v>
      </c>
      <c r="F27" s="71"/>
      <c r="G27" s="105"/>
      <c r="H27" s="261"/>
      <c r="I27" s="262"/>
      <c r="J27" s="26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8"/>
      <c r="B28" s="46" t="s">
        <v>92</v>
      </c>
      <c r="C28" s="10"/>
      <c r="D28" s="48">
        <f t="shared" si="1"/>
        <v>0</v>
      </c>
      <c r="F28" s="103"/>
      <c r="G28" s="61"/>
      <c r="H28" s="205"/>
      <c r="I28" s="206"/>
      <c r="J28" s="20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9" t="s">
        <v>36</v>
      </c>
      <c r="B29" s="180"/>
      <c r="C29" s="181"/>
      <c r="D29" s="185">
        <f>SUM(D6:D28)</f>
        <v>408810.70833333331</v>
      </c>
      <c r="F29" s="125" t="s">
        <v>54</v>
      </c>
      <c r="G29" s="187"/>
      <c r="H29" s="147">
        <f>H15-H16-H17-H18-H19-H20-H22-H23-H24+H26+H27+H28</f>
        <v>348709.45833333331</v>
      </c>
      <c r="I29" s="148"/>
      <c r="J29" s="14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2"/>
      <c r="B30" s="183"/>
      <c r="C30" s="184"/>
      <c r="D30" s="186"/>
      <c r="F30" s="128"/>
      <c r="G30" s="188"/>
      <c r="H30" s="150"/>
      <c r="I30" s="151"/>
      <c r="J30" s="15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2" t="s">
        <v>57</v>
      </c>
      <c r="B32" s="173"/>
      <c r="C32" s="173"/>
      <c r="D32" s="174"/>
      <c r="F32" s="175" t="s">
        <v>58</v>
      </c>
      <c r="G32" s="176"/>
      <c r="H32" s="176"/>
      <c r="I32" s="176"/>
      <c r="J32" s="17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175" t="s">
        <v>13</v>
      </c>
      <c r="I33" s="176"/>
      <c r="J33" s="17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6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40">
        <v>263</v>
      </c>
      <c r="H34" s="169">
        <f t="shared" ref="H34:H39" si="2">F34*G34</f>
        <v>263000</v>
      </c>
      <c r="I34" s="170"/>
      <c r="J34" s="17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7"/>
      <c r="B35" s="27" t="s">
        <v>67</v>
      </c>
      <c r="C35" s="52"/>
      <c r="D35" s="30">
        <f>C35*84</f>
        <v>0</v>
      </c>
      <c r="F35" s="58">
        <v>500</v>
      </c>
      <c r="G35" s="106">
        <v>95</v>
      </c>
      <c r="H35" s="169">
        <f t="shared" si="2"/>
        <v>47500</v>
      </c>
      <c r="I35" s="170"/>
      <c r="J35" s="17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8"/>
      <c r="B36" s="26" t="s">
        <v>69</v>
      </c>
      <c r="C36" s="10"/>
      <c r="D36" s="12">
        <f>C36*1.5</f>
        <v>0</v>
      </c>
      <c r="F36" s="12">
        <v>200</v>
      </c>
      <c r="G36" s="37"/>
      <c r="H36" s="169">
        <f t="shared" si="2"/>
        <v>0</v>
      </c>
      <c r="I36" s="170"/>
      <c r="J36" s="17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6" t="s">
        <v>71</v>
      </c>
      <c r="B37" s="28" t="s">
        <v>65</v>
      </c>
      <c r="C37" s="53">
        <v>528</v>
      </c>
      <c r="D37" s="12">
        <f>C37*111</f>
        <v>58608</v>
      </c>
      <c r="F37" s="12">
        <v>100</v>
      </c>
      <c r="G37" s="39">
        <v>33</v>
      </c>
      <c r="H37" s="169">
        <f t="shared" si="2"/>
        <v>3300</v>
      </c>
      <c r="I37" s="170"/>
      <c r="J37" s="17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7"/>
      <c r="B38" s="29" t="s">
        <v>67</v>
      </c>
      <c r="C38" s="54"/>
      <c r="D38" s="12">
        <f>C38*84</f>
        <v>0</v>
      </c>
      <c r="F38" s="30">
        <v>50</v>
      </c>
      <c r="G38" s="39"/>
      <c r="H38" s="169">
        <f t="shared" si="2"/>
        <v>0</v>
      </c>
      <c r="I38" s="170"/>
      <c r="J38" s="17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8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169">
        <f t="shared" si="2"/>
        <v>0</v>
      </c>
      <c r="I39" s="170"/>
      <c r="J39" s="17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6" t="s">
        <v>75</v>
      </c>
      <c r="B40" s="27" t="s">
        <v>65</v>
      </c>
      <c r="C40" s="63">
        <v>7</v>
      </c>
      <c r="D40" s="12">
        <f>C40*111</f>
        <v>777</v>
      </c>
      <c r="F40" s="12">
        <v>10</v>
      </c>
      <c r="G40" s="107"/>
      <c r="H40" s="257"/>
      <c r="I40" s="258"/>
      <c r="J40" s="19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7"/>
      <c r="B41" s="27" t="s">
        <v>67</v>
      </c>
      <c r="C41" s="10">
        <v>2</v>
      </c>
      <c r="D41" s="12">
        <f>C41*84</f>
        <v>168</v>
      </c>
      <c r="F41" s="12">
        <v>5</v>
      </c>
      <c r="G41" s="107"/>
      <c r="H41" s="169"/>
      <c r="I41" s="170"/>
      <c r="J41" s="17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8"/>
      <c r="B42" s="27" t="s">
        <v>69</v>
      </c>
      <c r="C42" s="11">
        <v>15</v>
      </c>
      <c r="D42" s="12">
        <f>C42*2.25</f>
        <v>33.75</v>
      </c>
      <c r="F42" s="39" t="s">
        <v>78</v>
      </c>
      <c r="G42" s="169">
        <v>155</v>
      </c>
      <c r="H42" s="170"/>
      <c r="I42" s="170"/>
      <c r="J42" s="17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9" t="s">
        <v>80</v>
      </c>
      <c r="C43" s="11"/>
      <c r="D43" s="12"/>
      <c r="F43" s="59" t="s">
        <v>81</v>
      </c>
      <c r="G43" s="105" t="s">
        <v>82</v>
      </c>
      <c r="H43" s="161" t="s">
        <v>13</v>
      </c>
      <c r="I43" s="162"/>
      <c r="J43" s="16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0"/>
      <c r="B44" s="27" t="s">
        <v>65</v>
      </c>
      <c r="C44" s="10"/>
      <c r="D44" s="12">
        <f>C44*120</f>
        <v>0</v>
      </c>
      <c r="F44" s="37" t="s">
        <v>133</v>
      </c>
      <c r="G44" s="108" t="s">
        <v>134</v>
      </c>
      <c r="H44" s="164">
        <v>34470</v>
      </c>
      <c r="I44" s="164"/>
      <c r="J44" s="16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0"/>
      <c r="B45" s="27" t="s">
        <v>67</v>
      </c>
      <c r="C45" s="33"/>
      <c r="D45" s="12">
        <f>C45*84</f>
        <v>0</v>
      </c>
      <c r="F45" s="37"/>
      <c r="G45" s="87"/>
      <c r="H45" s="164"/>
      <c r="I45" s="164"/>
      <c r="J45" s="164"/>
      <c r="K45" s="21"/>
      <c r="P45" s="4"/>
      <c r="Q45" s="4"/>
      <c r="R45" s="5"/>
    </row>
    <row r="46" spans="1:18" ht="15.75" x14ac:dyDescent="0.25">
      <c r="A46" s="140"/>
      <c r="B46" s="49" t="s">
        <v>69</v>
      </c>
      <c r="C46" s="80"/>
      <c r="D46" s="12">
        <f>C46*1.5</f>
        <v>0</v>
      </c>
      <c r="F46" s="37"/>
      <c r="G46" s="62"/>
      <c r="H46" s="164"/>
      <c r="I46" s="164"/>
      <c r="J46" s="164"/>
      <c r="K46" s="21"/>
      <c r="P46" s="4"/>
      <c r="Q46" s="4"/>
      <c r="R46" s="5"/>
    </row>
    <row r="47" spans="1:18" ht="15.75" x14ac:dyDescent="0.25">
      <c r="A47" s="141"/>
      <c r="B47" s="27"/>
      <c r="C47" s="11"/>
      <c r="D47" s="12"/>
      <c r="F47" s="59"/>
      <c r="G47" s="59"/>
      <c r="H47" s="254"/>
      <c r="I47" s="255"/>
      <c r="J47" s="256"/>
      <c r="K47" s="21"/>
      <c r="P47" s="4"/>
      <c r="Q47" s="4"/>
      <c r="R47" s="5"/>
    </row>
    <row r="48" spans="1:18" ht="15" customHeight="1" x14ac:dyDescent="0.25">
      <c r="A48" s="139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0"/>
      <c r="B49" s="29" t="s">
        <v>67</v>
      </c>
      <c r="C49" s="33"/>
      <c r="D49" s="12">
        <f>C49*42</f>
        <v>0</v>
      </c>
      <c r="F49" s="145" t="s">
        <v>85</v>
      </c>
      <c r="G49" s="147">
        <f>H34+H35+H36+H37+H38+H39+H40+H41+G42+H44+H45+H46+H47+H48</f>
        <v>348425</v>
      </c>
      <c r="H49" s="148"/>
      <c r="I49" s="148"/>
      <c r="J49" s="14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0"/>
      <c r="B50" s="32" t="s">
        <v>69</v>
      </c>
      <c r="C50" s="11">
        <v>15</v>
      </c>
      <c r="D50" s="12">
        <f>C50*1.5</f>
        <v>22.5</v>
      </c>
      <c r="F50" s="146"/>
      <c r="G50" s="150"/>
      <c r="H50" s="151"/>
      <c r="I50" s="151"/>
      <c r="J50" s="152"/>
      <c r="O50" t="s">
        <v>112</v>
      </c>
      <c r="P50" s="4">
        <v>1204</v>
      </c>
      <c r="Q50" s="4"/>
      <c r="R50" s="5"/>
    </row>
    <row r="51" spans="1:18" ht="15" customHeight="1" x14ac:dyDescent="0.25">
      <c r="A51" s="140"/>
      <c r="B51" s="27"/>
      <c r="C51" s="10"/>
      <c r="D51" s="31"/>
      <c r="F51" s="153" t="str">
        <f>_xlfn.IFS(H29&gt;G49,"SHORT",H29&lt;G49,"OVER",H29&lt;=G49,"-")</f>
        <v>SHORT</v>
      </c>
      <c r="G51" s="155">
        <f>G49-H29</f>
        <v>-284.45833333331393</v>
      </c>
      <c r="H51" s="156"/>
      <c r="I51" s="156"/>
      <c r="J51" s="1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0"/>
      <c r="B52" s="29"/>
      <c r="C52" s="33"/>
      <c r="D52" s="45"/>
      <c r="F52" s="154"/>
      <c r="G52" s="158"/>
      <c r="H52" s="159"/>
      <c r="I52" s="159"/>
      <c r="J52" s="1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5" t="s">
        <v>89</v>
      </c>
      <c r="B54" s="126"/>
      <c r="C54" s="127"/>
      <c r="D54" s="131">
        <f>SUM(D34:D53)</f>
        <v>60101.25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8"/>
      <c r="B55" s="129"/>
      <c r="C55" s="130"/>
      <c r="D55" s="13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33" t="s">
        <v>90</v>
      </c>
      <c r="B58" s="134"/>
      <c r="C58" s="134"/>
      <c r="D58" s="135"/>
      <c r="F58" s="133" t="s">
        <v>91</v>
      </c>
      <c r="G58" s="134"/>
      <c r="H58" s="134"/>
      <c r="I58" s="134"/>
      <c r="J58" s="135"/>
    </row>
    <row r="59" spans="1:18" x14ac:dyDescent="0.25">
      <c r="A59" s="136"/>
      <c r="B59" s="137"/>
      <c r="C59" s="137"/>
      <c r="D59" s="138"/>
      <c r="F59" s="136"/>
      <c r="G59" s="137"/>
      <c r="H59" s="137"/>
      <c r="I59" s="137"/>
      <c r="J59" s="138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116" priority="1" operator="containsText" text="OVER">
      <formula>NOT(ISERROR(SEARCH("OVER",F51)))</formula>
    </cfRule>
    <cfRule type="containsText" dxfId="115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F2C0F1C1-EC55-4E87-B6F2-678BD5937EC2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24D2D4-EF18-4864-BDB6-755A72CF2DA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1" t="s">
        <v>1</v>
      </c>
      <c r="O1" s="221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2" t="s">
        <v>7</v>
      </c>
      <c r="B4" s="173"/>
      <c r="C4" s="173"/>
      <c r="D4" s="174"/>
      <c r="F4" s="222" t="s">
        <v>8</v>
      </c>
      <c r="G4" s="224">
        <v>2</v>
      </c>
      <c r="H4" s="226" t="s">
        <v>9</v>
      </c>
      <c r="I4" s="228">
        <v>46241</v>
      </c>
      <c r="J4" s="22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6" t="s">
        <v>7</v>
      </c>
      <c r="B5" s="15" t="s">
        <v>11</v>
      </c>
      <c r="C5" s="9" t="s">
        <v>12</v>
      </c>
      <c r="D5" s="25" t="s">
        <v>13</v>
      </c>
      <c r="F5" s="223"/>
      <c r="G5" s="225"/>
      <c r="H5" s="227"/>
      <c r="I5" s="230"/>
      <c r="J5" s="23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7"/>
      <c r="B6" s="16" t="s">
        <v>15</v>
      </c>
      <c r="C6" s="10">
        <v>373</v>
      </c>
      <c r="D6" s="13">
        <f t="shared" ref="D6:D28" si="1">C6*L6</f>
        <v>283853</v>
      </c>
      <c r="F6" s="232" t="s">
        <v>16</v>
      </c>
      <c r="G6" s="234" t="s">
        <v>107</v>
      </c>
      <c r="H6" s="235"/>
      <c r="I6" s="235"/>
      <c r="J6" s="2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7"/>
      <c r="B7" s="16" t="s">
        <v>18</v>
      </c>
      <c r="C7" s="10">
        <v>12</v>
      </c>
      <c r="D7" s="13">
        <f t="shared" si="1"/>
        <v>9372</v>
      </c>
      <c r="F7" s="233"/>
      <c r="G7" s="237"/>
      <c r="H7" s="238"/>
      <c r="I7" s="238"/>
      <c r="J7" s="2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7"/>
      <c r="B8" s="16" t="s">
        <v>20</v>
      </c>
      <c r="C8" s="10"/>
      <c r="D8" s="13">
        <f t="shared" si="1"/>
        <v>0</v>
      </c>
      <c r="F8" s="240" t="s">
        <v>21</v>
      </c>
      <c r="G8" s="241" t="s">
        <v>100</v>
      </c>
      <c r="H8" s="242"/>
      <c r="I8" s="242"/>
      <c r="J8" s="24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7"/>
      <c r="B9" s="16" t="s">
        <v>23</v>
      </c>
      <c r="C9" s="10">
        <v>24</v>
      </c>
      <c r="D9" s="13">
        <f t="shared" si="1"/>
        <v>17592</v>
      </c>
      <c r="F9" s="233"/>
      <c r="G9" s="244"/>
      <c r="H9" s="245"/>
      <c r="I9" s="245"/>
      <c r="J9" s="24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7"/>
      <c r="B10" t="s">
        <v>25</v>
      </c>
      <c r="C10" s="10">
        <v>1</v>
      </c>
      <c r="D10" s="13">
        <f t="shared" si="1"/>
        <v>1032</v>
      </c>
      <c r="F10" s="232" t="s">
        <v>26</v>
      </c>
      <c r="G10" s="247" t="s">
        <v>101</v>
      </c>
      <c r="H10" s="248"/>
      <c r="I10" s="248"/>
      <c r="J10" s="249"/>
      <c r="K10" s="8"/>
      <c r="L10" s="6">
        <f>R36</f>
        <v>1032</v>
      </c>
      <c r="P10" s="4"/>
      <c r="Q10" s="4"/>
      <c r="R10" s="5"/>
    </row>
    <row r="11" spans="1:18" ht="15.75" x14ac:dyDescent="0.25">
      <c r="A11" s="167"/>
      <c r="B11" s="17" t="s">
        <v>28</v>
      </c>
      <c r="C11" s="10"/>
      <c r="D11" s="13">
        <f t="shared" si="1"/>
        <v>0</v>
      </c>
      <c r="F11" s="233"/>
      <c r="G11" s="244"/>
      <c r="H11" s="245"/>
      <c r="I11" s="245"/>
      <c r="J11" s="24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7"/>
      <c r="B12" s="17" t="s">
        <v>30</v>
      </c>
      <c r="C12" s="10"/>
      <c r="D12" s="48">
        <f t="shared" si="1"/>
        <v>0</v>
      </c>
      <c r="F12" s="250" t="s">
        <v>33</v>
      </c>
      <c r="G12" s="251"/>
      <c r="H12" s="251"/>
      <c r="I12" s="251"/>
      <c r="J12" s="25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7"/>
      <c r="B13" s="17" t="s">
        <v>32</v>
      </c>
      <c r="C13" s="10">
        <v>10</v>
      </c>
      <c r="D13" s="48">
        <f t="shared" si="1"/>
        <v>3070</v>
      </c>
      <c r="F13" s="253" t="s">
        <v>36</v>
      </c>
      <c r="G13" s="217"/>
      <c r="H13" s="208">
        <f>D29</f>
        <v>314974.20833333331</v>
      </c>
      <c r="I13" s="209"/>
      <c r="J13" s="21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7"/>
      <c r="B14" s="14" t="s">
        <v>35</v>
      </c>
      <c r="C14" s="10">
        <v>5</v>
      </c>
      <c r="D14" s="31">
        <f t="shared" si="1"/>
        <v>55.208333333333329</v>
      </c>
      <c r="F14" s="211" t="s">
        <v>38</v>
      </c>
      <c r="G14" s="212"/>
      <c r="H14" s="213">
        <f>D54</f>
        <v>51996.75</v>
      </c>
      <c r="I14" s="214"/>
      <c r="J14" s="215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7"/>
      <c r="B15" s="14" t="s">
        <v>117</v>
      </c>
      <c r="C15" s="10"/>
      <c r="D15" s="31">
        <f t="shared" si="1"/>
        <v>0</v>
      </c>
      <c r="F15" s="216" t="s">
        <v>39</v>
      </c>
      <c r="G15" s="217"/>
      <c r="H15" s="218">
        <f>H13-H14</f>
        <v>262977.45833333331</v>
      </c>
      <c r="I15" s="219"/>
      <c r="J15" s="22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7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8">
        <v>1224</v>
      </c>
      <c r="I16" s="178"/>
      <c r="J16" s="17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7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9"/>
      <c r="I17" s="189"/>
      <c r="J17" s="18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7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9"/>
      <c r="I18" s="189"/>
      <c r="J18" s="18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7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3"/>
      <c r="I19" s="263"/>
      <c r="J19" s="26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7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8"/>
      <c r="I20" s="178"/>
      <c r="J20" s="17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7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91" t="s">
        <v>13</v>
      </c>
      <c r="I21" s="192"/>
      <c r="J21" s="193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7"/>
      <c r="B22" s="46" t="s">
        <v>103</v>
      </c>
      <c r="C22" s="10"/>
      <c r="D22" s="48">
        <f t="shared" si="1"/>
        <v>0</v>
      </c>
      <c r="F22" s="76"/>
      <c r="G22" s="72"/>
      <c r="H22" s="194"/>
      <c r="I22" s="194"/>
      <c r="J22" s="19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7"/>
      <c r="B23" s="14" t="s">
        <v>116</v>
      </c>
      <c r="C23" s="10"/>
      <c r="D23" s="48">
        <f t="shared" si="1"/>
        <v>0</v>
      </c>
      <c r="F23" s="77"/>
      <c r="G23" s="78"/>
      <c r="H23" s="264"/>
      <c r="I23" s="194"/>
      <c r="J23" s="19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7"/>
      <c r="B24" s="14" t="s">
        <v>123</v>
      </c>
      <c r="C24" s="10"/>
      <c r="D24" s="48">
        <f t="shared" si="1"/>
        <v>0</v>
      </c>
      <c r="F24" s="38"/>
      <c r="G24" s="37"/>
      <c r="H24" s="195"/>
      <c r="I24" s="164"/>
      <c r="J24" s="16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6" t="s">
        <v>13</v>
      </c>
      <c r="I25" s="197"/>
      <c r="J25" s="19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7"/>
      <c r="B26" s="14" t="s">
        <v>124</v>
      </c>
      <c r="C26" s="10"/>
      <c r="D26" s="48">
        <f t="shared" si="1"/>
        <v>0</v>
      </c>
      <c r="F26" s="64"/>
      <c r="G26" s="59"/>
      <c r="H26" s="199"/>
      <c r="I26" s="200"/>
      <c r="J26" s="20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7"/>
      <c r="B27" s="14" t="s">
        <v>125</v>
      </c>
      <c r="C27" s="10"/>
      <c r="D27" s="44">
        <f t="shared" si="1"/>
        <v>0</v>
      </c>
      <c r="F27" s="25"/>
      <c r="G27" s="79"/>
      <c r="H27" s="202"/>
      <c r="I27" s="203"/>
      <c r="J27" s="20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8"/>
      <c r="B28" s="46" t="s">
        <v>92</v>
      </c>
      <c r="C28" s="10"/>
      <c r="D28" s="48">
        <f t="shared" si="1"/>
        <v>0</v>
      </c>
      <c r="F28" s="103"/>
      <c r="G28" s="61"/>
      <c r="H28" s="205"/>
      <c r="I28" s="206"/>
      <c r="J28" s="20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9" t="s">
        <v>36</v>
      </c>
      <c r="B29" s="180"/>
      <c r="C29" s="181"/>
      <c r="D29" s="185">
        <f>SUM(D6:D28)</f>
        <v>314974.20833333331</v>
      </c>
      <c r="F29" s="125" t="s">
        <v>54</v>
      </c>
      <c r="G29" s="187"/>
      <c r="H29" s="147">
        <f>H15-H16-H17-H18-H19-H20-H22-H23-H24+H26+H27</f>
        <v>261753.45833333331</v>
      </c>
      <c r="I29" s="148"/>
      <c r="J29" s="14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2"/>
      <c r="B30" s="183"/>
      <c r="C30" s="184"/>
      <c r="D30" s="186"/>
      <c r="F30" s="128"/>
      <c r="G30" s="188"/>
      <c r="H30" s="150"/>
      <c r="I30" s="151"/>
      <c r="J30" s="15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2" t="s">
        <v>57</v>
      </c>
      <c r="B32" s="173"/>
      <c r="C32" s="173"/>
      <c r="D32" s="174"/>
      <c r="F32" s="175" t="s">
        <v>58</v>
      </c>
      <c r="G32" s="176"/>
      <c r="H32" s="176"/>
      <c r="I32" s="176"/>
      <c r="J32" s="17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175" t="s">
        <v>13</v>
      </c>
      <c r="I33" s="176"/>
      <c r="J33" s="17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6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176</v>
      </c>
      <c r="H34" s="169">
        <f>F34*G34</f>
        <v>176000</v>
      </c>
      <c r="I34" s="170"/>
      <c r="J34" s="17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7"/>
      <c r="B35" s="27" t="s">
        <v>67</v>
      </c>
      <c r="C35" s="52">
        <v>1</v>
      </c>
      <c r="D35" s="30">
        <f>C35*84</f>
        <v>84</v>
      </c>
      <c r="F35" s="58">
        <v>500</v>
      </c>
      <c r="G35" s="106">
        <v>19</v>
      </c>
      <c r="H35" s="169">
        <f>F35*G35</f>
        <v>9500</v>
      </c>
      <c r="I35" s="170"/>
      <c r="J35" s="17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8"/>
      <c r="B36" s="26" t="s">
        <v>69</v>
      </c>
      <c r="C36" s="10">
        <v>21</v>
      </c>
      <c r="D36" s="12">
        <f>C36*1.5</f>
        <v>31.5</v>
      </c>
      <c r="F36" s="12">
        <v>200</v>
      </c>
      <c r="G36" s="37"/>
      <c r="H36" s="169">
        <f t="shared" ref="H36:H39" si="2">F36*G36</f>
        <v>0</v>
      </c>
      <c r="I36" s="170"/>
      <c r="J36" s="17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6" t="s">
        <v>71</v>
      </c>
      <c r="B37" s="28" t="s">
        <v>65</v>
      </c>
      <c r="C37" s="53">
        <v>448</v>
      </c>
      <c r="D37" s="12">
        <f>C37*111</f>
        <v>49728</v>
      </c>
      <c r="F37" s="12">
        <v>100</v>
      </c>
      <c r="G37" s="39">
        <v>4</v>
      </c>
      <c r="H37" s="169">
        <f t="shared" si="2"/>
        <v>400</v>
      </c>
      <c r="I37" s="170"/>
      <c r="J37" s="17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7"/>
      <c r="B38" s="29" t="s">
        <v>67</v>
      </c>
      <c r="C38" s="54">
        <v>7</v>
      </c>
      <c r="D38" s="12">
        <f>C38*84</f>
        <v>588</v>
      </c>
      <c r="F38" s="30">
        <v>50</v>
      </c>
      <c r="G38" s="39"/>
      <c r="H38" s="169">
        <f t="shared" si="2"/>
        <v>0</v>
      </c>
      <c r="I38" s="170"/>
      <c r="J38" s="17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8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169">
        <f t="shared" si="2"/>
        <v>0</v>
      </c>
      <c r="I39" s="170"/>
      <c r="J39" s="17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6" t="s">
        <v>75</v>
      </c>
      <c r="B40" s="27" t="s">
        <v>65</v>
      </c>
      <c r="C40" s="63">
        <v>9</v>
      </c>
      <c r="D40" s="12">
        <f>C40*111</f>
        <v>999</v>
      </c>
      <c r="F40" s="12">
        <v>10</v>
      </c>
      <c r="G40" s="107"/>
      <c r="H40" s="169"/>
      <c r="I40" s="170"/>
      <c r="J40" s="17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7"/>
      <c r="B41" s="27" t="s">
        <v>67</v>
      </c>
      <c r="C41" s="10"/>
      <c r="D41" s="12">
        <f>C41*84</f>
        <v>0</v>
      </c>
      <c r="F41" s="12">
        <v>5</v>
      </c>
      <c r="G41" s="107"/>
      <c r="H41" s="169"/>
      <c r="I41" s="170"/>
      <c r="J41" s="17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8"/>
      <c r="B42" s="27" t="s">
        <v>69</v>
      </c>
      <c r="C42" s="11">
        <v>7</v>
      </c>
      <c r="D42" s="12">
        <f>C42*2.25</f>
        <v>15.75</v>
      </c>
      <c r="F42" s="39" t="s">
        <v>78</v>
      </c>
      <c r="G42" s="169">
        <v>68</v>
      </c>
      <c r="H42" s="170"/>
      <c r="I42" s="170"/>
      <c r="J42" s="17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9" t="s">
        <v>80</v>
      </c>
      <c r="C43" s="11"/>
      <c r="D43" s="12"/>
      <c r="F43" s="59" t="s">
        <v>81</v>
      </c>
      <c r="G43" s="105" t="s">
        <v>82</v>
      </c>
      <c r="H43" s="161" t="s">
        <v>13</v>
      </c>
      <c r="I43" s="162"/>
      <c r="J43" s="16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0"/>
      <c r="B44" s="27" t="s">
        <v>65</v>
      </c>
      <c r="C44" s="10"/>
      <c r="D44" s="12">
        <f>C44*120</f>
        <v>0</v>
      </c>
      <c r="F44" s="37" t="s">
        <v>148</v>
      </c>
      <c r="G44" s="87" t="s">
        <v>155</v>
      </c>
      <c r="H44" s="164">
        <v>76215</v>
      </c>
      <c r="I44" s="164"/>
      <c r="J44" s="16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0"/>
      <c r="B45" s="27" t="s">
        <v>67</v>
      </c>
      <c r="C45" s="33"/>
      <c r="D45" s="12">
        <f>C45*84</f>
        <v>0</v>
      </c>
      <c r="F45" s="37"/>
      <c r="G45" s="75"/>
      <c r="H45" s="164"/>
      <c r="I45" s="164"/>
      <c r="J45" s="164"/>
      <c r="K45" s="21"/>
      <c r="P45" s="4"/>
      <c r="Q45" s="4"/>
      <c r="R45" s="5"/>
    </row>
    <row r="46" spans="1:18" ht="15.75" x14ac:dyDescent="0.25">
      <c r="A46" s="140"/>
      <c r="B46" s="49" t="s">
        <v>69</v>
      </c>
      <c r="C46" s="80"/>
      <c r="D46" s="12">
        <f>C46*1.5</f>
        <v>0</v>
      </c>
      <c r="F46" s="37"/>
      <c r="G46" s="62"/>
      <c r="H46" s="164"/>
      <c r="I46" s="164"/>
      <c r="J46" s="164"/>
      <c r="K46" s="21"/>
      <c r="P46" s="4"/>
      <c r="Q46" s="4"/>
      <c r="R46" s="5"/>
    </row>
    <row r="47" spans="1:18" ht="15.75" x14ac:dyDescent="0.25">
      <c r="A47" s="141"/>
      <c r="B47" s="27"/>
      <c r="C47" s="11"/>
      <c r="D47" s="12"/>
      <c r="F47" s="59"/>
      <c r="G47" s="59"/>
      <c r="H47" s="164"/>
      <c r="I47" s="164"/>
      <c r="J47" s="164"/>
      <c r="K47" s="21"/>
      <c r="P47" s="4"/>
      <c r="Q47" s="4"/>
      <c r="R47" s="5"/>
    </row>
    <row r="48" spans="1:18" ht="15" customHeight="1" x14ac:dyDescent="0.25">
      <c r="A48" s="139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0"/>
      <c r="B49" s="29" t="s">
        <v>67</v>
      </c>
      <c r="C49" s="33">
        <v>9</v>
      </c>
      <c r="D49" s="12">
        <f>C49*42</f>
        <v>378</v>
      </c>
      <c r="F49" s="145" t="s">
        <v>85</v>
      </c>
      <c r="G49" s="147">
        <f>H34+H35+H36+H37+H38+H39+H40+H41+G42+H44+H45+H46+H47+H48</f>
        <v>262183</v>
      </c>
      <c r="H49" s="148"/>
      <c r="I49" s="148"/>
      <c r="J49" s="14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0"/>
      <c r="B50" s="32" t="s">
        <v>69</v>
      </c>
      <c r="C50" s="80">
        <v>8</v>
      </c>
      <c r="D50" s="12">
        <f>C50*1.5</f>
        <v>12</v>
      </c>
      <c r="F50" s="146"/>
      <c r="G50" s="150"/>
      <c r="H50" s="151"/>
      <c r="I50" s="151"/>
      <c r="J50" s="152"/>
      <c r="O50" t="s">
        <v>112</v>
      </c>
      <c r="P50" s="4">
        <v>1204</v>
      </c>
      <c r="Q50" s="4"/>
      <c r="R50" s="5"/>
    </row>
    <row r="51" spans="1:18" ht="15" customHeight="1" x14ac:dyDescent="0.25">
      <c r="A51" s="140"/>
      <c r="B51" s="27"/>
      <c r="C51" s="10"/>
      <c r="D51" s="31"/>
      <c r="F51" s="153" t="str">
        <f>_xlfn.IFS(H29&gt;G49,"SHORT",H29&lt;G49,"OVER",H29&lt;=G49,"-")</f>
        <v>OVER</v>
      </c>
      <c r="G51" s="155">
        <f>G49-H29</f>
        <v>429.54166666668607</v>
      </c>
      <c r="H51" s="156"/>
      <c r="I51" s="156"/>
      <c r="J51" s="1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140"/>
      <c r="B52" s="29"/>
      <c r="C52" s="33"/>
      <c r="D52" s="45"/>
      <c r="F52" s="154"/>
      <c r="G52" s="158"/>
      <c r="H52" s="159"/>
      <c r="I52" s="159"/>
      <c r="J52" s="1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5" t="s">
        <v>89</v>
      </c>
      <c r="B54" s="126"/>
      <c r="C54" s="127"/>
      <c r="D54" s="131">
        <f>SUM(D34:D53)</f>
        <v>51996.75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8"/>
      <c r="B55" s="129"/>
      <c r="C55" s="130"/>
      <c r="D55" s="13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133" t="s">
        <v>90</v>
      </c>
      <c r="B58" s="134"/>
      <c r="C58" s="134"/>
      <c r="D58" s="135"/>
      <c r="F58" s="133" t="s">
        <v>91</v>
      </c>
      <c r="G58" s="134"/>
      <c r="H58" s="134"/>
      <c r="I58" s="134"/>
      <c r="J58" s="135"/>
    </row>
    <row r="59" spans="1:18" x14ac:dyDescent="0.25">
      <c r="A59" s="136"/>
      <c r="B59" s="137"/>
      <c r="C59" s="137"/>
      <c r="D59" s="138"/>
      <c r="F59" s="136"/>
      <c r="G59" s="137"/>
      <c r="H59" s="137"/>
      <c r="I59" s="137"/>
      <c r="J59" s="13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113" priority="1" operator="containsText" text="OVER">
      <formula>NOT(ISERROR(SEARCH("OVER",F51)))</formula>
    </cfRule>
    <cfRule type="containsText" dxfId="112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4C4EB917-48ED-41C2-8D85-39E12E29F619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14DBC-6C41-49BB-B84D-3AE2E7ED693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1" t="s">
        <v>1</v>
      </c>
      <c r="O1" s="221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2" t="s">
        <v>7</v>
      </c>
      <c r="B4" s="173"/>
      <c r="C4" s="173"/>
      <c r="D4" s="174"/>
      <c r="F4" s="222" t="s">
        <v>8</v>
      </c>
      <c r="G4" s="224">
        <v>3</v>
      </c>
      <c r="H4" s="226" t="s">
        <v>9</v>
      </c>
      <c r="I4" s="228">
        <v>46241</v>
      </c>
      <c r="J4" s="22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6" t="s">
        <v>7</v>
      </c>
      <c r="B5" s="15" t="s">
        <v>11</v>
      </c>
      <c r="C5" s="9" t="s">
        <v>12</v>
      </c>
      <c r="D5" s="25" t="s">
        <v>13</v>
      </c>
      <c r="F5" s="223"/>
      <c r="G5" s="225"/>
      <c r="H5" s="227"/>
      <c r="I5" s="230"/>
      <c r="J5" s="23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7"/>
      <c r="B6" s="16" t="s">
        <v>15</v>
      </c>
      <c r="C6" s="10">
        <v>387</v>
      </c>
      <c r="D6" s="13">
        <f t="shared" ref="D6:D28" si="1">C6*L6</f>
        <v>294507</v>
      </c>
      <c r="F6" s="232" t="s">
        <v>16</v>
      </c>
      <c r="G6" s="234" t="s">
        <v>142</v>
      </c>
      <c r="H6" s="235"/>
      <c r="I6" s="235"/>
      <c r="J6" s="2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7"/>
      <c r="B7" s="16" t="s">
        <v>18</v>
      </c>
      <c r="C7" s="10">
        <v>4</v>
      </c>
      <c r="D7" s="13">
        <f t="shared" si="1"/>
        <v>3124</v>
      </c>
      <c r="F7" s="233"/>
      <c r="G7" s="237"/>
      <c r="H7" s="238"/>
      <c r="I7" s="238"/>
      <c r="J7" s="2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7"/>
      <c r="B8" s="16" t="s">
        <v>20</v>
      </c>
      <c r="C8" s="10">
        <v>1</v>
      </c>
      <c r="D8" s="13">
        <f t="shared" si="1"/>
        <v>1093</v>
      </c>
      <c r="F8" s="240" t="s">
        <v>21</v>
      </c>
      <c r="G8" s="241" t="s">
        <v>109</v>
      </c>
      <c r="H8" s="242"/>
      <c r="I8" s="242"/>
      <c r="J8" s="24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7"/>
      <c r="B9" s="16" t="s">
        <v>23</v>
      </c>
      <c r="C9" s="10">
        <v>108</v>
      </c>
      <c r="D9" s="13">
        <f t="shared" si="1"/>
        <v>79164</v>
      </c>
      <c r="F9" s="233"/>
      <c r="G9" s="244"/>
      <c r="H9" s="245"/>
      <c r="I9" s="245"/>
      <c r="J9" s="24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7"/>
      <c r="B10" t="s">
        <v>25</v>
      </c>
      <c r="C10" s="10"/>
      <c r="D10" s="13">
        <f t="shared" si="1"/>
        <v>0</v>
      </c>
      <c r="F10" s="232" t="s">
        <v>26</v>
      </c>
      <c r="G10" s="247" t="s">
        <v>119</v>
      </c>
      <c r="H10" s="248"/>
      <c r="I10" s="248"/>
      <c r="J10" s="249"/>
      <c r="K10" s="8"/>
      <c r="L10" s="6">
        <f>R36</f>
        <v>1032</v>
      </c>
      <c r="P10" s="4"/>
      <c r="Q10" s="4"/>
      <c r="R10" s="5"/>
    </row>
    <row r="11" spans="1:18" ht="15.75" x14ac:dyDescent="0.25">
      <c r="A11" s="167"/>
      <c r="B11" s="17" t="s">
        <v>28</v>
      </c>
      <c r="C11" s="10"/>
      <c r="D11" s="13">
        <f t="shared" si="1"/>
        <v>0</v>
      </c>
      <c r="F11" s="233"/>
      <c r="G11" s="244"/>
      <c r="H11" s="245"/>
      <c r="I11" s="245"/>
      <c r="J11" s="24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7"/>
      <c r="B12" s="17" t="s">
        <v>30</v>
      </c>
      <c r="C12" s="10"/>
      <c r="D12" s="48">
        <f t="shared" si="1"/>
        <v>0</v>
      </c>
      <c r="F12" s="250" t="s">
        <v>33</v>
      </c>
      <c r="G12" s="251"/>
      <c r="H12" s="251"/>
      <c r="I12" s="251"/>
      <c r="J12" s="25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7"/>
      <c r="B13" s="17" t="s">
        <v>32</v>
      </c>
      <c r="C13" s="10">
        <v>14</v>
      </c>
      <c r="D13" s="48">
        <f t="shared" si="1"/>
        <v>4298</v>
      </c>
      <c r="F13" s="253" t="s">
        <v>36</v>
      </c>
      <c r="G13" s="217"/>
      <c r="H13" s="208">
        <f>D29</f>
        <v>383530.16666666669</v>
      </c>
      <c r="I13" s="209"/>
      <c r="J13" s="21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7"/>
      <c r="B14" s="14" t="s">
        <v>35</v>
      </c>
      <c r="C14" s="10">
        <v>4</v>
      </c>
      <c r="D14" s="31">
        <f t="shared" si="1"/>
        <v>44.166666666666664</v>
      </c>
      <c r="F14" s="211" t="s">
        <v>38</v>
      </c>
      <c r="G14" s="212"/>
      <c r="H14" s="213">
        <f>D54</f>
        <v>57755.25</v>
      </c>
      <c r="I14" s="214"/>
      <c r="J14" s="215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7"/>
      <c r="B15" s="14" t="s">
        <v>117</v>
      </c>
      <c r="C15" s="10"/>
      <c r="D15" s="31">
        <f t="shared" si="1"/>
        <v>0</v>
      </c>
      <c r="F15" s="216" t="s">
        <v>39</v>
      </c>
      <c r="G15" s="217"/>
      <c r="H15" s="218">
        <f>H13-H14</f>
        <v>325774.91666666669</v>
      </c>
      <c r="I15" s="219"/>
      <c r="J15" s="22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7"/>
      <c r="B16" s="18" t="s">
        <v>110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178">
        <v>2406</v>
      </c>
      <c r="I16" s="178"/>
      <c r="J16" s="17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7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9"/>
      <c r="I17" s="189"/>
      <c r="J17" s="18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7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9"/>
      <c r="I18" s="189"/>
      <c r="J18" s="18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7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3"/>
      <c r="I19" s="263"/>
      <c r="J19" s="26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7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8"/>
      <c r="I20" s="178"/>
      <c r="J20" s="17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7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191" t="s">
        <v>13</v>
      </c>
      <c r="I21" s="192"/>
      <c r="J21" s="19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7"/>
      <c r="B22" s="46" t="s">
        <v>103</v>
      </c>
      <c r="C22" s="10"/>
      <c r="D22" s="48">
        <f t="shared" si="1"/>
        <v>0</v>
      </c>
      <c r="F22" s="76"/>
      <c r="G22" s="72"/>
      <c r="H22" s="194"/>
      <c r="I22" s="194"/>
      <c r="J22" s="19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7"/>
      <c r="B23" s="14" t="s">
        <v>116</v>
      </c>
      <c r="C23" s="10"/>
      <c r="D23" s="48">
        <f t="shared" si="1"/>
        <v>0</v>
      </c>
      <c r="F23" s="77"/>
      <c r="G23" s="78"/>
      <c r="H23" s="264"/>
      <c r="I23" s="194"/>
      <c r="J23" s="19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7"/>
      <c r="B24" s="14" t="s">
        <v>123</v>
      </c>
      <c r="C24" s="10"/>
      <c r="D24" s="48">
        <f t="shared" si="1"/>
        <v>0</v>
      </c>
      <c r="F24" s="38"/>
      <c r="G24" s="37"/>
      <c r="H24" s="195"/>
      <c r="I24" s="164"/>
      <c r="J24" s="16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6" t="s">
        <v>13</v>
      </c>
      <c r="I25" s="197"/>
      <c r="J25" s="19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7"/>
      <c r="B26" s="14" t="s">
        <v>124</v>
      </c>
      <c r="C26" s="10"/>
      <c r="D26" s="48">
        <f t="shared" si="1"/>
        <v>0</v>
      </c>
      <c r="F26" s="64"/>
      <c r="G26" s="59"/>
      <c r="H26" s="199"/>
      <c r="I26" s="200"/>
      <c r="J26" s="20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7"/>
      <c r="B27" s="14" t="s">
        <v>125</v>
      </c>
      <c r="C27" s="10"/>
      <c r="D27" s="44">
        <f t="shared" si="1"/>
        <v>0</v>
      </c>
      <c r="F27" s="25"/>
      <c r="G27" s="79"/>
      <c r="H27" s="202"/>
      <c r="I27" s="203"/>
      <c r="J27" s="20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8"/>
      <c r="B28" s="46" t="s">
        <v>92</v>
      </c>
      <c r="C28" s="10"/>
      <c r="D28" s="48">
        <f t="shared" si="1"/>
        <v>0</v>
      </c>
      <c r="F28" s="103"/>
      <c r="G28" s="61"/>
      <c r="H28" s="205"/>
      <c r="I28" s="206"/>
      <c r="J28" s="20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9" t="s">
        <v>36</v>
      </c>
      <c r="B29" s="180"/>
      <c r="C29" s="181"/>
      <c r="D29" s="185">
        <f>SUM(D6:D28)</f>
        <v>383530.16666666669</v>
      </c>
      <c r="F29" s="125" t="s">
        <v>54</v>
      </c>
      <c r="G29" s="187"/>
      <c r="H29" s="147">
        <f>H15-H16-H17-H18-H19-H20-H22-H23-H24+H26+H27</f>
        <v>323368.91666666669</v>
      </c>
      <c r="I29" s="148"/>
      <c r="J29" s="14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2"/>
      <c r="B30" s="183"/>
      <c r="C30" s="184"/>
      <c r="D30" s="186"/>
      <c r="F30" s="128"/>
      <c r="G30" s="188"/>
      <c r="H30" s="150"/>
      <c r="I30" s="151"/>
      <c r="J30" s="15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2" t="s">
        <v>57</v>
      </c>
      <c r="B32" s="173"/>
      <c r="C32" s="173"/>
      <c r="D32" s="174"/>
      <c r="F32" s="175" t="s">
        <v>58</v>
      </c>
      <c r="G32" s="176"/>
      <c r="H32" s="176"/>
      <c r="I32" s="176"/>
      <c r="J32" s="17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175" t="s">
        <v>13</v>
      </c>
      <c r="I33" s="176"/>
      <c r="J33" s="17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6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59</v>
      </c>
      <c r="H34" s="169">
        <f>F34*G34</f>
        <v>59000</v>
      </c>
      <c r="I34" s="170"/>
      <c r="J34" s="17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7"/>
      <c r="B35" s="27" t="s">
        <v>67</v>
      </c>
      <c r="C35" s="52"/>
      <c r="D35" s="30">
        <f>C35*84</f>
        <v>0</v>
      </c>
      <c r="F35" s="58">
        <v>500</v>
      </c>
      <c r="G35" s="106">
        <v>8</v>
      </c>
      <c r="H35" s="169">
        <f>F35*G35</f>
        <v>4000</v>
      </c>
      <c r="I35" s="170"/>
      <c r="J35" s="17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8"/>
      <c r="B36" s="26" t="s">
        <v>69</v>
      </c>
      <c r="C36" s="10"/>
      <c r="D36" s="12">
        <f>C36*1.5</f>
        <v>0</v>
      </c>
      <c r="F36" s="12">
        <v>200</v>
      </c>
      <c r="G36" s="37"/>
      <c r="H36" s="169">
        <f t="shared" ref="H36:H39" si="2">F36*G36</f>
        <v>0</v>
      </c>
      <c r="I36" s="170"/>
      <c r="J36" s="17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6" t="s">
        <v>71</v>
      </c>
      <c r="B37" s="28" t="s">
        <v>65</v>
      </c>
      <c r="C37" s="53">
        <v>481</v>
      </c>
      <c r="D37" s="12">
        <f>C37*111</f>
        <v>53391</v>
      </c>
      <c r="F37" s="12">
        <v>100</v>
      </c>
      <c r="G37" s="39">
        <v>5</v>
      </c>
      <c r="H37" s="169">
        <f t="shared" si="2"/>
        <v>500</v>
      </c>
      <c r="I37" s="170"/>
      <c r="J37" s="17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7"/>
      <c r="B38" s="29" t="s">
        <v>67</v>
      </c>
      <c r="C38" s="54">
        <v>10</v>
      </c>
      <c r="D38" s="12">
        <f>C38*84</f>
        <v>840</v>
      </c>
      <c r="F38" s="30">
        <v>50</v>
      </c>
      <c r="G38" s="39">
        <v>2</v>
      </c>
      <c r="H38" s="169">
        <f t="shared" si="2"/>
        <v>100</v>
      </c>
      <c r="I38" s="170"/>
      <c r="J38" s="17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8"/>
      <c r="B39" s="29" t="s">
        <v>69</v>
      </c>
      <c r="C39" s="52"/>
      <c r="D39" s="31">
        <f>C39*4.5</f>
        <v>0</v>
      </c>
      <c r="F39" s="12">
        <v>20</v>
      </c>
      <c r="G39" s="37"/>
      <c r="H39" s="169">
        <f t="shared" si="2"/>
        <v>0</v>
      </c>
      <c r="I39" s="170"/>
      <c r="J39" s="17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6" t="s">
        <v>75</v>
      </c>
      <c r="B40" s="27" t="s">
        <v>65</v>
      </c>
      <c r="C40" s="63">
        <v>21</v>
      </c>
      <c r="D40" s="12">
        <f>C40*111</f>
        <v>2331</v>
      </c>
      <c r="F40" s="12">
        <v>10</v>
      </c>
      <c r="G40" s="107"/>
      <c r="H40" s="169"/>
      <c r="I40" s="170"/>
      <c r="J40" s="17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7"/>
      <c r="B41" s="27" t="s">
        <v>67</v>
      </c>
      <c r="C41" s="10">
        <v>1</v>
      </c>
      <c r="D41" s="12">
        <f>C41*84</f>
        <v>84</v>
      </c>
      <c r="F41" s="12">
        <v>5</v>
      </c>
      <c r="G41" s="107"/>
      <c r="H41" s="169"/>
      <c r="I41" s="170"/>
      <c r="J41" s="17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8"/>
      <c r="B42" s="27" t="s">
        <v>69</v>
      </c>
      <c r="C42" s="11">
        <v>5</v>
      </c>
      <c r="D42" s="12">
        <f>C42*2.25</f>
        <v>11.25</v>
      </c>
      <c r="F42" s="39" t="s">
        <v>78</v>
      </c>
      <c r="G42" s="169">
        <v>64</v>
      </c>
      <c r="H42" s="170"/>
      <c r="I42" s="170"/>
      <c r="J42" s="17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9" t="s">
        <v>80</v>
      </c>
      <c r="C43" s="11"/>
      <c r="D43" s="12"/>
      <c r="F43" s="59" t="s">
        <v>81</v>
      </c>
      <c r="G43" s="105" t="s">
        <v>82</v>
      </c>
      <c r="H43" s="161" t="s">
        <v>13</v>
      </c>
      <c r="I43" s="162"/>
      <c r="J43" s="16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0"/>
      <c r="B44" s="27" t="s">
        <v>65</v>
      </c>
      <c r="C44" s="10"/>
      <c r="D44" s="12">
        <f>C44*120</f>
        <v>0</v>
      </c>
      <c r="F44" s="37" t="s">
        <v>136</v>
      </c>
      <c r="G44" s="62" t="s">
        <v>156</v>
      </c>
      <c r="H44" s="164">
        <v>87905</v>
      </c>
      <c r="I44" s="164"/>
      <c r="J44" s="16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0"/>
      <c r="B45" s="27" t="s">
        <v>67</v>
      </c>
      <c r="C45" s="33"/>
      <c r="D45" s="12">
        <f>C45*84</f>
        <v>0</v>
      </c>
      <c r="F45" s="37" t="s">
        <v>133</v>
      </c>
      <c r="G45" s="87" t="s">
        <v>157</v>
      </c>
      <c r="H45" s="164">
        <v>171965</v>
      </c>
      <c r="I45" s="164"/>
      <c r="J45" s="164"/>
      <c r="K45" s="21"/>
      <c r="P45" s="4"/>
      <c r="Q45" s="4"/>
      <c r="R45" s="5"/>
    </row>
    <row r="46" spans="1:18" ht="15.75" x14ac:dyDescent="0.25">
      <c r="A46" s="140"/>
      <c r="B46" s="49" t="s">
        <v>69</v>
      </c>
      <c r="C46" s="80"/>
      <c r="D46" s="12">
        <f>C46*1.5</f>
        <v>0</v>
      </c>
      <c r="F46" s="37"/>
      <c r="G46" s="75"/>
      <c r="H46" s="164"/>
      <c r="I46" s="164"/>
      <c r="J46" s="164"/>
      <c r="K46" s="21"/>
      <c r="P46" s="4"/>
      <c r="Q46" s="4"/>
      <c r="R46" s="5"/>
    </row>
    <row r="47" spans="1:18" ht="15.75" x14ac:dyDescent="0.25">
      <c r="A47" s="141"/>
      <c r="B47" s="27"/>
      <c r="C47" s="11"/>
      <c r="D47" s="12"/>
      <c r="F47" s="37"/>
      <c r="G47" s="75"/>
      <c r="H47" s="164"/>
      <c r="I47" s="164"/>
      <c r="J47" s="164"/>
      <c r="K47" s="21"/>
      <c r="P47" s="4"/>
      <c r="Q47" s="4"/>
      <c r="R47" s="5"/>
    </row>
    <row r="48" spans="1:18" ht="15" customHeight="1" x14ac:dyDescent="0.25">
      <c r="A48" s="139" t="s">
        <v>32</v>
      </c>
      <c r="B48" s="27" t="s">
        <v>65</v>
      </c>
      <c r="C48" s="10">
        <v>14</v>
      </c>
      <c r="D48" s="12">
        <f>C48*78</f>
        <v>1092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0"/>
      <c r="B49" s="29" t="s">
        <v>67</v>
      </c>
      <c r="C49" s="33"/>
      <c r="D49" s="12">
        <f>C49*42</f>
        <v>0</v>
      </c>
      <c r="F49" s="145" t="s">
        <v>85</v>
      </c>
      <c r="G49" s="147">
        <f>H34+H35+H36+H37+H38+H39+H40+H41+G42+H44+H45+H46+H47+H48</f>
        <v>323534</v>
      </c>
      <c r="H49" s="148"/>
      <c r="I49" s="148"/>
      <c r="J49" s="14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0"/>
      <c r="B50" s="32" t="s">
        <v>69</v>
      </c>
      <c r="C50" s="11">
        <v>4</v>
      </c>
      <c r="D50" s="12">
        <f>C50*1.5</f>
        <v>6</v>
      </c>
      <c r="F50" s="146"/>
      <c r="G50" s="150"/>
      <c r="H50" s="151"/>
      <c r="I50" s="151"/>
      <c r="J50" s="152"/>
      <c r="O50" t="s">
        <v>112</v>
      </c>
      <c r="P50" s="4">
        <v>1204</v>
      </c>
      <c r="Q50" s="4"/>
      <c r="R50" s="5"/>
    </row>
    <row r="51" spans="1:18" ht="15" customHeight="1" x14ac:dyDescent="0.25">
      <c r="A51" s="140"/>
      <c r="B51" s="27"/>
      <c r="C51" s="10"/>
      <c r="D51" s="31"/>
      <c r="F51" s="153" t="str">
        <f>_xlfn.IFS(H29&gt;G49,"SHORT",H29&lt;G49,"OVER",H29&lt;=G49,"-")</f>
        <v>OVER</v>
      </c>
      <c r="G51" s="155">
        <f>G49-H29</f>
        <v>165.08333333331393</v>
      </c>
      <c r="H51" s="156"/>
      <c r="I51" s="156"/>
      <c r="J51" s="1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140"/>
      <c r="B52" s="29"/>
      <c r="C52" s="33"/>
      <c r="D52" s="45"/>
      <c r="F52" s="154"/>
      <c r="G52" s="158"/>
      <c r="H52" s="159"/>
      <c r="I52" s="159"/>
      <c r="J52" s="1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5" t="s">
        <v>89</v>
      </c>
      <c r="B54" s="126"/>
      <c r="C54" s="127"/>
      <c r="D54" s="131">
        <f>SUM(D34:D53)</f>
        <v>57755.25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8"/>
      <c r="B55" s="129"/>
      <c r="C55" s="130"/>
      <c r="D55" s="13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33" t="s">
        <v>90</v>
      </c>
      <c r="B58" s="134"/>
      <c r="C58" s="134"/>
      <c r="D58" s="135"/>
      <c r="F58" s="133" t="s">
        <v>91</v>
      </c>
      <c r="G58" s="134"/>
      <c r="H58" s="134"/>
      <c r="I58" s="134"/>
      <c r="J58" s="135"/>
    </row>
    <row r="59" spans="1:18" x14ac:dyDescent="0.25">
      <c r="A59" s="136"/>
      <c r="B59" s="137"/>
      <c r="C59" s="137"/>
      <c r="D59" s="138"/>
      <c r="F59" s="136"/>
      <c r="G59" s="137"/>
      <c r="H59" s="137"/>
      <c r="I59" s="137"/>
      <c r="J59" s="13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110" priority="1" operator="containsText" text="OVER">
      <formula>NOT(ISERROR(SEARCH("OVER",F51)))</formula>
    </cfRule>
    <cfRule type="containsText" dxfId="109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B5B9C79B-9156-4B74-8BE3-C3B45CA3B213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CC6A5-4FC2-4787-9161-B5E494A0037F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1" t="s">
        <v>1</v>
      </c>
      <c r="O1" s="221"/>
      <c r="P1" s="102" t="s">
        <v>2</v>
      </c>
      <c r="Q1" s="10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2" t="s">
        <v>7</v>
      </c>
      <c r="B4" s="173"/>
      <c r="C4" s="173"/>
      <c r="D4" s="174"/>
      <c r="F4" s="222" t="s">
        <v>8</v>
      </c>
      <c r="G4" s="224"/>
      <c r="H4" s="226" t="s">
        <v>9</v>
      </c>
      <c r="I4" s="228"/>
      <c r="J4" s="22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6" t="s">
        <v>7</v>
      </c>
      <c r="B5" s="15" t="s">
        <v>11</v>
      </c>
      <c r="C5" s="9" t="s">
        <v>12</v>
      </c>
      <c r="D5" s="25" t="s">
        <v>13</v>
      </c>
      <c r="F5" s="223"/>
      <c r="G5" s="225"/>
      <c r="H5" s="227"/>
      <c r="I5" s="230"/>
      <c r="J5" s="23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7"/>
      <c r="B6" s="16"/>
      <c r="C6" s="10"/>
      <c r="D6" s="13">
        <f t="shared" ref="D6:D28" si="1">C6*L6</f>
        <v>0</v>
      </c>
      <c r="F6" s="232" t="s">
        <v>16</v>
      </c>
      <c r="G6" s="234"/>
      <c r="H6" s="235"/>
      <c r="I6" s="235"/>
      <c r="J6" s="23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7"/>
      <c r="B7" s="16"/>
      <c r="C7" s="10"/>
      <c r="D7" s="13">
        <f t="shared" si="1"/>
        <v>0</v>
      </c>
      <c r="F7" s="233"/>
      <c r="G7" s="237"/>
      <c r="H7" s="238"/>
      <c r="I7" s="238"/>
      <c r="J7" s="23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7"/>
      <c r="B8" s="16"/>
      <c r="C8" s="10"/>
      <c r="D8" s="13">
        <f t="shared" si="1"/>
        <v>0</v>
      </c>
      <c r="F8" s="240" t="s">
        <v>21</v>
      </c>
      <c r="G8" s="241"/>
      <c r="H8" s="242"/>
      <c r="I8" s="242"/>
      <c r="J8" s="24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7"/>
      <c r="B9" s="16"/>
      <c r="C9" s="10"/>
      <c r="D9" s="13">
        <f t="shared" si="1"/>
        <v>0</v>
      </c>
      <c r="F9" s="233"/>
      <c r="G9" s="244"/>
      <c r="H9" s="245"/>
      <c r="I9" s="245"/>
      <c r="J9" s="24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7"/>
      <c r="C10" s="10"/>
      <c r="D10" s="13">
        <f t="shared" si="1"/>
        <v>0</v>
      </c>
      <c r="F10" s="232" t="s">
        <v>26</v>
      </c>
      <c r="G10" s="247"/>
      <c r="H10" s="248"/>
      <c r="I10" s="248"/>
      <c r="J10" s="249"/>
      <c r="K10" s="8"/>
      <c r="L10" s="6">
        <f>R36</f>
        <v>972</v>
      </c>
      <c r="P10" s="4"/>
      <c r="Q10" s="4"/>
      <c r="R10" s="5"/>
    </row>
    <row r="11" spans="1:19" ht="15.75" x14ac:dyDescent="0.25">
      <c r="A11" s="167"/>
      <c r="B11" s="17"/>
      <c r="C11" s="10"/>
      <c r="D11" s="13">
        <f t="shared" si="1"/>
        <v>0</v>
      </c>
      <c r="F11" s="233"/>
      <c r="G11" s="244"/>
      <c r="H11" s="245"/>
      <c r="I11" s="245"/>
      <c r="J11" s="24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7"/>
      <c r="B12" s="17"/>
      <c r="C12" s="10"/>
      <c r="D12" s="48">
        <f t="shared" si="1"/>
        <v>0</v>
      </c>
      <c r="F12" s="250" t="s">
        <v>33</v>
      </c>
      <c r="G12" s="251"/>
      <c r="H12" s="251"/>
      <c r="I12" s="251"/>
      <c r="J12" s="25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7"/>
      <c r="B13" s="17"/>
      <c r="C13" s="10"/>
      <c r="D13" s="48">
        <f t="shared" si="1"/>
        <v>0</v>
      </c>
      <c r="F13" s="253" t="s">
        <v>36</v>
      </c>
      <c r="G13" s="217"/>
      <c r="H13" s="208">
        <f>D29</f>
        <v>0</v>
      </c>
      <c r="I13" s="209"/>
      <c r="J13" s="21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7"/>
      <c r="B14" s="14"/>
      <c r="C14" s="10"/>
      <c r="D14" s="31">
        <f t="shared" si="1"/>
        <v>0</v>
      </c>
      <c r="F14" s="211" t="s">
        <v>38</v>
      </c>
      <c r="G14" s="212"/>
      <c r="H14" s="213">
        <f>D54</f>
        <v>0</v>
      </c>
      <c r="I14" s="214"/>
      <c r="J14" s="21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7"/>
      <c r="B15" s="14"/>
      <c r="C15" s="10"/>
      <c r="D15" s="31">
        <f t="shared" si="1"/>
        <v>0</v>
      </c>
      <c r="F15" s="216" t="s">
        <v>39</v>
      </c>
      <c r="G15" s="217"/>
      <c r="H15" s="218">
        <f>H13-H14</f>
        <v>0</v>
      </c>
      <c r="I15" s="219"/>
      <c r="J15" s="22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8"/>
      <c r="I16" s="178"/>
      <c r="J16" s="17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7"/>
      <c r="C17" s="10"/>
      <c r="D17" s="48">
        <f t="shared" si="1"/>
        <v>0</v>
      </c>
      <c r="F17" s="56"/>
      <c r="G17" s="66" t="s">
        <v>44</v>
      </c>
      <c r="H17" s="189"/>
      <c r="I17" s="189"/>
      <c r="J17" s="18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7"/>
      <c r="B18" s="19"/>
      <c r="C18" s="10"/>
      <c r="D18" s="48">
        <f t="shared" si="1"/>
        <v>0</v>
      </c>
      <c r="F18" s="56"/>
      <c r="G18" s="66" t="s">
        <v>46</v>
      </c>
      <c r="H18" s="189"/>
      <c r="I18" s="189"/>
      <c r="J18" s="18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7"/>
      <c r="B19" s="14"/>
      <c r="C19" s="10"/>
      <c r="D19" s="48">
        <f t="shared" si="1"/>
        <v>0</v>
      </c>
      <c r="F19" s="56"/>
      <c r="G19" s="68" t="s">
        <v>49</v>
      </c>
      <c r="H19" s="190"/>
      <c r="I19" s="190"/>
      <c r="J19" s="19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7"/>
      <c r="B20" s="46"/>
      <c r="C20" s="10"/>
      <c r="D20" s="13">
        <f t="shared" si="1"/>
        <v>0</v>
      </c>
      <c r="F20" s="57"/>
      <c r="G20" s="70" t="s">
        <v>102</v>
      </c>
      <c r="H20" s="178"/>
      <c r="I20" s="178"/>
      <c r="J20" s="17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7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91" t="s">
        <v>13</v>
      </c>
      <c r="I21" s="192"/>
      <c r="J21" s="193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7"/>
      <c r="B22" s="46"/>
      <c r="C22" s="10"/>
      <c r="D22" s="48">
        <f t="shared" si="1"/>
        <v>0</v>
      </c>
      <c r="F22" s="76"/>
      <c r="G22" s="72"/>
      <c r="H22" s="194"/>
      <c r="I22" s="194"/>
      <c r="J22" s="194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7"/>
      <c r="B23" s="14"/>
      <c r="C23" s="10"/>
      <c r="D23" s="48">
        <f t="shared" si="1"/>
        <v>0</v>
      </c>
      <c r="F23" s="77"/>
      <c r="G23" s="78"/>
      <c r="H23" s="195"/>
      <c r="I23" s="164"/>
      <c r="J23" s="16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7"/>
      <c r="B24" s="14"/>
      <c r="C24" s="10"/>
      <c r="D24" s="48">
        <f t="shared" si="1"/>
        <v>0</v>
      </c>
      <c r="F24" s="38"/>
      <c r="G24" s="37"/>
      <c r="H24" s="195"/>
      <c r="I24" s="164"/>
      <c r="J24" s="16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6" t="s">
        <v>13</v>
      </c>
      <c r="I25" s="197"/>
      <c r="J25" s="19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7"/>
      <c r="B26" s="14"/>
      <c r="C26" s="10"/>
      <c r="D26" s="48">
        <f t="shared" si="1"/>
        <v>0</v>
      </c>
      <c r="F26" s="64"/>
      <c r="G26" s="59"/>
      <c r="H26" s="199"/>
      <c r="I26" s="200"/>
      <c r="J26" s="20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7"/>
      <c r="B27" s="14"/>
      <c r="C27" s="10"/>
      <c r="D27" s="44">
        <f t="shared" si="1"/>
        <v>0</v>
      </c>
      <c r="F27" s="25"/>
      <c r="G27" s="79"/>
      <c r="H27" s="202"/>
      <c r="I27" s="203"/>
      <c r="J27" s="20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8"/>
      <c r="B28" s="46"/>
      <c r="C28" s="10"/>
      <c r="D28" s="48">
        <f t="shared" si="1"/>
        <v>0</v>
      </c>
      <c r="F28" s="103"/>
      <c r="G28" s="61"/>
      <c r="H28" s="205"/>
      <c r="I28" s="206"/>
      <c r="J28" s="20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9" t="s">
        <v>36</v>
      </c>
      <c r="B29" s="180"/>
      <c r="C29" s="181"/>
      <c r="D29" s="185">
        <f>SUM(D6:D28)</f>
        <v>0</v>
      </c>
      <c r="F29" s="125" t="s">
        <v>54</v>
      </c>
      <c r="G29" s="187"/>
      <c r="H29" s="147">
        <f>H15-H16-H17-H18-H19-H20-H22-H23-H24+H26+H27</f>
        <v>0</v>
      </c>
      <c r="I29" s="148"/>
      <c r="J29" s="14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2"/>
      <c r="B30" s="183"/>
      <c r="C30" s="184"/>
      <c r="D30" s="186"/>
      <c r="F30" s="128"/>
      <c r="G30" s="188"/>
      <c r="H30" s="150"/>
      <c r="I30" s="151"/>
      <c r="J30" s="15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2" t="s">
        <v>57</v>
      </c>
      <c r="B32" s="173"/>
      <c r="C32" s="173"/>
      <c r="D32" s="174"/>
      <c r="F32" s="175" t="s">
        <v>58</v>
      </c>
      <c r="G32" s="176"/>
      <c r="H32" s="176"/>
      <c r="I32" s="176"/>
      <c r="J32" s="17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175" t="s">
        <v>13</v>
      </c>
      <c r="I33" s="176"/>
      <c r="J33" s="17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6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69"/>
      <c r="I34" s="170"/>
      <c r="J34" s="17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7"/>
      <c r="B35" s="27" t="s">
        <v>67</v>
      </c>
      <c r="C35" s="52"/>
      <c r="D35" s="30">
        <f>C35*84</f>
        <v>0</v>
      </c>
      <c r="F35" s="58">
        <v>500</v>
      </c>
      <c r="G35" s="106"/>
      <c r="H35" s="169"/>
      <c r="I35" s="170"/>
      <c r="J35" s="17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8"/>
      <c r="B36" s="26" t="s">
        <v>69</v>
      </c>
      <c r="C36" s="10"/>
      <c r="D36" s="12">
        <f>C36*1.5</f>
        <v>0</v>
      </c>
      <c r="F36" s="12">
        <v>200</v>
      </c>
      <c r="G36" s="37"/>
      <c r="H36" s="169"/>
      <c r="I36" s="170"/>
      <c r="J36" s="17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9"/>
      <c r="I37" s="170"/>
      <c r="J37" s="17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7"/>
      <c r="B38" s="29" t="s">
        <v>67</v>
      </c>
      <c r="C38" s="54"/>
      <c r="D38" s="12">
        <f>C38*84</f>
        <v>0</v>
      </c>
      <c r="F38" s="30">
        <v>50</v>
      </c>
      <c r="G38" s="39"/>
      <c r="H38" s="169"/>
      <c r="I38" s="170"/>
      <c r="J38" s="17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8"/>
      <c r="B39" s="29" t="s">
        <v>69</v>
      </c>
      <c r="C39" s="52"/>
      <c r="D39" s="31">
        <f>C39*4.5</f>
        <v>0</v>
      </c>
      <c r="F39" s="12">
        <v>20</v>
      </c>
      <c r="G39" s="37"/>
      <c r="H39" s="169"/>
      <c r="I39" s="170"/>
      <c r="J39" s="17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6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169"/>
      <c r="I40" s="170"/>
      <c r="J40" s="17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7"/>
      <c r="B41" s="27" t="s">
        <v>67</v>
      </c>
      <c r="C41" s="10"/>
      <c r="D41" s="12">
        <f>C41*84</f>
        <v>0</v>
      </c>
      <c r="F41" s="12">
        <v>5</v>
      </c>
      <c r="G41" s="107"/>
      <c r="H41" s="169"/>
      <c r="I41" s="170"/>
      <c r="J41" s="17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8"/>
      <c r="B42" s="27" t="s">
        <v>69</v>
      </c>
      <c r="C42" s="11"/>
      <c r="D42" s="12">
        <f>C42*2.25</f>
        <v>0</v>
      </c>
      <c r="F42" s="39" t="s">
        <v>78</v>
      </c>
      <c r="G42" s="169"/>
      <c r="H42" s="170"/>
      <c r="I42" s="170"/>
      <c r="J42" s="17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9" t="s">
        <v>80</v>
      </c>
      <c r="C43" s="11"/>
      <c r="D43" s="12"/>
      <c r="F43" s="59" t="s">
        <v>81</v>
      </c>
      <c r="G43" s="105" t="s">
        <v>82</v>
      </c>
      <c r="H43" s="161" t="s">
        <v>13</v>
      </c>
      <c r="I43" s="162"/>
      <c r="J43" s="163"/>
      <c r="K43" s="21"/>
      <c r="P43" s="4"/>
      <c r="Q43" s="4"/>
      <c r="R43" s="5"/>
    </row>
    <row r="44" spans="1:18" ht="15.75" x14ac:dyDescent="0.25">
      <c r="A44" s="140"/>
      <c r="B44" s="27" t="s">
        <v>65</v>
      </c>
      <c r="C44" s="10"/>
      <c r="D44" s="12">
        <f>C44*120</f>
        <v>0</v>
      </c>
      <c r="F44" s="37"/>
      <c r="G44" s="75"/>
      <c r="H44" s="164"/>
      <c r="I44" s="164"/>
      <c r="J44" s="164"/>
      <c r="K44" s="21"/>
      <c r="P44" s="4"/>
      <c r="Q44" s="4"/>
      <c r="R44" s="5"/>
    </row>
    <row r="45" spans="1:18" ht="15.75" x14ac:dyDescent="0.25">
      <c r="A45" s="140"/>
      <c r="B45" s="27" t="s">
        <v>67</v>
      </c>
      <c r="C45" s="33"/>
      <c r="D45" s="12">
        <f>C45*84</f>
        <v>0</v>
      </c>
      <c r="F45" s="37"/>
      <c r="G45" s="75"/>
      <c r="H45" s="164"/>
      <c r="I45" s="164"/>
      <c r="J45" s="164"/>
      <c r="K45" s="21"/>
      <c r="P45" s="4"/>
      <c r="Q45" s="4"/>
      <c r="R45" s="5"/>
    </row>
    <row r="46" spans="1:18" ht="15.75" x14ac:dyDescent="0.25">
      <c r="A46" s="140"/>
      <c r="B46" s="49" t="s">
        <v>69</v>
      </c>
      <c r="C46" s="80"/>
      <c r="D46" s="12">
        <f>C46*1.5</f>
        <v>0</v>
      </c>
      <c r="F46" s="37"/>
      <c r="G46" s="62"/>
      <c r="H46" s="165"/>
      <c r="I46" s="165"/>
      <c r="J46" s="165"/>
      <c r="K46" s="21"/>
      <c r="P46" s="4"/>
      <c r="Q46" s="4"/>
      <c r="R46" s="5"/>
    </row>
    <row r="47" spans="1:18" ht="15.75" x14ac:dyDescent="0.25">
      <c r="A47" s="141"/>
      <c r="B47" s="27"/>
      <c r="C47" s="11"/>
      <c r="D47" s="12"/>
      <c r="F47" s="59"/>
      <c r="G47" s="59"/>
      <c r="H47" s="142"/>
      <c r="I47" s="143"/>
      <c r="J47" s="144"/>
      <c r="K47" s="21"/>
      <c r="P47" s="4"/>
      <c r="Q47" s="4"/>
      <c r="R47" s="5"/>
    </row>
    <row r="48" spans="1:18" ht="15" customHeight="1" x14ac:dyDescent="0.25">
      <c r="A48" s="139" t="s">
        <v>32</v>
      </c>
      <c r="B48" s="27" t="s">
        <v>65</v>
      </c>
      <c r="C48" s="10"/>
      <c r="D48" s="12">
        <f>C48*78</f>
        <v>0</v>
      </c>
      <c r="F48" s="59"/>
      <c r="G48" s="59"/>
      <c r="H48" s="142"/>
      <c r="I48" s="143"/>
      <c r="J48" s="14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0"/>
      <c r="B49" s="29" t="s">
        <v>67</v>
      </c>
      <c r="C49" s="33"/>
      <c r="D49" s="12">
        <f>C49*42</f>
        <v>0</v>
      </c>
      <c r="F49" s="145" t="s">
        <v>85</v>
      </c>
      <c r="G49" s="147">
        <f>H34+H35+H36+H37+H38+H39+H40+H41+G42+H44+H45+H46</f>
        <v>0</v>
      </c>
      <c r="H49" s="148"/>
      <c r="I49" s="148"/>
      <c r="J49" s="14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0"/>
      <c r="B50" s="32" t="s">
        <v>69</v>
      </c>
      <c r="C50" s="11"/>
      <c r="D50" s="12">
        <f>C50*1.5</f>
        <v>0</v>
      </c>
      <c r="F50" s="146"/>
      <c r="G50" s="150"/>
      <c r="H50" s="151"/>
      <c r="I50" s="151"/>
      <c r="J50" s="152"/>
      <c r="P50" s="4"/>
      <c r="Q50" s="4"/>
      <c r="R50" s="5"/>
    </row>
    <row r="51" spans="1:18" ht="15" customHeight="1" x14ac:dyDescent="0.25">
      <c r="A51" s="140"/>
      <c r="B51" s="27"/>
      <c r="C51" s="10"/>
      <c r="D51" s="31"/>
      <c r="F51" s="153" t="s">
        <v>106</v>
      </c>
      <c r="G51" s="155">
        <f>G49-H29</f>
        <v>0</v>
      </c>
      <c r="H51" s="156"/>
      <c r="I51" s="156"/>
      <c r="J51" s="15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0"/>
      <c r="B52" s="29"/>
      <c r="C52" s="33"/>
      <c r="D52" s="45"/>
      <c r="F52" s="154"/>
      <c r="G52" s="158"/>
      <c r="H52" s="159"/>
      <c r="I52" s="159"/>
      <c r="J52" s="1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5" t="s">
        <v>89</v>
      </c>
      <c r="B54" s="126"/>
      <c r="C54" s="127"/>
      <c r="D54" s="131">
        <f>SUM(D34:D53)</f>
        <v>0</v>
      </c>
      <c r="F54" s="21"/>
      <c r="J54" s="34"/>
    </row>
    <row r="55" spans="1:18" x14ac:dyDescent="0.25">
      <c r="A55" s="128"/>
      <c r="B55" s="129"/>
      <c r="C55" s="130"/>
      <c r="D55" s="13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3" t="s">
        <v>90</v>
      </c>
      <c r="B58" s="134"/>
      <c r="C58" s="134"/>
      <c r="D58" s="135"/>
      <c r="F58" s="133" t="s">
        <v>91</v>
      </c>
      <c r="G58" s="134"/>
      <c r="H58" s="134"/>
      <c r="I58" s="134"/>
      <c r="J58" s="135"/>
    </row>
    <row r="59" spans="1:18" x14ac:dyDescent="0.25">
      <c r="A59" s="136"/>
      <c r="B59" s="137"/>
      <c r="C59" s="137"/>
      <c r="D59" s="138"/>
      <c r="F59" s="136"/>
      <c r="G59" s="137"/>
      <c r="H59" s="137"/>
      <c r="I59" s="137"/>
      <c r="J59" s="13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521D85-DAA8-4134-B1E2-2717632A4151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1" t="s">
        <v>1</v>
      </c>
      <c r="O1" s="221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2" t="s">
        <v>7</v>
      </c>
      <c r="B4" s="173"/>
      <c r="C4" s="173"/>
      <c r="D4" s="174"/>
      <c r="F4" s="222" t="s">
        <v>8</v>
      </c>
      <c r="G4" s="224">
        <v>1</v>
      </c>
      <c r="H4" s="226" t="s">
        <v>9</v>
      </c>
      <c r="I4" s="228">
        <v>46242</v>
      </c>
      <c r="J4" s="22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6" t="s">
        <v>7</v>
      </c>
      <c r="B5" s="15" t="s">
        <v>11</v>
      </c>
      <c r="C5" s="9" t="s">
        <v>12</v>
      </c>
      <c r="D5" s="25" t="s">
        <v>13</v>
      </c>
      <c r="F5" s="223"/>
      <c r="G5" s="225"/>
      <c r="H5" s="227"/>
      <c r="I5" s="230"/>
      <c r="J5" s="23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7"/>
      <c r="B6" s="16" t="s">
        <v>15</v>
      </c>
      <c r="C6" s="10"/>
      <c r="D6" s="13">
        <f t="shared" ref="D6:D28" si="1">C6*L6</f>
        <v>0</v>
      </c>
      <c r="F6" s="232" t="s">
        <v>16</v>
      </c>
      <c r="G6" s="234" t="s">
        <v>99</v>
      </c>
      <c r="H6" s="235"/>
      <c r="I6" s="235"/>
      <c r="J6" s="2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7"/>
      <c r="B7" s="16" t="s">
        <v>18</v>
      </c>
      <c r="C7" s="10"/>
      <c r="D7" s="13">
        <f t="shared" si="1"/>
        <v>0</v>
      </c>
      <c r="F7" s="233"/>
      <c r="G7" s="237"/>
      <c r="H7" s="238"/>
      <c r="I7" s="238"/>
      <c r="J7" s="2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7"/>
      <c r="B8" s="16" t="s">
        <v>20</v>
      </c>
      <c r="C8" s="10"/>
      <c r="D8" s="13">
        <f t="shared" si="1"/>
        <v>0</v>
      </c>
      <c r="F8" s="240" t="s">
        <v>21</v>
      </c>
      <c r="G8" s="241" t="s">
        <v>115</v>
      </c>
      <c r="H8" s="242"/>
      <c r="I8" s="242"/>
      <c r="J8" s="24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7"/>
      <c r="B9" s="16" t="s">
        <v>23</v>
      </c>
      <c r="C9" s="10"/>
      <c r="D9" s="13">
        <f t="shared" si="1"/>
        <v>0</v>
      </c>
      <c r="F9" s="233"/>
      <c r="G9" s="244"/>
      <c r="H9" s="245"/>
      <c r="I9" s="245"/>
      <c r="J9" s="24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7"/>
      <c r="B10" t="s">
        <v>25</v>
      </c>
      <c r="C10" s="10"/>
      <c r="D10" s="13">
        <f t="shared" si="1"/>
        <v>0</v>
      </c>
      <c r="F10" s="232" t="s">
        <v>26</v>
      </c>
      <c r="G10" s="247" t="s">
        <v>108</v>
      </c>
      <c r="H10" s="248"/>
      <c r="I10" s="248"/>
      <c r="J10" s="249"/>
      <c r="K10" s="8"/>
      <c r="L10" s="6">
        <f>R36</f>
        <v>1032</v>
      </c>
      <c r="P10" s="4"/>
      <c r="Q10" s="4"/>
      <c r="R10" s="5"/>
    </row>
    <row r="11" spans="1:18" ht="15.75" x14ac:dyDescent="0.25">
      <c r="A11" s="167"/>
      <c r="B11" s="17" t="s">
        <v>28</v>
      </c>
      <c r="C11" s="10"/>
      <c r="D11" s="13">
        <f t="shared" si="1"/>
        <v>0</v>
      </c>
      <c r="F11" s="233"/>
      <c r="G11" s="244"/>
      <c r="H11" s="245"/>
      <c r="I11" s="245"/>
      <c r="J11" s="24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7"/>
      <c r="B12" s="17" t="s">
        <v>30</v>
      </c>
      <c r="C12" s="10"/>
      <c r="D12" s="48">
        <f t="shared" si="1"/>
        <v>0</v>
      </c>
      <c r="F12" s="250" t="s">
        <v>33</v>
      </c>
      <c r="G12" s="251"/>
      <c r="H12" s="251"/>
      <c r="I12" s="251"/>
      <c r="J12" s="25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7"/>
      <c r="B13" s="17" t="s">
        <v>32</v>
      </c>
      <c r="C13" s="10"/>
      <c r="D13" s="48">
        <f t="shared" si="1"/>
        <v>0</v>
      </c>
      <c r="F13" s="253" t="s">
        <v>36</v>
      </c>
      <c r="G13" s="217"/>
      <c r="H13" s="208">
        <f>D29</f>
        <v>0</v>
      </c>
      <c r="I13" s="209"/>
      <c r="J13" s="21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7"/>
      <c r="B14" s="14" t="s">
        <v>35</v>
      </c>
      <c r="C14" s="10"/>
      <c r="D14" s="31">
        <f t="shared" si="1"/>
        <v>0</v>
      </c>
      <c r="F14" s="211" t="s">
        <v>38</v>
      </c>
      <c r="G14" s="212"/>
      <c r="H14" s="213">
        <f>D54</f>
        <v>0</v>
      </c>
      <c r="I14" s="214"/>
      <c r="J14" s="215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7"/>
      <c r="B15" s="14" t="s">
        <v>117</v>
      </c>
      <c r="C15" s="10"/>
      <c r="D15" s="31">
        <f t="shared" si="1"/>
        <v>0</v>
      </c>
      <c r="F15" s="216" t="s">
        <v>39</v>
      </c>
      <c r="G15" s="217"/>
      <c r="H15" s="218">
        <f>H13-H14</f>
        <v>0</v>
      </c>
      <c r="I15" s="219"/>
      <c r="J15" s="22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7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8"/>
      <c r="I16" s="178"/>
      <c r="J16" s="17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7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9"/>
      <c r="I17" s="189"/>
      <c r="J17" s="18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7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9"/>
      <c r="I18" s="189"/>
      <c r="J18" s="18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7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8"/>
      <c r="I19" s="178"/>
      <c r="J19" s="17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7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8"/>
      <c r="I20" s="178"/>
      <c r="J20" s="17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7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91" t="s">
        <v>13</v>
      </c>
      <c r="I21" s="192"/>
      <c r="J21" s="19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7"/>
      <c r="B22" s="46" t="s">
        <v>103</v>
      </c>
      <c r="C22" s="10"/>
      <c r="D22" s="48">
        <f t="shared" si="1"/>
        <v>0</v>
      </c>
      <c r="F22" s="76"/>
      <c r="G22" s="72"/>
      <c r="H22" s="194"/>
      <c r="I22" s="194"/>
      <c r="J22" s="19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7"/>
      <c r="B23" s="14" t="s">
        <v>116</v>
      </c>
      <c r="C23" s="10"/>
      <c r="D23" s="48">
        <f t="shared" si="1"/>
        <v>0</v>
      </c>
      <c r="F23" s="76"/>
      <c r="G23" s="78"/>
      <c r="H23" s="259"/>
      <c r="I23" s="260"/>
      <c r="J23" s="26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7"/>
      <c r="B24" s="14" t="s">
        <v>123</v>
      </c>
      <c r="C24" s="10"/>
      <c r="D24" s="48">
        <f t="shared" si="1"/>
        <v>0</v>
      </c>
      <c r="F24" s="76"/>
      <c r="G24" s="78"/>
      <c r="H24" s="259"/>
      <c r="I24" s="260"/>
      <c r="J24" s="26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6" t="s">
        <v>13</v>
      </c>
      <c r="I25" s="197"/>
      <c r="J25" s="19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7"/>
      <c r="B26" s="14" t="s">
        <v>124</v>
      </c>
      <c r="C26" s="10"/>
      <c r="D26" s="48">
        <f t="shared" si="1"/>
        <v>0</v>
      </c>
      <c r="F26" s="74"/>
      <c r="G26" s="65"/>
      <c r="H26" s="164"/>
      <c r="I26" s="164"/>
      <c r="J26" s="16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7"/>
      <c r="B27" s="14" t="s">
        <v>125</v>
      </c>
      <c r="C27" s="10"/>
      <c r="D27" s="44">
        <f t="shared" si="1"/>
        <v>0</v>
      </c>
      <c r="F27" s="71"/>
      <c r="G27" s="105"/>
      <c r="H27" s="261"/>
      <c r="I27" s="262"/>
      <c r="J27" s="26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8"/>
      <c r="B28" s="46" t="s">
        <v>92</v>
      </c>
      <c r="C28" s="10"/>
      <c r="D28" s="48">
        <f t="shared" si="1"/>
        <v>0</v>
      </c>
      <c r="F28" s="103"/>
      <c r="G28" s="61"/>
      <c r="H28" s="205"/>
      <c r="I28" s="206"/>
      <c r="J28" s="20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9" t="s">
        <v>36</v>
      </c>
      <c r="B29" s="180"/>
      <c r="C29" s="181"/>
      <c r="D29" s="185">
        <f>SUM(D6:D28)</f>
        <v>0</v>
      </c>
      <c r="F29" s="125" t="s">
        <v>54</v>
      </c>
      <c r="G29" s="187"/>
      <c r="H29" s="147">
        <f>H15-H16-H17-H18-H19-H20-H22-H23-H24+H26+H27+H28</f>
        <v>0</v>
      </c>
      <c r="I29" s="148"/>
      <c r="J29" s="14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2"/>
      <c r="B30" s="183"/>
      <c r="C30" s="184"/>
      <c r="D30" s="186"/>
      <c r="F30" s="128"/>
      <c r="G30" s="188"/>
      <c r="H30" s="150"/>
      <c r="I30" s="151"/>
      <c r="J30" s="15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2" t="s">
        <v>57</v>
      </c>
      <c r="B32" s="173"/>
      <c r="C32" s="173"/>
      <c r="D32" s="174"/>
      <c r="F32" s="175" t="s">
        <v>58</v>
      </c>
      <c r="G32" s="176"/>
      <c r="H32" s="176"/>
      <c r="I32" s="176"/>
      <c r="J32" s="17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175" t="s">
        <v>13</v>
      </c>
      <c r="I33" s="176"/>
      <c r="J33" s="17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6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69">
        <f t="shared" ref="H34:H39" si="2">F34*G34</f>
        <v>0</v>
      </c>
      <c r="I34" s="170"/>
      <c r="J34" s="17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7"/>
      <c r="B35" s="27" t="s">
        <v>67</v>
      </c>
      <c r="C35" s="52"/>
      <c r="D35" s="30">
        <f>C35*84</f>
        <v>0</v>
      </c>
      <c r="F35" s="58">
        <v>500</v>
      </c>
      <c r="G35" s="106"/>
      <c r="H35" s="169">
        <f t="shared" si="2"/>
        <v>0</v>
      </c>
      <c r="I35" s="170"/>
      <c r="J35" s="17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8"/>
      <c r="B36" s="26" t="s">
        <v>69</v>
      </c>
      <c r="C36" s="10"/>
      <c r="D36" s="12">
        <f>C36*1.5</f>
        <v>0</v>
      </c>
      <c r="F36" s="12">
        <v>200</v>
      </c>
      <c r="G36" s="37"/>
      <c r="H36" s="169">
        <f t="shared" si="2"/>
        <v>0</v>
      </c>
      <c r="I36" s="170"/>
      <c r="J36" s="17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9">
        <f t="shared" si="2"/>
        <v>0</v>
      </c>
      <c r="I37" s="170"/>
      <c r="J37" s="17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7"/>
      <c r="B38" s="29" t="s">
        <v>67</v>
      </c>
      <c r="C38" s="54"/>
      <c r="D38" s="12">
        <f>C38*84</f>
        <v>0</v>
      </c>
      <c r="F38" s="30">
        <v>50</v>
      </c>
      <c r="G38" s="39"/>
      <c r="H38" s="169">
        <f t="shared" si="2"/>
        <v>0</v>
      </c>
      <c r="I38" s="170"/>
      <c r="J38" s="17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8"/>
      <c r="B39" s="29" t="s">
        <v>69</v>
      </c>
      <c r="C39" s="52"/>
      <c r="D39" s="31">
        <f>C39*4.5</f>
        <v>0</v>
      </c>
      <c r="F39" s="12">
        <v>20</v>
      </c>
      <c r="G39" s="37"/>
      <c r="H39" s="169">
        <f t="shared" si="2"/>
        <v>0</v>
      </c>
      <c r="I39" s="170"/>
      <c r="J39" s="17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6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257"/>
      <c r="I40" s="258"/>
      <c r="J40" s="19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7"/>
      <c r="B41" s="27" t="s">
        <v>67</v>
      </c>
      <c r="C41" s="10"/>
      <c r="D41" s="12">
        <f>C41*84</f>
        <v>0</v>
      </c>
      <c r="F41" s="12">
        <v>5</v>
      </c>
      <c r="G41" s="107"/>
      <c r="H41" s="169"/>
      <c r="I41" s="170"/>
      <c r="J41" s="17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8"/>
      <c r="B42" s="27" t="s">
        <v>69</v>
      </c>
      <c r="C42" s="11"/>
      <c r="D42" s="12">
        <f>C42*2.25</f>
        <v>0</v>
      </c>
      <c r="F42" s="39" t="s">
        <v>78</v>
      </c>
      <c r="G42" s="169"/>
      <c r="H42" s="170"/>
      <c r="I42" s="170"/>
      <c r="J42" s="17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9" t="s">
        <v>80</v>
      </c>
      <c r="C43" s="11"/>
      <c r="D43" s="12"/>
      <c r="F43" s="59" t="s">
        <v>81</v>
      </c>
      <c r="G43" s="105" t="s">
        <v>82</v>
      </c>
      <c r="H43" s="161" t="s">
        <v>13</v>
      </c>
      <c r="I43" s="162"/>
      <c r="J43" s="16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0"/>
      <c r="B44" s="27" t="s">
        <v>65</v>
      </c>
      <c r="C44" s="10"/>
      <c r="D44" s="12">
        <f>C44*120</f>
        <v>0</v>
      </c>
      <c r="F44" s="37"/>
      <c r="G44" s="87"/>
      <c r="H44" s="164"/>
      <c r="I44" s="164"/>
      <c r="J44" s="16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0"/>
      <c r="B45" s="27" t="s">
        <v>67</v>
      </c>
      <c r="C45" s="33"/>
      <c r="D45" s="12">
        <f>C45*84</f>
        <v>0</v>
      </c>
      <c r="F45" s="37"/>
      <c r="G45" s="87"/>
      <c r="H45" s="164"/>
      <c r="I45" s="164"/>
      <c r="J45" s="164"/>
      <c r="K45" s="21"/>
      <c r="P45" s="4"/>
      <c r="Q45" s="4"/>
      <c r="R45" s="5"/>
    </row>
    <row r="46" spans="1:18" ht="15.75" x14ac:dyDescent="0.25">
      <c r="A46" s="140"/>
      <c r="B46" s="49" t="s">
        <v>69</v>
      </c>
      <c r="C46" s="80"/>
      <c r="D46" s="12">
        <f>C46*1.5</f>
        <v>0</v>
      </c>
      <c r="F46" s="37"/>
      <c r="G46" s="62"/>
      <c r="H46" s="164"/>
      <c r="I46" s="164"/>
      <c r="J46" s="164"/>
      <c r="K46" s="21"/>
      <c r="P46" s="4"/>
      <c r="Q46" s="4"/>
      <c r="R46" s="5"/>
    </row>
    <row r="47" spans="1:18" ht="15.75" x14ac:dyDescent="0.25">
      <c r="A47" s="141"/>
      <c r="B47" s="27"/>
      <c r="C47" s="11"/>
      <c r="D47" s="12"/>
      <c r="F47" s="59"/>
      <c r="G47" s="59"/>
      <c r="H47" s="254"/>
      <c r="I47" s="255"/>
      <c r="J47" s="256"/>
      <c r="K47" s="21"/>
      <c r="P47" s="4"/>
      <c r="Q47" s="4"/>
      <c r="R47" s="5"/>
    </row>
    <row r="48" spans="1:18" ht="15" customHeight="1" x14ac:dyDescent="0.25">
      <c r="A48" s="139" t="s">
        <v>32</v>
      </c>
      <c r="B48" s="27" t="s">
        <v>65</v>
      </c>
      <c r="C48" s="10"/>
      <c r="D48" s="12">
        <f>C48*78</f>
        <v>0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0"/>
      <c r="B49" s="29" t="s">
        <v>67</v>
      </c>
      <c r="C49" s="33"/>
      <c r="D49" s="12">
        <f>C49*42</f>
        <v>0</v>
      </c>
      <c r="F49" s="145" t="s">
        <v>85</v>
      </c>
      <c r="G49" s="147">
        <f>H34+H35+H36+H37+H38+H39+H40+H41+G42+H44+H45+H46+H47+H48</f>
        <v>0</v>
      </c>
      <c r="H49" s="148"/>
      <c r="I49" s="148"/>
      <c r="J49" s="14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0"/>
      <c r="B50" s="32" t="s">
        <v>69</v>
      </c>
      <c r="C50" s="11"/>
      <c r="D50" s="12">
        <f>C50*1.5</f>
        <v>0</v>
      </c>
      <c r="F50" s="146"/>
      <c r="G50" s="150"/>
      <c r="H50" s="151"/>
      <c r="I50" s="151"/>
      <c r="J50" s="152"/>
      <c r="O50" t="s">
        <v>112</v>
      </c>
      <c r="P50" s="4">
        <v>1204</v>
      </c>
      <c r="Q50" s="4"/>
      <c r="R50" s="5"/>
    </row>
    <row r="51" spans="1:18" ht="15" customHeight="1" x14ac:dyDescent="0.25">
      <c r="A51" s="140"/>
      <c r="B51" s="27"/>
      <c r="C51" s="10"/>
      <c r="D51" s="31"/>
      <c r="F51" s="153" t="str">
        <f>_xlfn.IFS(H29&gt;G49,"SHORT",H29&lt;G49,"OVER",H29&lt;=G49,"-")</f>
        <v>-</v>
      </c>
      <c r="G51" s="155">
        <f>G49-H29</f>
        <v>0</v>
      </c>
      <c r="H51" s="156"/>
      <c r="I51" s="156"/>
      <c r="J51" s="1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0"/>
      <c r="B52" s="29"/>
      <c r="C52" s="33"/>
      <c r="D52" s="45"/>
      <c r="F52" s="154"/>
      <c r="G52" s="158"/>
      <c r="H52" s="159"/>
      <c r="I52" s="159"/>
      <c r="J52" s="1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5" t="s">
        <v>89</v>
      </c>
      <c r="B54" s="126"/>
      <c r="C54" s="127"/>
      <c r="D54" s="13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8"/>
      <c r="B55" s="129"/>
      <c r="C55" s="130"/>
      <c r="D55" s="13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33" t="s">
        <v>90</v>
      </c>
      <c r="B58" s="134"/>
      <c r="C58" s="134"/>
      <c r="D58" s="135"/>
      <c r="F58" s="133" t="s">
        <v>91</v>
      </c>
      <c r="G58" s="134"/>
      <c r="H58" s="134"/>
      <c r="I58" s="134"/>
      <c r="J58" s="135"/>
    </row>
    <row r="59" spans="1:18" x14ac:dyDescent="0.25">
      <c r="A59" s="136"/>
      <c r="B59" s="137"/>
      <c r="C59" s="137"/>
      <c r="D59" s="138"/>
      <c r="F59" s="136"/>
      <c r="G59" s="137"/>
      <c r="H59" s="137"/>
      <c r="I59" s="137"/>
      <c r="J59" s="138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107" priority="1" operator="containsText" text="OVER">
      <formula>NOT(ISERROR(SEARCH("OVER",F51)))</formula>
    </cfRule>
    <cfRule type="containsText" dxfId="106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9A6CF81A-B71A-4CE0-B3EE-B46F5FCF477E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6A2F8-687C-48AC-8E55-8F5A59F9182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1" t="s">
        <v>1</v>
      </c>
      <c r="O1" s="221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2" t="s">
        <v>7</v>
      </c>
      <c r="B4" s="173"/>
      <c r="C4" s="173"/>
      <c r="D4" s="174"/>
      <c r="F4" s="222" t="s">
        <v>8</v>
      </c>
      <c r="G4" s="224">
        <v>2</v>
      </c>
      <c r="H4" s="226" t="s">
        <v>9</v>
      </c>
      <c r="I4" s="228">
        <v>46242</v>
      </c>
      <c r="J4" s="22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6" t="s">
        <v>7</v>
      </c>
      <c r="B5" s="15" t="s">
        <v>11</v>
      </c>
      <c r="C5" s="9" t="s">
        <v>12</v>
      </c>
      <c r="D5" s="25" t="s">
        <v>13</v>
      </c>
      <c r="F5" s="223"/>
      <c r="G5" s="225"/>
      <c r="H5" s="227"/>
      <c r="I5" s="230"/>
      <c r="J5" s="23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7"/>
      <c r="B6" s="16" t="s">
        <v>15</v>
      </c>
      <c r="C6" s="10">
        <v>273</v>
      </c>
      <c r="D6" s="13">
        <f t="shared" ref="D6:D28" si="1">C6*L6</f>
        <v>207753</v>
      </c>
      <c r="F6" s="232" t="s">
        <v>16</v>
      </c>
      <c r="G6" s="234" t="s">
        <v>107</v>
      </c>
      <c r="H6" s="235"/>
      <c r="I6" s="235"/>
      <c r="J6" s="2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7"/>
      <c r="B7" s="16" t="s">
        <v>18</v>
      </c>
      <c r="C7" s="10">
        <v>9</v>
      </c>
      <c r="D7" s="13">
        <f t="shared" si="1"/>
        <v>7029</v>
      </c>
      <c r="F7" s="233"/>
      <c r="G7" s="237"/>
      <c r="H7" s="238"/>
      <c r="I7" s="238"/>
      <c r="J7" s="2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7"/>
      <c r="B8" s="16" t="s">
        <v>20</v>
      </c>
      <c r="C8" s="10"/>
      <c r="D8" s="13">
        <f t="shared" si="1"/>
        <v>0</v>
      </c>
      <c r="F8" s="240" t="s">
        <v>21</v>
      </c>
      <c r="G8" s="241" t="s">
        <v>100</v>
      </c>
      <c r="H8" s="242"/>
      <c r="I8" s="242"/>
      <c r="J8" s="24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7"/>
      <c r="B9" s="16" t="s">
        <v>23</v>
      </c>
      <c r="C9" s="10">
        <v>12</v>
      </c>
      <c r="D9" s="13">
        <f t="shared" si="1"/>
        <v>8796</v>
      </c>
      <c r="F9" s="233"/>
      <c r="G9" s="244"/>
      <c r="H9" s="245"/>
      <c r="I9" s="245"/>
      <c r="J9" s="24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7"/>
      <c r="B10" t="s">
        <v>25</v>
      </c>
      <c r="C10" s="10"/>
      <c r="D10" s="13">
        <f t="shared" si="1"/>
        <v>0</v>
      </c>
      <c r="F10" s="232" t="s">
        <v>26</v>
      </c>
      <c r="G10" s="247" t="s">
        <v>101</v>
      </c>
      <c r="H10" s="248"/>
      <c r="I10" s="248"/>
      <c r="J10" s="249"/>
      <c r="K10" s="8"/>
      <c r="L10" s="6">
        <f>R36</f>
        <v>1032</v>
      </c>
      <c r="P10" s="4"/>
      <c r="Q10" s="4"/>
      <c r="R10" s="5"/>
    </row>
    <row r="11" spans="1:18" ht="15.75" x14ac:dyDescent="0.25">
      <c r="A11" s="167"/>
      <c r="B11" s="17" t="s">
        <v>28</v>
      </c>
      <c r="C11" s="10"/>
      <c r="D11" s="13">
        <f t="shared" si="1"/>
        <v>0</v>
      </c>
      <c r="F11" s="233"/>
      <c r="G11" s="244"/>
      <c r="H11" s="245"/>
      <c r="I11" s="245"/>
      <c r="J11" s="24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7"/>
      <c r="B12" s="17" t="s">
        <v>30</v>
      </c>
      <c r="C12" s="10"/>
      <c r="D12" s="48">
        <f t="shared" si="1"/>
        <v>0</v>
      </c>
      <c r="F12" s="250" t="s">
        <v>33</v>
      </c>
      <c r="G12" s="251"/>
      <c r="H12" s="251"/>
      <c r="I12" s="251"/>
      <c r="J12" s="25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7"/>
      <c r="B13" s="17" t="s">
        <v>32</v>
      </c>
      <c r="C13" s="10">
        <v>11</v>
      </c>
      <c r="D13" s="48">
        <f t="shared" si="1"/>
        <v>3377</v>
      </c>
      <c r="F13" s="253" t="s">
        <v>36</v>
      </c>
      <c r="G13" s="217"/>
      <c r="H13" s="208">
        <f>D29</f>
        <v>226955</v>
      </c>
      <c r="I13" s="209"/>
      <c r="J13" s="21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7"/>
      <c r="B14" s="14" t="s">
        <v>35</v>
      </c>
      <c r="C14" s="10"/>
      <c r="D14" s="31">
        <f t="shared" si="1"/>
        <v>0</v>
      </c>
      <c r="F14" s="211" t="s">
        <v>38</v>
      </c>
      <c r="G14" s="212"/>
      <c r="H14" s="213">
        <f>D54</f>
        <v>33465.75</v>
      </c>
      <c r="I14" s="214"/>
      <c r="J14" s="215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7"/>
      <c r="B15" s="14" t="s">
        <v>117</v>
      </c>
      <c r="C15" s="10"/>
      <c r="D15" s="31">
        <f t="shared" si="1"/>
        <v>0</v>
      </c>
      <c r="F15" s="216" t="s">
        <v>39</v>
      </c>
      <c r="G15" s="217"/>
      <c r="H15" s="218">
        <f>H13-H14</f>
        <v>193489.25</v>
      </c>
      <c r="I15" s="219"/>
      <c r="J15" s="22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7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8">
        <v>1350</v>
      </c>
      <c r="I16" s="178"/>
      <c r="J16" s="17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7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9"/>
      <c r="I17" s="189"/>
      <c r="J17" s="18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7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9"/>
      <c r="I18" s="189"/>
      <c r="J18" s="18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7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3"/>
      <c r="I19" s="263"/>
      <c r="J19" s="26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7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8"/>
      <c r="I20" s="178"/>
      <c r="J20" s="17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7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91" t="s">
        <v>13</v>
      </c>
      <c r="I21" s="192"/>
      <c r="J21" s="193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7"/>
      <c r="B22" s="46" t="s">
        <v>103</v>
      </c>
      <c r="C22" s="10"/>
      <c r="D22" s="48">
        <f t="shared" si="1"/>
        <v>0</v>
      </c>
      <c r="F22" s="76"/>
      <c r="G22" s="72"/>
      <c r="H22" s="194"/>
      <c r="I22" s="194"/>
      <c r="J22" s="19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7"/>
      <c r="B23" s="14" t="s">
        <v>116</v>
      </c>
      <c r="C23" s="10"/>
      <c r="D23" s="48">
        <f t="shared" si="1"/>
        <v>0</v>
      </c>
      <c r="F23" s="77"/>
      <c r="G23" s="78"/>
      <c r="H23" s="264"/>
      <c r="I23" s="194"/>
      <c r="J23" s="19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7"/>
      <c r="B24" s="14" t="s">
        <v>123</v>
      </c>
      <c r="C24" s="10"/>
      <c r="D24" s="48">
        <f t="shared" si="1"/>
        <v>0</v>
      </c>
      <c r="F24" s="38"/>
      <c r="G24" s="37"/>
      <c r="H24" s="195"/>
      <c r="I24" s="164"/>
      <c r="J24" s="16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6" t="s">
        <v>13</v>
      </c>
      <c r="I25" s="197"/>
      <c r="J25" s="19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7"/>
      <c r="B26" s="14" t="s">
        <v>124</v>
      </c>
      <c r="C26" s="10"/>
      <c r="D26" s="48">
        <f t="shared" si="1"/>
        <v>0</v>
      </c>
      <c r="F26" s="64" t="s">
        <v>132</v>
      </c>
      <c r="G26" s="59">
        <v>11720</v>
      </c>
      <c r="H26" s="199">
        <v>67927</v>
      </c>
      <c r="I26" s="200"/>
      <c r="J26" s="20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7"/>
      <c r="B27" s="14" t="s">
        <v>125</v>
      </c>
      <c r="C27" s="10"/>
      <c r="D27" s="44">
        <f t="shared" si="1"/>
        <v>0</v>
      </c>
      <c r="F27" s="25"/>
      <c r="G27" s="79"/>
      <c r="H27" s="202"/>
      <c r="I27" s="203"/>
      <c r="J27" s="20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8"/>
      <c r="B28" s="46" t="s">
        <v>92</v>
      </c>
      <c r="C28" s="10"/>
      <c r="D28" s="48">
        <f t="shared" si="1"/>
        <v>0</v>
      </c>
      <c r="F28" s="103"/>
      <c r="G28" s="61"/>
      <c r="H28" s="205"/>
      <c r="I28" s="206"/>
      <c r="J28" s="20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9" t="s">
        <v>36</v>
      </c>
      <c r="B29" s="180"/>
      <c r="C29" s="181"/>
      <c r="D29" s="185">
        <f>SUM(D6:D28)</f>
        <v>226955</v>
      </c>
      <c r="F29" s="125" t="s">
        <v>54</v>
      </c>
      <c r="G29" s="187"/>
      <c r="H29" s="147">
        <f>H15-H16-H17-H18-H19-H20-H22-H23-H24+H26+H27</f>
        <v>260066.25</v>
      </c>
      <c r="I29" s="148"/>
      <c r="J29" s="14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2"/>
      <c r="B30" s="183"/>
      <c r="C30" s="184"/>
      <c r="D30" s="186"/>
      <c r="F30" s="128"/>
      <c r="G30" s="188"/>
      <c r="H30" s="150"/>
      <c r="I30" s="151"/>
      <c r="J30" s="15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2" t="s">
        <v>57</v>
      </c>
      <c r="B32" s="173"/>
      <c r="C32" s="173"/>
      <c r="D32" s="174"/>
      <c r="F32" s="175" t="s">
        <v>58</v>
      </c>
      <c r="G32" s="176"/>
      <c r="H32" s="176"/>
      <c r="I32" s="176"/>
      <c r="J32" s="17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175" t="s">
        <v>13</v>
      </c>
      <c r="I33" s="176"/>
      <c r="J33" s="17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6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100</v>
      </c>
      <c r="H34" s="169">
        <f>F34*G34</f>
        <v>100000</v>
      </c>
      <c r="I34" s="170"/>
      <c r="J34" s="17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7"/>
      <c r="B35" s="27" t="s">
        <v>67</v>
      </c>
      <c r="C35" s="52"/>
      <c r="D35" s="30">
        <f>C35*84</f>
        <v>0</v>
      </c>
      <c r="F35" s="58">
        <v>500</v>
      </c>
      <c r="G35" s="106">
        <v>319</v>
      </c>
      <c r="H35" s="169">
        <f>F35*G35</f>
        <v>159500</v>
      </c>
      <c r="I35" s="170"/>
      <c r="J35" s="17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8"/>
      <c r="B36" s="26" t="s">
        <v>69</v>
      </c>
      <c r="C36" s="10"/>
      <c r="D36" s="12">
        <f>C36*1.5</f>
        <v>0</v>
      </c>
      <c r="F36" s="12">
        <v>200</v>
      </c>
      <c r="G36" s="37"/>
      <c r="H36" s="169">
        <f t="shared" ref="H36:H39" si="2">F36*G36</f>
        <v>0</v>
      </c>
      <c r="I36" s="170"/>
      <c r="J36" s="17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6" t="s">
        <v>71</v>
      </c>
      <c r="B37" s="28" t="s">
        <v>65</v>
      </c>
      <c r="C37" s="53">
        <v>293</v>
      </c>
      <c r="D37" s="12">
        <f>C37*111</f>
        <v>32523</v>
      </c>
      <c r="F37" s="12">
        <v>100</v>
      </c>
      <c r="G37" s="39">
        <v>4</v>
      </c>
      <c r="H37" s="169">
        <f t="shared" si="2"/>
        <v>400</v>
      </c>
      <c r="I37" s="170"/>
      <c r="J37" s="17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7"/>
      <c r="B38" s="29" t="s">
        <v>67</v>
      </c>
      <c r="C38" s="54">
        <v>1</v>
      </c>
      <c r="D38" s="12">
        <f>C38*84</f>
        <v>84</v>
      </c>
      <c r="F38" s="30">
        <v>50</v>
      </c>
      <c r="G38" s="39"/>
      <c r="H38" s="169">
        <f t="shared" si="2"/>
        <v>0</v>
      </c>
      <c r="I38" s="170"/>
      <c r="J38" s="17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8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169">
        <f t="shared" si="2"/>
        <v>0</v>
      </c>
      <c r="I39" s="170"/>
      <c r="J39" s="17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6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169"/>
      <c r="I40" s="170"/>
      <c r="J40" s="17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7"/>
      <c r="B41" s="27" t="s">
        <v>67</v>
      </c>
      <c r="C41" s="10">
        <v>1</v>
      </c>
      <c r="D41" s="12">
        <f>C41*84</f>
        <v>84</v>
      </c>
      <c r="F41" s="12">
        <v>5</v>
      </c>
      <c r="G41" s="107"/>
      <c r="H41" s="169"/>
      <c r="I41" s="170"/>
      <c r="J41" s="17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8"/>
      <c r="B42" s="27" t="s">
        <v>69</v>
      </c>
      <c r="C42" s="11">
        <v>3</v>
      </c>
      <c r="D42" s="12">
        <f>C42*2.25</f>
        <v>6.75</v>
      </c>
      <c r="F42" s="39" t="s">
        <v>78</v>
      </c>
      <c r="G42" s="169">
        <v>52</v>
      </c>
      <c r="H42" s="170"/>
      <c r="I42" s="170"/>
      <c r="J42" s="17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9" t="s">
        <v>80</v>
      </c>
      <c r="C43" s="11"/>
      <c r="D43" s="12"/>
      <c r="F43" s="59" t="s">
        <v>81</v>
      </c>
      <c r="G43" s="105" t="s">
        <v>82</v>
      </c>
      <c r="H43" s="161" t="s">
        <v>13</v>
      </c>
      <c r="I43" s="162"/>
      <c r="J43" s="16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0"/>
      <c r="B44" s="27" t="s">
        <v>65</v>
      </c>
      <c r="C44" s="10">
        <v>1</v>
      </c>
      <c r="D44" s="12">
        <f>C44*120</f>
        <v>120</v>
      </c>
      <c r="F44" s="37"/>
      <c r="G44" s="62"/>
      <c r="H44" s="164"/>
      <c r="I44" s="164"/>
      <c r="J44" s="16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0"/>
      <c r="B45" s="27" t="s">
        <v>67</v>
      </c>
      <c r="C45" s="33"/>
      <c r="D45" s="12">
        <f>C45*84</f>
        <v>0</v>
      </c>
      <c r="F45" s="37"/>
      <c r="G45" s="75"/>
      <c r="H45" s="164"/>
      <c r="I45" s="164"/>
      <c r="J45" s="164"/>
      <c r="K45" s="21"/>
      <c r="P45" s="4"/>
      <c r="Q45" s="4"/>
      <c r="R45" s="5"/>
    </row>
    <row r="46" spans="1:18" ht="15.75" x14ac:dyDescent="0.25">
      <c r="A46" s="140"/>
      <c r="B46" s="49" t="s">
        <v>69</v>
      </c>
      <c r="C46" s="80"/>
      <c r="D46" s="12">
        <f>C46*1.5</f>
        <v>0</v>
      </c>
      <c r="F46" s="37"/>
      <c r="G46" s="62"/>
      <c r="H46" s="164"/>
      <c r="I46" s="164"/>
      <c r="J46" s="164"/>
      <c r="K46" s="21"/>
      <c r="P46" s="4"/>
      <c r="Q46" s="4"/>
      <c r="R46" s="5"/>
    </row>
    <row r="47" spans="1:18" ht="15.75" x14ac:dyDescent="0.25">
      <c r="A47" s="141"/>
      <c r="B47" s="27"/>
      <c r="C47" s="11"/>
      <c r="D47" s="12"/>
      <c r="F47" s="59"/>
      <c r="G47" s="59"/>
      <c r="H47" s="164"/>
      <c r="I47" s="164"/>
      <c r="J47" s="164"/>
      <c r="K47" s="21"/>
      <c r="P47" s="4"/>
      <c r="Q47" s="4"/>
      <c r="R47" s="5"/>
    </row>
    <row r="48" spans="1:18" ht="15" customHeight="1" x14ac:dyDescent="0.25">
      <c r="A48" s="139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0"/>
      <c r="B49" s="29" t="s">
        <v>67</v>
      </c>
      <c r="C49" s="33">
        <v>13</v>
      </c>
      <c r="D49" s="12">
        <f>C49*42</f>
        <v>546</v>
      </c>
      <c r="F49" s="145" t="s">
        <v>85</v>
      </c>
      <c r="G49" s="147">
        <f>H34+H35+H36+H37+H38+H39+H40+H41+G42+H44+H45+H46+H47+H48</f>
        <v>259952</v>
      </c>
      <c r="H49" s="148"/>
      <c r="I49" s="148"/>
      <c r="J49" s="14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0"/>
      <c r="B50" s="32" t="s">
        <v>69</v>
      </c>
      <c r="C50" s="80">
        <v>4</v>
      </c>
      <c r="D50" s="12">
        <f>C50*1.5</f>
        <v>6</v>
      </c>
      <c r="F50" s="146"/>
      <c r="G50" s="150"/>
      <c r="H50" s="151"/>
      <c r="I50" s="151"/>
      <c r="J50" s="152"/>
      <c r="O50" t="s">
        <v>112</v>
      </c>
      <c r="P50" s="4">
        <v>1204</v>
      </c>
      <c r="Q50" s="4"/>
      <c r="R50" s="5"/>
    </row>
    <row r="51" spans="1:18" ht="15" customHeight="1" x14ac:dyDescent="0.25">
      <c r="A51" s="140"/>
      <c r="B51" s="27"/>
      <c r="C51" s="10"/>
      <c r="D51" s="31"/>
      <c r="F51" s="153" t="str">
        <f>_xlfn.IFS(H29&gt;G49,"SHORT",H29&lt;G49,"OVER",H29&lt;=G49,"-")</f>
        <v>SHORT</v>
      </c>
      <c r="G51" s="155">
        <f>G49-H29</f>
        <v>-114.25</v>
      </c>
      <c r="H51" s="156"/>
      <c r="I51" s="156"/>
      <c r="J51" s="1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140"/>
      <c r="B52" s="29"/>
      <c r="C52" s="33"/>
      <c r="D52" s="45"/>
      <c r="F52" s="154"/>
      <c r="G52" s="158"/>
      <c r="H52" s="159"/>
      <c r="I52" s="159"/>
      <c r="J52" s="1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5" t="s">
        <v>89</v>
      </c>
      <c r="B54" s="126"/>
      <c r="C54" s="127"/>
      <c r="D54" s="131">
        <f>SUM(D34:D53)</f>
        <v>33465.75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8"/>
      <c r="B55" s="129"/>
      <c r="C55" s="130"/>
      <c r="D55" s="13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133" t="s">
        <v>90</v>
      </c>
      <c r="B58" s="134"/>
      <c r="C58" s="134"/>
      <c r="D58" s="135"/>
      <c r="F58" s="133" t="s">
        <v>91</v>
      </c>
      <c r="G58" s="134"/>
      <c r="H58" s="134"/>
      <c r="I58" s="134"/>
      <c r="J58" s="135"/>
    </row>
    <row r="59" spans="1:18" x14ac:dyDescent="0.25">
      <c r="A59" s="136"/>
      <c r="B59" s="137"/>
      <c r="C59" s="137"/>
      <c r="D59" s="138"/>
      <c r="F59" s="136"/>
      <c r="G59" s="137"/>
      <c r="H59" s="137"/>
      <c r="I59" s="137"/>
      <c r="J59" s="13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104" priority="1" operator="containsText" text="OVER">
      <formula>NOT(ISERROR(SEARCH("OVER",F51)))</formula>
    </cfRule>
    <cfRule type="containsText" dxfId="103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AD85729E-6C7F-4F21-B61F-A01F8BF9A4F8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98D9F4-6036-40F7-B664-3E6F6D74B60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1" t="s">
        <v>1</v>
      </c>
      <c r="O1" s="221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2" t="s">
        <v>7</v>
      </c>
      <c r="B4" s="173"/>
      <c r="C4" s="173"/>
      <c r="D4" s="174"/>
      <c r="F4" s="222" t="s">
        <v>8</v>
      </c>
      <c r="G4" s="224">
        <v>3</v>
      </c>
      <c r="H4" s="226" t="s">
        <v>9</v>
      </c>
      <c r="I4" s="228">
        <v>46242</v>
      </c>
      <c r="J4" s="22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6" t="s">
        <v>7</v>
      </c>
      <c r="B5" s="15" t="s">
        <v>11</v>
      </c>
      <c r="C5" s="9" t="s">
        <v>12</v>
      </c>
      <c r="D5" s="25" t="s">
        <v>13</v>
      </c>
      <c r="F5" s="223"/>
      <c r="G5" s="225"/>
      <c r="H5" s="227"/>
      <c r="I5" s="230"/>
      <c r="J5" s="23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7"/>
      <c r="B6" s="16" t="s">
        <v>15</v>
      </c>
      <c r="C6" s="10">
        <v>280</v>
      </c>
      <c r="D6" s="13">
        <f t="shared" ref="D6:D28" si="1">C6*L6</f>
        <v>213080</v>
      </c>
      <c r="F6" s="232" t="s">
        <v>16</v>
      </c>
      <c r="G6" s="234" t="s">
        <v>142</v>
      </c>
      <c r="H6" s="235"/>
      <c r="I6" s="235"/>
      <c r="J6" s="2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7"/>
      <c r="B7" s="16" t="s">
        <v>18</v>
      </c>
      <c r="C7" s="10">
        <v>6</v>
      </c>
      <c r="D7" s="13">
        <f t="shared" si="1"/>
        <v>4686</v>
      </c>
      <c r="F7" s="233"/>
      <c r="G7" s="237"/>
      <c r="H7" s="238"/>
      <c r="I7" s="238"/>
      <c r="J7" s="2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7"/>
      <c r="B8" s="16" t="s">
        <v>20</v>
      </c>
      <c r="C8" s="10"/>
      <c r="D8" s="13">
        <f t="shared" si="1"/>
        <v>0</v>
      </c>
      <c r="F8" s="240" t="s">
        <v>21</v>
      </c>
      <c r="G8" s="241" t="s">
        <v>109</v>
      </c>
      <c r="H8" s="242"/>
      <c r="I8" s="242"/>
      <c r="J8" s="24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7"/>
      <c r="B9" s="16" t="s">
        <v>23</v>
      </c>
      <c r="C9" s="10">
        <v>108</v>
      </c>
      <c r="D9" s="13">
        <f t="shared" si="1"/>
        <v>79164</v>
      </c>
      <c r="F9" s="233"/>
      <c r="G9" s="244"/>
      <c r="H9" s="245"/>
      <c r="I9" s="245"/>
      <c r="J9" s="24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7"/>
      <c r="B10" t="s">
        <v>25</v>
      </c>
      <c r="C10" s="10">
        <v>2</v>
      </c>
      <c r="D10" s="13">
        <f t="shared" si="1"/>
        <v>2064</v>
      </c>
      <c r="F10" s="232" t="s">
        <v>26</v>
      </c>
      <c r="G10" s="247" t="s">
        <v>119</v>
      </c>
      <c r="H10" s="248"/>
      <c r="I10" s="248"/>
      <c r="J10" s="249"/>
      <c r="K10" s="8"/>
      <c r="L10" s="6">
        <f>R36</f>
        <v>1032</v>
      </c>
      <c r="P10" s="4"/>
      <c r="Q10" s="4"/>
      <c r="R10" s="5"/>
    </row>
    <row r="11" spans="1:18" ht="15.75" x14ac:dyDescent="0.25">
      <c r="A11" s="167"/>
      <c r="B11" s="17" t="s">
        <v>28</v>
      </c>
      <c r="C11" s="10"/>
      <c r="D11" s="13">
        <f t="shared" si="1"/>
        <v>0</v>
      </c>
      <c r="F11" s="233"/>
      <c r="G11" s="244"/>
      <c r="H11" s="245"/>
      <c r="I11" s="245"/>
      <c r="J11" s="24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7"/>
      <c r="B12" s="17" t="s">
        <v>30</v>
      </c>
      <c r="C12" s="10">
        <v>2</v>
      </c>
      <c r="D12" s="48">
        <f t="shared" si="1"/>
        <v>1984</v>
      </c>
      <c r="F12" s="250" t="s">
        <v>33</v>
      </c>
      <c r="G12" s="251"/>
      <c r="H12" s="251"/>
      <c r="I12" s="251"/>
      <c r="J12" s="25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7"/>
      <c r="B13" s="17" t="s">
        <v>32</v>
      </c>
      <c r="C13" s="10">
        <v>7</v>
      </c>
      <c r="D13" s="48">
        <f t="shared" si="1"/>
        <v>2149</v>
      </c>
      <c r="F13" s="253" t="s">
        <v>36</v>
      </c>
      <c r="G13" s="217"/>
      <c r="H13" s="208">
        <f>D29</f>
        <v>303138.04166666669</v>
      </c>
      <c r="I13" s="209"/>
      <c r="J13" s="21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7"/>
      <c r="B14" s="14" t="s">
        <v>35</v>
      </c>
      <c r="C14" s="10">
        <v>1</v>
      </c>
      <c r="D14" s="31">
        <f t="shared" si="1"/>
        <v>11.041666666666666</v>
      </c>
      <c r="F14" s="211" t="s">
        <v>38</v>
      </c>
      <c r="G14" s="212"/>
      <c r="H14" s="213">
        <f>D54</f>
        <v>26834.25</v>
      </c>
      <c r="I14" s="214"/>
      <c r="J14" s="215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7"/>
      <c r="B15" s="14" t="s">
        <v>117</v>
      </c>
      <c r="C15" s="10"/>
      <c r="D15" s="31">
        <f t="shared" si="1"/>
        <v>0</v>
      </c>
      <c r="F15" s="216" t="s">
        <v>39</v>
      </c>
      <c r="G15" s="217"/>
      <c r="H15" s="218">
        <f>H13-H14</f>
        <v>276303.79166666669</v>
      </c>
      <c r="I15" s="219"/>
      <c r="J15" s="22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7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8">
        <v>1944</v>
      </c>
      <c r="I16" s="178"/>
      <c r="J16" s="17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7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9"/>
      <c r="I17" s="189"/>
      <c r="J17" s="18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7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9"/>
      <c r="I18" s="189"/>
      <c r="J18" s="18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7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3"/>
      <c r="I19" s="263"/>
      <c r="J19" s="26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7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8"/>
      <c r="I20" s="178"/>
      <c r="J20" s="17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7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191" t="s">
        <v>13</v>
      </c>
      <c r="I21" s="192"/>
      <c r="J21" s="19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7"/>
      <c r="B22" s="46" t="s">
        <v>103</v>
      </c>
      <c r="C22" s="10"/>
      <c r="D22" s="48">
        <f t="shared" si="1"/>
        <v>0</v>
      </c>
      <c r="F22" s="76"/>
      <c r="G22" s="72"/>
      <c r="H22" s="194"/>
      <c r="I22" s="194"/>
      <c r="J22" s="19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7"/>
      <c r="B23" s="14" t="s">
        <v>116</v>
      </c>
      <c r="C23" s="10"/>
      <c r="D23" s="48">
        <f t="shared" si="1"/>
        <v>0</v>
      </c>
      <c r="F23" s="77"/>
      <c r="G23" s="78"/>
      <c r="H23" s="264"/>
      <c r="I23" s="194"/>
      <c r="J23" s="19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7"/>
      <c r="B24" s="14" t="s">
        <v>123</v>
      </c>
      <c r="C24" s="10"/>
      <c r="D24" s="48">
        <f t="shared" si="1"/>
        <v>0</v>
      </c>
      <c r="F24" s="38"/>
      <c r="G24" s="37"/>
      <c r="H24" s="195"/>
      <c r="I24" s="164"/>
      <c r="J24" s="16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6" t="s">
        <v>13</v>
      </c>
      <c r="I25" s="197"/>
      <c r="J25" s="19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7"/>
      <c r="B26" s="14" t="s">
        <v>124</v>
      </c>
      <c r="C26" s="10"/>
      <c r="D26" s="48">
        <f t="shared" si="1"/>
        <v>0</v>
      </c>
      <c r="F26" s="64"/>
      <c r="G26" s="59"/>
      <c r="H26" s="199"/>
      <c r="I26" s="200"/>
      <c r="J26" s="20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7"/>
      <c r="B27" s="14" t="s">
        <v>125</v>
      </c>
      <c r="C27" s="10"/>
      <c r="D27" s="44">
        <f t="shared" si="1"/>
        <v>0</v>
      </c>
      <c r="F27" s="25"/>
      <c r="G27" s="79"/>
      <c r="H27" s="202"/>
      <c r="I27" s="203"/>
      <c r="J27" s="20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8"/>
      <c r="B28" s="46" t="s">
        <v>92</v>
      </c>
      <c r="C28" s="10"/>
      <c r="D28" s="48">
        <f t="shared" si="1"/>
        <v>0</v>
      </c>
      <c r="F28" s="103"/>
      <c r="G28" s="61"/>
      <c r="H28" s="205"/>
      <c r="I28" s="206"/>
      <c r="J28" s="20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9" t="s">
        <v>36</v>
      </c>
      <c r="B29" s="180"/>
      <c r="C29" s="181"/>
      <c r="D29" s="185">
        <f>SUM(D6:D28)</f>
        <v>303138.04166666669</v>
      </c>
      <c r="F29" s="125" t="s">
        <v>54</v>
      </c>
      <c r="G29" s="187"/>
      <c r="H29" s="147">
        <f>H15-H16-H17-H18-H19-H20-H22-H23-H24+H26+H27</f>
        <v>274359.79166666669</v>
      </c>
      <c r="I29" s="148"/>
      <c r="J29" s="14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2"/>
      <c r="B30" s="183"/>
      <c r="C30" s="184"/>
      <c r="D30" s="186"/>
      <c r="F30" s="128"/>
      <c r="G30" s="188"/>
      <c r="H30" s="150"/>
      <c r="I30" s="151"/>
      <c r="J30" s="15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2" t="s">
        <v>57</v>
      </c>
      <c r="B32" s="173"/>
      <c r="C32" s="173"/>
      <c r="D32" s="174"/>
      <c r="F32" s="175" t="s">
        <v>58</v>
      </c>
      <c r="G32" s="176"/>
      <c r="H32" s="176"/>
      <c r="I32" s="176"/>
      <c r="J32" s="17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175" t="s">
        <v>13</v>
      </c>
      <c r="I33" s="176"/>
      <c r="J33" s="17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6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37</v>
      </c>
      <c r="H34" s="169">
        <f>F34*G34</f>
        <v>37000</v>
      </c>
      <c r="I34" s="170"/>
      <c r="J34" s="17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7"/>
      <c r="B35" s="27" t="s">
        <v>67</v>
      </c>
      <c r="C35" s="52">
        <v>1</v>
      </c>
      <c r="D35" s="30">
        <f>C35*84</f>
        <v>84</v>
      </c>
      <c r="F35" s="58">
        <v>500</v>
      </c>
      <c r="G35" s="106">
        <v>25</v>
      </c>
      <c r="H35" s="169">
        <f>F35*G35</f>
        <v>12500</v>
      </c>
      <c r="I35" s="170"/>
      <c r="J35" s="17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8"/>
      <c r="B36" s="26" t="s">
        <v>69</v>
      </c>
      <c r="C36" s="10">
        <v>20</v>
      </c>
      <c r="D36" s="12">
        <f>C36*1.5</f>
        <v>30</v>
      </c>
      <c r="F36" s="12">
        <v>200</v>
      </c>
      <c r="G36" s="37"/>
      <c r="H36" s="169">
        <f t="shared" ref="H36:H39" si="2">F36*G36</f>
        <v>0</v>
      </c>
      <c r="I36" s="170"/>
      <c r="J36" s="17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6" t="s">
        <v>71</v>
      </c>
      <c r="B37" s="28" t="s">
        <v>65</v>
      </c>
      <c r="C37" s="53">
        <v>224</v>
      </c>
      <c r="D37" s="12">
        <f>C37*111</f>
        <v>24864</v>
      </c>
      <c r="F37" s="12">
        <v>100</v>
      </c>
      <c r="G37" s="39">
        <v>6</v>
      </c>
      <c r="H37" s="169">
        <f t="shared" si="2"/>
        <v>600</v>
      </c>
      <c r="I37" s="170"/>
      <c r="J37" s="17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7"/>
      <c r="B38" s="29" t="s">
        <v>67</v>
      </c>
      <c r="C38" s="54">
        <v>7</v>
      </c>
      <c r="D38" s="12">
        <f>C38*84</f>
        <v>588</v>
      </c>
      <c r="F38" s="30">
        <v>50</v>
      </c>
      <c r="G38" s="39">
        <v>1</v>
      </c>
      <c r="H38" s="169">
        <f t="shared" si="2"/>
        <v>50</v>
      </c>
      <c r="I38" s="170"/>
      <c r="J38" s="17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8"/>
      <c r="B39" s="29" t="s">
        <v>69</v>
      </c>
      <c r="C39" s="52"/>
      <c r="D39" s="31">
        <f>C39*4.5</f>
        <v>0</v>
      </c>
      <c r="F39" s="12">
        <v>20</v>
      </c>
      <c r="G39" s="37"/>
      <c r="H39" s="169">
        <f t="shared" si="2"/>
        <v>0</v>
      </c>
      <c r="I39" s="170"/>
      <c r="J39" s="17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6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107"/>
      <c r="H40" s="169"/>
      <c r="I40" s="170"/>
      <c r="J40" s="17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7"/>
      <c r="B41" s="27" t="s">
        <v>67</v>
      </c>
      <c r="C41" s="10">
        <v>2</v>
      </c>
      <c r="D41" s="12">
        <f>C41*84</f>
        <v>168</v>
      </c>
      <c r="F41" s="12">
        <v>5</v>
      </c>
      <c r="G41" s="107"/>
      <c r="H41" s="169"/>
      <c r="I41" s="170"/>
      <c r="J41" s="17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8"/>
      <c r="B42" s="27" t="s">
        <v>69</v>
      </c>
      <c r="C42" s="11">
        <v>1</v>
      </c>
      <c r="D42" s="12">
        <f>C42*2.25</f>
        <v>2.25</v>
      </c>
      <c r="F42" s="39" t="s">
        <v>78</v>
      </c>
      <c r="G42" s="169">
        <v>15</v>
      </c>
      <c r="H42" s="170"/>
      <c r="I42" s="170"/>
      <c r="J42" s="17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9" t="s">
        <v>80</v>
      </c>
      <c r="C43" s="11"/>
      <c r="D43" s="12"/>
      <c r="F43" s="59" t="s">
        <v>81</v>
      </c>
      <c r="G43" s="105" t="s">
        <v>82</v>
      </c>
      <c r="H43" s="161" t="s">
        <v>13</v>
      </c>
      <c r="I43" s="162"/>
      <c r="J43" s="16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0"/>
      <c r="B44" s="27" t="s">
        <v>65</v>
      </c>
      <c r="C44" s="10">
        <v>1</v>
      </c>
      <c r="D44" s="12">
        <f>C44*120</f>
        <v>120</v>
      </c>
      <c r="F44" s="37" t="s">
        <v>133</v>
      </c>
      <c r="G44" s="87" t="s">
        <v>158</v>
      </c>
      <c r="H44" s="164">
        <v>224164</v>
      </c>
      <c r="I44" s="164"/>
      <c r="J44" s="16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0"/>
      <c r="B45" s="27" t="s">
        <v>67</v>
      </c>
      <c r="C45" s="33">
        <v>1</v>
      </c>
      <c r="D45" s="12">
        <f>C45*84</f>
        <v>84</v>
      </c>
      <c r="F45" s="37"/>
      <c r="G45" s="62"/>
      <c r="H45" s="164"/>
      <c r="I45" s="164"/>
      <c r="J45" s="164"/>
      <c r="K45" s="21"/>
      <c r="P45" s="4"/>
      <c r="Q45" s="4"/>
      <c r="R45" s="5"/>
    </row>
    <row r="46" spans="1:18" ht="15.75" x14ac:dyDescent="0.25">
      <c r="A46" s="140"/>
      <c r="B46" s="49" t="s">
        <v>69</v>
      </c>
      <c r="C46" s="80">
        <v>1</v>
      </c>
      <c r="D46" s="12">
        <f>C46*1.5</f>
        <v>1.5</v>
      </c>
      <c r="F46" s="37"/>
      <c r="G46" s="75"/>
      <c r="H46" s="164"/>
      <c r="I46" s="164"/>
      <c r="J46" s="164"/>
      <c r="K46" s="21"/>
      <c r="P46" s="4"/>
      <c r="Q46" s="4"/>
      <c r="R46" s="5"/>
    </row>
    <row r="47" spans="1:18" ht="15.75" x14ac:dyDescent="0.25">
      <c r="A47" s="141"/>
      <c r="B47" s="27"/>
      <c r="C47" s="11"/>
      <c r="D47" s="12"/>
      <c r="F47" s="37"/>
      <c r="G47" s="75"/>
      <c r="H47" s="164"/>
      <c r="I47" s="164"/>
      <c r="J47" s="164"/>
      <c r="K47" s="21"/>
      <c r="P47" s="4"/>
      <c r="Q47" s="4"/>
      <c r="R47" s="5"/>
    </row>
    <row r="48" spans="1:18" ht="15" customHeight="1" x14ac:dyDescent="0.25">
      <c r="A48" s="139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0"/>
      <c r="B49" s="29" t="s">
        <v>67</v>
      </c>
      <c r="C49" s="33">
        <v>4</v>
      </c>
      <c r="D49" s="12">
        <f>C49*42</f>
        <v>168</v>
      </c>
      <c r="F49" s="145" t="s">
        <v>85</v>
      </c>
      <c r="G49" s="147">
        <f>H34+H35+H36+H37+H38+H39+H40+H41+G42+H44+H45+H46+H47+H48</f>
        <v>274329</v>
      </c>
      <c r="H49" s="148"/>
      <c r="I49" s="148"/>
      <c r="J49" s="14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0"/>
      <c r="B50" s="32" t="s">
        <v>69</v>
      </c>
      <c r="C50" s="11">
        <v>3</v>
      </c>
      <c r="D50" s="12">
        <f>C50*1.5</f>
        <v>4.5</v>
      </c>
      <c r="F50" s="146"/>
      <c r="G50" s="150"/>
      <c r="H50" s="151"/>
      <c r="I50" s="151"/>
      <c r="J50" s="152"/>
      <c r="O50" t="s">
        <v>112</v>
      </c>
      <c r="P50" s="4">
        <v>1204</v>
      </c>
      <c r="Q50" s="4"/>
      <c r="R50" s="5"/>
    </row>
    <row r="51" spans="1:18" ht="15" customHeight="1" x14ac:dyDescent="0.25">
      <c r="A51" s="140"/>
      <c r="B51" s="27"/>
      <c r="C51" s="10"/>
      <c r="D51" s="31"/>
      <c r="F51" s="153" t="str">
        <f>_xlfn.IFS(H29&gt;G49,"SHORT",H29&lt;G49,"OVER",H29&lt;=G49,"-")</f>
        <v>SHORT</v>
      </c>
      <c r="G51" s="155">
        <f>G49-H29</f>
        <v>-30.791666666686069</v>
      </c>
      <c r="H51" s="156"/>
      <c r="I51" s="156"/>
      <c r="J51" s="1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140"/>
      <c r="B52" s="29"/>
      <c r="C52" s="33"/>
      <c r="D52" s="45"/>
      <c r="F52" s="154"/>
      <c r="G52" s="158"/>
      <c r="H52" s="159"/>
      <c r="I52" s="159"/>
      <c r="J52" s="1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5" t="s">
        <v>89</v>
      </c>
      <c r="B54" s="126"/>
      <c r="C54" s="127"/>
      <c r="D54" s="131">
        <f>SUM(D34:D53)</f>
        <v>26834.25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8"/>
      <c r="B55" s="129"/>
      <c r="C55" s="130"/>
      <c r="D55" s="13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33" t="s">
        <v>90</v>
      </c>
      <c r="B58" s="134"/>
      <c r="C58" s="134"/>
      <c r="D58" s="135"/>
      <c r="F58" s="133" t="s">
        <v>91</v>
      </c>
      <c r="G58" s="134"/>
      <c r="H58" s="134"/>
      <c r="I58" s="134"/>
      <c r="J58" s="135"/>
    </row>
    <row r="59" spans="1:18" x14ac:dyDescent="0.25">
      <c r="A59" s="136"/>
      <c r="B59" s="137"/>
      <c r="C59" s="137"/>
      <c r="D59" s="138"/>
      <c r="F59" s="136"/>
      <c r="G59" s="137"/>
      <c r="H59" s="137"/>
      <c r="I59" s="137"/>
      <c r="J59" s="13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101" priority="1" operator="containsText" text="OVER">
      <formula>NOT(ISERROR(SEARCH("OVER",F51)))</formula>
    </cfRule>
    <cfRule type="containsText" dxfId="100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91734535-04A1-4001-9F7E-0D1572827E3A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3968BE-4E3C-4BE3-B549-C0E32B16583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1" t="s">
        <v>1</v>
      </c>
      <c r="O1" s="221"/>
      <c r="P1" s="102" t="s">
        <v>2</v>
      </c>
      <c r="Q1" s="10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2" t="s">
        <v>7</v>
      </c>
      <c r="B4" s="173"/>
      <c r="C4" s="173"/>
      <c r="D4" s="174"/>
      <c r="F4" s="222" t="s">
        <v>8</v>
      </c>
      <c r="G4" s="224"/>
      <c r="H4" s="226" t="s">
        <v>9</v>
      </c>
      <c r="I4" s="228"/>
      <c r="J4" s="22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6" t="s">
        <v>7</v>
      </c>
      <c r="B5" s="15" t="s">
        <v>11</v>
      </c>
      <c r="C5" s="9" t="s">
        <v>12</v>
      </c>
      <c r="D5" s="25" t="s">
        <v>13</v>
      </c>
      <c r="F5" s="223"/>
      <c r="G5" s="225"/>
      <c r="H5" s="227"/>
      <c r="I5" s="230"/>
      <c r="J5" s="23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7"/>
      <c r="B6" s="16"/>
      <c r="C6" s="10"/>
      <c r="D6" s="13">
        <f t="shared" ref="D6:D28" si="1">C6*L6</f>
        <v>0</v>
      </c>
      <c r="F6" s="232" t="s">
        <v>16</v>
      </c>
      <c r="G6" s="234"/>
      <c r="H6" s="235"/>
      <c r="I6" s="235"/>
      <c r="J6" s="23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7"/>
      <c r="B7" s="16"/>
      <c r="C7" s="10"/>
      <c r="D7" s="13">
        <f t="shared" si="1"/>
        <v>0</v>
      </c>
      <c r="F7" s="233"/>
      <c r="G7" s="237"/>
      <c r="H7" s="238"/>
      <c r="I7" s="238"/>
      <c r="J7" s="23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7"/>
      <c r="B8" s="16"/>
      <c r="C8" s="10"/>
      <c r="D8" s="13">
        <f t="shared" si="1"/>
        <v>0</v>
      </c>
      <c r="F8" s="240" t="s">
        <v>21</v>
      </c>
      <c r="G8" s="241"/>
      <c r="H8" s="242"/>
      <c r="I8" s="242"/>
      <c r="J8" s="24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7"/>
      <c r="B9" s="16"/>
      <c r="C9" s="10"/>
      <c r="D9" s="13">
        <f t="shared" si="1"/>
        <v>0</v>
      </c>
      <c r="F9" s="233"/>
      <c r="G9" s="244"/>
      <c r="H9" s="245"/>
      <c r="I9" s="245"/>
      <c r="J9" s="24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7"/>
      <c r="C10" s="10"/>
      <c r="D10" s="13">
        <f t="shared" si="1"/>
        <v>0</v>
      </c>
      <c r="F10" s="232" t="s">
        <v>26</v>
      </c>
      <c r="G10" s="247"/>
      <c r="H10" s="248"/>
      <c r="I10" s="248"/>
      <c r="J10" s="249"/>
      <c r="K10" s="8"/>
      <c r="L10" s="6">
        <f>R36</f>
        <v>972</v>
      </c>
      <c r="P10" s="4"/>
      <c r="Q10" s="4"/>
      <c r="R10" s="5"/>
    </row>
    <row r="11" spans="1:19" ht="15.75" x14ac:dyDescent="0.25">
      <c r="A11" s="167"/>
      <c r="B11" s="17"/>
      <c r="C11" s="10"/>
      <c r="D11" s="13">
        <f t="shared" si="1"/>
        <v>0</v>
      </c>
      <c r="F11" s="233"/>
      <c r="G11" s="244"/>
      <c r="H11" s="245"/>
      <c r="I11" s="245"/>
      <c r="J11" s="24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7"/>
      <c r="B12" s="17"/>
      <c r="C12" s="10"/>
      <c r="D12" s="48">
        <f t="shared" si="1"/>
        <v>0</v>
      </c>
      <c r="F12" s="250" t="s">
        <v>33</v>
      </c>
      <c r="G12" s="251"/>
      <c r="H12" s="251"/>
      <c r="I12" s="251"/>
      <c r="J12" s="25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7"/>
      <c r="B13" s="17"/>
      <c r="C13" s="10"/>
      <c r="D13" s="48">
        <f t="shared" si="1"/>
        <v>0</v>
      </c>
      <c r="F13" s="253" t="s">
        <v>36</v>
      </c>
      <c r="G13" s="217"/>
      <c r="H13" s="208">
        <f>D29</f>
        <v>0</v>
      </c>
      <c r="I13" s="209"/>
      <c r="J13" s="21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7"/>
      <c r="B14" s="14"/>
      <c r="C14" s="10"/>
      <c r="D14" s="31">
        <f t="shared" si="1"/>
        <v>0</v>
      </c>
      <c r="F14" s="211" t="s">
        <v>38</v>
      </c>
      <c r="G14" s="212"/>
      <c r="H14" s="213">
        <f>D54</f>
        <v>0</v>
      </c>
      <c r="I14" s="214"/>
      <c r="J14" s="21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7"/>
      <c r="B15" s="14"/>
      <c r="C15" s="10"/>
      <c r="D15" s="31">
        <f t="shared" si="1"/>
        <v>0</v>
      </c>
      <c r="F15" s="216" t="s">
        <v>39</v>
      </c>
      <c r="G15" s="217"/>
      <c r="H15" s="218">
        <f>H13-H14</f>
        <v>0</v>
      </c>
      <c r="I15" s="219"/>
      <c r="J15" s="22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8"/>
      <c r="I16" s="178"/>
      <c r="J16" s="17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7"/>
      <c r="C17" s="10"/>
      <c r="D17" s="48">
        <f t="shared" si="1"/>
        <v>0</v>
      </c>
      <c r="F17" s="56"/>
      <c r="G17" s="66" t="s">
        <v>44</v>
      </c>
      <c r="H17" s="189"/>
      <c r="I17" s="189"/>
      <c r="J17" s="18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7"/>
      <c r="B18" s="19"/>
      <c r="C18" s="10"/>
      <c r="D18" s="48">
        <f t="shared" si="1"/>
        <v>0</v>
      </c>
      <c r="F18" s="56"/>
      <c r="G18" s="66" t="s">
        <v>46</v>
      </c>
      <c r="H18" s="189"/>
      <c r="I18" s="189"/>
      <c r="J18" s="18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7"/>
      <c r="B19" s="14"/>
      <c r="C19" s="10"/>
      <c r="D19" s="48">
        <f t="shared" si="1"/>
        <v>0</v>
      </c>
      <c r="F19" s="56"/>
      <c r="G19" s="68" t="s">
        <v>49</v>
      </c>
      <c r="H19" s="190"/>
      <c r="I19" s="190"/>
      <c r="J19" s="19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7"/>
      <c r="B20" s="46"/>
      <c r="C20" s="10"/>
      <c r="D20" s="13">
        <f t="shared" si="1"/>
        <v>0</v>
      </c>
      <c r="F20" s="57"/>
      <c r="G20" s="70" t="s">
        <v>102</v>
      </c>
      <c r="H20" s="178"/>
      <c r="I20" s="178"/>
      <c r="J20" s="17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7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91" t="s">
        <v>13</v>
      </c>
      <c r="I21" s="192"/>
      <c r="J21" s="193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7"/>
      <c r="B22" s="46"/>
      <c r="C22" s="10"/>
      <c r="D22" s="48">
        <f t="shared" si="1"/>
        <v>0</v>
      </c>
      <c r="F22" s="76"/>
      <c r="G22" s="72"/>
      <c r="H22" s="194"/>
      <c r="I22" s="194"/>
      <c r="J22" s="194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7"/>
      <c r="B23" s="14"/>
      <c r="C23" s="10"/>
      <c r="D23" s="48">
        <f t="shared" si="1"/>
        <v>0</v>
      </c>
      <c r="F23" s="77"/>
      <c r="G23" s="78"/>
      <c r="H23" s="195"/>
      <c r="I23" s="164"/>
      <c r="J23" s="16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7"/>
      <c r="B24" s="14"/>
      <c r="C24" s="10"/>
      <c r="D24" s="48">
        <f t="shared" si="1"/>
        <v>0</v>
      </c>
      <c r="F24" s="38"/>
      <c r="G24" s="37"/>
      <c r="H24" s="195"/>
      <c r="I24" s="164"/>
      <c r="J24" s="16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6" t="s">
        <v>13</v>
      </c>
      <c r="I25" s="197"/>
      <c r="J25" s="19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7"/>
      <c r="B26" s="14"/>
      <c r="C26" s="10"/>
      <c r="D26" s="48">
        <f t="shared" si="1"/>
        <v>0</v>
      </c>
      <c r="F26" s="64"/>
      <c r="G26" s="59"/>
      <c r="H26" s="199"/>
      <c r="I26" s="200"/>
      <c r="J26" s="20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7"/>
      <c r="B27" s="14"/>
      <c r="C27" s="10"/>
      <c r="D27" s="44">
        <f t="shared" si="1"/>
        <v>0</v>
      </c>
      <c r="F27" s="25"/>
      <c r="G27" s="79"/>
      <c r="H27" s="202"/>
      <c r="I27" s="203"/>
      <c r="J27" s="20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8"/>
      <c r="B28" s="46"/>
      <c r="C28" s="10"/>
      <c r="D28" s="48">
        <f t="shared" si="1"/>
        <v>0</v>
      </c>
      <c r="F28" s="103"/>
      <c r="G28" s="61"/>
      <c r="H28" s="205"/>
      <c r="I28" s="206"/>
      <c r="J28" s="20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9" t="s">
        <v>36</v>
      </c>
      <c r="B29" s="180"/>
      <c r="C29" s="181"/>
      <c r="D29" s="185">
        <f>SUM(D6:D28)</f>
        <v>0</v>
      </c>
      <c r="F29" s="125" t="s">
        <v>54</v>
      </c>
      <c r="G29" s="187"/>
      <c r="H29" s="147">
        <f>H15-H16-H17-H18-H19-H20-H22-H23-H24+H26+H27</f>
        <v>0</v>
      </c>
      <c r="I29" s="148"/>
      <c r="J29" s="14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2"/>
      <c r="B30" s="183"/>
      <c r="C30" s="184"/>
      <c r="D30" s="186"/>
      <c r="F30" s="128"/>
      <c r="G30" s="188"/>
      <c r="H30" s="150"/>
      <c r="I30" s="151"/>
      <c r="J30" s="15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2" t="s">
        <v>57</v>
      </c>
      <c r="B32" s="173"/>
      <c r="C32" s="173"/>
      <c r="D32" s="174"/>
      <c r="F32" s="175" t="s">
        <v>58</v>
      </c>
      <c r="G32" s="176"/>
      <c r="H32" s="176"/>
      <c r="I32" s="176"/>
      <c r="J32" s="17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175" t="s">
        <v>13</v>
      </c>
      <c r="I33" s="176"/>
      <c r="J33" s="17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6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69"/>
      <c r="I34" s="170"/>
      <c r="J34" s="17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7"/>
      <c r="B35" s="27" t="s">
        <v>67</v>
      </c>
      <c r="C35" s="52"/>
      <c r="D35" s="30">
        <f>C35*84</f>
        <v>0</v>
      </c>
      <c r="F35" s="58">
        <v>500</v>
      </c>
      <c r="G35" s="106"/>
      <c r="H35" s="169"/>
      <c r="I35" s="170"/>
      <c r="J35" s="17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8"/>
      <c r="B36" s="26" t="s">
        <v>69</v>
      </c>
      <c r="C36" s="10"/>
      <c r="D36" s="12">
        <f>C36*1.5</f>
        <v>0</v>
      </c>
      <c r="F36" s="12">
        <v>200</v>
      </c>
      <c r="G36" s="37"/>
      <c r="H36" s="169"/>
      <c r="I36" s="170"/>
      <c r="J36" s="17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9"/>
      <c r="I37" s="170"/>
      <c r="J37" s="17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7"/>
      <c r="B38" s="29" t="s">
        <v>67</v>
      </c>
      <c r="C38" s="54"/>
      <c r="D38" s="12">
        <f>C38*84</f>
        <v>0</v>
      </c>
      <c r="F38" s="30">
        <v>50</v>
      </c>
      <c r="G38" s="39"/>
      <c r="H38" s="169"/>
      <c r="I38" s="170"/>
      <c r="J38" s="17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8"/>
      <c r="B39" s="29" t="s">
        <v>69</v>
      </c>
      <c r="C39" s="52"/>
      <c r="D39" s="31">
        <f>C39*4.5</f>
        <v>0</v>
      </c>
      <c r="F39" s="12">
        <v>20</v>
      </c>
      <c r="G39" s="37"/>
      <c r="H39" s="169"/>
      <c r="I39" s="170"/>
      <c r="J39" s="17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6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169"/>
      <c r="I40" s="170"/>
      <c r="J40" s="17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7"/>
      <c r="B41" s="27" t="s">
        <v>67</v>
      </c>
      <c r="C41" s="10"/>
      <c r="D41" s="12">
        <f>C41*84</f>
        <v>0</v>
      </c>
      <c r="F41" s="12">
        <v>5</v>
      </c>
      <c r="G41" s="107"/>
      <c r="H41" s="169"/>
      <c r="I41" s="170"/>
      <c r="J41" s="17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8"/>
      <c r="B42" s="27" t="s">
        <v>69</v>
      </c>
      <c r="C42" s="11"/>
      <c r="D42" s="12">
        <f>C42*2.25</f>
        <v>0</v>
      </c>
      <c r="F42" s="39" t="s">
        <v>78</v>
      </c>
      <c r="G42" s="169"/>
      <c r="H42" s="170"/>
      <c r="I42" s="170"/>
      <c r="J42" s="17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9" t="s">
        <v>80</v>
      </c>
      <c r="C43" s="11"/>
      <c r="D43" s="12"/>
      <c r="F43" s="59" t="s">
        <v>81</v>
      </c>
      <c r="G43" s="105" t="s">
        <v>82</v>
      </c>
      <c r="H43" s="161" t="s">
        <v>13</v>
      </c>
      <c r="I43" s="162"/>
      <c r="J43" s="163"/>
      <c r="K43" s="21"/>
      <c r="P43" s="4"/>
      <c r="Q43" s="4"/>
      <c r="R43" s="5"/>
    </row>
    <row r="44" spans="1:18" ht="15.75" x14ac:dyDescent="0.25">
      <c r="A44" s="140"/>
      <c r="B44" s="27" t="s">
        <v>65</v>
      </c>
      <c r="C44" s="10"/>
      <c r="D44" s="12">
        <f>C44*120</f>
        <v>0</v>
      </c>
      <c r="F44" s="37"/>
      <c r="G44" s="75"/>
      <c r="H44" s="164"/>
      <c r="I44" s="164"/>
      <c r="J44" s="164"/>
      <c r="K44" s="21"/>
      <c r="P44" s="4"/>
      <c r="Q44" s="4"/>
      <c r="R44" s="5"/>
    </row>
    <row r="45" spans="1:18" ht="15.75" x14ac:dyDescent="0.25">
      <c r="A45" s="140"/>
      <c r="B45" s="27" t="s">
        <v>67</v>
      </c>
      <c r="C45" s="33"/>
      <c r="D45" s="12">
        <f>C45*84</f>
        <v>0</v>
      </c>
      <c r="F45" s="37"/>
      <c r="G45" s="75"/>
      <c r="H45" s="164"/>
      <c r="I45" s="164"/>
      <c r="J45" s="164"/>
      <c r="K45" s="21"/>
      <c r="P45" s="4"/>
      <c r="Q45" s="4"/>
      <c r="R45" s="5"/>
    </row>
    <row r="46" spans="1:18" ht="15.75" x14ac:dyDescent="0.25">
      <c r="A46" s="140"/>
      <c r="B46" s="49" t="s">
        <v>69</v>
      </c>
      <c r="C46" s="80"/>
      <c r="D46" s="12">
        <f>C46*1.5</f>
        <v>0</v>
      </c>
      <c r="F46" s="37"/>
      <c r="G46" s="62"/>
      <c r="H46" s="165"/>
      <c r="I46" s="165"/>
      <c r="J46" s="165"/>
      <c r="K46" s="21"/>
      <c r="P46" s="4"/>
      <c r="Q46" s="4"/>
      <c r="R46" s="5"/>
    </row>
    <row r="47" spans="1:18" ht="15.75" x14ac:dyDescent="0.25">
      <c r="A47" s="141"/>
      <c r="B47" s="27"/>
      <c r="C47" s="11"/>
      <c r="D47" s="12"/>
      <c r="F47" s="59"/>
      <c r="G47" s="59"/>
      <c r="H47" s="142"/>
      <c r="I47" s="143"/>
      <c r="J47" s="144"/>
      <c r="K47" s="21"/>
      <c r="P47" s="4"/>
      <c r="Q47" s="4"/>
      <c r="R47" s="5"/>
    </row>
    <row r="48" spans="1:18" ht="15" customHeight="1" x14ac:dyDescent="0.25">
      <c r="A48" s="139" t="s">
        <v>32</v>
      </c>
      <c r="B48" s="27" t="s">
        <v>65</v>
      </c>
      <c r="C48" s="10"/>
      <c r="D48" s="12">
        <f>C48*78</f>
        <v>0</v>
      </c>
      <c r="F48" s="59"/>
      <c r="G48" s="59"/>
      <c r="H48" s="142"/>
      <c r="I48" s="143"/>
      <c r="J48" s="14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0"/>
      <c r="B49" s="29" t="s">
        <v>67</v>
      </c>
      <c r="C49" s="33"/>
      <c r="D49" s="12">
        <f>C49*42</f>
        <v>0</v>
      </c>
      <c r="F49" s="145" t="s">
        <v>85</v>
      </c>
      <c r="G49" s="147">
        <f>H34+H35+H36+H37+H38+H39+H40+H41+G42+H44+H45+H46</f>
        <v>0</v>
      </c>
      <c r="H49" s="148"/>
      <c r="I49" s="148"/>
      <c r="J49" s="14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0"/>
      <c r="B50" s="32" t="s">
        <v>69</v>
      </c>
      <c r="C50" s="11"/>
      <c r="D50" s="12">
        <f>C50*1.5</f>
        <v>0</v>
      </c>
      <c r="F50" s="146"/>
      <c r="G50" s="150"/>
      <c r="H50" s="151"/>
      <c r="I50" s="151"/>
      <c r="J50" s="152"/>
      <c r="P50" s="4"/>
      <c r="Q50" s="4"/>
      <c r="R50" s="5"/>
    </row>
    <row r="51" spans="1:18" ht="15" customHeight="1" x14ac:dyDescent="0.25">
      <c r="A51" s="140"/>
      <c r="B51" s="27"/>
      <c r="C51" s="10"/>
      <c r="D51" s="31"/>
      <c r="F51" s="153" t="s">
        <v>106</v>
      </c>
      <c r="G51" s="155">
        <f>G49-H29</f>
        <v>0</v>
      </c>
      <c r="H51" s="156"/>
      <c r="I51" s="156"/>
      <c r="J51" s="15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0"/>
      <c r="B52" s="29"/>
      <c r="C52" s="33"/>
      <c r="D52" s="45"/>
      <c r="F52" s="154"/>
      <c r="G52" s="158"/>
      <c r="H52" s="159"/>
      <c r="I52" s="159"/>
      <c r="J52" s="1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5" t="s">
        <v>89</v>
      </c>
      <c r="B54" s="126"/>
      <c r="C54" s="127"/>
      <c r="D54" s="131">
        <f>SUM(D34:D53)</f>
        <v>0</v>
      </c>
      <c r="F54" s="21"/>
      <c r="J54" s="34"/>
    </row>
    <row r="55" spans="1:18" x14ac:dyDescent="0.25">
      <c r="A55" s="128"/>
      <c r="B55" s="129"/>
      <c r="C55" s="130"/>
      <c r="D55" s="13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3" t="s">
        <v>90</v>
      </c>
      <c r="B58" s="134"/>
      <c r="C58" s="134"/>
      <c r="D58" s="135"/>
      <c r="F58" s="133" t="s">
        <v>91</v>
      </c>
      <c r="G58" s="134"/>
      <c r="H58" s="134"/>
      <c r="I58" s="134"/>
      <c r="J58" s="135"/>
    </row>
    <row r="59" spans="1:18" x14ac:dyDescent="0.25">
      <c r="A59" s="136"/>
      <c r="B59" s="137"/>
      <c r="C59" s="137"/>
      <c r="D59" s="138"/>
      <c r="F59" s="136"/>
      <c r="G59" s="137"/>
      <c r="H59" s="137"/>
      <c r="I59" s="137"/>
      <c r="J59" s="13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59BA4-6695-443D-9486-97110FA3A2C2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1" t="s">
        <v>1</v>
      </c>
      <c r="O1" s="221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2" t="s">
        <v>7</v>
      </c>
      <c r="B4" s="173"/>
      <c r="C4" s="173"/>
      <c r="D4" s="174"/>
      <c r="F4" s="222" t="s">
        <v>8</v>
      </c>
      <c r="G4" s="224">
        <v>1</v>
      </c>
      <c r="H4" s="226" t="s">
        <v>9</v>
      </c>
      <c r="I4" s="228">
        <v>46244</v>
      </c>
      <c r="J4" s="22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6" t="s">
        <v>7</v>
      </c>
      <c r="B5" s="15" t="s">
        <v>11</v>
      </c>
      <c r="C5" s="9" t="s">
        <v>12</v>
      </c>
      <c r="D5" s="25" t="s">
        <v>13</v>
      </c>
      <c r="F5" s="223"/>
      <c r="G5" s="225"/>
      <c r="H5" s="227"/>
      <c r="I5" s="230"/>
      <c r="J5" s="23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7"/>
      <c r="B6" s="16" t="s">
        <v>15</v>
      </c>
      <c r="C6" s="10">
        <v>323</v>
      </c>
      <c r="D6" s="13">
        <f t="shared" ref="D6:D28" si="1">C6*L6</f>
        <v>245803</v>
      </c>
      <c r="F6" s="232" t="s">
        <v>16</v>
      </c>
      <c r="G6" s="234" t="s">
        <v>99</v>
      </c>
      <c r="H6" s="235"/>
      <c r="I6" s="235"/>
      <c r="J6" s="2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7"/>
      <c r="B7" s="16" t="s">
        <v>18</v>
      </c>
      <c r="C7" s="10">
        <v>2</v>
      </c>
      <c r="D7" s="13">
        <f t="shared" si="1"/>
        <v>1562</v>
      </c>
      <c r="F7" s="233"/>
      <c r="G7" s="237"/>
      <c r="H7" s="238"/>
      <c r="I7" s="238"/>
      <c r="J7" s="2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7"/>
      <c r="B8" s="16" t="s">
        <v>20</v>
      </c>
      <c r="C8" s="10"/>
      <c r="D8" s="13">
        <f t="shared" si="1"/>
        <v>0</v>
      </c>
      <c r="F8" s="240" t="s">
        <v>21</v>
      </c>
      <c r="G8" s="241" t="s">
        <v>115</v>
      </c>
      <c r="H8" s="242"/>
      <c r="I8" s="242"/>
      <c r="J8" s="24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7"/>
      <c r="B9" s="16" t="s">
        <v>23</v>
      </c>
      <c r="C9" s="10">
        <v>8</v>
      </c>
      <c r="D9" s="13">
        <f t="shared" si="1"/>
        <v>5864</v>
      </c>
      <c r="F9" s="233"/>
      <c r="G9" s="244"/>
      <c r="H9" s="245"/>
      <c r="I9" s="245"/>
      <c r="J9" s="24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7"/>
      <c r="B10" t="s">
        <v>25</v>
      </c>
      <c r="C10" s="10"/>
      <c r="D10" s="13">
        <f t="shared" si="1"/>
        <v>0</v>
      </c>
      <c r="F10" s="232" t="s">
        <v>26</v>
      </c>
      <c r="G10" s="247" t="s">
        <v>108</v>
      </c>
      <c r="H10" s="248"/>
      <c r="I10" s="248"/>
      <c r="J10" s="249"/>
      <c r="K10" s="8"/>
      <c r="L10" s="6">
        <f>R36</f>
        <v>1032</v>
      </c>
      <c r="P10" s="4"/>
      <c r="Q10" s="4"/>
      <c r="R10" s="5"/>
    </row>
    <row r="11" spans="1:18" ht="15.75" x14ac:dyDescent="0.25">
      <c r="A11" s="167"/>
      <c r="B11" s="17" t="s">
        <v>28</v>
      </c>
      <c r="C11" s="10"/>
      <c r="D11" s="13">
        <f t="shared" si="1"/>
        <v>0</v>
      </c>
      <c r="F11" s="233"/>
      <c r="G11" s="244"/>
      <c r="H11" s="245"/>
      <c r="I11" s="245"/>
      <c r="J11" s="24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7"/>
      <c r="B12" s="17" t="s">
        <v>30</v>
      </c>
      <c r="C12" s="10">
        <v>1</v>
      </c>
      <c r="D12" s="48">
        <f t="shared" si="1"/>
        <v>992</v>
      </c>
      <c r="F12" s="250" t="s">
        <v>33</v>
      </c>
      <c r="G12" s="251"/>
      <c r="H12" s="251"/>
      <c r="I12" s="251"/>
      <c r="J12" s="25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7"/>
      <c r="B13" s="17" t="s">
        <v>32</v>
      </c>
      <c r="C13" s="10">
        <v>6</v>
      </c>
      <c r="D13" s="48">
        <f t="shared" si="1"/>
        <v>1842</v>
      </c>
      <c r="F13" s="253" t="s">
        <v>36</v>
      </c>
      <c r="G13" s="217"/>
      <c r="H13" s="208">
        <f>D29</f>
        <v>256140.29166666666</v>
      </c>
      <c r="I13" s="209"/>
      <c r="J13" s="21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7"/>
      <c r="B14" s="14" t="s">
        <v>35</v>
      </c>
      <c r="C14" s="10">
        <v>7</v>
      </c>
      <c r="D14" s="31">
        <f t="shared" si="1"/>
        <v>77.291666666666657</v>
      </c>
      <c r="F14" s="211" t="s">
        <v>38</v>
      </c>
      <c r="G14" s="212"/>
      <c r="H14" s="213">
        <f>D54</f>
        <v>49918.5</v>
      </c>
      <c r="I14" s="214"/>
      <c r="J14" s="215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7"/>
      <c r="B15" s="14" t="s">
        <v>117</v>
      </c>
      <c r="C15" s="10"/>
      <c r="D15" s="31">
        <f t="shared" si="1"/>
        <v>0</v>
      </c>
      <c r="F15" s="216" t="s">
        <v>39</v>
      </c>
      <c r="G15" s="217"/>
      <c r="H15" s="218">
        <f>H13-H14</f>
        <v>206221.79166666666</v>
      </c>
      <c r="I15" s="219"/>
      <c r="J15" s="22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7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8">
        <v>1296</v>
      </c>
      <c r="I16" s="178"/>
      <c r="J16" s="17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7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9"/>
      <c r="I17" s="189"/>
      <c r="J17" s="18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7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9"/>
      <c r="I18" s="189"/>
      <c r="J18" s="18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7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8"/>
      <c r="I19" s="178"/>
      <c r="J19" s="17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7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8"/>
      <c r="I20" s="178"/>
      <c r="J20" s="17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7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91" t="s">
        <v>13</v>
      </c>
      <c r="I21" s="192"/>
      <c r="J21" s="19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7"/>
      <c r="B22" s="46" t="s">
        <v>103</v>
      </c>
      <c r="C22" s="10"/>
      <c r="D22" s="48">
        <f t="shared" si="1"/>
        <v>0</v>
      </c>
      <c r="F22" s="76"/>
      <c r="G22" s="72"/>
      <c r="H22" s="194"/>
      <c r="I22" s="194"/>
      <c r="J22" s="19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7"/>
      <c r="B23" s="14" t="s">
        <v>116</v>
      </c>
      <c r="C23" s="10"/>
      <c r="D23" s="48">
        <f t="shared" si="1"/>
        <v>0</v>
      </c>
      <c r="F23" s="76"/>
      <c r="G23" s="78"/>
      <c r="H23" s="259"/>
      <c r="I23" s="260"/>
      <c r="J23" s="26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7"/>
      <c r="B24" s="14" t="s">
        <v>123</v>
      </c>
      <c r="C24" s="10"/>
      <c r="D24" s="48">
        <f t="shared" si="1"/>
        <v>0</v>
      </c>
      <c r="F24" s="76"/>
      <c r="G24" s="78"/>
      <c r="H24" s="259"/>
      <c r="I24" s="260"/>
      <c r="J24" s="26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6" t="s">
        <v>13</v>
      </c>
      <c r="I25" s="197"/>
      <c r="J25" s="19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7"/>
      <c r="B26" s="14" t="s">
        <v>124</v>
      </c>
      <c r="C26" s="10"/>
      <c r="D26" s="48">
        <f t="shared" si="1"/>
        <v>0</v>
      </c>
      <c r="F26" s="74"/>
      <c r="G26" s="65"/>
      <c r="H26" s="164"/>
      <c r="I26" s="164"/>
      <c r="J26" s="16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7"/>
      <c r="B27" s="14" t="s">
        <v>125</v>
      </c>
      <c r="C27" s="10"/>
      <c r="D27" s="44">
        <f t="shared" si="1"/>
        <v>0</v>
      </c>
      <c r="F27" s="71"/>
      <c r="G27" s="105"/>
      <c r="H27" s="261"/>
      <c r="I27" s="262"/>
      <c r="J27" s="26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8"/>
      <c r="B28" s="46" t="s">
        <v>92</v>
      </c>
      <c r="C28" s="10"/>
      <c r="D28" s="48">
        <f t="shared" si="1"/>
        <v>0</v>
      </c>
      <c r="F28" s="103"/>
      <c r="G28" s="61"/>
      <c r="H28" s="205"/>
      <c r="I28" s="206"/>
      <c r="J28" s="20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9" t="s">
        <v>36</v>
      </c>
      <c r="B29" s="180"/>
      <c r="C29" s="181"/>
      <c r="D29" s="185">
        <f>SUM(D6:D28)</f>
        <v>256140.29166666666</v>
      </c>
      <c r="F29" s="125" t="s">
        <v>54</v>
      </c>
      <c r="G29" s="187"/>
      <c r="H29" s="147">
        <f>H15-H16-H17-H18-H19-H20-H22-H23-H24+H26+H27+H28</f>
        <v>204925.79166666666</v>
      </c>
      <c r="I29" s="148"/>
      <c r="J29" s="14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2"/>
      <c r="B30" s="183"/>
      <c r="C30" s="184"/>
      <c r="D30" s="186"/>
      <c r="F30" s="128"/>
      <c r="G30" s="188"/>
      <c r="H30" s="150"/>
      <c r="I30" s="151"/>
      <c r="J30" s="15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2" t="s">
        <v>57</v>
      </c>
      <c r="B32" s="173"/>
      <c r="C32" s="173"/>
      <c r="D32" s="174"/>
      <c r="F32" s="175" t="s">
        <v>58</v>
      </c>
      <c r="G32" s="176"/>
      <c r="H32" s="176"/>
      <c r="I32" s="176"/>
      <c r="J32" s="17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175" t="s">
        <v>13</v>
      </c>
      <c r="I33" s="176"/>
      <c r="J33" s="17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6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40">
        <v>56</v>
      </c>
      <c r="H34" s="169">
        <f t="shared" ref="H34:H39" si="2">F34*G34</f>
        <v>56000</v>
      </c>
      <c r="I34" s="170"/>
      <c r="J34" s="17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7"/>
      <c r="B35" s="27" t="s">
        <v>67</v>
      </c>
      <c r="C35" s="52"/>
      <c r="D35" s="30">
        <f>C35*84</f>
        <v>0</v>
      </c>
      <c r="F35" s="58">
        <v>500</v>
      </c>
      <c r="G35" s="106">
        <v>21</v>
      </c>
      <c r="H35" s="169">
        <f t="shared" si="2"/>
        <v>10500</v>
      </c>
      <c r="I35" s="170"/>
      <c r="J35" s="17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8"/>
      <c r="B36" s="26" t="s">
        <v>69</v>
      </c>
      <c r="C36" s="10"/>
      <c r="D36" s="12">
        <f>C36*1.5</f>
        <v>0</v>
      </c>
      <c r="F36" s="12">
        <v>200</v>
      </c>
      <c r="G36" s="37"/>
      <c r="H36" s="169">
        <f t="shared" si="2"/>
        <v>0</v>
      </c>
      <c r="I36" s="170"/>
      <c r="J36" s="17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6" t="s">
        <v>71</v>
      </c>
      <c r="B37" s="28" t="s">
        <v>65</v>
      </c>
      <c r="C37" s="53">
        <v>418</v>
      </c>
      <c r="D37" s="12">
        <f>C37*111</f>
        <v>46398</v>
      </c>
      <c r="F37" s="12">
        <v>100</v>
      </c>
      <c r="G37" s="39">
        <v>17</v>
      </c>
      <c r="H37" s="169">
        <f t="shared" si="2"/>
        <v>1700</v>
      </c>
      <c r="I37" s="170"/>
      <c r="J37" s="17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7"/>
      <c r="B38" s="29" t="s">
        <v>67</v>
      </c>
      <c r="C38" s="54">
        <v>9</v>
      </c>
      <c r="D38" s="12">
        <f>C38*84</f>
        <v>756</v>
      </c>
      <c r="F38" s="30">
        <v>50</v>
      </c>
      <c r="G38" s="39">
        <v>2</v>
      </c>
      <c r="H38" s="169">
        <f t="shared" si="2"/>
        <v>100</v>
      </c>
      <c r="I38" s="170"/>
      <c r="J38" s="17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8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69">
        <f t="shared" si="2"/>
        <v>0</v>
      </c>
      <c r="I39" s="170"/>
      <c r="J39" s="17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6" t="s">
        <v>75</v>
      </c>
      <c r="B40" s="27" t="s">
        <v>65</v>
      </c>
      <c r="C40" s="63">
        <v>6</v>
      </c>
      <c r="D40" s="12">
        <f>C40*111</f>
        <v>666</v>
      </c>
      <c r="F40" s="12">
        <v>10</v>
      </c>
      <c r="G40" s="107"/>
      <c r="H40" s="257"/>
      <c r="I40" s="258"/>
      <c r="J40" s="19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7"/>
      <c r="B41" s="27" t="s">
        <v>67</v>
      </c>
      <c r="C41" s="10">
        <v>1</v>
      </c>
      <c r="D41" s="12">
        <f>C41*84</f>
        <v>84</v>
      </c>
      <c r="F41" s="12">
        <v>5</v>
      </c>
      <c r="G41" s="107"/>
      <c r="H41" s="169"/>
      <c r="I41" s="170"/>
      <c r="J41" s="17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8"/>
      <c r="B42" s="27" t="s">
        <v>69</v>
      </c>
      <c r="C42" s="11">
        <v>48</v>
      </c>
      <c r="D42" s="12">
        <f>C42*2.25</f>
        <v>108</v>
      </c>
      <c r="F42" s="39" t="s">
        <v>78</v>
      </c>
      <c r="G42" s="169">
        <v>47</v>
      </c>
      <c r="H42" s="170"/>
      <c r="I42" s="170"/>
      <c r="J42" s="17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9" t="s">
        <v>80</v>
      </c>
      <c r="C43" s="11"/>
      <c r="D43" s="12"/>
      <c r="F43" s="59" t="s">
        <v>81</v>
      </c>
      <c r="G43" s="105" t="s">
        <v>82</v>
      </c>
      <c r="H43" s="161" t="s">
        <v>13</v>
      </c>
      <c r="I43" s="162"/>
      <c r="J43" s="16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0"/>
      <c r="B44" s="27" t="s">
        <v>65</v>
      </c>
      <c r="C44" s="10">
        <v>2</v>
      </c>
      <c r="D44" s="12">
        <f>C44*120</f>
        <v>240</v>
      </c>
      <c r="F44" s="37" t="s">
        <v>136</v>
      </c>
      <c r="G44" s="62" t="s">
        <v>159</v>
      </c>
      <c r="H44" s="164">
        <v>131436.5</v>
      </c>
      <c r="I44" s="164"/>
      <c r="J44" s="16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0"/>
      <c r="B45" s="27" t="s">
        <v>67</v>
      </c>
      <c r="C45" s="33">
        <v>2</v>
      </c>
      <c r="D45" s="12">
        <f>C45*84</f>
        <v>168</v>
      </c>
      <c r="F45" s="37" t="s">
        <v>133</v>
      </c>
      <c r="G45" s="108" t="s">
        <v>134</v>
      </c>
      <c r="H45" s="164">
        <v>5000</v>
      </c>
      <c r="I45" s="164"/>
      <c r="J45" s="164"/>
      <c r="K45" s="21"/>
      <c r="P45" s="4"/>
      <c r="Q45" s="4"/>
      <c r="R45" s="5"/>
    </row>
    <row r="46" spans="1:18" ht="15.75" x14ac:dyDescent="0.25">
      <c r="A46" s="140"/>
      <c r="B46" s="49" t="s">
        <v>69</v>
      </c>
      <c r="C46" s="80">
        <v>13</v>
      </c>
      <c r="D46" s="12">
        <f>C46*1.5</f>
        <v>19.5</v>
      </c>
      <c r="F46" s="37"/>
      <c r="G46" s="62"/>
      <c r="H46" s="164"/>
      <c r="I46" s="164"/>
      <c r="J46" s="164"/>
      <c r="K46" s="21"/>
      <c r="P46" s="4"/>
      <c r="Q46" s="4"/>
      <c r="R46" s="5"/>
    </row>
    <row r="47" spans="1:18" ht="15.75" x14ac:dyDescent="0.25">
      <c r="A47" s="141"/>
      <c r="B47" s="27"/>
      <c r="C47" s="11"/>
      <c r="D47" s="12"/>
      <c r="F47" s="59"/>
      <c r="G47" s="59"/>
      <c r="H47" s="254"/>
      <c r="I47" s="255"/>
      <c r="J47" s="256"/>
      <c r="K47" s="21"/>
      <c r="P47" s="4"/>
      <c r="Q47" s="4"/>
      <c r="R47" s="5"/>
    </row>
    <row r="48" spans="1:18" ht="15" customHeight="1" x14ac:dyDescent="0.25">
      <c r="A48" s="139" t="s">
        <v>32</v>
      </c>
      <c r="B48" s="27" t="s">
        <v>65</v>
      </c>
      <c r="C48" s="10">
        <v>9</v>
      </c>
      <c r="D48" s="12">
        <f>C48*78</f>
        <v>702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0"/>
      <c r="B49" s="29" t="s">
        <v>67</v>
      </c>
      <c r="C49" s="33">
        <v>9</v>
      </c>
      <c r="D49" s="12">
        <f>C49*42</f>
        <v>378</v>
      </c>
      <c r="F49" s="145" t="s">
        <v>85</v>
      </c>
      <c r="G49" s="147">
        <f>H34+H35+H36+H37+H38+H39+H40+H41+G42+H44+H45+H46+H47+H48</f>
        <v>204783.5</v>
      </c>
      <c r="H49" s="148"/>
      <c r="I49" s="148"/>
      <c r="J49" s="14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0"/>
      <c r="B50" s="32" t="s">
        <v>69</v>
      </c>
      <c r="C50" s="11">
        <v>11</v>
      </c>
      <c r="D50" s="12">
        <f>C50*1.5</f>
        <v>16.5</v>
      </c>
      <c r="F50" s="146"/>
      <c r="G50" s="150"/>
      <c r="H50" s="151"/>
      <c r="I50" s="151"/>
      <c r="J50" s="152"/>
      <c r="O50" t="s">
        <v>112</v>
      </c>
      <c r="P50" s="4">
        <v>1204</v>
      </c>
      <c r="Q50" s="4"/>
      <c r="R50" s="5"/>
    </row>
    <row r="51" spans="1:18" ht="15" customHeight="1" x14ac:dyDescent="0.25">
      <c r="A51" s="140"/>
      <c r="B51" s="27"/>
      <c r="C51" s="10"/>
      <c r="D51" s="31"/>
      <c r="F51" s="153" t="str">
        <f>_xlfn.IFS(H29&gt;G49,"SHORT",H29&lt;G49,"OVER",H29&lt;=G49,"-")</f>
        <v>SHORT</v>
      </c>
      <c r="G51" s="155">
        <f>G49-H29</f>
        <v>-142.29166666665697</v>
      </c>
      <c r="H51" s="156"/>
      <c r="I51" s="156"/>
      <c r="J51" s="1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0"/>
      <c r="B52" s="29"/>
      <c r="C52" s="33"/>
      <c r="D52" s="45"/>
      <c r="F52" s="154"/>
      <c r="G52" s="158"/>
      <c r="H52" s="159"/>
      <c r="I52" s="159"/>
      <c r="J52" s="1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5" t="s">
        <v>89</v>
      </c>
      <c r="B54" s="126"/>
      <c r="C54" s="127"/>
      <c r="D54" s="131">
        <f>SUM(D34:D53)</f>
        <v>49918.5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8"/>
      <c r="B55" s="129"/>
      <c r="C55" s="130"/>
      <c r="D55" s="13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33" t="s">
        <v>90</v>
      </c>
      <c r="B58" s="134"/>
      <c r="C58" s="134"/>
      <c r="D58" s="135"/>
      <c r="F58" s="133" t="s">
        <v>91</v>
      </c>
      <c r="G58" s="134"/>
      <c r="H58" s="134"/>
      <c r="I58" s="134"/>
      <c r="J58" s="135"/>
    </row>
    <row r="59" spans="1:18" x14ac:dyDescent="0.25">
      <c r="A59" s="136"/>
      <c r="B59" s="137"/>
      <c r="C59" s="137"/>
      <c r="D59" s="138"/>
      <c r="F59" s="136"/>
      <c r="G59" s="137"/>
      <c r="H59" s="137"/>
      <c r="I59" s="137"/>
      <c r="J59" s="138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98" priority="1" operator="containsText" text="OVER">
      <formula>NOT(ISERROR(SEARCH("OVER",F51)))</formula>
    </cfRule>
    <cfRule type="containsText" dxfId="97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CBBE722A-3E15-4870-88C0-C876B57BA39A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2B2FA3-B525-479B-81DF-9CDB8451BC3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1" t="s">
        <v>1</v>
      </c>
      <c r="O1" s="221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2" t="s">
        <v>7</v>
      </c>
      <c r="B4" s="173"/>
      <c r="C4" s="173"/>
      <c r="D4" s="174"/>
      <c r="F4" s="222" t="s">
        <v>8</v>
      </c>
      <c r="G4" s="224">
        <v>2</v>
      </c>
      <c r="H4" s="226" t="s">
        <v>9</v>
      </c>
      <c r="I4" s="228">
        <v>46244</v>
      </c>
      <c r="J4" s="22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6" t="s">
        <v>7</v>
      </c>
      <c r="B5" s="15" t="s">
        <v>11</v>
      </c>
      <c r="C5" s="9" t="s">
        <v>12</v>
      </c>
      <c r="D5" s="25" t="s">
        <v>13</v>
      </c>
      <c r="F5" s="223"/>
      <c r="G5" s="225"/>
      <c r="H5" s="227"/>
      <c r="I5" s="230"/>
      <c r="J5" s="23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7"/>
      <c r="B6" s="16" t="s">
        <v>15</v>
      </c>
      <c r="C6" s="10">
        <v>361</v>
      </c>
      <c r="D6" s="13">
        <f t="shared" ref="D6:D28" si="1">C6*L6</f>
        <v>274721</v>
      </c>
      <c r="F6" s="232" t="s">
        <v>16</v>
      </c>
      <c r="G6" s="234" t="s">
        <v>107</v>
      </c>
      <c r="H6" s="235"/>
      <c r="I6" s="235"/>
      <c r="J6" s="2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7"/>
      <c r="B7" s="16" t="s">
        <v>18</v>
      </c>
      <c r="C7" s="10">
        <v>2</v>
      </c>
      <c r="D7" s="13">
        <f t="shared" si="1"/>
        <v>1562</v>
      </c>
      <c r="F7" s="233"/>
      <c r="G7" s="237"/>
      <c r="H7" s="238"/>
      <c r="I7" s="238"/>
      <c r="J7" s="2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7"/>
      <c r="B8" s="16" t="s">
        <v>20</v>
      </c>
      <c r="C8" s="10"/>
      <c r="D8" s="13">
        <f t="shared" si="1"/>
        <v>0</v>
      </c>
      <c r="F8" s="240" t="s">
        <v>21</v>
      </c>
      <c r="G8" s="241" t="s">
        <v>100</v>
      </c>
      <c r="H8" s="242"/>
      <c r="I8" s="242"/>
      <c r="J8" s="24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7"/>
      <c r="B9" s="16" t="s">
        <v>23</v>
      </c>
      <c r="C9" s="10">
        <v>125</v>
      </c>
      <c r="D9" s="13">
        <f t="shared" si="1"/>
        <v>91625</v>
      </c>
      <c r="F9" s="233"/>
      <c r="G9" s="244"/>
      <c r="H9" s="245"/>
      <c r="I9" s="245"/>
      <c r="J9" s="24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7"/>
      <c r="B10" t="s">
        <v>25</v>
      </c>
      <c r="C10" s="10"/>
      <c r="D10" s="13">
        <f t="shared" si="1"/>
        <v>0</v>
      </c>
      <c r="F10" s="232" t="s">
        <v>26</v>
      </c>
      <c r="G10" s="247" t="s">
        <v>101</v>
      </c>
      <c r="H10" s="248"/>
      <c r="I10" s="248"/>
      <c r="J10" s="249"/>
      <c r="K10" s="8"/>
      <c r="L10" s="6">
        <f>R36</f>
        <v>1032</v>
      </c>
      <c r="P10" s="4"/>
      <c r="Q10" s="4"/>
      <c r="R10" s="5"/>
    </row>
    <row r="11" spans="1:18" ht="15.75" x14ac:dyDescent="0.25">
      <c r="A11" s="167"/>
      <c r="B11" s="17" t="s">
        <v>28</v>
      </c>
      <c r="C11" s="10"/>
      <c r="D11" s="13">
        <f t="shared" si="1"/>
        <v>0</v>
      </c>
      <c r="F11" s="233"/>
      <c r="G11" s="244"/>
      <c r="H11" s="245"/>
      <c r="I11" s="245"/>
      <c r="J11" s="24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7"/>
      <c r="B12" s="17" t="s">
        <v>30</v>
      </c>
      <c r="C12" s="10">
        <f>6+1</f>
        <v>7</v>
      </c>
      <c r="D12" s="48">
        <f t="shared" si="1"/>
        <v>6944</v>
      </c>
      <c r="F12" s="250" t="s">
        <v>33</v>
      </c>
      <c r="G12" s="251"/>
      <c r="H12" s="251"/>
      <c r="I12" s="251"/>
      <c r="J12" s="25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7"/>
      <c r="B13" s="17" t="s">
        <v>32</v>
      </c>
      <c r="C13" s="10">
        <v>16</v>
      </c>
      <c r="D13" s="48">
        <f t="shared" si="1"/>
        <v>4912</v>
      </c>
      <c r="F13" s="253" t="s">
        <v>36</v>
      </c>
      <c r="G13" s="217"/>
      <c r="H13" s="208">
        <f>D29</f>
        <v>380601.70833333331</v>
      </c>
      <c r="I13" s="209"/>
      <c r="J13" s="21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7"/>
      <c r="B14" s="14" t="s">
        <v>35</v>
      </c>
      <c r="C14" s="10">
        <v>17</v>
      </c>
      <c r="D14" s="31">
        <f t="shared" si="1"/>
        <v>187.70833333333331</v>
      </c>
      <c r="F14" s="211" t="s">
        <v>38</v>
      </c>
      <c r="G14" s="212"/>
      <c r="H14" s="213">
        <f>D54</f>
        <v>55885.5</v>
      </c>
      <c r="I14" s="214"/>
      <c r="J14" s="215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7"/>
      <c r="B15" s="14" t="s">
        <v>117</v>
      </c>
      <c r="C15" s="10"/>
      <c r="D15" s="31">
        <f t="shared" si="1"/>
        <v>0</v>
      </c>
      <c r="F15" s="216" t="s">
        <v>39</v>
      </c>
      <c r="G15" s="217"/>
      <c r="H15" s="218">
        <f>H13-H14</f>
        <v>324716.20833333331</v>
      </c>
      <c r="I15" s="219"/>
      <c r="J15" s="22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7"/>
      <c r="B16" s="18" t="s">
        <v>110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78">
        <v>1974</v>
      </c>
      <c r="I16" s="178"/>
      <c r="J16" s="17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7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9"/>
      <c r="I17" s="189"/>
      <c r="J17" s="18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7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9"/>
      <c r="I18" s="189"/>
      <c r="J18" s="18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7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3"/>
      <c r="I19" s="263"/>
      <c r="J19" s="26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7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8"/>
      <c r="I20" s="178"/>
      <c r="J20" s="17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7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91" t="s">
        <v>13</v>
      </c>
      <c r="I21" s="192"/>
      <c r="J21" s="193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7"/>
      <c r="B22" s="46" t="s">
        <v>103</v>
      </c>
      <c r="C22" s="10"/>
      <c r="D22" s="48">
        <f t="shared" si="1"/>
        <v>0</v>
      </c>
      <c r="F22" s="76"/>
      <c r="G22" s="72"/>
      <c r="H22" s="194"/>
      <c r="I22" s="194"/>
      <c r="J22" s="19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7"/>
      <c r="B23" s="14" t="s">
        <v>116</v>
      </c>
      <c r="C23" s="10"/>
      <c r="D23" s="48">
        <f t="shared" si="1"/>
        <v>0</v>
      </c>
      <c r="F23" s="77"/>
      <c r="G23" s="78"/>
      <c r="H23" s="264"/>
      <c r="I23" s="194"/>
      <c r="J23" s="19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7"/>
      <c r="B24" s="14" t="s">
        <v>123</v>
      </c>
      <c r="C24" s="10"/>
      <c r="D24" s="48">
        <f t="shared" si="1"/>
        <v>0</v>
      </c>
      <c r="F24" s="38"/>
      <c r="G24" s="37"/>
      <c r="H24" s="195"/>
      <c r="I24" s="164"/>
      <c r="J24" s="16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6" t="s">
        <v>13</v>
      </c>
      <c r="I25" s="197"/>
      <c r="J25" s="19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7"/>
      <c r="B26" s="14" t="s">
        <v>124</v>
      </c>
      <c r="C26" s="10"/>
      <c r="D26" s="48">
        <f t="shared" si="1"/>
        <v>0</v>
      </c>
      <c r="F26" s="64"/>
      <c r="G26" s="59"/>
      <c r="H26" s="199"/>
      <c r="I26" s="200"/>
      <c r="J26" s="20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7"/>
      <c r="B27" s="14" t="s">
        <v>125</v>
      </c>
      <c r="C27" s="10"/>
      <c r="D27" s="44">
        <f t="shared" si="1"/>
        <v>0</v>
      </c>
      <c r="F27" s="25"/>
      <c r="G27" s="79"/>
      <c r="H27" s="202"/>
      <c r="I27" s="203"/>
      <c r="J27" s="20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8"/>
      <c r="B28" s="46" t="s">
        <v>92</v>
      </c>
      <c r="C28" s="10"/>
      <c r="D28" s="48">
        <f t="shared" si="1"/>
        <v>0</v>
      </c>
      <c r="F28" s="103"/>
      <c r="G28" s="61"/>
      <c r="H28" s="205"/>
      <c r="I28" s="206"/>
      <c r="J28" s="20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9" t="s">
        <v>36</v>
      </c>
      <c r="B29" s="180"/>
      <c r="C29" s="181"/>
      <c r="D29" s="185">
        <f>SUM(D6:D28)</f>
        <v>380601.70833333331</v>
      </c>
      <c r="F29" s="125" t="s">
        <v>54</v>
      </c>
      <c r="G29" s="187"/>
      <c r="H29" s="147">
        <f>H15-H16-H17-H18-H19-H20-H22-H23-H24+H26+H27</f>
        <v>322742.20833333331</v>
      </c>
      <c r="I29" s="148"/>
      <c r="J29" s="14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2"/>
      <c r="B30" s="183"/>
      <c r="C30" s="184"/>
      <c r="D30" s="186"/>
      <c r="F30" s="128"/>
      <c r="G30" s="188"/>
      <c r="H30" s="150"/>
      <c r="I30" s="151"/>
      <c r="J30" s="15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2" t="s">
        <v>57</v>
      </c>
      <c r="B32" s="173"/>
      <c r="C32" s="173"/>
      <c r="D32" s="174"/>
      <c r="F32" s="175" t="s">
        <v>58</v>
      </c>
      <c r="G32" s="176"/>
      <c r="H32" s="176"/>
      <c r="I32" s="176"/>
      <c r="J32" s="17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175" t="s">
        <v>13</v>
      </c>
      <c r="I33" s="176"/>
      <c r="J33" s="17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6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86</v>
      </c>
      <c r="H34" s="169">
        <f>F34*G34</f>
        <v>86000</v>
      </c>
      <c r="I34" s="170"/>
      <c r="J34" s="17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7"/>
      <c r="B35" s="27" t="s">
        <v>67</v>
      </c>
      <c r="C35" s="52"/>
      <c r="D35" s="30">
        <f>C35*84</f>
        <v>0</v>
      </c>
      <c r="F35" s="58">
        <v>500</v>
      </c>
      <c r="G35" s="106">
        <v>453</v>
      </c>
      <c r="H35" s="169">
        <f>F35*G35</f>
        <v>226500</v>
      </c>
      <c r="I35" s="170"/>
      <c r="J35" s="17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8"/>
      <c r="B36" s="26" t="s">
        <v>69</v>
      </c>
      <c r="C36" s="10"/>
      <c r="D36" s="12">
        <f>C36*1.5</f>
        <v>0</v>
      </c>
      <c r="F36" s="12">
        <v>200</v>
      </c>
      <c r="G36" s="37"/>
      <c r="H36" s="169">
        <f t="shared" ref="H36:H39" si="2">F36*G36</f>
        <v>0</v>
      </c>
      <c r="I36" s="170"/>
      <c r="J36" s="17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6" t="s">
        <v>71</v>
      </c>
      <c r="B37" s="28" t="s">
        <v>65</v>
      </c>
      <c r="C37" s="53">
        <v>493</v>
      </c>
      <c r="D37" s="12">
        <f>C37*111</f>
        <v>54723</v>
      </c>
      <c r="F37" s="12">
        <v>100</v>
      </c>
      <c r="G37" s="39">
        <v>92</v>
      </c>
      <c r="H37" s="169">
        <f t="shared" si="2"/>
        <v>9200</v>
      </c>
      <c r="I37" s="170"/>
      <c r="J37" s="17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7"/>
      <c r="B38" s="29" t="s">
        <v>67</v>
      </c>
      <c r="C38" s="54">
        <v>2</v>
      </c>
      <c r="D38" s="12">
        <f>C38*84</f>
        <v>168</v>
      </c>
      <c r="F38" s="30">
        <v>50</v>
      </c>
      <c r="G38" s="39">
        <v>1</v>
      </c>
      <c r="H38" s="169">
        <f t="shared" si="2"/>
        <v>50</v>
      </c>
      <c r="I38" s="170"/>
      <c r="J38" s="17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8"/>
      <c r="B39" s="29" t="s">
        <v>69</v>
      </c>
      <c r="C39" s="52">
        <v>9</v>
      </c>
      <c r="D39" s="31">
        <f>C39*4.5</f>
        <v>40.5</v>
      </c>
      <c r="F39" s="12">
        <v>20</v>
      </c>
      <c r="G39" s="37"/>
      <c r="H39" s="169">
        <f t="shared" si="2"/>
        <v>0</v>
      </c>
      <c r="I39" s="170"/>
      <c r="J39" s="17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6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169"/>
      <c r="I40" s="170"/>
      <c r="J40" s="17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7"/>
      <c r="B41" s="27" t="s">
        <v>67</v>
      </c>
      <c r="C41" s="10"/>
      <c r="D41" s="12">
        <f>C41*84</f>
        <v>0</v>
      </c>
      <c r="F41" s="12">
        <v>5</v>
      </c>
      <c r="G41" s="107"/>
      <c r="H41" s="169"/>
      <c r="I41" s="170"/>
      <c r="J41" s="17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8"/>
      <c r="B42" s="27" t="s">
        <v>69</v>
      </c>
      <c r="C42" s="11">
        <v>2</v>
      </c>
      <c r="D42" s="12">
        <f>C42*2.25</f>
        <v>4.5</v>
      </c>
      <c r="F42" s="39" t="s">
        <v>78</v>
      </c>
      <c r="G42" s="169">
        <v>50</v>
      </c>
      <c r="H42" s="170"/>
      <c r="I42" s="170"/>
      <c r="J42" s="17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9" t="s">
        <v>80</v>
      </c>
      <c r="C43" s="11"/>
      <c r="D43" s="12"/>
      <c r="F43" s="59" t="s">
        <v>81</v>
      </c>
      <c r="G43" s="105" t="s">
        <v>82</v>
      </c>
      <c r="H43" s="161" t="s">
        <v>13</v>
      </c>
      <c r="I43" s="162"/>
      <c r="J43" s="16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0"/>
      <c r="B44" s="27" t="s">
        <v>65</v>
      </c>
      <c r="C44" s="10">
        <v>1</v>
      </c>
      <c r="D44" s="12">
        <f>C44*120</f>
        <v>120</v>
      </c>
      <c r="F44" s="37"/>
      <c r="G44" s="62"/>
      <c r="H44" s="164"/>
      <c r="I44" s="164"/>
      <c r="J44" s="16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0"/>
      <c r="B45" s="27" t="s">
        <v>67</v>
      </c>
      <c r="C45" s="33"/>
      <c r="D45" s="12">
        <f>C45*84</f>
        <v>0</v>
      </c>
      <c r="F45" s="37"/>
      <c r="G45" s="75"/>
      <c r="H45" s="164"/>
      <c r="I45" s="164"/>
      <c r="J45" s="164"/>
      <c r="K45" s="21"/>
      <c r="P45" s="4"/>
      <c r="Q45" s="4"/>
      <c r="R45" s="5"/>
    </row>
    <row r="46" spans="1:18" ht="15.75" x14ac:dyDescent="0.25">
      <c r="A46" s="140"/>
      <c r="B46" s="49" t="s">
        <v>69</v>
      </c>
      <c r="C46" s="80"/>
      <c r="D46" s="12">
        <f>C46*1.5</f>
        <v>0</v>
      </c>
      <c r="F46" s="37"/>
      <c r="G46" s="62"/>
      <c r="H46" s="164"/>
      <c r="I46" s="164"/>
      <c r="J46" s="164"/>
      <c r="K46" s="21"/>
      <c r="P46" s="4"/>
      <c r="Q46" s="4"/>
      <c r="R46" s="5"/>
    </row>
    <row r="47" spans="1:18" ht="15.75" x14ac:dyDescent="0.25">
      <c r="A47" s="141"/>
      <c r="B47" s="27"/>
      <c r="C47" s="11"/>
      <c r="D47" s="12"/>
      <c r="F47" s="59"/>
      <c r="G47" s="59"/>
      <c r="H47" s="164"/>
      <c r="I47" s="164"/>
      <c r="J47" s="164"/>
      <c r="K47" s="21"/>
      <c r="P47" s="4"/>
      <c r="Q47" s="4"/>
      <c r="R47" s="5"/>
    </row>
    <row r="48" spans="1:18" ht="15" customHeight="1" x14ac:dyDescent="0.25">
      <c r="A48" s="139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0"/>
      <c r="B49" s="29" t="s">
        <v>67</v>
      </c>
      <c r="C49" s="33">
        <v>10</v>
      </c>
      <c r="D49" s="12">
        <f>C49*42</f>
        <v>420</v>
      </c>
      <c r="F49" s="145" t="s">
        <v>85</v>
      </c>
      <c r="G49" s="147">
        <f>H34+H35+H36+H37+H38+H39+H40+H41+G42+H44+H45+H46+H47+H48</f>
        <v>321800</v>
      </c>
      <c r="H49" s="148"/>
      <c r="I49" s="148"/>
      <c r="J49" s="14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0"/>
      <c r="B50" s="32" t="s">
        <v>69</v>
      </c>
      <c r="C50" s="80">
        <v>13</v>
      </c>
      <c r="D50" s="12">
        <f>C50*1.5</f>
        <v>19.5</v>
      </c>
      <c r="F50" s="146"/>
      <c r="G50" s="150"/>
      <c r="H50" s="151"/>
      <c r="I50" s="151"/>
      <c r="J50" s="152"/>
      <c r="O50" t="s">
        <v>112</v>
      </c>
      <c r="P50" s="4">
        <v>1204</v>
      </c>
      <c r="Q50" s="4"/>
      <c r="R50" s="5"/>
    </row>
    <row r="51" spans="1:18" ht="15" customHeight="1" x14ac:dyDescent="0.25">
      <c r="A51" s="140"/>
      <c r="B51" s="27"/>
      <c r="C51" s="10"/>
      <c r="D51" s="31"/>
      <c r="F51" s="153" t="str">
        <f>_xlfn.IFS(H29&gt;G49,"SHORT",H29&lt;G49,"OVER",H29&lt;=G49,"-")</f>
        <v>SHORT</v>
      </c>
      <c r="G51" s="155">
        <f>G49-H29</f>
        <v>-942.20833333331393</v>
      </c>
      <c r="H51" s="156"/>
      <c r="I51" s="156"/>
      <c r="J51" s="1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140"/>
      <c r="B52" s="29"/>
      <c r="C52" s="33"/>
      <c r="D52" s="45"/>
      <c r="F52" s="154"/>
      <c r="G52" s="158"/>
      <c r="H52" s="159"/>
      <c r="I52" s="159"/>
      <c r="J52" s="1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5" t="s">
        <v>89</v>
      </c>
      <c r="B54" s="126"/>
      <c r="C54" s="127"/>
      <c r="D54" s="131">
        <f>SUM(D34:D53)</f>
        <v>55885.5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8"/>
      <c r="B55" s="129"/>
      <c r="C55" s="130"/>
      <c r="D55" s="13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133" t="s">
        <v>90</v>
      </c>
      <c r="B58" s="134"/>
      <c r="C58" s="134"/>
      <c r="D58" s="135"/>
      <c r="F58" s="133" t="s">
        <v>91</v>
      </c>
      <c r="G58" s="134"/>
      <c r="H58" s="134"/>
      <c r="I58" s="134"/>
      <c r="J58" s="135"/>
    </row>
    <row r="59" spans="1:18" x14ac:dyDescent="0.25">
      <c r="A59" s="136"/>
      <c r="B59" s="137"/>
      <c r="C59" s="137"/>
      <c r="D59" s="138"/>
      <c r="F59" s="136"/>
      <c r="G59" s="137"/>
      <c r="H59" s="137"/>
      <c r="I59" s="137"/>
      <c r="J59" s="13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95" priority="1" operator="containsText" text="OVER">
      <formula>NOT(ISERROR(SEARCH("OVER",F51)))</formula>
    </cfRule>
    <cfRule type="containsText" dxfId="94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A98FA0F9-79F5-49FB-8670-0B74ABC75D94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90A562-6DE7-43D7-BAFF-98D0D9C8576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1" t="s">
        <v>1</v>
      </c>
      <c r="O1" s="221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2" t="s">
        <v>7</v>
      </c>
      <c r="B4" s="173"/>
      <c r="C4" s="173"/>
      <c r="D4" s="174"/>
      <c r="F4" s="222" t="s">
        <v>8</v>
      </c>
      <c r="G4" s="224">
        <v>3</v>
      </c>
      <c r="H4" s="226" t="s">
        <v>9</v>
      </c>
      <c r="I4" s="228">
        <v>46244</v>
      </c>
      <c r="J4" s="22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6" t="s">
        <v>7</v>
      </c>
      <c r="B5" s="15" t="s">
        <v>11</v>
      </c>
      <c r="C5" s="9" t="s">
        <v>12</v>
      </c>
      <c r="D5" s="25" t="s">
        <v>13</v>
      </c>
      <c r="F5" s="223"/>
      <c r="G5" s="225"/>
      <c r="H5" s="227"/>
      <c r="I5" s="230"/>
      <c r="J5" s="23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7"/>
      <c r="B6" s="16" t="s">
        <v>15</v>
      </c>
      <c r="C6" s="10">
        <v>484</v>
      </c>
      <c r="D6" s="13">
        <f t="shared" ref="D6:D28" si="1">C6*L6</f>
        <v>368324</v>
      </c>
      <c r="F6" s="232" t="s">
        <v>16</v>
      </c>
      <c r="G6" s="234" t="s">
        <v>142</v>
      </c>
      <c r="H6" s="235"/>
      <c r="I6" s="235"/>
      <c r="J6" s="2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7"/>
      <c r="B7" s="16" t="s">
        <v>18</v>
      </c>
      <c r="C7" s="10">
        <v>26</v>
      </c>
      <c r="D7" s="13">
        <f t="shared" si="1"/>
        <v>20306</v>
      </c>
      <c r="F7" s="233"/>
      <c r="G7" s="237"/>
      <c r="H7" s="238"/>
      <c r="I7" s="238"/>
      <c r="J7" s="2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7"/>
      <c r="B8" s="16" t="s">
        <v>20</v>
      </c>
      <c r="C8" s="10"/>
      <c r="D8" s="13">
        <f t="shared" si="1"/>
        <v>0</v>
      </c>
      <c r="F8" s="240" t="s">
        <v>21</v>
      </c>
      <c r="G8" s="241" t="s">
        <v>109</v>
      </c>
      <c r="H8" s="242"/>
      <c r="I8" s="242"/>
      <c r="J8" s="24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7"/>
      <c r="B9" s="16" t="s">
        <v>23</v>
      </c>
      <c r="C9" s="10">
        <v>92</v>
      </c>
      <c r="D9" s="13">
        <f t="shared" si="1"/>
        <v>67436</v>
      </c>
      <c r="F9" s="233"/>
      <c r="G9" s="244"/>
      <c r="H9" s="245"/>
      <c r="I9" s="245"/>
      <c r="J9" s="24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7"/>
      <c r="B10" t="s">
        <v>25</v>
      </c>
      <c r="C10" s="10"/>
      <c r="D10" s="13">
        <f t="shared" si="1"/>
        <v>0</v>
      </c>
      <c r="F10" s="232" t="s">
        <v>26</v>
      </c>
      <c r="G10" s="247" t="s">
        <v>119</v>
      </c>
      <c r="H10" s="248"/>
      <c r="I10" s="248"/>
      <c r="J10" s="249"/>
      <c r="K10" s="8"/>
      <c r="L10" s="6">
        <f>R36</f>
        <v>1032</v>
      </c>
      <c r="P10" s="4"/>
      <c r="Q10" s="4"/>
      <c r="R10" s="5"/>
    </row>
    <row r="11" spans="1:18" ht="15.75" x14ac:dyDescent="0.25">
      <c r="A11" s="167"/>
      <c r="B11" s="17" t="s">
        <v>28</v>
      </c>
      <c r="C11" s="10"/>
      <c r="D11" s="13">
        <f t="shared" si="1"/>
        <v>0</v>
      </c>
      <c r="F11" s="233"/>
      <c r="G11" s="244"/>
      <c r="H11" s="245"/>
      <c r="I11" s="245"/>
      <c r="J11" s="24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7"/>
      <c r="B12" s="17" t="s">
        <v>30</v>
      </c>
      <c r="C12" s="10"/>
      <c r="D12" s="48">
        <f t="shared" si="1"/>
        <v>0</v>
      </c>
      <c r="F12" s="250" t="s">
        <v>33</v>
      </c>
      <c r="G12" s="251"/>
      <c r="H12" s="251"/>
      <c r="I12" s="251"/>
      <c r="J12" s="25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7"/>
      <c r="B13" s="17" t="s">
        <v>32</v>
      </c>
      <c r="C13" s="10">
        <v>12</v>
      </c>
      <c r="D13" s="48">
        <f t="shared" si="1"/>
        <v>3684</v>
      </c>
      <c r="F13" s="253" t="s">
        <v>36</v>
      </c>
      <c r="G13" s="217"/>
      <c r="H13" s="208">
        <f>D29</f>
        <v>459783.125</v>
      </c>
      <c r="I13" s="209"/>
      <c r="J13" s="21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7"/>
      <c r="B14" s="14" t="s">
        <v>35</v>
      </c>
      <c r="C14" s="10">
        <v>3</v>
      </c>
      <c r="D14" s="31">
        <f t="shared" si="1"/>
        <v>33.125</v>
      </c>
      <c r="F14" s="211" t="s">
        <v>38</v>
      </c>
      <c r="G14" s="212"/>
      <c r="H14" s="213">
        <f>D54</f>
        <v>76749</v>
      </c>
      <c r="I14" s="214"/>
      <c r="J14" s="215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7"/>
      <c r="B15" s="14" t="s">
        <v>117</v>
      </c>
      <c r="C15" s="10"/>
      <c r="D15" s="31">
        <f t="shared" si="1"/>
        <v>0</v>
      </c>
      <c r="F15" s="216" t="s">
        <v>39</v>
      </c>
      <c r="G15" s="217"/>
      <c r="H15" s="218">
        <f>H13-H14</f>
        <v>383034.125</v>
      </c>
      <c r="I15" s="219"/>
      <c r="J15" s="22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7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8">
        <v>3042</v>
      </c>
      <c r="I16" s="178"/>
      <c r="J16" s="17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7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9"/>
      <c r="I17" s="189"/>
      <c r="J17" s="18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7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9"/>
      <c r="I18" s="189"/>
      <c r="J18" s="18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7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3">
        <v>50</v>
      </c>
      <c r="I19" s="263"/>
      <c r="J19" s="26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7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8"/>
      <c r="I20" s="178"/>
      <c r="J20" s="17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7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191" t="s">
        <v>13</v>
      </c>
      <c r="I21" s="192"/>
      <c r="J21" s="19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7"/>
      <c r="B22" s="46" t="s">
        <v>103</v>
      </c>
      <c r="C22" s="10"/>
      <c r="D22" s="48">
        <f t="shared" si="1"/>
        <v>0</v>
      </c>
      <c r="F22" s="76"/>
      <c r="G22" s="72"/>
      <c r="H22" s="194"/>
      <c r="I22" s="194"/>
      <c r="J22" s="19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7"/>
      <c r="B23" s="14" t="s">
        <v>116</v>
      </c>
      <c r="C23" s="10"/>
      <c r="D23" s="48">
        <f t="shared" si="1"/>
        <v>0</v>
      </c>
      <c r="F23" s="77"/>
      <c r="G23" s="78"/>
      <c r="H23" s="264"/>
      <c r="I23" s="194"/>
      <c r="J23" s="19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7"/>
      <c r="B24" s="14" t="s">
        <v>123</v>
      </c>
      <c r="C24" s="10"/>
      <c r="D24" s="48">
        <f t="shared" si="1"/>
        <v>0</v>
      </c>
      <c r="F24" s="38"/>
      <c r="G24" s="37"/>
      <c r="H24" s="195"/>
      <c r="I24" s="164"/>
      <c r="J24" s="16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6" t="s">
        <v>13</v>
      </c>
      <c r="I25" s="197"/>
      <c r="J25" s="19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7"/>
      <c r="B26" s="14" t="s">
        <v>124</v>
      </c>
      <c r="C26" s="10"/>
      <c r="D26" s="48">
        <f t="shared" si="1"/>
        <v>0</v>
      </c>
      <c r="F26" s="64"/>
      <c r="G26" s="59"/>
      <c r="H26" s="199"/>
      <c r="I26" s="200"/>
      <c r="J26" s="20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7"/>
      <c r="B27" s="14" t="s">
        <v>125</v>
      </c>
      <c r="C27" s="10"/>
      <c r="D27" s="44">
        <f t="shared" si="1"/>
        <v>0</v>
      </c>
      <c r="F27" s="25"/>
      <c r="G27" s="79"/>
      <c r="H27" s="202"/>
      <c r="I27" s="203"/>
      <c r="J27" s="20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8"/>
      <c r="B28" s="46" t="s">
        <v>92</v>
      </c>
      <c r="C28" s="10"/>
      <c r="D28" s="48">
        <f t="shared" si="1"/>
        <v>0</v>
      </c>
      <c r="F28" s="103"/>
      <c r="G28" s="61"/>
      <c r="H28" s="205"/>
      <c r="I28" s="206"/>
      <c r="J28" s="20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9" t="s">
        <v>36</v>
      </c>
      <c r="B29" s="180"/>
      <c r="C29" s="181"/>
      <c r="D29" s="185">
        <f>SUM(D6:D28)</f>
        <v>459783.125</v>
      </c>
      <c r="F29" s="125" t="s">
        <v>54</v>
      </c>
      <c r="G29" s="187"/>
      <c r="H29" s="147">
        <f>H15-H16-H17-H18-H19-H20-H22-H23-H24+H26+H27</f>
        <v>379942.125</v>
      </c>
      <c r="I29" s="148"/>
      <c r="J29" s="14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2"/>
      <c r="B30" s="183"/>
      <c r="C30" s="184"/>
      <c r="D30" s="186"/>
      <c r="F30" s="128"/>
      <c r="G30" s="188"/>
      <c r="H30" s="150"/>
      <c r="I30" s="151"/>
      <c r="J30" s="15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2" t="s">
        <v>57</v>
      </c>
      <c r="B32" s="173"/>
      <c r="C32" s="173"/>
      <c r="D32" s="174"/>
      <c r="F32" s="175" t="s">
        <v>58</v>
      </c>
      <c r="G32" s="176"/>
      <c r="H32" s="176"/>
      <c r="I32" s="176"/>
      <c r="J32" s="17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175" t="s">
        <v>13</v>
      </c>
      <c r="I33" s="176"/>
      <c r="J33" s="17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6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127</v>
      </c>
      <c r="H34" s="169">
        <f>F34*G34</f>
        <v>127000</v>
      </c>
      <c r="I34" s="170"/>
      <c r="J34" s="17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7"/>
      <c r="B35" s="27" t="s">
        <v>67</v>
      </c>
      <c r="C35" s="52"/>
      <c r="D35" s="30">
        <f>C35*84</f>
        <v>0</v>
      </c>
      <c r="F35" s="58">
        <v>500</v>
      </c>
      <c r="G35" s="106">
        <v>144</v>
      </c>
      <c r="H35" s="169">
        <f>F35*G35</f>
        <v>72000</v>
      </c>
      <c r="I35" s="170"/>
      <c r="J35" s="17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8"/>
      <c r="B36" s="26" t="s">
        <v>69</v>
      </c>
      <c r="C36" s="10"/>
      <c r="D36" s="12">
        <f>C36*1.5</f>
        <v>0</v>
      </c>
      <c r="F36" s="12">
        <v>200</v>
      </c>
      <c r="G36" s="37"/>
      <c r="H36" s="169">
        <f t="shared" ref="H36:H39" si="2">F36*G36</f>
        <v>0</v>
      </c>
      <c r="I36" s="170"/>
      <c r="J36" s="17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6" t="s">
        <v>71</v>
      </c>
      <c r="B37" s="28" t="s">
        <v>65</v>
      </c>
      <c r="C37" s="53">
        <v>671</v>
      </c>
      <c r="D37" s="12">
        <f>C37*111</f>
        <v>74481</v>
      </c>
      <c r="F37" s="12">
        <v>100</v>
      </c>
      <c r="G37" s="39">
        <v>11</v>
      </c>
      <c r="H37" s="169">
        <f t="shared" si="2"/>
        <v>1100</v>
      </c>
      <c r="I37" s="170"/>
      <c r="J37" s="17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7"/>
      <c r="B38" s="29" t="s">
        <v>67</v>
      </c>
      <c r="C38" s="54"/>
      <c r="D38" s="12">
        <f>C38*84</f>
        <v>0</v>
      </c>
      <c r="F38" s="30">
        <v>50</v>
      </c>
      <c r="G38" s="39">
        <v>5</v>
      </c>
      <c r="H38" s="169">
        <f t="shared" si="2"/>
        <v>250</v>
      </c>
      <c r="I38" s="170"/>
      <c r="J38" s="17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8"/>
      <c r="B39" s="29" t="s">
        <v>69</v>
      </c>
      <c r="C39" s="52"/>
      <c r="D39" s="31">
        <f>C39*4.5</f>
        <v>0</v>
      </c>
      <c r="F39" s="12">
        <v>20</v>
      </c>
      <c r="G39" s="37"/>
      <c r="H39" s="169">
        <f t="shared" si="2"/>
        <v>0</v>
      </c>
      <c r="I39" s="170"/>
      <c r="J39" s="17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6" t="s">
        <v>75</v>
      </c>
      <c r="B40" s="27" t="s">
        <v>65</v>
      </c>
      <c r="C40" s="63">
        <v>12</v>
      </c>
      <c r="D40" s="12">
        <f>C40*111</f>
        <v>1332</v>
      </c>
      <c r="F40" s="12">
        <v>10</v>
      </c>
      <c r="G40" s="107"/>
      <c r="H40" s="169"/>
      <c r="I40" s="170"/>
      <c r="J40" s="17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7"/>
      <c r="B41" s="27" t="s">
        <v>67</v>
      </c>
      <c r="C41" s="10"/>
      <c r="D41" s="12">
        <f>C41*84</f>
        <v>0</v>
      </c>
      <c r="F41" s="12">
        <v>5</v>
      </c>
      <c r="G41" s="107"/>
      <c r="H41" s="169"/>
      <c r="I41" s="170"/>
      <c r="J41" s="17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8"/>
      <c r="B42" s="27" t="s">
        <v>69</v>
      </c>
      <c r="C42" s="11"/>
      <c r="D42" s="12">
        <f>C42*2.25</f>
        <v>0</v>
      </c>
      <c r="F42" s="39" t="s">
        <v>78</v>
      </c>
      <c r="G42" s="169">
        <v>58</v>
      </c>
      <c r="H42" s="170"/>
      <c r="I42" s="170"/>
      <c r="J42" s="17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9" t="s">
        <v>80</v>
      </c>
      <c r="C43" s="11"/>
      <c r="D43" s="12"/>
      <c r="F43" s="59" t="s">
        <v>81</v>
      </c>
      <c r="G43" s="105" t="s">
        <v>82</v>
      </c>
      <c r="H43" s="161" t="s">
        <v>13</v>
      </c>
      <c r="I43" s="162"/>
      <c r="J43" s="16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0"/>
      <c r="B44" s="27" t="s">
        <v>65</v>
      </c>
      <c r="C44" s="10"/>
      <c r="D44" s="12">
        <f>C44*120</f>
        <v>0</v>
      </c>
      <c r="F44" s="37" t="s">
        <v>136</v>
      </c>
      <c r="G44" s="62" t="s">
        <v>160</v>
      </c>
      <c r="H44" s="164">
        <v>98032</v>
      </c>
      <c r="I44" s="164"/>
      <c r="J44" s="16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0"/>
      <c r="B45" s="27" t="s">
        <v>67</v>
      </c>
      <c r="C45" s="33"/>
      <c r="D45" s="12">
        <f>C45*84</f>
        <v>0</v>
      </c>
      <c r="F45" s="37" t="s">
        <v>136</v>
      </c>
      <c r="G45" s="62" t="s">
        <v>161</v>
      </c>
      <c r="H45" s="164">
        <v>81476</v>
      </c>
      <c r="I45" s="164"/>
      <c r="J45" s="164"/>
      <c r="K45" s="21"/>
      <c r="P45" s="4"/>
      <c r="Q45" s="4"/>
      <c r="R45" s="5"/>
    </row>
    <row r="46" spans="1:18" ht="15.75" x14ac:dyDescent="0.25">
      <c r="A46" s="140"/>
      <c r="B46" s="49" t="s">
        <v>69</v>
      </c>
      <c r="C46" s="80"/>
      <c r="D46" s="12">
        <f>C46*1.5</f>
        <v>0</v>
      </c>
      <c r="F46" s="37"/>
      <c r="G46" s="75"/>
      <c r="H46" s="164"/>
      <c r="I46" s="164"/>
      <c r="J46" s="164"/>
      <c r="K46" s="21"/>
      <c r="P46" s="4"/>
      <c r="Q46" s="4"/>
      <c r="R46" s="5"/>
    </row>
    <row r="47" spans="1:18" ht="15.75" x14ac:dyDescent="0.25">
      <c r="A47" s="141"/>
      <c r="B47" s="27"/>
      <c r="C47" s="11"/>
      <c r="D47" s="12"/>
      <c r="F47" s="37"/>
      <c r="G47" s="75"/>
      <c r="H47" s="164"/>
      <c r="I47" s="164"/>
      <c r="J47" s="164"/>
      <c r="K47" s="21"/>
      <c r="P47" s="4"/>
      <c r="Q47" s="4"/>
      <c r="R47" s="5"/>
    </row>
    <row r="48" spans="1:18" ht="15" customHeight="1" x14ac:dyDescent="0.25">
      <c r="A48" s="139" t="s">
        <v>32</v>
      </c>
      <c r="B48" s="27" t="s">
        <v>65</v>
      </c>
      <c r="C48" s="10">
        <v>12</v>
      </c>
      <c r="D48" s="12">
        <f>C48*78</f>
        <v>936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0"/>
      <c r="B49" s="29" t="s">
        <v>67</v>
      </c>
      <c r="C49" s="33"/>
      <c r="D49" s="12">
        <f>C49*42</f>
        <v>0</v>
      </c>
      <c r="F49" s="145" t="s">
        <v>85</v>
      </c>
      <c r="G49" s="147">
        <f>H34+H35+H36+H37+H38+H39+H40+H41+G42+H44+H45+H46+H47+H48</f>
        <v>379916</v>
      </c>
      <c r="H49" s="148"/>
      <c r="I49" s="148"/>
      <c r="J49" s="14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0"/>
      <c r="B50" s="32" t="s">
        <v>69</v>
      </c>
      <c r="C50" s="11"/>
      <c r="D50" s="12">
        <f>C50*1.5</f>
        <v>0</v>
      </c>
      <c r="F50" s="146"/>
      <c r="G50" s="150"/>
      <c r="H50" s="151"/>
      <c r="I50" s="151"/>
      <c r="J50" s="152"/>
      <c r="O50" t="s">
        <v>112</v>
      </c>
      <c r="P50" s="4">
        <v>1204</v>
      </c>
      <c r="Q50" s="4"/>
      <c r="R50" s="5"/>
    </row>
    <row r="51" spans="1:18" ht="15" customHeight="1" x14ac:dyDescent="0.25">
      <c r="A51" s="140"/>
      <c r="B51" s="27"/>
      <c r="C51" s="10"/>
      <c r="D51" s="31"/>
      <c r="F51" s="153" t="str">
        <f>_xlfn.IFS(H29&gt;G49,"SHORT",H29&lt;G49,"OVER",H29&lt;=G49,"-")</f>
        <v>SHORT</v>
      </c>
      <c r="G51" s="155">
        <f>G49-H29</f>
        <v>-26.125</v>
      </c>
      <c r="H51" s="156"/>
      <c r="I51" s="156"/>
      <c r="J51" s="1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140"/>
      <c r="B52" s="29"/>
      <c r="C52" s="33"/>
      <c r="D52" s="45"/>
      <c r="F52" s="154"/>
      <c r="G52" s="158"/>
      <c r="H52" s="159"/>
      <c r="I52" s="159"/>
      <c r="J52" s="1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5" t="s">
        <v>89</v>
      </c>
      <c r="B54" s="126"/>
      <c r="C54" s="127"/>
      <c r="D54" s="131">
        <f>SUM(D34:D53)</f>
        <v>76749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8"/>
      <c r="B55" s="129"/>
      <c r="C55" s="130"/>
      <c r="D55" s="13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33" t="s">
        <v>90</v>
      </c>
      <c r="B58" s="134"/>
      <c r="C58" s="134"/>
      <c r="D58" s="135"/>
      <c r="F58" s="133" t="s">
        <v>91</v>
      </c>
      <c r="G58" s="134"/>
      <c r="H58" s="134"/>
      <c r="I58" s="134"/>
      <c r="J58" s="135"/>
    </row>
    <row r="59" spans="1:18" x14ac:dyDescent="0.25">
      <c r="A59" s="136"/>
      <c r="B59" s="137"/>
      <c r="C59" s="137"/>
      <c r="D59" s="138"/>
      <c r="F59" s="136"/>
      <c r="G59" s="137"/>
      <c r="H59" s="137"/>
      <c r="I59" s="137"/>
      <c r="J59" s="13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92" priority="1" operator="containsText" text="OVER">
      <formula>NOT(ISERROR(SEARCH("OVER",F51)))</formula>
    </cfRule>
    <cfRule type="containsText" dxfId="91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22FF0B26-45F8-4DB6-9AC7-2EE2BE0D9450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55D746-7BF3-450E-8581-85A1E2681AC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1" t="s">
        <v>1</v>
      </c>
      <c r="O1" s="221"/>
      <c r="P1" s="110" t="s">
        <v>2</v>
      </c>
      <c r="Q1" s="11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2" t="s">
        <v>7</v>
      </c>
      <c r="B4" s="173"/>
      <c r="C4" s="173"/>
      <c r="D4" s="174"/>
      <c r="F4" s="222" t="s">
        <v>8</v>
      </c>
      <c r="G4" s="224"/>
      <c r="H4" s="226" t="s">
        <v>9</v>
      </c>
      <c r="I4" s="228"/>
      <c r="J4" s="22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6" t="s">
        <v>7</v>
      </c>
      <c r="B5" s="15" t="s">
        <v>11</v>
      </c>
      <c r="C5" s="9" t="s">
        <v>12</v>
      </c>
      <c r="D5" s="25" t="s">
        <v>13</v>
      </c>
      <c r="F5" s="223"/>
      <c r="G5" s="225"/>
      <c r="H5" s="227"/>
      <c r="I5" s="230"/>
      <c r="J5" s="23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7"/>
      <c r="B6" s="16"/>
      <c r="C6" s="10"/>
      <c r="D6" s="13">
        <f t="shared" ref="D6:D28" si="1">C6*L6</f>
        <v>0</v>
      </c>
      <c r="F6" s="232" t="s">
        <v>16</v>
      </c>
      <c r="G6" s="234"/>
      <c r="H6" s="235"/>
      <c r="I6" s="235"/>
      <c r="J6" s="23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7"/>
      <c r="B7" s="16"/>
      <c r="C7" s="10"/>
      <c r="D7" s="13">
        <f t="shared" si="1"/>
        <v>0</v>
      </c>
      <c r="F7" s="233"/>
      <c r="G7" s="237"/>
      <c r="H7" s="238"/>
      <c r="I7" s="238"/>
      <c r="J7" s="23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7"/>
      <c r="B8" s="16"/>
      <c r="C8" s="10"/>
      <c r="D8" s="13">
        <f t="shared" si="1"/>
        <v>0</v>
      </c>
      <c r="F8" s="240" t="s">
        <v>21</v>
      </c>
      <c r="G8" s="241"/>
      <c r="H8" s="242"/>
      <c r="I8" s="242"/>
      <c r="J8" s="24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7"/>
      <c r="B9" s="16"/>
      <c r="C9" s="10"/>
      <c r="D9" s="13">
        <f t="shared" si="1"/>
        <v>0</v>
      </c>
      <c r="F9" s="233"/>
      <c r="G9" s="244"/>
      <c r="H9" s="245"/>
      <c r="I9" s="245"/>
      <c r="J9" s="24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7"/>
      <c r="C10" s="10"/>
      <c r="D10" s="13">
        <f t="shared" si="1"/>
        <v>0</v>
      </c>
      <c r="F10" s="232" t="s">
        <v>26</v>
      </c>
      <c r="G10" s="247"/>
      <c r="H10" s="248"/>
      <c r="I10" s="248"/>
      <c r="J10" s="249"/>
      <c r="K10" s="8"/>
      <c r="L10" s="6">
        <f>R36</f>
        <v>972</v>
      </c>
      <c r="P10" s="4"/>
      <c r="Q10" s="4"/>
      <c r="R10" s="5"/>
    </row>
    <row r="11" spans="1:19" ht="15.75" x14ac:dyDescent="0.25">
      <c r="A11" s="167"/>
      <c r="B11" s="17"/>
      <c r="C11" s="10"/>
      <c r="D11" s="13">
        <f t="shared" si="1"/>
        <v>0</v>
      </c>
      <c r="F11" s="233"/>
      <c r="G11" s="244"/>
      <c r="H11" s="245"/>
      <c r="I11" s="245"/>
      <c r="J11" s="24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7"/>
      <c r="B12" s="17"/>
      <c r="C12" s="10"/>
      <c r="D12" s="48">
        <f t="shared" si="1"/>
        <v>0</v>
      </c>
      <c r="F12" s="250" t="s">
        <v>33</v>
      </c>
      <c r="G12" s="251"/>
      <c r="H12" s="251"/>
      <c r="I12" s="251"/>
      <c r="J12" s="25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7"/>
      <c r="B13" s="17"/>
      <c r="C13" s="10"/>
      <c r="D13" s="48">
        <f t="shared" si="1"/>
        <v>0</v>
      </c>
      <c r="F13" s="253" t="s">
        <v>36</v>
      </c>
      <c r="G13" s="217"/>
      <c r="H13" s="208">
        <f>D29</f>
        <v>0</v>
      </c>
      <c r="I13" s="209"/>
      <c r="J13" s="21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7"/>
      <c r="B14" s="14"/>
      <c r="C14" s="10"/>
      <c r="D14" s="31">
        <f t="shared" si="1"/>
        <v>0</v>
      </c>
      <c r="F14" s="211" t="s">
        <v>38</v>
      </c>
      <c r="G14" s="212"/>
      <c r="H14" s="213">
        <f>D54</f>
        <v>0</v>
      </c>
      <c r="I14" s="214"/>
      <c r="J14" s="21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7"/>
      <c r="B15" s="14"/>
      <c r="C15" s="10"/>
      <c r="D15" s="31">
        <f t="shared" si="1"/>
        <v>0</v>
      </c>
      <c r="F15" s="216" t="s">
        <v>39</v>
      </c>
      <c r="G15" s="217"/>
      <c r="H15" s="218">
        <f>H13-H14</f>
        <v>0</v>
      </c>
      <c r="I15" s="219"/>
      <c r="J15" s="22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8"/>
      <c r="I16" s="178"/>
      <c r="J16" s="17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7"/>
      <c r="C17" s="10"/>
      <c r="D17" s="48">
        <f t="shared" si="1"/>
        <v>0</v>
      </c>
      <c r="F17" s="56"/>
      <c r="G17" s="66" t="s">
        <v>44</v>
      </c>
      <c r="H17" s="189"/>
      <c r="I17" s="189"/>
      <c r="J17" s="18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7"/>
      <c r="B18" s="19"/>
      <c r="C18" s="10"/>
      <c r="D18" s="48">
        <f t="shared" si="1"/>
        <v>0</v>
      </c>
      <c r="F18" s="56"/>
      <c r="G18" s="66" t="s">
        <v>46</v>
      </c>
      <c r="H18" s="189"/>
      <c r="I18" s="189"/>
      <c r="J18" s="18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7"/>
      <c r="B19" s="14"/>
      <c r="C19" s="10"/>
      <c r="D19" s="48">
        <f t="shared" si="1"/>
        <v>0</v>
      </c>
      <c r="F19" s="56"/>
      <c r="G19" s="68" t="s">
        <v>49</v>
      </c>
      <c r="H19" s="190"/>
      <c r="I19" s="190"/>
      <c r="J19" s="19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7"/>
      <c r="B20" s="46"/>
      <c r="C20" s="10"/>
      <c r="D20" s="13">
        <f t="shared" si="1"/>
        <v>0</v>
      </c>
      <c r="F20" s="57"/>
      <c r="G20" s="70" t="s">
        <v>102</v>
      </c>
      <c r="H20" s="178"/>
      <c r="I20" s="178"/>
      <c r="J20" s="17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7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91" t="s">
        <v>13</v>
      </c>
      <c r="I21" s="192"/>
      <c r="J21" s="193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7"/>
      <c r="B22" s="46"/>
      <c r="C22" s="10"/>
      <c r="D22" s="48">
        <f t="shared" si="1"/>
        <v>0</v>
      </c>
      <c r="F22" s="76"/>
      <c r="G22" s="72"/>
      <c r="H22" s="194"/>
      <c r="I22" s="194"/>
      <c r="J22" s="194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7"/>
      <c r="B23" s="14"/>
      <c r="C23" s="10"/>
      <c r="D23" s="48">
        <f t="shared" si="1"/>
        <v>0</v>
      </c>
      <c r="F23" s="77"/>
      <c r="G23" s="78"/>
      <c r="H23" s="195"/>
      <c r="I23" s="164"/>
      <c r="J23" s="16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7"/>
      <c r="B24" s="14"/>
      <c r="C24" s="10"/>
      <c r="D24" s="48">
        <f t="shared" si="1"/>
        <v>0</v>
      </c>
      <c r="F24" s="38"/>
      <c r="G24" s="37"/>
      <c r="H24" s="195"/>
      <c r="I24" s="164"/>
      <c r="J24" s="16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6" t="s">
        <v>13</v>
      </c>
      <c r="I25" s="197"/>
      <c r="J25" s="19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7"/>
      <c r="B26" s="14"/>
      <c r="C26" s="10"/>
      <c r="D26" s="48">
        <f t="shared" si="1"/>
        <v>0</v>
      </c>
      <c r="F26" s="64"/>
      <c r="G26" s="59"/>
      <c r="H26" s="199"/>
      <c r="I26" s="200"/>
      <c r="J26" s="20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7"/>
      <c r="B27" s="14"/>
      <c r="C27" s="10"/>
      <c r="D27" s="44">
        <f t="shared" si="1"/>
        <v>0</v>
      </c>
      <c r="F27" s="25"/>
      <c r="G27" s="79"/>
      <c r="H27" s="202"/>
      <c r="I27" s="203"/>
      <c r="J27" s="20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8"/>
      <c r="B28" s="46"/>
      <c r="C28" s="10"/>
      <c r="D28" s="48">
        <f t="shared" si="1"/>
        <v>0</v>
      </c>
      <c r="F28" s="111"/>
      <c r="G28" s="61"/>
      <c r="H28" s="205"/>
      <c r="I28" s="206"/>
      <c r="J28" s="20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9" t="s">
        <v>36</v>
      </c>
      <c r="B29" s="180"/>
      <c r="C29" s="181"/>
      <c r="D29" s="185">
        <f>SUM(D6:D28)</f>
        <v>0</v>
      </c>
      <c r="F29" s="125" t="s">
        <v>54</v>
      </c>
      <c r="G29" s="187"/>
      <c r="H29" s="147">
        <f>H15-H16-H17-H18-H19-H20-H22-H23-H24+H26+H27</f>
        <v>0</v>
      </c>
      <c r="I29" s="148"/>
      <c r="J29" s="14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2"/>
      <c r="B30" s="183"/>
      <c r="C30" s="184"/>
      <c r="D30" s="186"/>
      <c r="F30" s="128"/>
      <c r="G30" s="188"/>
      <c r="H30" s="150"/>
      <c r="I30" s="151"/>
      <c r="J30" s="15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2" t="s">
        <v>57</v>
      </c>
      <c r="B32" s="173"/>
      <c r="C32" s="173"/>
      <c r="D32" s="174"/>
      <c r="F32" s="175" t="s">
        <v>58</v>
      </c>
      <c r="G32" s="176"/>
      <c r="H32" s="176"/>
      <c r="I32" s="176"/>
      <c r="J32" s="17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175" t="s">
        <v>13</v>
      </c>
      <c r="I33" s="176"/>
      <c r="J33" s="17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6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69"/>
      <c r="I34" s="170"/>
      <c r="J34" s="17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7"/>
      <c r="B35" s="27" t="s">
        <v>67</v>
      </c>
      <c r="C35" s="52"/>
      <c r="D35" s="30">
        <f>C35*84</f>
        <v>0</v>
      </c>
      <c r="F35" s="58">
        <v>500</v>
      </c>
      <c r="G35" s="113"/>
      <c r="H35" s="169"/>
      <c r="I35" s="170"/>
      <c r="J35" s="17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8"/>
      <c r="B36" s="26" t="s">
        <v>69</v>
      </c>
      <c r="C36" s="10"/>
      <c r="D36" s="12">
        <f>C36*1.5</f>
        <v>0</v>
      </c>
      <c r="F36" s="12">
        <v>200</v>
      </c>
      <c r="G36" s="37"/>
      <c r="H36" s="169"/>
      <c r="I36" s="170"/>
      <c r="J36" s="17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9"/>
      <c r="I37" s="170"/>
      <c r="J37" s="17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7"/>
      <c r="B38" s="29" t="s">
        <v>67</v>
      </c>
      <c r="C38" s="54"/>
      <c r="D38" s="12">
        <f>C38*84</f>
        <v>0</v>
      </c>
      <c r="F38" s="30">
        <v>50</v>
      </c>
      <c r="G38" s="39"/>
      <c r="H38" s="169"/>
      <c r="I38" s="170"/>
      <c r="J38" s="17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8"/>
      <c r="B39" s="29" t="s">
        <v>69</v>
      </c>
      <c r="C39" s="52"/>
      <c r="D39" s="31">
        <f>C39*4.5</f>
        <v>0</v>
      </c>
      <c r="F39" s="12">
        <v>20</v>
      </c>
      <c r="G39" s="37"/>
      <c r="H39" s="169"/>
      <c r="I39" s="170"/>
      <c r="J39" s="17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6" t="s">
        <v>75</v>
      </c>
      <c r="B40" s="27" t="s">
        <v>65</v>
      </c>
      <c r="C40" s="63"/>
      <c r="D40" s="12">
        <f>C40*111</f>
        <v>0</v>
      </c>
      <c r="F40" s="12">
        <v>10</v>
      </c>
      <c r="G40" s="114"/>
      <c r="H40" s="169"/>
      <c r="I40" s="170"/>
      <c r="J40" s="17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7"/>
      <c r="B41" s="27" t="s">
        <v>67</v>
      </c>
      <c r="C41" s="10"/>
      <c r="D41" s="12">
        <f>C41*84</f>
        <v>0</v>
      </c>
      <c r="F41" s="12">
        <v>5</v>
      </c>
      <c r="G41" s="114"/>
      <c r="H41" s="169"/>
      <c r="I41" s="170"/>
      <c r="J41" s="17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8"/>
      <c r="B42" s="27" t="s">
        <v>69</v>
      </c>
      <c r="C42" s="11"/>
      <c r="D42" s="12">
        <f>C42*2.25</f>
        <v>0</v>
      </c>
      <c r="F42" s="39" t="s">
        <v>78</v>
      </c>
      <c r="G42" s="169"/>
      <c r="H42" s="170"/>
      <c r="I42" s="170"/>
      <c r="J42" s="17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9" t="s">
        <v>80</v>
      </c>
      <c r="C43" s="11"/>
      <c r="D43" s="12"/>
      <c r="F43" s="59" t="s">
        <v>81</v>
      </c>
      <c r="G43" s="109" t="s">
        <v>82</v>
      </c>
      <c r="H43" s="161" t="s">
        <v>13</v>
      </c>
      <c r="I43" s="162"/>
      <c r="J43" s="163"/>
      <c r="K43" s="21"/>
      <c r="P43" s="4"/>
      <c r="Q43" s="4"/>
      <c r="R43" s="5"/>
    </row>
    <row r="44" spans="1:18" ht="15.75" x14ac:dyDescent="0.25">
      <c r="A44" s="140"/>
      <c r="B44" s="27" t="s">
        <v>65</v>
      </c>
      <c r="C44" s="10"/>
      <c r="D44" s="12">
        <f>C44*120</f>
        <v>0</v>
      </c>
      <c r="F44" s="37"/>
      <c r="G44" s="75"/>
      <c r="H44" s="164"/>
      <c r="I44" s="164"/>
      <c r="J44" s="164"/>
      <c r="K44" s="21"/>
      <c r="P44" s="4"/>
      <c r="Q44" s="4"/>
      <c r="R44" s="5"/>
    </row>
    <row r="45" spans="1:18" ht="15.75" x14ac:dyDescent="0.25">
      <c r="A45" s="140"/>
      <c r="B45" s="27" t="s">
        <v>67</v>
      </c>
      <c r="C45" s="33"/>
      <c r="D45" s="12">
        <f>C45*84</f>
        <v>0</v>
      </c>
      <c r="F45" s="37"/>
      <c r="G45" s="75"/>
      <c r="H45" s="164"/>
      <c r="I45" s="164"/>
      <c r="J45" s="164"/>
      <c r="K45" s="21"/>
      <c r="P45" s="4"/>
      <c r="Q45" s="4"/>
      <c r="R45" s="5"/>
    </row>
    <row r="46" spans="1:18" ht="15.75" x14ac:dyDescent="0.25">
      <c r="A46" s="140"/>
      <c r="B46" s="49" t="s">
        <v>69</v>
      </c>
      <c r="C46" s="80"/>
      <c r="D46" s="12">
        <f>C46*1.5</f>
        <v>0</v>
      </c>
      <c r="F46" s="37"/>
      <c r="G46" s="62"/>
      <c r="H46" s="165"/>
      <c r="I46" s="165"/>
      <c r="J46" s="165"/>
      <c r="K46" s="21"/>
      <c r="P46" s="4"/>
      <c r="Q46" s="4"/>
      <c r="R46" s="5"/>
    </row>
    <row r="47" spans="1:18" ht="15.75" x14ac:dyDescent="0.25">
      <c r="A47" s="141"/>
      <c r="B47" s="27"/>
      <c r="C47" s="11"/>
      <c r="D47" s="12"/>
      <c r="F47" s="59"/>
      <c r="G47" s="59"/>
      <c r="H47" s="142"/>
      <c r="I47" s="143"/>
      <c r="J47" s="144"/>
      <c r="K47" s="21"/>
      <c r="P47" s="4"/>
      <c r="Q47" s="4"/>
      <c r="R47" s="5"/>
    </row>
    <row r="48" spans="1:18" ht="15" customHeight="1" x14ac:dyDescent="0.25">
      <c r="A48" s="139" t="s">
        <v>32</v>
      </c>
      <c r="B48" s="27" t="s">
        <v>65</v>
      </c>
      <c r="C48" s="10"/>
      <c r="D48" s="12">
        <f>C48*78</f>
        <v>0</v>
      </c>
      <c r="F48" s="59"/>
      <c r="G48" s="59"/>
      <c r="H48" s="142"/>
      <c r="I48" s="143"/>
      <c r="J48" s="14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0"/>
      <c r="B49" s="29" t="s">
        <v>67</v>
      </c>
      <c r="C49" s="33"/>
      <c r="D49" s="12">
        <f>C49*42</f>
        <v>0</v>
      </c>
      <c r="F49" s="145" t="s">
        <v>85</v>
      </c>
      <c r="G49" s="147">
        <f>H34+H35+H36+H37+H38+H39+H40+H41+G42+H44+H45+H46</f>
        <v>0</v>
      </c>
      <c r="H49" s="148"/>
      <c r="I49" s="148"/>
      <c r="J49" s="14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0"/>
      <c r="B50" s="32" t="s">
        <v>69</v>
      </c>
      <c r="C50" s="11"/>
      <c r="D50" s="12">
        <f>C50*1.5</f>
        <v>0</v>
      </c>
      <c r="F50" s="146"/>
      <c r="G50" s="150"/>
      <c r="H50" s="151"/>
      <c r="I50" s="151"/>
      <c r="J50" s="152"/>
      <c r="P50" s="4"/>
      <c r="Q50" s="4"/>
      <c r="R50" s="5"/>
    </row>
    <row r="51" spans="1:18" ht="15" customHeight="1" x14ac:dyDescent="0.25">
      <c r="A51" s="140"/>
      <c r="B51" s="27"/>
      <c r="C51" s="10"/>
      <c r="D51" s="31"/>
      <c r="F51" s="153" t="s">
        <v>106</v>
      </c>
      <c r="G51" s="155">
        <f>G49-H29</f>
        <v>0</v>
      </c>
      <c r="H51" s="156"/>
      <c r="I51" s="156"/>
      <c r="J51" s="15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0"/>
      <c r="B52" s="29"/>
      <c r="C52" s="33"/>
      <c r="D52" s="45"/>
      <c r="F52" s="154"/>
      <c r="G52" s="158"/>
      <c r="H52" s="159"/>
      <c r="I52" s="159"/>
      <c r="J52" s="1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5" t="s">
        <v>89</v>
      </c>
      <c r="B54" s="126"/>
      <c r="C54" s="127"/>
      <c r="D54" s="131">
        <f>SUM(D34:D53)</f>
        <v>0</v>
      </c>
      <c r="F54" s="21"/>
      <c r="J54" s="34"/>
    </row>
    <row r="55" spans="1:18" x14ac:dyDescent="0.25">
      <c r="A55" s="128"/>
      <c r="B55" s="129"/>
      <c r="C55" s="130"/>
      <c r="D55" s="13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3" t="s">
        <v>90</v>
      </c>
      <c r="B58" s="134"/>
      <c r="C58" s="134"/>
      <c r="D58" s="135"/>
      <c r="F58" s="133" t="s">
        <v>91</v>
      </c>
      <c r="G58" s="134"/>
      <c r="H58" s="134"/>
      <c r="I58" s="134"/>
      <c r="J58" s="135"/>
    </row>
    <row r="59" spans="1:18" x14ac:dyDescent="0.25">
      <c r="A59" s="136"/>
      <c r="B59" s="137"/>
      <c r="C59" s="137"/>
      <c r="D59" s="138"/>
      <c r="F59" s="136"/>
      <c r="G59" s="137"/>
      <c r="H59" s="137"/>
      <c r="I59" s="137"/>
      <c r="J59" s="13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AD60B-431B-42DE-A34B-D8282DF457CD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1" t="s">
        <v>1</v>
      </c>
      <c r="O1" s="221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2" t="s">
        <v>7</v>
      </c>
      <c r="B4" s="173"/>
      <c r="C4" s="173"/>
      <c r="D4" s="174"/>
      <c r="F4" s="222" t="s">
        <v>8</v>
      </c>
      <c r="G4" s="224">
        <v>1</v>
      </c>
      <c r="H4" s="226" t="s">
        <v>9</v>
      </c>
      <c r="I4" s="228">
        <v>46245</v>
      </c>
      <c r="J4" s="22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6" t="s">
        <v>7</v>
      </c>
      <c r="B5" s="15" t="s">
        <v>11</v>
      </c>
      <c r="C5" s="9" t="s">
        <v>12</v>
      </c>
      <c r="D5" s="25" t="s">
        <v>13</v>
      </c>
      <c r="F5" s="223"/>
      <c r="G5" s="225"/>
      <c r="H5" s="227"/>
      <c r="I5" s="230"/>
      <c r="J5" s="23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7"/>
      <c r="B6" s="16" t="s">
        <v>15</v>
      </c>
      <c r="C6" s="10">
        <v>402</v>
      </c>
      <c r="D6" s="13">
        <f t="shared" ref="D6:D28" si="1">C6*L6</f>
        <v>305922</v>
      </c>
      <c r="F6" s="232" t="s">
        <v>16</v>
      </c>
      <c r="G6" s="234" t="s">
        <v>99</v>
      </c>
      <c r="H6" s="235"/>
      <c r="I6" s="235"/>
      <c r="J6" s="2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7"/>
      <c r="B7" s="16" t="s">
        <v>18</v>
      </c>
      <c r="C7" s="10">
        <v>3</v>
      </c>
      <c r="D7" s="13">
        <f t="shared" si="1"/>
        <v>2343</v>
      </c>
      <c r="F7" s="233"/>
      <c r="G7" s="237"/>
      <c r="H7" s="238"/>
      <c r="I7" s="238"/>
      <c r="J7" s="2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7"/>
      <c r="B8" s="16" t="s">
        <v>20</v>
      </c>
      <c r="C8" s="10">
        <v>2</v>
      </c>
      <c r="D8" s="13">
        <f t="shared" si="1"/>
        <v>2186</v>
      </c>
      <c r="F8" s="240" t="s">
        <v>21</v>
      </c>
      <c r="G8" s="241" t="s">
        <v>115</v>
      </c>
      <c r="H8" s="242"/>
      <c r="I8" s="242"/>
      <c r="J8" s="24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7"/>
      <c r="B9" s="16" t="s">
        <v>23</v>
      </c>
      <c r="C9" s="10">
        <v>30</v>
      </c>
      <c r="D9" s="13">
        <f t="shared" si="1"/>
        <v>21990</v>
      </c>
      <c r="F9" s="233"/>
      <c r="G9" s="244"/>
      <c r="H9" s="245"/>
      <c r="I9" s="245"/>
      <c r="J9" s="24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7"/>
      <c r="B10" t="s">
        <v>25</v>
      </c>
      <c r="C10" s="10">
        <v>4</v>
      </c>
      <c r="D10" s="13">
        <f t="shared" si="1"/>
        <v>4128</v>
      </c>
      <c r="F10" s="232" t="s">
        <v>26</v>
      </c>
      <c r="G10" s="247" t="s">
        <v>108</v>
      </c>
      <c r="H10" s="248"/>
      <c r="I10" s="248"/>
      <c r="J10" s="249"/>
      <c r="K10" s="8"/>
      <c r="L10" s="6">
        <f>R36</f>
        <v>1032</v>
      </c>
      <c r="P10" s="4"/>
      <c r="Q10" s="4"/>
      <c r="R10" s="5"/>
    </row>
    <row r="11" spans="1:18" ht="15.75" x14ac:dyDescent="0.25">
      <c r="A11" s="167"/>
      <c r="B11" s="17" t="s">
        <v>28</v>
      </c>
      <c r="C11" s="10"/>
      <c r="D11" s="13">
        <f t="shared" si="1"/>
        <v>0</v>
      </c>
      <c r="F11" s="233"/>
      <c r="G11" s="244"/>
      <c r="H11" s="245"/>
      <c r="I11" s="245"/>
      <c r="J11" s="24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7"/>
      <c r="B12" s="17" t="s">
        <v>30</v>
      </c>
      <c r="C12" s="10">
        <v>1</v>
      </c>
      <c r="D12" s="48">
        <f t="shared" si="1"/>
        <v>992</v>
      </c>
      <c r="F12" s="250" t="s">
        <v>33</v>
      </c>
      <c r="G12" s="251"/>
      <c r="H12" s="251"/>
      <c r="I12" s="251"/>
      <c r="J12" s="25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7"/>
      <c r="B13" s="17" t="s">
        <v>32</v>
      </c>
      <c r="C13" s="10">
        <v>8</v>
      </c>
      <c r="D13" s="48">
        <f t="shared" si="1"/>
        <v>2456</v>
      </c>
      <c r="F13" s="253" t="s">
        <v>36</v>
      </c>
      <c r="G13" s="217"/>
      <c r="H13" s="208">
        <f>D29</f>
        <v>346704.58333333331</v>
      </c>
      <c r="I13" s="209"/>
      <c r="J13" s="21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7"/>
      <c r="B14" s="14" t="s">
        <v>35</v>
      </c>
      <c r="C14" s="10">
        <v>14</v>
      </c>
      <c r="D14" s="31">
        <f t="shared" si="1"/>
        <v>154.58333333333331</v>
      </c>
      <c r="F14" s="211" t="s">
        <v>38</v>
      </c>
      <c r="G14" s="212"/>
      <c r="H14" s="213">
        <f>D54</f>
        <v>49626.75</v>
      </c>
      <c r="I14" s="214"/>
      <c r="J14" s="215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7"/>
      <c r="B15" s="14" t="s">
        <v>117</v>
      </c>
      <c r="C15" s="10"/>
      <c r="D15" s="31">
        <f t="shared" si="1"/>
        <v>0</v>
      </c>
      <c r="F15" s="216" t="s">
        <v>39</v>
      </c>
      <c r="G15" s="217"/>
      <c r="H15" s="218">
        <f>H13-H14</f>
        <v>297077.83333333331</v>
      </c>
      <c r="I15" s="219"/>
      <c r="J15" s="22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7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8"/>
      <c r="I16" s="178"/>
      <c r="J16" s="17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7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9"/>
      <c r="I17" s="189"/>
      <c r="J17" s="18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7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9"/>
      <c r="I18" s="189"/>
      <c r="J18" s="18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7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8"/>
      <c r="I19" s="178"/>
      <c r="J19" s="17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7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8"/>
      <c r="I20" s="178"/>
      <c r="J20" s="17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7"/>
      <c r="B21" s="14" t="s">
        <v>162</v>
      </c>
      <c r="C21" s="10">
        <v>1</v>
      </c>
      <c r="D21" s="48">
        <f t="shared" si="1"/>
        <v>1667</v>
      </c>
      <c r="F21" s="69" t="s">
        <v>94</v>
      </c>
      <c r="G21" s="81" t="s">
        <v>93</v>
      </c>
      <c r="H21" s="191" t="s">
        <v>13</v>
      </c>
      <c r="I21" s="192"/>
      <c r="J21" s="193"/>
      <c r="L21" s="7">
        <f>1667</f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7"/>
      <c r="B22" s="46" t="s">
        <v>103</v>
      </c>
      <c r="C22" s="10"/>
      <c r="D22" s="48">
        <f t="shared" si="1"/>
        <v>0</v>
      </c>
      <c r="F22" s="76" t="s">
        <v>163</v>
      </c>
      <c r="G22" s="72">
        <v>11698</v>
      </c>
      <c r="H22" s="194">
        <v>97987</v>
      </c>
      <c r="I22" s="194"/>
      <c r="J22" s="19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7"/>
      <c r="B23" s="14" t="s">
        <v>116</v>
      </c>
      <c r="C23" s="10"/>
      <c r="D23" s="48">
        <f t="shared" si="1"/>
        <v>0</v>
      </c>
      <c r="F23" s="76"/>
      <c r="G23" s="78"/>
      <c r="H23" s="259"/>
      <c r="I23" s="260"/>
      <c r="J23" s="26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7"/>
      <c r="B24" s="14" t="s">
        <v>123</v>
      </c>
      <c r="C24" s="10"/>
      <c r="D24" s="48">
        <f t="shared" si="1"/>
        <v>0</v>
      </c>
      <c r="F24" s="76"/>
      <c r="G24" s="78"/>
      <c r="H24" s="259"/>
      <c r="I24" s="260"/>
      <c r="J24" s="26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6" t="s">
        <v>13</v>
      </c>
      <c r="I25" s="197"/>
      <c r="J25" s="19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7"/>
      <c r="B26" s="14" t="s">
        <v>124</v>
      </c>
      <c r="C26" s="10"/>
      <c r="D26" s="48">
        <f t="shared" si="1"/>
        <v>0</v>
      </c>
      <c r="F26" s="74"/>
      <c r="G26" s="65"/>
      <c r="H26" s="164"/>
      <c r="I26" s="164"/>
      <c r="J26" s="16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7"/>
      <c r="B27" s="14" t="s">
        <v>125</v>
      </c>
      <c r="C27" s="10"/>
      <c r="D27" s="44">
        <f t="shared" si="1"/>
        <v>0</v>
      </c>
      <c r="F27" s="71"/>
      <c r="G27" s="109"/>
      <c r="H27" s="261"/>
      <c r="I27" s="262"/>
      <c r="J27" s="26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8"/>
      <c r="B28" s="46" t="s">
        <v>92</v>
      </c>
      <c r="C28" s="10">
        <v>6</v>
      </c>
      <c r="D28" s="48">
        <f t="shared" si="1"/>
        <v>4866</v>
      </c>
      <c r="F28" s="111"/>
      <c r="G28" s="61"/>
      <c r="H28" s="205"/>
      <c r="I28" s="206"/>
      <c r="J28" s="20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9" t="s">
        <v>36</v>
      </c>
      <c r="B29" s="180"/>
      <c r="C29" s="181"/>
      <c r="D29" s="185">
        <f>SUM(D6:D28)</f>
        <v>346704.58333333331</v>
      </c>
      <c r="F29" s="125" t="s">
        <v>54</v>
      </c>
      <c r="G29" s="187"/>
      <c r="H29" s="147">
        <f>H15-H16-H17-H18-H19-H20-H22-H23-H24+H26+H27+H28</f>
        <v>199090.83333333331</v>
      </c>
      <c r="I29" s="148"/>
      <c r="J29" s="14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2"/>
      <c r="B30" s="183"/>
      <c r="C30" s="184"/>
      <c r="D30" s="186"/>
      <c r="F30" s="128"/>
      <c r="G30" s="188"/>
      <c r="H30" s="150"/>
      <c r="I30" s="151"/>
      <c r="J30" s="15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2" t="s">
        <v>57</v>
      </c>
      <c r="B32" s="173"/>
      <c r="C32" s="173"/>
      <c r="D32" s="174"/>
      <c r="F32" s="175" t="s">
        <v>58</v>
      </c>
      <c r="G32" s="176"/>
      <c r="H32" s="176"/>
      <c r="I32" s="176"/>
      <c r="J32" s="17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175" t="s">
        <v>13</v>
      </c>
      <c r="I33" s="176"/>
      <c r="J33" s="17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6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40">
        <v>38</v>
      </c>
      <c r="H34" s="169">
        <f t="shared" ref="H34:H39" si="2">F34*G34</f>
        <v>38000</v>
      </c>
      <c r="I34" s="170"/>
      <c r="J34" s="17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7"/>
      <c r="B35" s="27" t="s">
        <v>67</v>
      </c>
      <c r="C35" s="52"/>
      <c r="D35" s="30">
        <f>C35*84</f>
        <v>0</v>
      </c>
      <c r="F35" s="58">
        <v>500</v>
      </c>
      <c r="G35" s="113">
        <v>12</v>
      </c>
      <c r="H35" s="169">
        <f t="shared" si="2"/>
        <v>6000</v>
      </c>
      <c r="I35" s="170"/>
      <c r="J35" s="17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8"/>
      <c r="B36" s="26" t="s">
        <v>69</v>
      </c>
      <c r="C36" s="10"/>
      <c r="D36" s="12">
        <f>C36*1.5</f>
        <v>0</v>
      </c>
      <c r="F36" s="12">
        <v>200</v>
      </c>
      <c r="G36" s="37"/>
      <c r="H36" s="169">
        <f t="shared" si="2"/>
        <v>0</v>
      </c>
      <c r="I36" s="170"/>
      <c r="J36" s="17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6" t="s">
        <v>71</v>
      </c>
      <c r="B37" s="28" t="s">
        <v>65</v>
      </c>
      <c r="C37" s="53">
        <v>419</v>
      </c>
      <c r="D37" s="12">
        <f>C37*111</f>
        <v>46509</v>
      </c>
      <c r="F37" s="12">
        <v>100</v>
      </c>
      <c r="G37" s="39"/>
      <c r="H37" s="169">
        <f t="shared" si="2"/>
        <v>0</v>
      </c>
      <c r="I37" s="170"/>
      <c r="J37" s="17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7"/>
      <c r="B38" s="29" t="s">
        <v>67</v>
      </c>
      <c r="C38" s="54">
        <v>16</v>
      </c>
      <c r="D38" s="12">
        <f>C38*84</f>
        <v>1344</v>
      </c>
      <c r="F38" s="30">
        <v>50</v>
      </c>
      <c r="G38" s="39"/>
      <c r="H38" s="169">
        <f t="shared" si="2"/>
        <v>0</v>
      </c>
      <c r="I38" s="170"/>
      <c r="J38" s="17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8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69">
        <f t="shared" si="2"/>
        <v>0</v>
      </c>
      <c r="I39" s="170"/>
      <c r="J39" s="17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6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114"/>
      <c r="H40" s="257"/>
      <c r="I40" s="258"/>
      <c r="J40" s="19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7"/>
      <c r="B41" s="27" t="s">
        <v>67</v>
      </c>
      <c r="C41" s="10"/>
      <c r="D41" s="12">
        <f>C41*84</f>
        <v>0</v>
      </c>
      <c r="F41" s="12">
        <v>5</v>
      </c>
      <c r="G41" s="114"/>
      <c r="H41" s="169"/>
      <c r="I41" s="170"/>
      <c r="J41" s="17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8"/>
      <c r="B42" s="27" t="s">
        <v>69</v>
      </c>
      <c r="C42" s="11">
        <v>25</v>
      </c>
      <c r="D42" s="12">
        <f>C42*2.25</f>
        <v>56.25</v>
      </c>
      <c r="F42" s="39" t="s">
        <v>78</v>
      </c>
      <c r="G42" s="169">
        <v>22</v>
      </c>
      <c r="H42" s="170"/>
      <c r="I42" s="170"/>
      <c r="J42" s="17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9" t="s">
        <v>80</v>
      </c>
      <c r="C43" s="11"/>
      <c r="D43" s="12"/>
      <c r="F43" s="59" t="s">
        <v>81</v>
      </c>
      <c r="G43" s="109" t="s">
        <v>82</v>
      </c>
      <c r="H43" s="161" t="s">
        <v>13</v>
      </c>
      <c r="I43" s="162"/>
      <c r="J43" s="16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0"/>
      <c r="B44" s="27" t="s">
        <v>65</v>
      </c>
      <c r="C44" s="10">
        <v>4</v>
      </c>
      <c r="D44" s="12">
        <f>C44*120</f>
        <v>480</v>
      </c>
      <c r="F44" s="37" t="s">
        <v>148</v>
      </c>
      <c r="G44" s="87" t="s">
        <v>165</v>
      </c>
      <c r="H44" s="164">
        <v>70887</v>
      </c>
      <c r="I44" s="164"/>
      <c r="J44" s="16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0"/>
      <c r="B45" s="27" t="s">
        <v>67</v>
      </c>
      <c r="C45" s="33"/>
      <c r="D45" s="12">
        <f>C45*84</f>
        <v>0</v>
      </c>
      <c r="F45" s="37" t="s">
        <v>135</v>
      </c>
      <c r="G45" s="87"/>
      <c r="H45" s="164">
        <v>11131</v>
      </c>
      <c r="I45" s="164"/>
      <c r="J45" s="164"/>
      <c r="K45" s="21"/>
      <c r="P45" s="4"/>
      <c r="Q45" s="4"/>
      <c r="R45" s="5"/>
    </row>
    <row r="46" spans="1:18" ht="15.75" x14ac:dyDescent="0.25">
      <c r="A46" s="140"/>
      <c r="B46" s="49" t="s">
        <v>69</v>
      </c>
      <c r="C46" s="80"/>
      <c r="D46" s="12">
        <f>C46*1.5</f>
        <v>0</v>
      </c>
      <c r="F46" s="37" t="s">
        <v>166</v>
      </c>
      <c r="G46" s="108" t="s">
        <v>134</v>
      </c>
      <c r="H46" s="164">
        <v>71799</v>
      </c>
      <c r="I46" s="164"/>
      <c r="J46" s="164"/>
      <c r="K46" s="21"/>
      <c r="P46" s="4"/>
      <c r="Q46" s="4"/>
      <c r="R46" s="5"/>
    </row>
    <row r="47" spans="1:18" ht="15.75" x14ac:dyDescent="0.25">
      <c r="A47" s="141"/>
      <c r="B47" s="27"/>
      <c r="C47" s="11"/>
      <c r="D47" s="12"/>
      <c r="F47" s="59"/>
      <c r="G47" s="59"/>
      <c r="H47" s="254"/>
      <c r="I47" s="255"/>
      <c r="J47" s="256"/>
      <c r="K47" s="21"/>
      <c r="P47" s="4"/>
      <c r="Q47" s="4"/>
      <c r="R47" s="5"/>
    </row>
    <row r="48" spans="1:18" ht="15" customHeight="1" x14ac:dyDescent="0.25">
      <c r="A48" s="139" t="s">
        <v>32</v>
      </c>
      <c r="B48" s="27" t="s">
        <v>65</v>
      </c>
      <c r="C48" s="10">
        <v>8</v>
      </c>
      <c r="D48" s="12">
        <f>C48*78</f>
        <v>624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0"/>
      <c r="B49" s="29" t="s">
        <v>67</v>
      </c>
      <c r="C49" s="33"/>
      <c r="D49" s="12">
        <f>C49*42</f>
        <v>0</v>
      </c>
      <c r="F49" s="145" t="s">
        <v>85</v>
      </c>
      <c r="G49" s="147">
        <f>H34+H35+H36+H37+H38+H39+H40+H41+G42+H44+H45+H46+H47+H48</f>
        <v>197839</v>
      </c>
      <c r="H49" s="148"/>
      <c r="I49" s="148"/>
      <c r="J49" s="14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0"/>
      <c r="B50" s="32" t="s">
        <v>69</v>
      </c>
      <c r="C50" s="11">
        <v>6</v>
      </c>
      <c r="D50" s="12">
        <f>C50*1.5</f>
        <v>9</v>
      </c>
      <c r="F50" s="146"/>
      <c r="G50" s="150"/>
      <c r="H50" s="151"/>
      <c r="I50" s="151"/>
      <c r="J50" s="152"/>
      <c r="O50" t="s">
        <v>112</v>
      </c>
      <c r="P50" s="4">
        <v>1204</v>
      </c>
      <c r="Q50" s="4"/>
      <c r="R50" s="5"/>
    </row>
    <row r="51" spans="1:18" ht="15" customHeight="1" x14ac:dyDescent="0.25">
      <c r="A51" s="140"/>
      <c r="B51" s="27"/>
      <c r="C51" s="10"/>
      <c r="D51" s="31"/>
      <c r="F51" s="153" t="str">
        <f>_xlfn.IFS(H29&gt;G49,"SHORT",H29&lt;G49,"OVER",H29&lt;=G49,"-")</f>
        <v>SHORT</v>
      </c>
      <c r="G51" s="155">
        <f>G49-H29</f>
        <v>-1251.8333333333139</v>
      </c>
      <c r="H51" s="156"/>
      <c r="I51" s="156"/>
      <c r="J51" s="1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0"/>
      <c r="B52" s="29"/>
      <c r="C52" s="33"/>
      <c r="D52" s="45"/>
      <c r="F52" s="154"/>
      <c r="G52" s="158"/>
      <c r="H52" s="159"/>
      <c r="I52" s="159"/>
      <c r="J52" s="1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5" t="s">
        <v>89</v>
      </c>
      <c r="B54" s="126"/>
      <c r="C54" s="127"/>
      <c r="D54" s="131">
        <f>SUM(D34:D53)</f>
        <v>49626.75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8"/>
      <c r="B55" s="129"/>
      <c r="C55" s="130"/>
      <c r="D55" s="13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33" t="s">
        <v>90</v>
      </c>
      <c r="B58" s="134"/>
      <c r="C58" s="134"/>
      <c r="D58" s="135"/>
      <c r="F58" s="133" t="s">
        <v>91</v>
      </c>
      <c r="G58" s="134"/>
      <c r="H58" s="134"/>
      <c r="I58" s="134"/>
      <c r="J58" s="135"/>
    </row>
    <row r="59" spans="1:18" x14ac:dyDescent="0.25">
      <c r="A59" s="136"/>
      <c r="B59" s="137"/>
      <c r="C59" s="137"/>
      <c r="D59" s="138"/>
      <c r="F59" s="136"/>
      <c r="G59" s="137"/>
      <c r="H59" s="137"/>
      <c r="I59" s="137"/>
      <c r="J59" s="138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89" priority="1" operator="containsText" text="OVER">
      <formula>NOT(ISERROR(SEARCH("OVER",F51)))</formula>
    </cfRule>
    <cfRule type="containsText" dxfId="88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4B10421A-234D-4F60-9A3B-E0C182FB63FD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5D0AC-98C3-48E3-BBE0-FFD2A28BF85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1" t="s">
        <v>1</v>
      </c>
      <c r="O1" s="221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2" t="s">
        <v>7</v>
      </c>
      <c r="B4" s="173"/>
      <c r="C4" s="173"/>
      <c r="D4" s="174"/>
      <c r="F4" s="222" t="s">
        <v>8</v>
      </c>
      <c r="G4" s="224">
        <v>2</v>
      </c>
      <c r="H4" s="226" t="s">
        <v>9</v>
      </c>
      <c r="I4" s="228">
        <v>46245</v>
      </c>
      <c r="J4" s="22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6" t="s">
        <v>7</v>
      </c>
      <c r="B5" s="15" t="s">
        <v>11</v>
      </c>
      <c r="C5" s="9" t="s">
        <v>12</v>
      </c>
      <c r="D5" s="25" t="s">
        <v>13</v>
      </c>
      <c r="F5" s="223"/>
      <c r="G5" s="225"/>
      <c r="H5" s="227"/>
      <c r="I5" s="230"/>
      <c r="J5" s="23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7"/>
      <c r="B6" s="16" t="s">
        <v>15</v>
      </c>
      <c r="C6" s="10">
        <v>344</v>
      </c>
      <c r="D6" s="13">
        <f t="shared" ref="D6:D28" si="1">C6*L6</f>
        <v>261784</v>
      </c>
      <c r="F6" s="232" t="s">
        <v>16</v>
      </c>
      <c r="G6" s="234" t="s">
        <v>107</v>
      </c>
      <c r="H6" s="235"/>
      <c r="I6" s="235"/>
      <c r="J6" s="2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7"/>
      <c r="B7" s="16" t="s">
        <v>18</v>
      </c>
      <c r="C7" s="10">
        <v>3</v>
      </c>
      <c r="D7" s="13">
        <f t="shared" si="1"/>
        <v>2343</v>
      </c>
      <c r="F7" s="233"/>
      <c r="G7" s="237"/>
      <c r="H7" s="238"/>
      <c r="I7" s="238"/>
      <c r="J7" s="2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7"/>
      <c r="B8" s="16" t="s">
        <v>20</v>
      </c>
      <c r="C8" s="10"/>
      <c r="D8" s="13">
        <f t="shared" si="1"/>
        <v>0</v>
      </c>
      <c r="F8" s="240" t="s">
        <v>21</v>
      </c>
      <c r="G8" s="241" t="s">
        <v>100</v>
      </c>
      <c r="H8" s="242"/>
      <c r="I8" s="242"/>
      <c r="J8" s="24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7"/>
      <c r="B9" s="16" t="s">
        <v>23</v>
      </c>
      <c r="C9" s="10">
        <v>23</v>
      </c>
      <c r="D9" s="13">
        <f t="shared" si="1"/>
        <v>16859</v>
      </c>
      <c r="F9" s="233"/>
      <c r="G9" s="244"/>
      <c r="H9" s="245"/>
      <c r="I9" s="245"/>
      <c r="J9" s="24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7"/>
      <c r="B10" t="s">
        <v>25</v>
      </c>
      <c r="C10" s="10"/>
      <c r="D10" s="13">
        <f t="shared" si="1"/>
        <v>0</v>
      </c>
      <c r="F10" s="232" t="s">
        <v>26</v>
      </c>
      <c r="G10" s="247" t="s">
        <v>101</v>
      </c>
      <c r="H10" s="248"/>
      <c r="I10" s="248"/>
      <c r="J10" s="249"/>
      <c r="K10" s="8"/>
      <c r="L10" s="6">
        <f>R36</f>
        <v>1032</v>
      </c>
      <c r="P10" s="4"/>
      <c r="Q10" s="4"/>
      <c r="R10" s="5"/>
    </row>
    <row r="11" spans="1:18" ht="15.75" x14ac:dyDescent="0.25">
      <c r="A11" s="167"/>
      <c r="B11" s="17" t="s">
        <v>28</v>
      </c>
      <c r="C11" s="10"/>
      <c r="D11" s="13">
        <f t="shared" si="1"/>
        <v>0</v>
      </c>
      <c r="F11" s="233"/>
      <c r="G11" s="244"/>
      <c r="H11" s="245"/>
      <c r="I11" s="245"/>
      <c r="J11" s="24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7"/>
      <c r="B12" s="17" t="s">
        <v>30</v>
      </c>
      <c r="C12" s="10"/>
      <c r="D12" s="48">
        <f t="shared" si="1"/>
        <v>0</v>
      </c>
      <c r="F12" s="250" t="s">
        <v>33</v>
      </c>
      <c r="G12" s="251"/>
      <c r="H12" s="251"/>
      <c r="I12" s="251"/>
      <c r="J12" s="25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7"/>
      <c r="B13" s="17" t="s">
        <v>32</v>
      </c>
      <c r="C13" s="10">
        <v>10</v>
      </c>
      <c r="D13" s="48">
        <f t="shared" si="1"/>
        <v>3070</v>
      </c>
      <c r="F13" s="253" t="s">
        <v>36</v>
      </c>
      <c r="G13" s="217"/>
      <c r="H13" s="208">
        <f>D29</f>
        <v>284254.75</v>
      </c>
      <c r="I13" s="209"/>
      <c r="J13" s="21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7"/>
      <c r="B14" s="14" t="s">
        <v>35</v>
      </c>
      <c r="C14" s="10">
        <v>18</v>
      </c>
      <c r="D14" s="31">
        <f t="shared" si="1"/>
        <v>198.75</v>
      </c>
      <c r="F14" s="211" t="s">
        <v>38</v>
      </c>
      <c r="G14" s="212"/>
      <c r="H14" s="213">
        <f>D54</f>
        <v>48858.75</v>
      </c>
      <c r="I14" s="214"/>
      <c r="J14" s="215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7"/>
      <c r="B15" s="14" t="s">
        <v>117</v>
      </c>
      <c r="C15" s="10"/>
      <c r="D15" s="31">
        <f t="shared" si="1"/>
        <v>0</v>
      </c>
      <c r="F15" s="216" t="s">
        <v>39</v>
      </c>
      <c r="G15" s="217"/>
      <c r="H15" s="218">
        <f>H13-H14</f>
        <v>235396</v>
      </c>
      <c r="I15" s="219"/>
      <c r="J15" s="22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7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8">
        <v>1806</v>
      </c>
      <c r="I16" s="178"/>
      <c r="J16" s="17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7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9"/>
      <c r="I17" s="189"/>
      <c r="J17" s="18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7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9"/>
      <c r="I18" s="189"/>
      <c r="J18" s="18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7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3"/>
      <c r="I19" s="263"/>
      <c r="J19" s="26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7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8"/>
      <c r="I20" s="178"/>
      <c r="J20" s="17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7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91" t="s">
        <v>13</v>
      </c>
      <c r="I21" s="192"/>
      <c r="J21" s="193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7"/>
      <c r="B22" s="46" t="s">
        <v>103</v>
      </c>
      <c r="C22" s="10"/>
      <c r="D22" s="48">
        <f t="shared" si="1"/>
        <v>0</v>
      </c>
      <c r="F22" s="76"/>
      <c r="G22" s="72"/>
      <c r="H22" s="194"/>
      <c r="I22" s="194"/>
      <c r="J22" s="19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7"/>
      <c r="B23" s="14" t="s">
        <v>116</v>
      </c>
      <c r="C23" s="10"/>
      <c r="D23" s="48">
        <f t="shared" si="1"/>
        <v>0</v>
      </c>
      <c r="F23" s="77"/>
      <c r="G23" s="78"/>
      <c r="H23" s="264"/>
      <c r="I23" s="194"/>
      <c r="J23" s="19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7"/>
      <c r="B24" s="14" t="s">
        <v>123</v>
      </c>
      <c r="C24" s="10"/>
      <c r="D24" s="48">
        <f t="shared" si="1"/>
        <v>0</v>
      </c>
      <c r="F24" s="38"/>
      <c r="G24" s="37"/>
      <c r="H24" s="195"/>
      <c r="I24" s="164"/>
      <c r="J24" s="16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6" t="s">
        <v>13</v>
      </c>
      <c r="I25" s="197"/>
      <c r="J25" s="19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7"/>
      <c r="B26" s="14" t="s">
        <v>124</v>
      </c>
      <c r="C26" s="10"/>
      <c r="D26" s="48">
        <f t="shared" si="1"/>
        <v>0</v>
      </c>
      <c r="F26" s="64"/>
      <c r="G26" s="59"/>
      <c r="H26" s="199"/>
      <c r="I26" s="200"/>
      <c r="J26" s="20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7"/>
      <c r="B27" s="14" t="s">
        <v>125</v>
      </c>
      <c r="C27" s="10"/>
      <c r="D27" s="44">
        <f t="shared" si="1"/>
        <v>0</v>
      </c>
      <c r="F27" s="25"/>
      <c r="G27" s="79"/>
      <c r="H27" s="202"/>
      <c r="I27" s="203"/>
      <c r="J27" s="20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8"/>
      <c r="B28" s="46" t="s">
        <v>92</v>
      </c>
      <c r="C28" s="10"/>
      <c r="D28" s="48">
        <f t="shared" si="1"/>
        <v>0</v>
      </c>
      <c r="F28" s="111"/>
      <c r="G28" s="61"/>
      <c r="H28" s="205"/>
      <c r="I28" s="206"/>
      <c r="J28" s="20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9" t="s">
        <v>36</v>
      </c>
      <c r="B29" s="180"/>
      <c r="C29" s="181"/>
      <c r="D29" s="185">
        <f>SUM(D6:D28)</f>
        <v>284254.75</v>
      </c>
      <c r="F29" s="125" t="s">
        <v>54</v>
      </c>
      <c r="G29" s="187"/>
      <c r="H29" s="147">
        <f>H15-H16-H17-H18-H19-H20-H22-H23-H24+H26+H27</f>
        <v>233590</v>
      </c>
      <c r="I29" s="148"/>
      <c r="J29" s="14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2"/>
      <c r="B30" s="183"/>
      <c r="C30" s="184"/>
      <c r="D30" s="186"/>
      <c r="F30" s="128"/>
      <c r="G30" s="188"/>
      <c r="H30" s="150"/>
      <c r="I30" s="151"/>
      <c r="J30" s="15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2" t="s">
        <v>57</v>
      </c>
      <c r="B32" s="173"/>
      <c r="C32" s="173"/>
      <c r="D32" s="174"/>
      <c r="F32" s="175" t="s">
        <v>58</v>
      </c>
      <c r="G32" s="176"/>
      <c r="H32" s="176"/>
      <c r="I32" s="176"/>
      <c r="J32" s="17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175" t="s">
        <v>13</v>
      </c>
      <c r="I33" s="176"/>
      <c r="J33" s="17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6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40</v>
      </c>
      <c r="H34" s="169">
        <f>F34*G34</f>
        <v>40000</v>
      </c>
      <c r="I34" s="170"/>
      <c r="J34" s="17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7"/>
      <c r="B35" s="27" t="s">
        <v>67</v>
      </c>
      <c r="C35" s="52"/>
      <c r="D35" s="30">
        <f>C35*84</f>
        <v>0</v>
      </c>
      <c r="F35" s="58">
        <v>500</v>
      </c>
      <c r="G35" s="113">
        <v>4</v>
      </c>
      <c r="H35" s="169">
        <f>F35*G35</f>
        <v>2000</v>
      </c>
      <c r="I35" s="170"/>
      <c r="J35" s="17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8"/>
      <c r="B36" s="26" t="s">
        <v>69</v>
      </c>
      <c r="C36" s="10"/>
      <c r="D36" s="12">
        <f>C36*1.5</f>
        <v>0</v>
      </c>
      <c r="F36" s="12">
        <v>200</v>
      </c>
      <c r="G36" s="37"/>
      <c r="H36" s="169">
        <f t="shared" ref="H36:H39" si="2">F36*G36</f>
        <v>0</v>
      </c>
      <c r="I36" s="170"/>
      <c r="J36" s="17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6" t="s">
        <v>71</v>
      </c>
      <c r="B37" s="28" t="s">
        <v>65</v>
      </c>
      <c r="C37" s="53">
        <v>426</v>
      </c>
      <c r="D37" s="12">
        <f>C37*111</f>
        <v>47286</v>
      </c>
      <c r="F37" s="12">
        <v>100</v>
      </c>
      <c r="G37" s="39">
        <v>3</v>
      </c>
      <c r="H37" s="169">
        <f t="shared" si="2"/>
        <v>300</v>
      </c>
      <c r="I37" s="170"/>
      <c r="J37" s="17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7"/>
      <c r="B38" s="29" t="s">
        <v>67</v>
      </c>
      <c r="C38" s="54">
        <v>7</v>
      </c>
      <c r="D38" s="12">
        <f>C38*84</f>
        <v>588</v>
      </c>
      <c r="F38" s="30">
        <v>50</v>
      </c>
      <c r="G38" s="39"/>
      <c r="H38" s="169">
        <f t="shared" si="2"/>
        <v>0</v>
      </c>
      <c r="I38" s="170"/>
      <c r="J38" s="17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8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169">
        <f t="shared" si="2"/>
        <v>0</v>
      </c>
      <c r="I39" s="170"/>
      <c r="J39" s="17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6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114"/>
      <c r="H40" s="169"/>
      <c r="I40" s="170"/>
      <c r="J40" s="17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7"/>
      <c r="B41" s="27" t="s">
        <v>67</v>
      </c>
      <c r="C41" s="10"/>
      <c r="D41" s="12">
        <f>C41*84</f>
        <v>0</v>
      </c>
      <c r="F41" s="12">
        <v>5</v>
      </c>
      <c r="G41" s="114"/>
      <c r="H41" s="169"/>
      <c r="I41" s="170"/>
      <c r="J41" s="17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8"/>
      <c r="B42" s="27" t="s">
        <v>69</v>
      </c>
      <c r="C42" s="11">
        <v>3</v>
      </c>
      <c r="D42" s="12">
        <f>C42*2.25</f>
        <v>6.75</v>
      </c>
      <c r="F42" s="39" t="s">
        <v>78</v>
      </c>
      <c r="G42" s="169">
        <v>20</v>
      </c>
      <c r="H42" s="170"/>
      <c r="I42" s="170"/>
      <c r="J42" s="17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9" t="s">
        <v>80</v>
      </c>
      <c r="C43" s="11"/>
      <c r="D43" s="12"/>
      <c r="F43" s="59" t="s">
        <v>81</v>
      </c>
      <c r="G43" s="109" t="s">
        <v>82</v>
      </c>
      <c r="H43" s="161" t="s">
        <v>13</v>
      </c>
      <c r="I43" s="162"/>
      <c r="J43" s="16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0"/>
      <c r="B44" s="27" t="s">
        <v>65</v>
      </c>
      <c r="C44" s="10"/>
      <c r="D44" s="12">
        <f>C44*120</f>
        <v>0</v>
      </c>
      <c r="F44" s="37" t="s">
        <v>136</v>
      </c>
      <c r="G44" s="62" t="s">
        <v>167</v>
      </c>
      <c r="H44" s="164">
        <v>124685</v>
      </c>
      <c r="I44" s="164"/>
      <c r="J44" s="16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0"/>
      <c r="B45" s="27" t="s">
        <v>67</v>
      </c>
      <c r="C45" s="33"/>
      <c r="D45" s="12">
        <f>C45*84</f>
        <v>0</v>
      </c>
      <c r="F45" s="37" t="s">
        <v>148</v>
      </c>
      <c r="G45" s="75" t="s">
        <v>168</v>
      </c>
      <c r="H45" s="164">
        <v>70347</v>
      </c>
      <c r="I45" s="164"/>
      <c r="J45" s="164"/>
      <c r="K45" s="21"/>
      <c r="P45" s="4"/>
      <c r="Q45" s="4"/>
      <c r="R45" s="5"/>
    </row>
    <row r="46" spans="1:18" ht="15.75" x14ac:dyDescent="0.25">
      <c r="A46" s="140"/>
      <c r="B46" s="49" t="s">
        <v>69</v>
      </c>
      <c r="C46" s="80"/>
      <c r="D46" s="12">
        <f>C46*1.5</f>
        <v>0</v>
      </c>
      <c r="F46" s="37"/>
      <c r="G46" s="62"/>
      <c r="H46" s="164"/>
      <c r="I46" s="164"/>
      <c r="J46" s="164"/>
      <c r="K46" s="21"/>
      <c r="P46" s="4"/>
      <c r="Q46" s="4"/>
      <c r="R46" s="5"/>
    </row>
    <row r="47" spans="1:18" ht="15.75" x14ac:dyDescent="0.25">
      <c r="A47" s="141"/>
      <c r="B47" s="27"/>
      <c r="C47" s="11"/>
      <c r="D47" s="12"/>
      <c r="F47" s="59"/>
      <c r="G47" s="59"/>
      <c r="H47" s="164"/>
      <c r="I47" s="164"/>
      <c r="J47" s="164"/>
      <c r="K47" s="21"/>
      <c r="P47" s="4"/>
      <c r="Q47" s="4"/>
      <c r="R47" s="5"/>
    </row>
    <row r="48" spans="1:18" ht="15" customHeight="1" x14ac:dyDescent="0.25">
      <c r="A48" s="139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0"/>
      <c r="B49" s="29" t="s">
        <v>67</v>
      </c>
      <c r="C49" s="33">
        <v>9</v>
      </c>
      <c r="D49" s="12">
        <f>C49*42</f>
        <v>378</v>
      </c>
      <c r="F49" s="145" t="s">
        <v>85</v>
      </c>
      <c r="G49" s="147">
        <f>H34+H35+H36+H37+H38+H39+H40+H41+G42+H44+H45+H46+H47+H48</f>
        <v>237352</v>
      </c>
      <c r="H49" s="148"/>
      <c r="I49" s="148"/>
      <c r="J49" s="14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0"/>
      <c r="B50" s="32" t="s">
        <v>69</v>
      </c>
      <c r="C50" s="80">
        <v>19</v>
      </c>
      <c r="D50" s="12">
        <f>C50*1.5</f>
        <v>28.5</v>
      </c>
      <c r="F50" s="146"/>
      <c r="G50" s="150"/>
      <c r="H50" s="151"/>
      <c r="I50" s="151"/>
      <c r="J50" s="152"/>
      <c r="O50" t="s">
        <v>112</v>
      </c>
      <c r="P50" s="4">
        <v>1204</v>
      </c>
      <c r="Q50" s="4"/>
      <c r="R50" s="5"/>
    </row>
    <row r="51" spans="1:18" ht="15" customHeight="1" x14ac:dyDescent="0.25">
      <c r="A51" s="140"/>
      <c r="B51" s="27"/>
      <c r="C51" s="10"/>
      <c r="D51" s="31"/>
      <c r="F51" s="153" t="str">
        <f>_xlfn.IFS(H29&gt;G49,"SHORT",H29&lt;G49,"OVER",H29&lt;=G49,"-")</f>
        <v>OVER</v>
      </c>
      <c r="G51" s="155">
        <f>G49-H29</f>
        <v>3762</v>
      </c>
      <c r="H51" s="156"/>
      <c r="I51" s="156"/>
      <c r="J51" s="1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140"/>
      <c r="B52" s="29"/>
      <c r="C52" s="33"/>
      <c r="D52" s="45"/>
      <c r="F52" s="154"/>
      <c r="G52" s="158"/>
      <c r="H52" s="159"/>
      <c r="I52" s="159"/>
      <c r="J52" s="1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5" t="s">
        <v>89</v>
      </c>
      <c r="B54" s="126"/>
      <c r="C54" s="127"/>
      <c r="D54" s="131">
        <f>SUM(D34:D53)</f>
        <v>48858.75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8"/>
      <c r="B55" s="129"/>
      <c r="C55" s="130"/>
      <c r="D55" s="13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133" t="s">
        <v>90</v>
      </c>
      <c r="B58" s="134"/>
      <c r="C58" s="134"/>
      <c r="D58" s="135"/>
      <c r="F58" s="133" t="s">
        <v>91</v>
      </c>
      <c r="G58" s="134"/>
      <c r="H58" s="134"/>
      <c r="I58" s="134"/>
      <c r="J58" s="135"/>
    </row>
    <row r="59" spans="1:18" x14ac:dyDescent="0.25">
      <c r="A59" s="136"/>
      <c r="B59" s="137"/>
      <c r="C59" s="137"/>
      <c r="D59" s="138"/>
      <c r="F59" s="136"/>
      <c r="G59" s="137"/>
      <c r="H59" s="137"/>
      <c r="I59" s="137"/>
      <c r="J59" s="13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86" priority="1" operator="containsText" text="OVER">
      <formula>NOT(ISERROR(SEARCH("OVER",F51)))</formula>
    </cfRule>
    <cfRule type="containsText" dxfId="85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576BF7B7-7A92-4C20-8F2D-BD2CB4160C92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001AF-F76F-4A1E-A85B-A153CB8FACF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1" t="s">
        <v>1</v>
      </c>
      <c r="O1" s="221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2" t="s">
        <v>7</v>
      </c>
      <c r="B4" s="173"/>
      <c r="C4" s="173"/>
      <c r="D4" s="174"/>
      <c r="F4" s="222" t="s">
        <v>8</v>
      </c>
      <c r="G4" s="224">
        <v>3</v>
      </c>
      <c r="H4" s="226" t="s">
        <v>9</v>
      </c>
      <c r="I4" s="228">
        <v>46245</v>
      </c>
      <c r="J4" s="22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6" t="s">
        <v>7</v>
      </c>
      <c r="B5" s="15" t="s">
        <v>11</v>
      </c>
      <c r="C5" s="9" t="s">
        <v>12</v>
      </c>
      <c r="D5" s="25" t="s">
        <v>13</v>
      </c>
      <c r="F5" s="223"/>
      <c r="G5" s="225"/>
      <c r="H5" s="227"/>
      <c r="I5" s="230"/>
      <c r="J5" s="23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7"/>
      <c r="B6" s="16" t="s">
        <v>15</v>
      </c>
      <c r="C6" s="10">
        <v>418</v>
      </c>
      <c r="D6" s="13">
        <f t="shared" ref="D6:D28" si="1">C6*L6</f>
        <v>318098</v>
      </c>
      <c r="F6" s="232" t="s">
        <v>16</v>
      </c>
      <c r="G6" s="234" t="s">
        <v>142</v>
      </c>
      <c r="H6" s="235"/>
      <c r="I6" s="235"/>
      <c r="J6" s="2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7"/>
      <c r="B7" s="16" t="s">
        <v>18</v>
      </c>
      <c r="C7" s="10"/>
      <c r="D7" s="13">
        <f t="shared" si="1"/>
        <v>0</v>
      </c>
      <c r="F7" s="233"/>
      <c r="G7" s="237"/>
      <c r="H7" s="238"/>
      <c r="I7" s="238"/>
      <c r="J7" s="2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7"/>
      <c r="B8" s="16" t="s">
        <v>20</v>
      </c>
      <c r="C8" s="10"/>
      <c r="D8" s="13">
        <f t="shared" si="1"/>
        <v>0</v>
      </c>
      <c r="F8" s="240" t="s">
        <v>21</v>
      </c>
      <c r="G8" s="241" t="s">
        <v>109</v>
      </c>
      <c r="H8" s="242"/>
      <c r="I8" s="242"/>
      <c r="J8" s="24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7"/>
      <c r="B9" s="16" t="s">
        <v>23</v>
      </c>
      <c r="C9" s="10">
        <v>30</v>
      </c>
      <c r="D9" s="13">
        <f t="shared" si="1"/>
        <v>21990</v>
      </c>
      <c r="F9" s="233"/>
      <c r="G9" s="244"/>
      <c r="H9" s="245"/>
      <c r="I9" s="245"/>
      <c r="J9" s="24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7"/>
      <c r="B10" t="s">
        <v>25</v>
      </c>
      <c r="C10" s="10"/>
      <c r="D10" s="13">
        <f t="shared" si="1"/>
        <v>0</v>
      </c>
      <c r="F10" s="232" t="s">
        <v>26</v>
      </c>
      <c r="G10" s="247" t="s">
        <v>119</v>
      </c>
      <c r="H10" s="248"/>
      <c r="I10" s="248"/>
      <c r="J10" s="249"/>
      <c r="K10" s="8"/>
      <c r="L10" s="6">
        <f>R36</f>
        <v>1032</v>
      </c>
      <c r="P10" s="4"/>
      <c r="Q10" s="4"/>
      <c r="R10" s="5"/>
    </row>
    <row r="11" spans="1:18" ht="15.75" x14ac:dyDescent="0.25">
      <c r="A11" s="167"/>
      <c r="B11" s="17" t="s">
        <v>28</v>
      </c>
      <c r="C11" s="10"/>
      <c r="D11" s="13">
        <f t="shared" si="1"/>
        <v>0</v>
      </c>
      <c r="F11" s="233"/>
      <c r="G11" s="244"/>
      <c r="H11" s="245"/>
      <c r="I11" s="245"/>
      <c r="J11" s="24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7"/>
      <c r="B12" s="17" t="s">
        <v>30</v>
      </c>
      <c r="C12" s="10">
        <v>1</v>
      </c>
      <c r="D12" s="48">
        <f t="shared" si="1"/>
        <v>992</v>
      </c>
      <c r="F12" s="250" t="s">
        <v>33</v>
      </c>
      <c r="G12" s="251"/>
      <c r="H12" s="251"/>
      <c r="I12" s="251"/>
      <c r="J12" s="25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7"/>
      <c r="B13" s="17" t="s">
        <v>32</v>
      </c>
      <c r="C13" s="10">
        <v>15</v>
      </c>
      <c r="D13" s="48">
        <f t="shared" si="1"/>
        <v>4605</v>
      </c>
      <c r="F13" s="253" t="s">
        <v>36</v>
      </c>
      <c r="G13" s="217"/>
      <c r="H13" s="208">
        <f>D29</f>
        <v>345718.125</v>
      </c>
      <c r="I13" s="209"/>
      <c r="J13" s="21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7"/>
      <c r="B14" s="14" t="s">
        <v>35</v>
      </c>
      <c r="C14" s="10">
        <v>3</v>
      </c>
      <c r="D14" s="31">
        <f t="shared" si="1"/>
        <v>33.125</v>
      </c>
      <c r="F14" s="211" t="s">
        <v>38</v>
      </c>
      <c r="G14" s="212"/>
      <c r="H14" s="213">
        <f>D54</f>
        <v>51191.25</v>
      </c>
      <c r="I14" s="214"/>
      <c r="J14" s="215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7"/>
      <c r="B15" s="14" t="s">
        <v>117</v>
      </c>
      <c r="C15" s="10"/>
      <c r="D15" s="31">
        <f t="shared" si="1"/>
        <v>0</v>
      </c>
      <c r="F15" s="216" t="s">
        <v>39</v>
      </c>
      <c r="G15" s="217"/>
      <c r="H15" s="218">
        <f>H13-H14</f>
        <v>294526.875</v>
      </c>
      <c r="I15" s="219"/>
      <c r="J15" s="22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7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8">
        <v>1296</v>
      </c>
      <c r="I16" s="178"/>
      <c r="J16" s="17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7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9"/>
      <c r="I17" s="189"/>
      <c r="J17" s="18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7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9"/>
      <c r="I18" s="189"/>
      <c r="J18" s="18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7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3"/>
      <c r="I19" s="263"/>
      <c r="J19" s="26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7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8"/>
      <c r="I20" s="178"/>
      <c r="J20" s="17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7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191" t="s">
        <v>13</v>
      </c>
      <c r="I21" s="192"/>
      <c r="J21" s="19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7"/>
      <c r="B22" s="46" t="s">
        <v>103</v>
      </c>
      <c r="C22" s="10"/>
      <c r="D22" s="48">
        <f t="shared" si="1"/>
        <v>0</v>
      </c>
      <c r="F22" s="76"/>
      <c r="G22" s="72"/>
      <c r="H22" s="194"/>
      <c r="I22" s="194"/>
      <c r="J22" s="19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7"/>
      <c r="B23" s="14" t="s">
        <v>116</v>
      </c>
      <c r="C23" s="10"/>
      <c r="D23" s="48">
        <f t="shared" si="1"/>
        <v>0</v>
      </c>
      <c r="F23" s="77"/>
      <c r="G23" s="78"/>
      <c r="H23" s="264"/>
      <c r="I23" s="194"/>
      <c r="J23" s="19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7"/>
      <c r="B24" s="14" t="s">
        <v>123</v>
      </c>
      <c r="C24" s="10"/>
      <c r="D24" s="48">
        <f t="shared" si="1"/>
        <v>0</v>
      </c>
      <c r="F24" s="38"/>
      <c r="G24" s="37"/>
      <c r="H24" s="195"/>
      <c r="I24" s="164"/>
      <c r="J24" s="16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6" t="s">
        <v>13</v>
      </c>
      <c r="I25" s="197"/>
      <c r="J25" s="19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7"/>
      <c r="B26" s="14" t="s">
        <v>124</v>
      </c>
      <c r="C26" s="10"/>
      <c r="D26" s="48">
        <f t="shared" si="1"/>
        <v>0</v>
      </c>
      <c r="F26" s="64"/>
      <c r="G26" s="59"/>
      <c r="H26" s="199"/>
      <c r="I26" s="200"/>
      <c r="J26" s="20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7"/>
      <c r="B27" s="14" t="s">
        <v>125</v>
      </c>
      <c r="C27" s="10"/>
      <c r="D27" s="44">
        <f t="shared" si="1"/>
        <v>0</v>
      </c>
      <c r="F27" s="25"/>
      <c r="G27" s="79"/>
      <c r="H27" s="202"/>
      <c r="I27" s="203"/>
      <c r="J27" s="20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8"/>
      <c r="B28" s="46" t="s">
        <v>92</v>
      </c>
      <c r="C28" s="10"/>
      <c r="D28" s="48">
        <f t="shared" si="1"/>
        <v>0</v>
      </c>
      <c r="F28" s="111"/>
      <c r="G28" s="61"/>
      <c r="H28" s="205"/>
      <c r="I28" s="206"/>
      <c r="J28" s="20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9" t="s">
        <v>36</v>
      </c>
      <c r="B29" s="180"/>
      <c r="C29" s="181"/>
      <c r="D29" s="185">
        <f>SUM(D6:D28)</f>
        <v>345718.125</v>
      </c>
      <c r="F29" s="125" t="s">
        <v>54</v>
      </c>
      <c r="G29" s="187"/>
      <c r="H29" s="147">
        <f>H15-H16-H17-H18-H19-H20-H22-H23-H24+H26+H27</f>
        <v>293230.875</v>
      </c>
      <c r="I29" s="148"/>
      <c r="J29" s="14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2"/>
      <c r="B30" s="183"/>
      <c r="C30" s="184"/>
      <c r="D30" s="186"/>
      <c r="F30" s="128"/>
      <c r="G30" s="188"/>
      <c r="H30" s="150"/>
      <c r="I30" s="151"/>
      <c r="J30" s="15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2" t="s">
        <v>57</v>
      </c>
      <c r="B32" s="173"/>
      <c r="C32" s="173"/>
      <c r="D32" s="174"/>
      <c r="F32" s="175" t="s">
        <v>58</v>
      </c>
      <c r="G32" s="176"/>
      <c r="H32" s="176"/>
      <c r="I32" s="176"/>
      <c r="J32" s="17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175" t="s">
        <v>13</v>
      </c>
      <c r="I33" s="176"/>
      <c r="J33" s="17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6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73">
        <v>114</v>
      </c>
      <c r="H34" s="169">
        <f>F34*G34</f>
        <v>114000</v>
      </c>
      <c r="I34" s="170"/>
      <c r="J34" s="17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7"/>
      <c r="B35" s="27" t="s">
        <v>67</v>
      </c>
      <c r="C35" s="52"/>
      <c r="D35" s="30">
        <f>C35*84</f>
        <v>0</v>
      </c>
      <c r="F35" s="58">
        <v>500</v>
      </c>
      <c r="G35" s="113">
        <v>71</v>
      </c>
      <c r="H35" s="169">
        <f>F35*G35</f>
        <v>35500</v>
      </c>
      <c r="I35" s="170"/>
      <c r="J35" s="17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8"/>
      <c r="B36" s="26" t="s">
        <v>69</v>
      </c>
      <c r="C36" s="10"/>
      <c r="D36" s="12">
        <f>C36*1.5</f>
        <v>0</v>
      </c>
      <c r="F36" s="12">
        <v>200</v>
      </c>
      <c r="G36" s="37"/>
      <c r="H36" s="169">
        <f t="shared" ref="H36:H39" si="2">F36*G36</f>
        <v>0</v>
      </c>
      <c r="I36" s="170"/>
      <c r="J36" s="17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6" t="s">
        <v>71</v>
      </c>
      <c r="B37" s="28" t="s">
        <v>65</v>
      </c>
      <c r="C37" s="53">
        <v>434</v>
      </c>
      <c r="D37" s="12">
        <f>C37*111</f>
        <v>48174</v>
      </c>
      <c r="F37" s="12">
        <v>100</v>
      </c>
      <c r="G37" s="39">
        <v>11</v>
      </c>
      <c r="H37" s="169">
        <f t="shared" si="2"/>
        <v>1100</v>
      </c>
      <c r="I37" s="170"/>
      <c r="J37" s="17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7"/>
      <c r="B38" s="29" t="s">
        <v>67</v>
      </c>
      <c r="C38" s="54">
        <v>11</v>
      </c>
      <c r="D38" s="12">
        <f>C38*84</f>
        <v>924</v>
      </c>
      <c r="F38" s="30">
        <v>50</v>
      </c>
      <c r="G38" s="39">
        <v>1</v>
      </c>
      <c r="H38" s="169">
        <f t="shared" si="2"/>
        <v>50</v>
      </c>
      <c r="I38" s="170"/>
      <c r="J38" s="17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8"/>
      <c r="B39" s="29" t="s">
        <v>69</v>
      </c>
      <c r="C39" s="52"/>
      <c r="D39" s="31">
        <f>C39*4.5</f>
        <v>0</v>
      </c>
      <c r="F39" s="12">
        <v>20</v>
      </c>
      <c r="G39" s="37"/>
      <c r="H39" s="169">
        <f t="shared" si="2"/>
        <v>0</v>
      </c>
      <c r="I39" s="170"/>
      <c r="J39" s="17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6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114"/>
      <c r="H40" s="169"/>
      <c r="I40" s="170"/>
      <c r="J40" s="17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7"/>
      <c r="B41" s="27" t="s">
        <v>67</v>
      </c>
      <c r="C41" s="10">
        <v>1</v>
      </c>
      <c r="D41" s="12">
        <f>C41*84</f>
        <v>84</v>
      </c>
      <c r="F41" s="12">
        <v>5</v>
      </c>
      <c r="G41" s="114"/>
      <c r="H41" s="169"/>
      <c r="I41" s="170"/>
      <c r="J41" s="17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8"/>
      <c r="B42" s="27" t="s">
        <v>69</v>
      </c>
      <c r="C42" s="11">
        <v>7</v>
      </c>
      <c r="D42" s="12">
        <f>C42*2.25</f>
        <v>15.75</v>
      </c>
      <c r="F42" s="39" t="s">
        <v>78</v>
      </c>
      <c r="G42" s="169">
        <v>663</v>
      </c>
      <c r="H42" s="170"/>
      <c r="I42" s="170"/>
      <c r="J42" s="17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9" t="s">
        <v>80</v>
      </c>
      <c r="C43" s="11"/>
      <c r="D43" s="12"/>
      <c r="F43" s="59" t="s">
        <v>81</v>
      </c>
      <c r="G43" s="109" t="s">
        <v>82</v>
      </c>
      <c r="H43" s="161" t="s">
        <v>13</v>
      </c>
      <c r="I43" s="162"/>
      <c r="J43" s="16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0"/>
      <c r="B44" s="27" t="s">
        <v>65</v>
      </c>
      <c r="C44" s="10">
        <v>2</v>
      </c>
      <c r="D44" s="12">
        <f>C44*120</f>
        <v>240</v>
      </c>
      <c r="F44" s="37" t="s">
        <v>133</v>
      </c>
      <c r="G44" s="87" t="s">
        <v>164</v>
      </c>
      <c r="H44" s="164">
        <v>141165</v>
      </c>
      <c r="I44" s="164"/>
      <c r="J44" s="16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0"/>
      <c r="B45" s="27" t="s">
        <v>67</v>
      </c>
      <c r="C45" s="33">
        <v>1</v>
      </c>
      <c r="D45" s="12">
        <f>C45*84</f>
        <v>84</v>
      </c>
      <c r="F45" s="37"/>
      <c r="G45" s="62"/>
      <c r="H45" s="164"/>
      <c r="I45" s="164"/>
      <c r="J45" s="164"/>
      <c r="K45" s="21"/>
      <c r="P45" s="4"/>
      <c r="Q45" s="4"/>
      <c r="R45" s="5"/>
    </row>
    <row r="46" spans="1:18" ht="15.75" x14ac:dyDescent="0.25">
      <c r="A46" s="140"/>
      <c r="B46" s="49" t="s">
        <v>69</v>
      </c>
      <c r="C46" s="80"/>
      <c r="D46" s="12">
        <f>C46*1.5</f>
        <v>0</v>
      </c>
      <c r="F46" s="37"/>
      <c r="G46" s="75"/>
      <c r="H46" s="164"/>
      <c r="I46" s="164"/>
      <c r="J46" s="164"/>
      <c r="K46" s="21"/>
      <c r="P46" s="4"/>
      <c r="Q46" s="4"/>
      <c r="R46" s="5"/>
    </row>
    <row r="47" spans="1:18" ht="15.75" x14ac:dyDescent="0.25">
      <c r="A47" s="141"/>
      <c r="B47" s="27"/>
      <c r="C47" s="11"/>
      <c r="D47" s="12"/>
      <c r="F47" s="37"/>
      <c r="G47" s="75"/>
      <c r="H47" s="164"/>
      <c r="I47" s="164"/>
      <c r="J47" s="164"/>
      <c r="K47" s="21"/>
      <c r="P47" s="4"/>
      <c r="Q47" s="4"/>
      <c r="R47" s="5"/>
    </row>
    <row r="48" spans="1:18" ht="15" customHeight="1" x14ac:dyDescent="0.25">
      <c r="A48" s="139" t="s">
        <v>32</v>
      </c>
      <c r="B48" s="27" t="s">
        <v>65</v>
      </c>
      <c r="C48" s="10">
        <v>14</v>
      </c>
      <c r="D48" s="12">
        <f>C48*78</f>
        <v>1092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0"/>
      <c r="B49" s="29" t="s">
        <v>67</v>
      </c>
      <c r="C49" s="33">
        <v>2</v>
      </c>
      <c r="D49" s="12">
        <f>C49*42</f>
        <v>84</v>
      </c>
      <c r="F49" s="145" t="s">
        <v>85</v>
      </c>
      <c r="G49" s="147">
        <f>H34+H35+H36+H37+H38+H39+H40+H41+G42+H44+H45+H46+H47+H48</f>
        <v>292478</v>
      </c>
      <c r="H49" s="148"/>
      <c r="I49" s="148"/>
      <c r="J49" s="14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0"/>
      <c r="B50" s="32" t="s">
        <v>69</v>
      </c>
      <c r="C50" s="11">
        <v>21</v>
      </c>
      <c r="D50" s="12">
        <f>C50*1.5</f>
        <v>31.5</v>
      </c>
      <c r="F50" s="146"/>
      <c r="G50" s="150"/>
      <c r="H50" s="151"/>
      <c r="I50" s="151"/>
      <c r="J50" s="152"/>
      <c r="O50" t="s">
        <v>112</v>
      </c>
      <c r="P50" s="4">
        <v>1204</v>
      </c>
      <c r="Q50" s="4"/>
      <c r="R50" s="5"/>
    </row>
    <row r="51" spans="1:18" ht="15" customHeight="1" x14ac:dyDescent="0.25">
      <c r="A51" s="140"/>
      <c r="B51" s="27"/>
      <c r="C51" s="10"/>
      <c r="D51" s="31"/>
      <c r="F51" s="153" t="str">
        <f>_xlfn.IFS(H29&gt;G49,"SHORT",H29&lt;G49,"OVER",H29&lt;=G49,"-")</f>
        <v>SHORT</v>
      </c>
      <c r="G51" s="155">
        <f>G49-H29</f>
        <v>-752.875</v>
      </c>
      <c r="H51" s="156"/>
      <c r="I51" s="156"/>
      <c r="J51" s="1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140"/>
      <c r="B52" s="29"/>
      <c r="C52" s="33"/>
      <c r="D52" s="45"/>
      <c r="F52" s="154"/>
      <c r="G52" s="158"/>
      <c r="H52" s="159"/>
      <c r="I52" s="159"/>
      <c r="J52" s="1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5" t="s">
        <v>89</v>
      </c>
      <c r="B54" s="126"/>
      <c r="C54" s="127"/>
      <c r="D54" s="131">
        <f>SUM(D34:D53)</f>
        <v>51191.25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8"/>
      <c r="B55" s="129"/>
      <c r="C55" s="130"/>
      <c r="D55" s="13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33" t="s">
        <v>90</v>
      </c>
      <c r="B58" s="134"/>
      <c r="C58" s="134"/>
      <c r="D58" s="135"/>
      <c r="F58" s="133" t="s">
        <v>91</v>
      </c>
      <c r="G58" s="134"/>
      <c r="H58" s="134"/>
      <c r="I58" s="134"/>
      <c r="J58" s="135"/>
    </row>
    <row r="59" spans="1:18" x14ac:dyDescent="0.25">
      <c r="A59" s="136"/>
      <c r="B59" s="137"/>
      <c r="C59" s="137"/>
      <c r="D59" s="138"/>
      <c r="F59" s="136"/>
      <c r="G59" s="137"/>
      <c r="H59" s="137"/>
      <c r="I59" s="137"/>
      <c r="J59" s="13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83" priority="1" operator="containsText" text="OVER">
      <formula>NOT(ISERROR(SEARCH("OVER",F51)))</formula>
    </cfRule>
    <cfRule type="containsText" dxfId="82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1CEE3343-CB81-4237-B89E-0830872B4079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A99F79-17B0-44EE-9C7D-DE5282A14E77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1" t="s">
        <v>1</v>
      </c>
      <c r="O1" s="221"/>
      <c r="P1" s="110" t="s">
        <v>2</v>
      </c>
      <c r="Q1" s="11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2" t="s">
        <v>7</v>
      </c>
      <c r="B4" s="173"/>
      <c r="C4" s="173"/>
      <c r="D4" s="174"/>
      <c r="F4" s="222" t="s">
        <v>8</v>
      </c>
      <c r="G4" s="224"/>
      <c r="H4" s="226" t="s">
        <v>9</v>
      </c>
      <c r="I4" s="228"/>
      <c r="J4" s="22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6" t="s">
        <v>7</v>
      </c>
      <c r="B5" s="15" t="s">
        <v>11</v>
      </c>
      <c r="C5" s="9" t="s">
        <v>12</v>
      </c>
      <c r="D5" s="25" t="s">
        <v>13</v>
      </c>
      <c r="F5" s="223"/>
      <c r="G5" s="225"/>
      <c r="H5" s="227"/>
      <c r="I5" s="230"/>
      <c r="J5" s="23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7"/>
      <c r="B6" s="16"/>
      <c r="C6" s="10"/>
      <c r="D6" s="13">
        <f t="shared" ref="D6:D28" si="1">C6*L6</f>
        <v>0</v>
      </c>
      <c r="F6" s="232" t="s">
        <v>16</v>
      </c>
      <c r="G6" s="234"/>
      <c r="H6" s="235"/>
      <c r="I6" s="235"/>
      <c r="J6" s="23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7"/>
      <c r="B7" s="16"/>
      <c r="C7" s="10"/>
      <c r="D7" s="13">
        <f t="shared" si="1"/>
        <v>0</v>
      </c>
      <c r="F7" s="233"/>
      <c r="G7" s="237"/>
      <c r="H7" s="238"/>
      <c r="I7" s="238"/>
      <c r="J7" s="23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7"/>
      <c r="B8" s="16"/>
      <c r="C8" s="10"/>
      <c r="D8" s="13">
        <f t="shared" si="1"/>
        <v>0</v>
      </c>
      <c r="F8" s="240" t="s">
        <v>21</v>
      </c>
      <c r="G8" s="241"/>
      <c r="H8" s="242"/>
      <c r="I8" s="242"/>
      <c r="J8" s="24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7"/>
      <c r="B9" s="16"/>
      <c r="C9" s="10"/>
      <c r="D9" s="13">
        <f t="shared" si="1"/>
        <v>0</v>
      </c>
      <c r="F9" s="233"/>
      <c r="G9" s="244"/>
      <c r="H9" s="245"/>
      <c r="I9" s="245"/>
      <c r="J9" s="24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7"/>
      <c r="C10" s="10"/>
      <c r="D10" s="13">
        <f t="shared" si="1"/>
        <v>0</v>
      </c>
      <c r="F10" s="232" t="s">
        <v>26</v>
      </c>
      <c r="G10" s="247"/>
      <c r="H10" s="248"/>
      <c r="I10" s="248"/>
      <c r="J10" s="249"/>
      <c r="K10" s="8"/>
      <c r="L10" s="6">
        <f>R36</f>
        <v>972</v>
      </c>
      <c r="P10" s="4"/>
      <c r="Q10" s="4"/>
      <c r="R10" s="5"/>
    </row>
    <row r="11" spans="1:19" ht="15.75" x14ac:dyDescent="0.25">
      <c r="A11" s="167"/>
      <c r="B11" s="17"/>
      <c r="C11" s="10"/>
      <c r="D11" s="13">
        <f t="shared" si="1"/>
        <v>0</v>
      </c>
      <c r="F11" s="233"/>
      <c r="G11" s="244"/>
      <c r="H11" s="245"/>
      <c r="I11" s="245"/>
      <c r="J11" s="24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7"/>
      <c r="B12" s="17"/>
      <c r="C12" s="10"/>
      <c r="D12" s="48">
        <f t="shared" si="1"/>
        <v>0</v>
      </c>
      <c r="F12" s="250" t="s">
        <v>33</v>
      </c>
      <c r="G12" s="251"/>
      <c r="H12" s="251"/>
      <c r="I12" s="251"/>
      <c r="J12" s="25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7"/>
      <c r="B13" s="17"/>
      <c r="C13" s="10"/>
      <c r="D13" s="48">
        <f t="shared" si="1"/>
        <v>0</v>
      </c>
      <c r="F13" s="253" t="s">
        <v>36</v>
      </c>
      <c r="G13" s="217"/>
      <c r="H13" s="208">
        <f>D29</f>
        <v>0</v>
      </c>
      <c r="I13" s="209"/>
      <c r="J13" s="21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7"/>
      <c r="B14" s="14"/>
      <c r="C14" s="10"/>
      <c r="D14" s="31">
        <f t="shared" si="1"/>
        <v>0</v>
      </c>
      <c r="F14" s="211" t="s">
        <v>38</v>
      </c>
      <c r="G14" s="212"/>
      <c r="H14" s="213">
        <f>D54</f>
        <v>0</v>
      </c>
      <c r="I14" s="214"/>
      <c r="J14" s="21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7"/>
      <c r="B15" s="14"/>
      <c r="C15" s="10"/>
      <c r="D15" s="31">
        <f t="shared" si="1"/>
        <v>0</v>
      </c>
      <c r="F15" s="216" t="s">
        <v>39</v>
      </c>
      <c r="G15" s="217"/>
      <c r="H15" s="218">
        <f>H13-H14</f>
        <v>0</v>
      </c>
      <c r="I15" s="219"/>
      <c r="J15" s="22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8"/>
      <c r="I16" s="178"/>
      <c r="J16" s="17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7"/>
      <c r="C17" s="10"/>
      <c r="D17" s="48">
        <f t="shared" si="1"/>
        <v>0</v>
      </c>
      <c r="F17" s="56"/>
      <c r="G17" s="66" t="s">
        <v>44</v>
      </c>
      <c r="H17" s="189"/>
      <c r="I17" s="189"/>
      <c r="J17" s="18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7"/>
      <c r="B18" s="19"/>
      <c r="C18" s="10"/>
      <c r="D18" s="48">
        <f t="shared" si="1"/>
        <v>0</v>
      </c>
      <c r="F18" s="56"/>
      <c r="G18" s="66" t="s">
        <v>46</v>
      </c>
      <c r="H18" s="189"/>
      <c r="I18" s="189"/>
      <c r="J18" s="18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7"/>
      <c r="B19" s="14"/>
      <c r="C19" s="10"/>
      <c r="D19" s="48">
        <f t="shared" si="1"/>
        <v>0</v>
      </c>
      <c r="F19" s="56"/>
      <c r="G19" s="68" t="s">
        <v>49</v>
      </c>
      <c r="H19" s="190"/>
      <c r="I19" s="190"/>
      <c r="J19" s="19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7"/>
      <c r="B20" s="46"/>
      <c r="C20" s="10"/>
      <c r="D20" s="13">
        <f t="shared" si="1"/>
        <v>0</v>
      </c>
      <c r="F20" s="57"/>
      <c r="G20" s="70" t="s">
        <v>102</v>
      </c>
      <c r="H20" s="178"/>
      <c r="I20" s="178"/>
      <c r="J20" s="17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7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91" t="s">
        <v>13</v>
      </c>
      <c r="I21" s="192"/>
      <c r="J21" s="193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7"/>
      <c r="B22" s="46"/>
      <c r="C22" s="10"/>
      <c r="D22" s="48">
        <f t="shared" si="1"/>
        <v>0</v>
      </c>
      <c r="F22" s="76"/>
      <c r="G22" s="72"/>
      <c r="H22" s="194"/>
      <c r="I22" s="194"/>
      <c r="J22" s="194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7"/>
      <c r="B23" s="14"/>
      <c r="C23" s="10"/>
      <c r="D23" s="48">
        <f t="shared" si="1"/>
        <v>0</v>
      </c>
      <c r="F23" s="77"/>
      <c r="G23" s="78"/>
      <c r="H23" s="195"/>
      <c r="I23" s="164"/>
      <c r="J23" s="16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7"/>
      <c r="B24" s="14"/>
      <c r="C24" s="10"/>
      <c r="D24" s="48">
        <f t="shared" si="1"/>
        <v>0</v>
      </c>
      <c r="F24" s="38"/>
      <c r="G24" s="37"/>
      <c r="H24" s="195"/>
      <c r="I24" s="164"/>
      <c r="J24" s="16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6" t="s">
        <v>13</v>
      </c>
      <c r="I25" s="197"/>
      <c r="J25" s="19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7"/>
      <c r="B26" s="14"/>
      <c r="C26" s="10"/>
      <c r="D26" s="48">
        <f t="shared" si="1"/>
        <v>0</v>
      </c>
      <c r="F26" s="64"/>
      <c r="G26" s="59"/>
      <c r="H26" s="199"/>
      <c r="I26" s="200"/>
      <c r="J26" s="20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7"/>
      <c r="B27" s="14"/>
      <c r="C27" s="10"/>
      <c r="D27" s="44">
        <f t="shared" si="1"/>
        <v>0</v>
      </c>
      <c r="F27" s="25"/>
      <c r="G27" s="79"/>
      <c r="H27" s="202"/>
      <c r="I27" s="203"/>
      <c r="J27" s="20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8"/>
      <c r="B28" s="46"/>
      <c r="C28" s="10"/>
      <c r="D28" s="48">
        <f t="shared" si="1"/>
        <v>0</v>
      </c>
      <c r="F28" s="111"/>
      <c r="G28" s="61"/>
      <c r="H28" s="205"/>
      <c r="I28" s="206"/>
      <c r="J28" s="20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9" t="s">
        <v>36</v>
      </c>
      <c r="B29" s="180"/>
      <c r="C29" s="181"/>
      <c r="D29" s="185">
        <f>SUM(D6:D28)</f>
        <v>0</v>
      </c>
      <c r="F29" s="125" t="s">
        <v>54</v>
      </c>
      <c r="G29" s="187"/>
      <c r="H29" s="147">
        <f>H15-H16-H17-H18-H19-H20-H22-H23-H24+H26+H27</f>
        <v>0</v>
      </c>
      <c r="I29" s="148"/>
      <c r="J29" s="14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2"/>
      <c r="B30" s="183"/>
      <c r="C30" s="184"/>
      <c r="D30" s="186"/>
      <c r="F30" s="128"/>
      <c r="G30" s="188"/>
      <c r="H30" s="150"/>
      <c r="I30" s="151"/>
      <c r="J30" s="15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2" t="s">
        <v>57</v>
      </c>
      <c r="B32" s="173"/>
      <c r="C32" s="173"/>
      <c r="D32" s="174"/>
      <c r="F32" s="175" t="s">
        <v>58</v>
      </c>
      <c r="G32" s="176"/>
      <c r="H32" s="176"/>
      <c r="I32" s="176"/>
      <c r="J32" s="17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175" t="s">
        <v>13</v>
      </c>
      <c r="I33" s="176"/>
      <c r="J33" s="17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6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69"/>
      <c r="I34" s="170"/>
      <c r="J34" s="17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7"/>
      <c r="B35" s="27" t="s">
        <v>67</v>
      </c>
      <c r="C35" s="52"/>
      <c r="D35" s="30">
        <f>C35*84</f>
        <v>0</v>
      </c>
      <c r="F35" s="58">
        <v>500</v>
      </c>
      <c r="G35" s="113"/>
      <c r="H35" s="169"/>
      <c r="I35" s="170"/>
      <c r="J35" s="17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8"/>
      <c r="B36" s="26" t="s">
        <v>69</v>
      </c>
      <c r="C36" s="10"/>
      <c r="D36" s="12">
        <f>C36*1.5</f>
        <v>0</v>
      </c>
      <c r="F36" s="12">
        <v>200</v>
      </c>
      <c r="G36" s="37"/>
      <c r="H36" s="169"/>
      <c r="I36" s="170"/>
      <c r="J36" s="17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9"/>
      <c r="I37" s="170"/>
      <c r="J37" s="17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7"/>
      <c r="B38" s="29" t="s">
        <v>67</v>
      </c>
      <c r="C38" s="54"/>
      <c r="D38" s="12">
        <f>C38*84</f>
        <v>0</v>
      </c>
      <c r="F38" s="30">
        <v>50</v>
      </c>
      <c r="G38" s="39"/>
      <c r="H38" s="169"/>
      <c r="I38" s="170"/>
      <c r="J38" s="17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8"/>
      <c r="B39" s="29" t="s">
        <v>69</v>
      </c>
      <c r="C39" s="52"/>
      <c r="D39" s="31">
        <f>C39*4.5</f>
        <v>0</v>
      </c>
      <c r="F39" s="12">
        <v>20</v>
      </c>
      <c r="G39" s="37"/>
      <c r="H39" s="169"/>
      <c r="I39" s="170"/>
      <c r="J39" s="17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6" t="s">
        <v>75</v>
      </c>
      <c r="B40" s="27" t="s">
        <v>65</v>
      </c>
      <c r="C40" s="63"/>
      <c r="D40" s="12">
        <f>C40*111</f>
        <v>0</v>
      </c>
      <c r="F40" s="12">
        <v>10</v>
      </c>
      <c r="G40" s="114"/>
      <c r="H40" s="169"/>
      <c r="I40" s="170"/>
      <c r="J40" s="17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7"/>
      <c r="B41" s="27" t="s">
        <v>67</v>
      </c>
      <c r="C41" s="10"/>
      <c r="D41" s="12">
        <f>C41*84</f>
        <v>0</v>
      </c>
      <c r="F41" s="12">
        <v>5</v>
      </c>
      <c r="G41" s="114"/>
      <c r="H41" s="169"/>
      <c r="I41" s="170"/>
      <c r="J41" s="17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8"/>
      <c r="B42" s="27" t="s">
        <v>69</v>
      </c>
      <c r="C42" s="11"/>
      <c r="D42" s="12">
        <f>C42*2.25</f>
        <v>0</v>
      </c>
      <c r="F42" s="39" t="s">
        <v>78</v>
      </c>
      <c r="G42" s="169"/>
      <c r="H42" s="170"/>
      <c r="I42" s="170"/>
      <c r="J42" s="17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9" t="s">
        <v>80</v>
      </c>
      <c r="C43" s="11"/>
      <c r="D43" s="12"/>
      <c r="F43" s="59" t="s">
        <v>81</v>
      </c>
      <c r="G43" s="109" t="s">
        <v>82</v>
      </c>
      <c r="H43" s="161" t="s">
        <v>13</v>
      </c>
      <c r="I43" s="162"/>
      <c r="J43" s="163"/>
      <c r="K43" s="21"/>
      <c r="P43" s="4"/>
      <c r="Q43" s="4"/>
      <c r="R43" s="5"/>
    </row>
    <row r="44" spans="1:18" ht="15.75" x14ac:dyDescent="0.25">
      <c r="A44" s="140"/>
      <c r="B44" s="27" t="s">
        <v>65</v>
      </c>
      <c r="C44" s="10"/>
      <c r="D44" s="12">
        <f>C44*120</f>
        <v>0</v>
      </c>
      <c r="F44" s="37"/>
      <c r="G44" s="75"/>
      <c r="H44" s="164"/>
      <c r="I44" s="164"/>
      <c r="J44" s="164"/>
      <c r="K44" s="21"/>
      <c r="P44" s="4"/>
      <c r="Q44" s="4"/>
      <c r="R44" s="5"/>
    </row>
    <row r="45" spans="1:18" ht="15.75" x14ac:dyDescent="0.25">
      <c r="A45" s="140"/>
      <c r="B45" s="27" t="s">
        <v>67</v>
      </c>
      <c r="C45" s="33"/>
      <c r="D45" s="12">
        <f>C45*84</f>
        <v>0</v>
      </c>
      <c r="F45" s="37"/>
      <c r="G45" s="75"/>
      <c r="H45" s="164"/>
      <c r="I45" s="164"/>
      <c r="J45" s="164"/>
      <c r="K45" s="21"/>
      <c r="P45" s="4"/>
      <c r="Q45" s="4"/>
      <c r="R45" s="5"/>
    </row>
    <row r="46" spans="1:18" ht="15.75" x14ac:dyDescent="0.25">
      <c r="A46" s="140"/>
      <c r="B46" s="49" t="s">
        <v>69</v>
      </c>
      <c r="C46" s="80"/>
      <c r="D46" s="12">
        <f>C46*1.5</f>
        <v>0</v>
      </c>
      <c r="F46" s="37"/>
      <c r="G46" s="62"/>
      <c r="H46" s="165"/>
      <c r="I46" s="165"/>
      <c r="J46" s="165"/>
      <c r="K46" s="21"/>
      <c r="P46" s="4"/>
      <c r="Q46" s="4"/>
      <c r="R46" s="5"/>
    </row>
    <row r="47" spans="1:18" ht="15.75" x14ac:dyDescent="0.25">
      <c r="A47" s="141"/>
      <c r="B47" s="27"/>
      <c r="C47" s="11"/>
      <c r="D47" s="12"/>
      <c r="F47" s="59"/>
      <c r="G47" s="59"/>
      <c r="H47" s="142"/>
      <c r="I47" s="143"/>
      <c r="J47" s="144"/>
      <c r="K47" s="21"/>
      <c r="P47" s="4"/>
      <c r="Q47" s="4"/>
      <c r="R47" s="5"/>
    </row>
    <row r="48" spans="1:18" ht="15" customHeight="1" x14ac:dyDescent="0.25">
      <c r="A48" s="139" t="s">
        <v>32</v>
      </c>
      <c r="B48" s="27" t="s">
        <v>65</v>
      </c>
      <c r="C48" s="10"/>
      <c r="D48" s="12">
        <f>C48*78</f>
        <v>0</v>
      </c>
      <c r="F48" s="59"/>
      <c r="G48" s="59"/>
      <c r="H48" s="142"/>
      <c r="I48" s="143"/>
      <c r="J48" s="14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0"/>
      <c r="B49" s="29" t="s">
        <v>67</v>
      </c>
      <c r="C49" s="33"/>
      <c r="D49" s="12">
        <f>C49*42</f>
        <v>0</v>
      </c>
      <c r="F49" s="145" t="s">
        <v>85</v>
      </c>
      <c r="G49" s="147">
        <f>H34+H35+H36+H37+H38+H39+H40+H41+G42+H44+H45+H46</f>
        <v>0</v>
      </c>
      <c r="H49" s="148"/>
      <c r="I49" s="148"/>
      <c r="J49" s="14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0"/>
      <c r="B50" s="32" t="s">
        <v>69</v>
      </c>
      <c r="C50" s="11"/>
      <c r="D50" s="12">
        <f>C50*1.5</f>
        <v>0</v>
      </c>
      <c r="F50" s="146"/>
      <c r="G50" s="150"/>
      <c r="H50" s="151"/>
      <c r="I50" s="151"/>
      <c r="J50" s="152"/>
      <c r="P50" s="4"/>
      <c r="Q50" s="4"/>
      <c r="R50" s="5"/>
    </row>
    <row r="51" spans="1:18" ht="15" customHeight="1" x14ac:dyDescent="0.25">
      <c r="A51" s="140"/>
      <c r="B51" s="27"/>
      <c r="C51" s="10"/>
      <c r="D51" s="31"/>
      <c r="F51" s="153" t="s">
        <v>106</v>
      </c>
      <c r="G51" s="155">
        <f>G49-H29</f>
        <v>0</v>
      </c>
      <c r="H51" s="156"/>
      <c r="I51" s="156"/>
      <c r="J51" s="15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0"/>
      <c r="B52" s="29"/>
      <c r="C52" s="33"/>
      <c r="D52" s="45"/>
      <c r="F52" s="154"/>
      <c r="G52" s="158"/>
      <c r="H52" s="159"/>
      <c r="I52" s="159"/>
      <c r="J52" s="1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5" t="s">
        <v>89</v>
      </c>
      <c r="B54" s="126"/>
      <c r="C54" s="127"/>
      <c r="D54" s="131">
        <f>SUM(D34:D53)</f>
        <v>0</v>
      </c>
      <c r="F54" s="21"/>
      <c r="J54" s="34"/>
    </row>
    <row r="55" spans="1:18" x14ac:dyDescent="0.25">
      <c r="A55" s="128"/>
      <c r="B55" s="129"/>
      <c r="C55" s="130"/>
      <c r="D55" s="13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3" t="s">
        <v>90</v>
      </c>
      <c r="B58" s="134"/>
      <c r="C58" s="134"/>
      <c r="D58" s="135"/>
      <c r="F58" s="133" t="s">
        <v>91</v>
      </c>
      <c r="G58" s="134"/>
      <c r="H58" s="134"/>
      <c r="I58" s="134"/>
      <c r="J58" s="135"/>
    </row>
    <row r="59" spans="1:18" x14ac:dyDescent="0.25">
      <c r="A59" s="136"/>
      <c r="B59" s="137"/>
      <c r="C59" s="137"/>
      <c r="D59" s="138"/>
      <c r="F59" s="136"/>
      <c r="G59" s="137"/>
      <c r="H59" s="137"/>
      <c r="I59" s="137"/>
      <c r="J59" s="13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5C8B3-5A1A-4332-9FAC-CBD26C75FB00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1" t="s">
        <v>1</v>
      </c>
      <c r="O1" s="221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2" t="s">
        <v>7</v>
      </c>
      <c r="B4" s="173"/>
      <c r="C4" s="173"/>
      <c r="D4" s="174"/>
      <c r="F4" s="222" t="s">
        <v>8</v>
      </c>
      <c r="G4" s="224">
        <v>1</v>
      </c>
      <c r="H4" s="226" t="s">
        <v>9</v>
      </c>
      <c r="I4" s="228">
        <v>46246</v>
      </c>
      <c r="J4" s="22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6" t="s">
        <v>7</v>
      </c>
      <c r="B5" s="15" t="s">
        <v>11</v>
      </c>
      <c r="C5" s="9" t="s">
        <v>12</v>
      </c>
      <c r="D5" s="25" t="s">
        <v>13</v>
      </c>
      <c r="F5" s="223"/>
      <c r="G5" s="225"/>
      <c r="H5" s="227"/>
      <c r="I5" s="230"/>
      <c r="J5" s="23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7"/>
      <c r="B6" s="16" t="s">
        <v>15</v>
      </c>
      <c r="C6" s="10">
        <v>632</v>
      </c>
      <c r="D6" s="13">
        <f t="shared" ref="D6:D28" si="1">C6*L6</f>
        <v>480952</v>
      </c>
      <c r="F6" s="232" t="s">
        <v>16</v>
      </c>
      <c r="G6" s="234" t="s">
        <v>99</v>
      </c>
      <c r="H6" s="235"/>
      <c r="I6" s="235"/>
      <c r="J6" s="2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7"/>
      <c r="B7" s="16" t="s">
        <v>18</v>
      </c>
      <c r="C7" s="10">
        <v>10</v>
      </c>
      <c r="D7" s="13">
        <f t="shared" si="1"/>
        <v>7810</v>
      </c>
      <c r="F7" s="233"/>
      <c r="G7" s="237"/>
      <c r="H7" s="238"/>
      <c r="I7" s="238"/>
      <c r="J7" s="2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7"/>
      <c r="B8" s="16" t="s">
        <v>20</v>
      </c>
      <c r="C8" s="10"/>
      <c r="D8" s="13">
        <f t="shared" si="1"/>
        <v>0</v>
      </c>
      <c r="F8" s="240" t="s">
        <v>21</v>
      </c>
      <c r="G8" s="241" t="s">
        <v>115</v>
      </c>
      <c r="H8" s="242"/>
      <c r="I8" s="242"/>
      <c r="J8" s="24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7"/>
      <c r="B9" s="16" t="s">
        <v>23</v>
      </c>
      <c r="C9" s="10">
        <v>32</v>
      </c>
      <c r="D9" s="13">
        <f t="shared" si="1"/>
        <v>23456</v>
      </c>
      <c r="F9" s="233"/>
      <c r="G9" s="244"/>
      <c r="H9" s="245"/>
      <c r="I9" s="245"/>
      <c r="J9" s="24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7"/>
      <c r="B10" t="s">
        <v>25</v>
      </c>
      <c r="C10" s="10"/>
      <c r="D10" s="13">
        <f t="shared" si="1"/>
        <v>0</v>
      </c>
      <c r="F10" s="232" t="s">
        <v>26</v>
      </c>
      <c r="G10" s="247" t="s">
        <v>108</v>
      </c>
      <c r="H10" s="248"/>
      <c r="I10" s="248"/>
      <c r="J10" s="249"/>
      <c r="K10" s="8"/>
      <c r="L10" s="6">
        <f>R36</f>
        <v>1032</v>
      </c>
      <c r="P10" s="4"/>
      <c r="Q10" s="4"/>
      <c r="R10" s="5"/>
    </row>
    <row r="11" spans="1:18" ht="15.75" x14ac:dyDescent="0.25">
      <c r="A11" s="167"/>
      <c r="B11" s="17" t="s">
        <v>28</v>
      </c>
      <c r="C11" s="10"/>
      <c r="D11" s="13">
        <f t="shared" si="1"/>
        <v>0</v>
      </c>
      <c r="F11" s="233"/>
      <c r="G11" s="244"/>
      <c r="H11" s="245"/>
      <c r="I11" s="245"/>
      <c r="J11" s="24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7"/>
      <c r="B12" s="17" t="s">
        <v>30</v>
      </c>
      <c r="C12" s="10"/>
      <c r="D12" s="48">
        <f t="shared" si="1"/>
        <v>0</v>
      </c>
      <c r="F12" s="250" t="s">
        <v>33</v>
      </c>
      <c r="G12" s="251"/>
      <c r="H12" s="251"/>
      <c r="I12" s="251"/>
      <c r="J12" s="25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7"/>
      <c r="B13" s="17" t="s">
        <v>32</v>
      </c>
      <c r="C13" s="10">
        <v>9</v>
      </c>
      <c r="D13" s="48">
        <f t="shared" si="1"/>
        <v>2763</v>
      </c>
      <c r="F13" s="253" t="s">
        <v>36</v>
      </c>
      <c r="G13" s="217"/>
      <c r="H13" s="208">
        <f>D29</f>
        <v>519146.41666666669</v>
      </c>
      <c r="I13" s="209"/>
      <c r="J13" s="21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7"/>
      <c r="B14" s="14" t="s">
        <v>35</v>
      </c>
      <c r="C14" s="10">
        <v>10</v>
      </c>
      <c r="D14" s="31">
        <f t="shared" si="1"/>
        <v>110.41666666666666</v>
      </c>
      <c r="F14" s="211" t="s">
        <v>38</v>
      </c>
      <c r="G14" s="212"/>
      <c r="H14" s="213">
        <f>D54</f>
        <v>77385</v>
      </c>
      <c r="I14" s="214"/>
      <c r="J14" s="215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7"/>
      <c r="B15" s="14" t="s">
        <v>117</v>
      </c>
      <c r="C15" s="10"/>
      <c r="D15" s="31">
        <f t="shared" si="1"/>
        <v>0</v>
      </c>
      <c r="F15" s="216" t="s">
        <v>39</v>
      </c>
      <c r="G15" s="217"/>
      <c r="H15" s="218">
        <f>H13-H14</f>
        <v>441761.41666666669</v>
      </c>
      <c r="I15" s="219"/>
      <c r="J15" s="22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7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8">
        <v>3402</v>
      </c>
      <c r="I16" s="178"/>
      <c r="J16" s="17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7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9"/>
      <c r="I17" s="189"/>
      <c r="J17" s="18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7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9"/>
      <c r="I18" s="189"/>
      <c r="J18" s="18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7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8"/>
      <c r="I19" s="178"/>
      <c r="J19" s="17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7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8"/>
      <c r="I20" s="178"/>
      <c r="J20" s="17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7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91" t="s">
        <v>13</v>
      </c>
      <c r="I21" s="192"/>
      <c r="J21" s="19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7"/>
      <c r="B22" s="46" t="s">
        <v>103</v>
      </c>
      <c r="C22" s="10"/>
      <c r="D22" s="48">
        <f t="shared" si="1"/>
        <v>0</v>
      </c>
      <c r="F22" s="76"/>
      <c r="G22" s="72"/>
      <c r="H22" s="194"/>
      <c r="I22" s="194"/>
      <c r="J22" s="19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7"/>
      <c r="B23" s="14" t="s">
        <v>116</v>
      </c>
      <c r="C23" s="10"/>
      <c r="D23" s="48">
        <f t="shared" si="1"/>
        <v>0</v>
      </c>
      <c r="F23" s="76"/>
      <c r="G23" s="78"/>
      <c r="H23" s="259"/>
      <c r="I23" s="260"/>
      <c r="J23" s="26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7"/>
      <c r="B24" s="14" t="s">
        <v>123</v>
      </c>
      <c r="C24" s="10"/>
      <c r="D24" s="48">
        <f t="shared" si="1"/>
        <v>0</v>
      </c>
      <c r="F24" s="76"/>
      <c r="G24" s="78"/>
      <c r="H24" s="259"/>
      <c r="I24" s="260"/>
      <c r="J24" s="26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6" t="s">
        <v>13</v>
      </c>
      <c r="I25" s="197"/>
      <c r="J25" s="19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7"/>
      <c r="B26" s="14" t="s">
        <v>124</v>
      </c>
      <c r="C26" s="10"/>
      <c r="D26" s="48">
        <f t="shared" si="1"/>
        <v>0</v>
      </c>
      <c r="F26" s="74" t="s">
        <v>163</v>
      </c>
      <c r="G26" s="65">
        <v>11426</v>
      </c>
      <c r="H26" s="164">
        <v>82890</v>
      </c>
      <c r="I26" s="164"/>
      <c r="J26" s="16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7"/>
      <c r="B27" s="14" t="s">
        <v>125</v>
      </c>
      <c r="C27" s="10"/>
      <c r="D27" s="44">
        <f t="shared" si="1"/>
        <v>0</v>
      </c>
      <c r="F27" s="71"/>
      <c r="G27" s="109"/>
      <c r="H27" s="261"/>
      <c r="I27" s="262"/>
      <c r="J27" s="26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8"/>
      <c r="B28" s="46" t="s">
        <v>92</v>
      </c>
      <c r="C28" s="10">
        <v>5</v>
      </c>
      <c r="D28" s="48">
        <f t="shared" si="1"/>
        <v>4055</v>
      </c>
      <c r="F28" s="111"/>
      <c r="G28" s="61"/>
      <c r="H28" s="205"/>
      <c r="I28" s="206"/>
      <c r="J28" s="20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9" t="s">
        <v>36</v>
      </c>
      <c r="B29" s="180"/>
      <c r="C29" s="181"/>
      <c r="D29" s="185">
        <f>SUM(D6:D28)</f>
        <v>519146.41666666669</v>
      </c>
      <c r="F29" s="125" t="s">
        <v>54</v>
      </c>
      <c r="G29" s="187"/>
      <c r="H29" s="147">
        <f>H15-H16-H17-H18-H19-H20-H22-H23-H24+H26+H27+H28</f>
        <v>521249.41666666669</v>
      </c>
      <c r="I29" s="148"/>
      <c r="J29" s="14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2"/>
      <c r="B30" s="183"/>
      <c r="C30" s="184"/>
      <c r="D30" s="186"/>
      <c r="F30" s="128"/>
      <c r="G30" s="188"/>
      <c r="H30" s="150"/>
      <c r="I30" s="151"/>
      <c r="J30" s="15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2" t="s">
        <v>57</v>
      </c>
      <c r="B32" s="173"/>
      <c r="C32" s="173"/>
      <c r="D32" s="174"/>
      <c r="F32" s="175" t="s">
        <v>58</v>
      </c>
      <c r="G32" s="176"/>
      <c r="H32" s="176"/>
      <c r="I32" s="176"/>
      <c r="J32" s="17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175" t="s">
        <v>13</v>
      </c>
      <c r="I33" s="176"/>
      <c r="J33" s="17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6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77</v>
      </c>
      <c r="H34" s="169">
        <f t="shared" ref="H34:H39" si="2">F34*G34</f>
        <v>77000</v>
      </c>
      <c r="I34" s="170"/>
      <c r="J34" s="17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7"/>
      <c r="B35" s="27" t="s">
        <v>67</v>
      </c>
      <c r="C35" s="52"/>
      <c r="D35" s="30">
        <f>C35*84</f>
        <v>0</v>
      </c>
      <c r="F35" s="58">
        <v>500</v>
      </c>
      <c r="G35" s="113">
        <v>700</v>
      </c>
      <c r="H35" s="169">
        <f t="shared" si="2"/>
        <v>350000</v>
      </c>
      <c r="I35" s="170"/>
      <c r="J35" s="17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8"/>
      <c r="B36" s="26" t="s">
        <v>69</v>
      </c>
      <c r="C36" s="10"/>
      <c r="D36" s="12">
        <f>C36*1.5</f>
        <v>0</v>
      </c>
      <c r="F36" s="12">
        <v>200</v>
      </c>
      <c r="G36" s="37"/>
      <c r="H36" s="169">
        <f t="shared" si="2"/>
        <v>0</v>
      </c>
      <c r="I36" s="170"/>
      <c r="J36" s="17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6" t="s">
        <v>71</v>
      </c>
      <c r="B37" s="28" t="s">
        <v>65</v>
      </c>
      <c r="C37" s="53">
        <v>684</v>
      </c>
      <c r="D37" s="12">
        <f>C37*111</f>
        <v>75924</v>
      </c>
      <c r="F37" s="12">
        <v>100</v>
      </c>
      <c r="G37" s="39"/>
      <c r="H37" s="169">
        <f t="shared" si="2"/>
        <v>0</v>
      </c>
      <c r="I37" s="170"/>
      <c r="J37" s="17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7"/>
      <c r="B38" s="29" t="s">
        <v>67</v>
      </c>
      <c r="C38" s="54">
        <v>8</v>
      </c>
      <c r="D38" s="12">
        <f>C38*84</f>
        <v>672</v>
      </c>
      <c r="F38" s="30">
        <v>50</v>
      </c>
      <c r="G38" s="39">
        <v>2</v>
      </c>
      <c r="H38" s="169">
        <f t="shared" si="2"/>
        <v>100</v>
      </c>
      <c r="I38" s="170"/>
      <c r="J38" s="17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8"/>
      <c r="B39" s="29" t="s">
        <v>69</v>
      </c>
      <c r="C39" s="52">
        <v>6</v>
      </c>
      <c r="D39" s="31">
        <f>C39*4.5</f>
        <v>27</v>
      </c>
      <c r="F39" s="12">
        <v>20</v>
      </c>
      <c r="G39" s="37">
        <v>1</v>
      </c>
      <c r="H39" s="169">
        <f t="shared" si="2"/>
        <v>20</v>
      </c>
      <c r="I39" s="170"/>
      <c r="J39" s="17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6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114"/>
      <c r="H40" s="257"/>
      <c r="I40" s="258"/>
      <c r="J40" s="19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7"/>
      <c r="B41" s="27" t="s">
        <v>67</v>
      </c>
      <c r="C41" s="10"/>
      <c r="D41" s="12">
        <f>C41*84</f>
        <v>0</v>
      </c>
      <c r="F41" s="12">
        <v>5</v>
      </c>
      <c r="G41" s="114"/>
      <c r="H41" s="169"/>
      <c r="I41" s="170"/>
      <c r="J41" s="17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8"/>
      <c r="B42" s="27" t="s">
        <v>69</v>
      </c>
      <c r="C42" s="11">
        <v>10</v>
      </c>
      <c r="D42" s="12">
        <f>C42*2.25</f>
        <v>22.5</v>
      </c>
      <c r="F42" s="39" t="s">
        <v>78</v>
      </c>
      <c r="G42" s="169">
        <v>109</v>
      </c>
      <c r="H42" s="170"/>
      <c r="I42" s="170"/>
      <c r="J42" s="17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9" t="s">
        <v>80</v>
      </c>
      <c r="C43" s="11"/>
      <c r="D43" s="12"/>
      <c r="F43" s="59" t="s">
        <v>81</v>
      </c>
      <c r="G43" s="109" t="s">
        <v>82</v>
      </c>
      <c r="H43" s="161" t="s">
        <v>13</v>
      </c>
      <c r="I43" s="162"/>
      <c r="J43" s="16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0"/>
      <c r="B44" s="27" t="s">
        <v>65</v>
      </c>
      <c r="C44" s="10">
        <v>1</v>
      </c>
      <c r="D44" s="12">
        <f>C44*120</f>
        <v>120</v>
      </c>
      <c r="F44" s="37" t="s">
        <v>133</v>
      </c>
      <c r="G44" s="108" t="s">
        <v>134</v>
      </c>
      <c r="H44" s="164">
        <v>11000</v>
      </c>
      <c r="I44" s="164"/>
      <c r="J44" s="16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0"/>
      <c r="B45" s="27" t="s">
        <v>67</v>
      </c>
      <c r="C45" s="33"/>
      <c r="D45" s="12">
        <f>C45*84</f>
        <v>0</v>
      </c>
      <c r="F45" s="37" t="s">
        <v>166</v>
      </c>
      <c r="G45" s="108" t="s">
        <v>134</v>
      </c>
      <c r="H45" s="164">
        <v>82890</v>
      </c>
      <c r="I45" s="164"/>
      <c r="J45" s="164"/>
      <c r="K45" s="21"/>
      <c r="P45" s="4"/>
      <c r="Q45" s="4"/>
      <c r="R45" s="5"/>
    </row>
    <row r="46" spans="1:18" ht="15.75" x14ac:dyDescent="0.25">
      <c r="A46" s="140"/>
      <c r="B46" s="49" t="s">
        <v>69</v>
      </c>
      <c r="C46" s="80"/>
      <c r="D46" s="12">
        <f>C46*1.5</f>
        <v>0</v>
      </c>
      <c r="F46" s="37"/>
      <c r="G46" s="62"/>
      <c r="H46" s="164"/>
      <c r="I46" s="164"/>
      <c r="J46" s="164"/>
      <c r="K46" s="21"/>
      <c r="P46" s="4"/>
      <c r="Q46" s="4"/>
      <c r="R46" s="5"/>
    </row>
    <row r="47" spans="1:18" ht="15.75" x14ac:dyDescent="0.25">
      <c r="A47" s="141"/>
      <c r="B47" s="27"/>
      <c r="C47" s="11"/>
      <c r="D47" s="12"/>
      <c r="F47" s="59"/>
      <c r="G47" s="59"/>
      <c r="H47" s="254"/>
      <c r="I47" s="255"/>
      <c r="J47" s="256"/>
      <c r="K47" s="21"/>
      <c r="P47" s="4"/>
      <c r="Q47" s="4"/>
      <c r="R47" s="5"/>
    </row>
    <row r="48" spans="1:18" ht="15" customHeight="1" x14ac:dyDescent="0.25">
      <c r="A48" s="139" t="s">
        <v>32</v>
      </c>
      <c r="B48" s="27" t="s">
        <v>65</v>
      </c>
      <c r="C48" s="10"/>
      <c r="D48" s="12">
        <f>C48*78</f>
        <v>0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0"/>
      <c r="B49" s="29" t="s">
        <v>67</v>
      </c>
      <c r="C49" s="33">
        <v>9</v>
      </c>
      <c r="D49" s="12">
        <f>C49*42</f>
        <v>378</v>
      </c>
      <c r="F49" s="145" t="s">
        <v>85</v>
      </c>
      <c r="G49" s="147">
        <f>H34+H35+H36+H37+H38+H39+H40+H41+G42+H44+H45+H46+H47+H48</f>
        <v>521119</v>
      </c>
      <c r="H49" s="148"/>
      <c r="I49" s="148"/>
      <c r="J49" s="14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0"/>
      <c r="B50" s="32" t="s">
        <v>69</v>
      </c>
      <c r="C50" s="11">
        <v>13</v>
      </c>
      <c r="D50" s="12">
        <f>C50*1.5</f>
        <v>19.5</v>
      </c>
      <c r="F50" s="146"/>
      <c r="G50" s="150"/>
      <c r="H50" s="151"/>
      <c r="I50" s="151"/>
      <c r="J50" s="152"/>
      <c r="O50" t="s">
        <v>112</v>
      </c>
      <c r="P50" s="4">
        <v>1204</v>
      </c>
      <c r="Q50" s="4"/>
      <c r="R50" s="5"/>
    </row>
    <row r="51" spans="1:18" ht="15" customHeight="1" x14ac:dyDescent="0.25">
      <c r="A51" s="140"/>
      <c r="B51" s="27"/>
      <c r="C51" s="10"/>
      <c r="D51" s="31"/>
      <c r="F51" s="153" t="str">
        <f>_xlfn.IFS(H29&gt;G49,"SHORT",H29&lt;G49,"OVER",H29&lt;=G49,"-")</f>
        <v>SHORT</v>
      </c>
      <c r="G51" s="155">
        <f>G49-H29</f>
        <v>-130.41666666668607</v>
      </c>
      <c r="H51" s="156"/>
      <c r="I51" s="156"/>
      <c r="J51" s="1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0"/>
      <c r="B52" s="29"/>
      <c r="C52" s="33"/>
      <c r="D52" s="45"/>
      <c r="F52" s="154"/>
      <c r="G52" s="158"/>
      <c r="H52" s="159"/>
      <c r="I52" s="159"/>
      <c r="J52" s="1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5" t="s">
        <v>89</v>
      </c>
      <c r="B54" s="126"/>
      <c r="C54" s="127"/>
      <c r="D54" s="131">
        <f>SUM(D34:D53)</f>
        <v>77385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8"/>
      <c r="B55" s="129"/>
      <c r="C55" s="130"/>
      <c r="D55" s="13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33" t="s">
        <v>90</v>
      </c>
      <c r="B58" s="134"/>
      <c r="C58" s="134"/>
      <c r="D58" s="135"/>
      <c r="F58" s="133" t="s">
        <v>91</v>
      </c>
      <c r="G58" s="134"/>
      <c r="H58" s="134"/>
      <c r="I58" s="134"/>
      <c r="J58" s="135"/>
    </row>
    <row r="59" spans="1:18" x14ac:dyDescent="0.25">
      <c r="A59" s="136"/>
      <c r="B59" s="137"/>
      <c r="C59" s="137"/>
      <c r="D59" s="138"/>
      <c r="F59" s="136"/>
      <c r="G59" s="137"/>
      <c r="H59" s="137"/>
      <c r="I59" s="137"/>
      <c r="J59" s="138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80" priority="1" operator="containsText" text="OVER">
      <formula>NOT(ISERROR(SEARCH("OVER",F51)))</formula>
    </cfRule>
    <cfRule type="containsText" dxfId="79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B4DE323F-8145-4FEA-89C1-D86E7E08F8F7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2C4B4-E238-4EA6-89A1-2B6431166D9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1" t="s">
        <v>1</v>
      </c>
      <c r="O1" s="221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2" t="s">
        <v>7</v>
      </c>
      <c r="B4" s="173"/>
      <c r="C4" s="173"/>
      <c r="D4" s="174"/>
      <c r="F4" s="222" t="s">
        <v>8</v>
      </c>
      <c r="G4" s="224">
        <v>2</v>
      </c>
      <c r="H4" s="226" t="s">
        <v>9</v>
      </c>
      <c r="I4" s="228">
        <v>46246</v>
      </c>
      <c r="J4" s="22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6" t="s">
        <v>7</v>
      </c>
      <c r="B5" s="15" t="s">
        <v>11</v>
      </c>
      <c r="C5" s="9" t="s">
        <v>12</v>
      </c>
      <c r="D5" s="25" t="s">
        <v>13</v>
      </c>
      <c r="F5" s="223"/>
      <c r="G5" s="225"/>
      <c r="H5" s="227"/>
      <c r="I5" s="230"/>
      <c r="J5" s="23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7"/>
      <c r="B6" s="16" t="s">
        <v>15</v>
      </c>
      <c r="C6" s="10">
        <v>362</v>
      </c>
      <c r="D6" s="13">
        <f t="shared" ref="D6:D28" si="1">C6*L6</f>
        <v>275482</v>
      </c>
      <c r="F6" s="232" t="s">
        <v>16</v>
      </c>
      <c r="G6" s="234" t="s">
        <v>107</v>
      </c>
      <c r="H6" s="235"/>
      <c r="I6" s="235"/>
      <c r="J6" s="2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7"/>
      <c r="B7" s="16" t="s">
        <v>18</v>
      </c>
      <c r="C7" s="10"/>
      <c r="D7" s="13">
        <f t="shared" si="1"/>
        <v>0</v>
      </c>
      <c r="F7" s="233"/>
      <c r="G7" s="237"/>
      <c r="H7" s="238"/>
      <c r="I7" s="238"/>
      <c r="J7" s="2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7"/>
      <c r="B8" s="16" t="s">
        <v>20</v>
      </c>
      <c r="C8" s="10"/>
      <c r="D8" s="13">
        <f t="shared" si="1"/>
        <v>0</v>
      </c>
      <c r="F8" s="240" t="s">
        <v>21</v>
      </c>
      <c r="G8" s="241" t="s">
        <v>100</v>
      </c>
      <c r="H8" s="242"/>
      <c r="I8" s="242"/>
      <c r="J8" s="24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7"/>
      <c r="B9" s="16" t="s">
        <v>23</v>
      </c>
      <c r="C9" s="10">
        <v>10</v>
      </c>
      <c r="D9" s="13">
        <f t="shared" si="1"/>
        <v>7330</v>
      </c>
      <c r="F9" s="233"/>
      <c r="G9" s="244"/>
      <c r="H9" s="245"/>
      <c r="I9" s="245"/>
      <c r="J9" s="24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7"/>
      <c r="B10" t="s">
        <v>25</v>
      </c>
      <c r="C10" s="10"/>
      <c r="D10" s="13">
        <f t="shared" si="1"/>
        <v>0</v>
      </c>
      <c r="F10" s="232" t="s">
        <v>26</v>
      </c>
      <c r="G10" s="247" t="s">
        <v>101</v>
      </c>
      <c r="H10" s="248"/>
      <c r="I10" s="248"/>
      <c r="J10" s="249"/>
      <c r="K10" s="8"/>
      <c r="L10" s="6">
        <f>R36</f>
        <v>1032</v>
      </c>
      <c r="P10" s="4"/>
      <c r="Q10" s="4"/>
      <c r="R10" s="5"/>
    </row>
    <row r="11" spans="1:18" ht="15.75" x14ac:dyDescent="0.25">
      <c r="A11" s="167"/>
      <c r="B11" s="17" t="s">
        <v>28</v>
      </c>
      <c r="C11" s="10"/>
      <c r="D11" s="13">
        <f t="shared" si="1"/>
        <v>0</v>
      </c>
      <c r="F11" s="233"/>
      <c r="G11" s="244"/>
      <c r="H11" s="245"/>
      <c r="I11" s="245"/>
      <c r="J11" s="24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7"/>
      <c r="B12" s="17" t="s">
        <v>30</v>
      </c>
      <c r="C12" s="10"/>
      <c r="D12" s="48">
        <f t="shared" si="1"/>
        <v>0</v>
      </c>
      <c r="F12" s="250" t="s">
        <v>33</v>
      </c>
      <c r="G12" s="251"/>
      <c r="H12" s="251"/>
      <c r="I12" s="251"/>
      <c r="J12" s="25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7"/>
      <c r="B13" s="17" t="s">
        <v>32</v>
      </c>
      <c r="C13" s="10">
        <v>10</v>
      </c>
      <c r="D13" s="48">
        <f t="shared" si="1"/>
        <v>3070</v>
      </c>
      <c r="F13" s="253" t="s">
        <v>36</v>
      </c>
      <c r="G13" s="217"/>
      <c r="H13" s="208">
        <f>D29</f>
        <v>286025.54166666669</v>
      </c>
      <c r="I13" s="209"/>
      <c r="J13" s="21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7"/>
      <c r="B14" s="14" t="s">
        <v>35</v>
      </c>
      <c r="C14" s="10">
        <v>13</v>
      </c>
      <c r="D14" s="31">
        <f t="shared" si="1"/>
        <v>143.54166666666666</v>
      </c>
      <c r="F14" s="211" t="s">
        <v>38</v>
      </c>
      <c r="G14" s="212"/>
      <c r="H14" s="213">
        <f>D54</f>
        <v>37234.5</v>
      </c>
      <c r="I14" s="214"/>
      <c r="J14" s="215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7"/>
      <c r="B15" s="14" t="s">
        <v>117</v>
      </c>
      <c r="C15" s="10"/>
      <c r="D15" s="31">
        <f t="shared" si="1"/>
        <v>0</v>
      </c>
      <c r="F15" s="216" t="s">
        <v>39</v>
      </c>
      <c r="G15" s="217"/>
      <c r="H15" s="218">
        <f>H13-H14</f>
        <v>248791.04166666669</v>
      </c>
      <c r="I15" s="219"/>
      <c r="J15" s="22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7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8">
        <v>1944</v>
      </c>
      <c r="I16" s="178"/>
      <c r="J16" s="17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7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9"/>
      <c r="I17" s="189"/>
      <c r="J17" s="18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7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9"/>
      <c r="I18" s="189"/>
      <c r="J18" s="18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7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3"/>
      <c r="I19" s="263"/>
      <c r="J19" s="26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7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8"/>
      <c r="I20" s="178"/>
      <c r="J20" s="17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7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91" t="s">
        <v>13</v>
      </c>
      <c r="I21" s="192"/>
      <c r="J21" s="193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7"/>
      <c r="B22" s="46" t="s">
        <v>103</v>
      </c>
      <c r="C22" s="10"/>
      <c r="D22" s="48">
        <f t="shared" si="1"/>
        <v>0</v>
      </c>
      <c r="F22" s="76"/>
      <c r="G22" s="72"/>
      <c r="H22" s="194"/>
      <c r="I22" s="194"/>
      <c r="J22" s="19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7"/>
      <c r="B23" s="14" t="s">
        <v>116</v>
      </c>
      <c r="C23" s="10"/>
      <c r="D23" s="48">
        <f t="shared" si="1"/>
        <v>0</v>
      </c>
      <c r="F23" s="77"/>
      <c r="G23" s="78"/>
      <c r="H23" s="264"/>
      <c r="I23" s="194"/>
      <c r="J23" s="19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7"/>
      <c r="B24" s="14" t="s">
        <v>123</v>
      </c>
      <c r="C24" s="10"/>
      <c r="D24" s="48">
        <f t="shared" si="1"/>
        <v>0</v>
      </c>
      <c r="F24" s="38"/>
      <c r="G24" s="37"/>
      <c r="H24" s="195"/>
      <c r="I24" s="164"/>
      <c r="J24" s="16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6" t="s">
        <v>13</v>
      </c>
      <c r="I25" s="197"/>
      <c r="J25" s="19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7"/>
      <c r="B26" s="14" t="s">
        <v>124</v>
      </c>
      <c r="C26" s="10"/>
      <c r="D26" s="48">
        <f t="shared" si="1"/>
        <v>0</v>
      </c>
      <c r="F26" s="64"/>
      <c r="G26" s="59"/>
      <c r="H26" s="199"/>
      <c r="I26" s="200"/>
      <c r="J26" s="20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7"/>
      <c r="B27" s="14" t="s">
        <v>125</v>
      </c>
      <c r="C27" s="10"/>
      <c r="D27" s="44">
        <f t="shared" si="1"/>
        <v>0</v>
      </c>
      <c r="F27" s="25"/>
      <c r="G27" s="79"/>
      <c r="H27" s="202"/>
      <c r="I27" s="203"/>
      <c r="J27" s="20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8"/>
      <c r="B28" s="46" t="s">
        <v>92</v>
      </c>
      <c r="C28" s="10"/>
      <c r="D28" s="48">
        <f t="shared" si="1"/>
        <v>0</v>
      </c>
      <c r="F28" s="111"/>
      <c r="G28" s="61"/>
      <c r="H28" s="205"/>
      <c r="I28" s="206"/>
      <c r="J28" s="20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9" t="s">
        <v>36</v>
      </c>
      <c r="B29" s="180"/>
      <c r="C29" s="181"/>
      <c r="D29" s="185">
        <f>SUM(D6:D28)</f>
        <v>286025.54166666669</v>
      </c>
      <c r="F29" s="125" t="s">
        <v>54</v>
      </c>
      <c r="G29" s="187"/>
      <c r="H29" s="147">
        <f>H15-H16-H17-H18-H19-H20-H22-H23-H24+H26+H27</f>
        <v>246847.04166666669</v>
      </c>
      <c r="I29" s="148"/>
      <c r="J29" s="14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2"/>
      <c r="B30" s="183"/>
      <c r="C30" s="184"/>
      <c r="D30" s="186"/>
      <c r="F30" s="128"/>
      <c r="G30" s="188"/>
      <c r="H30" s="150"/>
      <c r="I30" s="151"/>
      <c r="J30" s="15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2" t="s">
        <v>57</v>
      </c>
      <c r="B32" s="173"/>
      <c r="C32" s="173"/>
      <c r="D32" s="174"/>
      <c r="F32" s="175" t="s">
        <v>58</v>
      </c>
      <c r="G32" s="176"/>
      <c r="H32" s="176"/>
      <c r="I32" s="176"/>
      <c r="J32" s="17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175" t="s">
        <v>13</v>
      </c>
      <c r="I33" s="176"/>
      <c r="J33" s="17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6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127</v>
      </c>
      <c r="H34" s="169">
        <f>F34*G34</f>
        <v>127000</v>
      </c>
      <c r="I34" s="170"/>
      <c r="J34" s="17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7"/>
      <c r="B35" s="27" t="s">
        <v>67</v>
      </c>
      <c r="C35" s="52"/>
      <c r="D35" s="30">
        <f>C35*84</f>
        <v>0</v>
      </c>
      <c r="F35" s="58">
        <v>500</v>
      </c>
      <c r="G35" s="113">
        <v>235</v>
      </c>
      <c r="H35" s="169">
        <f>F35*G35</f>
        <v>117500</v>
      </c>
      <c r="I35" s="170"/>
      <c r="J35" s="17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8"/>
      <c r="B36" s="26" t="s">
        <v>69</v>
      </c>
      <c r="C36" s="10"/>
      <c r="D36" s="12">
        <f>C36*1.5</f>
        <v>0</v>
      </c>
      <c r="F36" s="12">
        <v>200</v>
      </c>
      <c r="G36" s="37"/>
      <c r="H36" s="169">
        <f t="shared" ref="H36:H39" si="2">F36*G36</f>
        <v>0</v>
      </c>
      <c r="I36" s="170"/>
      <c r="J36" s="17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6" t="s">
        <v>71</v>
      </c>
      <c r="B37" s="28" t="s">
        <v>65</v>
      </c>
      <c r="C37" s="53">
        <v>285</v>
      </c>
      <c r="D37" s="12">
        <f>C37*111</f>
        <v>31635</v>
      </c>
      <c r="F37" s="12">
        <v>100</v>
      </c>
      <c r="G37" s="39">
        <v>1</v>
      </c>
      <c r="H37" s="169">
        <f t="shared" si="2"/>
        <v>100</v>
      </c>
      <c r="I37" s="170"/>
      <c r="J37" s="17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7"/>
      <c r="B38" s="29" t="s">
        <v>67</v>
      </c>
      <c r="C38" s="54">
        <v>48</v>
      </c>
      <c r="D38" s="12">
        <f>C38*84</f>
        <v>4032</v>
      </c>
      <c r="F38" s="30">
        <v>50</v>
      </c>
      <c r="G38" s="39">
        <v>5</v>
      </c>
      <c r="H38" s="169">
        <f t="shared" si="2"/>
        <v>250</v>
      </c>
      <c r="I38" s="170"/>
      <c r="J38" s="17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8"/>
      <c r="B39" s="29" t="s">
        <v>69</v>
      </c>
      <c r="C39" s="52">
        <v>4</v>
      </c>
      <c r="D39" s="31">
        <f>C39*4.5</f>
        <v>18</v>
      </c>
      <c r="F39" s="12">
        <v>20</v>
      </c>
      <c r="G39" s="37">
        <v>1</v>
      </c>
      <c r="H39" s="169">
        <f t="shared" si="2"/>
        <v>20</v>
      </c>
      <c r="I39" s="170"/>
      <c r="J39" s="17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6" t="s">
        <v>75</v>
      </c>
      <c r="B40" s="27" t="s">
        <v>65</v>
      </c>
      <c r="C40" s="63">
        <v>10</v>
      </c>
      <c r="D40" s="12">
        <f>C40*111</f>
        <v>1110</v>
      </c>
      <c r="F40" s="12">
        <v>10</v>
      </c>
      <c r="G40" s="114"/>
      <c r="H40" s="169"/>
      <c r="I40" s="170"/>
      <c r="J40" s="17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7"/>
      <c r="B41" s="27" t="s">
        <v>67</v>
      </c>
      <c r="C41" s="10">
        <v>1</v>
      </c>
      <c r="D41" s="12">
        <f>C41*84</f>
        <v>84</v>
      </c>
      <c r="F41" s="12">
        <v>5</v>
      </c>
      <c r="G41" s="114"/>
      <c r="H41" s="169"/>
      <c r="I41" s="170"/>
      <c r="J41" s="17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8"/>
      <c r="B42" s="27" t="s">
        <v>69</v>
      </c>
      <c r="C42" s="11"/>
      <c r="D42" s="12">
        <f>C42*2.25</f>
        <v>0</v>
      </c>
      <c r="F42" s="39" t="s">
        <v>78</v>
      </c>
      <c r="G42" s="169">
        <v>182</v>
      </c>
      <c r="H42" s="170"/>
      <c r="I42" s="170"/>
      <c r="J42" s="17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9" t="s">
        <v>80</v>
      </c>
      <c r="C43" s="11"/>
      <c r="D43" s="12"/>
      <c r="F43" s="59" t="s">
        <v>81</v>
      </c>
      <c r="G43" s="109" t="s">
        <v>82</v>
      </c>
      <c r="H43" s="161" t="s">
        <v>13</v>
      </c>
      <c r="I43" s="162"/>
      <c r="J43" s="16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0"/>
      <c r="B44" s="27" t="s">
        <v>65</v>
      </c>
      <c r="C44" s="10"/>
      <c r="D44" s="12">
        <f>C44*120</f>
        <v>0</v>
      </c>
      <c r="F44" s="37"/>
      <c r="G44" s="62"/>
      <c r="H44" s="164"/>
      <c r="I44" s="164"/>
      <c r="J44" s="16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0"/>
      <c r="B45" s="27" t="s">
        <v>67</v>
      </c>
      <c r="C45" s="33"/>
      <c r="D45" s="12">
        <f>C45*84</f>
        <v>0</v>
      </c>
      <c r="F45" s="37"/>
      <c r="G45" s="75"/>
      <c r="H45" s="164"/>
      <c r="I45" s="164"/>
      <c r="J45" s="164"/>
      <c r="K45" s="21"/>
      <c r="P45" s="4"/>
      <c r="Q45" s="4"/>
      <c r="R45" s="5"/>
    </row>
    <row r="46" spans="1:18" ht="15.75" x14ac:dyDescent="0.25">
      <c r="A46" s="140"/>
      <c r="B46" s="49" t="s">
        <v>69</v>
      </c>
      <c r="C46" s="80"/>
      <c r="D46" s="12">
        <f>C46*1.5</f>
        <v>0</v>
      </c>
      <c r="F46" s="37"/>
      <c r="G46" s="62"/>
      <c r="H46" s="164"/>
      <c r="I46" s="164"/>
      <c r="J46" s="164"/>
      <c r="K46" s="21"/>
      <c r="P46" s="4"/>
      <c r="Q46" s="4"/>
      <c r="R46" s="5"/>
    </row>
    <row r="47" spans="1:18" ht="15.75" x14ac:dyDescent="0.25">
      <c r="A47" s="141"/>
      <c r="B47" s="27"/>
      <c r="C47" s="11"/>
      <c r="D47" s="12"/>
      <c r="F47" s="59"/>
      <c r="G47" s="59"/>
      <c r="H47" s="164"/>
      <c r="I47" s="164"/>
      <c r="J47" s="164"/>
      <c r="K47" s="21"/>
      <c r="P47" s="4"/>
      <c r="Q47" s="4"/>
      <c r="R47" s="5"/>
    </row>
    <row r="48" spans="1:18" ht="15" customHeight="1" x14ac:dyDescent="0.25">
      <c r="A48" s="139" t="s">
        <v>32</v>
      </c>
      <c r="B48" s="27" t="s">
        <v>65</v>
      </c>
      <c r="C48" s="10"/>
      <c r="D48" s="12">
        <f>C48*78</f>
        <v>0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0"/>
      <c r="B49" s="29" t="s">
        <v>67</v>
      </c>
      <c r="C49" s="33">
        <v>8</v>
      </c>
      <c r="D49" s="12">
        <f>C49*42</f>
        <v>336</v>
      </c>
      <c r="F49" s="145" t="s">
        <v>85</v>
      </c>
      <c r="G49" s="147">
        <f>H34+H35+H36+H37+H38+H39+H40+H41+G42+H44+H45+H46+H47+H48</f>
        <v>245052</v>
      </c>
      <c r="H49" s="148"/>
      <c r="I49" s="148"/>
      <c r="J49" s="14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0"/>
      <c r="B50" s="32" t="s">
        <v>69</v>
      </c>
      <c r="C50" s="80">
        <v>13</v>
      </c>
      <c r="D50" s="12">
        <f>C50*1.5</f>
        <v>19.5</v>
      </c>
      <c r="F50" s="146"/>
      <c r="G50" s="150"/>
      <c r="H50" s="151"/>
      <c r="I50" s="151"/>
      <c r="J50" s="152"/>
      <c r="O50" t="s">
        <v>112</v>
      </c>
      <c r="P50" s="4">
        <v>1204</v>
      </c>
      <c r="Q50" s="4"/>
      <c r="R50" s="5"/>
    </row>
    <row r="51" spans="1:18" ht="15" customHeight="1" x14ac:dyDescent="0.25">
      <c r="A51" s="140"/>
      <c r="B51" s="27"/>
      <c r="C51" s="10"/>
      <c r="D51" s="31"/>
      <c r="F51" s="153" t="str">
        <f>_xlfn.IFS(H29&gt;G49,"SHORT",H29&lt;G49,"OVER",H29&lt;=G49,"-")</f>
        <v>SHORT</v>
      </c>
      <c r="G51" s="155">
        <f>G49-H29</f>
        <v>-1795.0416666666861</v>
      </c>
      <c r="H51" s="156"/>
      <c r="I51" s="156"/>
      <c r="J51" s="1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140"/>
      <c r="B52" s="29"/>
      <c r="C52" s="33"/>
      <c r="D52" s="45"/>
      <c r="F52" s="154"/>
      <c r="G52" s="158"/>
      <c r="H52" s="159"/>
      <c r="I52" s="159"/>
      <c r="J52" s="1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5" t="s">
        <v>89</v>
      </c>
      <c r="B54" s="126"/>
      <c r="C54" s="127"/>
      <c r="D54" s="131">
        <f>SUM(D34:D53)</f>
        <v>37234.5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8"/>
      <c r="B55" s="129"/>
      <c r="C55" s="130"/>
      <c r="D55" s="13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133" t="s">
        <v>90</v>
      </c>
      <c r="B58" s="134"/>
      <c r="C58" s="134"/>
      <c r="D58" s="135"/>
      <c r="F58" s="133" t="s">
        <v>91</v>
      </c>
      <c r="G58" s="134"/>
      <c r="H58" s="134"/>
      <c r="I58" s="134"/>
      <c r="J58" s="135"/>
    </row>
    <row r="59" spans="1:18" x14ac:dyDescent="0.25">
      <c r="A59" s="136"/>
      <c r="B59" s="137"/>
      <c r="C59" s="137"/>
      <c r="D59" s="138"/>
      <c r="F59" s="136"/>
      <c r="G59" s="137"/>
      <c r="H59" s="137"/>
      <c r="I59" s="137"/>
      <c r="J59" s="13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77" priority="1" operator="containsText" text="OVER">
      <formula>NOT(ISERROR(SEARCH("OVER",F51)))</formula>
    </cfRule>
    <cfRule type="containsText" dxfId="76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4AF692F1-0953-4FFA-AE22-5D2EBF8CB6C0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D92D5-7934-4E4D-8E6A-7C77F069F2E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1" t="s">
        <v>1</v>
      </c>
      <c r="O1" s="221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2" t="s">
        <v>7</v>
      </c>
      <c r="B4" s="173"/>
      <c r="C4" s="173"/>
      <c r="D4" s="174"/>
      <c r="F4" s="222" t="s">
        <v>8</v>
      </c>
      <c r="G4" s="224">
        <v>3</v>
      </c>
      <c r="H4" s="226" t="s">
        <v>9</v>
      </c>
      <c r="I4" s="228">
        <v>46246</v>
      </c>
      <c r="J4" s="22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6" t="s">
        <v>7</v>
      </c>
      <c r="B5" s="15" t="s">
        <v>11</v>
      </c>
      <c r="C5" s="9" t="s">
        <v>12</v>
      </c>
      <c r="D5" s="25" t="s">
        <v>13</v>
      </c>
      <c r="F5" s="223"/>
      <c r="G5" s="225"/>
      <c r="H5" s="227"/>
      <c r="I5" s="230"/>
      <c r="J5" s="23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7"/>
      <c r="B6" s="16" t="s">
        <v>15</v>
      </c>
      <c r="C6" s="10">
        <v>292</v>
      </c>
      <c r="D6" s="13">
        <f t="shared" ref="D6:D28" si="1">C6*L6</f>
        <v>222212</v>
      </c>
      <c r="F6" s="232" t="s">
        <v>16</v>
      </c>
      <c r="G6" s="234" t="s">
        <v>142</v>
      </c>
      <c r="H6" s="235"/>
      <c r="I6" s="235"/>
      <c r="J6" s="2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7"/>
      <c r="B7" s="16" t="s">
        <v>18</v>
      </c>
      <c r="C7" s="10"/>
      <c r="D7" s="13">
        <f t="shared" si="1"/>
        <v>0</v>
      </c>
      <c r="F7" s="233"/>
      <c r="G7" s="237"/>
      <c r="H7" s="238"/>
      <c r="I7" s="238"/>
      <c r="J7" s="2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7"/>
      <c r="B8" s="16" t="s">
        <v>20</v>
      </c>
      <c r="C8" s="10">
        <v>2</v>
      </c>
      <c r="D8" s="13">
        <f t="shared" si="1"/>
        <v>2186</v>
      </c>
      <c r="F8" s="240" t="s">
        <v>21</v>
      </c>
      <c r="G8" s="241" t="s">
        <v>109</v>
      </c>
      <c r="H8" s="242"/>
      <c r="I8" s="242"/>
      <c r="J8" s="24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7"/>
      <c r="B9" s="16" t="s">
        <v>23</v>
      </c>
      <c r="C9" s="10">
        <v>51</v>
      </c>
      <c r="D9" s="13">
        <f t="shared" si="1"/>
        <v>37383</v>
      </c>
      <c r="F9" s="233"/>
      <c r="G9" s="244"/>
      <c r="H9" s="245"/>
      <c r="I9" s="245"/>
      <c r="J9" s="24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7"/>
      <c r="B10" t="s">
        <v>25</v>
      </c>
      <c r="C10" s="10"/>
      <c r="D10" s="13">
        <f t="shared" si="1"/>
        <v>0</v>
      </c>
      <c r="F10" s="232" t="s">
        <v>26</v>
      </c>
      <c r="G10" s="247" t="s">
        <v>119</v>
      </c>
      <c r="H10" s="248"/>
      <c r="I10" s="248"/>
      <c r="J10" s="249"/>
      <c r="K10" s="8"/>
      <c r="L10" s="6">
        <f>R36</f>
        <v>1032</v>
      </c>
      <c r="P10" s="4"/>
      <c r="Q10" s="4"/>
      <c r="R10" s="5"/>
    </row>
    <row r="11" spans="1:18" ht="15.75" x14ac:dyDescent="0.25">
      <c r="A11" s="167"/>
      <c r="B11" s="17" t="s">
        <v>28</v>
      </c>
      <c r="C11" s="10">
        <v>2</v>
      </c>
      <c r="D11" s="13">
        <f t="shared" si="1"/>
        <v>2340</v>
      </c>
      <c r="F11" s="233"/>
      <c r="G11" s="244"/>
      <c r="H11" s="245"/>
      <c r="I11" s="245"/>
      <c r="J11" s="24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7"/>
      <c r="B12" s="17" t="s">
        <v>30</v>
      </c>
      <c r="C12" s="10">
        <f>3+1+1</f>
        <v>5</v>
      </c>
      <c r="D12" s="48">
        <f t="shared" si="1"/>
        <v>4960</v>
      </c>
      <c r="F12" s="250" t="s">
        <v>33</v>
      </c>
      <c r="G12" s="251"/>
      <c r="H12" s="251"/>
      <c r="I12" s="251"/>
      <c r="J12" s="25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7"/>
      <c r="B13" s="17" t="s">
        <v>32</v>
      </c>
      <c r="C13" s="10">
        <v>7</v>
      </c>
      <c r="D13" s="48">
        <f t="shared" si="1"/>
        <v>2149</v>
      </c>
      <c r="F13" s="253" t="s">
        <v>36</v>
      </c>
      <c r="G13" s="217"/>
      <c r="H13" s="208">
        <f>D29</f>
        <v>271982.5</v>
      </c>
      <c r="I13" s="209"/>
      <c r="J13" s="21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7"/>
      <c r="B14" s="14" t="s">
        <v>35</v>
      </c>
      <c r="C14" s="10">
        <v>12</v>
      </c>
      <c r="D14" s="31">
        <f t="shared" si="1"/>
        <v>132.5</v>
      </c>
      <c r="F14" s="211" t="s">
        <v>38</v>
      </c>
      <c r="G14" s="212"/>
      <c r="H14" s="213">
        <f>D54</f>
        <v>39660</v>
      </c>
      <c r="I14" s="214"/>
      <c r="J14" s="215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7"/>
      <c r="B15" s="14" t="s">
        <v>117</v>
      </c>
      <c r="C15" s="10">
        <v>1</v>
      </c>
      <c r="D15" s="31">
        <f t="shared" si="1"/>
        <v>620</v>
      </c>
      <c r="F15" s="216" t="s">
        <v>39</v>
      </c>
      <c r="G15" s="217"/>
      <c r="H15" s="218">
        <f>H13-H14</f>
        <v>232322.5</v>
      </c>
      <c r="I15" s="219"/>
      <c r="J15" s="22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7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8">
        <v>720</v>
      </c>
      <c r="I16" s="178"/>
      <c r="J16" s="17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7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9"/>
      <c r="I17" s="189"/>
      <c r="J17" s="18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7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9"/>
      <c r="I18" s="189"/>
      <c r="J18" s="18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7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3"/>
      <c r="I19" s="263"/>
      <c r="J19" s="26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7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8"/>
      <c r="I20" s="178"/>
      <c r="J20" s="17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7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191" t="s">
        <v>13</v>
      </c>
      <c r="I21" s="192"/>
      <c r="J21" s="19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7"/>
      <c r="B22" s="46" t="s">
        <v>103</v>
      </c>
      <c r="C22" s="10"/>
      <c r="D22" s="48">
        <f t="shared" si="1"/>
        <v>0</v>
      </c>
      <c r="F22" s="76"/>
      <c r="G22" s="72"/>
      <c r="H22" s="194"/>
      <c r="I22" s="194"/>
      <c r="J22" s="19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7"/>
      <c r="B23" s="14" t="s">
        <v>116</v>
      </c>
      <c r="C23" s="10"/>
      <c r="D23" s="48">
        <f t="shared" si="1"/>
        <v>0</v>
      </c>
      <c r="F23" s="77"/>
      <c r="G23" s="78"/>
      <c r="H23" s="264"/>
      <c r="I23" s="194"/>
      <c r="J23" s="19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7"/>
      <c r="B24" s="14" t="s">
        <v>123</v>
      </c>
      <c r="C24" s="10"/>
      <c r="D24" s="48">
        <f t="shared" si="1"/>
        <v>0</v>
      </c>
      <c r="F24" s="38"/>
      <c r="G24" s="37"/>
      <c r="H24" s="195"/>
      <c r="I24" s="164"/>
      <c r="J24" s="16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6" t="s">
        <v>13</v>
      </c>
      <c r="I25" s="197"/>
      <c r="J25" s="19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7"/>
      <c r="B26" s="14" t="s">
        <v>124</v>
      </c>
      <c r="C26" s="10"/>
      <c r="D26" s="48">
        <f t="shared" si="1"/>
        <v>0</v>
      </c>
      <c r="F26" s="64"/>
      <c r="G26" s="59"/>
      <c r="H26" s="199"/>
      <c r="I26" s="200"/>
      <c r="J26" s="20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7"/>
      <c r="B27" s="14" t="s">
        <v>125</v>
      </c>
      <c r="C27" s="10"/>
      <c r="D27" s="44">
        <f t="shared" si="1"/>
        <v>0</v>
      </c>
      <c r="F27" s="25"/>
      <c r="G27" s="79"/>
      <c r="H27" s="202"/>
      <c r="I27" s="203"/>
      <c r="J27" s="20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8"/>
      <c r="B28" s="46" t="s">
        <v>92</v>
      </c>
      <c r="C28" s="10"/>
      <c r="D28" s="48">
        <f t="shared" si="1"/>
        <v>0</v>
      </c>
      <c r="F28" s="111"/>
      <c r="G28" s="61"/>
      <c r="H28" s="205"/>
      <c r="I28" s="206"/>
      <c r="J28" s="20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9" t="s">
        <v>36</v>
      </c>
      <c r="B29" s="180"/>
      <c r="C29" s="181"/>
      <c r="D29" s="185">
        <f>SUM(D6:D28)</f>
        <v>271982.5</v>
      </c>
      <c r="F29" s="125" t="s">
        <v>54</v>
      </c>
      <c r="G29" s="187"/>
      <c r="H29" s="147">
        <f>H15-H16-H17-H18-H19-H20-H22-H23-H24+H26+H27</f>
        <v>231602.5</v>
      </c>
      <c r="I29" s="148"/>
      <c r="J29" s="14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2"/>
      <c r="B30" s="183"/>
      <c r="C30" s="184"/>
      <c r="D30" s="186"/>
      <c r="F30" s="128"/>
      <c r="G30" s="188"/>
      <c r="H30" s="150"/>
      <c r="I30" s="151"/>
      <c r="J30" s="15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2" t="s">
        <v>57</v>
      </c>
      <c r="B32" s="173"/>
      <c r="C32" s="173"/>
      <c r="D32" s="174"/>
      <c r="F32" s="175" t="s">
        <v>58</v>
      </c>
      <c r="G32" s="176"/>
      <c r="H32" s="176"/>
      <c r="I32" s="176"/>
      <c r="J32" s="17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175" t="s">
        <v>13</v>
      </c>
      <c r="I33" s="176"/>
      <c r="J33" s="17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6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177</v>
      </c>
      <c r="H34" s="169">
        <f>F34*G34</f>
        <v>177000</v>
      </c>
      <c r="I34" s="170"/>
      <c r="J34" s="17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7"/>
      <c r="B35" s="27" t="s">
        <v>67</v>
      </c>
      <c r="C35" s="52"/>
      <c r="D35" s="30">
        <f>C35*84</f>
        <v>0</v>
      </c>
      <c r="F35" s="58">
        <v>500</v>
      </c>
      <c r="G35" s="113">
        <v>107</v>
      </c>
      <c r="H35" s="169">
        <f>F35*G35</f>
        <v>53500</v>
      </c>
      <c r="I35" s="170"/>
      <c r="J35" s="17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8"/>
      <c r="B36" s="26" t="s">
        <v>69</v>
      </c>
      <c r="C36" s="10"/>
      <c r="D36" s="12">
        <f>C36*1.5</f>
        <v>0</v>
      </c>
      <c r="F36" s="12">
        <v>200</v>
      </c>
      <c r="G36" s="37"/>
      <c r="H36" s="169">
        <f t="shared" ref="H36:H39" si="2">F36*G36</f>
        <v>0</v>
      </c>
      <c r="I36" s="170"/>
      <c r="J36" s="17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6" t="s">
        <v>71</v>
      </c>
      <c r="B37" s="28" t="s">
        <v>65</v>
      </c>
      <c r="C37" s="53">
        <v>333</v>
      </c>
      <c r="D37" s="12">
        <f>C37*111</f>
        <v>36963</v>
      </c>
      <c r="F37" s="12">
        <v>100</v>
      </c>
      <c r="G37" s="39"/>
      <c r="H37" s="169">
        <f t="shared" si="2"/>
        <v>0</v>
      </c>
      <c r="I37" s="170"/>
      <c r="J37" s="17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7"/>
      <c r="B38" s="29" t="s">
        <v>67</v>
      </c>
      <c r="C38" s="54">
        <v>3</v>
      </c>
      <c r="D38" s="12">
        <f>C38*84</f>
        <v>252</v>
      </c>
      <c r="F38" s="30">
        <v>50</v>
      </c>
      <c r="G38" s="39">
        <v>3</v>
      </c>
      <c r="H38" s="169">
        <f t="shared" si="2"/>
        <v>150</v>
      </c>
      <c r="I38" s="170"/>
      <c r="J38" s="17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8"/>
      <c r="B39" s="29" t="s">
        <v>69</v>
      </c>
      <c r="C39" s="52"/>
      <c r="D39" s="31">
        <f>C39*4.5</f>
        <v>0</v>
      </c>
      <c r="F39" s="12">
        <v>20</v>
      </c>
      <c r="G39" s="37">
        <v>1</v>
      </c>
      <c r="H39" s="169">
        <f t="shared" si="2"/>
        <v>20</v>
      </c>
      <c r="I39" s="170"/>
      <c r="J39" s="17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6" t="s">
        <v>75</v>
      </c>
      <c r="B40" s="27" t="s">
        <v>65</v>
      </c>
      <c r="C40" s="63">
        <v>6</v>
      </c>
      <c r="D40" s="12">
        <f>C40*111</f>
        <v>666</v>
      </c>
      <c r="F40" s="12">
        <v>10</v>
      </c>
      <c r="G40" s="114"/>
      <c r="H40" s="169"/>
      <c r="I40" s="170"/>
      <c r="J40" s="17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7"/>
      <c r="B41" s="27" t="s">
        <v>67</v>
      </c>
      <c r="C41" s="10">
        <v>1</v>
      </c>
      <c r="D41" s="12">
        <f>C41*84</f>
        <v>84</v>
      </c>
      <c r="F41" s="12">
        <v>5</v>
      </c>
      <c r="G41" s="114"/>
      <c r="H41" s="169"/>
      <c r="I41" s="170"/>
      <c r="J41" s="17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8"/>
      <c r="B42" s="27" t="s">
        <v>69</v>
      </c>
      <c r="C42" s="11">
        <v>10</v>
      </c>
      <c r="D42" s="12">
        <f>C42*2.25</f>
        <v>22.5</v>
      </c>
      <c r="F42" s="39" t="s">
        <v>78</v>
      </c>
      <c r="G42" s="169">
        <v>291</v>
      </c>
      <c r="H42" s="170"/>
      <c r="I42" s="170"/>
      <c r="J42" s="17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9" t="s">
        <v>80</v>
      </c>
      <c r="C43" s="11"/>
      <c r="D43" s="12"/>
      <c r="F43" s="59" t="s">
        <v>81</v>
      </c>
      <c r="G43" s="109" t="s">
        <v>82</v>
      </c>
      <c r="H43" s="161" t="s">
        <v>13</v>
      </c>
      <c r="I43" s="162"/>
      <c r="J43" s="16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0"/>
      <c r="B44" s="27" t="s">
        <v>65</v>
      </c>
      <c r="C44" s="10">
        <v>10</v>
      </c>
      <c r="D44" s="12">
        <f>C44*120</f>
        <v>1200</v>
      </c>
      <c r="F44" s="37"/>
      <c r="G44" s="62"/>
      <c r="H44" s="164"/>
      <c r="I44" s="164"/>
      <c r="J44" s="16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0"/>
      <c r="B45" s="27" t="s">
        <v>67</v>
      </c>
      <c r="C45" s="33"/>
      <c r="D45" s="12">
        <f>C45*84</f>
        <v>0</v>
      </c>
      <c r="F45" s="37"/>
      <c r="G45" s="62"/>
      <c r="H45" s="164"/>
      <c r="I45" s="164"/>
      <c r="J45" s="164"/>
      <c r="K45" s="21"/>
      <c r="P45" s="4"/>
      <c r="Q45" s="4"/>
      <c r="R45" s="5"/>
    </row>
    <row r="46" spans="1:18" ht="15.75" x14ac:dyDescent="0.25">
      <c r="A46" s="140"/>
      <c r="B46" s="49" t="s">
        <v>69</v>
      </c>
      <c r="C46" s="80"/>
      <c r="D46" s="12">
        <f>C46*1.5</f>
        <v>0</v>
      </c>
      <c r="F46" s="37"/>
      <c r="G46" s="75"/>
      <c r="H46" s="164"/>
      <c r="I46" s="164"/>
      <c r="J46" s="164"/>
      <c r="K46" s="21"/>
      <c r="P46" s="4"/>
      <c r="Q46" s="4"/>
      <c r="R46" s="5"/>
    </row>
    <row r="47" spans="1:18" ht="15.75" x14ac:dyDescent="0.25">
      <c r="A47" s="141"/>
      <c r="B47" s="27"/>
      <c r="C47" s="11"/>
      <c r="D47" s="12"/>
      <c r="F47" s="37"/>
      <c r="G47" s="75"/>
      <c r="H47" s="164"/>
      <c r="I47" s="164"/>
      <c r="J47" s="164"/>
      <c r="K47" s="21"/>
      <c r="P47" s="4"/>
      <c r="Q47" s="4"/>
      <c r="R47" s="5"/>
    </row>
    <row r="48" spans="1:18" ht="15" customHeight="1" x14ac:dyDescent="0.25">
      <c r="A48" s="139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0"/>
      <c r="B49" s="29" t="s">
        <v>67</v>
      </c>
      <c r="C49" s="33">
        <v>3</v>
      </c>
      <c r="D49" s="12">
        <f>C49*42</f>
        <v>126</v>
      </c>
      <c r="F49" s="145" t="s">
        <v>85</v>
      </c>
      <c r="G49" s="147">
        <f>H34+H35+H36+H37+H38+H39+H40+H41+G42+H44+H45+H46+H47+H48</f>
        <v>230961</v>
      </c>
      <c r="H49" s="148"/>
      <c r="I49" s="148"/>
      <c r="J49" s="14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0"/>
      <c r="B50" s="32" t="s">
        <v>69</v>
      </c>
      <c r="C50" s="11">
        <v>23</v>
      </c>
      <c r="D50" s="12">
        <f>C50*1.5</f>
        <v>34.5</v>
      </c>
      <c r="F50" s="146"/>
      <c r="G50" s="150"/>
      <c r="H50" s="151"/>
      <c r="I50" s="151"/>
      <c r="J50" s="152"/>
      <c r="O50" t="s">
        <v>112</v>
      </c>
      <c r="P50" s="4">
        <v>1204</v>
      </c>
      <c r="Q50" s="4"/>
      <c r="R50" s="5"/>
    </row>
    <row r="51" spans="1:18" ht="15" customHeight="1" x14ac:dyDescent="0.25">
      <c r="A51" s="140"/>
      <c r="B51" s="27"/>
      <c r="C51" s="10"/>
      <c r="D51" s="31"/>
      <c r="F51" s="153" t="str">
        <f>_xlfn.IFS(H29&gt;G49,"SHORT",H29&lt;G49,"OVER",H29&lt;=G49,"-")</f>
        <v>SHORT</v>
      </c>
      <c r="G51" s="155">
        <f>G49-H29</f>
        <v>-641.5</v>
      </c>
      <c r="H51" s="156"/>
      <c r="I51" s="156"/>
      <c r="J51" s="1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140"/>
      <c r="B52" s="29"/>
      <c r="C52" s="33"/>
      <c r="D52" s="45"/>
      <c r="F52" s="154"/>
      <c r="G52" s="158"/>
      <c r="H52" s="159"/>
      <c r="I52" s="159"/>
      <c r="J52" s="1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5" t="s">
        <v>89</v>
      </c>
      <c r="B54" s="126"/>
      <c r="C54" s="127"/>
      <c r="D54" s="131">
        <f>SUM(D34:D53)</f>
        <v>39660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8"/>
      <c r="B55" s="129"/>
      <c r="C55" s="130"/>
      <c r="D55" s="13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33" t="s">
        <v>90</v>
      </c>
      <c r="B58" s="134"/>
      <c r="C58" s="134"/>
      <c r="D58" s="135"/>
      <c r="F58" s="133" t="s">
        <v>91</v>
      </c>
      <c r="G58" s="134"/>
      <c r="H58" s="134"/>
      <c r="I58" s="134"/>
      <c r="J58" s="135"/>
    </row>
    <row r="59" spans="1:18" x14ac:dyDescent="0.25">
      <c r="A59" s="136"/>
      <c r="B59" s="137"/>
      <c r="C59" s="137"/>
      <c r="D59" s="138"/>
      <c r="F59" s="136"/>
      <c r="G59" s="137"/>
      <c r="H59" s="137"/>
      <c r="I59" s="137"/>
      <c r="J59" s="13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74" priority="1" operator="containsText" text="OVER">
      <formula>NOT(ISERROR(SEARCH("OVER",F51)))</formula>
    </cfRule>
    <cfRule type="containsText" dxfId="73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A6FA0E39-9486-48A8-8C04-8C0FBC3EA32F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9C3A5B-BCBF-4D1C-9ABA-159C3E1168A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1" t="s">
        <v>1</v>
      </c>
      <c r="O1" s="221"/>
      <c r="P1" s="110" t="s">
        <v>2</v>
      </c>
      <c r="Q1" s="11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2" t="s">
        <v>7</v>
      </c>
      <c r="B4" s="173"/>
      <c r="C4" s="173"/>
      <c r="D4" s="174"/>
      <c r="F4" s="222" t="s">
        <v>8</v>
      </c>
      <c r="G4" s="224"/>
      <c r="H4" s="226" t="s">
        <v>9</v>
      </c>
      <c r="I4" s="228"/>
      <c r="J4" s="22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6" t="s">
        <v>7</v>
      </c>
      <c r="B5" s="15" t="s">
        <v>11</v>
      </c>
      <c r="C5" s="9" t="s">
        <v>12</v>
      </c>
      <c r="D5" s="25" t="s">
        <v>13</v>
      </c>
      <c r="F5" s="223"/>
      <c r="G5" s="225"/>
      <c r="H5" s="227"/>
      <c r="I5" s="230"/>
      <c r="J5" s="23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7"/>
      <c r="B6" s="16"/>
      <c r="C6" s="10"/>
      <c r="D6" s="13">
        <f t="shared" ref="D6:D28" si="1">C6*L6</f>
        <v>0</v>
      </c>
      <c r="F6" s="232" t="s">
        <v>16</v>
      </c>
      <c r="G6" s="234"/>
      <c r="H6" s="235"/>
      <c r="I6" s="235"/>
      <c r="J6" s="23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7"/>
      <c r="B7" s="16"/>
      <c r="C7" s="10"/>
      <c r="D7" s="13">
        <f t="shared" si="1"/>
        <v>0</v>
      </c>
      <c r="F7" s="233"/>
      <c r="G7" s="237"/>
      <c r="H7" s="238"/>
      <c r="I7" s="238"/>
      <c r="J7" s="23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7"/>
      <c r="B8" s="16"/>
      <c r="C8" s="10"/>
      <c r="D8" s="13">
        <f t="shared" si="1"/>
        <v>0</v>
      </c>
      <c r="F8" s="240" t="s">
        <v>21</v>
      </c>
      <c r="G8" s="241"/>
      <c r="H8" s="242"/>
      <c r="I8" s="242"/>
      <c r="J8" s="24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7"/>
      <c r="B9" s="16"/>
      <c r="C9" s="10"/>
      <c r="D9" s="13">
        <f t="shared" si="1"/>
        <v>0</v>
      </c>
      <c r="F9" s="233"/>
      <c r="G9" s="244"/>
      <c r="H9" s="245"/>
      <c r="I9" s="245"/>
      <c r="J9" s="24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7"/>
      <c r="C10" s="10"/>
      <c r="D10" s="13">
        <f t="shared" si="1"/>
        <v>0</v>
      </c>
      <c r="F10" s="232" t="s">
        <v>26</v>
      </c>
      <c r="G10" s="247"/>
      <c r="H10" s="248"/>
      <c r="I10" s="248"/>
      <c r="J10" s="249"/>
      <c r="K10" s="8"/>
      <c r="L10" s="6">
        <f>R36</f>
        <v>972</v>
      </c>
      <c r="P10" s="4"/>
      <c r="Q10" s="4"/>
      <c r="R10" s="5"/>
    </row>
    <row r="11" spans="1:19" ht="15.75" x14ac:dyDescent="0.25">
      <c r="A11" s="167"/>
      <c r="B11" s="17"/>
      <c r="C11" s="10"/>
      <c r="D11" s="13">
        <f t="shared" si="1"/>
        <v>0</v>
      </c>
      <c r="F11" s="233"/>
      <c r="G11" s="244"/>
      <c r="H11" s="245"/>
      <c r="I11" s="245"/>
      <c r="J11" s="24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7"/>
      <c r="B12" s="17"/>
      <c r="C12" s="10"/>
      <c r="D12" s="48">
        <f t="shared" si="1"/>
        <v>0</v>
      </c>
      <c r="F12" s="250" t="s">
        <v>33</v>
      </c>
      <c r="G12" s="251"/>
      <c r="H12" s="251"/>
      <c r="I12" s="251"/>
      <c r="J12" s="25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7"/>
      <c r="B13" s="17"/>
      <c r="C13" s="10"/>
      <c r="D13" s="48">
        <f t="shared" si="1"/>
        <v>0</v>
      </c>
      <c r="F13" s="253" t="s">
        <v>36</v>
      </c>
      <c r="G13" s="217"/>
      <c r="H13" s="208">
        <f>D29</f>
        <v>0</v>
      </c>
      <c r="I13" s="209"/>
      <c r="J13" s="21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7"/>
      <c r="B14" s="14"/>
      <c r="C14" s="10"/>
      <c r="D14" s="31">
        <f t="shared" si="1"/>
        <v>0</v>
      </c>
      <c r="F14" s="211" t="s">
        <v>38</v>
      </c>
      <c r="G14" s="212"/>
      <c r="H14" s="213">
        <f>D54</f>
        <v>0</v>
      </c>
      <c r="I14" s="214"/>
      <c r="J14" s="21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7"/>
      <c r="B15" s="14"/>
      <c r="C15" s="10"/>
      <c r="D15" s="31">
        <f t="shared" si="1"/>
        <v>0</v>
      </c>
      <c r="F15" s="216" t="s">
        <v>39</v>
      </c>
      <c r="G15" s="217"/>
      <c r="H15" s="218">
        <f>H13-H14</f>
        <v>0</v>
      </c>
      <c r="I15" s="219"/>
      <c r="J15" s="22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8"/>
      <c r="I16" s="178"/>
      <c r="J16" s="17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7"/>
      <c r="C17" s="10"/>
      <c r="D17" s="48">
        <f t="shared" si="1"/>
        <v>0</v>
      </c>
      <c r="F17" s="56"/>
      <c r="G17" s="66" t="s">
        <v>44</v>
      </c>
      <c r="H17" s="189"/>
      <c r="I17" s="189"/>
      <c r="J17" s="18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7"/>
      <c r="B18" s="19"/>
      <c r="C18" s="10"/>
      <c r="D18" s="48">
        <f t="shared" si="1"/>
        <v>0</v>
      </c>
      <c r="F18" s="56"/>
      <c r="G18" s="66" t="s">
        <v>46</v>
      </c>
      <c r="H18" s="189"/>
      <c r="I18" s="189"/>
      <c r="J18" s="18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7"/>
      <c r="B19" s="14"/>
      <c r="C19" s="10"/>
      <c r="D19" s="48">
        <f t="shared" si="1"/>
        <v>0</v>
      </c>
      <c r="F19" s="56"/>
      <c r="G19" s="68" t="s">
        <v>49</v>
      </c>
      <c r="H19" s="190"/>
      <c r="I19" s="190"/>
      <c r="J19" s="19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7"/>
      <c r="B20" s="46"/>
      <c r="C20" s="10"/>
      <c r="D20" s="13">
        <f t="shared" si="1"/>
        <v>0</v>
      </c>
      <c r="F20" s="57"/>
      <c r="G20" s="70" t="s">
        <v>102</v>
      </c>
      <c r="H20" s="178"/>
      <c r="I20" s="178"/>
      <c r="J20" s="17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7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91" t="s">
        <v>13</v>
      </c>
      <c r="I21" s="192"/>
      <c r="J21" s="193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7"/>
      <c r="B22" s="46"/>
      <c r="C22" s="10"/>
      <c r="D22" s="48">
        <f t="shared" si="1"/>
        <v>0</v>
      </c>
      <c r="F22" s="76"/>
      <c r="G22" s="72"/>
      <c r="H22" s="194"/>
      <c r="I22" s="194"/>
      <c r="J22" s="194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7"/>
      <c r="B23" s="14"/>
      <c r="C23" s="10"/>
      <c r="D23" s="48">
        <f t="shared" si="1"/>
        <v>0</v>
      </c>
      <c r="F23" s="77"/>
      <c r="G23" s="78"/>
      <c r="H23" s="195"/>
      <c r="I23" s="164"/>
      <c r="J23" s="16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7"/>
      <c r="B24" s="14"/>
      <c r="C24" s="10"/>
      <c r="D24" s="48">
        <f t="shared" si="1"/>
        <v>0</v>
      </c>
      <c r="F24" s="38"/>
      <c r="G24" s="37"/>
      <c r="H24" s="195"/>
      <c r="I24" s="164"/>
      <c r="J24" s="16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6" t="s">
        <v>13</v>
      </c>
      <c r="I25" s="197"/>
      <c r="J25" s="19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7"/>
      <c r="B26" s="14"/>
      <c r="C26" s="10"/>
      <c r="D26" s="48">
        <f t="shared" si="1"/>
        <v>0</v>
      </c>
      <c r="F26" s="64"/>
      <c r="G26" s="59"/>
      <c r="H26" s="199"/>
      <c r="I26" s="200"/>
      <c r="J26" s="20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7"/>
      <c r="B27" s="14"/>
      <c r="C27" s="10"/>
      <c r="D27" s="44">
        <f t="shared" si="1"/>
        <v>0</v>
      </c>
      <c r="F27" s="25"/>
      <c r="G27" s="79"/>
      <c r="H27" s="202"/>
      <c r="I27" s="203"/>
      <c r="J27" s="20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8"/>
      <c r="B28" s="46"/>
      <c r="C28" s="10"/>
      <c r="D28" s="48">
        <f t="shared" si="1"/>
        <v>0</v>
      </c>
      <c r="F28" s="111"/>
      <c r="G28" s="61"/>
      <c r="H28" s="205"/>
      <c r="I28" s="206"/>
      <c r="J28" s="20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9" t="s">
        <v>36</v>
      </c>
      <c r="B29" s="180"/>
      <c r="C29" s="181"/>
      <c r="D29" s="185">
        <f>SUM(D6:D28)</f>
        <v>0</v>
      </c>
      <c r="F29" s="125" t="s">
        <v>54</v>
      </c>
      <c r="G29" s="187"/>
      <c r="H29" s="147">
        <f>H15-H16-H17-H18-H19-H20-H22-H23-H24+H26+H27</f>
        <v>0</v>
      </c>
      <c r="I29" s="148"/>
      <c r="J29" s="14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2"/>
      <c r="B30" s="183"/>
      <c r="C30" s="184"/>
      <c r="D30" s="186"/>
      <c r="F30" s="128"/>
      <c r="G30" s="188"/>
      <c r="H30" s="150"/>
      <c r="I30" s="151"/>
      <c r="J30" s="15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2" t="s">
        <v>57</v>
      </c>
      <c r="B32" s="173"/>
      <c r="C32" s="173"/>
      <c r="D32" s="174"/>
      <c r="F32" s="175" t="s">
        <v>58</v>
      </c>
      <c r="G32" s="176"/>
      <c r="H32" s="176"/>
      <c r="I32" s="176"/>
      <c r="J32" s="17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175" t="s">
        <v>13</v>
      </c>
      <c r="I33" s="176"/>
      <c r="J33" s="17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6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69"/>
      <c r="I34" s="170"/>
      <c r="J34" s="17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7"/>
      <c r="B35" s="27" t="s">
        <v>67</v>
      </c>
      <c r="C35" s="52"/>
      <c r="D35" s="30">
        <f>C35*84</f>
        <v>0</v>
      </c>
      <c r="F35" s="58">
        <v>500</v>
      </c>
      <c r="G35" s="113"/>
      <c r="H35" s="169"/>
      <c r="I35" s="170"/>
      <c r="J35" s="17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8"/>
      <c r="B36" s="26" t="s">
        <v>69</v>
      </c>
      <c r="C36" s="10"/>
      <c r="D36" s="12">
        <f>C36*1.5</f>
        <v>0</v>
      </c>
      <c r="F36" s="12">
        <v>200</v>
      </c>
      <c r="G36" s="37"/>
      <c r="H36" s="169"/>
      <c r="I36" s="170"/>
      <c r="J36" s="17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9"/>
      <c r="I37" s="170"/>
      <c r="J37" s="17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7"/>
      <c r="B38" s="29" t="s">
        <v>67</v>
      </c>
      <c r="C38" s="54"/>
      <c r="D38" s="12">
        <f>C38*84</f>
        <v>0</v>
      </c>
      <c r="F38" s="30">
        <v>50</v>
      </c>
      <c r="G38" s="39"/>
      <c r="H38" s="169"/>
      <c r="I38" s="170"/>
      <c r="J38" s="17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8"/>
      <c r="B39" s="29" t="s">
        <v>69</v>
      </c>
      <c r="C39" s="52"/>
      <c r="D39" s="31">
        <f>C39*4.5</f>
        <v>0</v>
      </c>
      <c r="F39" s="12">
        <v>20</v>
      </c>
      <c r="G39" s="37"/>
      <c r="H39" s="169"/>
      <c r="I39" s="170"/>
      <c r="J39" s="17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6" t="s">
        <v>75</v>
      </c>
      <c r="B40" s="27" t="s">
        <v>65</v>
      </c>
      <c r="C40" s="63"/>
      <c r="D40" s="12">
        <f>C40*111</f>
        <v>0</v>
      </c>
      <c r="F40" s="12">
        <v>10</v>
      </c>
      <c r="G40" s="114"/>
      <c r="H40" s="169"/>
      <c r="I40" s="170"/>
      <c r="J40" s="17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7"/>
      <c r="B41" s="27" t="s">
        <v>67</v>
      </c>
      <c r="C41" s="10"/>
      <c r="D41" s="12">
        <f>C41*84</f>
        <v>0</v>
      </c>
      <c r="F41" s="12">
        <v>5</v>
      </c>
      <c r="G41" s="114"/>
      <c r="H41" s="169"/>
      <c r="I41" s="170"/>
      <c r="J41" s="17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8"/>
      <c r="B42" s="27" t="s">
        <v>69</v>
      </c>
      <c r="C42" s="11"/>
      <c r="D42" s="12">
        <f>C42*2.25</f>
        <v>0</v>
      </c>
      <c r="F42" s="39" t="s">
        <v>78</v>
      </c>
      <c r="G42" s="169"/>
      <c r="H42" s="170"/>
      <c r="I42" s="170"/>
      <c r="J42" s="17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9" t="s">
        <v>80</v>
      </c>
      <c r="C43" s="11"/>
      <c r="D43" s="12"/>
      <c r="F43" s="59" t="s">
        <v>81</v>
      </c>
      <c r="G43" s="109" t="s">
        <v>82</v>
      </c>
      <c r="H43" s="161" t="s">
        <v>13</v>
      </c>
      <c r="I43" s="162"/>
      <c r="J43" s="163"/>
      <c r="K43" s="21"/>
      <c r="P43" s="4"/>
      <c r="Q43" s="4"/>
      <c r="R43" s="5"/>
    </row>
    <row r="44" spans="1:18" ht="15.75" x14ac:dyDescent="0.25">
      <c r="A44" s="140"/>
      <c r="B44" s="27" t="s">
        <v>65</v>
      </c>
      <c r="C44" s="10"/>
      <c r="D44" s="12">
        <f>C44*120</f>
        <v>0</v>
      </c>
      <c r="F44" s="37"/>
      <c r="G44" s="75"/>
      <c r="H44" s="164"/>
      <c r="I44" s="164"/>
      <c r="J44" s="164"/>
      <c r="K44" s="21"/>
      <c r="P44" s="4"/>
      <c r="Q44" s="4"/>
      <c r="R44" s="5"/>
    </row>
    <row r="45" spans="1:18" ht="15.75" x14ac:dyDescent="0.25">
      <c r="A45" s="140"/>
      <c r="B45" s="27" t="s">
        <v>67</v>
      </c>
      <c r="C45" s="33"/>
      <c r="D45" s="12">
        <f>C45*84</f>
        <v>0</v>
      </c>
      <c r="F45" s="37"/>
      <c r="G45" s="75"/>
      <c r="H45" s="164"/>
      <c r="I45" s="164"/>
      <c r="J45" s="164"/>
      <c r="K45" s="21"/>
      <c r="P45" s="4"/>
      <c r="Q45" s="4"/>
      <c r="R45" s="5"/>
    </row>
    <row r="46" spans="1:18" ht="15.75" x14ac:dyDescent="0.25">
      <c r="A46" s="140"/>
      <c r="B46" s="49" t="s">
        <v>69</v>
      </c>
      <c r="C46" s="80"/>
      <c r="D46" s="12">
        <f>C46*1.5</f>
        <v>0</v>
      </c>
      <c r="F46" s="37"/>
      <c r="G46" s="62"/>
      <c r="H46" s="165"/>
      <c r="I46" s="165"/>
      <c r="J46" s="165"/>
      <c r="K46" s="21"/>
      <c r="P46" s="4"/>
      <c r="Q46" s="4"/>
      <c r="R46" s="5"/>
    </row>
    <row r="47" spans="1:18" ht="15.75" x14ac:dyDescent="0.25">
      <c r="A47" s="141"/>
      <c r="B47" s="27"/>
      <c r="C47" s="11"/>
      <c r="D47" s="12"/>
      <c r="F47" s="59"/>
      <c r="G47" s="59"/>
      <c r="H47" s="142"/>
      <c r="I47" s="143"/>
      <c r="J47" s="144"/>
      <c r="K47" s="21"/>
      <c r="P47" s="4"/>
      <c r="Q47" s="4"/>
      <c r="R47" s="5"/>
    </row>
    <row r="48" spans="1:18" ht="15" customHeight="1" x14ac:dyDescent="0.25">
      <c r="A48" s="139" t="s">
        <v>32</v>
      </c>
      <c r="B48" s="27" t="s">
        <v>65</v>
      </c>
      <c r="C48" s="10"/>
      <c r="D48" s="12">
        <f>C48*78</f>
        <v>0</v>
      </c>
      <c r="F48" s="59"/>
      <c r="G48" s="59"/>
      <c r="H48" s="142"/>
      <c r="I48" s="143"/>
      <c r="J48" s="14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0"/>
      <c r="B49" s="29" t="s">
        <v>67</v>
      </c>
      <c r="C49" s="33"/>
      <c r="D49" s="12">
        <f>C49*42</f>
        <v>0</v>
      </c>
      <c r="F49" s="145" t="s">
        <v>85</v>
      </c>
      <c r="G49" s="147">
        <f>H34+H35+H36+H37+H38+H39+H40+H41+G42+H44+H45+H46</f>
        <v>0</v>
      </c>
      <c r="H49" s="148"/>
      <c r="I49" s="148"/>
      <c r="J49" s="14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0"/>
      <c r="B50" s="32" t="s">
        <v>69</v>
      </c>
      <c r="C50" s="11"/>
      <c r="D50" s="12">
        <f>C50*1.5</f>
        <v>0</v>
      </c>
      <c r="F50" s="146"/>
      <c r="G50" s="150"/>
      <c r="H50" s="151"/>
      <c r="I50" s="151"/>
      <c r="J50" s="152"/>
      <c r="P50" s="4"/>
      <c r="Q50" s="4"/>
      <c r="R50" s="5"/>
    </row>
    <row r="51" spans="1:18" ht="15" customHeight="1" x14ac:dyDescent="0.25">
      <c r="A51" s="140"/>
      <c r="B51" s="27"/>
      <c r="C51" s="10"/>
      <c r="D51" s="31"/>
      <c r="F51" s="153" t="s">
        <v>106</v>
      </c>
      <c r="G51" s="155">
        <f>G49-H29</f>
        <v>0</v>
      </c>
      <c r="H51" s="156"/>
      <c r="I51" s="156"/>
      <c r="J51" s="15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0"/>
      <c r="B52" s="29"/>
      <c r="C52" s="33"/>
      <c r="D52" s="45"/>
      <c r="F52" s="154"/>
      <c r="G52" s="158"/>
      <c r="H52" s="159"/>
      <c r="I52" s="159"/>
      <c r="J52" s="1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5" t="s">
        <v>89</v>
      </c>
      <c r="B54" s="126"/>
      <c r="C54" s="127"/>
      <c r="D54" s="131">
        <f>SUM(D34:D53)</f>
        <v>0</v>
      </c>
      <c r="F54" s="21"/>
      <c r="J54" s="34"/>
    </row>
    <row r="55" spans="1:18" x14ac:dyDescent="0.25">
      <c r="A55" s="128"/>
      <c r="B55" s="129"/>
      <c r="C55" s="130"/>
      <c r="D55" s="13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3" t="s">
        <v>90</v>
      </c>
      <c r="B58" s="134"/>
      <c r="C58" s="134"/>
      <c r="D58" s="135"/>
      <c r="F58" s="133" t="s">
        <v>91</v>
      </c>
      <c r="G58" s="134"/>
      <c r="H58" s="134"/>
      <c r="I58" s="134"/>
      <c r="J58" s="135"/>
    </row>
    <row r="59" spans="1:18" x14ac:dyDescent="0.25">
      <c r="A59" s="136"/>
      <c r="B59" s="137"/>
      <c r="C59" s="137"/>
      <c r="D59" s="138"/>
      <c r="F59" s="136"/>
      <c r="G59" s="137"/>
      <c r="H59" s="137"/>
      <c r="I59" s="137"/>
      <c r="J59" s="13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A67ED-BC64-46A8-861C-F296B5DB5A55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1" t="s">
        <v>1</v>
      </c>
      <c r="O1" s="221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2" t="s">
        <v>7</v>
      </c>
      <c r="B4" s="173"/>
      <c r="C4" s="173"/>
      <c r="D4" s="174"/>
      <c r="F4" s="222" t="s">
        <v>8</v>
      </c>
      <c r="G4" s="224">
        <v>1</v>
      </c>
      <c r="H4" s="226" t="s">
        <v>9</v>
      </c>
      <c r="I4" s="228">
        <v>46247</v>
      </c>
      <c r="J4" s="22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6" t="s">
        <v>7</v>
      </c>
      <c r="B5" s="15" t="s">
        <v>11</v>
      </c>
      <c r="C5" s="9" t="s">
        <v>12</v>
      </c>
      <c r="D5" s="25" t="s">
        <v>13</v>
      </c>
      <c r="F5" s="223"/>
      <c r="G5" s="225"/>
      <c r="H5" s="227"/>
      <c r="I5" s="230"/>
      <c r="J5" s="23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7"/>
      <c r="B6" s="16" t="s">
        <v>15</v>
      </c>
      <c r="C6" s="10">
        <v>347</v>
      </c>
      <c r="D6" s="13">
        <f t="shared" ref="D6:D28" si="1">C6*L6</f>
        <v>264067</v>
      </c>
      <c r="F6" s="232" t="s">
        <v>16</v>
      </c>
      <c r="G6" s="234" t="s">
        <v>99</v>
      </c>
      <c r="H6" s="235"/>
      <c r="I6" s="235"/>
      <c r="J6" s="2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7"/>
      <c r="B7" s="16" t="s">
        <v>18</v>
      </c>
      <c r="C7" s="10">
        <v>8</v>
      </c>
      <c r="D7" s="13">
        <f t="shared" si="1"/>
        <v>6248</v>
      </c>
      <c r="F7" s="233"/>
      <c r="G7" s="237"/>
      <c r="H7" s="238"/>
      <c r="I7" s="238"/>
      <c r="J7" s="2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7"/>
      <c r="B8" s="16" t="s">
        <v>20</v>
      </c>
      <c r="C8" s="10">
        <v>55</v>
      </c>
      <c r="D8" s="13">
        <f t="shared" si="1"/>
        <v>60115</v>
      </c>
      <c r="F8" s="240" t="s">
        <v>21</v>
      </c>
      <c r="G8" s="241" t="s">
        <v>115</v>
      </c>
      <c r="H8" s="242"/>
      <c r="I8" s="242"/>
      <c r="J8" s="24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7"/>
      <c r="B9" s="16" t="s">
        <v>23</v>
      </c>
      <c r="C9" s="10">
        <v>20</v>
      </c>
      <c r="D9" s="13">
        <f t="shared" si="1"/>
        <v>14660</v>
      </c>
      <c r="F9" s="233"/>
      <c r="G9" s="244"/>
      <c r="H9" s="245"/>
      <c r="I9" s="245"/>
      <c r="J9" s="24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7"/>
      <c r="B10" t="s">
        <v>25</v>
      </c>
      <c r="C10" s="10">
        <v>3</v>
      </c>
      <c r="D10" s="13">
        <f t="shared" si="1"/>
        <v>3096</v>
      </c>
      <c r="F10" s="232" t="s">
        <v>26</v>
      </c>
      <c r="G10" s="247" t="s">
        <v>108</v>
      </c>
      <c r="H10" s="248"/>
      <c r="I10" s="248"/>
      <c r="J10" s="249"/>
      <c r="K10" s="8"/>
      <c r="L10" s="6">
        <f>R36</f>
        <v>1032</v>
      </c>
      <c r="P10" s="4"/>
      <c r="Q10" s="4"/>
      <c r="R10" s="5"/>
    </row>
    <row r="11" spans="1:18" ht="15.75" x14ac:dyDescent="0.25">
      <c r="A11" s="167"/>
      <c r="B11" s="17" t="s">
        <v>28</v>
      </c>
      <c r="C11" s="10">
        <v>2</v>
      </c>
      <c r="D11" s="13">
        <f t="shared" si="1"/>
        <v>2340</v>
      </c>
      <c r="F11" s="233"/>
      <c r="G11" s="244"/>
      <c r="H11" s="245"/>
      <c r="I11" s="245"/>
      <c r="J11" s="24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7"/>
      <c r="B12" s="17" t="s">
        <v>30</v>
      </c>
      <c r="C12" s="10">
        <f>1+2</f>
        <v>3</v>
      </c>
      <c r="D12" s="48">
        <f t="shared" si="1"/>
        <v>2976</v>
      </c>
      <c r="F12" s="250" t="s">
        <v>33</v>
      </c>
      <c r="G12" s="251"/>
      <c r="H12" s="251"/>
      <c r="I12" s="251"/>
      <c r="J12" s="25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7"/>
      <c r="B13" s="17" t="s">
        <v>32</v>
      </c>
      <c r="C13" s="10">
        <v>3</v>
      </c>
      <c r="D13" s="48">
        <f t="shared" si="1"/>
        <v>921</v>
      </c>
      <c r="F13" s="253" t="s">
        <v>36</v>
      </c>
      <c r="G13" s="217"/>
      <c r="H13" s="208">
        <f>D29</f>
        <v>354423</v>
      </c>
      <c r="I13" s="209"/>
      <c r="J13" s="21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7"/>
      <c r="B14" s="14" t="s">
        <v>35</v>
      </c>
      <c r="C14" s="10"/>
      <c r="D14" s="31">
        <f t="shared" si="1"/>
        <v>0</v>
      </c>
      <c r="F14" s="211" t="s">
        <v>38</v>
      </c>
      <c r="G14" s="212"/>
      <c r="H14" s="213">
        <f>D54</f>
        <v>53400</v>
      </c>
      <c r="I14" s="214"/>
      <c r="J14" s="215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7"/>
      <c r="B15" s="14" t="s">
        <v>117</v>
      </c>
      <c r="C15" s="10"/>
      <c r="D15" s="31">
        <f t="shared" si="1"/>
        <v>0</v>
      </c>
      <c r="F15" s="216" t="s">
        <v>39</v>
      </c>
      <c r="G15" s="217"/>
      <c r="H15" s="218">
        <f>H13-H14</f>
        <v>301023</v>
      </c>
      <c r="I15" s="219"/>
      <c r="J15" s="22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7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8"/>
      <c r="I16" s="178"/>
      <c r="J16" s="17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7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9"/>
      <c r="I17" s="189"/>
      <c r="J17" s="18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7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9"/>
      <c r="I18" s="189"/>
      <c r="J18" s="18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7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8"/>
      <c r="I19" s="178"/>
      <c r="J19" s="17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7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8"/>
      <c r="I20" s="178"/>
      <c r="J20" s="17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7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91" t="s">
        <v>13</v>
      </c>
      <c r="I21" s="192"/>
      <c r="J21" s="19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7"/>
      <c r="B22" s="46" t="s">
        <v>103</v>
      </c>
      <c r="C22" s="10"/>
      <c r="D22" s="48">
        <f t="shared" si="1"/>
        <v>0</v>
      </c>
      <c r="F22" s="76" t="s">
        <v>132</v>
      </c>
      <c r="G22" s="72">
        <v>11915</v>
      </c>
      <c r="H22" s="194">
        <v>62655</v>
      </c>
      <c r="I22" s="194"/>
      <c r="J22" s="19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7"/>
      <c r="B23" s="14" t="s">
        <v>116</v>
      </c>
      <c r="C23" s="10"/>
      <c r="D23" s="48">
        <f t="shared" si="1"/>
        <v>0</v>
      </c>
      <c r="F23" s="76"/>
      <c r="G23" s="78"/>
      <c r="H23" s="259"/>
      <c r="I23" s="260"/>
      <c r="J23" s="26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7"/>
      <c r="B24" s="14" t="s">
        <v>123</v>
      </c>
      <c r="C24" s="10"/>
      <c r="D24" s="48">
        <f t="shared" si="1"/>
        <v>0</v>
      </c>
      <c r="F24" s="76"/>
      <c r="G24" s="78"/>
      <c r="H24" s="259"/>
      <c r="I24" s="260"/>
      <c r="J24" s="26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6" t="s">
        <v>13</v>
      </c>
      <c r="I25" s="197"/>
      <c r="J25" s="19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7"/>
      <c r="B26" s="14" t="s">
        <v>124</v>
      </c>
      <c r="C26" s="10"/>
      <c r="D26" s="48">
        <f t="shared" si="1"/>
        <v>0</v>
      </c>
      <c r="F26" s="74"/>
      <c r="G26" s="65"/>
      <c r="H26" s="164"/>
      <c r="I26" s="164"/>
      <c r="J26" s="16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7"/>
      <c r="B27" s="14" t="s">
        <v>125</v>
      </c>
      <c r="C27" s="10"/>
      <c r="D27" s="44">
        <f t="shared" si="1"/>
        <v>0</v>
      </c>
      <c r="F27" s="71"/>
      <c r="G27" s="109"/>
      <c r="H27" s="261"/>
      <c r="I27" s="262"/>
      <c r="J27" s="26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8"/>
      <c r="B28" s="46" t="s">
        <v>92</v>
      </c>
      <c r="C28" s="10"/>
      <c r="D28" s="48">
        <f t="shared" si="1"/>
        <v>0</v>
      </c>
      <c r="F28" s="111"/>
      <c r="G28" s="61"/>
      <c r="H28" s="205"/>
      <c r="I28" s="206"/>
      <c r="J28" s="20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9" t="s">
        <v>36</v>
      </c>
      <c r="B29" s="180"/>
      <c r="C29" s="181"/>
      <c r="D29" s="185">
        <f>SUM(D6:D28)</f>
        <v>354423</v>
      </c>
      <c r="F29" s="125" t="s">
        <v>54</v>
      </c>
      <c r="G29" s="187"/>
      <c r="H29" s="147">
        <f>H15-H16-H17-H18-H19-H20-H22-H23-H24+H26+H27+H28</f>
        <v>238368</v>
      </c>
      <c r="I29" s="148"/>
      <c r="J29" s="14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2"/>
      <c r="B30" s="183"/>
      <c r="C30" s="184"/>
      <c r="D30" s="186"/>
      <c r="F30" s="128"/>
      <c r="G30" s="188"/>
      <c r="H30" s="150"/>
      <c r="I30" s="151"/>
      <c r="J30" s="15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2" t="s">
        <v>57</v>
      </c>
      <c r="B32" s="173"/>
      <c r="C32" s="173"/>
      <c r="D32" s="174"/>
      <c r="F32" s="175" t="s">
        <v>58</v>
      </c>
      <c r="G32" s="176"/>
      <c r="H32" s="176"/>
      <c r="I32" s="176"/>
      <c r="J32" s="17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175" t="s">
        <v>13</v>
      </c>
      <c r="I33" s="176"/>
      <c r="J33" s="17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6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40">
        <v>111</v>
      </c>
      <c r="H34" s="169">
        <f t="shared" ref="H34:H39" si="2">F34*G34</f>
        <v>111000</v>
      </c>
      <c r="I34" s="170"/>
      <c r="J34" s="17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7"/>
      <c r="B35" s="27" t="s">
        <v>67</v>
      </c>
      <c r="C35" s="52"/>
      <c r="D35" s="30">
        <f>C35*84</f>
        <v>0</v>
      </c>
      <c r="F35" s="58">
        <v>500</v>
      </c>
      <c r="G35" s="113">
        <v>38</v>
      </c>
      <c r="H35" s="169">
        <f t="shared" si="2"/>
        <v>19000</v>
      </c>
      <c r="I35" s="170"/>
      <c r="J35" s="17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8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169">
        <f t="shared" si="2"/>
        <v>200</v>
      </c>
      <c r="I36" s="170"/>
      <c r="J36" s="17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6" t="s">
        <v>71</v>
      </c>
      <c r="B37" s="28" t="s">
        <v>65</v>
      </c>
      <c r="C37" s="53">
        <v>369</v>
      </c>
      <c r="D37" s="12">
        <f>C37*111</f>
        <v>40959</v>
      </c>
      <c r="F37" s="12">
        <v>100</v>
      </c>
      <c r="G37" s="39">
        <v>22</v>
      </c>
      <c r="H37" s="169">
        <f t="shared" si="2"/>
        <v>2200</v>
      </c>
      <c r="I37" s="170"/>
      <c r="J37" s="17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7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4</v>
      </c>
      <c r="H38" s="169">
        <f t="shared" si="2"/>
        <v>200</v>
      </c>
      <c r="I38" s="170"/>
      <c r="J38" s="17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8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69">
        <f t="shared" si="2"/>
        <v>0</v>
      </c>
      <c r="I39" s="170"/>
      <c r="J39" s="17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6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114"/>
      <c r="H40" s="257"/>
      <c r="I40" s="258"/>
      <c r="J40" s="19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7"/>
      <c r="B41" s="27" t="s">
        <v>67</v>
      </c>
      <c r="C41" s="10">
        <v>6</v>
      </c>
      <c r="D41" s="12">
        <f>C41*84</f>
        <v>504</v>
      </c>
      <c r="F41" s="12">
        <v>5</v>
      </c>
      <c r="G41" s="114"/>
      <c r="H41" s="169"/>
      <c r="I41" s="170"/>
      <c r="J41" s="17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8"/>
      <c r="B42" s="27" t="s">
        <v>69</v>
      </c>
      <c r="C42" s="11">
        <v>8</v>
      </c>
      <c r="D42" s="12">
        <f>C42*2.25</f>
        <v>18</v>
      </c>
      <c r="F42" s="39" t="s">
        <v>78</v>
      </c>
      <c r="G42" s="169">
        <v>72</v>
      </c>
      <c r="H42" s="170"/>
      <c r="I42" s="170"/>
      <c r="J42" s="17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9" t="s">
        <v>80</v>
      </c>
      <c r="C43" s="11"/>
      <c r="D43" s="12"/>
      <c r="F43" s="59" t="s">
        <v>81</v>
      </c>
      <c r="G43" s="109" t="s">
        <v>82</v>
      </c>
      <c r="H43" s="161" t="s">
        <v>13</v>
      </c>
      <c r="I43" s="162"/>
      <c r="J43" s="16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0"/>
      <c r="B44" s="27" t="s">
        <v>65</v>
      </c>
      <c r="C44" s="10">
        <v>62</v>
      </c>
      <c r="D44" s="12">
        <f>C44*120</f>
        <v>7440</v>
      </c>
      <c r="F44" s="37" t="s">
        <v>148</v>
      </c>
      <c r="G44" s="87" t="s">
        <v>173</v>
      </c>
      <c r="H44" s="164">
        <v>105758</v>
      </c>
      <c r="I44" s="164"/>
      <c r="J44" s="16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0"/>
      <c r="B45" s="27" t="s">
        <v>67</v>
      </c>
      <c r="C45" s="33">
        <v>42</v>
      </c>
      <c r="D45" s="12">
        <f>C45*84</f>
        <v>3528</v>
      </c>
      <c r="F45" s="37"/>
      <c r="G45" s="87"/>
      <c r="H45" s="164"/>
      <c r="I45" s="164"/>
      <c r="J45" s="164"/>
      <c r="K45" s="21"/>
      <c r="P45" s="4"/>
      <c r="Q45" s="4"/>
      <c r="R45" s="5"/>
    </row>
    <row r="46" spans="1:18" ht="15.75" x14ac:dyDescent="0.25">
      <c r="A46" s="140"/>
      <c r="B46" s="49" t="s">
        <v>69</v>
      </c>
      <c r="C46" s="80"/>
      <c r="D46" s="12">
        <f>C46*1.5</f>
        <v>0</v>
      </c>
      <c r="F46" s="37"/>
      <c r="G46" s="62"/>
      <c r="H46" s="164"/>
      <c r="I46" s="164"/>
      <c r="J46" s="164"/>
      <c r="K46" s="21"/>
      <c r="P46" s="4"/>
      <c r="Q46" s="4"/>
      <c r="R46" s="5"/>
    </row>
    <row r="47" spans="1:18" ht="15.75" x14ac:dyDescent="0.25">
      <c r="A47" s="141"/>
      <c r="B47" s="27"/>
      <c r="C47" s="11"/>
      <c r="D47" s="12"/>
      <c r="F47" s="59"/>
      <c r="G47" s="59"/>
      <c r="H47" s="254"/>
      <c r="I47" s="255"/>
      <c r="J47" s="256"/>
      <c r="K47" s="21"/>
      <c r="P47" s="4"/>
      <c r="Q47" s="4"/>
      <c r="R47" s="5"/>
    </row>
    <row r="48" spans="1:18" ht="15" customHeight="1" x14ac:dyDescent="0.25">
      <c r="A48" s="139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0"/>
      <c r="B49" s="29" t="s">
        <v>67</v>
      </c>
      <c r="C49" s="33">
        <v>1</v>
      </c>
      <c r="D49" s="12">
        <f>C49*42</f>
        <v>42</v>
      </c>
      <c r="F49" s="145" t="s">
        <v>85</v>
      </c>
      <c r="G49" s="147">
        <f>H34+H35+H36+H37+H38+H39+H40+H41+G42+H44+H45+H46+H47+H48</f>
        <v>238430</v>
      </c>
      <c r="H49" s="148"/>
      <c r="I49" s="148"/>
      <c r="J49" s="14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0"/>
      <c r="B50" s="32" t="s">
        <v>69</v>
      </c>
      <c r="C50" s="11">
        <v>3</v>
      </c>
      <c r="D50" s="12">
        <f>C50*1.5</f>
        <v>4.5</v>
      </c>
      <c r="F50" s="146"/>
      <c r="G50" s="150"/>
      <c r="H50" s="151"/>
      <c r="I50" s="151"/>
      <c r="J50" s="152"/>
      <c r="O50" t="s">
        <v>112</v>
      </c>
      <c r="P50" s="4">
        <v>1204</v>
      </c>
      <c r="Q50" s="4"/>
      <c r="R50" s="5"/>
    </row>
    <row r="51" spans="1:18" ht="15" customHeight="1" x14ac:dyDescent="0.25">
      <c r="A51" s="140"/>
      <c r="B51" s="27"/>
      <c r="C51" s="10"/>
      <c r="D51" s="31"/>
      <c r="F51" s="153" t="str">
        <f>_xlfn.IFS(H29&gt;G49,"SHORT",H29&lt;G49,"OVER",H29&lt;=G49,"-")</f>
        <v>OVER</v>
      </c>
      <c r="G51" s="155">
        <f>G49-H29</f>
        <v>62</v>
      </c>
      <c r="H51" s="156"/>
      <c r="I51" s="156"/>
      <c r="J51" s="1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0"/>
      <c r="B52" s="29"/>
      <c r="C52" s="33"/>
      <c r="D52" s="45"/>
      <c r="F52" s="154"/>
      <c r="G52" s="158"/>
      <c r="H52" s="159"/>
      <c r="I52" s="159"/>
      <c r="J52" s="1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5" t="s">
        <v>89</v>
      </c>
      <c r="B54" s="126"/>
      <c r="C54" s="127"/>
      <c r="D54" s="131">
        <f>SUM(D34:D53)</f>
        <v>53400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8"/>
      <c r="B55" s="129"/>
      <c r="C55" s="130"/>
      <c r="D55" s="13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33" t="s">
        <v>90</v>
      </c>
      <c r="B58" s="134"/>
      <c r="C58" s="134"/>
      <c r="D58" s="135"/>
      <c r="F58" s="133" t="s">
        <v>91</v>
      </c>
      <c r="G58" s="134"/>
      <c r="H58" s="134"/>
      <c r="I58" s="134"/>
      <c r="J58" s="135"/>
    </row>
    <row r="59" spans="1:18" x14ac:dyDescent="0.25">
      <c r="A59" s="136"/>
      <c r="B59" s="137"/>
      <c r="C59" s="137"/>
      <c r="D59" s="138"/>
      <c r="F59" s="136"/>
      <c r="G59" s="137"/>
      <c r="H59" s="137"/>
      <c r="I59" s="137"/>
      <c r="J59" s="138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71" priority="1" operator="containsText" text="OVER">
      <formula>NOT(ISERROR(SEARCH("OVER",F51)))</formula>
    </cfRule>
    <cfRule type="containsText" dxfId="70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42D16560-F2E0-4EB2-8A22-A584ACDB16A7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4F587-2C9A-4B69-A0EF-518BCC70105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1" t="s">
        <v>1</v>
      </c>
      <c r="O1" s="221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2" t="s">
        <v>7</v>
      </c>
      <c r="B4" s="173"/>
      <c r="C4" s="173"/>
      <c r="D4" s="174"/>
      <c r="F4" s="222" t="s">
        <v>8</v>
      </c>
      <c r="G4" s="224">
        <v>2</v>
      </c>
      <c r="H4" s="226" t="s">
        <v>9</v>
      </c>
      <c r="I4" s="228">
        <v>46247</v>
      </c>
      <c r="J4" s="22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6" t="s">
        <v>7</v>
      </c>
      <c r="B5" s="15" t="s">
        <v>11</v>
      </c>
      <c r="C5" s="9" t="s">
        <v>12</v>
      </c>
      <c r="D5" s="25" t="s">
        <v>13</v>
      </c>
      <c r="F5" s="223"/>
      <c r="G5" s="225"/>
      <c r="H5" s="227"/>
      <c r="I5" s="230"/>
      <c r="J5" s="23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7"/>
      <c r="B6" s="16" t="s">
        <v>15</v>
      </c>
      <c r="C6" s="10">
        <v>345</v>
      </c>
      <c r="D6" s="13">
        <f t="shared" ref="D6:D28" si="1">C6*L6</f>
        <v>262545</v>
      </c>
      <c r="F6" s="232" t="s">
        <v>16</v>
      </c>
      <c r="G6" s="234" t="s">
        <v>107</v>
      </c>
      <c r="H6" s="235"/>
      <c r="I6" s="235"/>
      <c r="J6" s="2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7"/>
      <c r="B7" s="16" t="s">
        <v>18</v>
      </c>
      <c r="C7" s="10">
        <v>10</v>
      </c>
      <c r="D7" s="13">
        <f t="shared" si="1"/>
        <v>7810</v>
      </c>
      <c r="F7" s="233"/>
      <c r="G7" s="237"/>
      <c r="H7" s="238"/>
      <c r="I7" s="238"/>
      <c r="J7" s="2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7"/>
      <c r="B8" s="16" t="s">
        <v>20</v>
      </c>
      <c r="C8" s="10"/>
      <c r="D8" s="13">
        <f t="shared" si="1"/>
        <v>0</v>
      </c>
      <c r="F8" s="240" t="s">
        <v>21</v>
      </c>
      <c r="G8" s="241" t="s">
        <v>100</v>
      </c>
      <c r="H8" s="242"/>
      <c r="I8" s="242"/>
      <c r="J8" s="24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7"/>
      <c r="B9" s="16" t="s">
        <v>23</v>
      </c>
      <c r="C9" s="10">
        <v>26</v>
      </c>
      <c r="D9" s="13">
        <f t="shared" si="1"/>
        <v>19058</v>
      </c>
      <c r="F9" s="233"/>
      <c r="G9" s="244"/>
      <c r="H9" s="245"/>
      <c r="I9" s="245"/>
      <c r="J9" s="24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7"/>
      <c r="B10" t="s">
        <v>25</v>
      </c>
      <c r="C10" s="10">
        <v>1</v>
      </c>
      <c r="D10" s="13">
        <f t="shared" si="1"/>
        <v>1032</v>
      </c>
      <c r="F10" s="232" t="s">
        <v>26</v>
      </c>
      <c r="G10" s="247" t="s">
        <v>101</v>
      </c>
      <c r="H10" s="248"/>
      <c r="I10" s="248"/>
      <c r="J10" s="249"/>
      <c r="K10" s="8"/>
      <c r="L10" s="6">
        <f>R36</f>
        <v>1032</v>
      </c>
      <c r="P10" s="4"/>
      <c r="Q10" s="4"/>
      <c r="R10" s="5"/>
    </row>
    <row r="11" spans="1:18" ht="15.75" x14ac:dyDescent="0.25">
      <c r="A11" s="167"/>
      <c r="B11" s="17" t="s">
        <v>28</v>
      </c>
      <c r="C11" s="10"/>
      <c r="D11" s="13">
        <f t="shared" si="1"/>
        <v>0</v>
      </c>
      <c r="F11" s="233"/>
      <c r="G11" s="244"/>
      <c r="H11" s="245"/>
      <c r="I11" s="245"/>
      <c r="J11" s="24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7"/>
      <c r="B12" s="17" t="s">
        <v>30</v>
      </c>
      <c r="C12" s="10"/>
      <c r="D12" s="48">
        <f t="shared" si="1"/>
        <v>0</v>
      </c>
      <c r="F12" s="250" t="s">
        <v>33</v>
      </c>
      <c r="G12" s="251"/>
      <c r="H12" s="251"/>
      <c r="I12" s="251"/>
      <c r="J12" s="25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7"/>
      <c r="B13" s="17" t="s">
        <v>32</v>
      </c>
      <c r="C13" s="10">
        <v>8</v>
      </c>
      <c r="D13" s="48">
        <f t="shared" si="1"/>
        <v>2456</v>
      </c>
      <c r="F13" s="253" t="s">
        <v>36</v>
      </c>
      <c r="G13" s="217"/>
      <c r="H13" s="208">
        <f>D29</f>
        <v>293011.41666666669</v>
      </c>
      <c r="I13" s="209"/>
      <c r="J13" s="21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7"/>
      <c r="B14" s="14" t="s">
        <v>35</v>
      </c>
      <c r="C14" s="10">
        <v>10</v>
      </c>
      <c r="D14" s="31">
        <f t="shared" si="1"/>
        <v>110.41666666666666</v>
      </c>
      <c r="F14" s="211" t="s">
        <v>38</v>
      </c>
      <c r="G14" s="212"/>
      <c r="H14" s="213">
        <f>D54</f>
        <v>43533</v>
      </c>
      <c r="I14" s="214"/>
      <c r="J14" s="215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7"/>
      <c r="B15" s="14" t="s">
        <v>117</v>
      </c>
      <c r="C15" s="10"/>
      <c r="D15" s="31">
        <f t="shared" si="1"/>
        <v>0</v>
      </c>
      <c r="F15" s="216" t="s">
        <v>39</v>
      </c>
      <c r="G15" s="217"/>
      <c r="H15" s="218">
        <f>H13-H14</f>
        <v>249478.41666666669</v>
      </c>
      <c r="I15" s="219"/>
      <c r="J15" s="22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7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8">
        <v>1470</v>
      </c>
      <c r="I16" s="178"/>
      <c r="J16" s="17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7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9"/>
      <c r="I17" s="189"/>
      <c r="J17" s="18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7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9"/>
      <c r="I18" s="189"/>
      <c r="J18" s="18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7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3"/>
      <c r="I19" s="263"/>
      <c r="J19" s="26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7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8"/>
      <c r="I20" s="178"/>
      <c r="J20" s="17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7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91" t="s">
        <v>13</v>
      </c>
      <c r="I21" s="192"/>
      <c r="J21" s="193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7"/>
      <c r="B22" s="46" t="s">
        <v>103</v>
      </c>
      <c r="C22" s="10"/>
      <c r="D22" s="48">
        <f t="shared" si="1"/>
        <v>0</v>
      </c>
      <c r="F22" s="76"/>
      <c r="G22" s="72"/>
      <c r="H22" s="194"/>
      <c r="I22" s="194"/>
      <c r="J22" s="19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7"/>
      <c r="B23" s="14" t="s">
        <v>116</v>
      </c>
      <c r="C23" s="10"/>
      <c r="D23" s="48">
        <f t="shared" si="1"/>
        <v>0</v>
      </c>
      <c r="F23" s="77"/>
      <c r="G23" s="78"/>
      <c r="H23" s="264"/>
      <c r="I23" s="194"/>
      <c r="J23" s="19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7"/>
      <c r="B24" s="14" t="s">
        <v>123</v>
      </c>
      <c r="C24" s="10"/>
      <c r="D24" s="48">
        <f t="shared" si="1"/>
        <v>0</v>
      </c>
      <c r="F24" s="38"/>
      <c r="G24" s="37"/>
      <c r="H24" s="195"/>
      <c r="I24" s="164"/>
      <c r="J24" s="16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6" t="s">
        <v>13</v>
      </c>
      <c r="I25" s="197"/>
      <c r="J25" s="19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7"/>
      <c r="B26" s="14" t="s">
        <v>124</v>
      </c>
      <c r="C26" s="10"/>
      <c r="D26" s="48">
        <f t="shared" si="1"/>
        <v>0</v>
      </c>
      <c r="F26" s="64"/>
      <c r="G26" s="59"/>
      <c r="H26" s="199"/>
      <c r="I26" s="200"/>
      <c r="J26" s="20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7"/>
      <c r="B27" s="14" t="s">
        <v>125</v>
      </c>
      <c r="C27" s="10"/>
      <c r="D27" s="44">
        <f t="shared" si="1"/>
        <v>0</v>
      </c>
      <c r="F27" s="25"/>
      <c r="G27" s="79"/>
      <c r="H27" s="202"/>
      <c r="I27" s="203"/>
      <c r="J27" s="20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8"/>
      <c r="B28" s="46" t="s">
        <v>92</v>
      </c>
      <c r="C28" s="10"/>
      <c r="D28" s="48">
        <f t="shared" si="1"/>
        <v>0</v>
      </c>
      <c r="F28" s="111"/>
      <c r="G28" s="61"/>
      <c r="H28" s="205"/>
      <c r="I28" s="206"/>
      <c r="J28" s="20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9" t="s">
        <v>36</v>
      </c>
      <c r="B29" s="180"/>
      <c r="C29" s="181"/>
      <c r="D29" s="185">
        <f>SUM(D6:D28)</f>
        <v>293011.41666666669</v>
      </c>
      <c r="F29" s="125" t="s">
        <v>54</v>
      </c>
      <c r="G29" s="187"/>
      <c r="H29" s="147">
        <f>H15-H16-H17-H18-H19-H20-H22-H23-H24+H26+H27</f>
        <v>248008.41666666669</v>
      </c>
      <c r="I29" s="148"/>
      <c r="J29" s="14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2"/>
      <c r="B30" s="183"/>
      <c r="C30" s="184"/>
      <c r="D30" s="186"/>
      <c r="F30" s="128"/>
      <c r="G30" s="188"/>
      <c r="H30" s="150"/>
      <c r="I30" s="151"/>
      <c r="J30" s="15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2" t="s">
        <v>57</v>
      </c>
      <c r="B32" s="173"/>
      <c r="C32" s="173"/>
      <c r="D32" s="174"/>
      <c r="F32" s="175" t="s">
        <v>58</v>
      </c>
      <c r="G32" s="176"/>
      <c r="H32" s="176"/>
      <c r="I32" s="176"/>
      <c r="J32" s="17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175" t="s">
        <v>13</v>
      </c>
      <c r="I33" s="176"/>
      <c r="J33" s="17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6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140</v>
      </c>
      <c r="H34" s="169">
        <f>F34*G34</f>
        <v>140000</v>
      </c>
      <c r="I34" s="170"/>
      <c r="J34" s="17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7"/>
      <c r="B35" s="27" t="s">
        <v>67</v>
      </c>
      <c r="C35" s="52"/>
      <c r="D35" s="30">
        <f>C35*84</f>
        <v>0</v>
      </c>
      <c r="F35" s="58">
        <v>500</v>
      </c>
      <c r="G35" s="113">
        <v>71</v>
      </c>
      <c r="H35" s="169">
        <f>F35*G35</f>
        <v>35500</v>
      </c>
      <c r="I35" s="170"/>
      <c r="J35" s="17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8"/>
      <c r="B36" s="26" t="s">
        <v>69</v>
      </c>
      <c r="C36" s="10"/>
      <c r="D36" s="12">
        <f>C36*1.5</f>
        <v>0</v>
      </c>
      <c r="F36" s="12">
        <v>200</v>
      </c>
      <c r="G36" s="37">
        <v>3</v>
      </c>
      <c r="H36" s="169">
        <f t="shared" ref="H36:H39" si="2">F36*G36</f>
        <v>600</v>
      </c>
      <c r="I36" s="170"/>
      <c r="J36" s="17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6" t="s">
        <v>71</v>
      </c>
      <c r="B37" s="28" t="s">
        <v>65</v>
      </c>
      <c r="C37" s="53">
        <v>377</v>
      </c>
      <c r="D37" s="12">
        <f>C37*111</f>
        <v>41847</v>
      </c>
      <c r="F37" s="12">
        <v>100</v>
      </c>
      <c r="G37" s="39">
        <v>12</v>
      </c>
      <c r="H37" s="169">
        <f t="shared" si="2"/>
        <v>1200</v>
      </c>
      <c r="I37" s="170"/>
      <c r="J37" s="17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7"/>
      <c r="B38" s="29" t="s">
        <v>67</v>
      </c>
      <c r="C38" s="54">
        <v>6</v>
      </c>
      <c r="D38" s="12">
        <f>C38*84</f>
        <v>504</v>
      </c>
      <c r="F38" s="30">
        <v>50</v>
      </c>
      <c r="G38" s="39">
        <v>1</v>
      </c>
      <c r="H38" s="169">
        <f t="shared" si="2"/>
        <v>50</v>
      </c>
      <c r="I38" s="170"/>
      <c r="J38" s="17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8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169">
        <f t="shared" si="2"/>
        <v>0</v>
      </c>
      <c r="I39" s="170"/>
      <c r="J39" s="17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6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114"/>
      <c r="H40" s="169"/>
      <c r="I40" s="170"/>
      <c r="J40" s="17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7"/>
      <c r="B41" s="27" t="s">
        <v>67</v>
      </c>
      <c r="C41" s="10"/>
      <c r="D41" s="12">
        <f>C41*84</f>
        <v>0</v>
      </c>
      <c r="F41" s="12">
        <v>5</v>
      </c>
      <c r="G41" s="114"/>
      <c r="H41" s="169"/>
      <c r="I41" s="170"/>
      <c r="J41" s="17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8"/>
      <c r="B42" s="27" t="s">
        <v>69</v>
      </c>
      <c r="C42" s="11">
        <v>2</v>
      </c>
      <c r="D42" s="12">
        <f>C42*2.25</f>
        <v>4.5</v>
      </c>
      <c r="F42" s="39" t="s">
        <v>78</v>
      </c>
      <c r="G42" s="169">
        <v>26</v>
      </c>
      <c r="H42" s="170"/>
      <c r="I42" s="170"/>
      <c r="J42" s="17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9" t="s">
        <v>80</v>
      </c>
      <c r="C43" s="11"/>
      <c r="D43" s="12"/>
      <c r="F43" s="59" t="s">
        <v>81</v>
      </c>
      <c r="G43" s="109" t="s">
        <v>82</v>
      </c>
      <c r="H43" s="161" t="s">
        <v>13</v>
      </c>
      <c r="I43" s="162"/>
      <c r="J43" s="16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0"/>
      <c r="B44" s="27" t="s">
        <v>65</v>
      </c>
      <c r="C44" s="10"/>
      <c r="D44" s="12">
        <f>C44*120</f>
        <v>0</v>
      </c>
      <c r="F44" s="37" t="s">
        <v>148</v>
      </c>
      <c r="G44" s="87" t="s">
        <v>174</v>
      </c>
      <c r="H44" s="164">
        <v>70074</v>
      </c>
      <c r="I44" s="164"/>
      <c r="J44" s="16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0"/>
      <c r="B45" s="27" t="s">
        <v>67</v>
      </c>
      <c r="C45" s="33"/>
      <c r="D45" s="12">
        <f>C45*84</f>
        <v>0</v>
      </c>
      <c r="F45" s="37"/>
      <c r="G45" s="75"/>
      <c r="H45" s="164"/>
      <c r="I45" s="164"/>
      <c r="J45" s="164"/>
      <c r="K45" s="21"/>
      <c r="P45" s="4"/>
      <c r="Q45" s="4"/>
      <c r="R45" s="5"/>
    </row>
    <row r="46" spans="1:18" ht="15.75" x14ac:dyDescent="0.25">
      <c r="A46" s="140"/>
      <c r="B46" s="49" t="s">
        <v>69</v>
      </c>
      <c r="C46" s="80"/>
      <c r="D46" s="12">
        <f>C46*1.5</f>
        <v>0</v>
      </c>
      <c r="F46" s="37"/>
      <c r="G46" s="62"/>
      <c r="H46" s="164"/>
      <c r="I46" s="164"/>
      <c r="J46" s="164"/>
      <c r="K46" s="21"/>
      <c r="P46" s="4"/>
      <c r="Q46" s="4"/>
      <c r="R46" s="5"/>
    </row>
    <row r="47" spans="1:18" ht="15.75" x14ac:dyDescent="0.25">
      <c r="A47" s="141"/>
      <c r="B47" s="27"/>
      <c r="C47" s="11"/>
      <c r="D47" s="12"/>
      <c r="F47" s="59"/>
      <c r="G47" s="59"/>
      <c r="H47" s="164"/>
      <c r="I47" s="164"/>
      <c r="J47" s="164"/>
      <c r="K47" s="21"/>
      <c r="P47" s="4"/>
      <c r="Q47" s="4"/>
      <c r="R47" s="5"/>
    </row>
    <row r="48" spans="1:18" ht="15" customHeight="1" x14ac:dyDescent="0.25">
      <c r="A48" s="139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0"/>
      <c r="B49" s="29" t="s">
        <v>67</v>
      </c>
      <c r="C49" s="33">
        <v>6</v>
      </c>
      <c r="D49" s="12">
        <f>C49*42</f>
        <v>252</v>
      </c>
      <c r="F49" s="145" t="s">
        <v>85</v>
      </c>
      <c r="G49" s="147">
        <f>H34+H35+H36+H37+H38+H39+H40+H41+G42+H44+H45+H46+H47+H48</f>
        <v>247450</v>
      </c>
      <c r="H49" s="148"/>
      <c r="I49" s="148"/>
      <c r="J49" s="14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0"/>
      <c r="B50" s="32" t="s">
        <v>69</v>
      </c>
      <c r="C50" s="80">
        <v>2</v>
      </c>
      <c r="D50" s="12">
        <f>C50*1.5</f>
        <v>3</v>
      </c>
      <c r="F50" s="146"/>
      <c r="G50" s="150"/>
      <c r="H50" s="151"/>
      <c r="I50" s="151"/>
      <c r="J50" s="152"/>
      <c r="O50" t="s">
        <v>112</v>
      </c>
      <c r="P50" s="4">
        <v>1204</v>
      </c>
      <c r="Q50" s="4"/>
      <c r="R50" s="5"/>
    </row>
    <row r="51" spans="1:18" ht="15" customHeight="1" x14ac:dyDescent="0.25">
      <c r="A51" s="140"/>
      <c r="B51" s="27"/>
      <c r="C51" s="10"/>
      <c r="D51" s="31"/>
      <c r="F51" s="153" t="str">
        <f>_xlfn.IFS(H29&gt;G49,"SHORT",H29&lt;G49,"OVER",H29&lt;=G49,"-")</f>
        <v>SHORT</v>
      </c>
      <c r="G51" s="155">
        <f>G49-H29</f>
        <v>-558.41666666668607</v>
      </c>
      <c r="H51" s="156"/>
      <c r="I51" s="156"/>
      <c r="J51" s="1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140"/>
      <c r="B52" s="29"/>
      <c r="C52" s="33"/>
      <c r="D52" s="45"/>
      <c r="F52" s="154"/>
      <c r="G52" s="158"/>
      <c r="H52" s="159"/>
      <c r="I52" s="159"/>
      <c r="J52" s="1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5" t="s">
        <v>89</v>
      </c>
      <c r="B54" s="126"/>
      <c r="C54" s="127"/>
      <c r="D54" s="131">
        <f>SUM(D34:D53)</f>
        <v>43533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8"/>
      <c r="B55" s="129"/>
      <c r="C55" s="130"/>
      <c r="D55" s="13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133" t="s">
        <v>90</v>
      </c>
      <c r="B58" s="134"/>
      <c r="C58" s="134"/>
      <c r="D58" s="135"/>
      <c r="F58" s="133" t="s">
        <v>91</v>
      </c>
      <c r="G58" s="134"/>
      <c r="H58" s="134"/>
      <c r="I58" s="134"/>
      <c r="J58" s="135"/>
    </row>
    <row r="59" spans="1:18" x14ac:dyDescent="0.25">
      <c r="A59" s="136"/>
      <c r="B59" s="137"/>
      <c r="C59" s="137"/>
      <c r="D59" s="138"/>
      <c r="F59" s="136"/>
      <c r="G59" s="137"/>
      <c r="H59" s="137"/>
      <c r="I59" s="137"/>
      <c r="J59" s="13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68" priority="1" operator="containsText" text="OVER">
      <formula>NOT(ISERROR(SEARCH("OVER",F51)))</formula>
    </cfRule>
    <cfRule type="containsText" dxfId="67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39E47FBB-B205-4F19-BB52-7EE4A27CA7A2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4E7D97-2F30-471E-9BCB-2C5D32ACACE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1" t="s">
        <v>1</v>
      </c>
      <c r="O1" s="221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2" t="s">
        <v>7</v>
      </c>
      <c r="B4" s="173"/>
      <c r="C4" s="173"/>
      <c r="D4" s="174"/>
      <c r="F4" s="222" t="s">
        <v>8</v>
      </c>
      <c r="G4" s="224">
        <v>3</v>
      </c>
      <c r="H4" s="226" t="s">
        <v>9</v>
      </c>
      <c r="I4" s="228">
        <v>46247</v>
      </c>
      <c r="J4" s="22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6" t="s">
        <v>7</v>
      </c>
      <c r="B5" s="15" t="s">
        <v>11</v>
      </c>
      <c r="C5" s="9" t="s">
        <v>12</v>
      </c>
      <c r="D5" s="25" t="s">
        <v>13</v>
      </c>
      <c r="F5" s="223"/>
      <c r="G5" s="225"/>
      <c r="H5" s="227"/>
      <c r="I5" s="230"/>
      <c r="J5" s="23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7"/>
      <c r="B6" s="16" t="s">
        <v>15</v>
      </c>
      <c r="C6" s="10">
        <v>369</v>
      </c>
      <c r="D6" s="13">
        <f t="shared" ref="D6:D28" si="1">C6*L6</f>
        <v>280809</v>
      </c>
      <c r="F6" s="232" t="s">
        <v>16</v>
      </c>
      <c r="G6" s="234" t="s">
        <v>142</v>
      </c>
      <c r="H6" s="235"/>
      <c r="I6" s="235"/>
      <c r="J6" s="2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7"/>
      <c r="B7" s="16" t="s">
        <v>18</v>
      </c>
      <c r="C7" s="10">
        <v>12</v>
      </c>
      <c r="D7" s="13">
        <f t="shared" si="1"/>
        <v>9372</v>
      </c>
      <c r="F7" s="233"/>
      <c r="G7" s="237"/>
      <c r="H7" s="238"/>
      <c r="I7" s="238"/>
      <c r="J7" s="2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7"/>
      <c r="B8" s="16" t="s">
        <v>20</v>
      </c>
      <c r="C8" s="10"/>
      <c r="D8" s="13">
        <f t="shared" si="1"/>
        <v>0</v>
      </c>
      <c r="F8" s="240" t="s">
        <v>21</v>
      </c>
      <c r="G8" s="241" t="s">
        <v>109</v>
      </c>
      <c r="H8" s="242"/>
      <c r="I8" s="242"/>
      <c r="J8" s="24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7"/>
      <c r="B9" s="16" t="s">
        <v>23</v>
      </c>
      <c r="C9" s="10">
        <v>108</v>
      </c>
      <c r="D9" s="13">
        <f t="shared" si="1"/>
        <v>79164</v>
      </c>
      <c r="F9" s="233"/>
      <c r="G9" s="244"/>
      <c r="H9" s="245"/>
      <c r="I9" s="245"/>
      <c r="J9" s="24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7"/>
      <c r="B10" t="s">
        <v>25</v>
      </c>
      <c r="C10" s="10"/>
      <c r="D10" s="13">
        <f t="shared" si="1"/>
        <v>0</v>
      </c>
      <c r="F10" s="232" t="s">
        <v>26</v>
      </c>
      <c r="G10" s="247" t="s">
        <v>119</v>
      </c>
      <c r="H10" s="248"/>
      <c r="I10" s="248"/>
      <c r="J10" s="249"/>
      <c r="K10" s="8"/>
      <c r="L10" s="6">
        <f>R36</f>
        <v>1032</v>
      </c>
      <c r="P10" s="4"/>
      <c r="Q10" s="4"/>
      <c r="R10" s="5"/>
    </row>
    <row r="11" spans="1:18" ht="15.75" x14ac:dyDescent="0.25">
      <c r="A11" s="167"/>
      <c r="B11" s="17" t="s">
        <v>28</v>
      </c>
      <c r="C11" s="10">
        <v>2</v>
      </c>
      <c r="D11" s="13">
        <f t="shared" si="1"/>
        <v>2340</v>
      </c>
      <c r="F11" s="233"/>
      <c r="G11" s="244"/>
      <c r="H11" s="245"/>
      <c r="I11" s="245"/>
      <c r="J11" s="24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7"/>
      <c r="B12" s="17" t="s">
        <v>30</v>
      </c>
      <c r="C12" s="10"/>
      <c r="D12" s="48">
        <f t="shared" si="1"/>
        <v>0</v>
      </c>
      <c r="F12" s="250" t="s">
        <v>33</v>
      </c>
      <c r="G12" s="251"/>
      <c r="H12" s="251"/>
      <c r="I12" s="251"/>
      <c r="J12" s="25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7"/>
      <c r="B13" s="17" t="s">
        <v>32</v>
      </c>
      <c r="C13" s="10">
        <v>16</v>
      </c>
      <c r="D13" s="48">
        <f t="shared" si="1"/>
        <v>4912</v>
      </c>
      <c r="F13" s="253" t="s">
        <v>36</v>
      </c>
      <c r="G13" s="217"/>
      <c r="H13" s="208">
        <f>D29</f>
        <v>391216.08333333331</v>
      </c>
      <c r="I13" s="209"/>
      <c r="J13" s="21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7"/>
      <c r="B14" s="14" t="s">
        <v>35</v>
      </c>
      <c r="C14" s="10">
        <v>2</v>
      </c>
      <c r="D14" s="31">
        <f t="shared" si="1"/>
        <v>22.083333333333332</v>
      </c>
      <c r="F14" s="211" t="s">
        <v>38</v>
      </c>
      <c r="G14" s="212"/>
      <c r="H14" s="213">
        <f>D54</f>
        <v>54899.25</v>
      </c>
      <c r="I14" s="214"/>
      <c r="J14" s="215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7"/>
      <c r="B15" s="14" t="s">
        <v>117</v>
      </c>
      <c r="C15" s="10"/>
      <c r="D15" s="31">
        <f t="shared" si="1"/>
        <v>0</v>
      </c>
      <c r="F15" s="216" t="s">
        <v>39</v>
      </c>
      <c r="G15" s="217"/>
      <c r="H15" s="218">
        <f>H13-H14</f>
        <v>336316.83333333331</v>
      </c>
      <c r="I15" s="219"/>
      <c r="J15" s="22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7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78">
        <v>2736</v>
      </c>
      <c r="I16" s="178"/>
      <c r="J16" s="17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7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9"/>
      <c r="I17" s="189"/>
      <c r="J17" s="18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7"/>
      <c r="B18" s="85" t="s">
        <v>120</v>
      </c>
      <c r="C18" s="10">
        <v>1</v>
      </c>
      <c r="D18" s="48">
        <f t="shared" si="1"/>
        <v>1102</v>
      </c>
      <c r="F18" s="56"/>
      <c r="G18" s="66" t="s">
        <v>46</v>
      </c>
      <c r="H18" s="189"/>
      <c r="I18" s="189"/>
      <c r="J18" s="18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7"/>
      <c r="B19" s="86" t="s">
        <v>105</v>
      </c>
      <c r="C19" s="10">
        <v>1</v>
      </c>
      <c r="D19" s="48">
        <f t="shared" si="1"/>
        <v>1175</v>
      </c>
      <c r="F19" s="56"/>
      <c r="G19" s="68" t="s">
        <v>49</v>
      </c>
      <c r="H19" s="263">
        <v>50</v>
      </c>
      <c r="I19" s="263"/>
      <c r="J19" s="26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7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8"/>
      <c r="I20" s="178"/>
      <c r="J20" s="17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7"/>
      <c r="B21" s="14" t="s">
        <v>172</v>
      </c>
      <c r="C21" s="10">
        <v>10</v>
      </c>
      <c r="D21" s="48">
        <f t="shared" si="1"/>
        <v>11020</v>
      </c>
      <c r="F21" s="69" t="s">
        <v>94</v>
      </c>
      <c r="G21" s="81" t="s">
        <v>93</v>
      </c>
      <c r="H21" s="191" t="s">
        <v>13</v>
      </c>
      <c r="I21" s="192"/>
      <c r="J21" s="193"/>
      <c r="L21" s="7">
        <v>1102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7"/>
      <c r="B22" s="46" t="s">
        <v>103</v>
      </c>
      <c r="C22" s="10"/>
      <c r="D22" s="48">
        <f t="shared" si="1"/>
        <v>0</v>
      </c>
      <c r="F22" s="76"/>
      <c r="G22" s="72"/>
      <c r="H22" s="194"/>
      <c r="I22" s="194"/>
      <c r="J22" s="19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7"/>
      <c r="B23" s="14" t="s">
        <v>116</v>
      </c>
      <c r="C23" s="10"/>
      <c r="D23" s="48">
        <f t="shared" si="1"/>
        <v>0</v>
      </c>
      <c r="F23" s="77"/>
      <c r="G23" s="78"/>
      <c r="H23" s="264"/>
      <c r="I23" s="194"/>
      <c r="J23" s="19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7"/>
      <c r="B24" s="14" t="s">
        <v>123</v>
      </c>
      <c r="C24" s="10"/>
      <c r="D24" s="48">
        <f t="shared" si="1"/>
        <v>0</v>
      </c>
      <c r="F24" s="38"/>
      <c r="G24" s="37"/>
      <c r="H24" s="195"/>
      <c r="I24" s="164"/>
      <c r="J24" s="16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6" t="s">
        <v>13</v>
      </c>
      <c r="I25" s="197"/>
      <c r="J25" s="19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7"/>
      <c r="B26" s="14" t="s">
        <v>124</v>
      </c>
      <c r="C26" s="10"/>
      <c r="D26" s="48">
        <f t="shared" si="1"/>
        <v>0</v>
      </c>
      <c r="F26" s="64"/>
      <c r="G26" s="59"/>
      <c r="H26" s="199"/>
      <c r="I26" s="200"/>
      <c r="J26" s="20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7"/>
      <c r="B27" s="14" t="s">
        <v>125</v>
      </c>
      <c r="C27" s="10"/>
      <c r="D27" s="44">
        <f t="shared" si="1"/>
        <v>0</v>
      </c>
      <c r="F27" s="25"/>
      <c r="G27" s="79"/>
      <c r="H27" s="202"/>
      <c r="I27" s="203"/>
      <c r="J27" s="20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8"/>
      <c r="B28" s="46" t="s">
        <v>92</v>
      </c>
      <c r="C28" s="10"/>
      <c r="D28" s="48">
        <f t="shared" si="1"/>
        <v>0</v>
      </c>
      <c r="F28" s="111"/>
      <c r="G28" s="61"/>
      <c r="H28" s="205"/>
      <c r="I28" s="206"/>
      <c r="J28" s="20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9" t="s">
        <v>36</v>
      </c>
      <c r="B29" s="180"/>
      <c r="C29" s="181"/>
      <c r="D29" s="185">
        <f>SUM(D6:D28)</f>
        <v>391216.08333333331</v>
      </c>
      <c r="F29" s="125" t="s">
        <v>54</v>
      </c>
      <c r="G29" s="187"/>
      <c r="H29" s="147">
        <f>H15-H16-H17-H18-H19-H20-H22-H23-H24+H26+H27</f>
        <v>333530.83333333331</v>
      </c>
      <c r="I29" s="148"/>
      <c r="J29" s="14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2"/>
      <c r="B30" s="183"/>
      <c r="C30" s="184"/>
      <c r="D30" s="186"/>
      <c r="F30" s="128"/>
      <c r="G30" s="188"/>
      <c r="H30" s="150"/>
      <c r="I30" s="151"/>
      <c r="J30" s="15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2" t="s">
        <v>57</v>
      </c>
      <c r="B32" s="173"/>
      <c r="C32" s="173"/>
      <c r="D32" s="174"/>
      <c r="F32" s="175" t="s">
        <v>58</v>
      </c>
      <c r="G32" s="176"/>
      <c r="H32" s="176"/>
      <c r="I32" s="176"/>
      <c r="J32" s="17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175" t="s">
        <v>13</v>
      </c>
      <c r="I33" s="176"/>
      <c r="J33" s="17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6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18</v>
      </c>
      <c r="H34" s="169">
        <f>F34*G34</f>
        <v>18000</v>
      </c>
      <c r="I34" s="170"/>
      <c r="J34" s="17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7"/>
      <c r="B35" s="27" t="s">
        <v>67</v>
      </c>
      <c r="C35" s="52"/>
      <c r="D35" s="30">
        <f>C35*84</f>
        <v>0</v>
      </c>
      <c r="F35" s="58">
        <v>500</v>
      </c>
      <c r="G35" s="113">
        <v>14</v>
      </c>
      <c r="H35" s="169">
        <f>F35*G35</f>
        <v>7000</v>
      </c>
      <c r="I35" s="170"/>
      <c r="J35" s="17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8"/>
      <c r="B36" s="26" t="s">
        <v>69</v>
      </c>
      <c r="C36" s="10"/>
      <c r="D36" s="12">
        <f>C36*1.5</f>
        <v>0</v>
      </c>
      <c r="F36" s="12">
        <v>200</v>
      </c>
      <c r="G36" s="37"/>
      <c r="H36" s="169">
        <f t="shared" ref="H36:H39" si="2">F36*G36</f>
        <v>0</v>
      </c>
      <c r="I36" s="170"/>
      <c r="J36" s="17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6" t="s">
        <v>71</v>
      </c>
      <c r="B37" s="28" t="s">
        <v>65</v>
      </c>
      <c r="C37" s="53">
        <v>461</v>
      </c>
      <c r="D37" s="12">
        <f>C37*111</f>
        <v>51171</v>
      </c>
      <c r="F37" s="12">
        <v>100</v>
      </c>
      <c r="G37" s="39">
        <v>39</v>
      </c>
      <c r="H37" s="169">
        <f t="shared" si="2"/>
        <v>3900</v>
      </c>
      <c r="I37" s="170"/>
      <c r="J37" s="17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7"/>
      <c r="B38" s="29" t="s">
        <v>67</v>
      </c>
      <c r="C38" s="54">
        <v>7</v>
      </c>
      <c r="D38" s="12">
        <f>C38*84</f>
        <v>588</v>
      </c>
      <c r="F38" s="30">
        <v>50</v>
      </c>
      <c r="G38" s="39">
        <v>1</v>
      </c>
      <c r="H38" s="169">
        <f t="shared" si="2"/>
        <v>50</v>
      </c>
      <c r="I38" s="170"/>
      <c r="J38" s="17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8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169">
        <f t="shared" si="2"/>
        <v>0</v>
      </c>
      <c r="I39" s="170"/>
      <c r="J39" s="17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6" t="s">
        <v>75</v>
      </c>
      <c r="B40" s="27" t="s">
        <v>65</v>
      </c>
      <c r="C40" s="63">
        <v>20</v>
      </c>
      <c r="D40" s="12">
        <f>C40*111</f>
        <v>2220</v>
      </c>
      <c r="F40" s="12">
        <v>10</v>
      </c>
      <c r="G40" s="114"/>
      <c r="H40" s="169"/>
      <c r="I40" s="170"/>
      <c r="J40" s="17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7"/>
      <c r="B41" s="27" t="s">
        <v>67</v>
      </c>
      <c r="C41" s="10"/>
      <c r="D41" s="12">
        <f>C41*84</f>
        <v>0</v>
      </c>
      <c r="F41" s="12">
        <v>5</v>
      </c>
      <c r="G41" s="114"/>
      <c r="H41" s="169"/>
      <c r="I41" s="170"/>
      <c r="J41" s="17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8"/>
      <c r="B42" s="27" t="s">
        <v>69</v>
      </c>
      <c r="C42" s="11">
        <v>1</v>
      </c>
      <c r="D42" s="12">
        <f>C42*2.25</f>
        <v>2.25</v>
      </c>
      <c r="F42" s="39" t="s">
        <v>78</v>
      </c>
      <c r="G42" s="169">
        <v>20</v>
      </c>
      <c r="H42" s="170"/>
      <c r="I42" s="170"/>
      <c r="J42" s="17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9" t="s">
        <v>80</v>
      </c>
      <c r="C43" s="11"/>
      <c r="D43" s="12"/>
      <c r="F43" s="59" t="s">
        <v>81</v>
      </c>
      <c r="G43" s="109" t="s">
        <v>82</v>
      </c>
      <c r="H43" s="161" t="s">
        <v>13</v>
      </c>
      <c r="I43" s="162"/>
      <c r="J43" s="16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0"/>
      <c r="B44" s="27" t="s">
        <v>65</v>
      </c>
      <c r="C44" s="10">
        <v>1</v>
      </c>
      <c r="D44" s="12">
        <f>C44*120</f>
        <v>120</v>
      </c>
      <c r="F44" s="37" t="s">
        <v>136</v>
      </c>
      <c r="G44" s="62" t="s">
        <v>175</v>
      </c>
      <c r="H44" s="164">
        <v>219967</v>
      </c>
      <c r="I44" s="164"/>
      <c r="J44" s="16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0"/>
      <c r="B45" s="27" t="s">
        <v>67</v>
      </c>
      <c r="C45" s="33">
        <v>1</v>
      </c>
      <c r="D45" s="12">
        <f>C45*84</f>
        <v>84</v>
      </c>
      <c r="F45" s="37" t="s">
        <v>133</v>
      </c>
      <c r="G45" s="87" t="s">
        <v>176</v>
      </c>
      <c r="H45" s="164">
        <v>82199</v>
      </c>
      <c r="I45" s="164"/>
      <c r="J45" s="164"/>
      <c r="K45" s="21"/>
      <c r="P45" s="4"/>
      <c r="Q45" s="4"/>
      <c r="R45" s="5"/>
    </row>
    <row r="46" spans="1:18" ht="15.75" x14ac:dyDescent="0.25">
      <c r="A46" s="140"/>
      <c r="B46" s="49" t="s">
        <v>69</v>
      </c>
      <c r="C46" s="80">
        <v>22</v>
      </c>
      <c r="D46" s="12">
        <f>C46*1.5</f>
        <v>33</v>
      </c>
      <c r="F46" s="37"/>
      <c r="G46" s="75"/>
      <c r="H46" s="164"/>
      <c r="I46" s="164"/>
      <c r="J46" s="164"/>
      <c r="K46" s="21"/>
      <c r="P46" s="4"/>
      <c r="Q46" s="4"/>
      <c r="R46" s="5"/>
    </row>
    <row r="47" spans="1:18" ht="15.75" x14ac:dyDescent="0.25">
      <c r="A47" s="141"/>
      <c r="B47" s="27"/>
      <c r="C47" s="11"/>
      <c r="D47" s="12"/>
      <c r="F47" s="37"/>
      <c r="G47" s="75"/>
      <c r="H47" s="164"/>
      <c r="I47" s="164"/>
      <c r="J47" s="164"/>
      <c r="K47" s="21"/>
      <c r="P47" s="4"/>
      <c r="Q47" s="4"/>
      <c r="R47" s="5"/>
    </row>
    <row r="48" spans="1:18" ht="15" customHeight="1" x14ac:dyDescent="0.25">
      <c r="A48" s="139" t="s">
        <v>32</v>
      </c>
      <c r="B48" s="27" t="s">
        <v>65</v>
      </c>
      <c r="C48" s="10">
        <v>6</v>
      </c>
      <c r="D48" s="12">
        <f>C48*78</f>
        <v>468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0"/>
      <c r="B49" s="29" t="s">
        <v>67</v>
      </c>
      <c r="C49" s="33">
        <v>4</v>
      </c>
      <c r="D49" s="12">
        <f>C49*42</f>
        <v>168</v>
      </c>
      <c r="F49" s="145" t="s">
        <v>85</v>
      </c>
      <c r="G49" s="147">
        <f>H34+H35+H36+H37+H38+H39+H40+H41+G42+H44+H45+H46+H47+H48</f>
        <v>331136</v>
      </c>
      <c r="H49" s="148"/>
      <c r="I49" s="148"/>
      <c r="J49" s="14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0"/>
      <c r="B50" s="32" t="s">
        <v>69</v>
      </c>
      <c r="C50" s="11">
        <v>18</v>
      </c>
      <c r="D50" s="12">
        <f>C50*1.5</f>
        <v>27</v>
      </c>
      <c r="F50" s="146"/>
      <c r="G50" s="150"/>
      <c r="H50" s="151"/>
      <c r="I50" s="151"/>
      <c r="J50" s="152"/>
      <c r="O50" t="s">
        <v>112</v>
      </c>
      <c r="P50" s="4">
        <v>1204</v>
      </c>
      <c r="Q50" s="4"/>
      <c r="R50" s="5"/>
    </row>
    <row r="51" spans="1:18" ht="15" customHeight="1" x14ac:dyDescent="0.25">
      <c r="A51" s="140"/>
      <c r="B51" s="27"/>
      <c r="C51" s="10"/>
      <c r="D51" s="31"/>
      <c r="F51" s="153" t="str">
        <f>_xlfn.IFS(H29&gt;G49,"SHORT",H29&lt;G49,"OVER",H29&lt;=G49,"-")</f>
        <v>SHORT</v>
      </c>
      <c r="G51" s="155">
        <f>G49-H29</f>
        <v>-2394.8333333333139</v>
      </c>
      <c r="H51" s="156"/>
      <c r="I51" s="156"/>
      <c r="J51" s="1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140"/>
      <c r="B52" s="29"/>
      <c r="C52" s="33"/>
      <c r="D52" s="45"/>
      <c r="F52" s="154"/>
      <c r="G52" s="158"/>
      <c r="H52" s="159"/>
      <c r="I52" s="159"/>
      <c r="J52" s="1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5" t="s">
        <v>89</v>
      </c>
      <c r="B54" s="126"/>
      <c r="C54" s="127"/>
      <c r="D54" s="131">
        <f>SUM(D34:D53)</f>
        <v>54899.25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8"/>
      <c r="B55" s="129"/>
      <c r="C55" s="130"/>
      <c r="D55" s="13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33" t="s">
        <v>90</v>
      </c>
      <c r="B58" s="134"/>
      <c r="C58" s="134"/>
      <c r="D58" s="135"/>
      <c r="F58" s="133" t="s">
        <v>91</v>
      </c>
      <c r="G58" s="134"/>
      <c r="H58" s="134"/>
      <c r="I58" s="134"/>
      <c r="J58" s="135"/>
    </row>
    <row r="59" spans="1:18" x14ac:dyDescent="0.25">
      <c r="A59" s="136"/>
      <c r="B59" s="137"/>
      <c r="C59" s="137"/>
      <c r="D59" s="138"/>
      <c r="F59" s="136"/>
      <c r="G59" s="137"/>
      <c r="H59" s="137"/>
      <c r="I59" s="137"/>
      <c r="J59" s="13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65" priority="1" operator="containsText" text="OVER">
      <formula>NOT(ISERROR(SEARCH("OVER",F51)))</formula>
    </cfRule>
    <cfRule type="containsText" dxfId="64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D3D9881F-7534-49BF-9BFD-902D0BE8A6CB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B31AF-3E14-4A45-BE1C-06D454771CC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1" t="s">
        <v>1</v>
      </c>
      <c r="O1" s="221"/>
      <c r="P1" s="110" t="s">
        <v>2</v>
      </c>
      <c r="Q1" s="11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2" t="s">
        <v>7</v>
      </c>
      <c r="B4" s="173"/>
      <c r="C4" s="173"/>
      <c r="D4" s="174"/>
      <c r="F4" s="222" t="s">
        <v>8</v>
      </c>
      <c r="G4" s="224"/>
      <c r="H4" s="226" t="s">
        <v>9</v>
      </c>
      <c r="I4" s="228"/>
      <c r="J4" s="22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6" t="s">
        <v>7</v>
      </c>
      <c r="B5" s="15" t="s">
        <v>11</v>
      </c>
      <c r="C5" s="9" t="s">
        <v>12</v>
      </c>
      <c r="D5" s="25" t="s">
        <v>13</v>
      </c>
      <c r="F5" s="223"/>
      <c r="G5" s="225"/>
      <c r="H5" s="227"/>
      <c r="I5" s="230"/>
      <c r="J5" s="23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7"/>
      <c r="B6" s="16"/>
      <c r="C6" s="10"/>
      <c r="D6" s="13">
        <f t="shared" ref="D6:D28" si="1">C6*L6</f>
        <v>0</v>
      </c>
      <c r="F6" s="232" t="s">
        <v>16</v>
      </c>
      <c r="G6" s="234"/>
      <c r="H6" s="235"/>
      <c r="I6" s="235"/>
      <c r="J6" s="23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7"/>
      <c r="B7" s="16"/>
      <c r="C7" s="10"/>
      <c r="D7" s="13">
        <f t="shared" si="1"/>
        <v>0</v>
      </c>
      <c r="F7" s="233"/>
      <c r="G7" s="237"/>
      <c r="H7" s="238"/>
      <c r="I7" s="238"/>
      <c r="J7" s="23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7"/>
      <c r="B8" s="16"/>
      <c r="C8" s="10"/>
      <c r="D8" s="13">
        <f t="shared" si="1"/>
        <v>0</v>
      </c>
      <c r="F8" s="240" t="s">
        <v>21</v>
      </c>
      <c r="G8" s="241"/>
      <c r="H8" s="242"/>
      <c r="I8" s="242"/>
      <c r="J8" s="24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7"/>
      <c r="B9" s="16"/>
      <c r="C9" s="10"/>
      <c r="D9" s="13">
        <f t="shared" si="1"/>
        <v>0</v>
      </c>
      <c r="F9" s="233"/>
      <c r="G9" s="244"/>
      <c r="H9" s="245"/>
      <c r="I9" s="245"/>
      <c r="J9" s="24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7"/>
      <c r="C10" s="10"/>
      <c r="D10" s="13">
        <f t="shared" si="1"/>
        <v>0</v>
      </c>
      <c r="F10" s="232" t="s">
        <v>26</v>
      </c>
      <c r="G10" s="247"/>
      <c r="H10" s="248"/>
      <c r="I10" s="248"/>
      <c r="J10" s="249"/>
      <c r="K10" s="8"/>
      <c r="L10" s="6">
        <f>R36</f>
        <v>972</v>
      </c>
      <c r="P10" s="4"/>
      <c r="Q10" s="4"/>
      <c r="R10" s="5"/>
    </row>
    <row r="11" spans="1:19" ht="15.75" x14ac:dyDescent="0.25">
      <c r="A11" s="167"/>
      <c r="B11" s="17"/>
      <c r="C11" s="10"/>
      <c r="D11" s="13">
        <f t="shared" si="1"/>
        <v>0</v>
      </c>
      <c r="F11" s="233"/>
      <c r="G11" s="244"/>
      <c r="H11" s="245"/>
      <c r="I11" s="245"/>
      <c r="J11" s="24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7"/>
      <c r="B12" s="17"/>
      <c r="C12" s="10"/>
      <c r="D12" s="48">
        <f t="shared" si="1"/>
        <v>0</v>
      </c>
      <c r="F12" s="250" t="s">
        <v>33</v>
      </c>
      <c r="G12" s="251"/>
      <c r="H12" s="251"/>
      <c r="I12" s="251"/>
      <c r="J12" s="25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7"/>
      <c r="B13" s="17"/>
      <c r="C13" s="10"/>
      <c r="D13" s="48">
        <f t="shared" si="1"/>
        <v>0</v>
      </c>
      <c r="F13" s="253" t="s">
        <v>36</v>
      </c>
      <c r="G13" s="217"/>
      <c r="H13" s="208">
        <f>D29</f>
        <v>0</v>
      </c>
      <c r="I13" s="209"/>
      <c r="J13" s="21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7"/>
      <c r="B14" s="14"/>
      <c r="C14" s="10"/>
      <c r="D14" s="31">
        <f t="shared" si="1"/>
        <v>0</v>
      </c>
      <c r="F14" s="211" t="s">
        <v>38</v>
      </c>
      <c r="G14" s="212"/>
      <c r="H14" s="213">
        <f>D54</f>
        <v>0</v>
      </c>
      <c r="I14" s="214"/>
      <c r="J14" s="21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7"/>
      <c r="B15" s="14"/>
      <c r="C15" s="10"/>
      <c r="D15" s="31">
        <f t="shared" si="1"/>
        <v>0</v>
      </c>
      <c r="F15" s="216" t="s">
        <v>39</v>
      </c>
      <c r="G15" s="217"/>
      <c r="H15" s="218">
        <f>H13-H14</f>
        <v>0</v>
      </c>
      <c r="I15" s="219"/>
      <c r="J15" s="22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8"/>
      <c r="I16" s="178"/>
      <c r="J16" s="17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7"/>
      <c r="C17" s="10"/>
      <c r="D17" s="48">
        <f t="shared" si="1"/>
        <v>0</v>
      </c>
      <c r="F17" s="56"/>
      <c r="G17" s="66" t="s">
        <v>44</v>
      </c>
      <c r="H17" s="189"/>
      <c r="I17" s="189"/>
      <c r="J17" s="18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7"/>
      <c r="B18" s="19"/>
      <c r="C18" s="10"/>
      <c r="D18" s="48">
        <f t="shared" si="1"/>
        <v>0</v>
      </c>
      <c r="F18" s="56"/>
      <c r="G18" s="66" t="s">
        <v>46</v>
      </c>
      <c r="H18" s="189"/>
      <c r="I18" s="189"/>
      <c r="J18" s="18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7"/>
      <c r="B19" s="14"/>
      <c r="C19" s="10"/>
      <c r="D19" s="48">
        <f t="shared" si="1"/>
        <v>0</v>
      </c>
      <c r="F19" s="56"/>
      <c r="G19" s="68" t="s">
        <v>49</v>
      </c>
      <c r="H19" s="190"/>
      <c r="I19" s="190"/>
      <c r="J19" s="19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7"/>
      <c r="B20" s="46"/>
      <c r="C20" s="10"/>
      <c r="D20" s="13">
        <f t="shared" si="1"/>
        <v>0</v>
      </c>
      <c r="F20" s="57"/>
      <c r="G20" s="70" t="s">
        <v>102</v>
      </c>
      <c r="H20" s="178"/>
      <c r="I20" s="178"/>
      <c r="J20" s="17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7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91" t="s">
        <v>13</v>
      </c>
      <c r="I21" s="192"/>
      <c r="J21" s="193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7"/>
      <c r="B22" s="46"/>
      <c r="C22" s="10"/>
      <c r="D22" s="48">
        <f t="shared" si="1"/>
        <v>0</v>
      </c>
      <c r="F22" s="76"/>
      <c r="G22" s="72"/>
      <c r="H22" s="194"/>
      <c r="I22" s="194"/>
      <c r="J22" s="194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7"/>
      <c r="B23" s="14"/>
      <c r="C23" s="10"/>
      <c r="D23" s="48">
        <f t="shared" si="1"/>
        <v>0</v>
      </c>
      <c r="F23" s="77"/>
      <c r="G23" s="78"/>
      <c r="H23" s="195"/>
      <c r="I23" s="164"/>
      <c r="J23" s="16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7"/>
      <c r="B24" s="14"/>
      <c r="C24" s="10"/>
      <c r="D24" s="48">
        <f t="shared" si="1"/>
        <v>0</v>
      </c>
      <c r="F24" s="38"/>
      <c r="G24" s="37"/>
      <c r="H24" s="195"/>
      <c r="I24" s="164"/>
      <c r="J24" s="16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6" t="s">
        <v>13</v>
      </c>
      <c r="I25" s="197"/>
      <c r="J25" s="19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7"/>
      <c r="B26" s="14"/>
      <c r="C26" s="10"/>
      <c r="D26" s="48">
        <f t="shared" si="1"/>
        <v>0</v>
      </c>
      <c r="F26" s="64"/>
      <c r="G26" s="59"/>
      <c r="H26" s="199"/>
      <c r="I26" s="200"/>
      <c r="J26" s="20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7"/>
      <c r="B27" s="14"/>
      <c r="C27" s="10"/>
      <c r="D27" s="44">
        <f t="shared" si="1"/>
        <v>0</v>
      </c>
      <c r="F27" s="25"/>
      <c r="G27" s="79"/>
      <c r="H27" s="202"/>
      <c r="I27" s="203"/>
      <c r="J27" s="20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8"/>
      <c r="B28" s="46"/>
      <c r="C28" s="10"/>
      <c r="D28" s="48">
        <f t="shared" si="1"/>
        <v>0</v>
      </c>
      <c r="F28" s="111"/>
      <c r="G28" s="61"/>
      <c r="H28" s="205"/>
      <c r="I28" s="206"/>
      <c r="J28" s="20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9" t="s">
        <v>36</v>
      </c>
      <c r="B29" s="180"/>
      <c r="C29" s="181"/>
      <c r="D29" s="185">
        <f>SUM(D6:D28)</f>
        <v>0</v>
      </c>
      <c r="F29" s="125" t="s">
        <v>54</v>
      </c>
      <c r="G29" s="187"/>
      <c r="H29" s="147">
        <f>H15-H16-H17-H18-H19-H20-H22-H23-H24+H26+H27</f>
        <v>0</v>
      </c>
      <c r="I29" s="148"/>
      <c r="J29" s="14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2"/>
      <c r="B30" s="183"/>
      <c r="C30" s="184"/>
      <c r="D30" s="186"/>
      <c r="F30" s="128"/>
      <c r="G30" s="188"/>
      <c r="H30" s="150"/>
      <c r="I30" s="151"/>
      <c r="J30" s="15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2" t="s">
        <v>57</v>
      </c>
      <c r="B32" s="173"/>
      <c r="C32" s="173"/>
      <c r="D32" s="174"/>
      <c r="F32" s="175" t="s">
        <v>58</v>
      </c>
      <c r="G32" s="176"/>
      <c r="H32" s="176"/>
      <c r="I32" s="176"/>
      <c r="J32" s="17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175" t="s">
        <v>13</v>
      </c>
      <c r="I33" s="176"/>
      <c r="J33" s="17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6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69"/>
      <c r="I34" s="170"/>
      <c r="J34" s="17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7"/>
      <c r="B35" s="27" t="s">
        <v>67</v>
      </c>
      <c r="C35" s="52"/>
      <c r="D35" s="30">
        <f>C35*84</f>
        <v>0</v>
      </c>
      <c r="F35" s="58">
        <v>500</v>
      </c>
      <c r="G35" s="113"/>
      <c r="H35" s="169"/>
      <c r="I35" s="170"/>
      <c r="J35" s="17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8"/>
      <c r="B36" s="26" t="s">
        <v>69</v>
      </c>
      <c r="C36" s="10"/>
      <c r="D36" s="12">
        <f>C36*1.5</f>
        <v>0</v>
      </c>
      <c r="F36" s="12">
        <v>200</v>
      </c>
      <c r="G36" s="37"/>
      <c r="H36" s="169"/>
      <c r="I36" s="170"/>
      <c r="J36" s="17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9"/>
      <c r="I37" s="170"/>
      <c r="J37" s="17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7"/>
      <c r="B38" s="29" t="s">
        <v>67</v>
      </c>
      <c r="C38" s="54"/>
      <c r="D38" s="12">
        <f>C38*84</f>
        <v>0</v>
      </c>
      <c r="F38" s="30">
        <v>50</v>
      </c>
      <c r="G38" s="39"/>
      <c r="H38" s="169"/>
      <c r="I38" s="170"/>
      <c r="J38" s="17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8"/>
      <c r="B39" s="29" t="s">
        <v>69</v>
      </c>
      <c r="C39" s="52"/>
      <c r="D39" s="31">
        <f>C39*4.5</f>
        <v>0</v>
      </c>
      <c r="F39" s="12">
        <v>20</v>
      </c>
      <c r="G39" s="37"/>
      <c r="H39" s="169"/>
      <c r="I39" s="170"/>
      <c r="J39" s="17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6" t="s">
        <v>75</v>
      </c>
      <c r="B40" s="27" t="s">
        <v>65</v>
      </c>
      <c r="C40" s="63"/>
      <c r="D40" s="12">
        <f>C40*111</f>
        <v>0</v>
      </c>
      <c r="F40" s="12">
        <v>10</v>
      </c>
      <c r="G40" s="114"/>
      <c r="H40" s="169"/>
      <c r="I40" s="170"/>
      <c r="J40" s="17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7"/>
      <c r="B41" s="27" t="s">
        <v>67</v>
      </c>
      <c r="C41" s="10"/>
      <c r="D41" s="12">
        <f>C41*84</f>
        <v>0</v>
      </c>
      <c r="F41" s="12">
        <v>5</v>
      </c>
      <c r="G41" s="114"/>
      <c r="H41" s="169"/>
      <c r="I41" s="170"/>
      <c r="J41" s="17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8"/>
      <c r="B42" s="27" t="s">
        <v>69</v>
      </c>
      <c r="C42" s="11"/>
      <c r="D42" s="12">
        <f>C42*2.25</f>
        <v>0</v>
      </c>
      <c r="F42" s="39" t="s">
        <v>78</v>
      </c>
      <c r="G42" s="169"/>
      <c r="H42" s="170"/>
      <c r="I42" s="170"/>
      <c r="J42" s="17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9" t="s">
        <v>80</v>
      </c>
      <c r="C43" s="11"/>
      <c r="D43" s="12"/>
      <c r="F43" s="59" t="s">
        <v>81</v>
      </c>
      <c r="G43" s="109" t="s">
        <v>82</v>
      </c>
      <c r="H43" s="161" t="s">
        <v>13</v>
      </c>
      <c r="I43" s="162"/>
      <c r="J43" s="163"/>
      <c r="K43" s="21"/>
      <c r="P43" s="4"/>
      <c r="Q43" s="4"/>
      <c r="R43" s="5"/>
    </row>
    <row r="44" spans="1:18" ht="15.75" x14ac:dyDescent="0.25">
      <c r="A44" s="140"/>
      <c r="B44" s="27" t="s">
        <v>65</v>
      </c>
      <c r="C44" s="10"/>
      <c r="D44" s="12">
        <f>C44*120</f>
        <v>0</v>
      </c>
      <c r="F44" s="37"/>
      <c r="G44" s="75"/>
      <c r="H44" s="164"/>
      <c r="I44" s="164"/>
      <c r="J44" s="164"/>
      <c r="K44" s="21"/>
      <c r="P44" s="4"/>
      <c r="Q44" s="4"/>
      <c r="R44" s="5"/>
    </row>
    <row r="45" spans="1:18" ht="15.75" x14ac:dyDescent="0.25">
      <c r="A45" s="140"/>
      <c r="B45" s="27" t="s">
        <v>67</v>
      </c>
      <c r="C45" s="33"/>
      <c r="D45" s="12">
        <f>C45*84</f>
        <v>0</v>
      </c>
      <c r="F45" s="37"/>
      <c r="G45" s="75"/>
      <c r="H45" s="164"/>
      <c r="I45" s="164"/>
      <c r="J45" s="164"/>
      <c r="K45" s="21"/>
      <c r="P45" s="4"/>
      <c r="Q45" s="4"/>
      <c r="R45" s="5"/>
    </row>
    <row r="46" spans="1:18" ht="15.75" x14ac:dyDescent="0.25">
      <c r="A46" s="140"/>
      <c r="B46" s="49" t="s">
        <v>69</v>
      </c>
      <c r="C46" s="80"/>
      <c r="D46" s="12">
        <f>C46*1.5</f>
        <v>0</v>
      </c>
      <c r="F46" s="37"/>
      <c r="G46" s="62"/>
      <c r="H46" s="165"/>
      <c r="I46" s="165"/>
      <c r="J46" s="165"/>
      <c r="K46" s="21"/>
      <c r="P46" s="4"/>
      <c r="Q46" s="4"/>
      <c r="R46" s="5"/>
    </row>
    <row r="47" spans="1:18" ht="15.75" x14ac:dyDescent="0.25">
      <c r="A47" s="141"/>
      <c r="B47" s="27"/>
      <c r="C47" s="11"/>
      <c r="D47" s="12"/>
      <c r="F47" s="59"/>
      <c r="G47" s="59"/>
      <c r="H47" s="142"/>
      <c r="I47" s="143"/>
      <c r="J47" s="144"/>
      <c r="K47" s="21"/>
      <c r="P47" s="4"/>
      <c r="Q47" s="4"/>
      <c r="R47" s="5"/>
    </row>
    <row r="48" spans="1:18" ht="15" customHeight="1" x14ac:dyDescent="0.25">
      <c r="A48" s="139" t="s">
        <v>32</v>
      </c>
      <c r="B48" s="27" t="s">
        <v>65</v>
      </c>
      <c r="C48" s="10"/>
      <c r="D48" s="12">
        <f>C48*78</f>
        <v>0</v>
      </c>
      <c r="F48" s="59"/>
      <c r="G48" s="59"/>
      <c r="H48" s="142"/>
      <c r="I48" s="143"/>
      <c r="J48" s="14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0"/>
      <c r="B49" s="29" t="s">
        <v>67</v>
      </c>
      <c r="C49" s="33"/>
      <c r="D49" s="12">
        <f>C49*42</f>
        <v>0</v>
      </c>
      <c r="F49" s="145" t="s">
        <v>85</v>
      </c>
      <c r="G49" s="147">
        <f>H34+H35+H36+H37+H38+H39+H40+H41+G42+H44+H45+H46</f>
        <v>0</v>
      </c>
      <c r="H49" s="148"/>
      <c r="I49" s="148"/>
      <c r="J49" s="14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0"/>
      <c r="B50" s="32" t="s">
        <v>69</v>
      </c>
      <c r="C50" s="11"/>
      <c r="D50" s="12">
        <f>C50*1.5</f>
        <v>0</v>
      </c>
      <c r="F50" s="146"/>
      <c r="G50" s="150"/>
      <c r="H50" s="151"/>
      <c r="I50" s="151"/>
      <c r="J50" s="152"/>
      <c r="P50" s="4"/>
      <c r="Q50" s="4"/>
      <c r="R50" s="5"/>
    </row>
    <row r="51" spans="1:18" ht="15" customHeight="1" x14ac:dyDescent="0.25">
      <c r="A51" s="140"/>
      <c r="B51" s="27"/>
      <c r="C51" s="10"/>
      <c r="D51" s="31"/>
      <c r="F51" s="153" t="s">
        <v>106</v>
      </c>
      <c r="G51" s="155">
        <f>G49-H29</f>
        <v>0</v>
      </c>
      <c r="H51" s="156"/>
      <c r="I51" s="156"/>
      <c r="J51" s="15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0"/>
      <c r="B52" s="29"/>
      <c r="C52" s="33"/>
      <c r="D52" s="45"/>
      <c r="F52" s="154"/>
      <c r="G52" s="158"/>
      <c r="H52" s="159"/>
      <c r="I52" s="159"/>
      <c r="J52" s="1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5" t="s">
        <v>89</v>
      </c>
      <c r="B54" s="126"/>
      <c r="C54" s="127"/>
      <c r="D54" s="131">
        <f>SUM(D34:D53)</f>
        <v>0</v>
      </c>
      <c r="F54" s="21"/>
      <c r="J54" s="34"/>
    </row>
    <row r="55" spans="1:18" x14ac:dyDescent="0.25">
      <c r="A55" s="128"/>
      <c r="B55" s="129"/>
      <c r="C55" s="130"/>
      <c r="D55" s="13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3" t="s">
        <v>90</v>
      </c>
      <c r="B58" s="134"/>
      <c r="C58" s="134"/>
      <c r="D58" s="135"/>
      <c r="F58" s="133" t="s">
        <v>91</v>
      </c>
      <c r="G58" s="134"/>
      <c r="H58" s="134"/>
      <c r="I58" s="134"/>
      <c r="J58" s="135"/>
    </row>
    <row r="59" spans="1:18" x14ac:dyDescent="0.25">
      <c r="A59" s="136"/>
      <c r="B59" s="137"/>
      <c r="C59" s="137"/>
      <c r="D59" s="138"/>
      <c r="F59" s="136"/>
      <c r="G59" s="137"/>
      <c r="H59" s="137"/>
      <c r="I59" s="137"/>
      <c r="J59" s="13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D00D9-CAC6-42FD-A74B-F32EB719DCEA}">
  <dimension ref="A1:V68"/>
  <sheetViews>
    <sheetView topLeftCell="A28" zoomScaleNormal="100" zoomScaleSheetLayoutView="85" workbookViewId="0">
      <selection activeCell="M52" sqref="M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1" t="s">
        <v>1</v>
      </c>
      <c r="O1" s="221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2" t="s">
        <v>7</v>
      </c>
      <c r="B4" s="173"/>
      <c r="C4" s="173"/>
      <c r="D4" s="174"/>
      <c r="F4" s="222" t="s">
        <v>8</v>
      </c>
      <c r="G4" s="224">
        <v>1</v>
      </c>
      <c r="H4" s="226" t="s">
        <v>9</v>
      </c>
      <c r="I4" s="228">
        <v>46248</v>
      </c>
      <c r="J4" s="22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6" t="s">
        <v>7</v>
      </c>
      <c r="B5" s="15" t="s">
        <v>11</v>
      </c>
      <c r="C5" s="9" t="s">
        <v>12</v>
      </c>
      <c r="D5" s="25" t="s">
        <v>13</v>
      </c>
      <c r="F5" s="223"/>
      <c r="G5" s="225"/>
      <c r="H5" s="227"/>
      <c r="I5" s="230"/>
      <c r="J5" s="23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7"/>
      <c r="B6" s="16" t="s">
        <v>15</v>
      </c>
      <c r="C6" s="10">
        <v>412</v>
      </c>
      <c r="D6" s="13">
        <f t="shared" ref="D6:D28" si="1">C6*L6</f>
        <v>313532</v>
      </c>
      <c r="F6" s="232" t="s">
        <v>16</v>
      </c>
      <c r="G6" s="234" t="s">
        <v>99</v>
      </c>
      <c r="H6" s="235"/>
      <c r="I6" s="235"/>
      <c r="J6" s="2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7"/>
      <c r="B7" s="16" t="s">
        <v>18</v>
      </c>
      <c r="C7" s="10">
        <v>10</v>
      </c>
      <c r="D7" s="13">
        <f t="shared" si="1"/>
        <v>7810</v>
      </c>
      <c r="F7" s="233"/>
      <c r="G7" s="237"/>
      <c r="H7" s="238"/>
      <c r="I7" s="238"/>
      <c r="J7" s="2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7"/>
      <c r="B8" s="16" t="s">
        <v>20</v>
      </c>
      <c r="C8" s="10"/>
      <c r="D8" s="13">
        <f t="shared" si="1"/>
        <v>0</v>
      </c>
      <c r="F8" s="240" t="s">
        <v>21</v>
      </c>
      <c r="G8" s="241" t="s">
        <v>115</v>
      </c>
      <c r="H8" s="242"/>
      <c r="I8" s="242"/>
      <c r="J8" s="24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7"/>
      <c r="B9" s="16" t="s">
        <v>23</v>
      </c>
      <c r="C9" s="10">
        <v>14</v>
      </c>
      <c r="D9" s="13">
        <f t="shared" si="1"/>
        <v>10262</v>
      </c>
      <c r="F9" s="233"/>
      <c r="G9" s="244"/>
      <c r="H9" s="245"/>
      <c r="I9" s="245"/>
      <c r="J9" s="24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7"/>
      <c r="B10" t="s">
        <v>25</v>
      </c>
      <c r="C10" s="10"/>
      <c r="D10" s="13">
        <f t="shared" si="1"/>
        <v>0</v>
      </c>
      <c r="F10" s="232" t="s">
        <v>26</v>
      </c>
      <c r="G10" s="247" t="s">
        <v>108</v>
      </c>
      <c r="H10" s="248"/>
      <c r="I10" s="248"/>
      <c r="J10" s="249"/>
      <c r="K10" s="8"/>
      <c r="L10" s="6">
        <f>R36</f>
        <v>1032</v>
      </c>
      <c r="P10" s="4"/>
      <c r="Q10" s="4"/>
      <c r="R10" s="5"/>
    </row>
    <row r="11" spans="1:18" ht="15.75" x14ac:dyDescent="0.25">
      <c r="A11" s="167"/>
      <c r="B11" s="17" t="s">
        <v>28</v>
      </c>
      <c r="C11" s="10"/>
      <c r="D11" s="13">
        <f t="shared" si="1"/>
        <v>0</v>
      </c>
      <c r="F11" s="233"/>
      <c r="G11" s="244"/>
      <c r="H11" s="245"/>
      <c r="I11" s="245"/>
      <c r="J11" s="24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7"/>
      <c r="B12" s="17" t="s">
        <v>30</v>
      </c>
      <c r="C12" s="10"/>
      <c r="D12" s="48">
        <f t="shared" si="1"/>
        <v>0</v>
      </c>
      <c r="F12" s="250" t="s">
        <v>33</v>
      </c>
      <c r="G12" s="251"/>
      <c r="H12" s="251"/>
      <c r="I12" s="251"/>
      <c r="J12" s="25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7"/>
      <c r="B13" s="17" t="s">
        <v>32</v>
      </c>
      <c r="C13" s="10">
        <v>2</v>
      </c>
      <c r="D13" s="48">
        <f t="shared" si="1"/>
        <v>614</v>
      </c>
      <c r="F13" s="253" t="s">
        <v>36</v>
      </c>
      <c r="G13" s="217"/>
      <c r="H13" s="208">
        <f>D29</f>
        <v>340635.625</v>
      </c>
      <c r="I13" s="209"/>
      <c r="J13" s="21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7"/>
      <c r="B14" s="14" t="s">
        <v>35</v>
      </c>
      <c r="C14" s="10">
        <v>15</v>
      </c>
      <c r="D14" s="31">
        <f t="shared" si="1"/>
        <v>165.625</v>
      </c>
      <c r="F14" s="211" t="s">
        <v>38</v>
      </c>
      <c r="G14" s="212"/>
      <c r="H14" s="213">
        <f>D54</f>
        <v>45124.5</v>
      </c>
      <c r="I14" s="214"/>
      <c r="J14" s="215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7"/>
      <c r="B15" s="14" t="s">
        <v>117</v>
      </c>
      <c r="C15" s="10">
        <v>1</v>
      </c>
      <c r="D15" s="31">
        <f t="shared" si="1"/>
        <v>620</v>
      </c>
      <c r="F15" s="216" t="s">
        <v>39</v>
      </c>
      <c r="G15" s="217"/>
      <c r="H15" s="218">
        <f>H13-H14</f>
        <v>295511.125</v>
      </c>
      <c r="I15" s="219"/>
      <c r="J15" s="22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7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78">
        <v>1326</v>
      </c>
      <c r="I16" s="178"/>
      <c r="J16" s="17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7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9"/>
      <c r="I17" s="189"/>
      <c r="J17" s="18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7"/>
      <c r="B18" s="85" t="s">
        <v>120</v>
      </c>
      <c r="C18" s="10">
        <v>1</v>
      </c>
      <c r="D18" s="48">
        <f t="shared" si="1"/>
        <v>1102</v>
      </c>
      <c r="F18" s="56"/>
      <c r="G18" s="66" t="s">
        <v>46</v>
      </c>
      <c r="H18" s="189"/>
      <c r="I18" s="189"/>
      <c r="J18" s="18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7"/>
      <c r="B19" s="82" t="s">
        <v>105</v>
      </c>
      <c r="C19" s="10">
        <v>1</v>
      </c>
      <c r="D19" s="48">
        <f t="shared" si="1"/>
        <v>1175</v>
      </c>
      <c r="F19" s="56"/>
      <c r="G19" s="68" t="s">
        <v>49</v>
      </c>
      <c r="H19" s="178"/>
      <c r="I19" s="178"/>
      <c r="J19" s="17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7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8">
        <v>126.93</v>
      </c>
      <c r="I20" s="178"/>
      <c r="J20" s="17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7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91" t="s">
        <v>13</v>
      </c>
      <c r="I21" s="192"/>
      <c r="J21" s="19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7"/>
      <c r="B22" s="46" t="s">
        <v>103</v>
      </c>
      <c r="C22" s="10"/>
      <c r="D22" s="48">
        <f t="shared" si="1"/>
        <v>0</v>
      </c>
      <c r="F22" s="76"/>
      <c r="G22" s="72"/>
      <c r="H22" s="194"/>
      <c r="I22" s="194"/>
      <c r="J22" s="19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7"/>
      <c r="B23" s="14" t="s">
        <v>116</v>
      </c>
      <c r="C23" s="10"/>
      <c r="D23" s="48">
        <f t="shared" si="1"/>
        <v>0</v>
      </c>
      <c r="F23" s="76"/>
      <c r="G23" s="78"/>
      <c r="H23" s="259"/>
      <c r="I23" s="260"/>
      <c r="J23" s="26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7"/>
      <c r="B24" s="14" t="s">
        <v>123</v>
      </c>
      <c r="C24" s="10"/>
      <c r="D24" s="48">
        <f t="shared" si="1"/>
        <v>0</v>
      </c>
      <c r="F24" s="76"/>
      <c r="G24" s="78"/>
      <c r="H24" s="259"/>
      <c r="I24" s="260"/>
      <c r="J24" s="26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6" t="s">
        <v>13</v>
      </c>
      <c r="I25" s="197"/>
      <c r="J25" s="19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7"/>
      <c r="B26" s="14" t="s">
        <v>124</v>
      </c>
      <c r="C26" s="10"/>
      <c r="D26" s="48">
        <f t="shared" si="1"/>
        <v>0</v>
      </c>
      <c r="F26" s="74"/>
      <c r="G26" s="65"/>
      <c r="H26" s="164"/>
      <c r="I26" s="164"/>
      <c r="J26" s="16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7"/>
      <c r="B27" s="14" t="s">
        <v>125</v>
      </c>
      <c r="C27" s="10"/>
      <c r="D27" s="44">
        <f t="shared" si="1"/>
        <v>0</v>
      </c>
      <c r="F27" s="71"/>
      <c r="G27" s="109"/>
      <c r="H27" s="261"/>
      <c r="I27" s="262"/>
      <c r="J27" s="26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8"/>
      <c r="B28" s="46" t="s">
        <v>92</v>
      </c>
      <c r="C28" s="10">
        <v>5</v>
      </c>
      <c r="D28" s="48">
        <f t="shared" si="1"/>
        <v>4055</v>
      </c>
      <c r="F28" s="111"/>
      <c r="G28" s="61"/>
      <c r="H28" s="205"/>
      <c r="I28" s="206"/>
      <c r="J28" s="20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9" t="s">
        <v>36</v>
      </c>
      <c r="B29" s="180"/>
      <c r="C29" s="181"/>
      <c r="D29" s="185">
        <f>SUM(D6:D28)</f>
        <v>340635.625</v>
      </c>
      <c r="F29" s="125" t="s">
        <v>54</v>
      </c>
      <c r="G29" s="187"/>
      <c r="H29" s="147">
        <f>H15-H16-H17-H18-H19-H20-H22-H23-H24+H26+H27+H28</f>
        <v>294058.19500000001</v>
      </c>
      <c r="I29" s="148"/>
      <c r="J29" s="14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2"/>
      <c r="B30" s="183"/>
      <c r="C30" s="184"/>
      <c r="D30" s="186"/>
      <c r="F30" s="128"/>
      <c r="G30" s="188"/>
      <c r="H30" s="150"/>
      <c r="I30" s="151"/>
      <c r="J30" s="15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2" t="s">
        <v>57</v>
      </c>
      <c r="B32" s="173"/>
      <c r="C32" s="173"/>
      <c r="D32" s="174"/>
      <c r="F32" s="175" t="s">
        <v>58</v>
      </c>
      <c r="G32" s="176"/>
      <c r="H32" s="176"/>
      <c r="I32" s="176"/>
      <c r="J32" s="17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175" t="s">
        <v>13</v>
      </c>
      <c r="I33" s="176"/>
      <c r="J33" s="17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6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40">
        <v>95</v>
      </c>
      <c r="H34" s="169">
        <f t="shared" ref="H34:H39" si="2">F34*G34</f>
        <v>95000</v>
      </c>
      <c r="I34" s="170"/>
      <c r="J34" s="17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7"/>
      <c r="B35" s="27" t="s">
        <v>67</v>
      </c>
      <c r="C35" s="52"/>
      <c r="D35" s="30">
        <f>C35*84</f>
        <v>0</v>
      </c>
      <c r="F35" s="58">
        <v>500</v>
      </c>
      <c r="G35" s="113">
        <v>17</v>
      </c>
      <c r="H35" s="169">
        <f t="shared" si="2"/>
        <v>8500</v>
      </c>
      <c r="I35" s="170"/>
      <c r="J35" s="17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8"/>
      <c r="B36" s="26" t="s">
        <v>69</v>
      </c>
      <c r="C36" s="10"/>
      <c r="D36" s="12">
        <f>C36*1.5</f>
        <v>0</v>
      </c>
      <c r="F36" s="12">
        <v>200</v>
      </c>
      <c r="G36" s="37"/>
      <c r="H36" s="169">
        <f t="shared" si="2"/>
        <v>0</v>
      </c>
      <c r="I36" s="170"/>
      <c r="J36" s="17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6" t="s">
        <v>71</v>
      </c>
      <c r="B37" s="28" t="s">
        <v>65</v>
      </c>
      <c r="C37" s="53">
        <v>367</v>
      </c>
      <c r="D37" s="12">
        <f>C37*111</f>
        <v>40737</v>
      </c>
      <c r="F37" s="12">
        <v>100</v>
      </c>
      <c r="G37" s="39">
        <v>6</v>
      </c>
      <c r="H37" s="169">
        <f t="shared" si="2"/>
        <v>600</v>
      </c>
      <c r="I37" s="170"/>
      <c r="J37" s="17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7"/>
      <c r="B38" s="29" t="s">
        <v>67</v>
      </c>
      <c r="C38" s="54">
        <v>10</v>
      </c>
      <c r="D38" s="12">
        <f>C38*84</f>
        <v>840</v>
      </c>
      <c r="F38" s="30">
        <v>50</v>
      </c>
      <c r="G38" s="39">
        <v>5</v>
      </c>
      <c r="H38" s="169">
        <f t="shared" si="2"/>
        <v>250</v>
      </c>
      <c r="I38" s="170"/>
      <c r="J38" s="17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8"/>
      <c r="B39" s="29" t="s">
        <v>69</v>
      </c>
      <c r="C39" s="52">
        <v>11</v>
      </c>
      <c r="D39" s="31">
        <f>C39*4.5</f>
        <v>49.5</v>
      </c>
      <c r="F39" s="12">
        <v>20</v>
      </c>
      <c r="G39" s="37"/>
      <c r="H39" s="169">
        <f t="shared" si="2"/>
        <v>0</v>
      </c>
      <c r="I39" s="170"/>
      <c r="J39" s="17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6" t="s">
        <v>75</v>
      </c>
      <c r="B40" s="27" t="s">
        <v>65</v>
      </c>
      <c r="C40" s="63">
        <v>12</v>
      </c>
      <c r="D40" s="12">
        <f>C40*111</f>
        <v>1332</v>
      </c>
      <c r="F40" s="12">
        <v>10</v>
      </c>
      <c r="G40" s="114"/>
      <c r="H40" s="257"/>
      <c r="I40" s="258"/>
      <c r="J40" s="19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7"/>
      <c r="B41" s="27" t="s">
        <v>67</v>
      </c>
      <c r="C41" s="10">
        <v>3</v>
      </c>
      <c r="D41" s="12">
        <f>C41*84</f>
        <v>252</v>
      </c>
      <c r="F41" s="12">
        <v>5</v>
      </c>
      <c r="G41" s="114"/>
      <c r="H41" s="169"/>
      <c r="I41" s="170"/>
      <c r="J41" s="17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8"/>
      <c r="B42" s="27" t="s">
        <v>69</v>
      </c>
      <c r="C42" s="11">
        <v>22</v>
      </c>
      <c r="D42" s="12">
        <f>C42*2.25</f>
        <v>49.5</v>
      </c>
      <c r="F42" s="39" t="s">
        <v>78</v>
      </c>
      <c r="G42" s="169">
        <v>95</v>
      </c>
      <c r="H42" s="170"/>
      <c r="I42" s="170"/>
      <c r="J42" s="17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9" t="s">
        <v>80</v>
      </c>
      <c r="C43" s="11"/>
      <c r="D43" s="12"/>
      <c r="F43" s="59" t="s">
        <v>81</v>
      </c>
      <c r="G43" s="109" t="s">
        <v>82</v>
      </c>
      <c r="H43" s="161" t="s">
        <v>13</v>
      </c>
      <c r="I43" s="162"/>
      <c r="J43" s="16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0"/>
      <c r="B44" s="27" t="s">
        <v>65</v>
      </c>
      <c r="C44" s="10">
        <v>1</v>
      </c>
      <c r="D44" s="12">
        <f>C44*120</f>
        <v>120</v>
      </c>
      <c r="F44" s="37" t="s">
        <v>136</v>
      </c>
      <c r="G44" s="87" t="s">
        <v>177</v>
      </c>
      <c r="H44" s="164">
        <v>146466.5</v>
      </c>
      <c r="I44" s="164"/>
      <c r="J44" s="16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0"/>
      <c r="B45" s="27" t="s">
        <v>67</v>
      </c>
      <c r="C45" s="33"/>
      <c r="D45" s="12">
        <f>C45*84</f>
        <v>0</v>
      </c>
      <c r="F45" s="37" t="s">
        <v>133</v>
      </c>
      <c r="G45" s="108" t="s">
        <v>134</v>
      </c>
      <c r="H45" s="164">
        <v>32500</v>
      </c>
      <c r="I45" s="164"/>
      <c r="J45" s="164"/>
      <c r="K45" s="21"/>
      <c r="P45" s="4"/>
      <c r="Q45" s="4"/>
      <c r="R45" s="5"/>
    </row>
    <row r="46" spans="1:18" ht="15.75" x14ac:dyDescent="0.25">
      <c r="A46" s="140"/>
      <c r="B46" s="49" t="s">
        <v>69</v>
      </c>
      <c r="C46" s="80"/>
      <c r="D46" s="12">
        <f>C46*1.5</f>
        <v>0</v>
      </c>
      <c r="F46" s="37" t="s">
        <v>135</v>
      </c>
      <c r="G46" s="62"/>
      <c r="H46" s="164">
        <v>10000</v>
      </c>
      <c r="I46" s="164"/>
      <c r="J46" s="164"/>
      <c r="K46" s="21"/>
      <c r="P46" s="4"/>
      <c r="Q46" s="4"/>
      <c r="R46" s="5"/>
    </row>
    <row r="47" spans="1:18" ht="15.75" x14ac:dyDescent="0.25">
      <c r="A47" s="141"/>
      <c r="B47" s="27"/>
      <c r="C47" s="11"/>
      <c r="D47" s="12"/>
      <c r="F47" s="59"/>
      <c r="G47" s="59"/>
      <c r="H47" s="254"/>
      <c r="I47" s="255"/>
      <c r="J47" s="256"/>
      <c r="K47" s="21"/>
      <c r="P47" s="4"/>
      <c r="Q47" s="4"/>
      <c r="R47" s="5"/>
    </row>
    <row r="48" spans="1:18" ht="15" customHeight="1" x14ac:dyDescent="0.25">
      <c r="A48" s="139" t="s">
        <v>32</v>
      </c>
      <c r="B48" s="27" t="s">
        <v>65</v>
      </c>
      <c r="C48" s="10">
        <v>9</v>
      </c>
      <c r="D48" s="12">
        <f>C48*78</f>
        <v>702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0"/>
      <c r="B49" s="29" t="s">
        <v>67</v>
      </c>
      <c r="C49" s="33">
        <v>18</v>
      </c>
      <c r="D49" s="12">
        <f>C49*42</f>
        <v>756</v>
      </c>
      <c r="F49" s="145" t="s">
        <v>85</v>
      </c>
      <c r="G49" s="147">
        <f>H34+H35+H36+H37+H38+H39+H40+H41+G42+H44+H45+H46+H47+H48</f>
        <v>293411.5</v>
      </c>
      <c r="H49" s="148"/>
      <c r="I49" s="148"/>
      <c r="J49" s="14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0"/>
      <c r="B50" s="32" t="s">
        <v>69</v>
      </c>
      <c r="C50" s="11">
        <v>31</v>
      </c>
      <c r="D50" s="12">
        <f>C50*1.5</f>
        <v>46.5</v>
      </c>
      <c r="F50" s="146"/>
      <c r="G50" s="150"/>
      <c r="H50" s="151"/>
      <c r="I50" s="151"/>
      <c r="J50" s="152"/>
      <c r="O50" t="s">
        <v>112</v>
      </c>
      <c r="P50" s="4">
        <v>1204</v>
      </c>
      <c r="Q50" s="4"/>
      <c r="R50" s="5"/>
    </row>
    <row r="51" spans="1:18" ht="15" customHeight="1" x14ac:dyDescent="0.25">
      <c r="A51" s="140"/>
      <c r="B51" s="27"/>
      <c r="C51" s="10"/>
      <c r="D51" s="31"/>
      <c r="F51" s="153" t="str">
        <f>_xlfn.IFS(H29&gt;G49,"SHORT",H29&lt;G49,"OVER",H29&lt;=G49,"-")</f>
        <v>SHORT</v>
      </c>
      <c r="G51" s="155">
        <f>G49-H29</f>
        <v>-646.69500000000698</v>
      </c>
      <c r="H51" s="156"/>
      <c r="I51" s="156"/>
      <c r="J51" s="1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0"/>
      <c r="B52" s="29"/>
      <c r="C52" s="33"/>
      <c r="D52" s="45"/>
      <c r="F52" s="154"/>
      <c r="G52" s="158"/>
      <c r="H52" s="159"/>
      <c r="I52" s="159"/>
      <c r="J52" s="1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5" t="s">
        <v>89</v>
      </c>
      <c r="B54" s="126"/>
      <c r="C54" s="127"/>
      <c r="D54" s="131">
        <f>SUM(D34:D53)</f>
        <v>45124.5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8"/>
      <c r="B55" s="129"/>
      <c r="C55" s="130"/>
      <c r="D55" s="13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33" t="s">
        <v>90</v>
      </c>
      <c r="B58" s="134"/>
      <c r="C58" s="134"/>
      <c r="D58" s="135"/>
      <c r="F58" s="133" t="s">
        <v>91</v>
      </c>
      <c r="G58" s="134"/>
      <c r="H58" s="134"/>
      <c r="I58" s="134"/>
      <c r="J58" s="135"/>
    </row>
    <row r="59" spans="1:18" x14ac:dyDescent="0.25">
      <c r="A59" s="136"/>
      <c r="B59" s="137"/>
      <c r="C59" s="137"/>
      <c r="D59" s="138"/>
      <c r="F59" s="136"/>
      <c r="G59" s="137"/>
      <c r="H59" s="137"/>
      <c r="I59" s="137"/>
      <c r="J59" s="138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62" priority="1" operator="containsText" text="OVER">
      <formula>NOT(ISERROR(SEARCH("OVER",F51)))</formula>
    </cfRule>
    <cfRule type="containsText" dxfId="61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E4655724-70BE-4296-B156-BE6A5C025B45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453000-1A67-4BA5-AA00-70EB39D67C2A}">
  <dimension ref="A1:R59"/>
  <sheetViews>
    <sheetView topLeftCell="A19" zoomScaleNormal="100" zoomScaleSheetLayoutView="85" workbookViewId="0">
      <selection activeCell="A54" sqref="A54:C5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1" t="s">
        <v>1</v>
      </c>
      <c r="O1" s="221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2" t="s">
        <v>7</v>
      </c>
      <c r="B4" s="173"/>
      <c r="C4" s="173"/>
      <c r="D4" s="174"/>
      <c r="F4" s="222" t="s">
        <v>8</v>
      </c>
      <c r="G4" s="224">
        <v>2</v>
      </c>
      <c r="H4" s="226" t="s">
        <v>9</v>
      </c>
      <c r="I4" s="228">
        <v>46248</v>
      </c>
      <c r="J4" s="22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6" t="s">
        <v>7</v>
      </c>
      <c r="B5" s="15" t="s">
        <v>11</v>
      </c>
      <c r="C5" s="9" t="s">
        <v>12</v>
      </c>
      <c r="D5" s="25" t="s">
        <v>13</v>
      </c>
      <c r="F5" s="223"/>
      <c r="G5" s="225"/>
      <c r="H5" s="227"/>
      <c r="I5" s="230"/>
      <c r="J5" s="23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7"/>
      <c r="B6" s="16" t="s">
        <v>15</v>
      </c>
      <c r="C6" s="10">
        <v>288</v>
      </c>
      <c r="D6" s="13">
        <f t="shared" ref="D6:D28" si="1">C6*L6</f>
        <v>219168</v>
      </c>
      <c r="F6" s="232" t="s">
        <v>16</v>
      </c>
      <c r="G6" s="234" t="s">
        <v>107</v>
      </c>
      <c r="H6" s="235"/>
      <c r="I6" s="235"/>
      <c r="J6" s="2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7"/>
      <c r="B7" s="16" t="s">
        <v>18</v>
      </c>
      <c r="C7" s="10">
        <v>2</v>
      </c>
      <c r="D7" s="13">
        <f t="shared" si="1"/>
        <v>1562</v>
      </c>
      <c r="F7" s="233"/>
      <c r="G7" s="237"/>
      <c r="H7" s="238"/>
      <c r="I7" s="238"/>
      <c r="J7" s="2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7"/>
      <c r="B8" s="16" t="s">
        <v>20</v>
      </c>
      <c r="C8" s="10"/>
      <c r="D8" s="13">
        <f t="shared" si="1"/>
        <v>0</v>
      </c>
      <c r="F8" s="240" t="s">
        <v>21</v>
      </c>
      <c r="G8" s="241" t="s">
        <v>100</v>
      </c>
      <c r="H8" s="242"/>
      <c r="I8" s="242"/>
      <c r="J8" s="24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7"/>
      <c r="B9" s="16" t="s">
        <v>23</v>
      </c>
      <c r="C9" s="10">
        <v>10</v>
      </c>
      <c r="D9" s="13">
        <f t="shared" si="1"/>
        <v>7330</v>
      </c>
      <c r="F9" s="233"/>
      <c r="G9" s="244"/>
      <c r="H9" s="245"/>
      <c r="I9" s="245"/>
      <c r="J9" s="24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7"/>
      <c r="B10" t="s">
        <v>25</v>
      </c>
      <c r="C10" s="10"/>
      <c r="D10" s="13">
        <f t="shared" si="1"/>
        <v>0</v>
      </c>
      <c r="F10" s="232" t="s">
        <v>26</v>
      </c>
      <c r="G10" s="247" t="s">
        <v>101</v>
      </c>
      <c r="H10" s="248"/>
      <c r="I10" s="248"/>
      <c r="J10" s="249"/>
      <c r="K10" s="8"/>
      <c r="L10" s="6">
        <f>R36</f>
        <v>1032</v>
      </c>
      <c r="P10" s="4"/>
      <c r="Q10" s="4"/>
      <c r="R10" s="5"/>
    </row>
    <row r="11" spans="1:18" ht="15.75" x14ac:dyDescent="0.25">
      <c r="A11" s="167"/>
      <c r="B11" s="17" t="s">
        <v>28</v>
      </c>
      <c r="C11" s="10"/>
      <c r="D11" s="13">
        <f t="shared" si="1"/>
        <v>0</v>
      </c>
      <c r="F11" s="233"/>
      <c r="G11" s="244"/>
      <c r="H11" s="245"/>
      <c r="I11" s="245"/>
      <c r="J11" s="24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7"/>
      <c r="B12" s="17" t="s">
        <v>30</v>
      </c>
      <c r="C12" s="10"/>
      <c r="D12" s="48">
        <f t="shared" si="1"/>
        <v>0</v>
      </c>
      <c r="F12" s="250" t="s">
        <v>33</v>
      </c>
      <c r="G12" s="251"/>
      <c r="H12" s="251"/>
      <c r="I12" s="251"/>
      <c r="J12" s="25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7"/>
      <c r="B13" s="17" t="s">
        <v>32</v>
      </c>
      <c r="C13" s="10">
        <v>9</v>
      </c>
      <c r="D13" s="48">
        <f t="shared" si="1"/>
        <v>2763</v>
      </c>
      <c r="F13" s="253" t="s">
        <v>36</v>
      </c>
      <c r="G13" s="217"/>
      <c r="H13" s="208">
        <f>D29</f>
        <v>230845.08333333334</v>
      </c>
      <c r="I13" s="209"/>
      <c r="J13" s="21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7"/>
      <c r="B14" s="14" t="s">
        <v>35</v>
      </c>
      <c r="C14" s="10">
        <v>2</v>
      </c>
      <c r="D14" s="31">
        <f t="shared" si="1"/>
        <v>22.083333333333332</v>
      </c>
      <c r="F14" s="211" t="s">
        <v>38</v>
      </c>
      <c r="G14" s="212"/>
      <c r="H14" s="213">
        <f>D54</f>
        <v>30505.5</v>
      </c>
      <c r="I14" s="214"/>
      <c r="J14" s="215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7"/>
      <c r="B15" s="14" t="s">
        <v>117</v>
      </c>
      <c r="C15" s="10"/>
      <c r="D15" s="31">
        <f t="shared" si="1"/>
        <v>0</v>
      </c>
      <c r="F15" s="216" t="s">
        <v>39</v>
      </c>
      <c r="G15" s="217"/>
      <c r="H15" s="218">
        <f>H13-H14</f>
        <v>200339.58333333334</v>
      </c>
      <c r="I15" s="219"/>
      <c r="J15" s="22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7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8">
        <v>1248</v>
      </c>
      <c r="I16" s="178"/>
      <c r="J16" s="17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7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9"/>
      <c r="I17" s="189"/>
      <c r="J17" s="18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7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9"/>
      <c r="I18" s="189"/>
      <c r="J18" s="18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7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3"/>
      <c r="I19" s="263"/>
      <c r="J19" s="26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7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8"/>
      <c r="I20" s="178"/>
      <c r="J20" s="17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7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91" t="s">
        <v>13</v>
      </c>
      <c r="I21" s="192"/>
      <c r="J21" s="193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7"/>
      <c r="B22" s="46" t="s">
        <v>103</v>
      </c>
      <c r="C22" s="10"/>
      <c r="D22" s="48">
        <f t="shared" si="1"/>
        <v>0</v>
      </c>
      <c r="F22" s="76"/>
      <c r="G22" s="72"/>
      <c r="H22" s="194"/>
      <c r="I22" s="194"/>
      <c r="J22" s="19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7"/>
      <c r="B23" s="14" t="s">
        <v>116</v>
      </c>
      <c r="C23" s="10"/>
      <c r="D23" s="48">
        <f t="shared" si="1"/>
        <v>0</v>
      </c>
      <c r="F23" s="77"/>
      <c r="G23" s="78"/>
      <c r="H23" s="264"/>
      <c r="I23" s="194"/>
      <c r="J23" s="19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7"/>
      <c r="B24" s="14" t="s">
        <v>123</v>
      </c>
      <c r="C24" s="10"/>
      <c r="D24" s="48">
        <f t="shared" si="1"/>
        <v>0</v>
      </c>
      <c r="F24" s="38"/>
      <c r="G24" s="37"/>
      <c r="H24" s="195"/>
      <c r="I24" s="164"/>
      <c r="J24" s="16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6" t="s">
        <v>13</v>
      </c>
      <c r="I25" s="197"/>
      <c r="J25" s="19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7"/>
      <c r="B26" s="14" t="s">
        <v>124</v>
      </c>
      <c r="C26" s="10"/>
      <c r="D26" s="48">
        <f t="shared" si="1"/>
        <v>0</v>
      </c>
      <c r="F26" s="64"/>
      <c r="G26" s="59"/>
      <c r="H26" s="199"/>
      <c r="I26" s="200"/>
      <c r="J26" s="20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7"/>
      <c r="B27" s="14" t="s">
        <v>125</v>
      </c>
      <c r="C27" s="10"/>
      <c r="D27" s="44">
        <f t="shared" si="1"/>
        <v>0</v>
      </c>
      <c r="F27" s="25"/>
      <c r="G27" s="79"/>
      <c r="H27" s="202"/>
      <c r="I27" s="203"/>
      <c r="J27" s="20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8"/>
      <c r="B28" s="46" t="s">
        <v>92</v>
      </c>
      <c r="C28" s="10"/>
      <c r="D28" s="48">
        <f t="shared" si="1"/>
        <v>0</v>
      </c>
      <c r="F28" s="111"/>
      <c r="G28" s="61"/>
      <c r="H28" s="205"/>
      <c r="I28" s="206"/>
      <c r="J28" s="20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9" t="s">
        <v>36</v>
      </c>
      <c r="B29" s="180"/>
      <c r="C29" s="181"/>
      <c r="D29" s="185">
        <f>SUM(D6:D28)</f>
        <v>230845.08333333334</v>
      </c>
      <c r="F29" s="125" t="s">
        <v>54</v>
      </c>
      <c r="G29" s="187"/>
      <c r="H29" s="147">
        <f>H15-H16-H17-H18-H19-H20-H22-H23-H24+H26+H27</f>
        <v>199091.58333333334</v>
      </c>
      <c r="I29" s="148"/>
      <c r="J29" s="14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2"/>
      <c r="B30" s="183"/>
      <c r="C30" s="184"/>
      <c r="D30" s="186"/>
      <c r="F30" s="128"/>
      <c r="G30" s="188"/>
      <c r="H30" s="150"/>
      <c r="I30" s="151"/>
      <c r="J30" s="15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2" t="s">
        <v>57</v>
      </c>
      <c r="B32" s="173"/>
      <c r="C32" s="173"/>
      <c r="D32" s="174"/>
      <c r="F32" s="175" t="s">
        <v>58</v>
      </c>
      <c r="G32" s="176"/>
      <c r="H32" s="176"/>
      <c r="I32" s="176"/>
      <c r="J32" s="17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175" t="s">
        <v>13</v>
      </c>
      <c r="I33" s="176"/>
      <c r="J33" s="17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6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112</v>
      </c>
      <c r="H34" s="169">
        <f>F34*G34</f>
        <v>112000</v>
      </c>
      <c r="I34" s="170"/>
      <c r="J34" s="17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7"/>
      <c r="B35" s="27" t="s">
        <v>67</v>
      </c>
      <c r="C35" s="52"/>
      <c r="D35" s="30">
        <f>C35*84</f>
        <v>0</v>
      </c>
      <c r="F35" s="58">
        <v>500</v>
      </c>
      <c r="G35" s="113">
        <v>22</v>
      </c>
      <c r="H35" s="169">
        <f>F35*G35</f>
        <v>11000</v>
      </c>
      <c r="I35" s="170"/>
      <c r="J35" s="17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8"/>
      <c r="B36" s="26" t="s">
        <v>69</v>
      </c>
      <c r="C36" s="10"/>
      <c r="D36" s="12">
        <f>C36*1.5</f>
        <v>0</v>
      </c>
      <c r="F36" s="12">
        <v>200</v>
      </c>
      <c r="G36" s="37"/>
      <c r="H36" s="169">
        <f t="shared" ref="H36:H39" si="2">F36*G36</f>
        <v>0</v>
      </c>
      <c r="I36" s="170"/>
      <c r="J36" s="17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6" t="s">
        <v>71</v>
      </c>
      <c r="B37" s="28" t="s">
        <v>65</v>
      </c>
      <c r="C37" s="53">
        <v>258</v>
      </c>
      <c r="D37" s="12">
        <f>C37*111</f>
        <v>28638</v>
      </c>
      <c r="F37" s="12">
        <v>100</v>
      </c>
      <c r="G37" s="39">
        <v>14</v>
      </c>
      <c r="H37" s="169">
        <f t="shared" si="2"/>
        <v>1400</v>
      </c>
      <c r="I37" s="170"/>
      <c r="J37" s="17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7"/>
      <c r="B38" s="29" t="s">
        <v>67</v>
      </c>
      <c r="C38" s="54">
        <v>10</v>
      </c>
      <c r="D38" s="12">
        <f>C38*84</f>
        <v>840</v>
      </c>
      <c r="F38" s="30">
        <v>50</v>
      </c>
      <c r="G38" s="39"/>
      <c r="H38" s="169">
        <f t="shared" si="2"/>
        <v>0</v>
      </c>
      <c r="I38" s="170"/>
      <c r="J38" s="17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8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169">
        <f t="shared" si="2"/>
        <v>0</v>
      </c>
      <c r="I39" s="170"/>
      <c r="J39" s="17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6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114"/>
      <c r="H40" s="169"/>
      <c r="I40" s="170"/>
      <c r="J40" s="17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7"/>
      <c r="B41" s="27" t="s">
        <v>67</v>
      </c>
      <c r="C41" s="10">
        <v>2</v>
      </c>
      <c r="D41" s="12">
        <f>C41*84</f>
        <v>168</v>
      </c>
      <c r="F41" s="12">
        <v>5</v>
      </c>
      <c r="G41" s="114"/>
      <c r="H41" s="169"/>
      <c r="I41" s="170"/>
      <c r="J41" s="17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8"/>
      <c r="B42" s="27" t="s">
        <v>69</v>
      </c>
      <c r="C42" s="11">
        <v>4</v>
      </c>
      <c r="D42" s="12">
        <f>C42*2.25</f>
        <v>9</v>
      </c>
      <c r="F42" s="39" t="s">
        <v>78</v>
      </c>
      <c r="G42" s="169">
        <v>115</v>
      </c>
      <c r="H42" s="170"/>
      <c r="I42" s="170"/>
      <c r="J42" s="17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9" t="s">
        <v>80</v>
      </c>
      <c r="C43" s="11"/>
      <c r="D43" s="12"/>
      <c r="F43" s="59" t="s">
        <v>81</v>
      </c>
      <c r="G43" s="109" t="s">
        <v>82</v>
      </c>
      <c r="H43" s="161" t="s">
        <v>13</v>
      </c>
      <c r="I43" s="162"/>
      <c r="J43" s="16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0"/>
      <c r="B44" s="27" t="s">
        <v>65</v>
      </c>
      <c r="C44" s="10"/>
      <c r="D44" s="12">
        <f>C44*120</f>
        <v>0</v>
      </c>
      <c r="F44" s="37" t="s">
        <v>136</v>
      </c>
      <c r="G44" s="62" t="s">
        <v>178</v>
      </c>
      <c r="H44" s="164">
        <v>69092</v>
      </c>
      <c r="I44" s="164"/>
      <c r="J44" s="16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0"/>
      <c r="B45" s="27" t="s">
        <v>67</v>
      </c>
      <c r="C45" s="33">
        <v>1</v>
      </c>
      <c r="D45" s="12">
        <f>C45*84</f>
        <v>84</v>
      </c>
      <c r="F45" s="37"/>
      <c r="G45" s="75"/>
      <c r="H45" s="164"/>
      <c r="I45" s="164"/>
      <c r="J45" s="164"/>
      <c r="K45" s="21"/>
      <c r="P45" s="4"/>
      <c r="Q45" s="4"/>
      <c r="R45" s="5"/>
    </row>
    <row r="46" spans="1:18" ht="15.75" x14ac:dyDescent="0.25">
      <c r="A46" s="140"/>
      <c r="B46" s="49" t="s">
        <v>69</v>
      </c>
      <c r="C46" s="80">
        <v>10</v>
      </c>
      <c r="D46" s="12">
        <f>C46*1.5</f>
        <v>15</v>
      </c>
      <c r="F46" s="37"/>
      <c r="G46" s="62"/>
      <c r="H46" s="164"/>
      <c r="I46" s="164"/>
      <c r="J46" s="164"/>
      <c r="K46" s="21"/>
      <c r="P46" s="4"/>
      <c r="Q46" s="4"/>
      <c r="R46" s="5"/>
    </row>
    <row r="47" spans="1:18" ht="15.75" x14ac:dyDescent="0.25">
      <c r="A47" s="141"/>
      <c r="B47" s="27"/>
      <c r="C47" s="11"/>
      <c r="D47" s="12"/>
      <c r="F47" s="59"/>
      <c r="G47" s="59"/>
      <c r="H47" s="164"/>
      <c r="I47" s="164"/>
      <c r="J47" s="164"/>
      <c r="K47" s="21"/>
      <c r="P47" s="4"/>
      <c r="Q47" s="4"/>
      <c r="R47" s="5"/>
    </row>
    <row r="48" spans="1:18" ht="15" customHeight="1" x14ac:dyDescent="0.25">
      <c r="A48" s="139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0"/>
      <c r="B49" s="29" t="s">
        <v>67</v>
      </c>
      <c r="C49" s="33">
        <v>3</v>
      </c>
      <c r="D49" s="12">
        <f>C49*42</f>
        <v>126</v>
      </c>
      <c r="F49" s="145" t="s">
        <v>85</v>
      </c>
      <c r="G49" s="147">
        <f>H34+H35+H36+H37+H38+H39+H40+H41+G42+H44+H45+H46+H47+H48</f>
        <v>193607</v>
      </c>
      <c r="H49" s="148"/>
      <c r="I49" s="148"/>
      <c r="J49" s="14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0"/>
      <c r="B50" s="32" t="s">
        <v>69</v>
      </c>
      <c r="C50" s="80">
        <v>3</v>
      </c>
      <c r="D50" s="12">
        <f>C50*1.5</f>
        <v>4.5</v>
      </c>
      <c r="F50" s="146"/>
      <c r="G50" s="150"/>
      <c r="H50" s="151"/>
      <c r="I50" s="151"/>
      <c r="J50" s="152"/>
      <c r="O50" t="s">
        <v>112</v>
      </c>
      <c r="P50" s="4">
        <v>1204</v>
      </c>
      <c r="Q50" s="4"/>
      <c r="R50" s="5"/>
    </row>
    <row r="51" spans="1:18" ht="15" customHeight="1" x14ac:dyDescent="0.25">
      <c r="A51" s="140"/>
      <c r="B51" s="27"/>
      <c r="C51" s="10"/>
      <c r="D51" s="31"/>
      <c r="F51" s="153" t="str">
        <f>_xlfn.IFS(H29&gt;G49,"SHORT",H29&lt;G49,"OVER",H29&lt;=G49,"-")</f>
        <v>SHORT</v>
      </c>
      <c r="G51" s="155">
        <f>G49-H29</f>
        <v>-5484.583333333343</v>
      </c>
      <c r="H51" s="156"/>
      <c r="I51" s="156"/>
      <c r="J51" s="1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140"/>
      <c r="B52" s="29"/>
      <c r="C52" s="33"/>
      <c r="D52" s="45"/>
      <c r="F52" s="154"/>
      <c r="G52" s="158"/>
      <c r="H52" s="159"/>
      <c r="I52" s="159"/>
      <c r="J52" s="1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5" t="s">
        <v>89</v>
      </c>
      <c r="B54" s="126"/>
      <c r="C54" s="127"/>
      <c r="D54" s="131">
        <f>SUM(D34:D53)</f>
        <v>30505.5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8"/>
      <c r="B55" s="129"/>
      <c r="C55" s="130"/>
      <c r="D55" s="13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133" t="s">
        <v>90</v>
      </c>
      <c r="B58" s="134"/>
      <c r="C58" s="134"/>
      <c r="D58" s="135"/>
      <c r="F58" s="133" t="s">
        <v>91</v>
      </c>
      <c r="G58" s="134"/>
      <c r="H58" s="134"/>
      <c r="I58" s="134"/>
      <c r="J58" s="135"/>
    </row>
    <row r="59" spans="1:18" x14ac:dyDescent="0.25">
      <c r="A59" s="136"/>
      <c r="B59" s="137"/>
      <c r="C59" s="137"/>
      <c r="D59" s="138"/>
      <c r="F59" s="136"/>
      <c r="G59" s="137"/>
      <c r="H59" s="137"/>
      <c r="I59" s="137"/>
      <c r="J59" s="13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59" priority="1" operator="containsText" text="OVER">
      <formula>NOT(ISERROR(SEARCH("OVER",F51)))</formula>
    </cfRule>
    <cfRule type="containsText" dxfId="58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7AD6BEAB-338E-4811-AE81-24A6ECE5E4D9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73CCC8-E792-4B8E-AB4B-314522F17E80}">
  <dimension ref="A1:R59"/>
  <sheetViews>
    <sheetView topLeftCell="A28" zoomScaleNormal="100" zoomScaleSheetLayoutView="85" workbookViewId="0">
      <selection activeCell="L45" sqref="L4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1" t="s">
        <v>1</v>
      </c>
      <c r="O1" s="221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2" t="s">
        <v>7</v>
      </c>
      <c r="B4" s="173"/>
      <c r="C4" s="173"/>
      <c r="D4" s="174"/>
      <c r="F4" s="222" t="s">
        <v>8</v>
      </c>
      <c r="G4" s="224">
        <v>3</v>
      </c>
      <c r="H4" s="226" t="s">
        <v>9</v>
      </c>
      <c r="I4" s="228">
        <v>46248</v>
      </c>
      <c r="J4" s="22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6" t="s">
        <v>7</v>
      </c>
      <c r="B5" s="15" t="s">
        <v>11</v>
      </c>
      <c r="C5" s="9" t="s">
        <v>12</v>
      </c>
      <c r="D5" s="25" t="s">
        <v>13</v>
      </c>
      <c r="F5" s="223"/>
      <c r="G5" s="225"/>
      <c r="H5" s="227"/>
      <c r="I5" s="230"/>
      <c r="J5" s="23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7"/>
      <c r="B6" s="16" t="s">
        <v>15</v>
      </c>
      <c r="C6" s="10">
        <v>506</v>
      </c>
      <c r="D6" s="13">
        <f t="shared" ref="D6:D28" si="1">C6*L6</f>
        <v>385066</v>
      </c>
      <c r="F6" s="232" t="s">
        <v>16</v>
      </c>
      <c r="G6" s="234" t="s">
        <v>142</v>
      </c>
      <c r="H6" s="235"/>
      <c r="I6" s="235"/>
      <c r="J6" s="2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7"/>
      <c r="B7" s="16" t="s">
        <v>18</v>
      </c>
      <c r="C7" s="10">
        <v>25</v>
      </c>
      <c r="D7" s="13">
        <f t="shared" si="1"/>
        <v>19525</v>
      </c>
      <c r="F7" s="233"/>
      <c r="G7" s="237"/>
      <c r="H7" s="238"/>
      <c r="I7" s="238"/>
      <c r="J7" s="2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7"/>
      <c r="B8" s="16" t="s">
        <v>20</v>
      </c>
      <c r="C8" s="10">
        <v>1</v>
      </c>
      <c r="D8" s="13">
        <f t="shared" si="1"/>
        <v>1093</v>
      </c>
      <c r="F8" s="240" t="s">
        <v>21</v>
      </c>
      <c r="G8" s="241" t="s">
        <v>109</v>
      </c>
      <c r="H8" s="242"/>
      <c r="I8" s="242"/>
      <c r="J8" s="24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7"/>
      <c r="B9" s="16" t="s">
        <v>23</v>
      </c>
      <c r="C9" s="10">
        <v>80</v>
      </c>
      <c r="D9" s="13">
        <f t="shared" si="1"/>
        <v>58640</v>
      </c>
      <c r="F9" s="233"/>
      <c r="G9" s="244"/>
      <c r="H9" s="245"/>
      <c r="I9" s="245"/>
      <c r="J9" s="24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7"/>
      <c r="B10" t="s">
        <v>25</v>
      </c>
      <c r="C10" s="10">
        <v>1</v>
      </c>
      <c r="D10" s="13">
        <f t="shared" si="1"/>
        <v>1032</v>
      </c>
      <c r="F10" s="232" t="s">
        <v>26</v>
      </c>
      <c r="G10" s="247" t="s">
        <v>119</v>
      </c>
      <c r="H10" s="248"/>
      <c r="I10" s="248"/>
      <c r="J10" s="249"/>
      <c r="K10" s="8"/>
      <c r="L10" s="6">
        <f>R36</f>
        <v>1032</v>
      </c>
      <c r="P10" s="4"/>
      <c r="Q10" s="4"/>
      <c r="R10" s="5"/>
    </row>
    <row r="11" spans="1:18" ht="15.75" x14ac:dyDescent="0.25">
      <c r="A11" s="167"/>
      <c r="B11" s="17" t="s">
        <v>28</v>
      </c>
      <c r="C11" s="10"/>
      <c r="D11" s="13">
        <f t="shared" si="1"/>
        <v>0</v>
      </c>
      <c r="F11" s="233"/>
      <c r="G11" s="244"/>
      <c r="H11" s="245"/>
      <c r="I11" s="245"/>
      <c r="J11" s="24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7"/>
      <c r="B12" s="17" t="s">
        <v>30</v>
      </c>
      <c r="C12" s="10"/>
      <c r="D12" s="48">
        <f t="shared" si="1"/>
        <v>0</v>
      </c>
      <c r="F12" s="250" t="s">
        <v>33</v>
      </c>
      <c r="G12" s="251"/>
      <c r="H12" s="251"/>
      <c r="I12" s="251"/>
      <c r="J12" s="25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7"/>
      <c r="B13" s="17" t="s">
        <v>32</v>
      </c>
      <c r="C13" s="10">
        <v>17</v>
      </c>
      <c r="D13" s="48">
        <f t="shared" si="1"/>
        <v>5219</v>
      </c>
      <c r="F13" s="253" t="s">
        <v>36</v>
      </c>
      <c r="G13" s="217"/>
      <c r="H13" s="208">
        <f>D29</f>
        <v>481855.20833333331</v>
      </c>
      <c r="I13" s="209"/>
      <c r="J13" s="21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7"/>
      <c r="B14" s="14" t="s">
        <v>35</v>
      </c>
      <c r="C14" s="10">
        <v>5</v>
      </c>
      <c r="D14" s="31">
        <f t="shared" si="1"/>
        <v>55.208333333333329</v>
      </c>
      <c r="F14" s="211" t="s">
        <v>38</v>
      </c>
      <c r="G14" s="212"/>
      <c r="H14" s="213">
        <f>D54</f>
        <v>77481</v>
      </c>
      <c r="I14" s="214"/>
      <c r="J14" s="215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7"/>
      <c r="B15" s="14" t="s">
        <v>117</v>
      </c>
      <c r="C15" s="10"/>
      <c r="D15" s="31">
        <f t="shared" si="1"/>
        <v>0</v>
      </c>
      <c r="F15" s="216" t="s">
        <v>39</v>
      </c>
      <c r="G15" s="217"/>
      <c r="H15" s="218">
        <f>H13-H14</f>
        <v>404374.20833333331</v>
      </c>
      <c r="I15" s="219"/>
      <c r="J15" s="22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7"/>
      <c r="B16" s="18" t="s">
        <v>110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78">
        <v>3528</v>
      </c>
      <c r="I16" s="178"/>
      <c r="J16" s="17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7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9"/>
      <c r="I17" s="189"/>
      <c r="J17" s="18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7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9"/>
      <c r="I18" s="189"/>
      <c r="J18" s="18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7"/>
      <c r="B19" s="86" t="s">
        <v>105</v>
      </c>
      <c r="C19" s="10">
        <f>3+3+3</f>
        <v>9</v>
      </c>
      <c r="D19" s="48">
        <f t="shared" si="1"/>
        <v>10575</v>
      </c>
      <c r="F19" s="56"/>
      <c r="G19" s="68" t="s">
        <v>49</v>
      </c>
      <c r="H19" s="263"/>
      <c r="I19" s="263"/>
      <c r="J19" s="26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7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8"/>
      <c r="I20" s="178"/>
      <c r="J20" s="17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7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191" t="s">
        <v>13</v>
      </c>
      <c r="I21" s="192"/>
      <c r="J21" s="19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7"/>
      <c r="B22" s="46" t="s">
        <v>103</v>
      </c>
      <c r="C22" s="10"/>
      <c r="D22" s="48">
        <f t="shared" si="1"/>
        <v>0</v>
      </c>
      <c r="F22" s="76"/>
      <c r="G22" s="72"/>
      <c r="H22" s="194"/>
      <c r="I22" s="194"/>
      <c r="J22" s="19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7"/>
      <c r="B23" s="14" t="s">
        <v>116</v>
      </c>
      <c r="C23" s="10"/>
      <c r="D23" s="48">
        <f t="shared" si="1"/>
        <v>0</v>
      </c>
      <c r="F23" s="77"/>
      <c r="G23" s="78"/>
      <c r="H23" s="264"/>
      <c r="I23" s="194"/>
      <c r="J23" s="19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7"/>
      <c r="B24" s="14" t="s">
        <v>123</v>
      </c>
      <c r="C24" s="10"/>
      <c r="D24" s="48">
        <f t="shared" si="1"/>
        <v>0</v>
      </c>
      <c r="F24" s="38"/>
      <c r="G24" s="37"/>
      <c r="H24" s="195"/>
      <c r="I24" s="164"/>
      <c r="J24" s="16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6" t="s">
        <v>13</v>
      </c>
      <c r="I25" s="197"/>
      <c r="J25" s="19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7"/>
      <c r="B26" s="14" t="s">
        <v>124</v>
      </c>
      <c r="C26" s="10"/>
      <c r="D26" s="48">
        <f t="shared" si="1"/>
        <v>0</v>
      </c>
      <c r="F26" s="64"/>
      <c r="G26" s="59"/>
      <c r="H26" s="199"/>
      <c r="I26" s="200"/>
      <c r="J26" s="20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7"/>
      <c r="B27" s="14" t="s">
        <v>125</v>
      </c>
      <c r="C27" s="10"/>
      <c r="D27" s="44">
        <f t="shared" si="1"/>
        <v>0</v>
      </c>
      <c r="F27" s="25"/>
      <c r="G27" s="79"/>
      <c r="H27" s="202"/>
      <c r="I27" s="203"/>
      <c r="J27" s="20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8"/>
      <c r="B28" s="46" t="s">
        <v>92</v>
      </c>
      <c r="C28" s="10"/>
      <c r="D28" s="48">
        <f t="shared" si="1"/>
        <v>0</v>
      </c>
      <c r="F28" s="111"/>
      <c r="G28" s="61"/>
      <c r="H28" s="205"/>
      <c r="I28" s="206"/>
      <c r="J28" s="20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9" t="s">
        <v>36</v>
      </c>
      <c r="B29" s="180"/>
      <c r="C29" s="181"/>
      <c r="D29" s="185">
        <f>SUM(D6:D28)</f>
        <v>481855.20833333331</v>
      </c>
      <c r="F29" s="125" t="s">
        <v>54</v>
      </c>
      <c r="G29" s="187"/>
      <c r="H29" s="147">
        <f>H15-H16-H17-H18-H19-H20-H22-H23-H24+H26+H27</f>
        <v>400846.20833333331</v>
      </c>
      <c r="I29" s="148"/>
      <c r="J29" s="14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2"/>
      <c r="B30" s="183"/>
      <c r="C30" s="184"/>
      <c r="D30" s="186"/>
      <c r="F30" s="128"/>
      <c r="G30" s="188"/>
      <c r="H30" s="150"/>
      <c r="I30" s="151"/>
      <c r="J30" s="15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2" t="s">
        <v>57</v>
      </c>
      <c r="B32" s="173"/>
      <c r="C32" s="173"/>
      <c r="D32" s="174"/>
      <c r="F32" s="175" t="s">
        <v>58</v>
      </c>
      <c r="G32" s="176"/>
      <c r="H32" s="176"/>
      <c r="I32" s="176"/>
      <c r="J32" s="17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175" t="s">
        <v>13</v>
      </c>
      <c r="I33" s="176"/>
      <c r="J33" s="17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6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76</v>
      </c>
      <c r="H34" s="169">
        <f>F34*G34</f>
        <v>76000</v>
      </c>
      <c r="I34" s="170"/>
      <c r="J34" s="17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7"/>
      <c r="B35" s="27" t="s">
        <v>67</v>
      </c>
      <c r="C35" s="52"/>
      <c r="D35" s="30">
        <f>C35*84</f>
        <v>0</v>
      </c>
      <c r="F35" s="58">
        <v>500</v>
      </c>
      <c r="G35" s="113">
        <v>29</v>
      </c>
      <c r="H35" s="169">
        <f>F35*G35</f>
        <v>14500</v>
      </c>
      <c r="I35" s="170"/>
      <c r="J35" s="17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8"/>
      <c r="B36" s="26" t="s">
        <v>69</v>
      </c>
      <c r="C36" s="10"/>
      <c r="D36" s="12">
        <f>C36*1.5</f>
        <v>0</v>
      </c>
      <c r="F36" s="12">
        <v>200</v>
      </c>
      <c r="G36" s="37">
        <v>2</v>
      </c>
      <c r="H36" s="169">
        <f t="shared" ref="H36:H39" si="2">F36*G36</f>
        <v>400</v>
      </c>
      <c r="I36" s="170"/>
      <c r="J36" s="17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6" t="s">
        <v>71</v>
      </c>
      <c r="B37" s="28" t="s">
        <v>65</v>
      </c>
      <c r="C37" s="53">
        <v>631</v>
      </c>
      <c r="D37" s="12">
        <f>C37*111</f>
        <v>70041</v>
      </c>
      <c r="F37" s="12">
        <v>100</v>
      </c>
      <c r="G37" s="39">
        <v>59</v>
      </c>
      <c r="H37" s="169">
        <f t="shared" si="2"/>
        <v>5900</v>
      </c>
      <c r="I37" s="170"/>
      <c r="J37" s="17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7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5</v>
      </c>
      <c r="H38" s="169">
        <f t="shared" si="2"/>
        <v>250</v>
      </c>
      <c r="I38" s="170"/>
      <c r="J38" s="17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8"/>
      <c r="B39" s="29" t="s">
        <v>69</v>
      </c>
      <c r="C39" s="52">
        <v>1</v>
      </c>
      <c r="D39" s="31">
        <f>C39*4.5</f>
        <v>4.5</v>
      </c>
      <c r="F39" s="12">
        <v>20</v>
      </c>
      <c r="G39" s="37">
        <v>3</v>
      </c>
      <c r="H39" s="169">
        <f t="shared" si="2"/>
        <v>60</v>
      </c>
      <c r="I39" s="170"/>
      <c r="J39" s="17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6" t="s">
        <v>75</v>
      </c>
      <c r="B40" s="27" t="s">
        <v>65</v>
      </c>
      <c r="C40" s="63">
        <v>46</v>
      </c>
      <c r="D40" s="12">
        <f>C40*111</f>
        <v>5106</v>
      </c>
      <c r="F40" s="12">
        <v>10</v>
      </c>
      <c r="G40" s="114"/>
      <c r="H40" s="169"/>
      <c r="I40" s="170"/>
      <c r="J40" s="17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7"/>
      <c r="B41" s="27" t="s">
        <v>67</v>
      </c>
      <c r="C41" s="10">
        <v>8</v>
      </c>
      <c r="D41" s="12">
        <f>C41*84</f>
        <v>672</v>
      </c>
      <c r="F41" s="12">
        <v>5</v>
      </c>
      <c r="G41" s="114"/>
      <c r="H41" s="169"/>
      <c r="I41" s="170"/>
      <c r="J41" s="17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8"/>
      <c r="B42" s="27" t="s">
        <v>69</v>
      </c>
      <c r="C42" s="11"/>
      <c r="D42" s="12">
        <f>C42*2.25</f>
        <v>0</v>
      </c>
      <c r="F42" s="39" t="s">
        <v>78</v>
      </c>
      <c r="G42" s="169">
        <v>73</v>
      </c>
      <c r="H42" s="170"/>
      <c r="I42" s="170"/>
      <c r="J42" s="17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9" t="s">
        <v>80</v>
      </c>
      <c r="C43" s="11"/>
      <c r="D43" s="12"/>
      <c r="F43" s="59" t="s">
        <v>81</v>
      </c>
      <c r="G43" s="109" t="s">
        <v>82</v>
      </c>
      <c r="H43" s="161" t="s">
        <v>13</v>
      </c>
      <c r="I43" s="162"/>
      <c r="J43" s="16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0"/>
      <c r="B44" s="27" t="s">
        <v>65</v>
      </c>
      <c r="C44" s="10">
        <v>1</v>
      </c>
      <c r="D44" s="12">
        <f>C44*120</f>
        <v>120</v>
      </c>
      <c r="F44" s="37" t="s">
        <v>133</v>
      </c>
      <c r="G44" s="87" t="s">
        <v>179</v>
      </c>
      <c r="H44" s="164">
        <v>184406</v>
      </c>
      <c r="I44" s="164"/>
      <c r="J44" s="16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0"/>
      <c r="B45" s="27" t="s">
        <v>67</v>
      </c>
      <c r="C45" s="33"/>
      <c r="D45" s="12">
        <f>C45*84</f>
        <v>0</v>
      </c>
      <c r="F45" s="37" t="s">
        <v>133</v>
      </c>
      <c r="G45" s="87" t="s">
        <v>180</v>
      </c>
      <c r="H45" s="164">
        <v>104588</v>
      </c>
      <c r="I45" s="164"/>
      <c r="J45" s="164"/>
      <c r="K45" s="21"/>
      <c r="P45" s="4"/>
      <c r="Q45" s="4"/>
      <c r="R45" s="5"/>
    </row>
    <row r="46" spans="1:18" ht="15.75" x14ac:dyDescent="0.25">
      <c r="A46" s="140"/>
      <c r="B46" s="49" t="s">
        <v>69</v>
      </c>
      <c r="C46" s="80">
        <v>4</v>
      </c>
      <c r="D46" s="12">
        <f>C46*1.5</f>
        <v>6</v>
      </c>
      <c r="F46" s="37"/>
      <c r="G46" s="75"/>
      <c r="H46" s="164"/>
      <c r="I46" s="164"/>
      <c r="J46" s="164"/>
      <c r="K46" s="21"/>
      <c r="P46" s="4"/>
      <c r="Q46" s="4"/>
      <c r="R46" s="5"/>
    </row>
    <row r="47" spans="1:18" ht="15.75" x14ac:dyDescent="0.25">
      <c r="A47" s="141"/>
      <c r="B47" s="27"/>
      <c r="C47" s="11"/>
      <c r="D47" s="12"/>
      <c r="F47" s="37"/>
      <c r="G47" s="75"/>
      <c r="H47" s="164"/>
      <c r="I47" s="164"/>
      <c r="J47" s="164"/>
      <c r="K47" s="21"/>
      <c r="P47" s="4"/>
      <c r="Q47" s="4"/>
      <c r="R47" s="5"/>
    </row>
    <row r="48" spans="1:18" ht="15" customHeight="1" x14ac:dyDescent="0.25">
      <c r="A48" s="139" t="s">
        <v>32</v>
      </c>
      <c r="B48" s="27" t="s">
        <v>65</v>
      </c>
      <c r="C48" s="10">
        <v>17</v>
      </c>
      <c r="D48" s="12">
        <f>C48*78</f>
        <v>1326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0"/>
      <c r="B49" s="29" t="s">
        <v>67</v>
      </c>
      <c r="C49" s="33"/>
      <c r="D49" s="12">
        <f>C49*42</f>
        <v>0</v>
      </c>
      <c r="F49" s="145" t="s">
        <v>85</v>
      </c>
      <c r="G49" s="147">
        <f>H34+H35+H36+H37+H38+H39+H40+H41+G42+H44+H45+H46+H47+H48</f>
        <v>386177</v>
      </c>
      <c r="H49" s="148"/>
      <c r="I49" s="148"/>
      <c r="J49" s="14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0"/>
      <c r="B50" s="32" t="s">
        <v>69</v>
      </c>
      <c r="C50" s="11">
        <v>1</v>
      </c>
      <c r="D50" s="12">
        <f>C50*1.5</f>
        <v>1.5</v>
      </c>
      <c r="F50" s="146"/>
      <c r="G50" s="150"/>
      <c r="H50" s="151"/>
      <c r="I50" s="151"/>
      <c r="J50" s="152"/>
      <c r="O50" t="s">
        <v>112</v>
      </c>
      <c r="P50" s="4">
        <v>1204</v>
      </c>
      <c r="Q50" s="4"/>
      <c r="R50" s="5"/>
    </row>
    <row r="51" spans="1:18" ht="15" customHeight="1" x14ac:dyDescent="0.25">
      <c r="A51" s="140"/>
      <c r="B51" s="27"/>
      <c r="C51" s="10"/>
      <c r="D51" s="31"/>
      <c r="F51" s="153" t="str">
        <f>_xlfn.IFS(H29&gt;G49,"SHORT",H29&lt;G49,"OVER",H29&lt;=G49,"-")</f>
        <v>SHORT</v>
      </c>
      <c r="G51" s="155">
        <f>G49-H29</f>
        <v>-14669.208333333314</v>
      </c>
      <c r="H51" s="156"/>
      <c r="I51" s="156"/>
      <c r="J51" s="1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140"/>
      <c r="B52" s="29"/>
      <c r="C52" s="33"/>
      <c r="D52" s="45"/>
      <c r="F52" s="154"/>
      <c r="G52" s="158"/>
      <c r="H52" s="159"/>
      <c r="I52" s="159"/>
      <c r="J52" s="1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5" t="s">
        <v>89</v>
      </c>
      <c r="B54" s="126"/>
      <c r="C54" s="127"/>
      <c r="D54" s="131">
        <f>SUM(D34:D53)</f>
        <v>77481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8"/>
      <c r="B55" s="129"/>
      <c r="C55" s="130"/>
      <c r="D55" s="13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33" t="s">
        <v>90</v>
      </c>
      <c r="B58" s="134"/>
      <c r="C58" s="134"/>
      <c r="D58" s="135"/>
      <c r="F58" s="133" t="s">
        <v>91</v>
      </c>
      <c r="G58" s="134"/>
      <c r="H58" s="134"/>
      <c r="I58" s="134"/>
      <c r="J58" s="135"/>
    </row>
    <row r="59" spans="1:18" x14ac:dyDescent="0.25">
      <c r="A59" s="136"/>
      <c r="B59" s="137"/>
      <c r="C59" s="137"/>
      <c r="D59" s="138"/>
      <c r="F59" s="136"/>
      <c r="G59" s="137"/>
      <c r="H59" s="137"/>
      <c r="I59" s="137"/>
      <c r="J59" s="13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56" priority="1" operator="containsText" text="OVER">
      <formula>NOT(ISERROR(SEARCH("OVER",F51)))</formula>
    </cfRule>
    <cfRule type="containsText" dxfId="55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E6B60642-038B-4C98-BE1B-F9DCAC2EEC16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37465B-9D6A-4C2C-A2FF-6BC1A548ADB6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1" t="s">
        <v>1</v>
      </c>
      <c r="O1" s="221"/>
      <c r="P1" s="110" t="s">
        <v>2</v>
      </c>
      <c r="Q1" s="11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2" t="s">
        <v>7</v>
      </c>
      <c r="B4" s="173"/>
      <c r="C4" s="173"/>
      <c r="D4" s="174"/>
      <c r="F4" s="222" t="s">
        <v>8</v>
      </c>
      <c r="G4" s="224"/>
      <c r="H4" s="226" t="s">
        <v>9</v>
      </c>
      <c r="I4" s="228"/>
      <c r="J4" s="22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6" t="s">
        <v>7</v>
      </c>
      <c r="B5" s="15" t="s">
        <v>11</v>
      </c>
      <c r="C5" s="9" t="s">
        <v>12</v>
      </c>
      <c r="D5" s="25" t="s">
        <v>13</v>
      </c>
      <c r="F5" s="223"/>
      <c r="G5" s="225"/>
      <c r="H5" s="227"/>
      <c r="I5" s="230"/>
      <c r="J5" s="23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7"/>
      <c r="B6" s="16"/>
      <c r="C6" s="10"/>
      <c r="D6" s="13">
        <f t="shared" ref="D6:D28" si="1">C6*L6</f>
        <v>0</v>
      </c>
      <c r="F6" s="232" t="s">
        <v>16</v>
      </c>
      <c r="G6" s="234"/>
      <c r="H6" s="235"/>
      <c r="I6" s="235"/>
      <c r="J6" s="23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7"/>
      <c r="B7" s="16"/>
      <c r="C7" s="10"/>
      <c r="D7" s="13">
        <f t="shared" si="1"/>
        <v>0</v>
      </c>
      <c r="F7" s="233"/>
      <c r="G7" s="237"/>
      <c r="H7" s="238"/>
      <c r="I7" s="238"/>
      <c r="J7" s="23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7"/>
      <c r="B8" s="16"/>
      <c r="C8" s="10"/>
      <c r="D8" s="13">
        <f t="shared" si="1"/>
        <v>0</v>
      </c>
      <c r="F8" s="240" t="s">
        <v>21</v>
      </c>
      <c r="G8" s="241"/>
      <c r="H8" s="242"/>
      <c r="I8" s="242"/>
      <c r="J8" s="24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7"/>
      <c r="B9" s="16"/>
      <c r="C9" s="10"/>
      <c r="D9" s="13">
        <f t="shared" si="1"/>
        <v>0</v>
      </c>
      <c r="F9" s="233"/>
      <c r="G9" s="244"/>
      <c r="H9" s="245"/>
      <c r="I9" s="245"/>
      <c r="J9" s="24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7"/>
      <c r="C10" s="10"/>
      <c r="D10" s="13">
        <f t="shared" si="1"/>
        <v>0</v>
      </c>
      <c r="F10" s="232" t="s">
        <v>26</v>
      </c>
      <c r="G10" s="247"/>
      <c r="H10" s="248"/>
      <c r="I10" s="248"/>
      <c r="J10" s="249"/>
      <c r="K10" s="8"/>
      <c r="L10" s="6">
        <f>R36</f>
        <v>972</v>
      </c>
      <c r="P10" s="4"/>
      <c r="Q10" s="4"/>
      <c r="R10" s="5"/>
    </row>
    <row r="11" spans="1:19" ht="15.75" x14ac:dyDescent="0.25">
      <c r="A11" s="167"/>
      <c r="B11" s="17"/>
      <c r="C11" s="10"/>
      <c r="D11" s="13">
        <f t="shared" si="1"/>
        <v>0</v>
      </c>
      <c r="F11" s="233"/>
      <c r="G11" s="244"/>
      <c r="H11" s="245"/>
      <c r="I11" s="245"/>
      <c r="J11" s="24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7"/>
      <c r="B12" s="17"/>
      <c r="C12" s="10"/>
      <c r="D12" s="48">
        <f t="shared" si="1"/>
        <v>0</v>
      </c>
      <c r="F12" s="250" t="s">
        <v>33</v>
      </c>
      <c r="G12" s="251"/>
      <c r="H12" s="251"/>
      <c r="I12" s="251"/>
      <c r="J12" s="25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7"/>
      <c r="B13" s="17"/>
      <c r="C13" s="10"/>
      <c r="D13" s="48">
        <f t="shared" si="1"/>
        <v>0</v>
      </c>
      <c r="F13" s="253" t="s">
        <v>36</v>
      </c>
      <c r="G13" s="217"/>
      <c r="H13" s="208">
        <f>D29</f>
        <v>0</v>
      </c>
      <c r="I13" s="209"/>
      <c r="J13" s="21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7"/>
      <c r="B14" s="14"/>
      <c r="C14" s="10"/>
      <c r="D14" s="31">
        <f t="shared" si="1"/>
        <v>0</v>
      </c>
      <c r="F14" s="211" t="s">
        <v>38</v>
      </c>
      <c r="G14" s="212"/>
      <c r="H14" s="213">
        <f>D54</f>
        <v>0</v>
      </c>
      <c r="I14" s="214"/>
      <c r="J14" s="21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7"/>
      <c r="B15" s="14"/>
      <c r="C15" s="10"/>
      <c r="D15" s="31">
        <f t="shared" si="1"/>
        <v>0</v>
      </c>
      <c r="F15" s="216" t="s">
        <v>39</v>
      </c>
      <c r="G15" s="217"/>
      <c r="H15" s="218">
        <f>H13-H14</f>
        <v>0</v>
      </c>
      <c r="I15" s="219"/>
      <c r="J15" s="22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8"/>
      <c r="I16" s="178"/>
      <c r="J16" s="17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7"/>
      <c r="C17" s="10"/>
      <c r="D17" s="48">
        <f t="shared" si="1"/>
        <v>0</v>
      </c>
      <c r="F17" s="56"/>
      <c r="G17" s="66" t="s">
        <v>44</v>
      </c>
      <c r="H17" s="189"/>
      <c r="I17" s="189"/>
      <c r="J17" s="18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7"/>
      <c r="B18" s="19"/>
      <c r="C18" s="10"/>
      <c r="D18" s="48">
        <f t="shared" si="1"/>
        <v>0</v>
      </c>
      <c r="F18" s="56"/>
      <c r="G18" s="66" t="s">
        <v>46</v>
      </c>
      <c r="H18" s="189"/>
      <c r="I18" s="189"/>
      <c r="J18" s="18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7"/>
      <c r="B19" s="14"/>
      <c r="C19" s="10"/>
      <c r="D19" s="48">
        <f t="shared" si="1"/>
        <v>0</v>
      </c>
      <c r="F19" s="56"/>
      <c r="G19" s="68" t="s">
        <v>49</v>
      </c>
      <c r="H19" s="190"/>
      <c r="I19" s="190"/>
      <c r="J19" s="19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7"/>
      <c r="B20" s="46"/>
      <c r="C20" s="10"/>
      <c r="D20" s="13">
        <f t="shared" si="1"/>
        <v>0</v>
      </c>
      <c r="F20" s="57"/>
      <c r="G20" s="70" t="s">
        <v>102</v>
      </c>
      <c r="H20" s="178"/>
      <c r="I20" s="178"/>
      <c r="J20" s="17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7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91" t="s">
        <v>13</v>
      </c>
      <c r="I21" s="192"/>
      <c r="J21" s="193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7"/>
      <c r="B22" s="46"/>
      <c r="C22" s="10"/>
      <c r="D22" s="48">
        <f t="shared" si="1"/>
        <v>0</v>
      </c>
      <c r="F22" s="76"/>
      <c r="G22" s="72"/>
      <c r="H22" s="194"/>
      <c r="I22" s="194"/>
      <c r="J22" s="194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7"/>
      <c r="B23" s="14"/>
      <c r="C23" s="10"/>
      <c r="D23" s="48">
        <f t="shared" si="1"/>
        <v>0</v>
      </c>
      <c r="F23" s="77"/>
      <c r="G23" s="78"/>
      <c r="H23" s="195"/>
      <c r="I23" s="164"/>
      <c r="J23" s="16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7"/>
      <c r="B24" s="14"/>
      <c r="C24" s="10"/>
      <c r="D24" s="48">
        <f t="shared" si="1"/>
        <v>0</v>
      </c>
      <c r="F24" s="38"/>
      <c r="G24" s="37"/>
      <c r="H24" s="195"/>
      <c r="I24" s="164"/>
      <c r="J24" s="16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6" t="s">
        <v>13</v>
      </c>
      <c r="I25" s="197"/>
      <c r="J25" s="19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7"/>
      <c r="B26" s="14"/>
      <c r="C26" s="10"/>
      <c r="D26" s="48">
        <f t="shared" si="1"/>
        <v>0</v>
      </c>
      <c r="F26" s="64"/>
      <c r="G26" s="59"/>
      <c r="H26" s="199"/>
      <c r="I26" s="200"/>
      <c r="J26" s="20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7"/>
      <c r="B27" s="14"/>
      <c r="C27" s="10"/>
      <c r="D27" s="44">
        <f t="shared" si="1"/>
        <v>0</v>
      </c>
      <c r="F27" s="25"/>
      <c r="G27" s="79"/>
      <c r="H27" s="202"/>
      <c r="I27" s="203"/>
      <c r="J27" s="20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8"/>
      <c r="B28" s="46"/>
      <c r="C28" s="10"/>
      <c r="D28" s="48">
        <f t="shared" si="1"/>
        <v>0</v>
      </c>
      <c r="F28" s="111"/>
      <c r="G28" s="61"/>
      <c r="H28" s="205"/>
      <c r="I28" s="206"/>
      <c r="J28" s="20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9" t="s">
        <v>36</v>
      </c>
      <c r="B29" s="180"/>
      <c r="C29" s="181"/>
      <c r="D29" s="185">
        <f>SUM(D6:D28)</f>
        <v>0</v>
      </c>
      <c r="F29" s="125" t="s">
        <v>54</v>
      </c>
      <c r="G29" s="187"/>
      <c r="H29" s="147">
        <f>H15-H16-H17-H18-H19-H20-H22-H23-H24+H26+H27</f>
        <v>0</v>
      </c>
      <c r="I29" s="148"/>
      <c r="J29" s="14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2"/>
      <c r="B30" s="183"/>
      <c r="C30" s="184"/>
      <c r="D30" s="186"/>
      <c r="F30" s="128"/>
      <c r="G30" s="188"/>
      <c r="H30" s="150"/>
      <c r="I30" s="151"/>
      <c r="J30" s="15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2" t="s">
        <v>57</v>
      </c>
      <c r="B32" s="173"/>
      <c r="C32" s="173"/>
      <c r="D32" s="174"/>
      <c r="F32" s="175" t="s">
        <v>58</v>
      </c>
      <c r="G32" s="176"/>
      <c r="H32" s="176"/>
      <c r="I32" s="176"/>
      <c r="J32" s="17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175" t="s">
        <v>13</v>
      </c>
      <c r="I33" s="176"/>
      <c r="J33" s="17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6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69"/>
      <c r="I34" s="170"/>
      <c r="J34" s="17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7"/>
      <c r="B35" s="27" t="s">
        <v>67</v>
      </c>
      <c r="C35" s="52"/>
      <c r="D35" s="30">
        <f>C35*84</f>
        <v>0</v>
      </c>
      <c r="F35" s="58">
        <v>500</v>
      </c>
      <c r="G35" s="113"/>
      <c r="H35" s="169"/>
      <c r="I35" s="170"/>
      <c r="J35" s="17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8"/>
      <c r="B36" s="26" t="s">
        <v>69</v>
      </c>
      <c r="C36" s="10"/>
      <c r="D36" s="12">
        <f>C36*1.5</f>
        <v>0</v>
      </c>
      <c r="F36" s="12">
        <v>200</v>
      </c>
      <c r="G36" s="37"/>
      <c r="H36" s="169"/>
      <c r="I36" s="170"/>
      <c r="J36" s="17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9"/>
      <c r="I37" s="170"/>
      <c r="J37" s="17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7"/>
      <c r="B38" s="29" t="s">
        <v>67</v>
      </c>
      <c r="C38" s="54"/>
      <c r="D38" s="12">
        <f>C38*84</f>
        <v>0</v>
      </c>
      <c r="F38" s="30">
        <v>50</v>
      </c>
      <c r="G38" s="39"/>
      <c r="H38" s="169"/>
      <c r="I38" s="170"/>
      <c r="J38" s="17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8"/>
      <c r="B39" s="29" t="s">
        <v>69</v>
      </c>
      <c r="C39" s="52"/>
      <c r="D39" s="31">
        <f>C39*4.5</f>
        <v>0</v>
      </c>
      <c r="F39" s="12">
        <v>20</v>
      </c>
      <c r="G39" s="37"/>
      <c r="H39" s="169"/>
      <c r="I39" s="170"/>
      <c r="J39" s="17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6" t="s">
        <v>75</v>
      </c>
      <c r="B40" s="27" t="s">
        <v>65</v>
      </c>
      <c r="C40" s="63"/>
      <c r="D40" s="12">
        <f>C40*111</f>
        <v>0</v>
      </c>
      <c r="F40" s="12">
        <v>10</v>
      </c>
      <c r="G40" s="114"/>
      <c r="H40" s="169"/>
      <c r="I40" s="170"/>
      <c r="J40" s="17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7"/>
      <c r="B41" s="27" t="s">
        <v>67</v>
      </c>
      <c r="C41" s="10"/>
      <c r="D41" s="12">
        <f>C41*84</f>
        <v>0</v>
      </c>
      <c r="F41" s="12">
        <v>5</v>
      </c>
      <c r="G41" s="114"/>
      <c r="H41" s="169"/>
      <c r="I41" s="170"/>
      <c r="J41" s="17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8"/>
      <c r="B42" s="27" t="s">
        <v>69</v>
      </c>
      <c r="C42" s="11"/>
      <c r="D42" s="12">
        <f>C42*2.25</f>
        <v>0</v>
      </c>
      <c r="F42" s="39" t="s">
        <v>78</v>
      </c>
      <c r="G42" s="169"/>
      <c r="H42" s="170"/>
      <c r="I42" s="170"/>
      <c r="J42" s="17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9" t="s">
        <v>80</v>
      </c>
      <c r="C43" s="11"/>
      <c r="D43" s="12"/>
      <c r="F43" s="59" t="s">
        <v>81</v>
      </c>
      <c r="G43" s="109" t="s">
        <v>82</v>
      </c>
      <c r="H43" s="161" t="s">
        <v>13</v>
      </c>
      <c r="I43" s="162"/>
      <c r="J43" s="163"/>
      <c r="K43" s="21"/>
      <c r="P43" s="4"/>
      <c r="Q43" s="4"/>
      <c r="R43" s="5"/>
    </row>
    <row r="44" spans="1:18" ht="15.75" x14ac:dyDescent="0.25">
      <c r="A44" s="140"/>
      <c r="B44" s="27" t="s">
        <v>65</v>
      </c>
      <c r="C44" s="10"/>
      <c r="D44" s="12">
        <f>C44*120</f>
        <v>0</v>
      </c>
      <c r="F44" s="37"/>
      <c r="G44" s="75"/>
      <c r="H44" s="164"/>
      <c r="I44" s="164"/>
      <c r="J44" s="164"/>
      <c r="K44" s="21"/>
      <c r="P44" s="4"/>
      <c r="Q44" s="4"/>
      <c r="R44" s="5"/>
    </row>
    <row r="45" spans="1:18" ht="15.75" x14ac:dyDescent="0.25">
      <c r="A45" s="140"/>
      <c r="B45" s="27" t="s">
        <v>67</v>
      </c>
      <c r="C45" s="33"/>
      <c r="D45" s="12">
        <f>C45*84</f>
        <v>0</v>
      </c>
      <c r="F45" s="37"/>
      <c r="G45" s="75"/>
      <c r="H45" s="164"/>
      <c r="I45" s="164"/>
      <c r="J45" s="164"/>
      <c r="K45" s="21"/>
      <c r="P45" s="4"/>
      <c r="Q45" s="4"/>
      <c r="R45" s="5"/>
    </row>
    <row r="46" spans="1:18" ht="15.75" x14ac:dyDescent="0.25">
      <c r="A46" s="140"/>
      <c r="B46" s="49" t="s">
        <v>69</v>
      </c>
      <c r="C46" s="80"/>
      <c r="D46" s="12">
        <f>C46*1.5</f>
        <v>0</v>
      </c>
      <c r="F46" s="37"/>
      <c r="G46" s="62"/>
      <c r="H46" s="165"/>
      <c r="I46" s="165"/>
      <c r="J46" s="165"/>
      <c r="K46" s="21"/>
      <c r="P46" s="4"/>
      <c r="Q46" s="4"/>
      <c r="R46" s="5"/>
    </row>
    <row r="47" spans="1:18" ht="15.75" x14ac:dyDescent="0.25">
      <c r="A47" s="141"/>
      <c r="B47" s="27"/>
      <c r="C47" s="11"/>
      <c r="D47" s="12"/>
      <c r="F47" s="59"/>
      <c r="G47" s="59"/>
      <c r="H47" s="142"/>
      <c r="I47" s="143"/>
      <c r="J47" s="144"/>
      <c r="K47" s="21"/>
      <c r="P47" s="4"/>
      <c r="Q47" s="4"/>
      <c r="R47" s="5"/>
    </row>
    <row r="48" spans="1:18" ht="15" customHeight="1" x14ac:dyDescent="0.25">
      <c r="A48" s="139" t="s">
        <v>32</v>
      </c>
      <c r="B48" s="27" t="s">
        <v>65</v>
      </c>
      <c r="C48" s="10"/>
      <c r="D48" s="12">
        <f>C48*78</f>
        <v>0</v>
      </c>
      <c r="F48" s="59"/>
      <c r="G48" s="59"/>
      <c r="H48" s="142"/>
      <c r="I48" s="143"/>
      <c r="J48" s="14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0"/>
      <c r="B49" s="29" t="s">
        <v>67</v>
      </c>
      <c r="C49" s="33"/>
      <c r="D49" s="12">
        <f>C49*42</f>
        <v>0</v>
      </c>
      <c r="F49" s="145" t="s">
        <v>85</v>
      </c>
      <c r="G49" s="147">
        <f>H34+H35+H36+H37+H38+H39+H40+H41+G42+H44+H45+H46</f>
        <v>0</v>
      </c>
      <c r="H49" s="148"/>
      <c r="I49" s="148"/>
      <c r="J49" s="14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0"/>
      <c r="B50" s="32" t="s">
        <v>69</v>
      </c>
      <c r="C50" s="11"/>
      <c r="D50" s="12">
        <f>C50*1.5</f>
        <v>0</v>
      </c>
      <c r="F50" s="146"/>
      <c r="G50" s="150"/>
      <c r="H50" s="151"/>
      <c r="I50" s="151"/>
      <c r="J50" s="152"/>
      <c r="P50" s="4"/>
      <c r="Q50" s="4"/>
      <c r="R50" s="5"/>
    </row>
    <row r="51" spans="1:18" ht="15" customHeight="1" x14ac:dyDescent="0.25">
      <c r="A51" s="140"/>
      <c r="B51" s="27"/>
      <c r="C51" s="10"/>
      <c r="D51" s="31"/>
      <c r="F51" s="153" t="s">
        <v>106</v>
      </c>
      <c r="G51" s="155">
        <f>G49-H29</f>
        <v>0</v>
      </c>
      <c r="H51" s="156"/>
      <c r="I51" s="156"/>
      <c r="J51" s="15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0"/>
      <c r="B52" s="29"/>
      <c r="C52" s="33"/>
      <c r="D52" s="45"/>
      <c r="F52" s="154"/>
      <c r="G52" s="158"/>
      <c r="H52" s="159"/>
      <c r="I52" s="159"/>
      <c r="J52" s="1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5" t="s">
        <v>89</v>
      </c>
      <c r="B54" s="126"/>
      <c r="C54" s="127"/>
      <c r="D54" s="131">
        <f>SUM(D34:D53)</f>
        <v>0</v>
      </c>
      <c r="F54" s="21"/>
      <c r="J54" s="34"/>
    </row>
    <row r="55" spans="1:18" x14ac:dyDescent="0.25">
      <c r="A55" s="128"/>
      <c r="B55" s="129"/>
      <c r="C55" s="130"/>
      <c r="D55" s="13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3" t="s">
        <v>90</v>
      </c>
      <c r="B58" s="134"/>
      <c r="C58" s="134"/>
      <c r="D58" s="135"/>
      <c r="F58" s="133" t="s">
        <v>91</v>
      </c>
      <c r="G58" s="134"/>
      <c r="H58" s="134"/>
      <c r="I58" s="134"/>
      <c r="J58" s="135"/>
    </row>
    <row r="59" spans="1:18" x14ac:dyDescent="0.25">
      <c r="A59" s="136"/>
      <c r="B59" s="137"/>
      <c r="C59" s="137"/>
      <c r="D59" s="138"/>
      <c r="F59" s="136"/>
      <c r="G59" s="137"/>
      <c r="H59" s="137"/>
      <c r="I59" s="137"/>
      <c r="J59" s="13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C981E-C45F-4CFB-83E3-B4146B48D89F}">
  <dimension ref="A1:V68"/>
  <sheetViews>
    <sheetView topLeftCell="A34" zoomScaleNormal="100" zoomScaleSheetLayoutView="85" workbookViewId="0">
      <selection activeCell="H1" sqref="H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1" t="s">
        <v>1</v>
      </c>
      <c r="O1" s="221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2" t="s">
        <v>7</v>
      </c>
      <c r="B4" s="173"/>
      <c r="C4" s="173"/>
      <c r="D4" s="174"/>
      <c r="F4" s="222" t="s">
        <v>8</v>
      </c>
      <c r="G4" s="224">
        <v>1</v>
      </c>
      <c r="H4" s="226" t="s">
        <v>9</v>
      </c>
      <c r="I4" s="228">
        <v>46249</v>
      </c>
      <c r="J4" s="22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6" t="s">
        <v>7</v>
      </c>
      <c r="B5" s="15" t="s">
        <v>11</v>
      </c>
      <c r="C5" s="9" t="s">
        <v>12</v>
      </c>
      <c r="D5" s="25" t="s">
        <v>13</v>
      </c>
      <c r="F5" s="223"/>
      <c r="G5" s="225"/>
      <c r="H5" s="227"/>
      <c r="I5" s="230"/>
      <c r="J5" s="23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7"/>
      <c r="B6" s="16" t="s">
        <v>15</v>
      </c>
      <c r="C6" s="10"/>
      <c r="D6" s="13">
        <f t="shared" ref="D6:D28" si="1">C6*L6</f>
        <v>0</v>
      </c>
      <c r="F6" s="232" t="s">
        <v>16</v>
      </c>
      <c r="G6" s="234" t="s">
        <v>99</v>
      </c>
      <c r="H6" s="235"/>
      <c r="I6" s="235"/>
      <c r="J6" s="2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7"/>
      <c r="B7" s="16" t="s">
        <v>18</v>
      </c>
      <c r="C7" s="10"/>
      <c r="D7" s="13">
        <f t="shared" si="1"/>
        <v>0</v>
      </c>
      <c r="F7" s="233"/>
      <c r="G7" s="237"/>
      <c r="H7" s="238"/>
      <c r="I7" s="238"/>
      <c r="J7" s="2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7"/>
      <c r="B8" s="16" t="s">
        <v>20</v>
      </c>
      <c r="C8" s="10"/>
      <c r="D8" s="13">
        <f t="shared" si="1"/>
        <v>0</v>
      </c>
      <c r="F8" s="240" t="s">
        <v>21</v>
      </c>
      <c r="G8" s="241" t="s">
        <v>115</v>
      </c>
      <c r="H8" s="242"/>
      <c r="I8" s="242"/>
      <c r="J8" s="24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7"/>
      <c r="B9" s="16" t="s">
        <v>23</v>
      </c>
      <c r="C9" s="10"/>
      <c r="D9" s="13">
        <f t="shared" si="1"/>
        <v>0</v>
      </c>
      <c r="F9" s="233"/>
      <c r="G9" s="244"/>
      <c r="H9" s="245"/>
      <c r="I9" s="245"/>
      <c r="J9" s="24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7"/>
      <c r="B10" t="s">
        <v>25</v>
      </c>
      <c r="C10" s="10"/>
      <c r="D10" s="13">
        <f t="shared" si="1"/>
        <v>0</v>
      </c>
      <c r="F10" s="232" t="s">
        <v>26</v>
      </c>
      <c r="G10" s="247" t="s">
        <v>108</v>
      </c>
      <c r="H10" s="248"/>
      <c r="I10" s="248"/>
      <c r="J10" s="249"/>
      <c r="K10" s="8"/>
      <c r="L10" s="6">
        <f>R36</f>
        <v>1032</v>
      </c>
      <c r="P10" s="4"/>
      <c r="Q10" s="4"/>
      <c r="R10" s="5"/>
    </row>
    <row r="11" spans="1:18" ht="15.75" x14ac:dyDescent="0.25">
      <c r="A11" s="167"/>
      <c r="B11" s="17" t="s">
        <v>28</v>
      </c>
      <c r="C11" s="10"/>
      <c r="D11" s="13">
        <f t="shared" si="1"/>
        <v>0</v>
      </c>
      <c r="F11" s="233"/>
      <c r="G11" s="244"/>
      <c r="H11" s="245"/>
      <c r="I11" s="245"/>
      <c r="J11" s="24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7"/>
      <c r="B12" s="17" t="s">
        <v>30</v>
      </c>
      <c r="C12" s="10"/>
      <c r="D12" s="48">
        <f t="shared" si="1"/>
        <v>0</v>
      </c>
      <c r="F12" s="250" t="s">
        <v>33</v>
      </c>
      <c r="G12" s="251"/>
      <c r="H12" s="251"/>
      <c r="I12" s="251"/>
      <c r="J12" s="25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7"/>
      <c r="B13" s="17" t="s">
        <v>32</v>
      </c>
      <c r="C13" s="10"/>
      <c r="D13" s="48">
        <f t="shared" si="1"/>
        <v>0</v>
      </c>
      <c r="F13" s="253" t="s">
        <v>36</v>
      </c>
      <c r="G13" s="217"/>
      <c r="H13" s="208">
        <f>D29</f>
        <v>0</v>
      </c>
      <c r="I13" s="209"/>
      <c r="J13" s="21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7"/>
      <c r="B14" s="14" t="s">
        <v>35</v>
      </c>
      <c r="C14" s="10"/>
      <c r="D14" s="31">
        <f t="shared" si="1"/>
        <v>0</v>
      </c>
      <c r="F14" s="211" t="s">
        <v>38</v>
      </c>
      <c r="G14" s="212"/>
      <c r="H14" s="213">
        <f>D54</f>
        <v>0</v>
      </c>
      <c r="I14" s="214"/>
      <c r="J14" s="215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7"/>
      <c r="B15" s="14" t="s">
        <v>117</v>
      </c>
      <c r="C15" s="10"/>
      <c r="D15" s="31">
        <f t="shared" si="1"/>
        <v>0</v>
      </c>
      <c r="F15" s="216" t="s">
        <v>39</v>
      </c>
      <c r="G15" s="217"/>
      <c r="H15" s="218">
        <f>H13-H14</f>
        <v>0</v>
      </c>
      <c r="I15" s="219"/>
      <c r="J15" s="22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7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8"/>
      <c r="I16" s="178"/>
      <c r="J16" s="17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7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9"/>
      <c r="I17" s="189"/>
      <c r="J17" s="18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7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9"/>
      <c r="I18" s="189"/>
      <c r="J18" s="18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7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8"/>
      <c r="I19" s="178"/>
      <c r="J19" s="17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7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8"/>
      <c r="I20" s="178"/>
      <c r="J20" s="17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7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91" t="s">
        <v>13</v>
      </c>
      <c r="I21" s="192"/>
      <c r="J21" s="19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7"/>
      <c r="B22" s="46" t="s">
        <v>103</v>
      </c>
      <c r="C22" s="10"/>
      <c r="D22" s="48">
        <f t="shared" si="1"/>
        <v>0</v>
      </c>
      <c r="F22" s="76"/>
      <c r="G22" s="72"/>
      <c r="H22" s="194"/>
      <c r="I22" s="194"/>
      <c r="J22" s="19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7"/>
      <c r="B23" s="14" t="s">
        <v>116</v>
      </c>
      <c r="C23" s="10"/>
      <c r="D23" s="48">
        <f t="shared" si="1"/>
        <v>0</v>
      </c>
      <c r="F23" s="76"/>
      <c r="G23" s="78"/>
      <c r="H23" s="259"/>
      <c r="I23" s="260"/>
      <c r="J23" s="26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7"/>
      <c r="B24" s="14" t="s">
        <v>123</v>
      </c>
      <c r="C24" s="10"/>
      <c r="D24" s="48">
        <f t="shared" si="1"/>
        <v>0</v>
      </c>
      <c r="F24" s="76"/>
      <c r="G24" s="78"/>
      <c r="H24" s="259"/>
      <c r="I24" s="260"/>
      <c r="J24" s="26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6" t="s">
        <v>13</v>
      </c>
      <c r="I25" s="197"/>
      <c r="J25" s="19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7"/>
      <c r="B26" s="14" t="s">
        <v>124</v>
      </c>
      <c r="C26" s="10"/>
      <c r="D26" s="48">
        <f t="shared" si="1"/>
        <v>0</v>
      </c>
      <c r="F26" s="74" t="s">
        <v>132</v>
      </c>
      <c r="G26" s="65">
        <v>11915</v>
      </c>
      <c r="H26" s="164">
        <v>62655</v>
      </c>
      <c r="I26" s="164"/>
      <c r="J26" s="16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7"/>
      <c r="B27" s="14" t="s">
        <v>125</v>
      </c>
      <c r="C27" s="10"/>
      <c r="D27" s="44">
        <f t="shared" si="1"/>
        <v>0</v>
      </c>
      <c r="F27" s="71"/>
      <c r="G27" s="109"/>
      <c r="H27" s="261"/>
      <c r="I27" s="262"/>
      <c r="J27" s="26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8"/>
      <c r="B28" s="46" t="s">
        <v>92</v>
      </c>
      <c r="C28" s="10"/>
      <c r="D28" s="48">
        <f t="shared" si="1"/>
        <v>0</v>
      </c>
      <c r="F28" s="111"/>
      <c r="G28" s="61"/>
      <c r="H28" s="205"/>
      <c r="I28" s="206"/>
      <c r="J28" s="20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9" t="s">
        <v>36</v>
      </c>
      <c r="B29" s="180"/>
      <c r="C29" s="181"/>
      <c r="D29" s="185">
        <f>SUM(D6:D28)</f>
        <v>0</v>
      </c>
      <c r="F29" s="125" t="s">
        <v>54</v>
      </c>
      <c r="G29" s="187"/>
      <c r="H29" s="147">
        <f>H15-H16-H17-H18-H19-H20-H22-H23-H24+H26+H27+H28</f>
        <v>62655</v>
      </c>
      <c r="I29" s="148"/>
      <c r="J29" s="14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2"/>
      <c r="B30" s="183"/>
      <c r="C30" s="184"/>
      <c r="D30" s="186"/>
      <c r="F30" s="128"/>
      <c r="G30" s="188"/>
      <c r="H30" s="150"/>
      <c r="I30" s="151"/>
      <c r="J30" s="15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2" t="s">
        <v>57</v>
      </c>
      <c r="B32" s="173"/>
      <c r="C32" s="173"/>
      <c r="D32" s="174"/>
      <c r="F32" s="175" t="s">
        <v>58</v>
      </c>
      <c r="G32" s="176"/>
      <c r="H32" s="176"/>
      <c r="I32" s="176"/>
      <c r="J32" s="17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175" t="s">
        <v>13</v>
      </c>
      <c r="I33" s="176"/>
      <c r="J33" s="17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6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62</v>
      </c>
      <c r="H34" s="169">
        <f t="shared" ref="H34:H39" si="2">F34*G34</f>
        <v>62000</v>
      </c>
      <c r="I34" s="170"/>
      <c r="J34" s="17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7"/>
      <c r="B35" s="27" t="s">
        <v>67</v>
      </c>
      <c r="C35" s="52"/>
      <c r="D35" s="30">
        <f>C35*84</f>
        <v>0</v>
      </c>
      <c r="F35" s="58">
        <v>500</v>
      </c>
      <c r="G35" s="113">
        <v>1</v>
      </c>
      <c r="H35" s="169">
        <f t="shared" si="2"/>
        <v>500</v>
      </c>
      <c r="I35" s="170"/>
      <c r="J35" s="17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8"/>
      <c r="B36" s="26" t="s">
        <v>69</v>
      </c>
      <c r="C36" s="10"/>
      <c r="D36" s="12">
        <f>C36*1.5</f>
        <v>0</v>
      </c>
      <c r="F36" s="12">
        <v>200</v>
      </c>
      <c r="G36" s="37"/>
      <c r="H36" s="169">
        <f t="shared" si="2"/>
        <v>0</v>
      </c>
      <c r="I36" s="170"/>
      <c r="J36" s="17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6" t="s">
        <v>71</v>
      </c>
      <c r="B37" s="28" t="s">
        <v>65</v>
      </c>
      <c r="C37" s="53"/>
      <c r="D37" s="12">
        <f>C37*111</f>
        <v>0</v>
      </c>
      <c r="F37" s="12">
        <v>100</v>
      </c>
      <c r="G37" s="39">
        <v>1</v>
      </c>
      <c r="H37" s="169">
        <f t="shared" si="2"/>
        <v>100</v>
      </c>
      <c r="I37" s="170"/>
      <c r="J37" s="17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7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169">
        <f t="shared" si="2"/>
        <v>50</v>
      </c>
      <c r="I38" s="170"/>
      <c r="J38" s="17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8"/>
      <c r="B39" s="29" t="s">
        <v>69</v>
      </c>
      <c r="C39" s="52"/>
      <c r="D39" s="31">
        <f>C39*4.5</f>
        <v>0</v>
      </c>
      <c r="F39" s="12">
        <v>20</v>
      </c>
      <c r="G39" s="37"/>
      <c r="H39" s="169">
        <f t="shared" si="2"/>
        <v>0</v>
      </c>
      <c r="I39" s="170"/>
      <c r="J39" s="17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6" t="s">
        <v>75</v>
      </c>
      <c r="B40" s="27" t="s">
        <v>65</v>
      </c>
      <c r="C40" s="63"/>
      <c r="D40" s="12">
        <f>C40*111</f>
        <v>0</v>
      </c>
      <c r="F40" s="12">
        <v>10</v>
      </c>
      <c r="G40" s="114"/>
      <c r="H40" s="257"/>
      <c r="I40" s="258"/>
      <c r="J40" s="19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7"/>
      <c r="B41" s="27" t="s">
        <v>67</v>
      </c>
      <c r="C41" s="10"/>
      <c r="D41" s="12">
        <f>C41*84</f>
        <v>0</v>
      </c>
      <c r="F41" s="12">
        <v>5</v>
      </c>
      <c r="G41" s="114"/>
      <c r="H41" s="169"/>
      <c r="I41" s="170"/>
      <c r="J41" s="17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8"/>
      <c r="B42" s="27" t="s">
        <v>69</v>
      </c>
      <c r="C42" s="11"/>
      <c r="D42" s="12">
        <f>C42*2.25</f>
        <v>0</v>
      </c>
      <c r="F42" s="39" t="s">
        <v>78</v>
      </c>
      <c r="G42" s="169">
        <v>5</v>
      </c>
      <c r="H42" s="170"/>
      <c r="I42" s="170"/>
      <c r="J42" s="17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9" t="s">
        <v>80</v>
      </c>
      <c r="C43" s="11"/>
      <c r="D43" s="12"/>
      <c r="F43" s="59" t="s">
        <v>81</v>
      </c>
      <c r="G43" s="109" t="s">
        <v>82</v>
      </c>
      <c r="H43" s="161" t="s">
        <v>13</v>
      </c>
      <c r="I43" s="162"/>
      <c r="J43" s="16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0"/>
      <c r="B44" s="27" t="s">
        <v>65</v>
      </c>
      <c r="C44" s="10"/>
      <c r="D44" s="12">
        <f>C44*120</f>
        <v>0</v>
      </c>
      <c r="F44" s="37"/>
      <c r="G44" s="87"/>
      <c r="H44" s="164"/>
      <c r="I44" s="164"/>
      <c r="J44" s="16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0"/>
      <c r="B45" s="27" t="s">
        <v>67</v>
      </c>
      <c r="C45" s="33"/>
      <c r="D45" s="12">
        <f>C45*84</f>
        <v>0</v>
      </c>
      <c r="F45" s="37"/>
      <c r="G45" s="87"/>
      <c r="H45" s="164"/>
      <c r="I45" s="164"/>
      <c r="J45" s="164"/>
      <c r="K45" s="21"/>
      <c r="P45" s="4"/>
      <c r="Q45" s="4"/>
      <c r="R45" s="5"/>
    </row>
    <row r="46" spans="1:18" ht="15.75" x14ac:dyDescent="0.25">
      <c r="A46" s="140"/>
      <c r="B46" s="49" t="s">
        <v>69</v>
      </c>
      <c r="C46" s="80"/>
      <c r="D46" s="12">
        <f>C46*1.5</f>
        <v>0</v>
      </c>
      <c r="F46" s="37"/>
      <c r="G46" s="62"/>
      <c r="H46" s="164"/>
      <c r="I46" s="164"/>
      <c r="J46" s="164"/>
      <c r="K46" s="21"/>
      <c r="P46" s="4"/>
      <c r="Q46" s="4"/>
      <c r="R46" s="5"/>
    </row>
    <row r="47" spans="1:18" ht="15.75" x14ac:dyDescent="0.25">
      <c r="A47" s="141"/>
      <c r="B47" s="27"/>
      <c r="C47" s="11"/>
      <c r="D47" s="12"/>
      <c r="F47" s="59"/>
      <c r="G47" s="59"/>
      <c r="H47" s="254"/>
      <c r="I47" s="255"/>
      <c r="J47" s="256"/>
      <c r="K47" s="21"/>
      <c r="P47" s="4"/>
      <c r="Q47" s="4"/>
      <c r="R47" s="5"/>
    </row>
    <row r="48" spans="1:18" ht="15" customHeight="1" x14ac:dyDescent="0.25">
      <c r="A48" s="139" t="s">
        <v>32</v>
      </c>
      <c r="B48" s="27" t="s">
        <v>65</v>
      </c>
      <c r="C48" s="10"/>
      <c r="D48" s="12">
        <f>C48*78</f>
        <v>0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0"/>
      <c r="B49" s="29" t="s">
        <v>67</v>
      </c>
      <c r="C49" s="33"/>
      <c r="D49" s="12">
        <f>C49*42</f>
        <v>0</v>
      </c>
      <c r="F49" s="145" t="s">
        <v>85</v>
      </c>
      <c r="G49" s="147">
        <f>H34+H35+H36+H37+H38+H39+H40+H41+G42+H44+H45+H46+H47+H48</f>
        <v>62655</v>
      </c>
      <c r="H49" s="148"/>
      <c r="I49" s="148"/>
      <c r="J49" s="14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0"/>
      <c r="B50" s="32" t="s">
        <v>69</v>
      </c>
      <c r="C50" s="11"/>
      <c r="D50" s="12">
        <f>C50*1.5</f>
        <v>0</v>
      </c>
      <c r="F50" s="146"/>
      <c r="G50" s="150"/>
      <c r="H50" s="151"/>
      <c r="I50" s="151"/>
      <c r="J50" s="152"/>
      <c r="O50" t="s">
        <v>112</v>
      </c>
      <c r="P50" s="4">
        <v>1204</v>
      </c>
      <c r="Q50" s="4"/>
      <c r="R50" s="5"/>
    </row>
    <row r="51" spans="1:18" ht="15" customHeight="1" x14ac:dyDescent="0.25">
      <c r="A51" s="140"/>
      <c r="B51" s="27"/>
      <c r="C51" s="10"/>
      <c r="D51" s="31"/>
      <c r="F51" s="153" t="str">
        <f>_xlfn.IFS(H29&gt;G49,"SHORT",H29&lt;G49,"OVER",H29&lt;=G49,"-")</f>
        <v>-</v>
      </c>
      <c r="G51" s="155">
        <f>G49-H29</f>
        <v>0</v>
      </c>
      <c r="H51" s="156"/>
      <c r="I51" s="156"/>
      <c r="J51" s="1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0"/>
      <c r="B52" s="29"/>
      <c r="C52" s="33"/>
      <c r="D52" s="45"/>
      <c r="F52" s="154"/>
      <c r="G52" s="158"/>
      <c r="H52" s="159"/>
      <c r="I52" s="159"/>
      <c r="J52" s="1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5" t="s">
        <v>89</v>
      </c>
      <c r="B54" s="126"/>
      <c r="C54" s="127"/>
      <c r="D54" s="13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8"/>
      <c r="B55" s="129"/>
      <c r="C55" s="130"/>
      <c r="D55" s="13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33" t="s">
        <v>90</v>
      </c>
      <c r="B58" s="134"/>
      <c r="C58" s="134"/>
      <c r="D58" s="135"/>
      <c r="F58" s="133" t="s">
        <v>91</v>
      </c>
      <c r="G58" s="134"/>
      <c r="H58" s="134"/>
      <c r="I58" s="134"/>
      <c r="J58" s="135"/>
    </row>
    <row r="59" spans="1:18" x14ac:dyDescent="0.25">
      <c r="A59" s="136"/>
      <c r="B59" s="137"/>
      <c r="C59" s="137"/>
      <c r="D59" s="138"/>
      <c r="F59" s="136"/>
      <c r="G59" s="137"/>
      <c r="H59" s="137"/>
      <c r="I59" s="137"/>
      <c r="J59" s="138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53" priority="1" operator="containsText" text="OVER">
      <formula>NOT(ISERROR(SEARCH("OVER",F51)))</formula>
    </cfRule>
    <cfRule type="containsText" dxfId="52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540CAA50-FC2B-414B-8E82-E58EA8CF8BEA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5846AE-FE25-4504-8124-E7E499F63EF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1" t="s">
        <v>1</v>
      </c>
      <c r="O1" s="221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2" t="s">
        <v>7</v>
      </c>
      <c r="B4" s="173"/>
      <c r="C4" s="173"/>
      <c r="D4" s="174"/>
      <c r="F4" s="222" t="s">
        <v>8</v>
      </c>
      <c r="G4" s="224">
        <v>2</v>
      </c>
      <c r="H4" s="226" t="s">
        <v>9</v>
      </c>
      <c r="I4" s="228">
        <v>46249</v>
      </c>
      <c r="J4" s="22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6" t="s">
        <v>7</v>
      </c>
      <c r="B5" s="15" t="s">
        <v>11</v>
      </c>
      <c r="C5" s="9" t="s">
        <v>12</v>
      </c>
      <c r="D5" s="25" t="s">
        <v>13</v>
      </c>
      <c r="F5" s="223"/>
      <c r="G5" s="225"/>
      <c r="H5" s="227"/>
      <c r="I5" s="230"/>
      <c r="J5" s="23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7"/>
      <c r="B6" s="16" t="s">
        <v>15</v>
      </c>
      <c r="C6" s="10"/>
      <c r="D6" s="13">
        <f t="shared" ref="D6:D28" si="1">C6*L6</f>
        <v>0</v>
      </c>
      <c r="F6" s="232" t="s">
        <v>16</v>
      </c>
      <c r="G6" s="234" t="s">
        <v>107</v>
      </c>
      <c r="H6" s="235"/>
      <c r="I6" s="235"/>
      <c r="J6" s="2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7"/>
      <c r="B7" s="16" t="s">
        <v>18</v>
      </c>
      <c r="C7" s="10"/>
      <c r="D7" s="13">
        <f t="shared" si="1"/>
        <v>0</v>
      </c>
      <c r="F7" s="233"/>
      <c r="G7" s="237"/>
      <c r="H7" s="238"/>
      <c r="I7" s="238"/>
      <c r="J7" s="2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7"/>
      <c r="B8" s="16" t="s">
        <v>20</v>
      </c>
      <c r="C8" s="10"/>
      <c r="D8" s="13">
        <f t="shared" si="1"/>
        <v>0</v>
      </c>
      <c r="F8" s="240" t="s">
        <v>21</v>
      </c>
      <c r="G8" s="241" t="s">
        <v>100</v>
      </c>
      <c r="H8" s="242"/>
      <c r="I8" s="242"/>
      <c r="J8" s="24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7"/>
      <c r="B9" s="16" t="s">
        <v>23</v>
      </c>
      <c r="C9" s="10"/>
      <c r="D9" s="13">
        <f t="shared" si="1"/>
        <v>0</v>
      </c>
      <c r="F9" s="233"/>
      <c r="G9" s="244"/>
      <c r="H9" s="245"/>
      <c r="I9" s="245"/>
      <c r="J9" s="24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7"/>
      <c r="B10" t="s">
        <v>25</v>
      </c>
      <c r="C10" s="10"/>
      <c r="D10" s="13">
        <f t="shared" si="1"/>
        <v>0</v>
      </c>
      <c r="F10" s="232" t="s">
        <v>26</v>
      </c>
      <c r="G10" s="247" t="s">
        <v>101</v>
      </c>
      <c r="H10" s="248"/>
      <c r="I10" s="248"/>
      <c r="J10" s="249"/>
      <c r="K10" s="8"/>
      <c r="L10" s="6">
        <f>R36</f>
        <v>1032</v>
      </c>
      <c r="P10" s="4"/>
      <c r="Q10" s="4"/>
      <c r="R10" s="5"/>
    </row>
    <row r="11" spans="1:18" ht="15.75" x14ac:dyDescent="0.25">
      <c r="A11" s="167"/>
      <c r="B11" s="17" t="s">
        <v>28</v>
      </c>
      <c r="C11" s="10"/>
      <c r="D11" s="13">
        <f t="shared" si="1"/>
        <v>0</v>
      </c>
      <c r="F11" s="233"/>
      <c r="G11" s="244"/>
      <c r="H11" s="245"/>
      <c r="I11" s="245"/>
      <c r="J11" s="24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7"/>
      <c r="B12" s="17" t="s">
        <v>30</v>
      </c>
      <c r="C12" s="10"/>
      <c r="D12" s="48">
        <f t="shared" si="1"/>
        <v>0</v>
      </c>
      <c r="F12" s="250" t="s">
        <v>33</v>
      </c>
      <c r="G12" s="251"/>
      <c r="H12" s="251"/>
      <c r="I12" s="251"/>
      <c r="J12" s="25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7"/>
      <c r="B13" s="17" t="s">
        <v>32</v>
      </c>
      <c r="C13" s="10"/>
      <c r="D13" s="48">
        <f t="shared" si="1"/>
        <v>0</v>
      </c>
      <c r="F13" s="253" t="s">
        <v>36</v>
      </c>
      <c r="G13" s="217"/>
      <c r="H13" s="208">
        <f>D29</f>
        <v>0</v>
      </c>
      <c r="I13" s="209"/>
      <c r="J13" s="21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7"/>
      <c r="B14" s="14" t="s">
        <v>35</v>
      </c>
      <c r="C14" s="10"/>
      <c r="D14" s="31">
        <f t="shared" si="1"/>
        <v>0</v>
      </c>
      <c r="F14" s="211" t="s">
        <v>38</v>
      </c>
      <c r="G14" s="212"/>
      <c r="H14" s="213">
        <f>D54</f>
        <v>0</v>
      </c>
      <c r="I14" s="214"/>
      <c r="J14" s="215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7"/>
      <c r="B15" s="14" t="s">
        <v>117</v>
      </c>
      <c r="C15" s="10"/>
      <c r="D15" s="31">
        <f t="shared" si="1"/>
        <v>0</v>
      </c>
      <c r="F15" s="216" t="s">
        <v>39</v>
      </c>
      <c r="G15" s="217"/>
      <c r="H15" s="218">
        <f>H13-H14</f>
        <v>0</v>
      </c>
      <c r="I15" s="219"/>
      <c r="J15" s="22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7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8"/>
      <c r="I16" s="178"/>
      <c r="J16" s="17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7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9"/>
      <c r="I17" s="189"/>
      <c r="J17" s="18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7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9"/>
      <c r="I18" s="189"/>
      <c r="J18" s="18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7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3"/>
      <c r="I19" s="263"/>
      <c r="J19" s="26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7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8"/>
      <c r="I20" s="178"/>
      <c r="J20" s="17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7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91" t="s">
        <v>13</v>
      </c>
      <c r="I21" s="192"/>
      <c r="J21" s="193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7"/>
      <c r="B22" s="46" t="s">
        <v>103</v>
      </c>
      <c r="C22" s="10"/>
      <c r="D22" s="48">
        <f t="shared" si="1"/>
        <v>0</v>
      </c>
      <c r="F22" s="76"/>
      <c r="G22" s="72"/>
      <c r="H22" s="194"/>
      <c r="I22" s="194"/>
      <c r="J22" s="19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7"/>
      <c r="B23" s="14" t="s">
        <v>116</v>
      </c>
      <c r="C23" s="10"/>
      <c r="D23" s="48">
        <f t="shared" si="1"/>
        <v>0</v>
      </c>
      <c r="F23" s="77"/>
      <c r="G23" s="78"/>
      <c r="H23" s="264"/>
      <c r="I23" s="194"/>
      <c r="J23" s="19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7"/>
      <c r="B24" s="14" t="s">
        <v>123</v>
      </c>
      <c r="C24" s="10"/>
      <c r="D24" s="48">
        <f t="shared" si="1"/>
        <v>0</v>
      </c>
      <c r="F24" s="38"/>
      <c r="G24" s="37"/>
      <c r="H24" s="195"/>
      <c r="I24" s="164"/>
      <c r="J24" s="16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6" t="s">
        <v>13</v>
      </c>
      <c r="I25" s="197"/>
      <c r="J25" s="19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7"/>
      <c r="B26" s="14" t="s">
        <v>124</v>
      </c>
      <c r="C26" s="10"/>
      <c r="D26" s="48">
        <f t="shared" si="1"/>
        <v>0</v>
      </c>
      <c r="F26" s="64"/>
      <c r="G26" s="59"/>
      <c r="H26" s="199"/>
      <c r="I26" s="200"/>
      <c r="J26" s="20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7"/>
      <c r="B27" s="14" t="s">
        <v>125</v>
      </c>
      <c r="C27" s="10"/>
      <c r="D27" s="44">
        <f t="shared" si="1"/>
        <v>0</v>
      </c>
      <c r="F27" s="25"/>
      <c r="G27" s="79"/>
      <c r="H27" s="202"/>
      <c r="I27" s="203"/>
      <c r="J27" s="20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8"/>
      <c r="B28" s="46" t="s">
        <v>92</v>
      </c>
      <c r="C28" s="10"/>
      <c r="D28" s="48">
        <f t="shared" si="1"/>
        <v>0</v>
      </c>
      <c r="F28" s="111"/>
      <c r="G28" s="61"/>
      <c r="H28" s="205"/>
      <c r="I28" s="206"/>
      <c r="J28" s="20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9" t="s">
        <v>36</v>
      </c>
      <c r="B29" s="180"/>
      <c r="C29" s="181"/>
      <c r="D29" s="185">
        <f>SUM(D6:D28)</f>
        <v>0</v>
      </c>
      <c r="F29" s="125" t="s">
        <v>54</v>
      </c>
      <c r="G29" s="187"/>
      <c r="H29" s="147">
        <f>H15-H16-H17-H18-H19-H20-H22-H23-H24+H26+H27</f>
        <v>0</v>
      </c>
      <c r="I29" s="148"/>
      <c r="J29" s="14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2"/>
      <c r="B30" s="183"/>
      <c r="C30" s="184"/>
      <c r="D30" s="186"/>
      <c r="F30" s="128"/>
      <c r="G30" s="188"/>
      <c r="H30" s="150"/>
      <c r="I30" s="151"/>
      <c r="J30" s="15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2" t="s">
        <v>57</v>
      </c>
      <c r="B32" s="173"/>
      <c r="C32" s="173"/>
      <c r="D32" s="174"/>
      <c r="F32" s="175" t="s">
        <v>58</v>
      </c>
      <c r="G32" s="176"/>
      <c r="H32" s="176"/>
      <c r="I32" s="176"/>
      <c r="J32" s="17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175" t="s">
        <v>13</v>
      </c>
      <c r="I33" s="176"/>
      <c r="J33" s="17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6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69">
        <f>F34*G34</f>
        <v>0</v>
      </c>
      <c r="I34" s="170"/>
      <c r="J34" s="17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7"/>
      <c r="B35" s="27" t="s">
        <v>67</v>
      </c>
      <c r="C35" s="52"/>
      <c r="D35" s="30">
        <f>C35*84</f>
        <v>0</v>
      </c>
      <c r="F35" s="58">
        <v>500</v>
      </c>
      <c r="G35" s="113"/>
      <c r="H35" s="169">
        <f>F35*G35</f>
        <v>0</v>
      </c>
      <c r="I35" s="170"/>
      <c r="J35" s="17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8"/>
      <c r="B36" s="26" t="s">
        <v>69</v>
      </c>
      <c r="C36" s="10"/>
      <c r="D36" s="12">
        <f>C36*1.5</f>
        <v>0</v>
      </c>
      <c r="F36" s="12">
        <v>200</v>
      </c>
      <c r="G36" s="37"/>
      <c r="H36" s="169">
        <f t="shared" ref="H36:H39" si="2">F36*G36</f>
        <v>0</v>
      </c>
      <c r="I36" s="170"/>
      <c r="J36" s="17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9">
        <f t="shared" si="2"/>
        <v>0</v>
      </c>
      <c r="I37" s="170"/>
      <c r="J37" s="17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7"/>
      <c r="B38" s="29" t="s">
        <v>67</v>
      </c>
      <c r="C38" s="54"/>
      <c r="D38" s="12">
        <f>C38*84</f>
        <v>0</v>
      </c>
      <c r="F38" s="30">
        <v>50</v>
      </c>
      <c r="G38" s="39"/>
      <c r="H38" s="169">
        <f t="shared" si="2"/>
        <v>0</v>
      </c>
      <c r="I38" s="170"/>
      <c r="J38" s="17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8"/>
      <c r="B39" s="29" t="s">
        <v>69</v>
      </c>
      <c r="C39" s="52"/>
      <c r="D39" s="31">
        <f>C39*4.5</f>
        <v>0</v>
      </c>
      <c r="F39" s="12">
        <v>20</v>
      </c>
      <c r="G39" s="37"/>
      <c r="H39" s="169">
        <f t="shared" si="2"/>
        <v>0</v>
      </c>
      <c r="I39" s="170"/>
      <c r="J39" s="17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6" t="s">
        <v>75</v>
      </c>
      <c r="B40" s="27" t="s">
        <v>65</v>
      </c>
      <c r="C40" s="63"/>
      <c r="D40" s="12">
        <f>C40*111</f>
        <v>0</v>
      </c>
      <c r="F40" s="12">
        <v>10</v>
      </c>
      <c r="G40" s="114"/>
      <c r="H40" s="169"/>
      <c r="I40" s="170"/>
      <c r="J40" s="17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7"/>
      <c r="B41" s="27" t="s">
        <v>67</v>
      </c>
      <c r="C41" s="10"/>
      <c r="D41" s="12">
        <f>C41*84</f>
        <v>0</v>
      </c>
      <c r="F41" s="12">
        <v>5</v>
      </c>
      <c r="G41" s="114"/>
      <c r="H41" s="169"/>
      <c r="I41" s="170"/>
      <c r="J41" s="17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8"/>
      <c r="B42" s="27" t="s">
        <v>69</v>
      </c>
      <c r="C42" s="11"/>
      <c r="D42" s="12">
        <f>C42*2.25</f>
        <v>0</v>
      </c>
      <c r="F42" s="39" t="s">
        <v>78</v>
      </c>
      <c r="G42" s="169"/>
      <c r="H42" s="170"/>
      <c r="I42" s="170"/>
      <c r="J42" s="17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9" t="s">
        <v>80</v>
      </c>
      <c r="C43" s="11"/>
      <c r="D43" s="12"/>
      <c r="F43" s="59" t="s">
        <v>81</v>
      </c>
      <c r="G43" s="109" t="s">
        <v>82</v>
      </c>
      <c r="H43" s="161" t="s">
        <v>13</v>
      </c>
      <c r="I43" s="162"/>
      <c r="J43" s="16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0"/>
      <c r="B44" s="27" t="s">
        <v>65</v>
      </c>
      <c r="C44" s="10"/>
      <c r="D44" s="12">
        <f>C44*120</f>
        <v>0</v>
      </c>
      <c r="F44" s="37"/>
      <c r="G44" s="62"/>
      <c r="H44" s="164"/>
      <c r="I44" s="164"/>
      <c r="J44" s="16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0"/>
      <c r="B45" s="27" t="s">
        <v>67</v>
      </c>
      <c r="C45" s="33"/>
      <c r="D45" s="12">
        <f>C45*84</f>
        <v>0</v>
      </c>
      <c r="F45" s="37"/>
      <c r="G45" s="75"/>
      <c r="H45" s="164"/>
      <c r="I45" s="164"/>
      <c r="J45" s="164"/>
      <c r="K45" s="21"/>
      <c r="P45" s="4"/>
      <c r="Q45" s="4"/>
      <c r="R45" s="5"/>
    </row>
    <row r="46" spans="1:18" ht="15.75" x14ac:dyDescent="0.25">
      <c r="A46" s="140"/>
      <c r="B46" s="49" t="s">
        <v>69</v>
      </c>
      <c r="C46" s="80"/>
      <c r="D46" s="12">
        <f>C46*1.5</f>
        <v>0</v>
      </c>
      <c r="F46" s="37"/>
      <c r="G46" s="62"/>
      <c r="H46" s="164"/>
      <c r="I46" s="164"/>
      <c r="J46" s="164"/>
      <c r="K46" s="21"/>
      <c r="P46" s="4"/>
      <c r="Q46" s="4"/>
      <c r="R46" s="5"/>
    </row>
    <row r="47" spans="1:18" ht="15.75" x14ac:dyDescent="0.25">
      <c r="A47" s="141"/>
      <c r="B47" s="27"/>
      <c r="C47" s="11"/>
      <c r="D47" s="12"/>
      <c r="F47" s="59"/>
      <c r="G47" s="59"/>
      <c r="H47" s="164"/>
      <c r="I47" s="164"/>
      <c r="J47" s="164"/>
      <c r="K47" s="21"/>
      <c r="P47" s="4"/>
      <c r="Q47" s="4"/>
      <c r="R47" s="5"/>
    </row>
    <row r="48" spans="1:18" ht="15" customHeight="1" x14ac:dyDescent="0.25">
      <c r="A48" s="139" t="s">
        <v>32</v>
      </c>
      <c r="B48" s="27" t="s">
        <v>65</v>
      </c>
      <c r="C48" s="10"/>
      <c r="D48" s="12">
        <f>C48*78</f>
        <v>0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0"/>
      <c r="B49" s="29" t="s">
        <v>67</v>
      </c>
      <c r="C49" s="33"/>
      <c r="D49" s="12">
        <f>C49*42</f>
        <v>0</v>
      </c>
      <c r="F49" s="145" t="s">
        <v>85</v>
      </c>
      <c r="G49" s="147">
        <f>H34+H35+H36+H37+H38+H39+H40+H41+G42+H44+H45+H46+H47+H48</f>
        <v>0</v>
      </c>
      <c r="H49" s="148"/>
      <c r="I49" s="148"/>
      <c r="J49" s="14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0"/>
      <c r="B50" s="32" t="s">
        <v>69</v>
      </c>
      <c r="C50" s="80"/>
      <c r="D50" s="12">
        <f>C50*1.5</f>
        <v>0</v>
      </c>
      <c r="F50" s="146"/>
      <c r="G50" s="150"/>
      <c r="H50" s="151"/>
      <c r="I50" s="151"/>
      <c r="J50" s="152"/>
      <c r="O50" t="s">
        <v>112</v>
      </c>
      <c r="P50" s="4">
        <v>1204</v>
      </c>
      <c r="Q50" s="4"/>
      <c r="R50" s="5"/>
    </row>
    <row r="51" spans="1:18" ht="15" customHeight="1" x14ac:dyDescent="0.25">
      <c r="A51" s="140"/>
      <c r="B51" s="27"/>
      <c r="C51" s="10"/>
      <c r="D51" s="31"/>
      <c r="F51" s="153" t="str">
        <f>_xlfn.IFS(H29&gt;G49,"SHORT",H29&lt;G49,"OVER",H29&lt;=G49,"-")</f>
        <v>-</v>
      </c>
      <c r="G51" s="155">
        <f>G49-H29</f>
        <v>0</v>
      </c>
      <c r="H51" s="156"/>
      <c r="I51" s="156"/>
      <c r="J51" s="1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140"/>
      <c r="B52" s="29"/>
      <c r="C52" s="33"/>
      <c r="D52" s="45"/>
      <c r="F52" s="154"/>
      <c r="G52" s="158"/>
      <c r="H52" s="159"/>
      <c r="I52" s="159"/>
      <c r="J52" s="1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5" t="s">
        <v>89</v>
      </c>
      <c r="B54" s="126"/>
      <c r="C54" s="127"/>
      <c r="D54" s="13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8"/>
      <c r="B55" s="129"/>
      <c r="C55" s="130"/>
      <c r="D55" s="13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133" t="s">
        <v>90</v>
      </c>
      <c r="B58" s="134"/>
      <c r="C58" s="134"/>
      <c r="D58" s="135"/>
      <c r="F58" s="133" t="s">
        <v>91</v>
      </c>
      <c r="G58" s="134"/>
      <c r="H58" s="134"/>
      <c r="I58" s="134"/>
      <c r="J58" s="135"/>
    </row>
    <row r="59" spans="1:18" x14ac:dyDescent="0.25">
      <c r="A59" s="136"/>
      <c r="B59" s="137"/>
      <c r="C59" s="137"/>
      <c r="D59" s="138"/>
      <c r="F59" s="136"/>
      <c r="G59" s="137"/>
      <c r="H59" s="137"/>
      <c r="I59" s="137"/>
      <c r="J59" s="13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50" priority="1" operator="containsText" text="OVER">
      <formula>NOT(ISERROR(SEARCH("OVER",F51)))</formula>
    </cfRule>
    <cfRule type="containsText" dxfId="49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4050A0E4-16A7-421B-A0B3-DF5FABF6CF55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ABB646-1D1F-43EE-AE13-6B5F5E2ACE98}">
  <dimension ref="A1:R59"/>
  <sheetViews>
    <sheetView topLeftCell="A16" zoomScaleNormal="100" zoomScaleSheetLayoutView="85" workbookViewId="0">
      <selection activeCell="M36" sqref="M36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1" t="s">
        <v>1</v>
      </c>
      <c r="O1" s="221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2" t="s">
        <v>7</v>
      </c>
      <c r="B4" s="173"/>
      <c r="C4" s="173"/>
      <c r="D4" s="174"/>
      <c r="F4" s="222" t="s">
        <v>8</v>
      </c>
      <c r="G4" s="224">
        <v>3</v>
      </c>
      <c r="H4" s="226" t="s">
        <v>9</v>
      </c>
      <c r="I4" s="228">
        <v>46249</v>
      </c>
      <c r="J4" s="22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6" t="s">
        <v>7</v>
      </c>
      <c r="B5" s="15" t="s">
        <v>11</v>
      </c>
      <c r="C5" s="9" t="s">
        <v>12</v>
      </c>
      <c r="D5" s="25" t="s">
        <v>13</v>
      </c>
      <c r="F5" s="223"/>
      <c r="G5" s="225"/>
      <c r="H5" s="227"/>
      <c r="I5" s="230"/>
      <c r="J5" s="23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7"/>
      <c r="B6" s="16" t="s">
        <v>15</v>
      </c>
      <c r="C6" s="10">
        <v>594</v>
      </c>
      <c r="D6" s="13">
        <f t="shared" ref="D6:D28" si="1">C6*L6</f>
        <v>452034</v>
      </c>
      <c r="F6" s="232" t="s">
        <v>16</v>
      </c>
      <c r="G6" s="234" t="s">
        <v>142</v>
      </c>
      <c r="H6" s="235"/>
      <c r="I6" s="235"/>
      <c r="J6" s="2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7"/>
      <c r="B7" s="16" t="s">
        <v>18</v>
      </c>
      <c r="C7" s="10">
        <v>36</v>
      </c>
      <c r="D7" s="13">
        <f t="shared" si="1"/>
        <v>28116</v>
      </c>
      <c r="F7" s="233"/>
      <c r="G7" s="237"/>
      <c r="H7" s="238"/>
      <c r="I7" s="238"/>
      <c r="J7" s="2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7"/>
      <c r="B8" s="16" t="s">
        <v>20</v>
      </c>
      <c r="C8" s="10"/>
      <c r="D8" s="13">
        <f t="shared" si="1"/>
        <v>0</v>
      </c>
      <c r="F8" s="240" t="s">
        <v>21</v>
      </c>
      <c r="G8" s="241" t="s">
        <v>109</v>
      </c>
      <c r="H8" s="242"/>
      <c r="I8" s="242"/>
      <c r="J8" s="24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7"/>
      <c r="B9" s="16" t="s">
        <v>23</v>
      </c>
      <c r="C9" s="10">
        <v>9</v>
      </c>
      <c r="D9" s="13">
        <f t="shared" si="1"/>
        <v>6597</v>
      </c>
      <c r="F9" s="233"/>
      <c r="G9" s="244"/>
      <c r="H9" s="245"/>
      <c r="I9" s="245"/>
      <c r="J9" s="24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7"/>
      <c r="B10" t="s">
        <v>25</v>
      </c>
      <c r="C10" s="10"/>
      <c r="D10" s="13">
        <f t="shared" si="1"/>
        <v>0</v>
      </c>
      <c r="F10" s="232" t="s">
        <v>26</v>
      </c>
      <c r="G10" s="247" t="s">
        <v>119</v>
      </c>
      <c r="H10" s="248"/>
      <c r="I10" s="248"/>
      <c r="J10" s="249"/>
      <c r="K10" s="8"/>
      <c r="L10" s="6">
        <f>R36</f>
        <v>1032</v>
      </c>
      <c r="P10" s="4"/>
      <c r="Q10" s="4"/>
      <c r="R10" s="5"/>
    </row>
    <row r="11" spans="1:18" ht="15.75" x14ac:dyDescent="0.25">
      <c r="A11" s="167"/>
      <c r="B11" s="17" t="s">
        <v>28</v>
      </c>
      <c r="C11" s="10">
        <v>5</v>
      </c>
      <c r="D11" s="13">
        <f t="shared" si="1"/>
        <v>5850</v>
      </c>
      <c r="F11" s="233"/>
      <c r="G11" s="244"/>
      <c r="H11" s="245"/>
      <c r="I11" s="245"/>
      <c r="J11" s="24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7"/>
      <c r="B12" s="17" t="s">
        <v>30</v>
      </c>
      <c r="C12" s="10">
        <f>2+1</f>
        <v>3</v>
      </c>
      <c r="D12" s="48">
        <f t="shared" si="1"/>
        <v>2976</v>
      </c>
      <c r="F12" s="250" t="s">
        <v>33</v>
      </c>
      <c r="G12" s="251"/>
      <c r="H12" s="251"/>
      <c r="I12" s="251"/>
      <c r="J12" s="25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7"/>
      <c r="B13" s="17" t="s">
        <v>32</v>
      </c>
      <c r="C13" s="10">
        <v>20</v>
      </c>
      <c r="D13" s="48">
        <f t="shared" si="1"/>
        <v>6140</v>
      </c>
      <c r="F13" s="253" t="s">
        <v>36</v>
      </c>
      <c r="G13" s="217"/>
      <c r="H13" s="208">
        <f>D29</f>
        <v>502994.04166666669</v>
      </c>
      <c r="I13" s="209"/>
      <c r="J13" s="21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7"/>
      <c r="B14" s="14" t="s">
        <v>35</v>
      </c>
      <c r="C14" s="10">
        <v>1</v>
      </c>
      <c r="D14" s="31">
        <f t="shared" si="1"/>
        <v>11.041666666666666</v>
      </c>
      <c r="F14" s="211" t="s">
        <v>38</v>
      </c>
      <c r="G14" s="212"/>
      <c r="H14" s="213">
        <f>D54</f>
        <v>47216.25</v>
      </c>
      <c r="I14" s="214"/>
      <c r="J14" s="215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7"/>
      <c r="B15" s="14" t="s">
        <v>117</v>
      </c>
      <c r="C15" s="10">
        <v>1</v>
      </c>
      <c r="D15" s="31">
        <f t="shared" si="1"/>
        <v>620</v>
      </c>
      <c r="F15" s="216" t="s">
        <v>39</v>
      </c>
      <c r="G15" s="217"/>
      <c r="H15" s="218">
        <f>H13-H14</f>
        <v>455777.79166666669</v>
      </c>
      <c r="I15" s="219"/>
      <c r="J15" s="22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7"/>
      <c r="B16" s="18" t="s">
        <v>110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78">
        <v>3108</v>
      </c>
      <c r="I16" s="178"/>
      <c r="J16" s="17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7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9"/>
      <c r="I17" s="189"/>
      <c r="J17" s="18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7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9"/>
      <c r="I18" s="189"/>
      <c r="J18" s="18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7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3"/>
      <c r="I19" s="263"/>
      <c r="J19" s="26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7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8"/>
      <c r="I20" s="178"/>
      <c r="J20" s="17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7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191" t="s">
        <v>13</v>
      </c>
      <c r="I21" s="192"/>
      <c r="J21" s="19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7"/>
      <c r="B22" s="46" t="s">
        <v>103</v>
      </c>
      <c r="C22" s="10"/>
      <c r="D22" s="48">
        <f t="shared" si="1"/>
        <v>0</v>
      </c>
      <c r="F22" s="76"/>
      <c r="G22" s="72"/>
      <c r="H22" s="194"/>
      <c r="I22" s="194"/>
      <c r="J22" s="19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7"/>
      <c r="B23" s="14" t="s">
        <v>116</v>
      </c>
      <c r="C23" s="10"/>
      <c r="D23" s="48">
        <f t="shared" si="1"/>
        <v>0</v>
      </c>
      <c r="F23" s="77"/>
      <c r="G23" s="78"/>
      <c r="H23" s="264"/>
      <c r="I23" s="194"/>
      <c r="J23" s="19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7"/>
      <c r="B24" s="14" t="s">
        <v>123</v>
      </c>
      <c r="C24" s="10"/>
      <c r="D24" s="48">
        <f t="shared" si="1"/>
        <v>0</v>
      </c>
      <c r="F24" s="38"/>
      <c r="G24" s="37"/>
      <c r="H24" s="195"/>
      <c r="I24" s="164"/>
      <c r="J24" s="16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6" t="s">
        <v>13</v>
      </c>
      <c r="I25" s="197"/>
      <c r="J25" s="19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7"/>
      <c r="B26" s="14" t="s">
        <v>124</v>
      </c>
      <c r="C26" s="10"/>
      <c r="D26" s="48">
        <f t="shared" si="1"/>
        <v>0</v>
      </c>
      <c r="F26" s="64"/>
      <c r="G26" s="59"/>
      <c r="H26" s="199"/>
      <c r="I26" s="200"/>
      <c r="J26" s="20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7"/>
      <c r="B27" s="14" t="s">
        <v>125</v>
      </c>
      <c r="C27" s="10"/>
      <c r="D27" s="44">
        <f t="shared" si="1"/>
        <v>0</v>
      </c>
      <c r="F27" s="25"/>
      <c r="G27" s="79"/>
      <c r="H27" s="202"/>
      <c r="I27" s="203"/>
      <c r="J27" s="20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8"/>
      <c r="B28" s="46" t="s">
        <v>92</v>
      </c>
      <c r="C28" s="10"/>
      <c r="D28" s="48">
        <f t="shared" si="1"/>
        <v>0</v>
      </c>
      <c r="F28" s="111"/>
      <c r="G28" s="61"/>
      <c r="H28" s="205"/>
      <c r="I28" s="206"/>
      <c r="J28" s="20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9" t="s">
        <v>36</v>
      </c>
      <c r="B29" s="180"/>
      <c r="C29" s="181"/>
      <c r="D29" s="185">
        <f>SUM(D6:D28)</f>
        <v>502994.04166666669</v>
      </c>
      <c r="F29" s="125" t="s">
        <v>54</v>
      </c>
      <c r="G29" s="187"/>
      <c r="H29" s="147">
        <f>H15-H16-H17-H18-H19-H20-H22-H23-H24+H26+H27</f>
        <v>452669.79166666669</v>
      </c>
      <c r="I29" s="148"/>
      <c r="J29" s="14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2"/>
      <c r="B30" s="183"/>
      <c r="C30" s="184"/>
      <c r="D30" s="186"/>
      <c r="F30" s="128"/>
      <c r="G30" s="188"/>
      <c r="H30" s="150"/>
      <c r="I30" s="151"/>
      <c r="J30" s="15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2" t="s">
        <v>57</v>
      </c>
      <c r="B32" s="173"/>
      <c r="C32" s="173"/>
      <c r="D32" s="174"/>
      <c r="F32" s="175" t="s">
        <v>58</v>
      </c>
      <c r="G32" s="176"/>
      <c r="H32" s="176"/>
      <c r="I32" s="176"/>
      <c r="J32" s="17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175" t="s">
        <v>13</v>
      </c>
      <c r="I33" s="176"/>
      <c r="J33" s="17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6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136</v>
      </c>
      <c r="H34" s="169">
        <f>F34*G34</f>
        <v>136000</v>
      </c>
      <c r="I34" s="170"/>
      <c r="J34" s="17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7"/>
      <c r="B35" s="27" t="s">
        <v>67</v>
      </c>
      <c r="C35" s="52">
        <v>1</v>
      </c>
      <c r="D35" s="30">
        <f>C35*84</f>
        <v>84</v>
      </c>
      <c r="F35" s="58">
        <v>500</v>
      </c>
      <c r="G35" s="113">
        <v>8</v>
      </c>
      <c r="H35" s="169">
        <f>F35*G35</f>
        <v>4000</v>
      </c>
      <c r="I35" s="170"/>
      <c r="J35" s="17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8"/>
      <c r="B36" s="26" t="s">
        <v>69</v>
      </c>
      <c r="C36" s="10"/>
      <c r="D36" s="12">
        <f>C36*1.5</f>
        <v>0</v>
      </c>
      <c r="F36" s="12">
        <v>200</v>
      </c>
      <c r="G36" s="37"/>
      <c r="H36" s="169">
        <f t="shared" ref="H36:H39" si="2">F36*G36</f>
        <v>0</v>
      </c>
      <c r="I36" s="170"/>
      <c r="J36" s="17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6" t="s">
        <v>71</v>
      </c>
      <c r="B37" s="28" t="s">
        <v>65</v>
      </c>
      <c r="C37" s="53">
        <v>385</v>
      </c>
      <c r="D37" s="12">
        <f>C37*111</f>
        <v>42735</v>
      </c>
      <c r="F37" s="12">
        <v>100</v>
      </c>
      <c r="G37" s="39">
        <v>6</v>
      </c>
      <c r="H37" s="169">
        <f t="shared" si="2"/>
        <v>600</v>
      </c>
      <c r="I37" s="170"/>
      <c r="J37" s="17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7"/>
      <c r="B38" s="29" t="s">
        <v>67</v>
      </c>
      <c r="C38" s="54">
        <v>15</v>
      </c>
      <c r="D38" s="12">
        <f>C38*84</f>
        <v>1260</v>
      </c>
      <c r="F38" s="30">
        <v>50</v>
      </c>
      <c r="G38" s="39"/>
      <c r="H38" s="169">
        <f t="shared" si="2"/>
        <v>0</v>
      </c>
      <c r="I38" s="170"/>
      <c r="J38" s="17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8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169">
        <f t="shared" si="2"/>
        <v>0</v>
      </c>
      <c r="I39" s="170"/>
      <c r="J39" s="17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6" t="s">
        <v>75</v>
      </c>
      <c r="B40" s="27" t="s">
        <v>65</v>
      </c>
      <c r="C40" s="63">
        <v>7</v>
      </c>
      <c r="D40" s="12">
        <f>C40*111</f>
        <v>777</v>
      </c>
      <c r="F40" s="12">
        <v>10</v>
      </c>
      <c r="G40" s="114"/>
      <c r="H40" s="169"/>
      <c r="I40" s="170"/>
      <c r="J40" s="17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7"/>
      <c r="B41" s="27" t="s">
        <v>67</v>
      </c>
      <c r="C41" s="10">
        <v>2</v>
      </c>
      <c r="D41" s="12">
        <f>C41*84</f>
        <v>168</v>
      </c>
      <c r="F41" s="12">
        <v>5</v>
      </c>
      <c r="G41" s="114"/>
      <c r="H41" s="169"/>
      <c r="I41" s="170"/>
      <c r="J41" s="17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8"/>
      <c r="B42" s="27" t="s">
        <v>69</v>
      </c>
      <c r="C42" s="11">
        <v>5</v>
      </c>
      <c r="D42" s="12">
        <f>C42*2.25</f>
        <v>11.25</v>
      </c>
      <c r="F42" s="39" t="s">
        <v>78</v>
      </c>
      <c r="G42" s="169">
        <v>5</v>
      </c>
      <c r="H42" s="170"/>
      <c r="I42" s="170"/>
      <c r="J42" s="17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9" t="s">
        <v>80</v>
      </c>
      <c r="C43" s="11"/>
      <c r="D43" s="12"/>
      <c r="F43" s="59" t="s">
        <v>81</v>
      </c>
      <c r="G43" s="109" t="s">
        <v>82</v>
      </c>
      <c r="H43" s="161" t="s">
        <v>13</v>
      </c>
      <c r="I43" s="162"/>
      <c r="J43" s="16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0"/>
      <c r="B44" s="27" t="s">
        <v>65</v>
      </c>
      <c r="C44" s="10">
        <v>5</v>
      </c>
      <c r="D44" s="12">
        <f>C44*120</f>
        <v>600</v>
      </c>
      <c r="F44" s="37" t="s">
        <v>133</v>
      </c>
      <c r="G44" s="87" t="s">
        <v>181</v>
      </c>
      <c r="H44" s="164">
        <v>140936</v>
      </c>
      <c r="I44" s="164"/>
      <c r="J44" s="16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0"/>
      <c r="B45" s="27" t="s">
        <v>67</v>
      </c>
      <c r="C45" s="33">
        <v>2</v>
      </c>
      <c r="D45" s="12">
        <f>C45*84</f>
        <v>168</v>
      </c>
      <c r="F45" s="37" t="s">
        <v>133</v>
      </c>
      <c r="G45" s="87" t="s">
        <v>182</v>
      </c>
      <c r="H45" s="164">
        <v>187503</v>
      </c>
      <c r="I45" s="164"/>
      <c r="J45" s="164"/>
      <c r="K45" s="21"/>
      <c r="P45" s="4"/>
      <c r="Q45" s="4"/>
      <c r="R45" s="5"/>
    </row>
    <row r="46" spans="1:18" ht="15.75" x14ac:dyDescent="0.25">
      <c r="A46" s="140"/>
      <c r="B46" s="49" t="s">
        <v>69</v>
      </c>
      <c r="C46" s="80">
        <v>5</v>
      </c>
      <c r="D46" s="12">
        <f>C46*1.5</f>
        <v>7.5</v>
      </c>
      <c r="F46" s="37"/>
      <c r="G46" s="75"/>
      <c r="H46" s="164"/>
      <c r="I46" s="164"/>
      <c r="J46" s="164"/>
      <c r="K46" s="21"/>
      <c r="P46" s="4"/>
      <c r="Q46" s="4"/>
      <c r="R46" s="5"/>
    </row>
    <row r="47" spans="1:18" ht="15.75" x14ac:dyDescent="0.25">
      <c r="A47" s="141"/>
      <c r="B47" s="27"/>
      <c r="C47" s="11"/>
      <c r="D47" s="12"/>
      <c r="F47" s="37"/>
      <c r="G47" s="75"/>
      <c r="H47" s="164"/>
      <c r="I47" s="164"/>
      <c r="J47" s="164"/>
      <c r="K47" s="21"/>
      <c r="P47" s="4"/>
      <c r="Q47" s="4"/>
      <c r="R47" s="5"/>
    </row>
    <row r="48" spans="1:18" ht="15" customHeight="1" x14ac:dyDescent="0.25">
      <c r="A48" s="139" t="s">
        <v>32</v>
      </c>
      <c r="B48" s="27" t="s">
        <v>65</v>
      </c>
      <c r="C48" s="10">
        <v>12</v>
      </c>
      <c r="D48" s="12">
        <f>C48*78</f>
        <v>936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0"/>
      <c r="B49" s="29" t="s">
        <v>67</v>
      </c>
      <c r="C49" s="33">
        <v>8</v>
      </c>
      <c r="D49" s="12">
        <f>C49*42</f>
        <v>336</v>
      </c>
      <c r="F49" s="145" t="s">
        <v>85</v>
      </c>
      <c r="G49" s="147">
        <f>H34+H35+H36+H37+H38+H39+H40+H41+G42+H44+H45+H46+H47+H48</f>
        <v>469044</v>
      </c>
      <c r="H49" s="148"/>
      <c r="I49" s="148"/>
      <c r="J49" s="14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0"/>
      <c r="B50" s="32" t="s">
        <v>69</v>
      </c>
      <c r="C50" s="11"/>
      <c r="D50" s="12">
        <f>C50*1.5</f>
        <v>0</v>
      </c>
      <c r="F50" s="146"/>
      <c r="G50" s="150"/>
      <c r="H50" s="151"/>
      <c r="I50" s="151"/>
      <c r="J50" s="152"/>
      <c r="O50" t="s">
        <v>112</v>
      </c>
      <c r="P50" s="4">
        <v>1204</v>
      </c>
      <c r="Q50" s="4"/>
      <c r="R50" s="5"/>
    </row>
    <row r="51" spans="1:18" ht="15" customHeight="1" x14ac:dyDescent="0.25">
      <c r="A51" s="140"/>
      <c r="B51" s="27"/>
      <c r="C51" s="10"/>
      <c r="D51" s="31"/>
      <c r="F51" s="153" t="str">
        <f>_xlfn.IFS(H29&gt;G49,"SHORT",H29&lt;G49,"OVER",H29&lt;=G49,"-")</f>
        <v>OVER</v>
      </c>
      <c r="G51" s="155">
        <f>G49-H29</f>
        <v>16374.208333333314</v>
      </c>
      <c r="H51" s="156"/>
      <c r="I51" s="156"/>
      <c r="J51" s="1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140"/>
      <c r="B52" s="29"/>
      <c r="C52" s="33"/>
      <c r="D52" s="45"/>
      <c r="F52" s="154"/>
      <c r="G52" s="158"/>
      <c r="H52" s="159"/>
      <c r="I52" s="159"/>
      <c r="J52" s="1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5" t="s">
        <v>89</v>
      </c>
      <c r="B54" s="126"/>
      <c r="C54" s="127"/>
      <c r="D54" s="131">
        <f>SUM(D34:D53)</f>
        <v>47216.25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8"/>
      <c r="B55" s="129"/>
      <c r="C55" s="130"/>
      <c r="D55" s="13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33" t="s">
        <v>90</v>
      </c>
      <c r="B58" s="134"/>
      <c r="C58" s="134"/>
      <c r="D58" s="135"/>
      <c r="F58" s="133" t="s">
        <v>91</v>
      </c>
      <c r="G58" s="134"/>
      <c r="H58" s="134"/>
      <c r="I58" s="134"/>
      <c r="J58" s="135"/>
    </row>
    <row r="59" spans="1:18" x14ac:dyDescent="0.25">
      <c r="A59" s="136"/>
      <c r="B59" s="137"/>
      <c r="C59" s="137"/>
      <c r="D59" s="138"/>
      <c r="F59" s="136"/>
      <c r="G59" s="137"/>
      <c r="H59" s="137"/>
      <c r="I59" s="137"/>
      <c r="J59" s="13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47" priority="1" operator="containsText" text="OVER">
      <formula>NOT(ISERROR(SEARCH("OVER",F51)))</formula>
    </cfRule>
    <cfRule type="containsText" dxfId="46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41C8AF4B-9159-4FC4-933B-73209D572BEF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AC7E1E-18B0-4B4B-A46E-694AB8C1AFD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1" t="s">
        <v>1</v>
      </c>
      <c r="O1" s="221"/>
      <c r="P1" s="118" t="s">
        <v>2</v>
      </c>
      <c r="Q1" s="11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2" t="s">
        <v>7</v>
      </c>
      <c r="B4" s="173"/>
      <c r="C4" s="173"/>
      <c r="D4" s="174"/>
      <c r="F4" s="222" t="s">
        <v>8</v>
      </c>
      <c r="G4" s="224"/>
      <c r="H4" s="226" t="s">
        <v>9</v>
      </c>
      <c r="I4" s="228"/>
      <c r="J4" s="22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6" t="s">
        <v>7</v>
      </c>
      <c r="B5" s="15" t="s">
        <v>11</v>
      </c>
      <c r="C5" s="9" t="s">
        <v>12</v>
      </c>
      <c r="D5" s="25" t="s">
        <v>13</v>
      </c>
      <c r="F5" s="223"/>
      <c r="G5" s="225"/>
      <c r="H5" s="227"/>
      <c r="I5" s="230"/>
      <c r="J5" s="23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7"/>
      <c r="B6" s="16"/>
      <c r="C6" s="10"/>
      <c r="D6" s="13">
        <f t="shared" ref="D6:D28" si="1">C6*L6</f>
        <v>0</v>
      </c>
      <c r="F6" s="232" t="s">
        <v>16</v>
      </c>
      <c r="G6" s="234"/>
      <c r="H6" s="235"/>
      <c r="I6" s="235"/>
      <c r="J6" s="23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7"/>
      <c r="B7" s="16"/>
      <c r="C7" s="10"/>
      <c r="D7" s="13">
        <f t="shared" si="1"/>
        <v>0</v>
      </c>
      <c r="F7" s="233"/>
      <c r="G7" s="237"/>
      <c r="H7" s="238"/>
      <c r="I7" s="238"/>
      <c r="J7" s="23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7"/>
      <c r="B8" s="16"/>
      <c r="C8" s="10"/>
      <c r="D8" s="13">
        <f t="shared" si="1"/>
        <v>0</v>
      </c>
      <c r="F8" s="240" t="s">
        <v>21</v>
      </c>
      <c r="G8" s="241"/>
      <c r="H8" s="242"/>
      <c r="I8" s="242"/>
      <c r="J8" s="24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7"/>
      <c r="B9" s="16"/>
      <c r="C9" s="10"/>
      <c r="D9" s="13">
        <f t="shared" si="1"/>
        <v>0</v>
      </c>
      <c r="F9" s="233"/>
      <c r="G9" s="244"/>
      <c r="H9" s="245"/>
      <c r="I9" s="245"/>
      <c r="J9" s="24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7"/>
      <c r="C10" s="10"/>
      <c r="D10" s="13">
        <f t="shared" si="1"/>
        <v>0</v>
      </c>
      <c r="F10" s="232" t="s">
        <v>26</v>
      </c>
      <c r="G10" s="247"/>
      <c r="H10" s="248"/>
      <c r="I10" s="248"/>
      <c r="J10" s="249"/>
      <c r="K10" s="8"/>
      <c r="L10" s="6">
        <f>R36</f>
        <v>972</v>
      </c>
      <c r="P10" s="4"/>
      <c r="Q10" s="4"/>
      <c r="R10" s="5"/>
    </row>
    <row r="11" spans="1:19" ht="15.75" x14ac:dyDescent="0.25">
      <c r="A11" s="167"/>
      <c r="B11" s="17"/>
      <c r="C11" s="10"/>
      <c r="D11" s="13">
        <f t="shared" si="1"/>
        <v>0</v>
      </c>
      <c r="F11" s="233"/>
      <c r="G11" s="244"/>
      <c r="H11" s="245"/>
      <c r="I11" s="245"/>
      <c r="J11" s="24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7"/>
      <c r="B12" s="17"/>
      <c r="C12" s="10"/>
      <c r="D12" s="48">
        <f t="shared" si="1"/>
        <v>0</v>
      </c>
      <c r="F12" s="250" t="s">
        <v>33</v>
      </c>
      <c r="G12" s="251"/>
      <c r="H12" s="251"/>
      <c r="I12" s="251"/>
      <c r="J12" s="25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7"/>
      <c r="B13" s="17"/>
      <c r="C13" s="10"/>
      <c r="D13" s="48">
        <f t="shared" si="1"/>
        <v>0</v>
      </c>
      <c r="F13" s="253" t="s">
        <v>36</v>
      </c>
      <c r="G13" s="217"/>
      <c r="H13" s="208">
        <f>D29</f>
        <v>0</v>
      </c>
      <c r="I13" s="209"/>
      <c r="J13" s="21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7"/>
      <c r="B14" s="14"/>
      <c r="C14" s="10"/>
      <c r="D14" s="31">
        <f t="shared" si="1"/>
        <v>0</v>
      </c>
      <c r="F14" s="211" t="s">
        <v>38</v>
      </c>
      <c r="G14" s="212"/>
      <c r="H14" s="213">
        <f>D54</f>
        <v>0</v>
      </c>
      <c r="I14" s="214"/>
      <c r="J14" s="21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7"/>
      <c r="B15" s="14"/>
      <c r="C15" s="10"/>
      <c r="D15" s="31">
        <f t="shared" si="1"/>
        <v>0</v>
      </c>
      <c r="F15" s="216" t="s">
        <v>39</v>
      </c>
      <c r="G15" s="217"/>
      <c r="H15" s="218">
        <f>H13-H14</f>
        <v>0</v>
      </c>
      <c r="I15" s="219"/>
      <c r="J15" s="22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8"/>
      <c r="I16" s="178"/>
      <c r="J16" s="17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7"/>
      <c r="C17" s="10"/>
      <c r="D17" s="48">
        <f t="shared" si="1"/>
        <v>0</v>
      </c>
      <c r="F17" s="56"/>
      <c r="G17" s="66" t="s">
        <v>44</v>
      </c>
      <c r="H17" s="189"/>
      <c r="I17" s="189"/>
      <c r="J17" s="18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7"/>
      <c r="B18" s="19"/>
      <c r="C18" s="10"/>
      <c r="D18" s="48">
        <f t="shared" si="1"/>
        <v>0</v>
      </c>
      <c r="F18" s="56"/>
      <c r="G18" s="66" t="s">
        <v>46</v>
      </c>
      <c r="H18" s="189"/>
      <c r="I18" s="189"/>
      <c r="J18" s="18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7"/>
      <c r="B19" s="14"/>
      <c r="C19" s="10"/>
      <c r="D19" s="48">
        <f t="shared" si="1"/>
        <v>0</v>
      </c>
      <c r="F19" s="56"/>
      <c r="G19" s="68" t="s">
        <v>49</v>
      </c>
      <c r="H19" s="190"/>
      <c r="I19" s="190"/>
      <c r="J19" s="19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7"/>
      <c r="B20" s="46"/>
      <c r="C20" s="10"/>
      <c r="D20" s="13">
        <f t="shared" si="1"/>
        <v>0</v>
      </c>
      <c r="F20" s="57"/>
      <c r="G20" s="70" t="s">
        <v>102</v>
      </c>
      <c r="H20" s="178"/>
      <c r="I20" s="178"/>
      <c r="J20" s="17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7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91" t="s">
        <v>13</v>
      </c>
      <c r="I21" s="192"/>
      <c r="J21" s="193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7"/>
      <c r="B22" s="46"/>
      <c r="C22" s="10"/>
      <c r="D22" s="48">
        <f t="shared" si="1"/>
        <v>0</v>
      </c>
      <c r="F22" s="76"/>
      <c r="G22" s="72"/>
      <c r="H22" s="194"/>
      <c r="I22" s="194"/>
      <c r="J22" s="194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7"/>
      <c r="B23" s="14"/>
      <c r="C23" s="10"/>
      <c r="D23" s="48">
        <f t="shared" si="1"/>
        <v>0</v>
      </c>
      <c r="F23" s="77"/>
      <c r="G23" s="78"/>
      <c r="H23" s="195"/>
      <c r="I23" s="164"/>
      <c r="J23" s="16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7"/>
      <c r="B24" s="14"/>
      <c r="C24" s="10"/>
      <c r="D24" s="48">
        <f t="shared" si="1"/>
        <v>0</v>
      </c>
      <c r="F24" s="38"/>
      <c r="G24" s="37"/>
      <c r="H24" s="195"/>
      <c r="I24" s="164"/>
      <c r="J24" s="16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6" t="s">
        <v>13</v>
      </c>
      <c r="I25" s="197"/>
      <c r="J25" s="19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7"/>
      <c r="B26" s="14"/>
      <c r="C26" s="10"/>
      <c r="D26" s="48">
        <f t="shared" si="1"/>
        <v>0</v>
      </c>
      <c r="F26" s="64"/>
      <c r="G26" s="59"/>
      <c r="H26" s="199"/>
      <c r="I26" s="200"/>
      <c r="J26" s="20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7"/>
      <c r="B27" s="14"/>
      <c r="C27" s="10"/>
      <c r="D27" s="44">
        <f t="shared" si="1"/>
        <v>0</v>
      </c>
      <c r="F27" s="25"/>
      <c r="G27" s="79"/>
      <c r="H27" s="202"/>
      <c r="I27" s="203"/>
      <c r="J27" s="20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8"/>
      <c r="B28" s="46"/>
      <c r="C28" s="10"/>
      <c r="D28" s="48">
        <f t="shared" si="1"/>
        <v>0</v>
      </c>
      <c r="F28" s="119"/>
      <c r="G28" s="61"/>
      <c r="H28" s="205"/>
      <c r="I28" s="206"/>
      <c r="J28" s="20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9" t="s">
        <v>36</v>
      </c>
      <c r="B29" s="180"/>
      <c r="C29" s="181"/>
      <c r="D29" s="185">
        <f>SUM(D6:D28)</f>
        <v>0</v>
      </c>
      <c r="F29" s="125" t="s">
        <v>54</v>
      </c>
      <c r="G29" s="187"/>
      <c r="H29" s="147">
        <f>H15-H16-H17-H18-H19-H20-H22-H23-H24+H26+H27</f>
        <v>0</v>
      </c>
      <c r="I29" s="148"/>
      <c r="J29" s="14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2"/>
      <c r="B30" s="183"/>
      <c r="C30" s="184"/>
      <c r="D30" s="186"/>
      <c r="F30" s="128"/>
      <c r="G30" s="188"/>
      <c r="H30" s="150"/>
      <c r="I30" s="151"/>
      <c r="J30" s="15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2" t="s">
        <v>57</v>
      </c>
      <c r="B32" s="173"/>
      <c r="C32" s="173"/>
      <c r="D32" s="174"/>
      <c r="F32" s="175" t="s">
        <v>58</v>
      </c>
      <c r="G32" s="176"/>
      <c r="H32" s="176"/>
      <c r="I32" s="176"/>
      <c r="J32" s="17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75" t="s">
        <v>13</v>
      </c>
      <c r="I33" s="176"/>
      <c r="J33" s="17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6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69"/>
      <c r="I34" s="170"/>
      <c r="J34" s="17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7"/>
      <c r="B35" s="27" t="s">
        <v>67</v>
      </c>
      <c r="C35" s="52"/>
      <c r="D35" s="30">
        <f>C35*84</f>
        <v>0</v>
      </c>
      <c r="F35" s="58">
        <v>500</v>
      </c>
      <c r="G35" s="121"/>
      <c r="H35" s="169"/>
      <c r="I35" s="170"/>
      <c r="J35" s="17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8"/>
      <c r="B36" s="26" t="s">
        <v>69</v>
      </c>
      <c r="C36" s="10"/>
      <c r="D36" s="12">
        <f>C36*1.5</f>
        <v>0</v>
      </c>
      <c r="F36" s="12">
        <v>200</v>
      </c>
      <c r="G36" s="37"/>
      <c r="H36" s="169"/>
      <c r="I36" s="170"/>
      <c r="J36" s="17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9"/>
      <c r="I37" s="170"/>
      <c r="J37" s="17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7"/>
      <c r="B38" s="29" t="s">
        <v>67</v>
      </c>
      <c r="C38" s="54"/>
      <c r="D38" s="12">
        <f>C38*84</f>
        <v>0</v>
      </c>
      <c r="F38" s="30">
        <v>50</v>
      </c>
      <c r="G38" s="39"/>
      <c r="H38" s="169"/>
      <c r="I38" s="170"/>
      <c r="J38" s="17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8"/>
      <c r="B39" s="29" t="s">
        <v>69</v>
      </c>
      <c r="C39" s="52"/>
      <c r="D39" s="31">
        <f>C39*4.5</f>
        <v>0</v>
      </c>
      <c r="F39" s="12">
        <v>20</v>
      </c>
      <c r="G39" s="37"/>
      <c r="H39" s="169"/>
      <c r="I39" s="170"/>
      <c r="J39" s="17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6" t="s">
        <v>75</v>
      </c>
      <c r="B40" s="27" t="s">
        <v>65</v>
      </c>
      <c r="C40" s="63"/>
      <c r="D40" s="12">
        <f>C40*111</f>
        <v>0</v>
      </c>
      <c r="F40" s="12">
        <v>10</v>
      </c>
      <c r="G40" s="122"/>
      <c r="H40" s="169"/>
      <c r="I40" s="170"/>
      <c r="J40" s="17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7"/>
      <c r="B41" s="27" t="s">
        <v>67</v>
      </c>
      <c r="C41" s="10"/>
      <c r="D41" s="12">
        <f>C41*84</f>
        <v>0</v>
      </c>
      <c r="F41" s="12">
        <v>5</v>
      </c>
      <c r="G41" s="122"/>
      <c r="H41" s="169"/>
      <c r="I41" s="170"/>
      <c r="J41" s="17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8"/>
      <c r="B42" s="27" t="s">
        <v>69</v>
      </c>
      <c r="C42" s="11"/>
      <c r="D42" s="12">
        <f>C42*2.25</f>
        <v>0</v>
      </c>
      <c r="F42" s="39" t="s">
        <v>78</v>
      </c>
      <c r="G42" s="169"/>
      <c r="H42" s="170"/>
      <c r="I42" s="170"/>
      <c r="J42" s="17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9" t="s">
        <v>80</v>
      </c>
      <c r="C43" s="11"/>
      <c r="D43" s="12"/>
      <c r="F43" s="59" t="s">
        <v>81</v>
      </c>
      <c r="G43" s="117" t="s">
        <v>82</v>
      </c>
      <c r="H43" s="161" t="s">
        <v>13</v>
      </c>
      <c r="I43" s="162"/>
      <c r="J43" s="163"/>
      <c r="K43" s="21"/>
      <c r="P43" s="4"/>
      <c r="Q43" s="4"/>
      <c r="R43" s="5"/>
    </row>
    <row r="44" spans="1:18" ht="15.75" x14ac:dyDescent="0.25">
      <c r="A44" s="140"/>
      <c r="B44" s="27" t="s">
        <v>65</v>
      </c>
      <c r="C44" s="10"/>
      <c r="D44" s="12">
        <f>C44*120</f>
        <v>0</v>
      </c>
      <c r="F44" s="37"/>
      <c r="G44" s="75"/>
      <c r="H44" s="164"/>
      <c r="I44" s="164"/>
      <c r="J44" s="164"/>
      <c r="K44" s="21"/>
      <c r="P44" s="4"/>
      <c r="Q44" s="4"/>
      <c r="R44" s="5"/>
    </row>
    <row r="45" spans="1:18" ht="15.75" x14ac:dyDescent="0.25">
      <c r="A45" s="140"/>
      <c r="B45" s="27" t="s">
        <v>67</v>
      </c>
      <c r="C45" s="33"/>
      <c r="D45" s="12">
        <f>C45*84</f>
        <v>0</v>
      </c>
      <c r="F45" s="37"/>
      <c r="G45" s="75"/>
      <c r="H45" s="164"/>
      <c r="I45" s="164"/>
      <c r="J45" s="164"/>
      <c r="K45" s="21"/>
      <c r="P45" s="4"/>
      <c r="Q45" s="4"/>
      <c r="R45" s="5"/>
    </row>
    <row r="46" spans="1:18" ht="15.75" x14ac:dyDescent="0.25">
      <c r="A46" s="140"/>
      <c r="B46" s="49" t="s">
        <v>69</v>
      </c>
      <c r="C46" s="80"/>
      <c r="D46" s="12">
        <f>C46*1.5</f>
        <v>0</v>
      </c>
      <c r="F46" s="37"/>
      <c r="G46" s="62"/>
      <c r="H46" s="165"/>
      <c r="I46" s="165"/>
      <c r="J46" s="165"/>
      <c r="K46" s="21"/>
      <c r="P46" s="4"/>
      <c r="Q46" s="4"/>
      <c r="R46" s="5"/>
    </row>
    <row r="47" spans="1:18" ht="15.75" x14ac:dyDescent="0.25">
      <c r="A47" s="141"/>
      <c r="B47" s="27"/>
      <c r="C47" s="11"/>
      <c r="D47" s="12"/>
      <c r="F47" s="59"/>
      <c r="G47" s="59"/>
      <c r="H47" s="142"/>
      <c r="I47" s="143"/>
      <c r="J47" s="144"/>
      <c r="K47" s="21"/>
      <c r="P47" s="4"/>
      <c r="Q47" s="4"/>
      <c r="R47" s="5"/>
    </row>
    <row r="48" spans="1:18" ht="15" customHeight="1" x14ac:dyDescent="0.25">
      <c r="A48" s="139" t="s">
        <v>32</v>
      </c>
      <c r="B48" s="27" t="s">
        <v>65</v>
      </c>
      <c r="C48" s="10"/>
      <c r="D48" s="12">
        <f>C48*78</f>
        <v>0</v>
      </c>
      <c r="F48" s="59"/>
      <c r="G48" s="59"/>
      <c r="H48" s="142"/>
      <c r="I48" s="143"/>
      <c r="J48" s="14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0"/>
      <c r="B49" s="29" t="s">
        <v>67</v>
      </c>
      <c r="C49" s="33"/>
      <c r="D49" s="12">
        <f>C49*42</f>
        <v>0</v>
      </c>
      <c r="F49" s="145" t="s">
        <v>85</v>
      </c>
      <c r="G49" s="147">
        <f>H34+H35+H36+H37+H38+H39+H40+H41+G42+H44+H45+H46</f>
        <v>0</v>
      </c>
      <c r="H49" s="148"/>
      <c r="I49" s="148"/>
      <c r="J49" s="14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0"/>
      <c r="B50" s="32" t="s">
        <v>69</v>
      </c>
      <c r="C50" s="11"/>
      <c r="D50" s="12">
        <f>C50*1.5</f>
        <v>0</v>
      </c>
      <c r="F50" s="146"/>
      <c r="G50" s="150"/>
      <c r="H50" s="151"/>
      <c r="I50" s="151"/>
      <c r="J50" s="152"/>
      <c r="P50" s="4"/>
      <c r="Q50" s="4"/>
      <c r="R50" s="5"/>
    </row>
    <row r="51" spans="1:18" ht="15" customHeight="1" x14ac:dyDescent="0.25">
      <c r="A51" s="140"/>
      <c r="B51" s="27"/>
      <c r="C51" s="10"/>
      <c r="D51" s="31"/>
      <c r="F51" s="153" t="s">
        <v>106</v>
      </c>
      <c r="G51" s="155">
        <f>G49-H29</f>
        <v>0</v>
      </c>
      <c r="H51" s="156"/>
      <c r="I51" s="156"/>
      <c r="J51" s="15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0"/>
      <c r="B52" s="29"/>
      <c r="C52" s="33"/>
      <c r="D52" s="45"/>
      <c r="F52" s="154"/>
      <c r="G52" s="158"/>
      <c r="H52" s="159"/>
      <c r="I52" s="159"/>
      <c r="J52" s="1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5" t="s">
        <v>89</v>
      </c>
      <c r="B54" s="126"/>
      <c r="C54" s="127"/>
      <c r="D54" s="131">
        <f>SUM(D34:D53)</f>
        <v>0</v>
      </c>
      <c r="F54" s="21"/>
      <c r="J54" s="34"/>
    </row>
    <row r="55" spans="1:18" x14ac:dyDescent="0.25">
      <c r="A55" s="128"/>
      <c r="B55" s="129"/>
      <c r="C55" s="130"/>
      <c r="D55" s="13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3" t="s">
        <v>90</v>
      </c>
      <c r="B58" s="134"/>
      <c r="C58" s="134"/>
      <c r="D58" s="135"/>
      <c r="F58" s="133" t="s">
        <v>91</v>
      </c>
      <c r="G58" s="134"/>
      <c r="H58" s="134"/>
      <c r="I58" s="134"/>
      <c r="J58" s="135"/>
    </row>
    <row r="59" spans="1:18" x14ac:dyDescent="0.25">
      <c r="A59" s="136"/>
      <c r="B59" s="137"/>
      <c r="C59" s="137"/>
      <c r="D59" s="138"/>
      <c r="F59" s="136"/>
      <c r="G59" s="137"/>
      <c r="H59" s="137"/>
      <c r="I59" s="137"/>
      <c r="J59" s="13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8A01B6-93AF-4C17-BDF7-D62F2A2CBB86}">
  <dimension ref="A1:V68"/>
  <sheetViews>
    <sheetView zoomScaleNormal="100" zoomScaleSheetLayoutView="85" workbookViewId="0">
      <selection activeCell="O44" sqref="O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1" t="s">
        <v>1</v>
      </c>
      <c r="O1" s="221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2" t="s">
        <v>7</v>
      </c>
      <c r="B4" s="173"/>
      <c r="C4" s="173"/>
      <c r="D4" s="174"/>
      <c r="F4" s="222" t="s">
        <v>8</v>
      </c>
      <c r="G4" s="224">
        <v>1</v>
      </c>
      <c r="H4" s="226" t="s">
        <v>9</v>
      </c>
      <c r="I4" s="228">
        <v>46251</v>
      </c>
      <c r="J4" s="22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6" t="s">
        <v>7</v>
      </c>
      <c r="B5" s="15" t="s">
        <v>11</v>
      </c>
      <c r="C5" s="9" t="s">
        <v>12</v>
      </c>
      <c r="D5" s="25" t="s">
        <v>13</v>
      </c>
      <c r="F5" s="223"/>
      <c r="G5" s="225"/>
      <c r="H5" s="227"/>
      <c r="I5" s="230"/>
      <c r="J5" s="23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7"/>
      <c r="B6" s="16" t="s">
        <v>15</v>
      </c>
      <c r="C6" s="10">
        <v>409</v>
      </c>
      <c r="D6" s="13">
        <f t="shared" ref="D6:D28" si="1">C6*L6</f>
        <v>311249</v>
      </c>
      <c r="F6" s="232" t="s">
        <v>16</v>
      </c>
      <c r="G6" s="234" t="s">
        <v>99</v>
      </c>
      <c r="H6" s="235"/>
      <c r="I6" s="235"/>
      <c r="J6" s="2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7"/>
      <c r="B7" s="16" t="s">
        <v>18</v>
      </c>
      <c r="C7" s="10">
        <v>3</v>
      </c>
      <c r="D7" s="13">
        <f t="shared" si="1"/>
        <v>2343</v>
      </c>
      <c r="F7" s="233"/>
      <c r="G7" s="237"/>
      <c r="H7" s="238"/>
      <c r="I7" s="238"/>
      <c r="J7" s="2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7"/>
      <c r="B8" s="16" t="s">
        <v>20</v>
      </c>
      <c r="C8" s="10">
        <v>5</v>
      </c>
      <c r="D8" s="13">
        <f t="shared" si="1"/>
        <v>5465</v>
      </c>
      <c r="F8" s="240" t="s">
        <v>21</v>
      </c>
      <c r="G8" s="241" t="s">
        <v>115</v>
      </c>
      <c r="H8" s="242"/>
      <c r="I8" s="242"/>
      <c r="J8" s="24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7"/>
      <c r="B9" s="16" t="s">
        <v>23</v>
      </c>
      <c r="C9" s="10">
        <v>96</v>
      </c>
      <c r="D9" s="13">
        <f t="shared" si="1"/>
        <v>70368</v>
      </c>
      <c r="F9" s="233"/>
      <c r="G9" s="244"/>
      <c r="H9" s="245"/>
      <c r="I9" s="245"/>
      <c r="J9" s="24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7"/>
      <c r="B10" t="s">
        <v>25</v>
      </c>
      <c r="C10" s="10">
        <v>5</v>
      </c>
      <c r="D10" s="13">
        <f t="shared" si="1"/>
        <v>5160</v>
      </c>
      <c r="F10" s="232" t="s">
        <v>26</v>
      </c>
      <c r="G10" s="247" t="s">
        <v>108</v>
      </c>
      <c r="H10" s="248"/>
      <c r="I10" s="248"/>
      <c r="J10" s="249"/>
      <c r="K10" s="8"/>
      <c r="L10" s="6">
        <f>R36</f>
        <v>1032</v>
      </c>
      <c r="P10" s="4"/>
      <c r="Q10" s="4"/>
      <c r="R10" s="5"/>
    </row>
    <row r="11" spans="1:18" ht="15.75" x14ac:dyDescent="0.25">
      <c r="A11" s="167"/>
      <c r="B11" s="17" t="s">
        <v>28</v>
      </c>
      <c r="C11" s="10"/>
      <c r="D11" s="13">
        <f t="shared" si="1"/>
        <v>0</v>
      </c>
      <c r="F11" s="233"/>
      <c r="G11" s="244"/>
      <c r="H11" s="245"/>
      <c r="I11" s="245"/>
      <c r="J11" s="24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7"/>
      <c r="B12" s="17" t="s">
        <v>30</v>
      </c>
      <c r="C12" s="10"/>
      <c r="D12" s="48">
        <f t="shared" si="1"/>
        <v>0</v>
      </c>
      <c r="F12" s="250" t="s">
        <v>33</v>
      </c>
      <c r="G12" s="251"/>
      <c r="H12" s="251"/>
      <c r="I12" s="251"/>
      <c r="J12" s="25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7"/>
      <c r="B13" s="17" t="s">
        <v>32</v>
      </c>
      <c r="C13" s="10">
        <v>14</v>
      </c>
      <c r="D13" s="48">
        <f t="shared" si="1"/>
        <v>4298</v>
      </c>
      <c r="F13" s="253" t="s">
        <v>36</v>
      </c>
      <c r="G13" s="217"/>
      <c r="H13" s="208">
        <f>D29</f>
        <v>408615.20833333331</v>
      </c>
      <c r="I13" s="209"/>
      <c r="J13" s="21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7"/>
      <c r="B14" s="14" t="s">
        <v>35</v>
      </c>
      <c r="C14" s="10">
        <v>5</v>
      </c>
      <c r="D14" s="31">
        <f t="shared" si="1"/>
        <v>55.208333333333329</v>
      </c>
      <c r="F14" s="211" t="s">
        <v>38</v>
      </c>
      <c r="G14" s="212"/>
      <c r="H14" s="213">
        <f>D54</f>
        <v>105507</v>
      </c>
      <c r="I14" s="214"/>
      <c r="J14" s="215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7"/>
      <c r="B15" s="14" t="s">
        <v>117</v>
      </c>
      <c r="C15" s="10">
        <v>5</v>
      </c>
      <c r="D15" s="31">
        <f t="shared" si="1"/>
        <v>3100</v>
      </c>
      <c r="F15" s="216" t="s">
        <v>39</v>
      </c>
      <c r="G15" s="217"/>
      <c r="H15" s="218">
        <f>H13-H14</f>
        <v>303108.20833333331</v>
      </c>
      <c r="I15" s="219"/>
      <c r="J15" s="22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7"/>
      <c r="B16" s="18" t="s">
        <v>110</v>
      </c>
      <c r="C16" s="10">
        <v>3</v>
      </c>
      <c r="D16" s="48">
        <f t="shared" si="1"/>
        <v>1950</v>
      </c>
      <c r="F16" s="67" t="s">
        <v>41</v>
      </c>
      <c r="G16" s="66" t="s">
        <v>42</v>
      </c>
      <c r="H16" s="178">
        <f>1296+1380</f>
        <v>2676</v>
      </c>
      <c r="I16" s="178"/>
      <c r="J16" s="17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7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9"/>
      <c r="I17" s="189"/>
      <c r="J17" s="18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7"/>
      <c r="B18" s="85" t="s">
        <v>120</v>
      </c>
      <c r="C18" s="10">
        <v>1</v>
      </c>
      <c r="D18" s="48">
        <f t="shared" si="1"/>
        <v>1102</v>
      </c>
      <c r="F18" s="56"/>
      <c r="G18" s="66" t="s">
        <v>46</v>
      </c>
      <c r="H18" s="189"/>
      <c r="I18" s="189"/>
      <c r="J18" s="18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7"/>
      <c r="B19" s="82" t="s">
        <v>105</v>
      </c>
      <c r="C19" s="10">
        <f>1+1+1</f>
        <v>3</v>
      </c>
      <c r="D19" s="48">
        <f t="shared" si="1"/>
        <v>3525</v>
      </c>
      <c r="F19" s="56"/>
      <c r="G19" s="68" t="s">
        <v>49</v>
      </c>
      <c r="H19" s="178"/>
      <c r="I19" s="178"/>
      <c r="J19" s="17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7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8"/>
      <c r="I20" s="178"/>
      <c r="J20" s="17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7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91" t="s">
        <v>13</v>
      </c>
      <c r="I21" s="192"/>
      <c r="J21" s="19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7"/>
      <c r="B22" s="46" t="s">
        <v>103</v>
      </c>
      <c r="C22" s="10"/>
      <c r="D22" s="48">
        <f t="shared" si="1"/>
        <v>0</v>
      </c>
      <c r="F22" s="76"/>
      <c r="G22" s="72"/>
      <c r="H22" s="194"/>
      <c r="I22" s="194"/>
      <c r="J22" s="19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7"/>
      <c r="B23" s="14" t="s">
        <v>116</v>
      </c>
      <c r="C23" s="10"/>
      <c r="D23" s="48">
        <f t="shared" si="1"/>
        <v>0</v>
      </c>
      <c r="F23" s="76"/>
      <c r="G23" s="78"/>
      <c r="H23" s="259"/>
      <c r="I23" s="260"/>
      <c r="J23" s="26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7"/>
      <c r="B24" s="14" t="s">
        <v>123</v>
      </c>
      <c r="C24" s="10"/>
      <c r="D24" s="48">
        <f t="shared" si="1"/>
        <v>0</v>
      </c>
      <c r="F24" s="76"/>
      <c r="G24" s="78"/>
      <c r="H24" s="259"/>
      <c r="I24" s="260"/>
      <c r="J24" s="26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6" t="s">
        <v>13</v>
      </c>
      <c r="I25" s="197"/>
      <c r="J25" s="19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7"/>
      <c r="B26" s="14" t="s">
        <v>124</v>
      </c>
      <c r="C26" s="10"/>
      <c r="D26" s="48">
        <f t="shared" si="1"/>
        <v>0</v>
      </c>
      <c r="F26" s="74"/>
      <c r="G26" s="65"/>
      <c r="H26" s="164"/>
      <c r="I26" s="164"/>
      <c r="J26" s="16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7"/>
      <c r="B27" s="14" t="s">
        <v>125</v>
      </c>
      <c r="C27" s="10"/>
      <c r="D27" s="44">
        <f t="shared" si="1"/>
        <v>0</v>
      </c>
      <c r="F27" s="71"/>
      <c r="G27" s="117"/>
      <c r="H27" s="261"/>
      <c r="I27" s="262"/>
      <c r="J27" s="26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8"/>
      <c r="B28" s="46" t="s">
        <v>92</v>
      </c>
      <c r="C28" s="10"/>
      <c r="D28" s="48">
        <f t="shared" si="1"/>
        <v>0</v>
      </c>
      <c r="F28" s="119"/>
      <c r="G28" s="61"/>
      <c r="H28" s="205"/>
      <c r="I28" s="206"/>
      <c r="J28" s="20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9" t="s">
        <v>36</v>
      </c>
      <c r="B29" s="180"/>
      <c r="C29" s="181"/>
      <c r="D29" s="185">
        <f>SUM(D6:D28)</f>
        <v>408615.20833333331</v>
      </c>
      <c r="F29" s="125" t="s">
        <v>54</v>
      </c>
      <c r="G29" s="187"/>
      <c r="H29" s="147">
        <f>H15-H16-H17-H18-H19-H20-H22-H23-H24+H26+H27+H28</f>
        <v>300432.20833333331</v>
      </c>
      <c r="I29" s="148"/>
      <c r="J29" s="14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2"/>
      <c r="B30" s="183"/>
      <c r="C30" s="184"/>
      <c r="D30" s="186"/>
      <c r="F30" s="128"/>
      <c r="G30" s="188"/>
      <c r="H30" s="150"/>
      <c r="I30" s="151"/>
      <c r="J30" s="15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2" t="s">
        <v>57</v>
      </c>
      <c r="B32" s="173"/>
      <c r="C32" s="173"/>
      <c r="D32" s="174"/>
      <c r="F32" s="175" t="s">
        <v>58</v>
      </c>
      <c r="G32" s="176"/>
      <c r="H32" s="176"/>
      <c r="I32" s="176"/>
      <c r="J32" s="17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75" t="s">
        <v>13</v>
      </c>
      <c r="I33" s="176"/>
      <c r="J33" s="17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6" t="s">
        <v>64</v>
      </c>
      <c r="B34" s="26" t="s">
        <v>65</v>
      </c>
      <c r="C34" s="51">
        <v>5</v>
      </c>
      <c r="D34" s="30">
        <f>C34*120</f>
        <v>600</v>
      </c>
      <c r="F34" s="12">
        <v>1000</v>
      </c>
      <c r="G34" s="40">
        <v>28</v>
      </c>
      <c r="H34" s="169">
        <f t="shared" ref="H34:H39" si="2">F34*G34</f>
        <v>28000</v>
      </c>
      <c r="I34" s="170"/>
      <c r="J34" s="17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7"/>
      <c r="B35" s="27" t="s">
        <v>67</v>
      </c>
      <c r="C35" s="52"/>
      <c r="D35" s="30">
        <f>C35*84</f>
        <v>0</v>
      </c>
      <c r="F35" s="58">
        <v>500</v>
      </c>
      <c r="G35" s="121">
        <v>12</v>
      </c>
      <c r="H35" s="169">
        <f t="shared" si="2"/>
        <v>6000</v>
      </c>
      <c r="I35" s="170"/>
      <c r="J35" s="17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8"/>
      <c r="B36" s="26" t="s">
        <v>69</v>
      </c>
      <c r="C36" s="10"/>
      <c r="D36" s="12">
        <f>C36*1.5</f>
        <v>0</v>
      </c>
      <c r="F36" s="12">
        <v>200</v>
      </c>
      <c r="G36" s="37"/>
      <c r="H36" s="169">
        <f t="shared" si="2"/>
        <v>0</v>
      </c>
      <c r="I36" s="170"/>
      <c r="J36" s="17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6" t="s">
        <v>71</v>
      </c>
      <c r="B37" s="28" t="s">
        <v>65</v>
      </c>
      <c r="C37" s="53">
        <v>911</v>
      </c>
      <c r="D37" s="12">
        <f>C37*111</f>
        <v>101121</v>
      </c>
      <c r="F37" s="12">
        <v>100</v>
      </c>
      <c r="G37" s="39">
        <v>50</v>
      </c>
      <c r="H37" s="169">
        <f t="shared" si="2"/>
        <v>5000</v>
      </c>
      <c r="I37" s="170"/>
      <c r="J37" s="17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7"/>
      <c r="B38" s="29" t="s">
        <v>67</v>
      </c>
      <c r="C38" s="54">
        <v>7</v>
      </c>
      <c r="D38" s="12">
        <f>C38*84</f>
        <v>588</v>
      </c>
      <c r="F38" s="30">
        <v>50</v>
      </c>
      <c r="G38" s="39">
        <v>15</v>
      </c>
      <c r="H38" s="169">
        <f t="shared" si="2"/>
        <v>750</v>
      </c>
      <c r="I38" s="170"/>
      <c r="J38" s="17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8"/>
      <c r="B39" s="29" t="s">
        <v>69</v>
      </c>
      <c r="C39" s="52">
        <v>3</v>
      </c>
      <c r="D39" s="31">
        <f>C39*4.5</f>
        <v>13.5</v>
      </c>
      <c r="F39" s="12">
        <v>20</v>
      </c>
      <c r="G39" s="37">
        <v>1</v>
      </c>
      <c r="H39" s="169">
        <f t="shared" si="2"/>
        <v>20</v>
      </c>
      <c r="I39" s="170"/>
      <c r="J39" s="17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6" t="s">
        <v>75</v>
      </c>
      <c r="B40" s="27" t="s">
        <v>65</v>
      </c>
      <c r="C40" s="63">
        <v>9</v>
      </c>
      <c r="D40" s="12">
        <f>C40*111</f>
        <v>999</v>
      </c>
      <c r="F40" s="12">
        <v>10</v>
      </c>
      <c r="G40" s="122"/>
      <c r="H40" s="257"/>
      <c r="I40" s="258"/>
      <c r="J40" s="19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7"/>
      <c r="B41" s="27" t="s">
        <v>67</v>
      </c>
      <c r="C41" s="10"/>
      <c r="D41" s="12">
        <f>C41*84</f>
        <v>0</v>
      </c>
      <c r="F41" s="12">
        <v>5</v>
      </c>
      <c r="G41" s="122"/>
      <c r="H41" s="169"/>
      <c r="I41" s="170"/>
      <c r="J41" s="17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8"/>
      <c r="B42" s="27" t="s">
        <v>69</v>
      </c>
      <c r="C42" s="11"/>
      <c r="D42" s="12">
        <f>C42*2.25</f>
        <v>0</v>
      </c>
      <c r="F42" s="39" t="s">
        <v>78</v>
      </c>
      <c r="G42" s="169">
        <v>61</v>
      </c>
      <c r="H42" s="170"/>
      <c r="I42" s="170"/>
      <c r="J42" s="17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9" t="s">
        <v>80</v>
      </c>
      <c r="C43" s="11"/>
      <c r="D43" s="12"/>
      <c r="F43" s="59" t="s">
        <v>81</v>
      </c>
      <c r="G43" s="117"/>
      <c r="H43" s="161" t="s">
        <v>13</v>
      </c>
      <c r="I43" s="162"/>
      <c r="J43" s="16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0"/>
      <c r="B44" s="27" t="s">
        <v>65</v>
      </c>
      <c r="C44" s="10">
        <v>4</v>
      </c>
      <c r="D44" s="12">
        <f>C44*120</f>
        <v>480</v>
      </c>
      <c r="F44" s="37" t="s">
        <v>136</v>
      </c>
      <c r="G44" s="87" t="s">
        <v>183</v>
      </c>
      <c r="H44" s="164">
        <v>158716.5</v>
      </c>
      <c r="I44" s="164"/>
      <c r="J44" s="16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0"/>
      <c r="B45" s="27" t="s">
        <v>67</v>
      </c>
      <c r="C45" s="33"/>
      <c r="D45" s="12">
        <f>C45*84</f>
        <v>0</v>
      </c>
      <c r="F45" s="37" t="s">
        <v>136</v>
      </c>
      <c r="G45" s="87" t="s">
        <v>184</v>
      </c>
      <c r="H45" s="164">
        <v>101490</v>
      </c>
      <c r="I45" s="164"/>
      <c r="J45" s="164"/>
      <c r="K45" s="21"/>
      <c r="P45" s="4"/>
      <c r="Q45" s="4"/>
      <c r="R45" s="5"/>
    </row>
    <row r="46" spans="1:18" ht="15.75" x14ac:dyDescent="0.25">
      <c r="A46" s="140"/>
      <c r="B46" s="49" t="s">
        <v>69</v>
      </c>
      <c r="C46" s="80"/>
      <c r="D46" s="12">
        <f>C46*1.5</f>
        <v>0</v>
      </c>
      <c r="F46" s="37"/>
      <c r="G46" s="62"/>
      <c r="H46" s="164"/>
      <c r="I46" s="164"/>
      <c r="J46" s="164"/>
      <c r="K46" s="21"/>
      <c r="P46" s="4"/>
      <c r="Q46" s="4"/>
      <c r="R46" s="5"/>
    </row>
    <row r="47" spans="1:18" ht="15.75" x14ac:dyDescent="0.25">
      <c r="A47" s="141"/>
      <c r="B47" s="27"/>
      <c r="C47" s="11"/>
      <c r="D47" s="12"/>
      <c r="F47" s="59"/>
      <c r="G47" s="59"/>
      <c r="H47" s="254"/>
      <c r="I47" s="255"/>
      <c r="J47" s="256"/>
      <c r="K47" s="21"/>
      <c r="P47" s="4"/>
      <c r="Q47" s="4"/>
      <c r="R47" s="5"/>
    </row>
    <row r="48" spans="1:18" ht="15" customHeight="1" x14ac:dyDescent="0.25">
      <c r="A48" s="139" t="s">
        <v>32</v>
      </c>
      <c r="B48" s="27" t="s">
        <v>65</v>
      </c>
      <c r="C48" s="10">
        <v>14</v>
      </c>
      <c r="D48" s="12">
        <f>C48*78</f>
        <v>1092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0"/>
      <c r="B49" s="29" t="s">
        <v>67</v>
      </c>
      <c r="C49" s="33">
        <v>14</v>
      </c>
      <c r="D49" s="12">
        <f>C49*42</f>
        <v>588</v>
      </c>
      <c r="F49" s="145" t="s">
        <v>85</v>
      </c>
      <c r="G49" s="147">
        <f>H34+H35+H36+H37+H38+H39+H40+H41+G42+H44+H45+H46+H47+H48</f>
        <v>300037.5</v>
      </c>
      <c r="H49" s="148"/>
      <c r="I49" s="148"/>
      <c r="J49" s="14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0"/>
      <c r="B50" s="32" t="s">
        <v>69</v>
      </c>
      <c r="C50" s="11">
        <v>17</v>
      </c>
      <c r="D50" s="12">
        <f>C50*1.5</f>
        <v>25.5</v>
      </c>
      <c r="F50" s="146"/>
      <c r="G50" s="150"/>
      <c r="H50" s="151"/>
      <c r="I50" s="151"/>
      <c r="J50" s="152"/>
      <c r="O50" t="s">
        <v>112</v>
      </c>
      <c r="P50" s="4">
        <v>1204</v>
      </c>
      <c r="Q50" s="4"/>
      <c r="R50" s="5"/>
    </row>
    <row r="51" spans="1:18" ht="15" customHeight="1" x14ac:dyDescent="0.25">
      <c r="A51" s="140"/>
      <c r="B51" s="27"/>
      <c r="C51" s="10"/>
      <c r="D51" s="31"/>
      <c r="F51" s="153" t="str">
        <f>_xlfn.IFS(H29&gt;G49,"SHORT",H29&lt;G49,"OVER",H29&lt;=G49,"-")</f>
        <v>SHORT</v>
      </c>
      <c r="G51" s="155">
        <f>G49-H29</f>
        <v>-394.70833333331393</v>
      </c>
      <c r="H51" s="156"/>
      <c r="I51" s="156"/>
      <c r="J51" s="1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0"/>
      <c r="B52" s="29"/>
      <c r="C52" s="33"/>
      <c r="D52" s="45"/>
      <c r="F52" s="154"/>
      <c r="G52" s="158"/>
      <c r="H52" s="159"/>
      <c r="I52" s="159"/>
      <c r="J52" s="1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5" t="s">
        <v>89</v>
      </c>
      <c r="B54" s="126"/>
      <c r="C54" s="127"/>
      <c r="D54" s="131">
        <f>SUM(D34:D53)</f>
        <v>105507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8"/>
      <c r="B55" s="129"/>
      <c r="C55" s="130"/>
      <c r="D55" s="13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33" t="s">
        <v>90</v>
      </c>
      <c r="B58" s="134"/>
      <c r="C58" s="134"/>
      <c r="D58" s="135"/>
      <c r="F58" s="133" t="s">
        <v>91</v>
      </c>
      <c r="G58" s="134"/>
      <c r="H58" s="134"/>
      <c r="I58" s="134"/>
      <c r="J58" s="135"/>
    </row>
    <row r="59" spans="1:18" x14ac:dyDescent="0.25">
      <c r="A59" s="136"/>
      <c r="B59" s="137"/>
      <c r="C59" s="137"/>
      <c r="D59" s="138"/>
      <c r="F59" s="136"/>
      <c r="G59" s="137"/>
      <c r="H59" s="137"/>
      <c r="I59" s="137"/>
      <c r="J59" s="138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44" priority="1" operator="containsText" text="OVER">
      <formula>NOT(ISERROR(SEARCH("OVER",F51)))</formula>
    </cfRule>
    <cfRule type="containsText" dxfId="43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AE74B77C-7EF0-465E-B46F-09A38C9102B5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B974B4-DED7-4A60-B590-D910567B59D4}">
  <dimension ref="A1:R59"/>
  <sheetViews>
    <sheetView topLeftCell="A4" zoomScaleNormal="100" zoomScaleSheetLayoutView="85" workbookViewId="0">
      <selection activeCell="L36" sqref="L36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1" t="s">
        <v>1</v>
      </c>
      <c r="O1" s="221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2" t="s">
        <v>7</v>
      </c>
      <c r="B4" s="173"/>
      <c r="C4" s="173"/>
      <c r="D4" s="174"/>
      <c r="F4" s="222" t="s">
        <v>8</v>
      </c>
      <c r="G4" s="224">
        <v>2</v>
      </c>
      <c r="H4" s="226" t="s">
        <v>9</v>
      </c>
      <c r="I4" s="228">
        <v>46251</v>
      </c>
      <c r="J4" s="22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6" t="s">
        <v>7</v>
      </c>
      <c r="B5" s="15" t="s">
        <v>11</v>
      </c>
      <c r="C5" s="9" t="s">
        <v>12</v>
      </c>
      <c r="D5" s="25" t="s">
        <v>13</v>
      </c>
      <c r="F5" s="223"/>
      <c r="G5" s="225"/>
      <c r="H5" s="227"/>
      <c r="I5" s="230"/>
      <c r="J5" s="23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7"/>
      <c r="B6" s="16" t="s">
        <v>15</v>
      </c>
      <c r="C6" s="10">
        <v>501</v>
      </c>
      <c r="D6" s="13">
        <f t="shared" ref="D6:D28" si="1">C6*L6</f>
        <v>381261</v>
      </c>
      <c r="F6" s="232" t="s">
        <v>16</v>
      </c>
      <c r="G6" s="234" t="s">
        <v>107</v>
      </c>
      <c r="H6" s="235"/>
      <c r="I6" s="235"/>
      <c r="J6" s="2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7"/>
      <c r="B7" s="16" t="s">
        <v>18</v>
      </c>
      <c r="C7" s="10">
        <v>2</v>
      </c>
      <c r="D7" s="13">
        <f t="shared" si="1"/>
        <v>1562</v>
      </c>
      <c r="F7" s="233"/>
      <c r="G7" s="237"/>
      <c r="H7" s="238"/>
      <c r="I7" s="238"/>
      <c r="J7" s="2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7"/>
      <c r="B8" s="16" t="s">
        <v>20</v>
      </c>
      <c r="C8" s="10"/>
      <c r="D8" s="13">
        <f t="shared" si="1"/>
        <v>0</v>
      </c>
      <c r="F8" s="240" t="s">
        <v>21</v>
      </c>
      <c r="G8" s="241" t="s">
        <v>100</v>
      </c>
      <c r="H8" s="242"/>
      <c r="I8" s="242"/>
      <c r="J8" s="24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7"/>
      <c r="B9" s="16" t="s">
        <v>23</v>
      </c>
      <c r="C9" s="10">
        <v>24</v>
      </c>
      <c r="D9" s="13">
        <f t="shared" si="1"/>
        <v>17592</v>
      </c>
      <c r="F9" s="233"/>
      <c r="G9" s="244"/>
      <c r="H9" s="245"/>
      <c r="I9" s="245"/>
      <c r="J9" s="24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7"/>
      <c r="B10" t="s">
        <v>25</v>
      </c>
      <c r="C10" s="10">
        <v>1</v>
      </c>
      <c r="D10" s="13">
        <f t="shared" si="1"/>
        <v>1032</v>
      </c>
      <c r="F10" s="232" t="s">
        <v>26</v>
      </c>
      <c r="G10" s="247" t="s">
        <v>101</v>
      </c>
      <c r="H10" s="248"/>
      <c r="I10" s="248"/>
      <c r="J10" s="249"/>
      <c r="K10" s="8"/>
      <c r="L10" s="6">
        <f>R36</f>
        <v>1032</v>
      </c>
      <c r="P10" s="4"/>
      <c r="Q10" s="4"/>
      <c r="R10" s="5"/>
    </row>
    <row r="11" spans="1:18" ht="15.75" x14ac:dyDescent="0.25">
      <c r="A11" s="167"/>
      <c r="B11" s="17" t="s">
        <v>28</v>
      </c>
      <c r="C11" s="10">
        <v>1</v>
      </c>
      <c r="D11" s="13">
        <f t="shared" si="1"/>
        <v>1170</v>
      </c>
      <c r="F11" s="233"/>
      <c r="G11" s="244"/>
      <c r="H11" s="245"/>
      <c r="I11" s="245"/>
      <c r="J11" s="24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7"/>
      <c r="B12" s="17" t="s">
        <v>30</v>
      </c>
      <c r="C12" s="10">
        <v>1</v>
      </c>
      <c r="D12" s="48">
        <f t="shared" si="1"/>
        <v>992</v>
      </c>
      <c r="F12" s="250" t="s">
        <v>33</v>
      </c>
      <c r="G12" s="251"/>
      <c r="H12" s="251"/>
      <c r="I12" s="251"/>
      <c r="J12" s="25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7"/>
      <c r="B13" s="17" t="s">
        <v>32</v>
      </c>
      <c r="C13" s="10">
        <v>17</v>
      </c>
      <c r="D13" s="48">
        <f t="shared" si="1"/>
        <v>5219</v>
      </c>
      <c r="F13" s="253" t="s">
        <v>36</v>
      </c>
      <c r="G13" s="217"/>
      <c r="H13" s="208">
        <f>D29</f>
        <v>410326.75</v>
      </c>
      <c r="I13" s="209"/>
      <c r="J13" s="21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7"/>
      <c r="B14" s="14" t="s">
        <v>35</v>
      </c>
      <c r="C14" s="10">
        <v>18</v>
      </c>
      <c r="D14" s="31">
        <f t="shared" si="1"/>
        <v>198.75</v>
      </c>
      <c r="F14" s="211" t="s">
        <v>38</v>
      </c>
      <c r="G14" s="212"/>
      <c r="H14" s="213">
        <f>D54</f>
        <v>59854.5</v>
      </c>
      <c r="I14" s="214"/>
      <c r="J14" s="215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7"/>
      <c r="B15" s="14" t="s">
        <v>117</v>
      </c>
      <c r="C15" s="10"/>
      <c r="D15" s="31">
        <f t="shared" si="1"/>
        <v>0</v>
      </c>
      <c r="F15" s="216" t="s">
        <v>39</v>
      </c>
      <c r="G15" s="217"/>
      <c r="H15" s="218">
        <f>H13-H14</f>
        <v>350472.25</v>
      </c>
      <c r="I15" s="219"/>
      <c r="J15" s="22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7"/>
      <c r="B16" s="18" t="s">
        <v>110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178">
        <v>2700</v>
      </c>
      <c r="I16" s="178"/>
      <c r="J16" s="17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7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9"/>
      <c r="I17" s="189"/>
      <c r="J17" s="18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7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9"/>
      <c r="I18" s="189"/>
      <c r="J18" s="18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7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3"/>
      <c r="I19" s="263"/>
      <c r="J19" s="26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7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8"/>
      <c r="I20" s="178"/>
      <c r="J20" s="17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7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91" t="s">
        <v>13</v>
      </c>
      <c r="I21" s="192"/>
      <c r="J21" s="193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7"/>
      <c r="B22" s="46" t="s">
        <v>103</v>
      </c>
      <c r="C22" s="10"/>
      <c r="D22" s="48">
        <f t="shared" si="1"/>
        <v>0</v>
      </c>
      <c r="F22" s="76"/>
      <c r="G22" s="72"/>
      <c r="H22" s="194"/>
      <c r="I22" s="194"/>
      <c r="J22" s="19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7"/>
      <c r="B23" s="14" t="s">
        <v>116</v>
      </c>
      <c r="C23" s="10"/>
      <c r="D23" s="48">
        <f t="shared" si="1"/>
        <v>0</v>
      </c>
      <c r="F23" s="77"/>
      <c r="G23" s="78"/>
      <c r="H23" s="264"/>
      <c r="I23" s="194"/>
      <c r="J23" s="19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7"/>
      <c r="B24" s="14" t="s">
        <v>123</v>
      </c>
      <c r="C24" s="10"/>
      <c r="D24" s="48">
        <f t="shared" si="1"/>
        <v>0</v>
      </c>
      <c r="F24" s="38"/>
      <c r="G24" s="37"/>
      <c r="H24" s="195"/>
      <c r="I24" s="164"/>
      <c r="J24" s="16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6" t="s">
        <v>13</v>
      </c>
      <c r="I25" s="197"/>
      <c r="J25" s="19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7"/>
      <c r="B26" s="14" t="s">
        <v>124</v>
      </c>
      <c r="C26" s="10"/>
      <c r="D26" s="48">
        <f t="shared" si="1"/>
        <v>0</v>
      </c>
      <c r="F26" s="64"/>
      <c r="G26" s="59"/>
      <c r="H26" s="199"/>
      <c r="I26" s="200"/>
      <c r="J26" s="20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7"/>
      <c r="B27" s="14" t="s">
        <v>125</v>
      </c>
      <c r="C27" s="10"/>
      <c r="D27" s="44">
        <f t="shared" si="1"/>
        <v>0</v>
      </c>
      <c r="F27" s="25"/>
      <c r="G27" s="79"/>
      <c r="H27" s="202"/>
      <c r="I27" s="203"/>
      <c r="J27" s="20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8"/>
      <c r="B28" s="46" t="s">
        <v>92</v>
      </c>
      <c r="C28" s="10"/>
      <c r="D28" s="48">
        <f t="shared" si="1"/>
        <v>0</v>
      </c>
      <c r="F28" s="119"/>
      <c r="G28" s="61"/>
      <c r="H28" s="205"/>
      <c r="I28" s="206"/>
      <c r="J28" s="20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9" t="s">
        <v>36</v>
      </c>
      <c r="B29" s="180"/>
      <c r="C29" s="181"/>
      <c r="D29" s="185">
        <f>SUM(D6:D28)</f>
        <v>410326.75</v>
      </c>
      <c r="F29" s="125" t="s">
        <v>54</v>
      </c>
      <c r="G29" s="187"/>
      <c r="H29" s="147">
        <f>H15-H16-H17-H18-H19-H20-H22-H23-H24+H26+H27</f>
        <v>347772.25</v>
      </c>
      <c r="I29" s="148"/>
      <c r="J29" s="14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2"/>
      <c r="B30" s="183"/>
      <c r="C30" s="184"/>
      <c r="D30" s="186"/>
      <c r="F30" s="128"/>
      <c r="G30" s="188"/>
      <c r="H30" s="150"/>
      <c r="I30" s="151"/>
      <c r="J30" s="15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2" t="s">
        <v>57</v>
      </c>
      <c r="B32" s="173"/>
      <c r="C32" s="173"/>
      <c r="D32" s="174"/>
      <c r="F32" s="175" t="s">
        <v>58</v>
      </c>
      <c r="G32" s="176"/>
      <c r="H32" s="176"/>
      <c r="I32" s="176"/>
      <c r="J32" s="17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75" t="s">
        <v>13</v>
      </c>
      <c r="I33" s="176"/>
      <c r="J33" s="17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6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117</v>
      </c>
      <c r="H34" s="169">
        <f>F34*G34</f>
        <v>117000</v>
      </c>
      <c r="I34" s="170"/>
      <c r="J34" s="17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7"/>
      <c r="B35" s="27" t="s">
        <v>67</v>
      </c>
      <c r="C35" s="52"/>
      <c r="D35" s="30">
        <f>C35*84</f>
        <v>0</v>
      </c>
      <c r="F35" s="58">
        <v>500</v>
      </c>
      <c r="G35" s="121">
        <v>319</v>
      </c>
      <c r="H35" s="169">
        <f>F35*G35</f>
        <v>159500</v>
      </c>
      <c r="I35" s="170"/>
      <c r="J35" s="17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8"/>
      <c r="B36" s="26" t="s">
        <v>69</v>
      </c>
      <c r="C36" s="10"/>
      <c r="D36" s="12">
        <f>C36*1.5</f>
        <v>0</v>
      </c>
      <c r="F36" s="12">
        <v>200</v>
      </c>
      <c r="G36" s="37"/>
      <c r="H36" s="169">
        <f t="shared" ref="H36:H39" si="2">F36*G36</f>
        <v>0</v>
      </c>
      <c r="I36" s="170"/>
      <c r="J36" s="17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6" t="s">
        <v>71</v>
      </c>
      <c r="B37" s="28" t="s">
        <v>65</v>
      </c>
      <c r="C37" s="53">
        <v>515</v>
      </c>
      <c r="D37" s="12">
        <f>C37*111</f>
        <v>57165</v>
      </c>
      <c r="F37" s="12">
        <v>100</v>
      </c>
      <c r="G37" s="39">
        <v>6</v>
      </c>
      <c r="H37" s="169">
        <f t="shared" si="2"/>
        <v>600</v>
      </c>
      <c r="I37" s="170"/>
      <c r="J37" s="17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7"/>
      <c r="B38" s="29" t="s">
        <v>67</v>
      </c>
      <c r="C38" s="54">
        <v>8</v>
      </c>
      <c r="D38" s="12">
        <f>C38*84</f>
        <v>672</v>
      </c>
      <c r="F38" s="30">
        <v>50</v>
      </c>
      <c r="G38" s="39">
        <v>2</v>
      </c>
      <c r="H38" s="169">
        <f t="shared" si="2"/>
        <v>100</v>
      </c>
      <c r="I38" s="170"/>
      <c r="J38" s="17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8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169">
        <f t="shared" si="2"/>
        <v>0</v>
      </c>
      <c r="I39" s="170"/>
      <c r="J39" s="17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6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122"/>
      <c r="H40" s="169"/>
      <c r="I40" s="170"/>
      <c r="J40" s="17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7"/>
      <c r="B41" s="27" t="s">
        <v>67</v>
      </c>
      <c r="C41" s="10">
        <v>1</v>
      </c>
      <c r="D41" s="12">
        <f>C41*84</f>
        <v>84</v>
      </c>
      <c r="F41" s="12">
        <v>5</v>
      </c>
      <c r="G41" s="122"/>
      <c r="H41" s="169"/>
      <c r="I41" s="170"/>
      <c r="J41" s="17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8"/>
      <c r="B42" s="27" t="s">
        <v>69</v>
      </c>
      <c r="C42" s="11">
        <v>6</v>
      </c>
      <c r="D42" s="12">
        <f>C42*2.25</f>
        <v>13.5</v>
      </c>
      <c r="F42" s="39" t="s">
        <v>78</v>
      </c>
      <c r="G42" s="169">
        <v>41</v>
      </c>
      <c r="H42" s="170"/>
      <c r="I42" s="170"/>
      <c r="J42" s="17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9" t="s">
        <v>80</v>
      </c>
      <c r="C43" s="11"/>
      <c r="D43" s="12"/>
      <c r="F43" s="59" t="s">
        <v>81</v>
      </c>
      <c r="G43" s="117" t="s">
        <v>82</v>
      </c>
      <c r="H43" s="161" t="s">
        <v>13</v>
      </c>
      <c r="I43" s="162"/>
      <c r="J43" s="16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0"/>
      <c r="B44" s="27" t="s">
        <v>65</v>
      </c>
      <c r="C44" s="10">
        <v>2</v>
      </c>
      <c r="D44" s="12">
        <f>C44*120</f>
        <v>240</v>
      </c>
      <c r="F44" s="37" t="s">
        <v>148</v>
      </c>
      <c r="G44" s="87" t="s">
        <v>185</v>
      </c>
      <c r="H44" s="164">
        <v>70347</v>
      </c>
      <c r="I44" s="164"/>
      <c r="J44" s="16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0"/>
      <c r="B45" s="27" t="s">
        <v>67</v>
      </c>
      <c r="C45" s="33"/>
      <c r="D45" s="12">
        <f>C45*84</f>
        <v>0</v>
      </c>
      <c r="F45" s="37"/>
      <c r="G45" s="75"/>
      <c r="H45" s="164"/>
      <c r="I45" s="164"/>
      <c r="J45" s="164"/>
      <c r="K45" s="21"/>
      <c r="P45" s="4"/>
      <c r="Q45" s="4"/>
      <c r="R45" s="5"/>
    </row>
    <row r="46" spans="1:18" ht="15.75" x14ac:dyDescent="0.25">
      <c r="A46" s="140"/>
      <c r="B46" s="49" t="s">
        <v>69</v>
      </c>
      <c r="C46" s="80"/>
      <c r="D46" s="12">
        <f>C46*1.5</f>
        <v>0</v>
      </c>
      <c r="F46" s="37"/>
      <c r="G46" s="62"/>
      <c r="H46" s="164"/>
      <c r="I46" s="164"/>
      <c r="J46" s="164"/>
      <c r="K46" s="21"/>
      <c r="P46" s="4"/>
      <c r="Q46" s="4"/>
      <c r="R46" s="5"/>
    </row>
    <row r="47" spans="1:18" ht="15.75" x14ac:dyDescent="0.25">
      <c r="A47" s="141"/>
      <c r="B47" s="27"/>
      <c r="C47" s="11"/>
      <c r="D47" s="12"/>
      <c r="F47" s="59"/>
      <c r="G47" s="59"/>
      <c r="H47" s="164"/>
      <c r="I47" s="164"/>
      <c r="J47" s="164"/>
      <c r="K47" s="21"/>
      <c r="P47" s="4"/>
      <c r="Q47" s="4"/>
      <c r="R47" s="5"/>
    </row>
    <row r="48" spans="1:18" ht="15" customHeight="1" x14ac:dyDescent="0.25">
      <c r="A48" s="139" t="s">
        <v>32</v>
      </c>
      <c r="B48" s="27" t="s">
        <v>65</v>
      </c>
      <c r="C48" s="10">
        <v>6</v>
      </c>
      <c r="D48" s="12">
        <f>C48*78</f>
        <v>468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0"/>
      <c r="B49" s="29" t="s">
        <v>67</v>
      </c>
      <c r="C49" s="33">
        <v>17</v>
      </c>
      <c r="D49" s="12">
        <f>C49*42</f>
        <v>714</v>
      </c>
      <c r="F49" s="145" t="s">
        <v>85</v>
      </c>
      <c r="G49" s="147">
        <f>H34+H35+H36+H37+H38+H39+H40+H41+G42+H44+H45+H46+H47+H48</f>
        <v>347588</v>
      </c>
      <c r="H49" s="148"/>
      <c r="I49" s="148"/>
      <c r="J49" s="14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0"/>
      <c r="B50" s="32" t="s">
        <v>69</v>
      </c>
      <c r="C50" s="80">
        <v>27</v>
      </c>
      <c r="D50" s="12">
        <f>C50*1.5</f>
        <v>40.5</v>
      </c>
      <c r="F50" s="146"/>
      <c r="G50" s="150"/>
      <c r="H50" s="151"/>
      <c r="I50" s="151"/>
      <c r="J50" s="152"/>
      <c r="O50" t="s">
        <v>112</v>
      </c>
      <c r="P50" s="4">
        <v>1204</v>
      </c>
      <c r="Q50" s="4"/>
      <c r="R50" s="5"/>
    </row>
    <row r="51" spans="1:18" ht="15" customHeight="1" x14ac:dyDescent="0.25">
      <c r="A51" s="140"/>
      <c r="B51" s="27"/>
      <c r="C51" s="10"/>
      <c r="D51" s="31"/>
      <c r="F51" s="153" t="str">
        <f>_xlfn.IFS(H29&gt;G49,"SHORT",H29&lt;G49,"OVER",H29&lt;=G49,"-")</f>
        <v>SHORT</v>
      </c>
      <c r="G51" s="155">
        <f>G49-H29</f>
        <v>-184.25</v>
      </c>
      <c r="H51" s="156"/>
      <c r="I51" s="156"/>
      <c r="J51" s="1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140"/>
      <c r="B52" s="29"/>
      <c r="C52" s="33"/>
      <c r="D52" s="45"/>
      <c r="F52" s="154"/>
      <c r="G52" s="158"/>
      <c r="H52" s="159"/>
      <c r="I52" s="159"/>
      <c r="J52" s="1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5" t="s">
        <v>89</v>
      </c>
      <c r="B54" s="126"/>
      <c r="C54" s="127"/>
      <c r="D54" s="131">
        <f>SUM(D34:D53)</f>
        <v>59854.5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8"/>
      <c r="B55" s="129"/>
      <c r="C55" s="130"/>
      <c r="D55" s="13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133" t="s">
        <v>90</v>
      </c>
      <c r="B58" s="134"/>
      <c r="C58" s="134"/>
      <c r="D58" s="135"/>
      <c r="F58" s="133" t="s">
        <v>91</v>
      </c>
      <c r="G58" s="134"/>
      <c r="H58" s="134"/>
      <c r="I58" s="134"/>
      <c r="J58" s="135"/>
    </row>
    <row r="59" spans="1:18" x14ac:dyDescent="0.25">
      <c r="A59" s="136"/>
      <c r="B59" s="137"/>
      <c r="C59" s="137"/>
      <c r="D59" s="138"/>
      <c r="F59" s="136"/>
      <c r="G59" s="137"/>
      <c r="H59" s="137"/>
      <c r="I59" s="137"/>
      <c r="J59" s="13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41" priority="1" operator="containsText" text="OVER">
      <formula>NOT(ISERROR(SEARCH("OVER",F51)))</formula>
    </cfRule>
    <cfRule type="containsText" dxfId="40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F3C1723A-8812-46F6-A46F-1ED05A1237A8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FCBB7A-E60B-40E1-BAF8-F195E3197D5E}">
  <dimension ref="A1:R59"/>
  <sheetViews>
    <sheetView zoomScaleNormal="100" zoomScaleSheetLayoutView="85" workbookViewId="0">
      <selection activeCell="M35" sqref="M3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1" t="s">
        <v>1</v>
      </c>
      <c r="O1" s="221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2" t="s">
        <v>7</v>
      </c>
      <c r="B4" s="173"/>
      <c r="C4" s="173"/>
      <c r="D4" s="174"/>
      <c r="F4" s="222" t="s">
        <v>8</v>
      </c>
      <c r="G4" s="224">
        <v>3</v>
      </c>
      <c r="H4" s="226" t="s">
        <v>9</v>
      </c>
      <c r="I4" s="228">
        <v>46251</v>
      </c>
      <c r="J4" s="22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6" t="s">
        <v>7</v>
      </c>
      <c r="B5" s="15" t="s">
        <v>11</v>
      </c>
      <c r="C5" s="9" t="s">
        <v>12</v>
      </c>
      <c r="D5" s="25" t="s">
        <v>13</v>
      </c>
      <c r="F5" s="223"/>
      <c r="G5" s="225"/>
      <c r="H5" s="227"/>
      <c r="I5" s="230"/>
      <c r="J5" s="23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7"/>
      <c r="B6" s="16" t="s">
        <v>15</v>
      </c>
      <c r="C6" s="10">
        <v>520</v>
      </c>
      <c r="D6" s="13">
        <f t="shared" ref="D6:D28" si="1">C6*L6</f>
        <v>395720</v>
      </c>
      <c r="F6" s="232" t="s">
        <v>16</v>
      </c>
      <c r="G6" s="234" t="s">
        <v>142</v>
      </c>
      <c r="H6" s="235"/>
      <c r="I6" s="235"/>
      <c r="J6" s="2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7"/>
      <c r="B7" s="16" t="s">
        <v>18</v>
      </c>
      <c r="C7" s="10">
        <v>12</v>
      </c>
      <c r="D7" s="13">
        <f t="shared" si="1"/>
        <v>9372</v>
      </c>
      <c r="F7" s="233"/>
      <c r="G7" s="237"/>
      <c r="H7" s="238"/>
      <c r="I7" s="238"/>
      <c r="J7" s="2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7"/>
      <c r="B8" s="16" t="s">
        <v>20</v>
      </c>
      <c r="C8" s="10"/>
      <c r="D8" s="13">
        <f t="shared" si="1"/>
        <v>0</v>
      </c>
      <c r="F8" s="240" t="s">
        <v>21</v>
      </c>
      <c r="G8" s="241" t="s">
        <v>109</v>
      </c>
      <c r="H8" s="242"/>
      <c r="I8" s="242"/>
      <c r="J8" s="24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7"/>
      <c r="B9" s="16" t="s">
        <v>23</v>
      </c>
      <c r="C9" s="10">
        <v>133</v>
      </c>
      <c r="D9" s="13">
        <f t="shared" si="1"/>
        <v>97489</v>
      </c>
      <c r="F9" s="233"/>
      <c r="G9" s="244"/>
      <c r="H9" s="245"/>
      <c r="I9" s="245"/>
      <c r="J9" s="24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7"/>
      <c r="B10" t="s">
        <v>25</v>
      </c>
      <c r="C10" s="10">
        <v>1</v>
      </c>
      <c r="D10" s="13">
        <f t="shared" si="1"/>
        <v>1032</v>
      </c>
      <c r="F10" s="232" t="s">
        <v>26</v>
      </c>
      <c r="G10" s="247" t="s">
        <v>119</v>
      </c>
      <c r="H10" s="248"/>
      <c r="I10" s="248"/>
      <c r="J10" s="249"/>
      <c r="K10" s="8"/>
      <c r="L10" s="6">
        <f>R36</f>
        <v>1032</v>
      </c>
      <c r="P10" s="4"/>
      <c r="Q10" s="4"/>
      <c r="R10" s="5"/>
    </row>
    <row r="11" spans="1:18" ht="15.75" x14ac:dyDescent="0.25">
      <c r="A11" s="167"/>
      <c r="B11" s="17" t="s">
        <v>28</v>
      </c>
      <c r="C11" s="10"/>
      <c r="D11" s="13">
        <f t="shared" si="1"/>
        <v>0</v>
      </c>
      <c r="F11" s="233"/>
      <c r="G11" s="244"/>
      <c r="H11" s="245"/>
      <c r="I11" s="245"/>
      <c r="J11" s="24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7"/>
      <c r="B12" s="17" t="s">
        <v>30</v>
      </c>
      <c r="C12" s="10"/>
      <c r="D12" s="48">
        <f t="shared" si="1"/>
        <v>0</v>
      </c>
      <c r="F12" s="250" t="s">
        <v>33</v>
      </c>
      <c r="G12" s="251"/>
      <c r="H12" s="251"/>
      <c r="I12" s="251"/>
      <c r="J12" s="25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7"/>
      <c r="B13" s="17" t="s">
        <v>32</v>
      </c>
      <c r="C13" s="10">
        <v>12</v>
      </c>
      <c r="D13" s="48">
        <f t="shared" si="1"/>
        <v>3684</v>
      </c>
      <c r="F13" s="253" t="s">
        <v>36</v>
      </c>
      <c r="G13" s="217"/>
      <c r="H13" s="208">
        <f>D29</f>
        <v>507297</v>
      </c>
      <c r="I13" s="209"/>
      <c r="J13" s="21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7"/>
      <c r="B14" s="14" t="s">
        <v>35</v>
      </c>
      <c r="C14" s="10"/>
      <c r="D14" s="31">
        <f t="shared" si="1"/>
        <v>0</v>
      </c>
      <c r="F14" s="211" t="s">
        <v>38</v>
      </c>
      <c r="G14" s="212"/>
      <c r="H14" s="213">
        <f>D54</f>
        <v>55524.75</v>
      </c>
      <c r="I14" s="214"/>
      <c r="J14" s="215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7"/>
      <c r="B15" s="14" t="s">
        <v>117</v>
      </c>
      <c r="C15" s="10"/>
      <c r="D15" s="31">
        <f t="shared" si="1"/>
        <v>0</v>
      </c>
      <c r="F15" s="216" t="s">
        <v>39</v>
      </c>
      <c r="G15" s="217"/>
      <c r="H15" s="218">
        <f>H13-H14</f>
        <v>451772.25</v>
      </c>
      <c r="I15" s="219"/>
      <c r="J15" s="22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7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8">
        <v>1776</v>
      </c>
      <c r="I16" s="178"/>
      <c r="J16" s="17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7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9"/>
      <c r="I17" s="189"/>
      <c r="J17" s="18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7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9"/>
      <c r="I18" s="189"/>
      <c r="J18" s="18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7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3"/>
      <c r="I19" s="263"/>
      <c r="J19" s="26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7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8">
        <v>50</v>
      </c>
      <c r="I20" s="178"/>
      <c r="J20" s="17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7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191" t="s">
        <v>13</v>
      </c>
      <c r="I21" s="192"/>
      <c r="J21" s="19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7"/>
      <c r="B22" s="46" t="s">
        <v>103</v>
      </c>
      <c r="C22" s="10"/>
      <c r="D22" s="48">
        <f t="shared" si="1"/>
        <v>0</v>
      </c>
      <c r="F22" s="76"/>
      <c r="G22" s="72"/>
      <c r="H22" s="194"/>
      <c r="I22" s="194"/>
      <c r="J22" s="19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7"/>
      <c r="B23" s="14" t="s">
        <v>116</v>
      </c>
      <c r="C23" s="10"/>
      <c r="D23" s="48">
        <f t="shared" si="1"/>
        <v>0</v>
      </c>
      <c r="F23" s="77"/>
      <c r="G23" s="78"/>
      <c r="H23" s="264"/>
      <c r="I23" s="194"/>
      <c r="J23" s="19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7"/>
      <c r="B24" s="14" t="s">
        <v>123</v>
      </c>
      <c r="C24" s="10"/>
      <c r="D24" s="48">
        <f t="shared" si="1"/>
        <v>0</v>
      </c>
      <c r="F24" s="38"/>
      <c r="G24" s="37"/>
      <c r="H24" s="195"/>
      <c r="I24" s="164"/>
      <c r="J24" s="16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6" t="s">
        <v>13</v>
      </c>
      <c r="I25" s="197"/>
      <c r="J25" s="19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7"/>
      <c r="B26" s="14" t="s">
        <v>124</v>
      </c>
      <c r="C26" s="10"/>
      <c r="D26" s="48">
        <f t="shared" si="1"/>
        <v>0</v>
      </c>
      <c r="F26" s="64"/>
      <c r="G26" s="59"/>
      <c r="H26" s="199"/>
      <c r="I26" s="200"/>
      <c r="J26" s="20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7"/>
      <c r="B27" s="14" t="s">
        <v>125</v>
      </c>
      <c r="C27" s="10"/>
      <c r="D27" s="44">
        <f t="shared" si="1"/>
        <v>0</v>
      </c>
      <c r="F27" s="25"/>
      <c r="G27" s="79"/>
      <c r="H27" s="202"/>
      <c r="I27" s="203"/>
      <c r="J27" s="20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8"/>
      <c r="B28" s="46" t="s">
        <v>92</v>
      </c>
      <c r="C28" s="10"/>
      <c r="D28" s="48">
        <f t="shared" si="1"/>
        <v>0</v>
      </c>
      <c r="F28" s="119"/>
      <c r="G28" s="61"/>
      <c r="H28" s="205"/>
      <c r="I28" s="206"/>
      <c r="J28" s="20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9" t="s">
        <v>36</v>
      </c>
      <c r="B29" s="180"/>
      <c r="C29" s="181"/>
      <c r="D29" s="185">
        <f>SUM(D6:D28)</f>
        <v>507297</v>
      </c>
      <c r="F29" s="125" t="s">
        <v>54</v>
      </c>
      <c r="G29" s="187"/>
      <c r="H29" s="147">
        <f>H15-H16-H17-H18-H19-H20-H22-H23-H24+H26+H27</f>
        <v>449946.25</v>
      </c>
      <c r="I29" s="148"/>
      <c r="J29" s="14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2"/>
      <c r="B30" s="183"/>
      <c r="C30" s="184"/>
      <c r="D30" s="186"/>
      <c r="F30" s="128"/>
      <c r="G30" s="188"/>
      <c r="H30" s="150"/>
      <c r="I30" s="151"/>
      <c r="J30" s="15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2" t="s">
        <v>57</v>
      </c>
      <c r="B32" s="173"/>
      <c r="C32" s="173"/>
      <c r="D32" s="174"/>
      <c r="F32" s="175" t="s">
        <v>58</v>
      </c>
      <c r="G32" s="176"/>
      <c r="H32" s="176"/>
      <c r="I32" s="176"/>
      <c r="J32" s="17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75" t="s">
        <v>13</v>
      </c>
      <c r="I33" s="176"/>
      <c r="J33" s="17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6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26</v>
      </c>
      <c r="H34" s="169">
        <f>F34*G34</f>
        <v>26000</v>
      </c>
      <c r="I34" s="170"/>
      <c r="J34" s="17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7"/>
      <c r="B35" s="27" t="s">
        <v>67</v>
      </c>
      <c r="C35" s="52"/>
      <c r="D35" s="30">
        <f>C35*84</f>
        <v>0</v>
      </c>
      <c r="F35" s="58">
        <v>500</v>
      </c>
      <c r="G35" s="121">
        <v>5</v>
      </c>
      <c r="H35" s="169">
        <f>F35*G35</f>
        <v>2500</v>
      </c>
      <c r="I35" s="170"/>
      <c r="J35" s="17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8"/>
      <c r="B36" s="26" t="s">
        <v>69</v>
      </c>
      <c r="C36" s="10"/>
      <c r="D36" s="12">
        <f>C36*1.5</f>
        <v>0</v>
      </c>
      <c r="F36" s="12">
        <v>200</v>
      </c>
      <c r="G36" s="37"/>
      <c r="H36" s="169">
        <f t="shared" ref="H36:H39" si="2">F36*G36</f>
        <v>0</v>
      </c>
      <c r="I36" s="170"/>
      <c r="J36" s="17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6" t="s">
        <v>71</v>
      </c>
      <c r="B37" s="28" t="s">
        <v>65</v>
      </c>
      <c r="C37" s="53">
        <v>456</v>
      </c>
      <c r="D37" s="12">
        <f>C37*111</f>
        <v>50616</v>
      </c>
      <c r="F37" s="12">
        <v>100</v>
      </c>
      <c r="G37" s="39">
        <v>7</v>
      </c>
      <c r="H37" s="169">
        <f t="shared" si="2"/>
        <v>700</v>
      </c>
      <c r="I37" s="170"/>
      <c r="J37" s="17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7"/>
      <c r="B38" s="29" t="s">
        <v>67</v>
      </c>
      <c r="C38" s="54">
        <v>26</v>
      </c>
      <c r="D38" s="12">
        <f>C38*84</f>
        <v>2184</v>
      </c>
      <c r="F38" s="30">
        <v>50</v>
      </c>
      <c r="G38" s="39">
        <v>4</v>
      </c>
      <c r="H38" s="169">
        <f t="shared" si="2"/>
        <v>200</v>
      </c>
      <c r="I38" s="170"/>
      <c r="J38" s="17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8"/>
      <c r="B39" s="29" t="s">
        <v>69</v>
      </c>
      <c r="C39" s="52"/>
      <c r="D39" s="31">
        <f>C39*4.5</f>
        <v>0</v>
      </c>
      <c r="F39" s="12">
        <v>20</v>
      </c>
      <c r="G39" s="37"/>
      <c r="H39" s="169">
        <f t="shared" si="2"/>
        <v>0</v>
      </c>
      <c r="I39" s="170"/>
      <c r="J39" s="17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6" t="s">
        <v>75</v>
      </c>
      <c r="B40" s="27" t="s">
        <v>65</v>
      </c>
      <c r="C40" s="63">
        <v>10</v>
      </c>
      <c r="D40" s="12">
        <f>C40*111</f>
        <v>1110</v>
      </c>
      <c r="F40" s="12">
        <v>10</v>
      </c>
      <c r="G40" s="122"/>
      <c r="H40" s="169"/>
      <c r="I40" s="170"/>
      <c r="J40" s="17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7"/>
      <c r="B41" s="27" t="s">
        <v>67</v>
      </c>
      <c r="C41" s="10"/>
      <c r="D41" s="12">
        <f>C41*84</f>
        <v>0</v>
      </c>
      <c r="F41" s="12">
        <v>5</v>
      </c>
      <c r="G41" s="122"/>
      <c r="H41" s="169"/>
      <c r="I41" s="170"/>
      <c r="J41" s="17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8"/>
      <c r="B42" s="27" t="s">
        <v>69</v>
      </c>
      <c r="C42" s="11">
        <v>1</v>
      </c>
      <c r="D42" s="12">
        <f>C42*2.25</f>
        <v>2.25</v>
      </c>
      <c r="F42" s="39" t="s">
        <v>78</v>
      </c>
      <c r="G42" s="169">
        <v>20</v>
      </c>
      <c r="H42" s="170"/>
      <c r="I42" s="170"/>
      <c r="J42" s="17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9" t="s">
        <v>80</v>
      </c>
      <c r="C43" s="11"/>
      <c r="D43" s="12"/>
      <c r="F43" s="59" t="s">
        <v>81</v>
      </c>
      <c r="G43" s="117" t="s">
        <v>82</v>
      </c>
      <c r="H43" s="161" t="s">
        <v>13</v>
      </c>
      <c r="I43" s="162"/>
      <c r="J43" s="16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0"/>
      <c r="B44" s="27" t="s">
        <v>65</v>
      </c>
      <c r="C44" s="10"/>
      <c r="D44" s="12">
        <f>C44*120</f>
        <v>0</v>
      </c>
      <c r="F44" s="37" t="s">
        <v>136</v>
      </c>
      <c r="G44" s="87" t="s">
        <v>186</v>
      </c>
      <c r="H44" s="164">
        <v>124435</v>
      </c>
      <c r="I44" s="164"/>
      <c r="J44" s="16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0"/>
      <c r="B45" s="27" t="s">
        <v>67</v>
      </c>
      <c r="C45" s="33"/>
      <c r="D45" s="12">
        <f>C45*84</f>
        <v>0</v>
      </c>
      <c r="F45" s="37" t="s">
        <v>136</v>
      </c>
      <c r="G45" s="87" t="s">
        <v>187</v>
      </c>
      <c r="H45" s="164">
        <v>67654</v>
      </c>
      <c r="I45" s="164"/>
      <c r="J45" s="164"/>
      <c r="K45" s="21"/>
      <c r="P45" s="4"/>
      <c r="Q45" s="4"/>
      <c r="R45" s="5"/>
    </row>
    <row r="46" spans="1:18" ht="15.75" x14ac:dyDescent="0.25">
      <c r="A46" s="140"/>
      <c r="B46" s="49" t="s">
        <v>69</v>
      </c>
      <c r="C46" s="80">
        <v>4</v>
      </c>
      <c r="D46" s="12">
        <f>C46*1.5</f>
        <v>6</v>
      </c>
      <c r="F46" s="37" t="s">
        <v>188</v>
      </c>
      <c r="G46" s="75" t="s">
        <v>189</v>
      </c>
      <c r="H46" s="164">
        <v>229183</v>
      </c>
      <c r="I46" s="164"/>
      <c r="J46" s="164"/>
      <c r="K46" s="21"/>
      <c r="P46" s="4"/>
      <c r="Q46" s="4"/>
      <c r="R46" s="5"/>
    </row>
    <row r="47" spans="1:18" ht="15.75" x14ac:dyDescent="0.25">
      <c r="A47" s="141"/>
      <c r="B47" s="27"/>
      <c r="C47" s="11"/>
      <c r="D47" s="12"/>
      <c r="F47" s="37"/>
      <c r="G47" s="75"/>
      <c r="H47" s="164"/>
      <c r="I47" s="164"/>
      <c r="J47" s="164"/>
      <c r="K47" s="21"/>
      <c r="P47" s="4"/>
      <c r="Q47" s="4"/>
      <c r="R47" s="5"/>
    </row>
    <row r="48" spans="1:18" ht="15" customHeight="1" x14ac:dyDescent="0.25">
      <c r="A48" s="139" t="s">
        <v>32</v>
      </c>
      <c r="B48" s="27" t="s">
        <v>65</v>
      </c>
      <c r="C48" s="10">
        <v>19</v>
      </c>
      <c r="D48" s="12">
        <f>C48*78</f>
        <v>1482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0"/>
      <c r="B49" s="29" t="s">
        <v>67</v>
      </c>
      <c r="C49" s="33"/>
      <c r="D49" s="12">
        <f>C49*42</f>
        <v>0</v>
      </c>
      <c r="F49" s="145" t="s">
        <v>85</v>
      </c>
      <c r="G49" s="147">
        <f>H34+H35+H36+H37+H38+H39+H40+H41+G42+H44+H45+H46+H47+H48</f>
        <v>450692</v>
      </c>
      <c r="H49" s="148"/>
      <c r="I49" s="148"/>
      <c r="J49" s="14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0"/>
      <c r="B50" s="32" t="s">
        <v>69</v>
      </c>
      <c r="C50" s="11">
        <v>3</v>
      </c>
      <c r="D50" s="12">
        <f>C50*1.5</f>
        <v>4.5</v>
      </c>
      <c r="F50" s="146"/>
      <c r="G50" s="150"/>
      <c r="H50" s="151"/>
      <c r="I50" s="151"/>
      <c r="J50" s="152"/>
      <c r="O50" t="s">
        <v>112</v>
      </c>
      <c r="P50" s="4">
        <v>1204</v>
      </c>
      <c r="Q50" s="4"/>
      <c r="R50" s="5"/>
    </row>
    <row r="51" spans="1:18" ht="15" customHeight="1" x14ac:dyDescent="0.25">
      <c r="A51" s="140"/>
      <c r="B51" s="27"/>
      <c r="C51" s="10"/>
      <c r="D51" s="31"/>
      <c r="F51" s="153" t="str">
        <f>_xlfn.IFS(H29&gt;G49,"SHORT",H29&lt;G49,"OVER",H29&lt;=G49,"-")</f>
        <v>OVER</v>
      </c>
      <c r="G51" s="155">
        <f>G49-H29</f>
        <v>745.75</v>
      </c>
      <c r="H51" s="156"/>
      <c r="I51" s="156"/>
      <c r="J51" s="1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140"/>
      <c r="B52" s="29"/>
      <c r="C52" s="33"/>
      <c r="D52" s="45"/>
      <c r="F52" s="154"/>
      <c r="G52" s="158"/>
      <c r="H52" s="159"/>
      <c r="I52" s="159"/>
      <c r="J52" s="1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5" t="s">
        <v>89</v>
      </c>
      <c r="B54" s="126"/>
      <c r="C54" s="127"/>
      <c r="D54" s="131">
        <f>SUM(D34:D53)</f>
        <v>55524.75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8"/>
      <c r="B55" s="129"/>
      <c r="C55" s="130"/>
      <c r="D55" s="13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33" t="s">
        <v>90</v>
      </c>
      <c r="B58" s="134"/>
      <c r="C58" s="134"/>
      <c r="D58" s="135"/>
      <c r="F58" s="133" t="s">
        <v>91</v>
      </c>
      <c r="G58" s="134"/>
      <c r="H58" s="134"/>
      <c r="I58" s="134"/>
      <c r="J58" s="135"/>
    </row>
    <row r="59" spans="1:18" x14ac:dyDescent="0.25">
      <c r="A59" s="136"/>
      <c r="B59" s="137"/>
      <c r="C59" s="137"/>
      <c r="D59" s="138"/>
      <c r="F59" s="136"/>
      <c r="G59" s="137"/>
      <c r="H59" s="137"/>
      <c r="I59" s="137"/>
      <c r="J59" s="13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38" priority="1" operator="containsText" text="OVER">
      <formula>NOT(ISERROR(SEARCH("OVER",F51)))</formula>
    </cfRule>
    <cfRule type="containsText" dxfId="37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5079AE59-F945-4433-9E82-EAF291E75ED0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81656-85A4-4501-B627-91E95E4BEC7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1" t="s">
        <v>1</v>
      </c>
      <c r="O1" s="221"/>
      <c r="P1" s="118" t="s">
        <v>2</v>
      </c>
      <c r="Q1" s="11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2" t="s">
        <v>7</v>
      </c>
      <c r="B4" s="173"/>
      <c r="C4" s="173"/>
      <c r="D4" s="174"/>
      <c r="F4" s="222" t="s">
        <v>8</v>
      </c>
      <c r="G4" s="224"/>
      <c r="H4" s="226" t="s">
        <v>9</v>
      </c>
      <c r="I4" s="228"/>
      <c r="J4" s="22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6" t="s">
        <v>7</v>
      </c>
      <c r="B5" s="15" t="s">
        <v>11</v>
      </c>
      <c r="C5" s="9" t="s">
        <v>12</v>
      </c>
      <c r="D5" s="25" t="s">
        <v>13</v>
      </c>
      <c r="F5" s="223"/>
      <c r="G5" s="225"/>
      <c r="H5" s="227"/>
      <c r="I5" s="230"/>
      <c r="J5" s="23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7"/>
      <c r="B6" s="16"/>
      <c r="C6" s="10"/>
      <c r="D6" s="13">
        <f t="shared" ref="D6:D28" si="1">C6*L6</f>
        <v>0</v>
      </c>
      <c r="F6" s="232" t="s">
        <v>16</v>
      </c>
      <c r="G6" s="234"/>
      <c r="H6" s="235"/>
      <c r="I6" s="235"/>
      <c r="J6" s="23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7"/>
      <c r="B7" s="16"/>
      <c r="C7" s="10"/>
      <c r="D7" s="13">
        <f t="shared" si="1"/>
        <v>0</v>
      </c>
      <c r="F7" s="233"/>
      <c r="G7" s="237"/>
      <c r="H7" s="238"/>
      <c r="I7" s="238"/>
      <c r="J7" s="23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7"/>
      <c r="B8" s="16"/>
      <c r="C8" s="10"/>
      <c r="D8" s="13">
        <f t="shared" si="1"/>
        <v>0</v>
      </c>
      <c r="F8" s="240" t="s">
        <v>21</v>
      </c>
      <c r="G8" s="241"/>
      <c r="H8" s="242"/>
      <c r="I8" s="242"/>
      <c r="J8" s="24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7"/>
      <c r="B9" s="16"/>
      <c r="C9" s="10"/>
      <c r="D9" s="13">
        <f t="shared" si="1"/>
        <v>0</v>
      </c>
      <c r="F9" s="233"/>
      <c r="G9" s="244"/>
      <c r="H9" s="245"/>
      <c r="I9" s="245"/>
      <c r="J9" s="24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7"/>
      <c r="C10" s="10"/>
      <c r="D10" s="13">
        <f t="shared" si="1"/>
        <v>0</v>
      </c>
      <c r="F10" s="232" t="s">
        <v>26</v>
      </c>
      <c r="G10" s="247"/>
      <c r="H10" s="248"/>
      <c r="I10" s="248"/>
      <c r="J10" s="249"/>
      <c r="K10" s="8"/>
      <c r="L10" s="6">
        <f>R36</f>
        <v>972</v>
      </c>
      <c r="P10" s="4"/>
      <c r="Q10" s="4"/>
      <c r="R10" s="5"/>
    </row>
    <row r="11" spans="1:19" ht="15.75" x14ac:dyDescent="0.25">
      <c r="A11" s="167"/>
      <c r="B11" s="17"/>
      <c r="C11" s="10"/>
      <c r="D11" s="13">
        <f t="shared" si="1"/>
        <v>0</v>
      </c>
      <c r="F11" s="233"/>
      <c r="G11" s="244"/>
      <c r="H11" s="245"/>
      <c r="I11" s="245"/>
      <c r="J11" s="24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7"/>
      <c r="B12" s="17"/>
      <c r="C12" s="10"/>
      <c r="D12" s="48">
        <f t="shared" si="1"/>
        <v>0</v>
      </c>
      <c r="F12" s="250" t="s">
        <v>33</v>
      </c>
      <c r="G12" s="251"/>
      <c r="H12" s="251"/>
      <c r="I12" s="251"/>
      <c r="J12" s="25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7"/>
      <c r="B13" s="17"/>
      <c r="C13" s="10"/>
      <c r="D13" s="48">
        <f t="shared" si="1"/>
        <v>0</v>
      </c>
      <c r="F13" s="253" t="s">
        <v>36</v>
      </c>
      <c r="G13" s="217"/>
      <c r="H13" s="208">
        <f>D29</f>
        <v>0</v>
      </c>
      <c r="I13" s="209"/>
      <c r="J13" s="21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7"/>
      <c r="B14" s="14"/>
      <c r="C14" s="10"/>
      <c r="D14" s="31">
        <f t="shared" si="1"/>
        <v>0</v>
      </c>
      <c r="F14" s="211" t="s">
        <v>38</v>
      </c>
      <c r="G14" s="212"/>
      <c r="H14" s="213">
        <f>D54</f>
        <v>0</v>
      </c>
      <c r="I14" s="214"/>
      <c r="J14" s="21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7"/>
      <c r="B15" s="14"/>
      <c r="C15" s="10"/>
      <c r="D15" s="31">
        <f t="shared" si="1"/>
        <v>0</v>
      </c>
      <c r="F15" s="216" t="s">
        <v>39</v>
      </c>
      <c r="G15" s="217"/>
      <c r="H15" s="218">
        <f>H13-H14</f>
        <v>0</v>
      </c>
      <c r="I15" s="219"/>
      <c r="J15" s="22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8"/>
      <c r="I16" s="178"/>
      <c r="J16" s="17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7"/>
      <c r="C17" s="10"/>
      <c r="D17" s="48">
        <f t="shared" si="1"/>
        <v>0</v>
      </c>
      <c r="F17" s="56"/>
      <c r="G17" s="66" t="s">
        <v>44</v>
      </c>
      <c r="H17" s="189"/>
      <c r="I17" s="189"/>
      <c r="J17" s="18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7"/>
      <c r="B18" s="19"/>
      <c r="C18" s="10"/>
      <c r="D18" s="48">
        <f t="shared" si="1"/>
        <v>0</v>
      </c>
      <c r="F18" s="56"/>
      <c r="G18" s="66" t="s">
        <v>46</v>
      </c>
      <c r="H18" s="189"/>
      <c r="I18" s="189"/>
      <c r="J18" s="18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7"/>
      <c r="B19" s="14"/>
      <c r="C19" s="10"/>
      <c r="D19" s="48">
        <f t="shared" si="1"/>
        <v>0</v>
      </c>
      <c r="F19" s="56"/>
      <c r="G19" s="68" t="s">
        <v>49</v>
      </c>
      <c r="H19" s="190"/>
      <c r="I19" s="190"/>
      <c r="J19" s="19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7"/>
      <c r="B20" s="46"/>
      <c r="C20" s="10"/>
      <c r="D20" s="13">
        <f t="shared" si="1"/>
        <v>0</v>
      </c>
      <c r="F20" s="57"/>
      <c r="G20" s="70" t="s">
        <v>102</v>
      </c>
      <c r="H20" s="178"/>
      <c r="I20" s="178"/>
      <c r="J20" s="17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7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91" t="s">
        <v>13</v>
      </c>
      <c r="I21" s="192"/>
      <c r="J21" s="193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7"/>
      <c r="B22" s="46"/>
      <c r="C22" s="10"/>
      <c r="D22" s="48">
        <f t="shared" si="1"/>
        <v>0</v>
      </c>
      <c r="F22" s="76"/>
      <c r="G22" s="72"/>
      <c r="H22" s="194"/>
      <c r="I22" s="194"/>
      <c r="J22" s="194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7"/>
      <c r="B23" s="14"/>
      <c r="C23" s="10"/>
      <c r="D23" s="48">
        <f t="shared" si="1"/>
        <v>0</v>
      </c>
      <c r="F23" s="77"/>
      <c r="G23" s="78"/>
      <c r="H23" s="195"/>
      <c r="I23" s="164"/>
      <c r="J23" s="16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7"/>
      <c r="B24" s="14"/>
      <c r="C24" s="10"/>
      <c r="D24" s="48">
        <f t="shared" si="1"/>
        <v>0</v>
      </c>
      <c r="F24" s="38"/>
      <c r="G24" s="37"/>
      <c r="H24" s="195"/>
      <c r="I24" s="164"/>
      <c r="J24" s="16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6" t="s">
        <v>13</v>
      </c>
      <c r="I25" s="197"/>
      <c r="J25" s="19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7"/>
      <c r="B26" s="14"/>
      <c r="C26" s="10"/>
      <c r="D26" s="48">
        <f t="shared" si="1"/>
        <v>0</v>
      </c>
      <c r="F26" s="64"/>
      <c r="G26" s="59"/>
      <c r="H26" s="199"/>
      <c r="I26" s="200"/>
      <c r="J26" s="20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7"/>
      <c r="B27" s="14"/>
      <c r="C27" s="10"/>
      <c r="D27" s="44">
        <f t="shared" si="1"/>
        <v>0</v>
      </c>
      <c r="F27" s="25"/>
      <c r="G27" s="79"/>
      <c r="H27" s="202"/>
      <c r="I27" s="203"/>
      <c r="J27" s="20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8"/>
      <c r="B28" s="46"/>
      <c r="C28" s="10"/>
      <c r="D28" s="48">
        <f t="shared" si="1"/>
        <v>0</v>
      </c>
      <c r="F28" s="119"/>
      <c r="G28" s="61"/>
      <c r="H28" s="205"/>
      <c r="I28" s="206"/>
      <c r="J28" s="20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9" t="s">
        <v>36</v>
      </c>
      <c r="B29" s="180"/>
      <c r="C29" s="181"/>
      <c r="D29" s="185">
        <f>SUM(D6:D28)</f>
        <v>0</v>
      </c>
      <c r="F29" s="125" t="s">
        <v>54</v>
      </c>
      <c r="G29" s="187"/>
      <c r="H29" s="147">
        <f>H15-H16-H17-H18-H19-H20-H22-H23-H24+H26+H27</f>
        <v>0</v>
      </c>
      <c r="I29" s="148"/>
      <c r="J29" s="14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2"/>
      <c r="B30" s="183"/>
      <c r="C30" s="184"/>
      <c r="D30" s="186"/>
      <c r="F30" s="128"/>
      <c r="G30" s="188"/>
      <c r="H30" s="150"/>
      <c r="I30" s="151"/>
      <c r="J30" s="15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2" t="s">
        <v>57</v>
      </c>
      <c r="B32" s="173"/>
      <c r="C32" s="173"/>
      <c r="D32" s="174"/>
      <c r="F32" s="175" t="s">
        <v>58</v>
      </c>
      <c r="G32" s="176"/>
      <c r="H32" s="176"/>
      <c r="I32" s="176"/>
      <c r="J32" s="17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75" t="s">
        <v>13</v>
      </c>
      <c r="I33" s="176"/>
      <c r="J33" s="17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6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69"/>
      <c r="I34" s="170"/>
      <c r="J34" s="17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7"/>
      <c r="B35" s="27" t="s">
        <v>67</v>
      </c>
      <c r="C35" s="52"/>
      <c r="D35" s="30">
        <f>C35*84</f>
        <v>0</v>
      </c>
      <c r="F35" s="58">
        <v>500</v>
      </c>
      <c r="G35" s="121"/>
      <c r="H35" s="169"/>
      <c r="I35" s="170"/>
      <c r="J35" s="17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8"/>
      <c r="B36" s="26" t="s">
        <v>69</v>
      </c>
      <c r="C36" s="10"/>
      <c r="D36" s="12">
        <f>C36*1.5</f>
        <v>0</v>
      </c>
      <c r="F36" s="12">
        <v>200</v>
      </c>
      <c r="G36" s="37"/>
      <c r="H36" s="169"/>
      <c r="I36" s="170"/>
      <c r="J36" s="17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9"/>
      <c r="I37" s="170"/>
      <c r="J37" s="17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7"/>
      <c r="B38" s="29" t="s">
        <v>67</v>
      </c>
      <c r="C38" s="54"/>
      <c r="D38" s="12">
        <f>C38*84</f>
        <v>0</v>
      </c>
      <c r="F38" s="30">
        <v>50</v>
      </c>
      <c r="G38" s="39"/>
      <c r="H38" s="169"/>
      <c r="I38" s="170"/>
      <c r="J38" s="17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8"/>
      <c r="B39" s="29" t="s">
        <v>69</v>
      </c>
      <c r="C39" s="52"/>
      <c r="D39" s="31">
        <f>C39*4.5</f>
        <v>0</v>
      </c>
      <c r="F39" s="12">
        <v>20</v>
      </c>
      <c r="G39" s="37"/>
      <c r="H39" s="169"/>
      <c r="I39" s="170"/>
      <c r="J39" s="17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6" t="s">
        <v>75</v>
      </c>
      <c r="B40" s="27" t="s">
        <v>65</v>
      </c>
      <c r="C40" s="63"/>
      <c r="D40" s="12">
        <f>C40*111</f>
        <v>0</v>
      </c>
      <c r="F40" s="12">
        <v>10</v>
      </c>
      <c r="G40" s="122"/>
      <c r="H40" s="169"/>
      <c r="I40" s="170"/>
      <c r="J40" s="17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7"/>
      <c r="B41" s="27" t="s">
        <v>67</v>
      </c>
      <c r="C41" s="10"/>
      <c r="D41" s="12">
        <f>C41*84</f>
        <v>0</v>
      </c>
      <c r="F41" s="12">
        <v>5</v>
      </c>
      <c r="G41" s="122"/>
      <c r="H41" s="169"/>
      <c r="I41" s="170"/>
      <c r="J41" s="17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8"/>
      <c r="B42" s="27" t="s">
        <v>69</v>
      </c>
      <c r="C42" s="11"/>
      <c r="D42" s="12">
        <f>C42*2.25</f>
        <v>0</v>
      </c>
      <c r="F42" s="39" t="s">
        <v>78</v>
      </c>
      <c r="G42" s="169"/>
      <c r="H42" s="170"/>
      <c r="I42" s="170"/>
      <c r="J42" s="17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9" t="s">
        <v>80</v>
      </c>
      <c r="C43" s="11"/>
      <c r="D43" s="12"/>
      <c r="F43" s="59" t="s">
        <v>81</v>
      </c>
      <c r="G43" s="117" t="s">
        <v>82</v>
      </c>
      <c r="H43" s="161" t="s">
        <v>13</v>
      </c>
      <c r="I43" s="162"/>
      <c r="J43" s="163"/>
      <c r="K43" s="21"/>
      <c r="P43" s="4"/>
      <c r="Q43" s="4"/>
      <c r="R43" s="5"/>
    </row>
    <row r="44" spans="1:18" ht="15.75" x14ac:dyDescent="0.25">
      <c r="A44" s="140"/>
      <c r="B44" s="27" t="s">
        <v>65</v>
      </c>
      <c r="C44" s="10"/>
      <c r="D44" s="12">
        <f>C44*120</f>
        <v>0</v>
      </c>
      <c r="F44" s="37"/>
      <c r="G44" s="75"/>
      <c r="H44" s="164"/>
      <c r="I44" s="164"/>
      <c r="J44" s="164"/>
      <c r="K44" s="21"/>
      <c r="P44" s="4"/>
      <c r="Q44" s="4"/>
      <c r="R44" s="5"/>
    </row>
    <row r="45" spans="1:18" ht="15.75" x14ac:dyDescent="0.25">
      <c r="A45" s="140"/>
      <c r="B45" s="27" t="s">
        <v>67</v>
      </c>
      <c r="C45" s="33"/>
      <c r="D45" s="12">
        <f>C45*84</f>
        <v>0</v>
      </c>
      <c r="F45" s="37"/>
      <c r="G45" s="75"/>
      <c r="H45" s="164"/>
      <c r="I45" s="164"/>
      <c r="J45" s="164"/>
      <c r="K45" s="21"/>
      <c r="P45" s="4"/>
      <c r="Q45" s="4"/>
      <c r="R45" s="5"/>
    </row>
    <row r="46" spans="1:18" ht="15.75" x14ac:dyDescent="0.25">
      <c r="A46" s="140"/>
      <c r="B46" s="49" t="s">
        <v>69</v>
      </c>
      <c r="C46" s="80"/>
      <c r="D46" s="12">
        <f>C46*1.5</f>
        <v>0</v>
      </c>
      <c r="F46" s="37"/>
      <c r="G46" s="62"/>
      <c r="H46" s="165"/>
      <c r="I46" s="165"/>
      <c r="J46" s="165"/>
      <c r="K46" s="21"/>
      <c r="P46" s="4"/>
      <c r="Q46" s="4"/>
      <c r="R46" s="5"/>
    </row>
    <row r="47" spans="1:18" ht="15.75" x14ac:dyDescent="0.25">
      <c r="A47" s="141"/>
      <c r="B47" s="27"/>
      <c r="C47" s="11"/>
      <c r="D47" s="12"/>
      <c r="F47" s="59"/>
      <c r="G47" s="59"/>
      <c r="H47" s="142"/>
      <c r="I47" s="143"/>
      <c r="J47" s="144"/>
      <c r="K47" s="21"/>
      <c r="P47" s="4"/>
      <c r="Q47" s="4"/>
      <c r="R47" s="5"/>
    </row>
    <row r="48" spans="1:18" ht="15" customHeight="1" x14ac:dyDescent="0.25">
      <c r="A48" s="139" t="s">
        <v>32</v>
      </c>
      <c r="B48" s="27" t="s">
        <v>65</v>
      </c>
      <c r="C48" s="10"/>
      <c r="D48" s="12">
        <f>C48*78</f>
        <v>0</v>
      </c>
      <c r="F48" s="59"/>
      <c r="G48" s="59"/>
      <c r="H48" s="142"/>
      <c r="I48" s="143"/>
      <c r="J48" s="14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0"/>
      <c r="B49" s="29" t="s">
        <v>67</v>
      </c>
      <c r="C49" s="33"/>
      <c r="D49" s="12">
        <f>C49*42</f>
        <v>0</v>
      </c>
      <c r="F49" s="145" t="s">
        <v>85</v>
      </c>
      <c r="G49" s="147">
        <f>H34+H35+H36+H37+H38+H39+H40+H41+G42+H44+H45+H46</f>
        <v>0</v>
      </c>
      <c r="H49" s="148"/>
      <c r="I49" s="148"/>
      <c r="J49" s="14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0"/>
      <c r="B50" s="32" t="s">
        <v>69</v>
      </c>
      <c r="C50" s="11"/>
      <c r="D50" s="12">
        <f>C50*1.5</f>
        <v>0</v>
      </c>
      <c r="F50" s="146"/>
      <c r="G50" s="150"/>
      <c r="H50" s="151"/>
      <c r="I50" s="151"/>
      <c r="J50" s="152"/>
      <c r="P50" s="4"/>
      <c r="Q50" s="4"/>
      <c r="R50" s="5"/>
    </row>
    <row r="51" spans="1:18" ht="15" customHeight="1" x14ac:dyDescent="0.25">
      <c r="A51" s="140"/>
      <c r="B51" s="27"/>
      <c r="C51" s="10"/>
      <c r="D51" s="31"/>
      <c r="F51" s="153" t="s">
        <v>106</v>
      </c>
      <c r="G51" s="155">
        <f>G49-H29</f>
        <v>0</v>
      </c>
      <c r="H51" s="156"/>
      <c r="I51" s="156"/>
      <c r="J51" s="15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0"/>
      <c r="B52" s="29"/>
      <c r="C52" s="33"/>
      <c r="D52" s="45"/>
      <c r="F52" s="154"/>
      <c r="G52" s="158"/>
      <c r="H52" s="159"/>
      <c r="I52" s="159"/>
      <c r="J52" s="1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5" t="s">
        <v>89</v>
      </c>
      <c r="B54" s="126"/>
      <c r="C54" s="127"/>
      <c r="D54" s="131">
        <f>SUM(D34:D53)</f>
        <v>0</v>
      </c>
      <c r="F54" s="21"/>
      <c r="J54" s="34"/>
    </row>
    <row r="55" spans="1:18" x14ac:dyDescent="0.25">
      <c r="A55" s="128"/>
      <c r="B55" s="129"/>
      <c r="C55" s="130"/>
      <c r="D55" s="13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3" t="s">
        <v>90</v>
      </c>
      <c r="B58" s="134"/>
      <c r="C58" s="134"/>
      <c r="D58" s="135"/>
      <c r="F58" s="133" t="s">
        <v>91</v>
      </c>
      <c r="G58" s="134"/>
      <c r="H58" s="134"/>
      <c r="I58" s="134"/>
      <c r="J58" s="135"/>
    </row>
    <row r="59" spans="1:18" x14ac:dyDescent="0.25">
      <c r="A59" s="136"/>
      <c r="B59" s="137"/>
      <c r="C59" s="137"/>
      <c r="D59" s="138"/>
      <c r="F59" s="136"/>
      <c r="G59" s="137"/>
      <c r="H59" s="137"/>
      <c r="I59" s="137"/>
      <c r="J59" s="13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296EF-49E6-40BC-80B5-DFE1BD5D8A74}">
  <dimension ref="A1:V68"/>
  <sheetViews>
    <sheetView topLeftCell="A21" zoomScale="95" zoomScaleNormal="95" zoomScaleSheetLayoutView="85" workbookViewId="0">
      <selection activeCell="M41" sqref="M4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1" t="s">
        <v>1</v>
      </c>
      <c r="O1" s="221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2" t="s">
        <v>7</v>
      </c>
      <c r="B4" s="173"/>
      <c r="C4" s="173"/>
      <c r="D4" s="174"/>
      <c r="F4" s="222" t="s">
        <v>8</v>
      </c>
      <c r="G4" s="224">
        <v>1</v>
      </c>
      <c r="H4" s="226" t="s">
        <v>9</v>
      </c>
      <c r="I4" s="228">
        <v>46252</v>
      </c>
      <c r="J4" s="22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6" t="s">
        <v>7</v>
      </c>
      <c r="B5" s="15" t="s">
        <v>11</v>
      </c>
      <c r="C5" s="9" t="s">
        <v>12</v>
      </c>
      <c r="D5" s="25" t="s">
        <v>13</v>
      </c>
      <c r="F5" s="223"/>
      <c r="G5" s="225"/>
      <c r="H5" s="227"/>
      <c r="I5" s="230"/>
      <c r="J5" s="23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7"/>
      <c r="B6" s="16" t="s">
        <v>15</v>
      </c>
      <c r="C6" s="10">
        <v>673</v>
      </c>
      <c r="D6" s="13">
        <f t="shared" ref="D6:D28" si="1">C6*L6</f>
        <v>512153</v>
      </c>
      <c r="F6" s="232" t="s">
        <v>16</v>
      </c>
      <c r="G6" s="234" t="s">
        <v>99</v>
      </c>
      <c r="H6" s="235"/>
      <c r="I6" s="235"/>
      <c r="J6" s="2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7"/>
      <c r="B7" s="16" t="s">
        <v>18</v>
      </c>
      <c r="C7" s="10">
        <v>7</v>
      </c>
      <c r="D7" s="13">
        <f t="shared" si="1"/>
        <v>5467</v>
      </c>
      <c r="F7" s="233"/>
      <c r="G7" s="237"/>
      <c r="H7" s="238"/>
      <c r="I7" s="238"/>
      <c r="J7" s="2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7"/>
      <c r="B8" s="16" t="s">
        <v>20</v>
      </c>
      <c r="C8" s="10"/>
      <c r="D8" s="13">
        <f t="shared" si="1"/>
        <v>0</v>
      </c>
      <c r="F8" s="240" t="s">
        <v>21</v>
      </c>
      <c r="G8" s="241" t="s">
        <v>115</v>
      </c>
      <c r="H8" s="242"/>
      <c r="I8" s="242"/>
      <c r="J8" s="24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7"/>
      <c r="B9" s="16" t="s">
        <v>23</v>
      </c>
      <c r="C9" s="10"/>
      <c r="D9" s="13">
        <f t="shared" si="1"/>
        <v>0</v>
      </c>
      <c r="F9" s="233"/>
      <c r="G9" s="244"/>
      <c r="H9" s="245"/>
      <c r="I9" s="245"/>
      <c r="J9" s="24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7"/>
      <c r="B10" t="s">
        <v>25</v>
      </c>
      <c r="C10" s="10"/>
      <c r="D10" s="13">
        <f t="shared" si="1"/>
        <v>0</v>
      </c>
      <c r="F10" s="232" t="s">
        <v>26</v>
      </c>
      <c r="G10" s="247" t="s">
        <v>108</v>
      </c>
      <c r="H10" s="248"/>
      <c r="I10" s="248"/>
      <c r="J10" s="249"/>
      <c r="K10" s="8"/>
      <c r="L10" s="6">
        <f>R36</f>
        <v>1032</v>
      </c>
      <c r="P10" s="4"/>
      <c r="Q10" s="4"/>
      <c r="R10" s="5"/>
    </row>
    <row r="11" spans="1:18" ht="15.75" x14ac:dyDescent="0.25">
      <c r="A11" s="167"/>
      <c r="B11" s="17" t="s">
        <v>28</v>
      </c>
      <c r="C11" s="10"/>
      <c r="D11" s="13">
        <f t="shared" si="1"/>
        <v>0</v>
      </c>
      <c r="F11" s="233"/>
      <c r="G11" s="244"/>
      <c r="H11" s="245"/>
      <c r="I11" s="245"/>
      <c r="J11" s="24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7"/>
      <c r="B12" s="17" t="s">
        <v>30</v>
      </c>
      <c r="C12" s="10"/>
      <c r="D12" s="48">
        <f t="shared" si="1"/>
        <v>0</v>
      </c>
      <c r="F12" s="250" t="s">
        <v>33</v>
      </c>
      <c r="G12" s="251"/>
      <c r="H12" s="251"/>
      <c r="I12" s="251"/>
      <c r="J12" s="25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7"/>
      <c r="B13" s="17" t="s">
        <v>32</v>
      </c>
      <c r="C13" s="10">
        <v>10</v>
      </c>
      <c r="D13" s="48">
        <f t="shared" si="1"/>
        <v>3070</v>
      </c>
      <c r="F13" s="253" t="s">
        <v>36</v>
      </c>
      <c r="G13" s="217"/>
      <c r="H13" s="208">
        <f>D29</f>
        <v>524789.16666666674</v>
      </c>
      <c r="I13" s="209"/>
      <c r="J13" s="21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7"/>
      <c r="B14" s="14" t="s">
        <v>35</v>
      </c>
      <c r="C14" s="10">
        <v>4</v>
      </c>
      <c r="D14" s="31">
        <f t="shared" si="1"/>
        <v>44.166666666666664</v>
      </c>
      <c r="F14" s="211" t="s">
        <v>38</v>
      </c>
      <c r="G14" s="212"/>
      <c r="H14" s="213">
        <f>D54</f>
        <v>76164.75</v>
      </c>
      <c r="I14" s="214"/>
      <c r="J14" s="215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7"/>
      <c r="B15" s="14" t="s">
        <v>117</v>
      </c>
      <c r="C15" s="10"/>
      <c r="D15" s="31">
        <f t="shared" si="1"/>
        <v>0</v>
      </c>
      <c r="F15" s="216" t="s">
        <v>39</v>
      </c>
      <c r="G15" s="217"/>
      <c r="H15" s="218">
        <f>H13-H14</f>
        <v>448624.41666666674</v>
      </c>
      <c r="I15" s="219"/>
      <c r="J15" s="22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7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8">
        <v>3312</v>
      </c>
      <c r="I16" s="178"/>
      <c r="J16" s="17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7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9"/>
      <c r="I17" s="189"/>
      <c r="J17" s="18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7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9"/>
      <c r="I18" s="189"/>
      <c r="J18" s="18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7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8"/>
      <c r="I19" s="178"/>
      <c r="J19" s="17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7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8"/>
      <c r="I20" s="178"/>
      <c r="J20" s="17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7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91" t="s">
        <v>13</v>
      </c>
      <c r="I21" s="192"/>
      <c r="J21" s="19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7"/>
      <c r="B22" s="46" t="s">
        <v>103</v>
      </c>
      <c r="C22" s="10"/>
      <c r="D22" s="48">
        <f t="shared" si="1"/>
        <v>0</v>
      </c>
      <c r="F22" s="76"/>
      <c r="G22" s="72"/>
      <c r="H22" s="194"/>
      <c r="I22" s="194"/>
      <c r="J22" s="19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7"/>
      <c r="B23" s="14" t="s">
        <v>116</v>
      </c>
      <c r="C23" s="10"/>
      <c r="D23" s="48">
        <f t="shared" si="1"/>
        <v>0</v>
      </c>
      <c r="F23" s="76"/>
      <c r="G23" s="78"/>
      <c r="H23" s="259"/>
      <c r="I23" s="260"/>
      <c r="J23" s="26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7"/>
      <c r="B24" s="14" t="s">
        <v>123</v>
      </c>
      <c r="C24" s="10"/>
      <c r="D24" s="48">
        <f t="shared" si="1"/>
        <v>0</v>
      </c>
      <c r="F24" s="76"/>
      <c r="G24" s="78"/>
      <c r="H24" s="259"/>
      <c r="I24" s="260"/>
      <c r="J24" s="26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6" t="s">
        <v>13</v>
      </c>
      <c r="I25" s="197"/>
      <c r="J25" s="19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7"/>
      <c r="B26" s="14" t="s">
        <v>124</v>
      </c>
      <c r="C26" s="10"/>
      <c r="D26" s="48">
        <f t="shared" si="1"/>
        <v>0</v>
      </c>
      <c r="F26" s="74"/>
      <c r="G26" s="65"/>
      <c r="H26" s="164"/>
      <c r="I26" s="164"/>
      <c r="J26" s="16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7"/>
      <c r="B27" s="14" t="s">
        <v>125</v>
      </c>
      <c r="C27" s="10"/>
      <c r="D27" s="44">
        <f t="shared" si="1"/>
        <v>0</v>
      </c>
      <c r="F27" s="71"/>
      <c r="G27" s="117"/>
      <c r="H27" s="261"/>
      <c r="I27" s="262"/>
      <c r="J27" s="26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8"/>
      <c r="B28" s="46" t="s">
        <v>92</v>
      </c>
      <c r="C28" s="10">
        <v>5</v>
      </c>
      <c r="D28" s="48">
        <f t="shared" si="1"/>
        <v>4055</v>
      </c>
      <c r="F28" s="119"/>
      <c r="G28" s="61"/>
      <c r="H28" s="205"/>
      <c r="I28" s="206"/>
      <c r="J28" s="20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9" t="s">
        <v>36</v>
      </c>
      <c r="B29" s="180"/>
      <c r="C29" s="181"/>
      <c r="D29" s="185">
        <f>SUM(D6:D28)</f>
        <v>524789.16666666674</v>
      </c>
      <c r="F29" s="125" t="s">
        <v>54</v>
      </c>
      <c r="G29" s="187"/>
      <c r="H29" s="147">
        <f>H15-H16-H17-H18-H19-H20-H22-H23-H24+H26+H27+H28</f>
        <v>445312.41666666674</v>
      </c>
      <c r="I29" s="148"/>
      <c r="J29" s="14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2"/>
      <c r="B30" s="183"/>
      <c r="C30" s="184"/>
      <c r="D30" s="186"/>
      <c r="F30" s="128"/>
      <c r="G30" s="188"/>
      <c r="H30" s="150"/>
      <c r="I30" s="151"/>
      <c r="J30" s="15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2" t="s">
        <v>57</v>
      </c>
      <c r="B32" s="173"/>
      <c r="C32" s="173"/>
      <c r="D32" s="174"/>
      <c r="F32" s="175" t="s">
        <v>58</v>
      </c>
      <c r="G32" s="176"/>
      <c r="H32" s="176"/>
      <c r="I32" s="176"/>
      <c r="J32" s="17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75" t="s">
        <v>13</v>
      </c>
      <c r="I33" s="176"/>
      <c r="J33" s="17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6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324</v>
      </c>
      <c r="H34" s="169">
        <f t="shared" ref="H34:H39" si="2">F34*G34</f>
        <v>324000</v>
      </c>
      <c r="I34" s="170"/>
      <c r="J34" s="17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7"/>
      <c r="B35" s="27" t="s">
        <v>67</v>
      </c>
      <c r="C35" s="52"/>
      <c r="D35" s="30">
        <f>C35*84</f>
        <v>0</v>
      </c>
      <c r="F35" s="58">
        <v>500</v>
      </c>
      <c r="G35" s="121">
        <v>95</v>
      </c>
      <c r="H35" s="169">
        <f t="shared" si="2"/>
        <v>47500</v>
      </c>
      <c r="I35" s="170"/>
      <c r="J35" s="17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8"/>
      <c r="B36" s="26" t="s">
        <v>69</v>
      </c>
      <c r="C36" s="10"/>
      <c r="D36" s="12">
        <f>C36*1.5</f>
        <v>0</v>
      </c>
      <c r="F36" s="12">
        <v>200</v>
      </c>
      <c r="G36" s="37"/>
      <c r="H36" s="169">
        <f t="shared" si="2"/>
        <v>0</v>
      </c>
      <c r="I36" s="170"/>
      <c r="J36" s="17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6" t="s">
        <v>71</v>
      </c>
      <c r="B37" s="28" t="s">
        <v>65</v>
      </c>
      <c r="C37" s="53">
        <v>669</v>
      </c>
      <c r="D37" s="12">
        <f>C37*111</f>
        <v>74259</v>
      </c>
      <c r="F37" s="12">
        <v>100</v>
      </c>
      <c r="G37" s="39">
        <v>27</v>
      </c>
      <c r="H37" s="169">
        <f t="shared" si="2"/>
        <v>2700</v>
      </c>
      <c r="I37" s="170"/>
      <c r="J37" s="17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7"/>
      <c r="B38" s="29" t="s">
        <v>67</v>
      </c>
      <c r="C38" s="54"/>
      <c r="D38" s="12">
        <f>C38*84</f>
        <v>0</v>
      </c>
      <c r="F38" s="30">
        <v>50</v>
      </c>
      <c r="G38" s="39">
        <v>2</v>
      </c>
      <c r="H38" s="169">
        <f t="shared" si="2"/>
        <v>100</v>
      </c>
      <c r="I38" s="170"/>
      <c r="J38" s="17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8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169">
        <f t="shared" si="2"/>
        <v>0</v>
      </c>
      <c r="I39" s="170"/>
      <c r="J39" s="17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6" t="s">
        <v>75</v>
      </c>
      <c r="B40" s="27" t="s">
        <v>65</v>
      </c>
      <c r="C40" s="63">
        <v>7</v>
      </c>
      <c r="D40" s="12">
        <f>C40*111</f>
        <v>777</v>
      </c>
      <c r="F40" s="12">
        <v>10</v>
      </c>
      <c r="G40" s="122"/>
      <c r="H40" s="257"/>
      <c r="I40" s="258"/>
      <c r="J40" s="19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7"/>
      <c r="B41" s="27" t="s">
        <v>67</v>
      </c>
      <c r="C41" s="10">
        <v>1</v>
      </c>
      <c r="D41" s="12">
        <f>C41*84</f>
        <v>84</v>
      </c>
      <c r="F41" s="12">
        <v>5</v>
      </c>
      <c r="G41" s="122"/>
      <c r="H41" s="169"/>
      <c r="I41" s="170"/>
      <c r="J41" s="17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8"/>
      <c r="B42" s="27" t="s">
        <v>69</v>
      </c>
      <c r="C42" s="11">
        <v>9</v>
      </c>
      <c r="D42" s="12">
        <f>C42*2.25</f>
        <v>20.25</v>
      </c>
      <c r="F42" s="39" t="s">
        <v>78</v>
      </c>
      <c r="G42" s="169">
        <v>18</v>
      </c>
      <c r="H42" s="170"/>
      <c r="I42" s="170"/>
      <c r="J42" s="17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9" t="s">
        <v>80</v>
      </c>
      <c r="C43" s="11"/>
      <c r="D43" s="12"/>
      <c r="F43" s="59" t="s">
        <v>81</v>
      </c>
      <c r="G43" s="117" t="s">
        <v>82</v>
      </c>
      <c r="H43" s="161" t="s">
        <v>13</v>
      </c>
      <c r="I43" s="162"/>
      <c r="J43" s="16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0"/>
      <c r="B44" s="27" t="s">
        <v>65</v>
      </c>
      <c r="C44" s="10">
        <v>2</v>
      </c>
      <c r="D44" s="12">
        <f>C44*120</f>
        <v>240</v>
      </c>
      <c r="F44" s="37"/>
      <c r="G44" s="108" t="s">
        <v>134</v>
      </c>
      <c r="H44" s="164">
        <v>70977</v>
      </c>
      <c r="I44" s="164"/>
      <c r="J44" s="16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0"/>
      <c r="B45" s="27" t="s">
        <v>67</v>
      </c>
      <c r="C45" s="33"/>
      <c r="D45" s="12">
        <f>C45*84</f>
        <v>0</v>
      </c>
      <c r="F45" s="37"/>
      <c r="G45" s="87"/>
      <c r="H45" s="164"/>
      <c r="I45" s="164"/>
      <c r="J45" s="164"/>
      <c r="K45" s="21"/>
      <c r="P45" s="4"/>
      <c r="Q45" s="4"/>
      <c r="R45" s="5"/>
    </row>
    <row r="46" spans="1:18" ht="15.75" x14ac:dyDescent="0.25">
      <c r="A46" s="140"/>
      <c r="B46" s="49" t="s">
        <v>69</v>
      </c>
      <c r="C46" s="80"/>
      <c r="D46" s="12">
        <f>C46*1.5</f>
        <v>0</v>
      </c>
      <c r="F46" s="37"/>
      <c r="G46" s="62"/>
      <c r="H46" s="164"/>
      <c r="I46" s="164"/>
      <c r="J46" s="164"/>
      <c r="K46" s="21"/>
      <c r="P46" s="4"/>
      <c r="Q46" s="4"/>
      <c r="R46" s="5"/>
    </row>
    <row r="47" spans="1:18" ht="15.75" x14ac:dyDescent="0.25">
      <c r="A47" s="141"/>
      <c r="B47" s="27"/>
      <c r="C47" s="11"/>
      <c r="D47" s="12"/>
      <c r="F47" s="59"/>
      <c r="G47" s="59"/>
      <c r="H47" s="254"/>
      <c r="I47" s="255"/>
      <c r="J47" s="256"/>
      <c r="K47" s="21"/>
      <c r="P47" s="4"/>
      <c r="Q47" s="4"/>
      <c r="R47" s="5"/>
    </row>
    <row r="48" spans="1:18" ht="15" customHeight="1" x14ac:dyDescent="0.25">
      <c r="A48" s="139" t="s">
        <v>32</v>
      </c>
      <c r="B48" s="27" t="s">
        <v>65</v>
      </c>
      <c r="C48" s="10">
        <v>10</v>
      </c>
      <c r="D48" s="12">
        <f>C48*78</f>
        <v>780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0"/>
      <c r="B49" s="29" t="s">
        <v>67</v>
      </c>
      <c r="C49" s="33"/>
      <c r="D49" s="12">
        <f>C49*42</f>
        <v>0</v>
      </c>
      <c r="F49" s="145" t="s">
        <v>85</v>
      </c>
      <c r="G49" s="147">
        <f>H34+H35+H36+H37+H38+H39+H40+H41+G42+H44+H45+H46+H47+H48</f>
        <v>445295</v>
      </c>
      <c r="H49" s="148"/>
      <c r="I49" s="148"/>
      <c r="J49" s="14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0"/>
      <c r="B50" s="32" t="s">
        <v>69</v>
      </c>
      <c r="C50" s="11"/>
      <c r="D50" s="12">
        <f>C50*1.5</f>
        <v>0</v>
      </c>
      <c r="F50" s="146"/>
      <c r="G50" s="150"/>
      <c r="H50" s="151"/>
      <c r="I50" s="151"/>
      <c r="J50" s="152"/>
      <c r="O50" t="s">
        <v>112</v>
      </c>
      <c r="P50" s="4">
        <v>1204</v>
      </c>
      <c r="Q50" s="4"/>
      <c r="R50" s="5"/>
    </row>
    <row r="51" spans="1:18" ht="15" customHeight="1" x14ac:dyDescent="0.25">
      <c r="A51" s="140"/>
      <c r="B51" s="27"/>
      <c r="C51" s="10"/>
      <c r="D51" s="31"/>
      <c r="F51" s="153" t="str">
        <f>_xlfn.IFS(H29&gt;G49,"SHORT",H29&lt;G49,"OVER",H29&lt;=G49,"-")</f>
        <v>SHORT</v>
      </c>
      <c r="G51" s="155">
        <f>G49-H29</f>
        <v>-17.416666666744277</v>
      </c>
      <c r="H51" s="156"/>
      <c r="I51" s="156"/>
      <c r="J51" s="1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0"/>
      <c r="B52" s="29"/>
      <c r="C52" s="33"/>
      <c r="D52" s="45"/>
      <c r="F52" s="154"/>
      <c r="G52" s="158"/>
      <c r="H52" s="159"/>
      <c r="I52" s="159"/>
      <c r="J52" s="1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5" t="s">
        <v>89</v>
      </c>
      <c r="B54" s="126"/>
      <c r="C54" s="127"/>
      <c r="D54" s="131">
        <f>SUM(D34:D53)</f>
        <v>76164.75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8"/>
      <c r="B55" s="129"/>
      <c r="C55" s="130"/>
      <c r="D55" s="13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33" t="s">
        <v>90</v>
      </c>
      <c r="B58" s="134"/>
      <c r="C58" s="134"/>
      <c r="D58" s="135"/>
      <c r="F58" s="133" t="s">
        <v>91</v>
      </c>
      <c r="G58" s="134"/>
      <c r="H58" s="134"/>
      <c r="I58" s="134"/>
      <c r="J58" s="135"/>
    </row>
    <row r="59" spans="1:18" x14ac:dyDescent="0.25">
      <c r="A59" s="136"/>
      <c r="B59" s="137"/>
      <c r="C59" s="137"/>
      <c r="D59" s="138"/>
      <c r="F59" s="136"/>
      <c r="G59" s="137"/>
      <c r="H59" s="137"/>
      <c r="I59" s="137"/>
      <c r="J59" s="138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35" priority="1" operator="containsText" text="OVER">
      <formula>NOT(ISERROR(SEARCH("OVER",F51)))</formula>
    </cfRule>
    <cfRule type="containsText" dxfId="34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0EF80C36-3E61-4A85-B2BC-06C4A9D92FFE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9098E-C45B-485B-83C1-84A301833C47}">
  <dimension ref="A1:R59"/>
  <sheetViews>
    <sheetView topLeftCell="A28" zoomScaleNormal="100" zoomScaleSheetLayoutView="85" workbookViewId="0">
      <selection activeCell="L54" sqref="L53:L5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1" t="s">
        <v>1</v>
      </c>
      <c r="O1" s="221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2" t="s">
        <v>7</v>
      </c>
      <c r="B4" s="173"/>
      <c r="C4" s="173"/>
      <c r="D4" s="174"/>
      <c r="F4" s="222" t="s">
        <v>8</v>
      </c>
      <c r="G4" s="224">
        <v>2</v>
      </c>
      <c r="H4" s="226" t="s">
        <v>9</v>
      </c>
      <c r="I4" s="228">
        <v>46252</v>
      </c>
      <c r="J4" s="22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6" t="s">
        <v>7</v>
      </c>
      <c r="B5" s="15" t="s">
        <v>11</v>
      </c>
      <c r="C5" s="9" t="s">
        <v>12</v>
      </c>
      <c r="D5" s="25" t="s">
        <v>13</v>
      </c>
      <c r="F5" s="223"/>
      <c r="G5" s="225"/>
      <c r="H5" s="227"/>
      <c r="I5" s="230"/>
      <c r="J5" s="23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7"/>
      <c r="B6" s="16" t="s">
        <v>15</v>
      </c>
      <c r="C6" s="10">
        <v>259</v>
      </c>
      <c r="D6" s="13">
        <f t="shared" ref="D6:D28" si="1">C6*L6</f>
        <v>197099</v>
      </c>
      <c r="F6" s="232" t="s">
        <v>16</v>
      </c>
      <c r="G6" s="234" t="s">
        <v>193</v>
      </c>
      <c r="H6" s="235"/>
      <c r="I6" s="235"/>
      <c r="J6" s="2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7"/>
      <c r="B7" s="16" t="s">
        <v>18</v>
      </c>
      <c r="C7" s="10">
        <v>8</v>
      </c>
      <c r="D7" s="13">
        <f t="shared" si="1"/>
        <v>6248</v>
      </c>
      <c r="F7" s="233"/>
      <c r="G7" s="237"/>
      <c r="H7" s="238"/>
      <c r="I7" s="238"/>
      <c r="J7" s="2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7"/>
      <c r="B8" s="16" t="s">
        <v>20</v>
      </c>
      <c r="C8" s="10"/>
      <c r="D8" s="13">
        <f t="shared" si="1"/>
        <v>0</v>
      </c>
      <c r="F8" s="240" t="s">
        <v>21</v>
      </c>
      <c r="G8" s="241" t="s">
        <v>100</v>
      </c>
      <c r="H8" s="242"/>
      <c r="I8" s="242"/>
      <c r="J8" s="24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7"/>
      <c r="B9" s="16" t="s">
        <v>23</v>
      </c>
      <c r="C9" s="10">
        <v>23</v>
      </c>
      <c r="D9" s="13">
        <f t="shared" si="1"/>
        <v>16859</v>
      </c>
      <c r="F9" s="233"/>
      <c r="G9" s="244"/>
      <c r="H9" s="245"/>
      <c r="I9" s="245"/>
      <c r="J9" s="24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7"/>
      <c r="B10" t="s">
        <v>25</v>
      </c>
      <c r="C10" s="10"/>
      <c r="D10" s="13">
        <f t="shared" si="1"/>
        <v>0</v>
      </c>
      <c r="F10" s="232" t="s">
        <v>26</v>
      </c>
      <c r="G10" s="247" t="s">
        <v>101</v>
      </c>
      <c r="H10" s="248"/>
      <c r="I10" s="248"/>
      <c r="J10" s="249"/>
      <c r="K10" s="8"/>
      <c r="L10" s="6">
        <f>R36</f>
        <v>1032</v>
      </c>
      <c r="P10" s="4"/>
      <c r="Q10" s="4"/>
      <c r="R10" s="5"/>
    </row>
    <row r="11" spans="1:18" ht="15.75" x14ac:dyDescent="0.25">
      <c r="A11" s="167"/>
      <c r="B11" s="17" t="s">
        <v>28</v>
      </c>
      <c r="C11" s="10"/>
      <c r="D11" s="13">
        <f t="shared" si="1"/>
        <v>0</v>
      </c>
      <c r="F11" s="233"/>
      <c r="G11" s="244"/>
      <c r="H11" s="245"/>
      <c r="I11" s="245"/>
      <c r="J11" s="24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7"/>
      <c r="B12" s="17" t="s">
        <v>30</v>
      </c>
      <c r="C12" s="10">
        <v>1</v>
      </c>
      <c r="D12" s="48">
        <f t="shared" si="1"/>
        <v>992</v>
      </c>
      <c r="F12" s="250" t="s">
        <v>33</v>
      </c>
      <c r="G12" s="251"/>
      <c r="H12" s="251"/>
      <c r="I12" s="251"/>
      <c r="J12" s="25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7"/>
      <c r="B13" s="17" t="s">
        <v>32</v>
      </c>
      <c r="C13" s="10">
        <v>7</v>
      </c>
      <c r="D13" s="48">
        <f t="shared" si="1"/>
        <v>2149</v>
      </c>
      <c r="F13" s="253" t="s">
        <v>36</v>
      </c>
      <c r="G13" s="217"/>
      <c r="H13" s="208">
        <f>D29</f>
        <v>226309.875</v>
      </c>
      <c r="I13" s="209"/>
      <c r="J13" s="21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7"/>
      <c r="B14" s="14" t="s">
        <v>35</v>
      </c>
      <c r="C14" s="10">
        <v>21</v>
      </c>
      <c r="D14" s="31">
        <f t="shared" si="1"/>
        <v>231.875</v>
      </c>
      <c r="F14" s="211" t="s">
        <v>38</v>
      </c>
      <c r="G14" s="212"/>
      <c r="H14" s="213">
        <f>D54</f>
        <v>34420.5</v>
      </c>
      <c r="I14" s="214"/>
      <c r="J14" s="215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7"/>
      <c r="B15" s="14" t="s">
        <v>117</v>
      </c>
      <c r="C15" s="10">
        <v>1</v>
      </c>
      <c r="D15" s="31">
        <f t="shared" si="1"/>
        <v>620</v>
      </c>
      <c r="F15" s="216" t="s">
        <v>39</v>
      </c>
      <c r="G15" s="217"/>
      <c r="H15" s="218">
        <f>H13-H14</f>
        <v>191889.375</v>
      </c>
      <c r="I15" s="219"/>
      <c r="J15" s="22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7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78">
        <v>1116</v>
      </c>
      <c r="I16" s="178"/>
      <c r="J16" s="17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7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9"/>
      <c r="I17" s="189"/>
      <c r="J17" s="18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7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9"/>
      <c r="I18" s="189"/>
      <c r="J18" s="18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7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3"/>
      <c r="I19" s="263"/>
      <c r="J19" s="26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7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8"/>
      <c r="I20" s="178"/>
      <c r="J20" s="17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7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91" t="s">
        <v>13</v>
      </c>
      <c r="I21" s="192"/>
      <c r="J21" s="193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7"/>
      <c r="B22" s="46" t="s">
        <v>103</v>
      </c>
      <c r="C22" s="10"/>
      <c r="D22" s="48">
        <f t="shared" si="1"/>
        <v>0</v>
      </c>
      <c r="F22" s="76"/>
      <c r="G22" s="72"/>
      <c r="H22" s="194"/>
      <c r="I22" s="194"/>
      <c r="J22" s="19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7"/>
      <c r="B23" s="14" t="s">
        <v>116</v>
      </c>
      <c r="C23" s="10"/>
      <c r="D23" s="48">
        <f t="shared" si="1"/>
        <v>0</v>
      </c>
      <c r="F23" s="77"/>
      <c r="G23" s="78"/>
      <c r="H23" s="264"/>
      <c r="I23" s="194"/>
      <c r="J23" s="19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7"/>
      <c r="B24" s="14" t="s">
        <v>123</v>
      </c>
      <c r="C24" s="10"/>
      <c r="D24" s="48">
        <f t="shared" si="1"/>
        <v>0</v>
      </c>
      <c r="F24" s="38"/>
      <c r="G24" s="37"/>
      <c r="H24" s="195"/>
      <c r="I24" s="164"/>
      <c r="J24" s="16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6" t="s">
        <v>13</v>
      </c>
      <c r="I25" s="197"/>
      <c r="J25" s="19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7"/>
      <c r="B26" s="14" t="s">
        <v>124</v>
      </c>
      <c r="C26" s="10"/>
      <c r="D26" s="48">
        <f t="shared" si="1"/>
        <v>0</v>
      </c>
      <c r="F26" s="64"/>
      <c r="G26" s="59"/>
      <c r="H26" s="199"/>
      <c r="I26" s="200"/>
      <c r="J26" s="20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7"/>
      <c r="B27" s="14" t="s">
        <v>125</v>
      </c>
      <c r="C27" s="10"/>
      <c r="D27" s="44">
        <f t="shared" si="1"/>
        <v>0</v>
      </c>
      <c r="F27" s="25"/>
      <c r="G27" s="79"/>
      <c r="H27" s="202"/>
      <c r="I27" s="203"/>
      <c r="J27" s="20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8"/>
      <c r="B28" s="46" t="s">
        <v>92</v>
      </c>
      <c r="C28" s="10">
        <v>1</v>
      </c>
      <c r="D28" s="48">
        <f t="shared" si="1"/>
        <v>811</v>
      </c>
      <c r="F28" s="119"/>
      <c r="G28" s="61"/>
      <c r="H28" s="205"/>
      <c r="I28" s="206"/>
      <c r="J28" s="20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9" t="s">
        <v>36</v>
      </c>
      <c r="B29" s="180"/>
      <c r="C29" s="181"/>
      <c r="D29" s="185">
        <f>SUM(D6:D28)</f>
        <v>226309.875</v>
      </c>
      <c r="F29" s="125" t="s">
        <v>54</v>
      </c>
      <c r="G29" s="187"/>
      <c r="H29" s="147">
        <f>H15-H16-H17-H18-H19-H20-H22-H23-H24+H26+H27</f>
        <v>190773.375</v>
      </c>
      <c r="I29" s="148"/>
      <c r="J29" s="14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2"/>
      <c r="B30" s="183"/>
      <c r="C30" s="184"/>
      <c r="D30" s="186"/>
      <c r="F30" s="128"/>
      <c r="G30" s="188"/>
      <c r="H30" s="150"/>
      <c r="I30" s="151"/>
      <c r="J30" s="15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2" t="s">
        <v>57</v>
      </c>
      <c r="B32" s="173"/>
      <c r="C32" s="173"/>
      <c r="D32" s="174"/>
      <c r="F32" s="175" t="s">
        <v>58</v>
      </c>
      <c r="G32" s="176"/>
      <c r="H32" s="176"/>
      <c r="I32" s="176"/>
      <c r="J32" s="17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75" t="s">
        <v>13</v>
      </c>
      <c r="I33" s="176"/>
      <c r="J33" s="17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6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63</v>
      </c>
      <c r="H34" s="169">
        <f>F34*G34</f>
        <v>63000</v>
      </c>
      <c r="I34" s="170"/>
      <c r="J34" s="17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7"/>
      <c r="B35" s="27" t="s">
        <v>67</v>
      </c>
      <c r="C35" s="52"/>
      <c r="D35" s="30">
        <f>C35*84</f>
        <v>0</v>
      </c>
      <c r="F35" s="58">
        <v>500</v>
      </c>
      <c r="G35" s="121">
        <v>13</v>
      </c>
      <c r="H35" s="169">
        <f>F35*G35</f>
        <v>6500</v>
      </c>
      <c r="I35" s="170"/>
      <c r="J35" s="17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8"/>
      <c r="B36" s="26" t="s">
        <v>69</v>
      </c>
      <c r="C36" s="10"/>
      <c r="D36" s="12">
        <f>C36*1.5</f>
        <v>0</v>
      </c>
      <c r="F36" s="12">
        <v>200</v>
      </c>
      <c r="G36" s="37"/>
      <c r="H36" s="169">
        <f t="shared" ref="H36:H39" si="2">F36*G36</f>
        <v>0</v>
      </c>
      <c r="I36" s="170"/>
      <c r="J36" s="17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6" t="s">
        <v>71</v>
      </c>
      <c r="B37" s="28" t="s">
        <v>65</v>
      </c>
      <c r="C37" s="53">
        <v>285</v>
      </c>
      <c r="D37" s="12">
        <f>C37*111</f>
        <v>31635</v>
      </c>
      <c r="F37" s="12">
        <v>100</v>
      </c>
      <c r="G37" s="39">
        <v>7</v>
      </c>
      <c r="H37" s="169">
        <f t="shared" si="2"/>
        <v>700</v>
      </c>
      <c r="I37" s="170"/>
      <c r="J37" s="17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7"/>
      <c r="B38" s="29" t="s">
        <v>67</v>
      </c>
      <c r="C38" s="54">
        <v>12</v>
      </c>
      <c r="D38" s="12">
        <f>C38*84</f>
        <v>1008</v>
      </c>
      <c r="F38" s="30">
        <v>50</v>
      </c>
      <c r="G38" s="39">
        <v>1</v>
      </c>
      <c r="H38" s="169">
        <f t="shared" si="2"/>
        <v>50</v>
      </c>
      <c r="I38" s="170"/>
      <c r="J38" s="17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8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169">
        <f t="shared" si="2"/>
        <v>0</v>
      </c>
      <c r="I39" s="170"/>
      <c r="J39" s="17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6" t="s">
        <v>75</v>
      </c>
      <c r="B40" s="27" t="s">
        <v>65</v>
      </c>
      <c r="C40" s="63">
        <v>8</v>
      </c>
      <c r="D40" s="12">
        <f>C40*111</f>
        <v>888</v>
      </c>
      <c r="F40" s="12">
        <v>10</v>
      </c>
      <c r="G40" s="122"/>
      <c r="H40" s="169"/>
      <c r="I40" s="170"/>
      <c r="J40" s="17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7"/>
      <c r="B41" s="27" t="s">
        <v>67</v>
      </c>
      <c r="C41" s="10"/>
      <c r="D41" s="12">
        <f>C41*84</f>
        <v>0</v>
      </c>
      <c r="F41" s="12">
        <v>5</v>
      </c>
      <c r="G41" s="122"/>
      <c r="H41" s="169"/>
      <c r="I41" s="170"/>
      <c r="J41" s="17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8"/>
      <c r="B42" s="27" t="s">
        <v>69</v>
      </c>
      <c r="C42" s="11">
        <v>14</v>
      </c>
      <c r="D42" s="12">
        <f>C42*2.25</f>
        <v>31.5</v>
      </c>
      <c r="F42" s="39" t="s">
        <v>78</v>
      </c>
      <c r="G42" s="169">
        <v>19</v>
      </c>
      <c r="H42" s="170"/>
      <c r="I42" s="170"/>
      <c r="J42" s="17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9" t="s">
        <v>80</v>
      </c>
      <c r="C43" s="11"/>
      <c r="D43" s="12"/>
      <c r="F43" s="59" t="s">
        <v>81</v>
      </c>
      <c r="G43" s="117" t="s">
        <v>82</v>
      </c>
      <c r="H43" s="161" t="s">
        <v>13</v>
      </c>
      <c r="I43" s="162"/>
      <c r="J43" s="16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0"/>
      <c r="B44" s="27" t="s">
        <v>65</v>
      </c>
      <c r="C44" s="10">
        <v>2</v>
      </c>
      <c r="D44" s="12">
        <f>C44*120</f>
        <v>240</v>
      </c>
      <c r="F44" s="37" t="s">
        <v>148</v>
      </c>
      <c r="G44" s="87" t="s">
        <v>190</v>
      </c>
      <c r="H44" s="164">
        <v>74066</v>
      </c>
      <c r="I44" s="164"/>
      <c r="J44" s="16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0"/>
      <c r="B45" s="27" t="s">
        <v>67</v>
      </c>
      <c r="C45" s="33"/>
      <c r="D45" s="12">
        <f>C45*84</f>
        <v>0</v>
      </c>
      <c r="F45" s="37" t="s">
        <v>136</v>
      </c>
      <c r="G45" s="75" t="s">
        <v>191</v>
      </c>
      <c r="H45" s="164">
        <v>46582</v>
      </c>
      <c r="I45" s="164"/>
      <c r="J45" s="164"/>
      <c r="K45" s="21"/>
      <c r="P45" s="4"/>
      <c r="Q45" s="4"/>
      <c r="R45" s="5"/>
    </row>
    <row r="46" spans="1:18" ht="15.75" x14ac:dyDescent="0.25">
      <c r="A46" s="140"/>
      <c r="B46" s="49" t="s">
        <v>69</v>
      </c>
      <c r="C46" s="80">
        <v>4</v>
      </c>
      <c r="D46" s="12">
        <f>C46*1.5</f>
        <v>6</v>
      </c>
      <c r="F46" s="37"/>
      <c r="G46" s="62"/>
      <c r="H46" s="164"/>
      <c r="I46" s="164"/>
      <c r="J46" s="164"/>
      <c r="K46" s="21"/>
      <c r="P46" s="4"/>
      <c r="Q46" s="4"/>
      <c r="R46" s="5"/>
    </row>
    <row r="47" spans="1:18" ht="15.75" x14ac:dyDescent="0.25">
      <c r="A47" s="141"/>
      <c r="B47" s="27"/>
      <c r="C47" s="11"/>
      <c r="D47" s="12"/>
      <c r="F47" s="59"/>
      <c r="G47" s="59"/>
      <c r="H47" s="164"/>
      <c r="I47" s="164"/>
      <c r="J47" s="164"/>
      <c r="K47" s="21"/>
      <c r="P47" s="4"/>
      <c r="Q47" s="4"/>
      <c r="R47" s="5"/>
    </row>
    <row r="48" spans="1:18" ht="15" customHeight="1" x14ac:dyDescent="0.25">
      <c r="A48" s="139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0"/>
      <c r="B49" s="29" t="s">
        <v>67</v>
      </c>
      <c r="C49" s="33">
        <v>6</v>
      </c>
      <c r="D49" s="12">
        <f>C49*42</f>
        <v>252</v>
      </c>
      <c r="F49" s="145" t="s">
        <v>85</v>
      </c>
      <c r="G49" s="147">
        <f>H34+H35+H36+H37+H38+H39+H40+H41+G42+H44+H45+H46+H47+H48</f>
        <v>190917</v>
      </c>
      <c r="H49" s="148"/>
      <c r="I49" s="148"/>
      <c r="J49" s="14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0"/>
      <c r="B50" s="32" t="s">
        <v>69</v>
      </c>
      <c r="C50" s="80">
        <v>20</v>
      </c>
      <c r="D50" s="12">
        <f>C50*1.5</f>
        <v>30</v>
      </c>
      <c r="F50" s="146"/>
      <c r="G50" s="150"/>
      <c r="H50" s="151"/>
      <c r="I50" s="151"/>
      <c r="J50" s="152"/>
      <c r="O50" t="s">
        <v>112</v>
      </c>
      <c r="P50" s="4">
        <v>1204</v>
      </c>
      <c r="Q50" s="4"/>
      <c r="R50" s="5"/>
    </row>
    <row r="51" spans="1:18" ht="15" customHeight="1" x14ac:dyDescent="0.25">
      <c r="A51" s="140"/>
      <c r="B51" s="27"/>
      <c r="C51" s="10"/>
      <c r="D51" s="31"/>
      <c r="F51" s="153" t="str">
        <f>_xlfn.IFS(H29&gt;G49,"SHORT",H29&lt;G49,"OVER",H29&lt;=G49,"-")</f>
        <v>OVER</v>
      </c>
      <c r="G51" s="155">
        <f>G49-H29</f>
        <v>143.625</v>
      </c>
      <c r="H51" s="156"/>
      <c r="I51" s="156"/>
      <c r="J51" s="1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140"/>
      <c r="B52" s="29"/>
      <c r="C52" s="33"/>
      <c r="D52" s="45"/>
      <c r="F52" s="154"/>
      <c r="G52" s="158"/>
      <c r="H52" s="159"/>
      <c r="I52" s="159"/>
      <c r="J52" s="1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5" t="s">
        <v>89</v>
      </c>
      <c r="B54" s="126"/>
      <c r="C54" s="127"/>
      <c r="D54" s="131">
        <f>SUM(D34:D53)</f>
        <v>34420.5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8"/>
      <c r="B55" s="129"/>
      <c r="C55" s="130"/>
      <c r="D55" s="13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192</v>
      </c>
      <c r="D57" s="34"/>
      <c r="F57" s="36"/>
      <c r="G57" s="50"/>
      <c r="H57" s="50"/>
      <c r="I57" s="50"/>
      <c r="J57" s="43"/>
    </row>
    <row r="58" spans="1:18" x14ac:dyDescent="0.25">
      <c r="A58" s="133" t="s">
        <v>90</v>
      </c>
      <c r="B58" s="134"/>
      <c r="C58" s="134"/>
      <c r="D58" s="135"/>
      <c r="F58" s="133" t="s">
        <v>91</v>
      </c>
      <c r="G58" s="134"/>
      <c r="H58" s="134"/>
      <c r="I58" s="134"/>
      <c r="J58" s="135"/>
    </row>
    <row r="59" spans="1:18" x14ac:dyDescent="0.25">
      <c r="A59" s="136"/>
      <c r="B59" s="137"/>
      <c r="C59" s="137"/>
      <c r="D59" s="138"/>
      <c r="F59" s="136"/>
      <c r="G59" s="137"/>
      <c r="H59" s="137"/>
      <c r="I59" s="137"/>
      <c r="J59" s="13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32" priority="1" operator="containsText" text="OVER">
      <formula>NOT(ISERROR(SEARCH("OVER",F51)))</formula>
    </cfRule>
    <cfRule type="containsText" dxfId="31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D19DE70F-14E3-48BC-8C95-03EF54BCF82A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AF1E9-3A4F-43C5-8CEC-87C20D62A7F9}">
  <dimension ref="A1:R59"/>
  <sheetViews>
    <sheetView topLeftCell="A19" zoomScaleNormal="100" zoomScaleSheetLayoutView="85" workbookViewId="0">
      <selection activeCell="G43" sqref="G4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1" t="s">
        <v>1</v>
      </c>
      <c r="O1" s="221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2" t="s">
        <v>7</v>
      </c>
      <c r="B4" s="173"/>
      <c r="C4" s="173"/>
      <c r="D4" s="174"/>
      <c r="F4" s="222" t="s">
        <v>8</v>
      </c>
      <c r="G4" s="224">
        <v>3</v>
      </c>
      <c r="H4" s="226" t="s">
        <v>9</v>
      </c>
      <c r="I4" s="228">
        <v>46252</v>
      </c>
      <c r="J4" s="22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6" t="s">
        <v>7</v>
      </c>
      <c r="B5" s="15" t="s">
        <v>11</v>
      </c>
      <c r="C5" s="9" t="s">
        <v>12</v>
      </c>
      <c r="D5" s="25" t="s">
        <v>13</v>
      </c>
      <c r="F5" s="223"/>
      <c r="G5" s="225"/>
      <c r="H5" s="227"/>
      <c r="I5" s="230"/>
      <c r="J5" s="23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7"/>
      <c r="B6" s="16" t="s">
        <v>15</v>
      </c>
      <c r="C6" s="10">
        <v>274</v>
      </c>
      <c r="D6" s="13">
        <f t="shared" ref="D6:D28" si="1">C6*L6</f>
        <v>208514</v>
      </c>
      <c r="F6" s="232" t="s">
        <v>16</v>
      </c>
      <c r="G6" s="234" t="s">
        <v>142</v>
      </c>
      <c r="H6" s="235"/>
      <c r="I6" s="235"/>
      <c r="J6" s="2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7"/>
      <c r="B7" s="16" t="s">
        <v>18</v>
      </c>
      <c r="C7" s="10">
        <v>1</v>
      </c>
      <c r="D7" s="13">
        <f t="shared" si="1"/>
        <v>781</v>
      </c>
      <c r="F7" s="233"/>
      <c r="G7" s="237"/>
      <c r="H7" s="238"/>
      <c r="I7" s="238"/>
      <c r="J7" s="2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7"/>
      <c r="B8" s="16" t="s">
        <v>20</v>
      </c>
      <c r="C8" s="10"/>
      <c r="D8" s="13">
        <f t="shared" si="1"/>
        <v>0</v>
      </c>
      <c r="F8" s="240" t="s">
        <v>21</v>
      </c>
      <c r="G8" s="241" t="s">
        <v>109</v>
      </c>
      <c r="H8" s="242"/>
      <c r="I8" s="242"/>
      <c r="J8" s="24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7"/>
      <c r="B9" s="16" t="s">
        <v>23</v>
      </c>
      <c r="C9" s="10">
        <v>35</v>
      </c>
      <c r="D9" s="13">
        <f t="shared" si="1"/>
        <v>25655</v>
      </c>
      <c r="F9" s="233"/>
      <c r="G9" s="244"/>
      <c r="H9" s="245"/>
      <c r="I9" s="245"/>
      <c r="J9" s="24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7"/>
      <c r="B10" t="s">
        <v>25</v>
      </c>
      <c r="C10" s="10"/>
      <c r="D10" s="13">
        <f t="shared" si="1"/>
        <v>0</v>
      </c>
      <c r="F10" s="232" t="s">
        <v>26</v>
      </c>
      <c r="G10" s="247" t="s">
        <v>119</v>
      </c>
      <c r="H10" s="248"/>
      <c r="I10" s="248"/>
      <c r="J10" s="249"/>
      <c r="K10" s="8"/>
      <c r="L10" s="6">
        <f>R36</f>
        <v>1032</v>
      </c>
      <c r="P10" s="4"/>
      <c r="Q10" s="4"/>
      <c r="R10" s="5"/>
    </row>
    <row r="11" spans="1:18" ht="15.75" x14ac:dyDescent="0.25">
      <c r="A11" s="167"/>
      <c r="B11" s="17" t="s">
        <v>28</v>
      </c>
      <c r="C11" s="10"/>
      <c r="D11" s="13">
        <f t="shared" si="1"/>
        <v>0</v>
      </c>
      <c r="F11" s="233"/>
      <c r="G11" s="244"/>
      <c r="H11" s="245"/>
      <c r="I11" s="245"/>
      <c r="J11" s="24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7"/>
      <c r="B12" s="17" t="s">
        <v>30</v>
      </c>
      <c r="C12" s="10"/>
      <c r="D12" s="48">
        <f t="shared" si="1"/>
        <v>0</v>
      </c>
      <c r="F12" s="250" t="s">
        <v>33</v>
      </c>
      <c r="G12" s="251"/>
      <c r="H12" s="251"/>
      <c r="I12" s="251"/>
      <c r="J12" s="25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7"/>
      <c r="B13" s="17" t="s">
        <v>32</v>
      </c>
      <c r="C13" s="10">
        <v>9</v>
      </c>
      <c r="D13" s="48">
        <f t="shared" si="1"/>
        <v>2763</v>
      </c>
      <c r="F13" s="253" t="s">
        <v>36</v>
      </c>
      <c r="G13" s="217"/>
      <c r="H13" s="208">
        <f>D29</f>
        <v>239538</v>
      </c>
      <c r="I13" s="209"/>
      <c r="J13" s="21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7"/>
      <c r="B14" s="14" t="s">
        <v>35</v>
      </c>
      <c r="C14" s="10"/>
      <c r="D14" s="31">
        <f t="shared" si="1"/>
        <v>0</v>
      </c>
      <c r="F14" s="211" t="s">
        <v>38</v>
      </c>
      <c r="G14" s="212"/>
      <c r="H14" s="213">
        <f>D54</f>
        <v>35656.5</v>
      </c>
      <c r="I14" s="214"/>
      <c r="J14" s="215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7"/>
      <c r="B15" s="14" t="s">
        <v>117</v>
      </c>
      <c r="C15" s="10"/>
      <c r="D15" s="31">
        <f t="shared" si="1"/>
        <v>0</v>
      </c>
      <c r="F15" s="216" t="s">
        <v>39</v>
      </c>
      <c r="G15" s="217"/>
      <c r="H15" s="218">
        <f>H13-H14</f>
        <v>203881.5</v>
      </c>
      <c r="I15" s="219"/>
      <c r="J15" s="22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7"/>
      <c r="B16" s="18" t="s">
        <v>110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78"/>
      <c r="I16" s="178"/>
      <c r="J16" s="17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7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9"/>
      <c r="I17" s="189"/>
      <c r="J17" s="18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7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9"/>
      <c r="I18" s="189"/>
      <c r="J18" s="18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7"/>
      <c r="B19" s="86" t="s">
        <v>105</v>
      </c>
      <c r="C19" s="10">
        <v>1</v>
      </c>
      <c r="D19" s="48">
        <f t="shared" si="1"/>
        <v>1175</v>
      </c>
      <c r="F19" s="56"/>
      <c r="G19" s="68" t="s">
        <v>49</v>
      </c>
      <c r="H19" s="263"/>
      <c r="I19" s="263"/>
      <c r="J19" s="26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7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8"/>
      <c r="I20" s="178"/>
      <c r="J20" s="17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7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191" t="s">
        <v>13</v>
      </c>
      <c r="I21" s="192"/>
      <c r="J21" s="19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7"/>
      <c r="B22" s="46" t="s">
        <v>103</v>
      </c>
      <c r="C22" s="10"/>
      <c r="D22" s="48">
        <f t="shared" si="1"/>
        <v>0</v>
      </c>
      <c r="F22" s="76"/>
      <c r="G22" s="72"/>
      <c r="H22" s="194"/>
      <c r="I22" s="194"/>
      <c r="J22" s="19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7"/>
      <c r="B23" s="14" t="s">
        <v>116</v>
      </c>
      <c r="C23" s="10"/>
      <c r="D23" s="48">
        <f t="shared" si="1"/>
        <v>0</v>
      </c>
      <c r="F23" s="77"/>
      <c r="G23" s="78"/>
      <c r="H23" s="264"/>
      <c r="I23" s="194"/>
      <c r="J23" s="19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7"/>
      <c r="B24" s="14" t="s">
        <v>123</v>
      </c>
      <c r="C24" s="10"/>
      <c r="D24" s="48">
        <f t="shared" si="1"/>
        <v>0</v>
      </c>
      <c r="F24" s="38"/>
      <c r="G24" s="37"/>
      <c r="H24" s="195"/>
      <c r="I24" s="164"/>
      <c r="J24" s="16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6" t="s">
        <v>13</v>
      </c>
      <c r="I25" s="197"/>
      <c r="J25" s="19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7"/>
      <c r="B26" s="14" t="s">
        <v>124</v>
      </c>
      <c r="C26" s="10"/>
      <c r="D26" s="48">
        <f t="shared" si="1"/>
        <v>0</v>
      </c>
      <c r="F26" s="64"/>
      <c r="G26" s="59"/>
      <c r="H26" s="199"/>
      <c r="I26" s="200"/>
      <c r="J26" s="20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7"/>
      <c r="B27" s="14" t="s">
        <v>125</v>
      </c>
      <c r="C27" s="10"/>
      <c r="D27" s="44">
        <f t="shared" si="1"/>
        <v>0</v>
      </c>
      <c r="F27" s="25"/>
      <c r="G27" s="79"/>
      <c r="H27" s="202"/>
      <c r="I27" s="203"/>
      <c r="J27" s="20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8"/>
      <c r="B28" s="46" t="s">
        <v>92</v>
      </c>
      <c r="C28" s="10"/>
      <c r="D28" s="48">
        <f t="shared" si="1"/>
        <v>0</v>
      </c>
      <c r="F28" s="119"/>
      <c r="G28" s="61"/>
      <c r="H28" s="205"/>
      <c r="I28" s="206"/>
      <c r="J28" s="20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9" t="s">
        <v>36</v>
      </c>
      <c r="B29" s="180"/>
      <c r="C29" s="181"/>
      <c r="D29" s="185">
        <f>SUM(D6:D28)</f>
        <v>239538</v>
      </c>
      <c r="F29" s="125" t="s">
        <v>54</v>
      </c>
      <c r="G29" s="187"/>
      <c r="H29" s="147">
        <f>H15-H16-H17-H18-H19-H20-H22-H23-H24+H26+H27</f>
        <v>203881.5</v>
      </c>
      <c r="I29" s="148"/>
      <c r="J29" s="14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2"/>
      <c r="B30" s="183"/>
      <c r="C30" s="184"/>
      <c r="D30" s="186"/>
      <c r="F30" s="128"/>
      <c r="G30" s="188"/>
      <c r="H30" s="150"/>
      <c r="I30" s="151"/>
      <c r="J30" s="15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2" t="s">
        <v>57</v>
      </c>
      <c r="B32" s="173"/>
      <c r="C32" s="173"/>
      <c r="D32" s="174"/>
      <c r="F32" s="175" t="s">
        <v>58</v>
      </c>
      <c r="G32" s="176"/>
      <c r="H32" s="176"/>
      <c r="I32" s="176"/>
      <c r="J32" s="17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75" t="s">
        <v>13</v>
      </c>
      <c r="I33" s="176"/>
      <c r="J33" s="17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6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182</v>
      </c>
      <c r="H34" s="169">
        <f>F34*G34</f>
        <v>182000</v>
      </c>
      <c r="I34" s="170"/>
      <c r="J34" s="17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7"/>
      <c r="B35" s="27" t="s">
        <v>67</v>
      </c>
      <c r="C35" s="52"/>
      <c r="D35" s="30">
        <f>C35*84</f>
        <v>0</v>
      </c>
      <c r="F35" s="58">
        <v>500</v>
      </c>
      <c r="G35" s="121">
        <v>33</v>
      </c>
      <c r="H35" s="169">
        <f>F35*G35</f>
        <v>16500</v>
      </c>
      <c r="I35" s="170"/>
      <c r="J35" s="17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8"/>
      <c r="B36" s="26" t="s">
        <v>69</v>
      </c>
      <c r="C36" s="10"/>
      <c r="D36" s="12">
        <f>C36*1.5</f>
        <v>0</v>
      </c>
      <c r="F36" s="12">
        <v>200</v>
      </c>
      <c r="G36" s="37"/>
      <c r="H36" s="169">
        <f t="shared" ref="H36:H39" si="2">F36*G36</f>
        <v>0</v>
      </c>
      <c r="I36" s="170"/>
      <c r="J36" s="17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6" t="s">
        <v>71</v>
      </c>
      <c r="B37" s="28" t="s">
        <v>65</v>
      </c>
      <c r="C37" s="53">
        <v>307</v>
      </c>
      <c r="D37" s="12">
        <f>C37*111</f>
        <v>34077</v>
      </c>
      <c r="F37" s="12">
        <v>100</v>
      </c>
      <c r="G37" s="39">
        <v>43</v>
      </c>
      <c r="H37" s="169">
        <f t="shared" si="2"/>
        <v>4300</v>
      </c>
      <c r="I37" s="170"/>
      <c r="J37" s="17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7"/>
      <c r="B38" s="29" t="s">
        <v>67</v>
      </c>
      <c r="C38" s="54"/>
      <c r="D38" s="12">
        <f>C38*84</f>
        <v>0</v>
      </c>
      <c r="F38" s="30">
        <v>50</v>
      </c>
      <c r="G38" s="39">
        <v>20</v>
      </c>
      <c r="H38" s="169">
        <f t="shared" si="2"/>
        <v>1000</v>
      </c>
      <c r="I38" s="170"/>
      <c r="J38" s="17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8"/>
      <c r="B39" s="29" t="s">
        <v>69</v>
      </c>
      <c r="C39" s="52"/>
      <c r="D39" s="31">
        <f>C39*4.5</f>
        <v>0</v>
      </c>
      <c r="F39" s="12">
        <v>20</v>
      </c>
      <c r="G39" s="37"/>
      <c r="H39" s="169">
        <f t="shared" si="2"/>
        <v>0</v>
      </c>
      <c r="I39" s="170"/>
      <c r="J39" s="17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6" t="s">
        <v>75</v>
      </c>
      <c r="B40" s="27" t="s">
        <v>65</v>
      </c>
      <c r="C40" s="63">
        <v>8</v>
      </c>
      <c r="D40" s="12">
        <f>C40*111</f>
        <v>888</v>
      </c>
      <c r="F40" s="12">
        <v>10</v>
      </c>
      <c r="G40" s="122"/>
      <c r="H40" s="169"/>
      <c r="I40" s="170"/>
      <c r="J40" s="17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7"/>
      <c r="B41" s="27" t="s">
        <v>67</v>
      </c>
      <c r="C41" s="10"/>
      <c r="D41" s="12">
        <f>C41*84</f>
        <v>0</v>
      </c>
      <c r="F41" s="12">
        <v>5</v>
      </c>
      <c r="G41" s="122"/>
      <c r="H41" s="169"/>
      <c r="I41" s="170"/>
      <c r="J41" s="17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8"/>
      <c r="B42" s="27" t="s">
        <v>69</v>
      </c>
      <c r="C42" s="11"/>
      <c r="D42" s="12">
        <f>C42*2.25</f>
        <v>0</v>
      </c>
      <c r="F42" s="39" t="s">
        <v>78</v>
      </c>
      <c r="G42" s="169">
        <v>102</v>
      </c>
      <c r="H42" s="170"/>
      <c r="I42" s="170"/>
      <c r="J42" s="17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9" t="s">
        <v>80</v>
      </c>
      <c r="C43" s="11"/>
      <c r="D43" s="12"/>
      <c r="F43" s="59" t="s">
        <v>81</v>
      </c>
      <c r="G43" s="117" t="s">
        <v>82</v>
      </c>
      <c r="H43" s="161" t="s">
        <v>13</v>
      </c>
      <c r="I43" s="162"/>
      <c r="J43" s="16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0"/>
      <c r="B44" s="27" t="s">
        <v>65</v>
      </c>
      <c r="C44" s="10"/>
      <c r="D44" s="12">
        <f>C44*120</f>
        <v>0</v>
      </c>
      <c r="F44" s="37"/>
      <c r="G44" s="87"/>
      <c r="H44" s="164"/>
      <c r="I44" s="164"/>
      <c r="J44" s="16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0"/>
      <c r="B45" s="27" t="s">
        <v>67</v>
      </c>
      <c r="C45" s="33"/>
      <c r="D45" s="12">
        <f>C45*84</f>
        <v>0</v>
      </c>
      <c r="F45" s="37"/>
      <c r="G45" s="87"/>
      <c r="H45" s="164"/>
      <c r="I45" s="164"/>
      <c r="J45" s="164"/>
      <c r="K45" s="21"/>
      <c r="P45" s="4"/>
      <c r="Q45" s="4"/>
      <c r="R45" s="5"/>
    </row>
    <row r="46" spans="1:18" ht="15.75" x14ac:dyDescent="0.25">
      <c r="A46" s="140"/>
      <c r="B46" s="49" t="s">
        <v>69</v>
      </c>
      <c r="C46" s="80"/>
      <c r="D46" s="12">
        <f>C46*1.5</f>
        <v>0</v>
      </c>
      <c r="F46" s="37"/>
      <c r="G46" s="75"/>
      <c r="H46" s="164"/>
      <c r="I46" s="164"/>
      <c r="J46" s="164"/>
      <c r="K46" s="21"/>
      <c r="P46" s="4"/>
      <c r="Q46" s="4"/>
      <c r="R46" s="5"/>
    </row>
    <row r="47" spans="1:18" ht="15.75" x14ac:dyDescent="0.25">
      <c r="A47" s="141"/>
      <c r="B47" s="27"/>
      <c r="C47" s="11"/>
      <c r="D47" s="12"/>
      <c r="F47" s="37"/>
      <c r="G47" s="75"/>
      <c r="H47" s="164"/>
      <c r="I47" s="164"/>
      <c r="J47" s="164"/>
      <c r="K47" s="21"/>
      <c r="P47" s="4"/>
      <c r="Q47" s="4"/>
      <c r="R47" s="5"/>
    </row>
    <row r="48" spans="1:18" ht="15" customHeight="1" x14ac:dyDescent="0.25">
      <c r="A48" s="139" t="s">
        <v>32</v>
      </c>
      <c r="B48" s="27" t="s">
        <v>65</v>
      </c>
      <c r="C48" s="10">
        <v>8</v>
      </c>
      <c r="D48" s="12">
        <f>C48*78</f>
        <v>624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0"/>
      <c r="B49" s="29" t="s">
        <v>67</v>
      </c>
      <c r="C49" s="33">
        <v>1</v>
      </c>
      <c r="D49" s="12">
        <f>C49*42</f>
        <v>42</v>
      </c>
      <c r="F49" s="145" t="s">
        <v>85</v>
      </c>
      <c r="G49" s="147">
        <f>H34+H35+H36+H37+H38+H39+H40+H41+G42+H44+H45+H46+H47+H48</f>
        <v>203902</v>
      </c>
      <c r="H49" s="148"/>
      <c r="I49" s="148"/>
      <c r="J49" s="14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0"/>
      <c r="B50" s="32" t="s">
        <v>69</v>
      </c>
      <c r="C50" s="11">
        <v>17</v>
      </c>
      <c r="D50" s="12">
        <f>C50*1.5</f>
        <v>25.5</v>
      </c>
      <c r="F50" s="146"/>
      <c r="G50" s="150"/>
      <c r="H50" s="151"/>
      <c r="I50" s="151"/>
      <c r="J50" s="152"/>
      <c r="O50" t="s">
        <v>112</v>
      </c>
      <c r="P50" s="4">
        <v>1204</v>
      </c>
      <c r="Q50" s="4"/>
      <c r="R50" s="5"/>
    </row>
    <row r="51" spans="1:18" ht="15" customHeight="1" x14ac:dyDescent="0.25">
      <c r="A51" s="140"/>
      <c r="B51" s="27"/>
      <c r="C51" s="10"/>
      <c r="D51" s="31"/>
      <c r="F51" s="153" t="str">
        <f>_xlfn.IFS(H29&gt;G49,"SHORT",H29&lt;G49,"OVER",H29&lt;=G49,"-")</f>
        <v>OVER</v>
      </c>
      <c r="G51" s="155">
        <f>G49-H29</f>
        <v>20.5</v>
      </c>
      <c r="H51" s="156"/>
      <c r="I51" s="156"/>
      <c r="J51" s="1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140"/>
      <c r="B52" s="29"/>
      <c r="C52" s="33"/>
      <c r="D52" s="45"/>
      <c r="F52" s="154"/>
      <c r="G52" s="158"/>
      <c r="H52" s="159"/>
      <c r="I52" s="159"/>
      <c r="J52" s="1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5" t="s">
        <v>89</v>
      </c>
      <c r="B54" s="126"/>
      <c r="C54" s="127"/>
      <c r="D54" s="131">
        <f>SUM(D34:D53)</f>
        <v>35656.5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8"/>
      <c r="B55" s="129"/>
      <c r="C55" s="130"/>
      <c r="D55" s="13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33" t="s">
        <v>90</v>
      </c>
      <c r="B58" s="134"/>
      <c r="C58" s="134"/>
      <c r="D58" s="135"/>
      <c r="F58" s="133" t="s">
        <v>91</v>
      </c>
      <c r="G58" s="134"/>
      <c r="H58" s="134"/>
      <c r="I58" s="134"/>
      <c r="J58" s="135"/>
    </row>
    <row r="59" spans="1:18" x14ac:dyDescent="0.25">
      <c r="A59" s="136"/>
      <c r="B59" s="137"/>
      <c r="C59" s="137"/>
      <c r="D59" s="138"/>
      <c r="F59" s="136"/>
      <c r="G59" s="137"/>
      <c r="H59" s="137"/>
      <c r="I59" s="137"/>
      <c r="J59" s="13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29" priority="1" operator="containsText" text="OVER">
      <formula>NOT(ISERROR(SEARCH("OVER",F51)))</formula>
    </cfRule>
    <cfRule type="containsText" dxfId="28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1C2E9A4E-6AD3-4F57-815D-191C337321A2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A753F-53EA-4EF2-ACD9-D5465F7BEA3B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1" t="s">
        <v>1</v>
      </c>
      <c r="O1" s="221"/>
      <c r="P1" s="118" t="s">
        <v>2</v>
      </c>
      <c r="Q1" s="11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2" t="s">
        <v>7</v>
      </c>
      <c r="B4" s="173"/>
      <c r="C4" s="173"/>
      <c r="D4" s="174"/>
      <c r="F4" s="222" t="s">
        <v>8</v>
      </c>
      <c r="G4" s="224"/>
      <c r="H4" s="226" t="s">
        <v>9</v>
      </c>
      <c r="I4" s="228"/>
      <c r="J4" s="22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6" t="s">
        <v>7</v>
      </c>
      <c r="B5" s="15" t="s">
        <v>11</v>
      </c>
      <c r="C5" s="9" t="s">
        <v>12</v>
      </c>
      <c r="D5" s="25" t="s">
        <v>13</v>
      </c>
      <c r="F5" s="223"/>
      <c r="G5" s="225"/>
      <c r="H5" s="227"/>
      <c r="I5" s="230"/>
      <c r="J5" s="23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7"/>
      <c r="B6" s="16"/>
      <c r="C6" s="10"/>
      <c r="D6" s="13">
        <f t="shared" ref="D6:D28" si="1">C6*L6</f>
        <v>0</v>
      </c>
      <c r="F6" s="232" t="s">
        <v>16</v>
      </c>
      <c r="G6" s="234"/>
      <c r="H6" s="235"/>
      <c r="I6" s="235"/>
      <c r="J6" s="23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7"/>
      <c r="B7" s="16"/>
      <c r="C7" s="10"/>
      <c r="D7" s="13">
        <f t="shared" si="1"/>
        <v>0</v>
      </c>
      <c r="F7" s="233"/>
      <c r="G7" s="237"/>
      <c r="H7" s="238"/>
      <c r="I7" s="238"/>
      <c r="J7" s="23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7"/>
      <c r="B8" s="16"/>
      <c r="C8" s="10"/>
      <c r="D8" s="13">
        <f t="shared" si="1"/>
        <v>0</v>
      </c>
      <c r="F8" s="240" t="s">
        <v>21</v>
      </c>
      <c r="G8" s="241"/>
      <c r="H8" s="242"/>
      <c r="I8" s="242"/>
      <c r="J8" s="24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7"/>
      <c r="B9" s="16"/>
      <c r="C9" s="10"/>
      <c r="D9" s="13">
        <f t="shared" si="1"/>
        <v>0</v>
      </c>
      <c r="F9" s="233"/>
      <c r="G9" s="244"/>
      <c r="H9" s="245"/>
      <c r="I9" s="245"/>
      <c r="J9" s="24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7"/>
      <c r="C10" s="10"/>
      <c r="D10" s="13">
        <f t="shared" si="1"/>
        <v>0</v>
      </c>
      <c r="F10" s="232" t="s">
        <v>26</v>
      </c>
      <c r="G10" s="247"/>
      <c r="H10" s="248"/>
      <c r="I10" s="248"/>
      <c r="J10" s="249"/>
      <c r="K10" s="8"/>
      <c r="L10" s="6">
        <f>R36</f>
        <v>972</v>
      </c>
      <c r="P10" s="4"/>
      <c r="Q10" s="4"/>
      <c r="R10" s="5"/>
    </row>
    <row r="11" spans="1:19" ht="15.75" x14ac:dyDescent="0.25">
      <c r="A11" s="167"/>
      <c r="B11" s="17"/>
      <c r="C11" s="10"/>
      <c r="D11" s="13">
        <f t="shared" si="1"/>
        <v>0</v>
      </c>
      <c r="F11" s="233"/>
      <c r="G11" s="244"/>
      <c r="H11" s="245"/>
      <c r="I11" s="245"/>
      <c r="J11" s="24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7"/>
      <c r="B12" s="17"/>
      <c r="C12" s="10"/>
      <c r="D12" s="48">
        <f t="shared" si="1"/>
        <v>0</v>
      </c>
      <c r="F12" s="250" t="s">
        <v>33</v>
      </c>
      <c r="G12" s="251"/>
      <c r="H12" s="251"/>
      <c r="I12" s="251"/>
      <c r="J12" s="25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7"/>
      <c r="B13" s="17"/>
      <c r="C13" s="10"/>
      <c r="D13" s="48">
        <f t="shared" si="1"/>
        <v>0</v>
      </c>
      <c r="F13" s="253" t="s">
        <v>36</v>
      </c>
      <c r="G13" s="217"/>
      <c r="H13" s="208">
        <f>D29</f>
        <v>0</v>
      </c>
      <c r="I13" s="209"/>
      <c r="J13" s="21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7"/>
      <c r="B14" s="14"/>
      <c r="C14" s="10"/>
      <c r="D14" s="31">
        <f t="shared" si="1"/>
        <v>0</v>
      </c>
      <c r="F14" s="211" t="s">
        <v>38</v>
      </c>
      <c r="G14" s="212"/>
      <c r="H14" s="213">
        <f>D54</f>
        <v>0</v>
      </c>
      <c r="I14" s="214"/>
      <c r="J14" s="21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7"/>
      <c r="B15" s="14"/>
      <c r="C15" s="10"/>
      <c r="D15" s="31">
        <f t="shared" si="1"/>
        <v>0</v>
      </c>
      <c r="F15" s="216" t="s">
        <v>39</v>
      </c>
      <c r="G15" s="217"/>
      <c r="H15" s="218">
        <f>H13-H14</f>
        <v>0</v>
      </c>
      <c r="I15" s="219"/>
      <c r="J15" s="22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8"/>
      <c r="I16" s="178"/>
      <c r="J16" s="17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7"/>
      <c r="C17" s="10"/>
      <c r="D17" s="48">
        <f t="shared" si="1"/>
        <v>0</v>
      </c>
      <c r="F17" s="56"/>
      <c r="G17" s="66" t="s">
        <v>44</v>
      </c>
      <c r="H17" s="189"/>
      <c r="I17" s="189"/>
      <c r="J17" s="18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7"/>
      <c r="B18" s="19"/>
      <c r="C18" s="10"/>
      <c r="D18" s="48">
        <f t="shared" si="1"/>
        <v>0</v>
      </c>
      <c r="F18" s="56"/>
      <c r="G18" s="66" t="s">
        <v>46</v>
      </c>
      <c r="H18" s="189"/>
      <c r="I18" s="189"/>
      <c r="J18" s="18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7"/>
      <c r="B19" s="14"/>
      <c r="C19" s="10"/>
      <c r="D19" s="48">
        <f t="shared" si="1"/>
        <v>0</v>
      </c>
      <c r="F19" s="56"/>
      <c r="G19" s="68" t="s">
        <v>49</v>
      </c>
      <c r="H19" s="190"/>
      <c r="I19" s="190"/>
      <c r="J19" s="19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7"/>
      <c r="B20" s="46"/>
      <c r="C20" s="10"/>
      <c r="D20" s="13">
        <f t="shared" si="1"/>
        <v>0</v>
      </c>
      <c r="F20" s="57"/>
      <c r="G20" s="70" t="s">
        <v>102</v>
      </c>
      <c r="H20" s="178"/>
      <c r="I20" s="178"/>
      <c r="J20" s="17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7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91" t="s">
        <v>13</v>
      </c>
      <c r="I21" s="192"/>
      <c r="J21" s="193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7"/>
      <c r="B22" s="46"/>
      <c r="C22" s="10"/>
      <c r="D22" s="48">
        <f t="shared" si="1"/>
        <v>0</v>
      </c>
      <c r="F22" s="76"/>
      <c r="G22" s="72"/>
      <c r="H22" s="194"/>
      <c r="I22" s="194"/>
      <c r="J22" s="194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7"/>
      <c r="B23" s="14"/>
      <c r="C23" s="10"/>
      <c r="D23" s="48">
        <f t="shared" si="1"/>
        <v>0</v>
      </c>
      <c r="F23" s="77"/>
      <c r="G23" s="78"/>
      <c r="H23" s="195"/>
      <c r="I23" s="164"/>
      <c r="J23" s="16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7"/>
      <c r="B24" s="14"/>
      <c r="C24" s="10"/>
      <c r="D24" s="48">
        <f t="shared" si="1"/>
        <v>0</v>
      </c>
      <c r="F24" s="38"/>
      <c r="G24" s="37"/>
      <c r="H24" s="195"/>
      <c r="I24" s="164"/>
      <c r="J24" s="16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6" t="s">
        <v>13</v>
      </c>
      <c r="I25" s="197"/>
      <c r="J25" s="19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7"/>
      <c r="B26" s="14"/>
      <c r="C26" s="10"/>
      <c r="D26" s="48">
        <f t="shared" si="1"/>
        <v>0</v>
      </c>
      <c r="F26" s="64"/>
      <c r="G26" s="59"/>
      <c r="H26" s="199"/>
      <c r="I26" s="200"/>
      <c r="J26" s="20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7"/>
      <c r="B27" s="14"/>
      <c r="C27" s="10"/>
      <c r="D27" s="44">
        <f t="shared" si="1"/>
        <v>0</v>
      </c>
      <c r="F27" s="25"/>
      <c r="G27" s="79"/>
      <c r="H27" s="202"/>
      <c r="I27" s="203"/>
      <c r="J27" s="20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8"/>
      <c r="B28" s="46"/>
      <c r="C28" s="10"/>
      <c r="D28" s="48">
        <f t="shared" si="1"/>
        <v>0</v>
      </c>
      <c r="F28" s="119"/>
      <c r="G28" s="61"/>
      <c r="H28" s="205"/>
      <c r="I28" s="206"/>
      <c r="J28" s="20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9" t="s">
        <v>36</v>
      </c>
      <c r="B29" s="180"/>
      <c r="C29" s="181"/>
      <c r="D29" s="185">
        <f>SUM(D6:D28)</f>
        <v>0</v>
      </c>
      <c r="F29" s="125" t="s">
        <v>54</v>
      </c>
      <c r="G29" s="187"/>
      <c r="H29" s="147">
        <f>H15-H16-H17-H18-H19-H20-H22-H23-H24+H26+H27</f>
        <v>0</v>
      </c>
      <c r="I29" s="148"/>
      <c r="J29" s="14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2"/>
      <c r="B30" s="183"/>
      <c r="C30" s="184"/>
      <c r="D30" s="186"/>
      <c r="F30" s="128"/>
      <c r="G30" s="188"/>
      <c r="H30" s="150"/>
      <c r="I30" s="151"/>
      <c r="J30" s="15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2" t="s">
        <v>57</v>
      </c>
      <c r="B32" s="173"/>
      <c r="C32" s="173"/>
      <c r="D32" s="174"/>
      <c r="F32" s="175" t="s">
        <v>58</v>
      </c>
      <c r="G32" s="176"/>
      <c r="H32" s="176"/>
      <c r="I32" s="176"/>
      <c r="J32" s="17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75" t="s">
        <v>13</v>
      </c>
      <c r="I33" s="176"/>
      <c r="J33" s="17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6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69"/>
      <c r="I34" s="170"/>
      <c r="J34" s="17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7"/>
      <c r="B35" s="27" t="s">
        <v>67</v>
      </c>
      <c r="C35" s="52"/>
      <c r="D35" s="30">
        <f>C35*84</f>
        <v>0</v>
      </c>
      <c r="F35" s="58">
        <v>500</v>
      </c>
      <c r="G35" s="121"/>
      <c r="H35" s="169"/>
      <c r="I35" s="170"/>
      <c r="J35" s="17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8"/>
      <c r="B36" s="26" t="s">
        <v>69</v>
      </c>
      <c r="C36" s="10"/>
      <c r="D36" s="12">
        <f>C36*1.5</f>
        <v>0</v>
      </c>
      <c r="F36" s="12">
        <v>200</v>
      </c>
      <c r="G36" s="37"/>
      <c r="H36" s="169"/>
      <c r="I36" s="170"/>
      <c r="J36" s="17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9"/>
      <c r="I37" s="170"/>
      <c r="J37" s="17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7"/>
      <c r="B38" s="29" t="s">
        <v>67</v>
      </c>
      <c r="C38" s="54"/>
      <c r="D38" s="12">
        <f>C38*84</f>
        <v>0</v>
      </c>
      <c r="F38" s="30">
        <v>50</v>
      </c>
      <c r="G38" s="39"/>
      <c r="H38" s="169"/>
      <c r="I38" s="170"/>
      <c r="J38" s="17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8"/>
      <c r="B39" s="29" t="s">
        <v>69</v>
      </c>
      <c r="C39" s="52"/>
      <c r="D39" s="31">
        <f>C39*4.5</f>
        <v>0</v>
      </c>
      <c r="F39" s="12">
        <v>20</v>
      </c>
      <c r="G39" s="37"/>
      <c r="H39" s="169"/>
      <c r="I39" s="170"/>
      <c r="J39" s="17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6" t="s">
        <v>75</v>
      </c>
      <c r="B40" s="27" t="s">
        <v>65</v>
      </c>
      <c r="C40" s="63"/>
      <c r="D40" s="12">
        <f>C40*111</f>
        <v>0</v>
      </c>
      <c r="F40" s="12">
        <v>10</v>
      </c>
      <c r="G40" s="122"/>
      <c r="H40" s="169"/>
      <c r="I40" s="170"/>
      <c r="J40" s="17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7"/>
      <c r="B41" s="27" t="s">
        <v>67</v>
      </c>
      <c r="C41" s="10"/>
      <c r="D41" s="12">
        <f>C41*84</f>
        <v>0</v>
      </c>
      <c r="F41" s="12">
        <v>5</v>
      </c>
      <c r="G41" s="122"/>
      <c r="H41" s="169"/>
      <c r="I41" s="170"/>
      <c r="J41" s="17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8"/>
      <c r="B42" s="27" t="s">
        <v>69</v>
      </c>
      <c r="C42" s="11"/>
      <c r="D42" s="12">
        <f>C42*2.25</f>
        <v>0</v>
      </c>
      <c r="F42" s="39" t="s">
        <v>78</v>
      </c>
      <c r="G42" s="169"/>
      <c r="H42" s="170"/>
      <c r="I42" s="170"/>
      <c r="J42" s="17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9" t="s">
        <v>80</v>
      </c>
      <c r="C43" s="11"/>
      <c r="D43" s="12"/>
      <c r="F43" s="59" t="s">
        <v>81</v>
      </c>
      <c r="G43" s="117" t="s">
        <v>82</v>
      </c>
      <c r="H43" s="161" t="s">
        <v>13</v>
      </c>
      <c r="I43" s="162"/>
      <c r="J43" s="163"/>
      <c r="K43" s="21"/>
      <c r="P43" s="4"/>
      <c r="Q43" s="4"/>
      <c r="R43" s="5"/>
    </row>
    <row r="44" spans="1:18" ht="15.75" x14ac:dyDescent="0.25">
      <c r="A44" s="140"/>
      <c r="B44" s="27" t="s">
        <v>65</v>
      </c>
      <c r="C44" s="10"/>
      <c r="D44" s="12">
        <f>C44*120</f>
        <v>0</v>
      </c>
      <c r="F44" s="37"/>
      <c r="G44" s="75"/>
      <c r="H44" s="164"/>
      <c r="I44" s="164"/>
      <c r="J44" s="164"/>
      <c r="K44" s="21"/>
      <c r="P44" s="4"/>
      <c r="Q44" s="4"/>
      <c r="R44" s="5"/>
    </row>
    <row r="45" spans="1:18" ht="15.75" x14ac:dyDescent="0.25">
      <c r="A45" s="140"/>
      <c r="B45" s="27" t="s">
        <v>67</v>
      </c>
      <c r="C45" s="33"/>
      <c r="D45" s="12">
        <f>C45*84</f>
        <v>0</v>
      </c>
      <c r="F45" s="37"/>
      <c r="G45" s="75"/>
      <c r="H45" s="164"/>
      <c r="I45" s="164"/>
      <c r="J45" s="164"/>
      <c r="K45" s="21"/>
      <c r="P45" s="4"/>
      <c r="Q45" s="4"/>
      <c r="R45" s="5"/>
    </row>
    <row r="46" spans="1:18" ht="15.75" x14ac:dyDescent="0.25">
      <c r="A46" s="140"/>
      <c r="B46" s="49" t="s">
        <v>69</v>
      </c>
      <c r="C46" s="80"/>
      <c r="D46" s="12">
        <f>C46*1.5</f>
        <v>0</v>
      </c>
      <c r="F46" s="37"/>
      <c r="G46" s="62"/>
      <c r="H46" s="165"/>
      <c r="I46" s="165"/>
      <c r="J46" s="165"/>
      <c r="K46" s="21"/>
      <c r="P46" s="4"/>
      <c r="Q46" s="4"/>
      <c r="R46" s="5"/>
    </row>
    <row r="47" spans="1:18" ht="15.75" x14ac:dyDescent="0.25">
      <c r="A47" s="141"/>
      <c r="B47" s="27"/>
      <c r="C47" s="11"/>
      <c r="D47" s="12"/>
      <c r="F47" s="59"/>
      <c r="G47" s="59"/>
      <c r="H47" s="142"/>
      <c r="I47" s="143"/>
      <c r="J47" s="144"/>
      <c r="K47" s="21"/>
      <c r="P47" s="4"/>
      <c r="Q47" s="4"/>
      <c r="R47" s="5"/>
    </row>
    <row r="48" spans="1:18" ht="15" customHeight="1" x14ac:dyDescent="0.25">
      <c r="A48" s="139" t="s">
        <v>32</v>
      </c>
      <c r="B48" s="27" t="s">
        <v>65</v>
      </c>
      <c r="C48" s="10"/>
      <c r="D48" s="12">
        <f>C48*78</f>
        <v>0</v>
      </c>
      <c r="F48" s="59"/>
      <c r="G48" s="59"/>
      <c r="H48" s="142"/>
      <c r="I48" s="143"/>
      <c r="J48" s="14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0"/>
      <c r="B49" s="29" t="s">
        <v>67</v>
      </c>
      <c r="C49" s="33"/>
      <c r="D49" s="12">
        <f>C49*42</f>
        <v>0</v>
      </c>
      <c r="F49" s="145" t="s">
        <v>85</v>
      </c>
      <c r="G49" s="147">
        <f>H34+H35+H36+H37+H38+H39+H40+H41+G42+H44+H45+H46</f>
        <v>0</v>
      </c>
      <c r="H49" s="148"/>
      <c r="I49" s="148"/>
      <c r="J49" s="14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0"/>
      <c r="B50" s="32" t="s">
        <v>69</v>
      </c>
      <c r="C50" s="11"/>
      <c r="D50" s="12">
        <f>C50*1.5</f>
        <v>0</v>
      </c>
      <c r="F50" s="146"/>
      <c r="G50" s="150"/>
      <c r="H50" s="151"/>
      <c r="I50" s="151"/>
      <c r="J50" s="152"/>
      <c r="P50" s="4"/>
      <c r="Q50" s="4"/>
      <c r="R50" s="5"/>
    </row>
    <row r="51" spans="1:18" ht="15" customHeight="1" x14ac:dyDescent="0.25">
      <c r="A51" s="140"/>
      <c r="B51" s="27"/>
      <c r="C51" s="10"/>
      <c r="D51" s="31"/>
      <c r="F51" s="153" t="s">
        <v>106</v>
      </c>
      <c r="G51" s="155">
        <f>G49-H29</f>
        <v>0</v>
      </c>
      <c r="H51" s="156"/>
      <c r="I51" s="156"/>
      <c r="J51" s="15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0"/>
      <c r="B52" s="29"/>
      <c r="C52" s="33"/>
      <c r="D52" s="45"/>
      <c r="F52" s="154"/>
      <c r="G52" s="158"/>
      <c r="H52" s="159"/>
      <c r="I52" s="159"/>
      <c r="J52" s="1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5" t="s">
        <v>89</v>
      </c>
      <c r="B54" s="126"/>
      <c r="C54" s="127"/>
      <c r="D54" s="131">
        <f>SUM(D34:D53)</f>
        <v>0</v>
      </c>
      <c r="F54" s="21"/>
      <c r="J54" s="34"/>
    </row>
    <row r="55" spans="1:18" x14ac:dyDescent="0.25">
      <c r="A55" s="128"/>
      <c r="B55" s="129"/>
      <c r="C55" s="130"/>
      <c r="D55" s="13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3" t="s">
        <v>90</v>
      </c>
      <c r="B58" s="134"/>
      <c r="C58" s="134"/>
      <c r="D58" s="135"/>
      <c r="F58" s="133" t="s">
        <v>91</v>
      </c>
      <c r="G58" s="134"/>
      <c r="H58" s="134"/>
      <c r="I58" s="134"/>
      <c r="J58" s="135"/>
    </row>
    <row r="59" spans="1:18" x14ac:dyDescent="0.25">
      <c r="A59" s="136"/>
      <c r="B59" s="137"/>
      <c r="C59" s="137"/>
      <c r="D59" s="138"/>
      <c r="F59" s="136"/>
      <c r="G59" s="137"/>
      <c r="H59" s="137"/>
      <c r="I59" s="137"/>
      <c r="J59" s="13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94180F-BD4E-440F-9B30-98B5BC0EE14D}">
  <dimension ref="A1:V68"/>
  <sheetViews>
    <sheetView topLeftCell="A29" zoomScaleNormal="100" zoomScaleSheetLayoutView="85" workbookViewId="0">
      <selection activeCell="H43" sqref="H43:J4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1" t="s">
        <v>1</v>
      </c>
      <c r="O1" s="221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2" t="s">
        <v>7</v>
      </c>
      <c r="B4" s="173"/>
      <c r="C4" s="173"/>
      <c r="D4" s="174"/>
      <c r="F4" s="222" t="s">
        <v>8</v>
      </c>
      <c r="G4" s="224">
        <v>1</v>
      </c>
      <c r="H4" s="226" t="s">
        <v>9</v>
      </c>
      <c r="I4" s="228">
        <v>46253</v>
      </c>
      <c r="J4" s="22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6" t="s">
        <v>7</v>
      </c>
      <c r="B5" s="15" t="s">
        <v>11</v>
      </c>
      <c r="C5" s="9" t="s">
        <v>12</v>
      </c>
      <c r="D5" s="25" t="s">
        <v>13</v>
      </c>
      <c r="F5" s="223"/>
      <c r="G5" s="225"/>
      <c r="H5" s="227"/>
      <c r="I5" s="230"/>
      <c r="J5" s="23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7"/>
      <c r="B6" s="16" t="s">
        <v>15</v>
      </c>
      <c r="C6" s="10">
        <v>368</v>
      </c>
      <c r="D6" s="13">
        <f t="shared" ref="D6:D28" si="1">C6*L6</f>
        <v>280048</v>
      </c>
      <c r="F6" s="232" t="s">
        <v>16</v>
      </c>
      <c r="G6" s="234" t="s">
        <v>99</v>
      </c>
      <c r="H6" s="235"/>
      <c r="I6" s="235"/>
      <c r="J6" s="2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7"/>
      <c r="B7" s="16" t="s">
        <v>18</v>
      </c>
      <c r="C7" s="10">
        <v>10</v>
      </c>
      <c r="D7" s="13">
        <f t="shared" si="1"/>
        <v>7810</v>
      </c>
      <c r="F7" s="233"/>
      <c r="G7" s="237"/>
      <c r="H7" s="238"/>
      <c r="I7" s="238"/>
      <c r="J7" s="2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7"/>
      <c r="B8" s="16" t="s">
        <v>20</v>
      </c>
      <c r="C8" s="10">
        <v>47</v>
      </c>
      <c r="D8" s="13">
        <f t="shared" si="1"/>
        <v>51371</v>
      </c>
      <c r="F8" s="240" t="s">
        <v>21</v>
      </c>
      <c r="G8" s="241" t="s">
        <v>115</v>
      </c>
      <c r="H8" s="242"/>
      <c r="I8" s="242"/>
      <c r="J8" s="24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7"/>
      <c r="B9" s="16" t="s">
        <v>23</v>
      </c>
      <c r="C9" s="10">
        <v>62</v>
      </c>
      <c r="D9" s="13">
        <f t="shared" si="1"/>
        <v>45446</v>
      </c>
      <c r="F9" s="233"/>
      <c r="G9" s="244"/>
      <c r="H9" s="245"/>
      <c r="I9" s="245"/>
      <c r="J9" s="24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7"/>
      <c r="B10" t="s">
        <v>25</v>
      </c>
      <c r="C10" s="10"/>
      <c r="D10" s="13">
        <f t="shared" si="1"/>
        <v>0</v>
      </c>
      <c r="F10" s="232" t="s">
        <v>26</v>
      </c>
      <c r="G10" s="247" t="s">
        <v>108</v>
      </c>
      <c r="H10" s="248"/>
      <c r="I10" s="248"/>
      <c r="J10" s="249"/>
      <c r="K10" s="8"/>
      <c r="L10" s="6">
        <f>R36</f>
        <v>1032</v>
      </c>
      <c r="P10" s="4"/>
      <c r="Q10" s="4"/>
      <c r="R10" s="5"/>
    </row>
    <row r="11" spans="1:18" ht="15.75" x14ac:dyDescent="0.25">
      <c r="A11" s="167"/>
      <c r="B11" s="17" t="s">
        <v>28</v>
      </c>
      <c r="C11" s="10">
        <v>3</v>
      </c>
      <c r="D11" s="13">
        <f t="shared" si="1"/>
        <v>3510</v>
      </c>
      <c r="F11" s="233"/>
      <c r="G11" s="244"/>
      <c r="H11" s="245"/>
      <c r="I11" s="245"/>
      <c r="J11" s="24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7"/>
      <c r="B12" s="17" t="s">
        <v>30</v>
      </c>
      <c r="C12" s="10">
        <f>1+2</f>
        <v>3</v>
      </c>
      <c r="D12" s="48">
        <f t="shared" si="1"/>
        <v>2976</v>
      </c>
      <c r="F12" s="250" t="s">
        <v>33</v>
      </c>
      <c r="G12" s="251"/>
      <c r="H12" s="251"/>
      <c r="I12" s="251"/>
      <c r="J12" s="25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7"/>
      <c r="B13" s="17" t="s">
        <v>32</v>
      </c>
      <c r="C13" s="10">
        <v>2</v>
      </c>
      <c r="D13" s="48">
        <f t="shared" si="1"/>
        <v>614</v>
      </c>
      <c r="F13" s="253" t="s">
        <v>36</v>
      </c>
      <c r="G13" s="217"/>
      <c r="H13" s="208">
        <f>D29</f>
        <v>400721.16666666669</v>
      </c>
      <c r="I13" s="209"/>
      <c r="J13" s="21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7"/>
      <c r="B14" s="14" t="s">
        <v>35</v>
      </c>
      <c r="C14" s="10">
        <v>4</v>
      </c>
      <c r="D14" s="31">
        <f t="shared" si="1"/>
        <v>44.166666666666664</v>
      </c>
      <c r="F14" s="211" t="s">
        <v>38</v>
      </c>
      <c r="G14" s="212"/>
      <c r="H14" s="213">
        <f>D54</f>
        <v>54865.5</v>
      </c>
      <c r="I14" s="214"/>
      <c r="J14" s="215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7"/>
      <c r="B15" s="14" t="s">
        <v>117</v>
      </c>
      <c r="C15" s="10"/>
      <c r="D15" s="31">
        <f t="shared" si="1"/>
        <v>0</v>
      </c>
      <c r="F15" s="216" t="s">
        <v>39</v>
      </c>
      <c r="G15" s="217"/>
      <c r="H15" s="218">
        <f>H13-H14</f>
        <v>345855.66666666669</v>
      </c>
      <c r="I15" s="219"/>
      <c r="J15" s="22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7"/>
      <c r="B16" s="18" t="s">
        <v>110</v>
      </c>
      <c r="C16" s="10">
        <f>6+6</f>
        <v>12</v>
      </c>
      <c r="D16" s="48">
        <f t="shared" si="1"/>
        <v>7800</v>
      </c>
      <c r="F16" s="67" t="s">
        <v>41</v>
      </c>
      <c r="G16" s="66" t="s">
        <v>42</v>
      </c>
      <c r="H16" s="178"/>
      <c r="I16" s="178"/>
      <c r="J16" s="17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7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9"/>
      <c r="I17" s="189"/>
      <c r="J17" s="18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7"/>
      <c r="B18" s="85" t="s">
        <v>120</v>
      </c>
      <c r="C18" s="10">
        <v>1</v>
      </c>
      <c r="D18" s="48">
        <f t="shared" si="1"/>
        <v>1102</v>
      </c>
      <c r="F18" s="56"/>
      <c r="G18" s="66" t="s">
        <v>46</v>
      </c>
      <c r="H18" s="189"/>
      <c r="I18" s="189"/>
      <c r="J18" s="18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7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8"/>
      <c r="I19" s="178"/>
      <c r="J19" s="17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7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8"/>
      <c r="I20" s="178"/>
      <c r="J20" s="17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7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91" t="s">
        <v>13</v>
      </c>
      <c r="I21" s="192"/>
      <c r="J21" s="19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7"/>
      <c r="B22" s="46" t="s">
        <v>103</v>
      </c>
      <c r="C22" s="10"/>
      <c r="D22" s="48">
        <f t="shared" si="1"/>
        <v>0</v>
      </c>
      <c r="F22" s="76" t="s">
        <v>132</v>
      </c>
      <c r="G22" s="72">
        <v>11943</v>
      </c>
      <c r="H22" s="194">
        <v>49577</v>
      </c>
      <c r="I22" s="194"/>
      <c r="J22" s="19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7"/>
      <c r="B23" s="14" t="s">
        <v>116</v>
      </c>
      <c r="C23" s="10"/>
      <c r="D23" s="48">
        <f t="shared" si="1"/>
        <v>0</v>
      </c>
      <c r="F23" s="76"/>
      <c r="G23" s="78"/>
      <c r="H23" s="259"/>
      <c r="I23" s="260"/>
      <c r="J23" s="26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7"/>
      <c r="B24" s="14" t="s">
        <v>123</v>
      </c>
      <c r="C24" s="10"/>
      <c r="D24" s="48">
        <f t="shared" si="1"/>
        <v>0</v>
      </c>
      <c r="F24" s="76"/>
      <c r="G24" s="78"/>
      <c r="H24" s="259"/>
      <c r="I24" s="260"/>
      <c r="J24" s="26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6" t="s">
        <v>13</v>
      </c>
      <c r="I25" s="197"/>
      <c r="J25" s="19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7"/>
      <c r="B26" s="14" t="s">
        <v>124</v>
      </c>
      <c r="C26" s="10"/>
      <c r="D26" s="48">
        <f t="shared" si="1"/>
        <v>0</v>
      </c>
      <c r="F26" s="74"/>
      <c r="G26" s="65"/>
      <c r="H26" s="164"/>
      <c r="I26" s="164"/>
      <c r="J26" s="16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7"/>
      <c r="B27" s="14" t="s">
        <v>125</v>
      </c>
      <c r="C27" s="10"/>
      <c r="D27" s="44">
        <f t="shared" si="1"/>
        <v>0</v>
      </c>
      <c r="F27" s="71"/>
      <c r="G27" s="117"/>
      <c r="H27" s="261"/>
      <c r="I27" s="262"/>
      <c r="J27" s="26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8"/>
      <c r="B28" s="46" t="s">
        <v>92</v>
      </c>
      <c r="C28" s="10"/>
      <c r="D28" s="48">
        <f t="shared" si="1"/>
        <v>0</v>
      </c>
      <c r="F28" s="119"/>
      <c r="G28" s="61"/>
      <c r="H28" s="205"/>
      <c r="I28" s="206"/>
      <c r="J28" s="20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9" t="s">
        <v>36</v>
      </c>
      <c r="B29" s="180"/>
      <c r="C29" s="181"/>
      <c r="D29" s="185">
        <f>SUM(D6:D28)</f>
        <v>400721.16666666669</v>
      </c>
      <c r="F29" s="125" t="s">
        <v>54</v>
      </c>
      <c r="G29" s="187"/>
      <c r="H29" s="147">
        <f>H15-H16-H17-H18-H19-H20-H22-H23-H24+H26+H27+H28</f>
        <v>296278.66666666669</v>
      </c>
      <c r="I29" s="148"/>
      <c r="J29" s="14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2"/>
      <c r="B30" s="183"/>
      <c r="C30" s="184"/>
      <c r="D30" s="186"/>
      <c r="F30" s="128"/>
      <c r="G30" s="188"/>
      <c r="H30" s="150"/>
      <c r="I30" s="151"/>
      <c r="J30" s="15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2" t="s">
        <v>57</v>
      </c>
      <c r="B32" s="173"/>
      <c r="C32" s="173"/>
      <c r="D32" s="174"/>
      <c r="F32" s="175" t="s">
        <v>58</v>
      </c>
      <c r="G32" s="176"/>
      <c r="H32" s="176"/>
      <c r="I32" s="176"/>
      <c r="J32" s="17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75" t="s">
        <v>13</v>
      </c>
      <c r="I33" s="176"/>
      <c r="J33" s="17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6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49</v>
      </c>
      <c r="H34" s="169">
        <f t="shared" ref="H34:H39" si="2">F34*G34</f>
        <v>49000</v>
      </c>
      <c r="I34" s="170"/>
      <c r="J34" s="17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7"/>
      <c r="B35" s="27" t="s">
        <v>67</v>
      </c>
      <c r="C35" s="52"/>
      <c r="D35" s="30">
        <f>C35*84</f>
        <v>0</v>
      </c>
      <c r="F35" s="58">
        <v>500</v>
      </c>
      <c r="G35" s="121">
        <v>23</v>
      </c>
      <c r="H35" s="169">
        <f t="shared" si="2"/>
        <v>11500</v>
      </c>
      <c r="I35" s="170"/>
      <c r="J35" s="17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8"/>
      <c r="B36" s="26" t="s">
        <v>69</v>
      </c>
      <c r="C36" s="10"/>
      <c r="D36" s="12">
        <f>C36*1.5</f>
        <v>0</v>
      </c>
      <c r="F36" s="12">
        <v>200</v>
      </c>
      <c r="G36" s="37"/>
      <c r="H36" s="169">
        <f t="shared" si="2"/>
        <v>0</v>
      </c>
      <c r="I36" s="170"/>
      <c r="J36" s="17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6" t="s">
        <v>71</v>
      </c>
      <c r="B37" s="28" t="s">
        <v>65</v>
      </c>
      <c r="C37" s="53">
        <v>431</v>
      </c>
      <c r="D37" s="12">
        <f>C37*111</f>
        <v>47841</v>
      </c>
      <c r="F37" s="12">
        <v>100</v>
      </c>
      <c r="G37" s="39">
        <v>11</v>
      </c>
      <c r="H37" s="169">
        <f t="shared" si="2"/>
        <v>1100</v>
      </c>
      <c r="I37" s="170"/>
      <c r="J37" s="17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7"/>
      <c r="B38" s="29" t="s">
        <v>67</v>
      </c>
      <c r="C38" s="54">
        <v>4</v>
      </c>
      <c r="D38" s="12">
        <f>C38*84</f>
        <v>336</v>
      </c>
      <c r="F38" s="30">
        <v>50</v>
      </c>
      <c r="G38" s="39">
        <v>2</v>
      </c>
      <c r="H38" s="169">
        <f t="shared" si="2"/>
        <v>100</v>
      </c>
      <c r="I38" s="170"/>
      <c r="J38" s="17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8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169">
        <f t="shared" si="2"/>
        <v>0</v>
      </c>
      <c r="I39" s="170"/>
      <c r="J39" s="17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6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122"/>
      <c r="H40" s="257"/>
      <c r="I40" s="258"/>
      <c r="J40" s="19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7"/>
      <c r="B41" s="27" t="s">
        <v>67</v>
      </c>
      <c r="C41" s="10">
        <v>1</v>
      </c>
      <c r="D41" s="12">
        <f>C41*84</f>
        <v>84</v>
      </c>
      <c r="F41" s="12">
        <v>5</v>
      </c>
      <c r="G41" s="122"/>
      <c r="H41" s="169"/>
      <c r="I41" s="170"/>
      <c r="J41" s="17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8"/>
      <c r="B42" s="27" t="s">
        <v>69</v>
      </c>
      <c r="C42" s="11">
        <v>10</v>
      </c>
      <c r="D42" s="12">
        <f>C42*2.25</f>
        <v>22.5</v>
      </c>
      <c r="F42" s="39" t="s">
        <v>78</v>
      </c>
      <c r="G42" s="169">
        <v>35</v>
      </c>
      <c r="H42" s="170"/>
      <c r="I42" s="170"/>
      <c r="J42" s="17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9" t="s">
        <v>80</v>
      </c>
      <c r="C43" s="11"/>
      <c r="D43" s="12"/>
      <c r="F43" s="59" t="s">
        <v>81</v>
      </c>
      <c r="G43" s="117" t="s">
        <v>82</v>
      </c>
      <c r="H43" s="161" t="s">
        <v>13</v>
      </c>
      <c r="I43" s="162"/>
      <c r="J43" s="16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0"/>
      <c r="B44" s="27" t="s">
        <v>65</v>
      </c>
      <c r="C44" s="10">
        <v>51</v>
      </c>
      <c r="D44" s="12">
        <f>C44*120</f>
        <v>6120</v>
      </c>
      <c r="F44" s="37" t="s">
        <v>148</v>
      </c>
      <c r="G44" s="87" t="s">
        <v>196</v>
      </c>
      <c r="H44" s="164">
        <v>221544</v>
      </c>
      <c r="I44" s="164"/>
      <c r="J44" s="16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0"/>
      <c r="B45" s="27" t="s">
        <v>67</v>
      </c>
      <c r="C45" s="33">
        <v>2</v>
      </c>
      <c r="D45" s="12">
        <f>C45*84</f>
        <v>168</v>
      </c>
      <c r="F45" s="37" t="s">
        <v>135</v>
      </c>
      <c r="G45" s="87"/>
      <c r="H45" s="164">
        <v>12944</v>
      </c>
      <c r="I45" s="164"/>
      <c r="J45" s="164"/>
      <c r="K45" s="21"/>
      <c r="P45" s="4"/>
      <c r="Q45" s="4"/>
      <c r="R45" s="5"/>
    </row>
    <row r="46" spans="1:18" ht="15.75" x14ac:dyDescent="0.25">
      <c r="A46" s="140"/>
      <c r="B46" s="49" t="s">
        <v>69</v>
      </c>
      <c r="C46" s="80">
        <v>14</v>
      </c>
      <c r="D46" s="12">
        <f>C46*1.5</f>
        <v>21</v>
      </c>
      <c r="F46" s="37"/>
      <c r="G46" s="62"/>
      <c r="H46" s="164"/>
      <c r="I46" s="164"/>
      <c r="J46" s="164"/>
      <c r="K46" s="21"/>
      <c r="P46" s="4"/>
      <c r="Q46" s="4"/>
      <c r="R46" s="5"/>
    </row>
    <row r="47" spans="1:18" ht="15.75" x14ac:dyDescent="0.25">
      <c r="A47" s="141"/>
      <c r="B47" s="27"/>
      <c r="C47" s="11"/>
      <c r="D47" s="12"/>
      <c r="F47" s="59"/>
      <c r="G47" s="59"/>
      <c r="H47" s="254"/>
      <c r="I47" s="255"/>
      <c r="J47" s="256"/>
      <c r="K47" s="21"/>
      <c r="P47" s="4"/>
      <c r="Q47" s="4"/>
      <c r="R47" s="5"/>
    </row>
    <row r="48" spans="1:18" ht="15" customHeight="1" x14ac:dyDescent="0.25">
      <c r="A48" s="139" t="s">
        <v>32</v>
      </c>
      <c r="B48" s="27" t="s">
        <v>65</v>
      </c>
      <c r="C48" s="10"/>
      <c r="D48" s="12">
        <f>C48*78</f>
        <v>0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0"/>
      <c r="B49" s="29" t="s">
        <v>67</v>
      </c>
      <c r="C49" s="33">
        <v>1</v>
      </c>
      <c r="D49" s="12">
        <f>C49*42</f>
        <v>42</v>
      </c>
      <c r="F49" s="145" t="s">
        <v>85</v>
      </c>
      <c r="G49" s="147">
        <f>H34+H35+H36+H37+H38+H39+H40+H41+G42+H44+H45+H46+H47+H48</f>
        <v>296223</v>
      </c>
      <c r="H49" s="148"/>
      <c r="I49" s="148"/>
      <c r="J49" s="14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0"/>
      <c r="B50" s="32" t="s">
        <v>69</v>
      </c>
      <c r="C50" s="11"/>
      <c r="D50" s="12">
        <f>C50*1.5</f>
        <v>0</v>
      </c>
      <c r="F50" s="146"/>
      <c r="G50" s="150"/>
      <c r="H50" s="151"/>
      <c r="I50" s="151"/>
      <c r="J50" s="152"/>
      <c r="O50" t="s">
        <v>112</v>
      </c>
      <c r="P50" s="4">
        <v>1204</v>
      </c>
      <c r="Q50" s="4"/>
      <c r="R50" s="5"/>
    </row>
    <row r="51" spans="1:18" ht="15" customHeight="1" x14ac:dyDescent="0.25">
      <c r="A51" s="140"/>
      <c r="B51" s="27"/>
      <c r="C51" s="10"/>
      <c r="D51" s="31"/>
      <c r="F51" s="153" t="str">
        <f>_xlfn.IFS(H29&gt;G49,"SHORT",H29&lt;G49,"OVER",H29&lt;=G49,"-")</f>
        <v>SHORT</v>
      </c>
      <c r="G51" s="155">
        <f>G49-H29</f>
        <v>-55.666666666686069</v>
      </c>
      <c r="H51" s="156"/>
      <c r="I51" s="156"/>
      <c r="J51" s="1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0"/>
      <c r="B52" s="29"/>
      <c r="C52" s="33"/>
      <c r="D52" s="45"/>
      <c r="F52" s="154"/>
      <c r="G52" s="158"/>
      <c r="H52" s="159"/>
      <c r="I52" s="159"/>
      <c r="J52" s="1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5" t="s">
        <v>89</v>
      </c>
      <c r="B54" s="126"/>
      <c r="C54" s="127"/>
      <c r="D54" s="131">
        <f>SUM(D34:D53)</f>
        <v>54865.5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8"/>
      <c r="B55" s="129"/>
      <c r="C55" s="130"/>
      <c r="D55" s="13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33" t="s">
        <v>90</v>
      </c>
      <c r="B58" s="134"/>
      <c r="C58" s="134"/>
      <c r="D58" s="135"/>
      <c r="F58" s="133" t="s">
        <v>91</v>
      </c>
      <c r="G58" s="134"/>
      <c r="H58" s="134"/>
      <c r="I58" s="134"/>
      <c r="J58" s="135"/>
    </row>
    <row r="59" spans="1:18" x14ac:dyDescent="0.25">
      <c r="A59" s="136"/>
      <c r="B59" s="137"/>
      <c r="C59" s="137"/>
      <c r="D59" s="138"/>
      <c r="F59" s="136"/>
      <c r="G59" s="137"/>
      <c r="H59" s="137"/>
      <c r="I59" s="137"/>
      <c r="J59" s="138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26" priority="1" operator="containsText" text="OVER">
      <formula>NOT(ISERROR(SEARCH("OVER",F51)))</formula>
    </cfRule>
    <cfRule type="containsText" dxfId="25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A15BDA91-61F6-49B3-9F99-A45A022EAFCE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101F7-43BF-47E5-AC72-0F4DD066CA82}">
  <dimension ref="A1:R59"/>
  <sheetViews>
    <sheetView topLeftCell="A16" zoomScaleNormal="100" zoomScaleSheetLayoutView="85" workbookViewId="0">
      <selection activeCell="G51" sqref="G51:J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1" t="s">
        <v>1</v>
      </c>
      <c r="O1" s="221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2" t="s">
        <v>7</v>
      </c>
      <c r="B4" s="173"/>
      <c r="C4" s="173"/>
      <c r="D4" s="174"/>
      <c r="F4" s="222" t="s">
        <v>8</v>
      </c>
      <c r="G4" s="224">
        <v>2</v>
      </c>
      <c r="H4" s="226" t="s">
        <v>9</v>
      </c>
      <c r="I4" s="228">
        <v>46253</v>
      </c>
      <c r="J4" s="22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6" t="s">
        <v>7</v>
      </c>
      <c r="B5" s="15" t="s">
        <v>11</v>
      </c>
      <c r="C5" s="9" t="s">
        <v>12</v>
      </c>
      <c r="D5" s="25" t="s">
        <v>13</v>
      </c>
      <c r="F5" s="223"/>
      <c r="G5" s="225"/>
      <c r="H5" s="227"/>
      <c r="I5" s="230"/>
      <c r="J5" s="23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7"/>
      <c r="B6" s="16" t="s">
        <v>15</v>
      </c>
      <c r="C6" s="10">
        <v>330</v>
      </c>
      <c r="D6" s="13">
        <f t="shared" ref="D6:D28" si="1">C6*L6</f>
        <v>251130</v>
      </c>
      <c r="F6" s="232" t="s">
        <v>16</v>
      </c>
      <c r="G6" s="234" t="s">
        <v>194</v>
      </c>
      <c r="H6" s="235"/>
      <c r="I6" s="235"/>
      <c r="J6" s="2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7"/>
      <c r="B7" s="16" t="s">
        <v>18</v>
      </c>
      <c r="C7" s="10"/>
      <c r="D7" s="13">
        <f t="shared" si="1"/>
        <v>0</v>
      </c>
      <c r="F7" s="233"/>
      <c r="G7" s="237"/>
      <c r="H7" s="238"/>
      <c r="I7" s="238"/>
      <c r="J7" s="2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7"/>
      <c r="B8" s="16" t="s">
        <v>20</v>
      </c>
      <c r="C8" s="10"/>
      <c r="D8" s="13">
        <f t="shared" si="1"/>
        <v>0</v>
      </c>
      <c r="F8" s="240" t="s">
        <v>21</v>
      </c>
      <c r="G8" s="241" t="s">
        <v>100</v>
      </c>
      <c r="H8" s="242"/>
      <c r="I8" s="242"/>
      <c r="J8" s="24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7"/>
      <c r="B9" s="16" t="s">
        <v>23</v>
      </c>
      <c r="C9" s="10"/>
      <c r="D9" s="13">
        <f t="shared" si="1"/>
        <v>0</v>
      </c>
      <c r="F9" s="233"/>
      <c r="G9" s="244"/>
      <c r="H9" s="245"/>
      <c r="I9" s="245"/>
      <c r="J9" s="24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7"/>
      <c r="B10" t="s">
        <v>25</v>
      </c>
      <c r="C10" s="10"/>
      <c r="D10" s="13">
        <f t="shared" si="1"/>
        <v>0</v>
      </c>
      <c r="F10" s="232" t="s">
        <v>26</v>
      </c>
      <c r="G10" s="247" t="s">
        <v>101</v>
      </c>
      <c r="H10" s="248"/>
      <c r="I10" s="248"/>
      <c r="J10" s="249"/>
      <c r="K10" s="8"/>
      <c r="L10" s="6">
        <f>R36</f>
        <v>1032</v>
      </c>
      <c r="P10" s="4"/>
      <c r="Q10" s="4"/>
      <c r="R10" s="5"/>
    </row>
    <row r="11" spans="1:18" ht="15.75" x14ac:dyDescent="0.25">
      <c r="A11" s="167"/>
      <c r="B11" s="17" t="s">
        <v>28</v>
      </c>
      <c r="C11" s="10"/>
      <c r="D11" s="13">
        <f t="shared" si="1"/>
        <v>0</v>
      </c>
      <c r="F11" s="233"/>
      <c r="G11" s="244"/>
      <c r="H11" s="245"/>
      <c r="I11" s="245"/>
      <c r="J11" s="24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7"/>
      <c r="B12" s="17" t="s">
        <v>30</v>
      </c>
      <c r="C12" s="10"/>
      <c r="D12" s="48">
        <f t="shared" si="1"/>
        <v>0</v>
      </c>
      <c r="F12" s="250" t="s">
        <v>33</v>
      </c>
      <c r="G12" s="251"/>
      <c r="H12" s="251"/>
      <c r="I12" s="251"/>
      <c r="J12" s="25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7"/>
      <c r="B13" s="17" t="s">
        <v>32</v>
      </c>
      <c r="C13" s="10">
        <v>12</v>
      </c>
      <c r="D13" s="48">
        <f t="shared" si="1"/>
        <v>3684</v>
      </c>
      <c r="F13" s="253" t="s">
        <v>36</v>
      </c>
      <c r="G13" s="217"/>
      <c r="H13" s="208">
        <f>D29</f>
        <v>254847.125</v>
      </c>
      <c r="I13" s="209"/>
      <c r="J13" s="21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7"/>
      <c r="B14" s="14" t="s">
        <v>35</v>
      </c>
      <c r="C14" s="10">
        <v>3</v>
      </c>
      <c r="D14" s="31">
        <f t="shared" si="1"/>
        <v>33.125</v>
      </c>
      <c r="F14" s="211" t="s">
        <v>38</v>
      </c>
      <c r="G14" s="212"/>
      <c r="H14" s="213">
        <f>D54</f>
        <v>37689</v>
      </c>
      <c r="I14" s="214"/>
      <c r="J14" s="215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7"/>
      <c r="B15" s="14" t="s">
        <v>117</v>
      </c>
      <c r="C15" s="10"/>
      <c r="D15" s="31">
        <f t="shared" si="1"/>
        <v>0</v>
      </c>
      <c r="F15" s="216" t="s">
        <v>39</v>
      </c>
      <c r="G15" s="217"/>
      <c r="H15" s="218">
        <f>H13-H14</f>
        <v>217158.125</v>
      </c>
      <c r="I15" s="219"/>
      <c r="J15" s="22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7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8">
        <v>1944</v>
      </c>
      <c r="I16" s="178"/>
      <c r="J16" s="17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7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9"/>
      <c r="I17" s="189"/>
      <c r="J17" s="18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7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9"/>
      <c r="I18" s="189"/>
      <c r="J18" s="18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7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3"/>
      <c r="I19" s="263"/>
      <c r="J19" s="26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7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8"/>
      <c r="I20" s="178"/>
      <c r="J20" s="17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7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91" t="s">
        <v>13</v>
      </c>
      <c r="I21" s="192"/>
      <c r="J21" s="193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7"/>
      <c r="B22" s="46" t="s">
        <v>103</v>
      </c>
      <c r="C22" s="10"/>
      <c r="D22" s="48">
        <f t="shared" si="1"/>
        <v>0</v>
      </c>
      <c r="F22" s="76"/>
      <c r="G22" s="72"/>
      <c r="H22" s="194"/>
      <c r="I22" s="194"/>
      <c r="J22" s="19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7"/>
      <c r="B23" s="14" t="s">
        <v>116</v>
      </c>
      <c r="C23" s="10"/>
      <c r="D23" s="48">
        <f t="shared" si="1"/>
        <v>0</v>
      </c>
      <c r="F23" s="77"/>
      <c r="G23" s="78"/>
      <c r="H23" s="264"/>
      <c r="I23" s="194"/>
      <c r="J23" s="19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7"/>
      <c r="B24" s="14" t="s">
        <v>123</v>
      </c>
      <c r="C24" s="10"/>
      <c r="D24" s="48">
        <f t="shared" si="1"/>
        <v>0</v>
      </c>
      <c r="F24" s="38"/>
      <c r="G24" s="37"/>
      <c r="H24" s="195"/>
      <c r="I24" s="164"/>
      <c r="J24" s="16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6" t="s">
        <v>13</v>
      </c>
      <c r="I25" s="197"/>
      <c r="J25" s="19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7"/>
      <c r="B26" s="14" t="s">
        <v>124</v>
      </c>
      <c r="C26" s="10"/>
      <c r="D26" s="48">
        <f t="shared" si="1"/>
        <v>0</v>
      </c>
      <c r="F26" s="64"/>
      <c r="G26" s="59"/>
      <c r="H26" s="199"/>
      <c r="I26" s="200"/>
      <c r="J26" s="20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7"/>
      <c r="B27" s="14" t="s">
        <v>125</v>
      </c>
      <c r="C27" s="10"/>
      <c r="D27" s="44">
        <f t="shared" si="1"/>
        <v>0</v>
      </c>
      <c r="F27" s="25"/>
      <c r="G27" s="79"/>
      <c r="H27" s="202"/>
      <c r="I27" s="203"/>
      <c r="J27" s="20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8"/>
      <c r="B28" s="46" t="s">
        <v>92</v>
      </c>
      <c r="C28" s="10"/>
      <c r="D28" s="48">
        <f t="shared" si="1"/>
        <v>0</v>
      </c>
      <c r="F28" s="119"/>
      <c r="G28" s="61"/>
      <c r="H28" s="205"/>
      <c r="I28" s="206"/>
      <c r="J28" s="20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9" t="s">
        <v>36</v>
      </c>
      <c r="B29" s="180"/>
      <c r="C29" s="181"/>
      <c r="D29" s="185">
        <f>SUM(D6:D28)</f>
        <v>254847.125</v>
      </c>
      <c r="F29" s="125" t="s">
        <v>54</v>
      </c>
      <c r="G29" s="187"/>
      <c r="H29" s="147">
        <f>H15-H16-H17-H18-H19-H20-H22-H23-H24+H26+H27</f>
        <v>215214.125</v>
      </c>
      <c r="I29" s="148"/>
      <c r="J29" s="14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2"/>
      <c r="B30" s="183"/>
      <c r="C30" s="184"/>
      <c r="D30" s="186"/>
      <c r="F30" s="128"/>
      <c r="G30" s="188"/>
      <c r="H30" s="150"/>
      <c r="I30" s="151"/>
      <c r="J30" s="15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2" t="s">
        <v>57</v>
      </c>
      <c r="B32" s="173"/>
      <c r="C32" s="173"/>
      <c r="D32" s="174"/>
      <c r="F32" s="175" t="s">
        <v>58</v>
      </c>
      <c r="G32" s="176"/>
      <c r="H32" s="176"/>
      <c r="I32" s="176"/>
      <c r="J32" s="17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75" t="s">
        <v>13</v>
      </c>
      <c r="I33" s="176"/>
      <c r="J33" s="17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6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203</v>
      </c>
      <c r="H34" s="169">
        <f>F34*G34</f>
        <v>203000</v>
      </c>
      <c r="I34" s="170"/>
      <c r="J34" s="17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7"/>
      <c r="B35" s="27" t="s">
        <v>67</v>
      </c>
      <c r="C35" s="52"/>
      <c r="D35" s="30">
        <f>C35*84</f>
        <v>0</v>
      </c>
      <c r="F35" s="58">
        <v>500</v>
      </c>
      <c r="G35" s="121">
        <v>24</v>
      </c>
      <c r="H35" s="169">
        <f>F35*G35</f>
        <v>12000</v>
      </c>
      <c r="I35" s="170"/>
      <c r="J35" s="17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8"/>
      <c r="B36" s="26" t="s">
        <v>69</v>
      </c>
      <c r="C36" s="10"/>
      <c r="D36" s="12">
        <f>C36*1.5</f>
        <v>0</v>
      </c>
      <c r="F36" s="12">
        <v>200</v>
      </c>
      <c r="G36" s="37"/>
      <c r="H36" s="169">
        <f t="shared" ref="H36:H39" si="2">F36*G36</f>
        <v>0</v>
      </c>
      <c r="I36" s="170"/>
      <c r="J36" s="17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6" t="s">
        <v>71</v>
      </c>
      <c r="B37" s="28" t="s">
        <v>65</v>
      </c>
      <c r="C37" s="53">
        <v>332</v>
      </c>
      <c r="D37" s="12">
        <f>C37*111</f>
        <v>36852</v>
      </c>
      <c r="F37" s="12">
        <v>100</v>
      </c>
      <c r="G37" s="39">
        <v>1</v>
      </c>
      <c r="H37" s="169">
        <f t="shared" si="2"/>
        <v>100</v>
      </c>
      <c r="I37" s="170"/>
      <c r="J37" s="17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7"/>
      <c r="B38" s="29" t="s">
        <v>67</v>
      </c>
      <c r="C38" s="54">
        <v>3</v>
      </c>
      <c r="D38" s="12">
        <f>C38*84</f>
        <v>252</v>
      </c>
      <c r="F38" s="30">
        <v>50</v>
      </c>
      <c r="G38" s="39">
        <v>1</v>
      </c>
      <c r="H38" s="169">
        <f t="shared" si="2"/>
        <v>50</v>
      </c>
      <c r="I38" s="170"/>
      <c r="J38" s="17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8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169">
        <f t="shared" si="2"/>
        <v>0</v>
      </c>
      <c r="I39" s="170"/>
      <c r="J39" s="17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6" t="s">
        <v>75</v>
      </c>
      <c r="B40" s="27" t="s">
        <v>65</v>
      </c>
      <c r="C40" s="63"/>
      <c r="D40" s="12">
        <f>C40*111</f>
        <v>0</v>
      </c>
      <c r="F40" s="12">
        <v>10</v>
      </c>
      <c r="G40" s="122"/>
      <c r="H40" s="169"/>
      <c r="I40" s="170"/>
      <c r="J40" s="17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7"/>
      <c r="B41" s="27" t="s">
        <v>67</v>
      </c>
      <c r="C41" s="10"/>
      <c r="D41" s="12">
        <f>C41*84</f>
        <v>0</v>
      </c>
      <c r="F41" s="12">
        <v>5</v>
      </c>
      <c r="G41" s="122"/>
      <c r="H41" s="169"/>
      <c r="I41" s="170"/>
      <c r="J41" s="17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8"/>
      <c r="B42" s="27" t="s">
        <v>69</v>
      </c>
      <c r="C42" s="11"/>
      <c r="D42" s="12">
        <f>C42*2.25</f>
        <v>0</v>
      </c>
      <c r="F42" s="39" t="s">
        <v>78</v>
      </c>
      <c r="G42" s="169">
        <v>50</v>
      </c>
      <c r="H42" s="170"/>
      <c r="I42" s="170"/>
      <c r="J42" s="17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9" t="s">
        <v>80</v>
      </c>
      <c r="C43" s="11"/>
      <c r="D43" s="12"/>
      <c r="F43" s="59" t="s">
        <v>81</v>
      </c>
      <c r="G43" s="117" t="s">
        <v>82</v>
      </c>
      <c r="H43" s="161" t="s">
        <v>13</v>
      </c>
      <c r="I43" s="162"/>
      <c r="J43" s="16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0"/>
      <c r="B44" s="27" t="s">
        <v>65</v>
      </c>
      <c r="C44" s="10"/>
      <c r="D44" s="12">
        <f>C44*120</f>
        <v>0</v>
      </c>
      <c r="F44" s="37"/>
      <c r="G44" s="62"/>
      <c r="H44" s="164"/>
      <c r="I44" s="164"/>
      <c r="J44" s="16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0"/>
      <c r="B45" s="27" t="s">
        <v>67</v>
      </c>
      <c r="C45" s="33"/>
      <c r="D45" s="12">
        <f>C45*84</f>
        <v>0</v>
      </c>
      <c r="F45" s="37"/>
      <c r="G45" s="75"/>
      <c r="H45" s="164"/>
      <c r="I45" s="164"/>
      <c r="J45" s="164"/>
      <c r="K45" s="21"/>
      <c r="P45" s="4"/>
      <c r="Q45" s="4"/>
      <c r="R45" s="5"/>
    </row>
    <row r="46" spans="1:18" ht="15.75" x14ac:dyDescent="0.25">
      <c r="A46" s="140"/>
      <c r="B46" s="49" t="s">
        <v>69</v>
      </c>
      <c r="C46" s="80"/>
      <c r="D46" s="12">
        <f>C46*1.5</f>
        <v>0</v>
      </c>
      <c r="F46" s="37"/>
      <c r="G46" s="62"/>
      <c r="H46" s="164"/>
      <c r="I46" s="164"/>
      <c r="J46" s="164"/>
      <c r="K46" s="21"/>
      <c r="P46" s="4"/>
      <c r="Q46" s="4"/>
      <c r="R46" s="5"/>
    </row>
    <row r="47" spans="1:18" ht="15.75" x14ac:dyDescent="0.25">
      <c r="A47" s="141"/>
      <c r="B47" s="27"/>
      <c r="C47" s="11"/>
      <c r="D47" s="12"/>
      <c r="F47" s="59"/>
      <c r="G47" s="59"/>
      <c r="H47" s="164"/>
      <c r="I47" s="164"/>
      <c r="J47" s="164"/>
      <c r="K47" s="21"/>
      <c r="P47" s="4"/>
      <c r="Q47" s="4"/>
      <c r="R47" s="5"/>
    </row>
    <row r="48" spans="1:18" ht="15" customHeight="1" x14ac:dyDescent="0.25">
      <c r="A48" s="139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0"/>
      <c r="B49" s="29" t="s">
        <v>67</v>
      </c>
      <c r="C49" s="33">
        <v>4</v>
      </c>
      <c r="D49" s="12">
        <f>C49*42</f>
        <v>168</v>
      </c>
      <c r="F49" s="145" t="s">
        <v>85</v>
      </c>
      <c r="G49" s="147">
        <f>H34+H35+H36+H37+H38+H39+H40+H41+G42+H44+H45+H46+H47+H48</f>
        <v>215200</v>
      </c>
      <c r="H49" s="148"/>
      <c r="I49" s="148"/>
      <c r="J49" s="14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0"/>
      <c r="B50" s="32" t="s">
        <v>69</v>
      </c>
      <c r="C50" s="80">
        <v>6</v>
      </c>
      <c r="D50" s="12">
        <f>C50*1.5</f>
        <v>9</v>
      </c>
      <c r="F50" s="146"/>
      <c r="G50" s="150"/>
      <c r="H50" s="151"/>
      <c r="I50" s="151"/>
      <c r="J50" s="152"/>
      <c r="O50" t="s">
        <v>112</v>
      </c>
      <c r="P50" s="4">
        <v>1204</v>
      </c>
      <c r="Q50" s="4"/>
      <c r="R50" s="5"/>
    </row>
    <row r="51" spans="1:18" ht="15" customHeight="1" x14ac:dyDescent="0.25">
      <c r="A51" s="140"/>
      <c r="B51" s="27"/>
      <c r="C51" s="10"/>
      <c r="D51" s="31"/>
      <c r="F51" s="153" t="str">
        <f>_xlfn.IFS(H29&gt;G49,"SHORT",H29&lt;G49,"OVER",H29&lt;=G49,"-")</f>
        <v>SHORT</v>
      </c>
      <c r="G51" s="155">
        <f>G49-H29</f>
        <v>-14.125</v>
      </c>
      <c r="H51" s="156"/>
      <c r="I51" s="156"/>
      <c r="J51" s="1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140"/>
      <c r="B52" s="29"/>
      <c r="C52" s="33"/>
      <c r="D52" s="45"/>
      <c r="F52" s="154"/>
      <c r="G52" s="158"/>
      <c r="H52" s="159"/>
      <c r="I52" s="159"/>
      <c r="J52" s="1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5" t="s">
        <v>89</v>
      </c>
      <c r="B54" s="126"/>
      <c r="C54" s="127"/>
      <c r="D54" s="131">
        <f>SUM(D34:D53)</f>
        <v>37689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8"/>
      <c r="B55" s="129"/>
      <c r="C55" s="130"/>
      <c r="D55" s="13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195</v>
      </c>
      <c r="D57" s="34"/>
      <c r="F57" s="36"/>
      <c r="G57" s="50"/>
      <c r="H57" s="50"/>
      <c r="I57" s="50"/>
      <c r="J57" s="43"/>
    </row>
    <row r="58" spans="1:18" x14ac:dyDescent="0.25">
      <c r="A58" s="133" t="s">
        <v>90</v>
      </c>
      <c r="B58" s="134"/>
      <c r="C58" s="134"/>
      <c r="D58" s="135"/>
      <c r="F58" s="133" t="s">
        <v>91</v>
      </c>
      <c r="G58" s="134"/>
      <c r="H58" s="134"/>
      <c r="I58" s="134"/>
      <c r="J58" s="135"/>
    </row>
    <row r="59" spans="1:18" x14ac:dyDescent="0.25">
      <c r="A59" s="136"/>
      <c r="B59" s="137"/>
      <c r="C59" s="137"/>
      <c r="D59" s="138"/>
      <c r="F59" s="136"/>
      <c r="G59" s="137"/>
      <c r="H59" s="137"/>
      <c r="I59" s="137"/>
      <c r="J59" s="13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23" priority="1" operator="containsText" text="OVER">
      <formula>NOT(ISERROR(SEARCH("OVER",F51)))</formula>
    </cfRule>
    <cfRule type="containsText" dxfId="22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2EC014EA-7A43-49E5-A4DE-F4774B498099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97C56E-3BC5-4267-9747-DE9CCA42B4B7}">
  <dimension ref="A1:R59"/>
  <sheetViews>
    <sheetView topLeftCell="A19" zoomScaleNormal="100" zoomScaleSheetLayoutView="85" workbookViewId="0">
      <selection activeCell="M49" sqref="M49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1" t="s">
        <v>1</v>
      </c>
      <c r="O1" s="221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2" t="s">
        <v>7</v>
      </c>
      <c r="B4" s="173"/>
      <c r="C4" s="173"/>
      <c r="D4" s="174"/>
      <c r="F4" s="222" t="s">
        <v>8</v>
      </c>
      <c r="G4" s="224">
        <v>3</v>
      </c>
      <c r="H4" s="226" t="s">
        <v>9</v>
      </c>
      <c r="I4" s="228">
        <v>46253</v>
      </c>
      <c r="J4" s="22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6" t="s">
        <v>7</v>
      </c>
      <c r="B5" s="15" t="s">
        <v>11</v>
      </c>
      <c r="C5" s="9" t="s">
        <v>12</v>
      </c>
      <c r="D5" s="25" t="s">
        <v>13</v>
      </c>
      <c r="F5" s="223"/>
      <c r="G5" s="225"/>
      <c r="H5" s="227"/>
      <c r="I5" s="230"/>
      <c r="J5" s="23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7"/>
      <c r="B6" s="16" t="s">
        <v>15</v>
      </c>
      <c r="C6" s="10">
        <v>317</v>
      </c>
      <c r="D6" s="13">
        <f t="shared" ref="D6:D28" si="1">C6*L6</f>
        <v>241237</v>
      </c>
      <c r="F6" s="232" t="s">
        <v>16</v>
      </c>
      <c r="G6" s="234" t="s">
        <v>142</v>
      </c>
      <c r="H6" s="235"/>
      <c r="I6" s="235"/>
      <c r="J6" s="2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7"/>
      <c r="B7" s="16" t="s">
        <v>18</v>
      </c>
      <c r="C7" s="10">
        <v>15</v>
      </c>
      <c r="D7" s="13">
        <f t="shared" si="1"/>
        <v>11715</v>
      </c>
      <c r="F7" s="233"/>
      <c r="G7" s="237"/>
      <c r="H7" s="238"/>
      <c r="I7" s="238"/>
      <c r="J7" s="2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7"/>
      <c r="B8" s="16" t="s">
        <v>20</v>
      </c>
      <c r="C8" s="10"/>
      <c r="D8" s="13">
        <f t="shared" si="1"/>
        <v>0</v>
      </c>
      <c r="F8" s="240" t="s">
        <v>21</v>
      </c>
      <c r="G8" s="241" t="s">
        <v>109</v>
      </c>
      <c r="H8" s="242"/>
      <c r="I8" s="242"/>
      <c r="J8" s="24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7"/>
      <c r="B9" s="16" t="s">
        <v>23</v>
      </c>
      <c r="C9" s="10">
        <v>64</v>
      </c>
      <c r="D9" s="13">
        <f t="shared" si="1"/>
        <v>46912</v>
      </c>
      <c r="F9" s="233"/>
      <c r="G9" s="244"/>
      <c r="H9" s="245"/>
      <c r="I9" s="245"/>
      <c r="J9" s="24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7"/>
      <c r="B10" t="s">
        <v>25</v>
      </c>
      <c r="C10" s="10">
        <v>1</v>
      </c>
      <c r="D10" s="13">
        <f t="shared" si="1"/>
        <v>1032</v>
      </c>
      <c r="F10" s="232" t="s">
        <v>26</v>
      </c>
      <c r="G10" s="247" t="s">
        <v>119</v>
      </c>
      <c r="H10" s="248"/>
      <c r="I10" s="248"/>
      <c r="J10" s="249"/>
      <c r="K10" s="8"/>
      <c r="L10" s="6">
        <f>R36</f>
        <v>1032</v>
      </c>
      <c r="P10" s="4"/>
      <c r="Q10" s="4"/>
      <c r="R10" s="5"/>
    </row>
    <row r="11" spans="1:18" ht="15.75" x14ac:dyDescent="0.25">
      <c r="A11" s="167"/>
      <c r="B11" s="17" t="s">
        <v>28</v>
      </c>
      <c r="C11" s="10"/>
      <c r="D11" s="13">
        <f t="shared" si="1"/>
        <v>0</v>
      </c>
      <c r="F11" s="233"/>
      <c r="G11" s="244"/>
      <c r="H11" s="245"/>
      <c r="I11" s="245"/>
      <c r="J11" s="24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7"/>
      <c r="B12" s="17" t="s">
        <v>30</v>
      </c>
      <c r="C12" s="10"/>
      <c r="D12" s="48">
        <f t="shared" si="1"/>
        <v>0</v>
      </c>
      <c r="F12" s="250" t="s">
        <v>33</v>
      </c>
      <c r="G12" s="251"/>
      <c r="H12" s="251"/>
      <c r="I12" s="251"/>
      <c r="J12" s="25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7"/>
      <c r="B13" s="17" t="s">
        <v>32</v>
      </c>
      <c r="C13" s="10">
        <v>9</v>
      </c>
      <c r="D13" s="48">
        <f t="shared" si="1"/>
        <v>2763</v>
      </c>
      <c r="F13" s="253" t="s">
        <v>36</v>
      </c>
      <c r="G13" s="217"/>
      <c r="H13" s="208">
        <f>D29</f>
        <v>304334.20833333331</v>
      </c>
      <c r="I13" s="209"/>
      <c r="J13" s="21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7"/>
      <c r="B14" s="14" t="s">
        <v>35</v>
      </c>
      <c r="C14" s="10">
        <v>5</v>
      </c>
      <c r="D14" s="31">
        <f t="shared" si="1"/>
        <v>55.208333333333329</v>
      </c>
      <c r="F14" s="211" t="s">
        <v>38</v>
      </c>
      <c r="G14" s="212"/>
      <c r="H14" s="213">
        <f>D54</f>
        <v>42960</v>
      </c>
      <c r="I14" s="214"/>
      <c r="J14" s="215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7"/>
      <c r="B15" s="14" t="s">
        <v>117</v>
      </c>
      <c r="C15" s="10">
        <v>1</v>
      </c>
      <c r="D15" s="31">
        <f t="shared" si="1"/>
        <v>620</v>
      </c>
      <c r="F15" s="216" t="s">
        <v>39</v>
      </c>
      <c r="G15" s="217"/>
      <c r="H15" s="218">
        <f>H13-H14</f>
        <v>261374.20833333331</v>
      </c>
      <c r="I15" s="219"/>
      <c r="J15" s="22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7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8">
        <v>1656</v>
      </c>
      <c r="I16" s="178"/>
      <c r="J16" s="17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7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9"/>
      <c r="I17" s="189"/>
      <c r="J17" s="18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7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9"/>
      <c r="I18" s="189"/>
      <c r="J18" s="18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7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3"/>
      <c r="I19" s="263"/>
      <c r="J19" s="26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7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8"/>
      <c r="I20" s="178"/>
      <c r="J20" s="17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7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191" t="s">
        <v>13</v>
      </c>
      <c r="I21" s="192"/>
      <c r="J21" s="19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7"/>
      <c r="B22" s="46" t="s">
        <v>103</v>
      </c>
      <c r="C22" s="10"/>
      <c r="D22" s="48">
        <f t="shared" si="1"/>
        <v>0</v>
      </c>
      <c r="F22" s="76"/>
      <c r="G22" s="72"/>
      <c r="H22" s="194"/>
      <c r="I22" s="194"/>
      <c r="J22" s="19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7"/>
      <c r="B23" s="14" t="s">
        <v>116</v>
      </c>
      <c r="C23" s="10"/>
      <c r="D23" s="48">
        <f t="shared" si="1"/>
        <v>0</v>
      </c>
      <c r="F23" s="77"/>
      <c r="G23" s="78"/>
      <c r="H23" s="264"/>
      <c r="I23" s="194"/>
      <c r="J23" s="19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7"/>
      <c r="B24" s="14" t="s">
        <v>123</v>
      </c>
      <c r="C24" s="10"/>
      <c r="D24" s="48">
        <f t="shared" si="1"/>
        <v>0</v>
      </c>
      <c r="F24" s="38"/>
      <c r="G24" s="37"/>
      <c r="H24" s="195"/>
      <c r="I24" s="164"/>
      <c r="J24" s="16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6" t="s">
        <v>13</v>
      </c>
      <c r="I25" s="197"/>
      <c r="J25" s="19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7"/>
      <c r="B26" s="14" t="s">
        <v>124</v>
      </c>
      <c r="C26" s="10"/>
      <c r="D26" s="48">
        <f t="shared" si="1"/>
        <v>0</v>
      </c>
      <c r="F26" s="64"/>
      <c r="G26" s="59"/>
      <c r="H26" s="199"/>
      <c r="I26" s="200"/>
      <c r="J26" s="20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7"/>
      <c r="B27" s="14" t="s">
        <v>125</v>
      </c>
      <c r="C27" s="10"/>
      <c r="D27" s="44">
        <f t="shared" si="1"/>
        <v>0</v>
      </c>
      <c r="F27" s="25"/>
      <c r="G27" s="79"/>
      <c r="H27" s="202"/>
      <c r="I27" s="203"/>
      <c r="J27" s="20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8"/>
      <c r="B28" s="46" t="s">
        <v>92</v>
      </c>
      <c r="C28" s="10"/>
      <c r="D28" s="48">
        <f t="shared" si="1"/>
        <v>0</v>
      </c>
      <c r="F28" s="119"/>
      <c r="G28" s="61"/>
      <c r="H28" s="205"/>
      <c r="I28" s="206"/>
      <c r="J28" s="20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9" t="s">
        <v>36</v>
      </c>
      <c r="B29" s="180"/>
      <c r="C29" s="181"/>
      <c r="D29" s="185">
        <f>SUM(D6:D28)</f>
        <v>304334.20833333331</v>
      </c>
      <c r="F29" s="125" t="s">
        <v>54</v>
      </c>
      <c r="G29" s="187"/>
      <c r="H29" s="147">
        <f>H15-H16-H17-H18-H19-H20-H22-H23-H24+H26+H27</f>
        <v>259718.20833333331</v>
      </c>
      <c r="I29" s="148"/>
      <c r="J29" s="14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2"/>
      <c r="B30" s="183"/>
      <c r="C30" s="184"/>
      <c r="D30" s="186"/>
      <c r="F30" s="128"/>
      <c r="G30" s="188"/>
      <c r="H30" s="150"/>
      <c r="I30" s="151"/>
      <c r="J30" s="15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2" t="s">
        <v>57</v>
      </c>
      <c r="B32" s="173"/>
      <c r="C32" s="173"/>
      <c r="D32" s="174"/>
      <c r="F32" s="175" t="s">
        <v>58</v>
      </c>
      <c r="G32" s="176"/>
      <c r="H32" s="176"/>
      <c r="I32" s="176"/>
      <c r="J32" s="17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75" t="s">
        <v>13</v>
      </c>
      <c r="I33" s="176"/>
      <c r="J33" s="17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6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98</v>
      </c>
      <c r="H34" s="169">
        <f>F34*G34</f>
        <v>98000</v>
      </c>
      <c r="I34" s="170"/>
      <c r="J34" s="17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7"/>
      <c r="B35" s="27" t="s">
        <v>67</v>
      </c>
      <c r="C35" s="52"/>
      <c r="D35" s="30">
        <f>C35*84</f>
        <v>0</v>
      </c>
      <c r="F35" s="58">
        <v>500</v>
      </c>
      <c r="G35" s="121">
        <v>74</v>
      </c>
      <c r="H35" s="169">
        <f>F35*G35</f>
        <v>37000</v>
      </c>
      <c r="I35" s="170"/>
      <c r="J35" s="17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8"/>
      <c r="B36" s="26" t="s">
        <v>69</v>
      </c>
      <c r="C36" s="10">
        <v>7</v>
      </c>
      <c r="D36" s="12">
        <f>C36*1.5</f>
        <v>10.5</v>
      </c>
      <c r="F36" s="12">
        <v>200</v>
      </c>
      <c r="G36" s="37"/>
      <c r="H36" s="169">
        <f t="shared" ref="H36:H39" si="2">F36*G36</f>
        <v>0</v>
      </c>
      <c r="I36" s="170"/>
      <c r="J36" s="17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6" t="s">
        <v>71</v>
      </c>
      <c r="B37" s="28" t="s">
        <v>65</v>
      </c>
      <c r="C37" s="53">
        <v>361</v>
      </c>
      <c r="D37" s="12">
        <f>C37*111</f>
        <v>40071</v>
      </c>
      <c r="F37" s="12">
        <v>100</v>
      </c>
      <c r="G37" s="39"/>
      <c r="H37" s="169">
        <f t="shared" si="2"/>
        <v>0</v>
      </c>
      <c r="I37" s="170"/>
      <c r="J37" s="17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7"/>
      <c r="B38" s="29" t="s">
        <v>67</v>
      </c>
      <c r="C38" s="54">
        <v>2</v>
      </c>
      <c r="D38" s="12">
        <f>C38*84</f>
        <v>168</v>
      </c>
      <c r="F38" s="30">
        <v>50</v>
      </c>
      <c r="G38" s="39"/>
      <c r="H38" s="169">
        <f t="shared" si="2"/>
        <v>0</v>
      </c>
      <c r="I38" s="170"/>
      <c r="J38" s="17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8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169">
        <f t="shared" si="2"/>
        <v>0</v>
      </c>
      <c r="I39" s="170"/>
      <c r="J39" s="17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6" t="s">
        <v>75</v>
      </c>
      <c r="B40" s="27" t="s">
        <v>65</v>
      </c>
      <c r="C40" s="63">
        <v>13</v>
      </c>
      <c r="D40" s="12">
        <f>C40*111</f>
        <v>1443</v>
      </c>
      <c r="F40" s="12">
        <v>10</v>
      </c>
      <c r="G40" s="122"/>
      <c r="H40" s="169"/>
      <c r="I40" s="170"/>
      <c r="J40" s="17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7"/>
      <c r="B41" s="27" t="s">
        <v>67</v>
      </c>
      <c r="C41" s="10">
        <v>4</v>
      </c>
      <c r="D41" s="12">
        <f>C41*84</f>
        <v>336</v>
      </c>
      <c r="F41" s="12">
        <v>5</v>
      </c>
      <c r="G41" s="122"/>
      <c r="H41" s="169"/>
      <c r="I41" s="170"/>
      <c r="J41" s="17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8"/>
      <c r="B42" s="27" t="s">
        <v>69</v>
      </c>
      <c r="C42" s="11"/>
      <c r="D42" s="12">
        <f>C42*2.25</f>
        <v>0</v>
      </c>
      <c r="F42" s="39" t="s">
        <v>78</v>
      </c>
      <c r="G42" s="169">
        <v>128</v>
      </c>
      <c r="H42" s="170"/>
      <c r="I42" s="170"/>
      <c r="J42" s="17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9" t="s">
        <v>80</v>
      </c>
      <c r="C43" s="11"/>
      <c r="D43" s="12"/>
      <c r="F43" s="59" t="s">
        <v>81</v>
      </c>
      <c r="G43" s="117" t="s">
        <v>82</v>
      </c>
      <c r="H43" s="161" t="s">
        <v>13</v>
      </c>
      <c r="I43" s="162"/>
      <c r="J43" s="16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0"/>
      <c r="B44" s="27" t="s">
        <v>65</v>
      </c>
      <c r="C44" s="10">
        <v>1</v>
      </c>
      <c r="D44" s="12">
        <f>C44*120</f>
        <v>120</v>
      </c>
      <c r="F44" s="37" t="s">
        <v>136</v>
      </c>
      <c r="G44" s="87" t="s">
        <v>197</v>
      </c>
      <c r="H44" s="164">
        <v>124550</v>
      </c>
      <c r="I44" s="164"/>
      <c r="J44" s="16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0"/>
      <c r="B45" s="27" t="s">
        <v>67</v>
      </c>
      <c r="C45" s="33"/>
      <c r="D45" s="12">
        <f>C45*84</f>
        <v>0</v>
      </c>
      <c r="F45" s="37"/>
      <c r="G45" s="87"/>
      <c r="H45" s="164"/>
      <c r="I45" s="164"/>
      <c r="J45" s="164"/>
      <c r="K45" s="21"/>
      <c r="P45" s="4"/>
      <c r="Q45" s="4"/>
      <c r="R45" s="5"/>
    </row>
    <row r="46" spans="1:18" ht="15.75" x14ac:dyDescent="0.25">
      <c r="A46" s="140"/>
      <c r="B46" s="49" t="s">
        <v>69</v>
      </c>
      <c r="C46" s="80"/>
      <c r="D46" s="12">
        <f>C46*1.5</f>
        <v>0</v>
      </c>
      <c r="F46" s="37"/>
      <c r="G46" s="75"/>
      <c r="H46" s="164"/>
      <c r="I46" s="164"/>
      <c r="J46" s="164"/>
      <c r="K46" s="21"/>
      <c r="P46" s="4"/>
      <c r="Q46" s="4"/>
      <c r="R46" s="5"/>
    </row>
    <row r="47" spans="1:18" ht="15.75" x14ac:dyDescent="0.25">
      <c r="A47" s="141"/>
      <c r="B47" s="27"/>
      <c r="C47" s="11"/>
      <c r="D47" s="12"/>
      <c r="F47" s="37"/>
      <c r="G47" s="75"/>
      <c r="H47" s="164"/>
      <c r="I47" s="164"/>
      <c r="J47" s="164"/>
      <c r="K47" s="21"/>
      <c r="P47" s="4"/>
      <c r="Q47" s="4"/>
      <c r="R47" s="5"/>
    </row>
    <row r="48" spans="1:18" ht="15" customHeight="1" x14ac:dyDescent="0.25">
      <c r="A48" s="139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0"/>
      <c r="B49" s="29" t="s">
        <v>67</v>
      </c>
      <c r="C49" s="33">
        <v>3</v>
      </c>
      <c r="D49" s="12">
        <f>C49*42</f>
        <v>126</v>
      </c>
      <c r="F49" s="145" t="s">
        <v>85</v>
      </c>
      <c r="G49" s="147">
        <f>H34+H35+H36+H37+H38+H39+H40+H41+G42+H44+H45+H46+H47+H48</f>
        <v>259678</v>
      </c>
      <c r="H49" s="148"/>
      <c r="I49" s="148"/>
      <c r="J49" s="14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0"/>
      <c r="B50" s="32" t="s">
        <v>69</v>
      </c>
      <c r="C50" s="11">
        <v>4</v>
      </c>
      <c r="D50" s="12">
        <f>C50*1.5</f>
        <v>6</v>
      </c>
      <c r="F50" s="146"/>
      <c r="G50" s="150"/>
      <c r="H50" s="151"/>
      <c r="I50" s="151"/>
      <c r="J50" s="152"/>
      <c r="O50" t="s">
        <v>112</v>
      </c>
      <c r="P50" s="4">
        <v>1204</v>
      </c>
      <c r="Q50" s="4"/>
      <c r="R50" s="5"/>
    </row>
    <row r="51" spans="1:18" ht="15" customHeight="1" x14ac:dyDescent="0.25">
      <c r="A51" s="140"/>
      <c r="B51" s="27"/>
      <c r="C51" s="10"/>
      <c r="D51" s="31"/>
      <c r="F51" s="153" t="str">
        <f>_xlfn.IFS(H29&gt;G49,"SHORT",H29&lt;G49,"OVER",H29&lt;=G49,"-")</f>
        <v>SHORT</v>
      </c>
      <c r="G51" s="155">
        <f>G49-H29</f>
        <v>-40.208333333313931</v>
      </c>
      <c r="H51" s="156"/>
      <c r="I51" s="156"/>
      <c r="J51" s="1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140"/>
      <c r="B52" s="29"/>
      <c r="C52" s="33"/>
      <c r="D52" s="45"/>
      <c r="F52" s="154"/>
      <c r="G52" s="158"/>
      <c r="H52" s="159"/>
      <c r="I52" s="159"/>
      <c r="J52" s="1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5" t="s">
        <v>89</v>
      </c>
      <c r="B54" s="126"/>
      <c r="C54" s="127"/>
      <c r="D54" s="131">
        <f>SUM(D34:D53)</f>
        <v>42960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8"/>
      <c r="B55" s="129"/>
      <c r="C55" s="130"/>
      <c r="D55" s="13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33" t="s">
        <v>90</v>
      </c>
      <c r="B58" s="134"/>
      <c r="C58" s="134"/>
      <c r="D58" s="135"/>
      <c r="F58" s="133" t="s">
        <v>91</v>
      </c>
      <c r="G58" s="134"/>
      <c r="H58" s="134"/>
      <c r="I58" s="134"/>
      <c r="J58" s="135"/>
    </row>
    <row r="59" spans="1:18" x14ac:dyDescent="0.25">
      <c r="A59" s="136"/>
      <c r="B59" s="137"/>
      <c r="C59" s="137"/>
      <c r="D59" s="138"/>
      <c r="F59" s="136"/>
      <c r="G59" s="137"/>
      <c r="H59" s="137"/>
      <c r="I59" s="137"/>
      <c r="J59" s="13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20" priority="1" operator="containsText" text="OVER">
      <formula>NOT(ISERROR(SEARCH("OVER",F51)))</formula>
    </cfRule>
    <cfRule type="containsText" dxfId="19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A61AB186-3916-43D4-8DF1-9D1B8FD6FBA9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D14391-6F23-4DF0-8BE8-5C37E5B276E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1" t="s">
        <v>1</v>
      </c>
      <c r="O1" s="221"/>
      <c r="P1" s="118" t="s">
        <v>2</v>
      </c>
      <c r="Q1" s="11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2" t="s">
        <v>7</v>
      </c>
      <c r="B4" s="173"/>
      <c r="C4" s="173"/>
      <c r="D4" s="174"/>
      <c r="F4" s="222" t="s">
        <v>8</v>
      </c>
      <c r="G4" s="224"/>
      <c r="H4" s="226" t="s">
        <v>9</v>
      </c>
      <c r="I4" s="228"/>
      <c r="J4" s="22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6" t="s">
        <v>7</v>
      </c>
      <c r="B5" s="15" t="s">
        <v>11</v>
      </c>
      <c r="C5" s="9" t="s">
        <v>12</v>
      </c>
      <c r="D5" s="25" t="s">
        <v>13</v>
      </c>
      <c r="F5" s="223"/>
      <c r="G5" s="225"/>
      <c r="H5" s="227"/>
      <c r="I5" s="230"/>
      <c r="J5" s="23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7"/>
      <c r="B6" s="16"/>
      <c r="C6" s="10"/>
      <c r="D6" s="13">
        <f t="shared" ref="D6:D28" si="1">C6*L6</f>
        <v>0</v>
      </c>
      <c r="F6" s="232" t="s">
        <v>16</v>
      </c>
      <c r="G6" s="234"/>
      <c r="H6" s="235"/>
      <c r="I6" s="235"/>
      <c r="J6" s="23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7"/>
      <c r="B7" s="16"/>
      <c r="C7" s="10"/>
      <c r="D7" s="13">
        <f t="shared" si="1"/>
        <v>0</v>
      </c>
      <c r="F7" s="233"/>
      <c r="G7" s="237"/>
      <c r="H7" s="238"/>
      <c r="I7" s="238"/>
      <c r="J7" s="23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7"/>
      <c r="B8" s="16"/>
      <c r="C8" s="10"/>
      <c r="D8" s="13">
        <f t="shared" si="1"/>
        <v>0</v>
      </c>
      <c r="F8" s="240" t="s">
        <v>21</v>
      </c>
      <c r="G8" s="241"/>
      <c r="H8" s="242"/>
      <c r="I8" s="242"/>
      <c r="J8" s="24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7"/>
      <c r="B9" s="16"/>
      <c r="C9" s="10"/>
      <c r="D9" s="13">
        <f t="shared" si="1"/>
        <v>0</v>
      </c>
      <c r="F9" s="233"/>
      <c r="G9" s="244"/>
      <c r="H9" s="245"/>
      <c r="I9" s="245"/>
      <c r="J9" s="24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7"/>
      <c r="C10" s="10"/>
      <c r="D10" s="13">
        <f t="shared" si="1"/>
        <v>0</v>
      </c>
      <c r="F10" s="232" t="s">
        <v>26</v>
      </c>
      <c r="G10" s="247"/>
      <c r="H10" s="248"/>
      <c r="I10" s="248"/>
      <c r="J10" s="249"/>
      <c r="K10" s="8"/>
      <c r="L10" s="6">
        <f>R36</f>
        <v>972</v>
      </c>
      <c r="P10" s="4"/>
      <c r="Q10" s="4"/>
      <c r="R10" s="5"/>
    </row>
    <row r="11" spans="1:19" ht="15.75" x14ac:dyDescent="0.25">
      <c r="A11" s="167"/>
      <c r="B11" s="17"/>
      <c r="C11" s="10"/>
      <c r="D11" s="13">
        <f t="shared" si="1"/>
        <v>0</v>
      </c>
      <c r="F11" s="233"/>
      <c r="G11" s="244"/>
      <c r="H11" s="245"/>
      <c r="I11" s="245"/>
      <c r="J11" s="24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7"/>
      <c r="B12" s="17"/>
      <c r="C12" s="10"/>
      <c r="D12" s="48">
        <f t="shared" si="1"/>
        <v>0</v>
      </c>
      <c r="F12" s="250" t="s">
        <v>33</v>
      </c>
      <c r="G12" s="251"/>
      <c r="H12" s="251"/>
      <c r="I12" s="251"/>
      <c r="J12" s="25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7"/>
      <c r="B13" s="17"/>
      <c r="C13" s="10"/>
      <c r="D13" s="48">
        <f t="shared" si="1"/>
        <v>0</v>
      </c>
      <c r="F13" s="253" t="s">
        <v>36</v>
      </c>
      <c r="G13" s="217"/>
      <c r="H13" s="208">
        <f>D29</f>
        <v>0</v>
      </c>
      <c r="I13" s="209"/>
      <c r="J13" s="21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7"/>
      <c r="B14" s="14"/>
      <c r="C14" s="10"/>
      <c r="D14" s="31">
        <f t="shared" si="1"/>
        <v>0</v>
      </c>
      <c r="F14" s="211" t="s">
        <v>38</v>
      </c>
      <c r="G14" s="212"/>
      <c r="H14" s="213">
        <f>D54</f>
        <v>0</v>
      </c>
      <c r="I14" s="214"/>
      <c r="J14" s="21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7"/>
      <c r="B15" s="14"/>
      <c r="C15" s="10"/>
      <c r="D15" s="31">
        <f t="shared" si="1"/>
        <v>0</v>
      </c>
      <c r="F15" s="216" t="s">
        <v>39</v>
      </c>
      <c r="G15" s="217"/>
      <c r="H15" s="218">
        <f>H13-H14</f>
        <v>0</v>
      </c>
      <c r="I15" s="219"/>
      <c r="J15" s="22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8"/>
      <c r="I16" s="178"/>
      <c r="J16" s="17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7"/>
      <c r="C17" s="10"/>
      <c r="D17" s="48">
        <f t="shared" si="1"/>
        <v>0</v>
      </c>
      <c r="F17" s="56"/>
      <c r="G17" s="66" t="s">
        <v>44</v>
      </c>
      <c r="H17" s="189"/>
      <c r="I17" s="189"/>
      <c r="J17" s="18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7"/>
      <c r="B18" s="19"/>
      <c r="C18" s="10"/>
      <c r="D18" s="48">
        <f t="shared" si="1"/>
        <v>0</v>
      </c>
      <c r="F18" s="56"/>
      <c r="G18" s="66" t="s">
        <v>46</v>
      </c>
      <c r="H18" s="189"/>
      <c r="I18" s="189"/>
      <c r="J18" s="18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7"/>
      <c r="B19" s="14"/>
      <c r="C19" s="10"/>
      <c r="D19" s="48">
        <f t="shared" si="1"/>
        <v>0</v>
      </c>
      <c r="F19" s="56"/>
      <c r="G19" s="68" t="s">
        <v>49</v>
      </c>
      <c r="H19" s="190"/>
      <c r="I19" s="190"/>
      <c r="J19" s="19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7"/>
      <c r="B20" s="46"/>
      <c r="C20" s="10"/>
      <c r="D20" s="13">
        <f t="shared" si="1"/>
        <v>0</v>
      </c>
      <c r="F20" s="57"/>
      <c r="G20" s="70" t="s">
        <v>102</v>
      </c>
      <c r="H20" s="178"/>
      <c r="I20" s="178"/>
      <c r="J20" s="17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7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91" t="s">
        <v>13</v>
      </c>
      <c r="I21" s="192"/>
      <c r="J21" s="193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7"/>
      <c r="B22" s="46"/>
      <c r="C22" s="10"/>
      <c r="D22" s="48">
        <f t="shared" si="1"/>
        <v>0</v>
      </c>
      <c r="F22" s="76"/>
      <c r="G22" s="72"/>
      <c r="H22" s="194"/>
      <c r="I22" s="194"/>
      <c r="J22" s="194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7"/>
      <c r="B23" s="14"/>
      <c r="C23" s="10"/>
      <c r="D23" s="48">
        <f t="shared" si="1"/>
        <v>0</v>
      </c>
      <c r="F23" s="77"/>
      <c r="G23" s="78"/>
      <c r="H23" s="195"/>
      <c r="I23" s="164"/>
      <c r="J23" s="16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7"/>
      <c r="B24" s="14"/>
      <c r="C24" s="10"/>
      <c r="D24" s="48">
        <f t="shared" si="1"/>
        <v>0</v>
      </c>
      <c r="F24" s="38"/>
      <c r="G24" s="37"/>
      <c r="H24" s="195"/>
      <c r="I24" s="164"/>
      <c r="J24" s="16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6" t="s">
        <v>13</v>
      </c>
      <c r="I25" s="197"/>
      <c r="J25" s="19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7"/>
      <c r="B26" s="14"/>
      <c r="C26" s="10"/>
      <c r="D26" s="48">
        <f t="shared" si="1"/>
        <v>0</v>
      </c>
      <c r="F26" s="64"/>
      <c r="G26" s="59"/>
      <c r="H26" s="199"/>
      <c r="I26" s="200"/>
      <c r="J26" s="20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7"/>
      <c r="B27" s="14"/>
      <c r="C27" s="10"/>
      <c r="D27" s="44">
        <f t="shared" si="1"/>
        <v>0</v>
      </c>
      <c r="F27" s="25"/>
      <c r="G27" s="79"/>
      <c r="H27" s="202"/>
      <c r="I27" s="203"/>
      <c r="J27" s="20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8"/>
      <c r="B28" s="46"/>
      <c r="C28" s="10"/>
      <c r="D28" s="48">
        <f t="shared" si="1"/>
        <v>0</v>
      </c>
      <c r="F28" s="119"/>
      <c r="G28" s="61"/>
      <c r="H28" s="205"/>
      <c r="I28" s="206"/>
      <c r="J28" s="20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9" t="s">
        <v>36</v>
      </c>
      <c r="B29" s="180"/>
      <c r="C29" s="181"/>
      <c r="D29" s="185">
        <f>SUM(D6:D28)</f>
        <v>0</v>
      </c>
      <c r="F29" s="125" t="s">
        <v>54</v>
      </c>
      <c r="G29" s="187"/>
      <c r="H29" s="147">
        <f>H15-H16-H17-H18-H19-H20-H22-H23-H24+H26+H27</f>
        <v>0</v>
      </c>
      <c r="I29" s="148"/>
      <c r="J29" s="14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2"/>
      <c r="B30" s="183"/>
      <c r="C30" s="184"/>
      <c r="D30" s="186"/>
      <c r="F30" s="128"/>
      <c r="G30" s="188"/>
      <c r="H30" s="150"/>
      <c r="I30" s="151"/>
      <c r="J30" s="15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2" t="s">
        <v>57</v>
      </c>
      <c r="B32" s="173"/>
      <c r="C32" s="173"/>
      <c r="D32" s="174"/>
      <c r="F32" s="175" t="s">
        <v>58</v>
      </c>
      <c r="G32" s="176"/>
      <c r="H32" s="176"/>
      <c r="I32" s="176"/>
      <c r="J32" s="17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75" t="s">
        <v>13</v>
      </c>
      <c r="I33" s="176"/>
      <c r="J33" s="17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6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69"/>
      <c r="I34" s="170"/>
      <c r="J34" s="17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7"/>
      <c r="B35" s="27" t="s">
        <v>67</v>
      </c>
      <c r="C35" s="52"/>
      <c r="D35" s="30">
        <f>C35*84</f>
        <v>0</v>
      </c>
      <c r="F35" s="58">
        <v>500</v>
      </c>
      <c r="G35" s="121"/>
      <c r="H35" s="169"/>
      <c r="I35" s="170"/>
      <c r="J35" s="17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8"/>
      <c r="B36" s="26" t="s">
        <v>69</v>
      </c>
      <c r="C36" s="10"/>
      <c r="D36" s="12">
        <f>C36*1.5</f>
        <v>0</v>
      </c>
      <c r="F36" s="12">
        <v>200</v>
      </c>
      <c r="G36" s="37"/>
      <c r="H36" s="169"/>
      <c r="I36" s="170"/>
      <c r="J36" s="17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9"/>
      <c r="I37" s="170"/>
      <c r="J37" s="17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7"/>
      <c r="B38" s="29" t="s">
        <v>67</v>
      </c>
      <c r="C38" s="54"/>
      <c r="D38" s="12">
        <f>C38*84</f>
        <v>0</v>
      </c>
      <c r="F38" s="30">
        <v>50</v>
      </c>
      <c r="G38" s="39"/>
      <c r="H38" s="169"/>
      <c r="I38" s="170"/>
      <c r="J38" s="17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8"/>
      <c r="B39" s="29" t="s">
        <v>69</v>
      </c>
      <c r="C39" s="52"/>
      <c r="D39" s="31">
        <f>C39*4.5</f>
        <v>0</v>
      </c>
      <c r="F39" s="12">
        <v>20</v>
      </c>
      <c r="G39" s="37"/>
      <c r="H39" s="169"/>
      <c r="I39" s="170"/>
      <c r="J39" s="17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6" t="s">
        <v>75</v>
      </c>
      <c r="B40" s="27" t="s">
        <v>65</v>
      </c>
      <c r="C40" s="63"/>
      <c r="D40" s="12">
        <f>C40*111</f>
        <v>0</v>
      </c>
      <c r="F40" s="12">
        <v>10</v>
      </c>
      <c r="G40" s="122"/>
      <c r="H40" s="169"/>
      <c r="I40" s="170"/>
      <c r="J40" s="17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7"/>
      <c r="B41" s="27" t="s">
        <v>67</v>
      </c>
      <c r="C41" s="10"/>
      <c r="D41" s="12">
        <f>C41*84</f>
        <v>0</v>
      </c>
      <c r="F41" s="12">
        <v>5</v>
      </c>
      <c r="G41" s="122"/>
      <c r="H41" s="169"/>
      <c r="I41" s="170"/>
      <c r="J41" s="17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8"/>
      <c r="B42" s="27" t="s">
        <v>69</v>
      </c>
      <c r="C42" s="11"/>
      <c r="D42" s="12">
        <f>C42*2.25</f>
        <v>0</v>
      </c>
      <c r="F42" s="39" t="s">
        <v>78</v>
      </c>
      <c r="G42" s="169"/>
      <c r="H42" s="170"/>
      <c r="I42" s="170"/>
      <c r="J42" s="17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9" t="s">
        <v>80</v>
      </c>
      <c r="C43" s="11"/>
      <c r="D43" s="12"/>
      <c r="F43" s="59" t="s">
        <v>81</v>
      </c>
      <c r="G43" s="117" t="s">
        <v>82</v>
      </c>
      <c r="H43" s="161" t="s">
        <v>13</v>
      </c>
      <c r="I43" s="162"/>
      <c r="J43" s="163"/>
      <c r="K43" s="21"/>
      <c r="P43" s="4"/>
      <c r="Q43" s="4"/>
      <c r="R43" s="5"/>
    </row>
    <row r="44" spans="1:18" ht="15.75" x14ac:dyDescent="0.25">
      <c r="A44" s="140"/>
      <c r="B44" s="27" t="s">
        <v>65</v>
      </c>
      <c r="C44" s="10"/>
      <c r="D44" s="12">
        <f>C44*120</f>
        <v>0</v>
      </c>
      <c r="F44" s="37"/>
      <c r="G44" s="75"/>
      <c r="H44" s="164"/>
      <c r="I44" s="164"/>
      <c r="J44" s="164"/>
      <c r="K44" s="21"/>
      <c r="P44" s="4"/>
      <c r="Q44" s="4"/>
      <c r="R44" s="5"/>
    </row>
    <row r="45" spans="1:18" ht="15.75" x14ac:dyDescent="0.25">
      <c r="A45" s="140"/>
      <c r="B45" s="27" t="s">
        <v>67</v>
      </c>
      <c r="C45" s="33"/>
      <c r="D45" s="12">
        <f>C45*84</f>
        <v>0</v>
      </c>
      <c r="F45" s="37"/>
      <c r="G45" s="75"/>
      <c r="H45" s="164"/>
      <c r="I45" s="164"/>
      <c r="J45" s="164"/>
      <c r="K45" s="21"/>
      <c r="P45" s="4"/>
      <c r="Q45" s="4"/>
      <c r="R45" s="5"/>
    </row>
    <row r="46" spans="1:18" ht="15.75" x14ac:dyDescent="0.25">
      <c r="A46" s="140"/>
      <c r="B46" s="49" t="s">
        <v>69</v>
      </c>
      <c r="C46" s="80"/>
      <c r="D46" s="12">
        <f>C46*1.5</f>
        <v>0</v>
      </c>
      <c r="F46" s="37"/>
      <c r="G46" s="62"/>
      <c r="H46" s="165"/>
      <c r="I46" s="165"/>
      <c r="J46" s="165"/>
      <c r="K46" s="21"/>
      <c r="P46" s="4"/>
      <c r="Q46" s="4"/>
      <c r="R46" s="5"/>
    </row>
    <row r="47" spans="1:18" ht="15.75" x14ac:dyDescent="0.25">
      <c r="A47" s="141"/>
      <c r="B47" s="27"/>
      <c r="C47" s="11"/>
      <c r="D47" s="12"/>
      <c r="F47" s="59"/>
      <c r="G47" s="59"/>
      <c r="H47" s="142"/>
      <c r="I47" s="143"/>
      <c r="J47" s="144"/>
      <c r="K47" s="21"/>
      <c r="P47" s="4"/>
      <c r="Q47" s="4"/>
      <c r="R47" s="5"/>
    </row>
    <row r="48" spans="1:18" ht="15" customHeight="1" x14ac:dyDescent="0.25">
      <c r="A48" s="139" t="s">
        <v>32</v>
      </c>
      <c r="B48" s="27" t="s">
        <v>65</v>
      </c>
      <c r="C48" s="10"/>
      <c r="D48" s="12">
        <f>C48*78</f>
        <v>0</v>
      </c>
      <c r="F48" s="59"/>
      <c r="G48" s="59"/>
      <c r="H48" s="142"/>
      <c r="I48" s="143"/>
      <c r="J48" s="14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0"/>
      <c r="B49" s="29" t="s">
        <v>67</v>
      </c>
      <c r="C49" s="33"/>
      <c r="D49" s="12">
        <f>C49*42</f>
        <v>0</v>
      </c>
      <c r="F49" s="145" t="s">
        <v>85</v>
      </c>
      <c r="G49" s="147">
        <f>H34+H35+H36+H37+H38+H39+H40+H41+G42+H44+H45+H46</f>
        <v>0</v>
      </c>
      <c r="H49" s="148"/>
      <c r="I49" s="148"/>
      <c r="J49" s="14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0"/>
      <c r="B50" s="32" t="s">
        <v>69</v>
      </c>
      <c r="C50" s="11"/>
      <c r="D50" s="12">
        <f>C50*1.5</f>
        <v>0</v>
      </c>
      <c r="F50" s="146"/>
      <c r="G50" s="150"/>
      <c r="H50" s="151"/>
      <c r="I50" s="151"/>
      <c r="J50" s="152"/>
      <c r="P50" s="4"/>
      <c r="Q50" s="4"/>
      <c r="R50" s="5"/>
    </row>
    <row r="51" spans="1:18" ht="15" customHeight="1" x14ac:dyDescent="0.25">
      <c r="A51" s="140"/>
      <c r="B51" s="27"/>
      <c r="C51" s="10"/>
      <c r="D51" s="31"/>
      <c r="F51" s="153" t="s">
        <v>106</v>
      </c>
      <c r="G51" s="155">
        <f>G49-H29</f>
        <v>0</v>
      </c>
      <c r="H51" s="156"/>
      <c r="I51" s="156"/>
      <c r="J51" s="15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0"/>
      <c r="B52" s="29"/>
      <c r="C52" s="33"/>
      <c r="D52" s="45"/>
      <c r="F52" s="154"/>
      <c r="G52" s="158"/>
      <c r="H52" s="159"/>
      <c r="I52" s="159"/>
      <c r="J52" s="1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5" t="s">
        <v>89</v>
      </c>
      <c r="B54" s="126"/>
      <c r="C54" s="127"/>
      <c r="D54" s="131">
        <f>SUM(D34:D53)</f>
        <v>0</v>
      </c>
      <c r="F54" s="21"/>
      <c r="J54" s="34"/>
    </row>
    <row r="55" spans="1:18" x14ac:dyDescent="0.25">
      <c r="A55" s="128"/>
      <c r="B55" s="129"/>
      <c r="C55" s="130"/>
      <c r="D55" s="13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3" t="s">
        <v>90</v>
      </c>
      <c r="B58" s="134"/>
      <c r="C58" s="134"/>
      <c r="D58" s="135"/>
      <c r="F58" s="133" t="s">
        <v>91</v>
      </c>
      <c r="G58" s="134"/>
      <c r="H58" s="134"/>
      <c r="I58" s="134"/>
      <c r="J58" s="135"/>
    </row>
    <row r="59" spans="1:18" x14ac:dyDescent="0.25">
      <c r="A59" s="136"/>
      <c r="B59" s="137"/>
      <c r="C59" s="137"/>
      <c r="D59" s="138"/>
      <c r="F59" s="136"/>
      <c r="G59" s="137"/>
      <c r="H59" s="137"/>
      <c r="I59" s="137"/>
      <c r="J59" s="13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DA999-F346-41B9-B113-BEA8FFF8BC29}">
  <dimension ref="A1:V68"/>
  <sheetViews>
    <sheetView topLeftCell="A25" zoomScaleNormal="100" zoomScaleSheetLayoutView="85" workbookViewId="0">
      <selection activeCell="M50" sqref="M50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1" t="s">
        <v>1</v>
      </c>
      <c r="O1" s="221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2" t="s">
        <v>7</v>
      </c>
      <c r="B4" s="173"/>
      <c r="C4" s="173"/>
      <c r="D4" s="174"/>
      <c r="F4" s="222" t="s">
        <v>8</v>
      </c>
      <c r="G4" s="224">
        <v>1</v>
      </c>
      <c r="H4" s="226" t="s">
        <v>9</v>
      </c>
      <c r="I4" s="228">
        <v>46254</v>
      </c>
      <c r="J4" s="22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6" t="s">
        <v>7</v>
      </c>
      <c r="B5" s="15" t="s">
        <v>11</v>
      </c>
      <c r="C5" s="9" t="s">
        <v>12</v>
      </c>
      <c r="D5" s="25" t="s">
        <v>13</v>
      </c>
      <c r="F5" s="223"/>
      <c r="G5" s="225"/>
      <c r="H5" s="227"/>
      <c r="I5" s="230"/>
      <c r="J5" s="23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7"/>
      <c r="B6" s="16" t="s">
        <v>15</v>
      </c>
      <c r="C6" s="10">
        <v>703</v>
      </c>
      <c r="D6" s="13">
        <f t="shared" ref="D6:D28" si="1">C6*L6</f>
        <v>534983</v>
      </c>
      <c r="F6" s="232" t="s">
        <v>16</v>
      </c>
      <c r="G6" s="234" t="s">
        <v>99</v>
      </c>
      <c r="H6" s="235"/>
      <c r="I6" s="235"/>
      <c r="J6" s="2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7"/>
      <c r="B7" s="16" t="s">
        <v>18</v>
      </c>
      <c r="C7" s="10">
        <v>27</v>
      </c>
      <c r="D7" s="13">
        <f t="shared" si="1"/>
        <v>21087</v>
      </c>
      <c r="F7" s="233"/>
      <c r="G7" s="237"/>
      <c r="H7" s="238"/>
      <c r="I7" s="238"/>
      <c r="J7" s="2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7"/>
      <c r="B8" s="16" t="s">
        <v>20</v>
      </c>
      <c r="C8" s="10">
        <v>1</v>
      </c>
      <c r="D8" s="13">
        <f t="shared" si="1"/>
        <v>1093</v>
      </c>
      <c r="F8" s="240" t="s">
        <v>21</v>
      </c>
      <c r="G8" s="241" t="s">
        <v>115</v>
      </c>
      <c r="H8" s="242"/>
      <c r="I8" s="242"/>
      <c r="J8" s="24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7"/>
      <c r="B9" s="16" t="s">
        <v>23</v>
      </c>
      <c r="C9" s="10">
        <v>48</v>
      </c>
      <c r="D9" s="13">
        <f t="shared" si="1"/>
        <v>35184</v>
      </c>
      <c r="F9" s="233"/>
      <c r="G9" s="244"/>
      <c r="H9" s="245"/>
      <c r="I9" s="245"/>
      <c r="J9" s="24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7"/>
      <c r="B10" t="s">
        <v>25</v>
      </c>
      <c r="C10" s="10">
        <v>11</v>
      </c>
      <c r="D10" s="13">
        <f t="shared" si="1"/>
        <v>11352</v>
      </c>
      <c r="F10" s="232" t="s">
        <v>26</v>
      </c>
      <c r="G10" s="247" t="s">
        <v>108</v>
      </c>
      <c r="H10" s="248"/>
      <c r="I10" s="248"/>
      <c r="J10" s="249"/>
      <c r="K10" s="8"/>
      <c r="L10" s="6">
        <f>R36</f>
        <v>1032</v>
      </c>
      <c r="P10" s="4"/>
      <c r="Q10" s="4"/>
      <c r="R10" s="5"/>
    </row>
    <row r="11" spans="1:18" ht="15.75" x14ac:dyDescent="0.25">
      <c r="A11" s="167"/>
      <c r="B11" s="17" t="s">
        <v>28</v>
      </c>
      <c r="C11" s="10">
        <v>2</v>
      </c>
      <c r="D11" s="13">
        <f t="shared" si="1"/>
        <v>2340</v>
      </c>
      <c r="F11" s="233"/>
      <c r="G11" s="244"/>
      <c r="H11" s="245"/>
      <c r="I11" s="245"/>
      <c r="J11" s="24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7"/>
      <c r="B12" s="17" t="s">
        <v>30</v>
      </c>
      <c r="C12" s="10">
        <v>14</v>
      </c>
      <c r="D12" s="48">
        <f t="shared" si="1"/>
        <v>13888</v>
      </c>
      <c r="F12" s="250" t="s">
        <v>33</v>
      </c>
      <c r="G12" s="251"/>
      <c r="H12" s="251"/>
      <c r="I12" s="251"/>
      <c r="J12" s="25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7"/>
      <c r="B13" s="17" t="s">
        <v>32</v>
      </c>
      <c r="C13" s="10">
        <v>12</v>
      </c>
      <c r="D13" s="48">
        <f t="shared" si="1"/>
        <v>3684</v>
      </c>
      <c r="F13" s="253" t="s">
        <v>36</v>
      </c>
      <c r="G13" s="217"/>
      <c r="H13" s="208">
        <f>D29</f>
        <v>660045.41666666663</v>
      </c>
      <c r="I13" s="209"/>
      <c r="J13" s="21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7"/>
      <c r="B14" s="14" t="s">
        <v>35</v>
      </c>
      <c r="C14" s="10">
        <v>10</v>
      </c>
      <c r="D14" s="31">
        <f t="shared" si="1"/>
        <v>110.41666666666666</v>
      </c>
      <c r="F14" s="211" t="s">
        <v>38</v>
      </c>
      <c r="G14" s="212"/>
      <c r="H14" s="213">
        <f>D54</f>
        <v>84088.5</v>
      </c>
      <c r="I14" s="214"/>
      <c r="J14" s="215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7"/>
      <c r="B15" s="14" t="s">
        <v>117</v>
      </c>
      <c r="C15" s="10">
        <v>3</v>
      </c>
      <c r="D15" s="31">
        <f t="shared" si="1"/>
        <v>1860</v>
      </c>
      <c r="F15" s="216" t="s">
        <v>39</v>
      </c>
      <c r="G15" s="217"/>
      <c r="H15" s="218">
        <f>H13-H14</f>
        <v>575956.91666666663</v>
      </c>
      <c r="I15" s="219"/>
      <c r="J15" s="22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7"/>
      <c r="B16" s="18" t="s">
        <v>110</v>
      </c>
      <c r="C16" s="10">
        <f>10+10+9</f>
        <v>29</v>
      </c>
      <c r="D16" s="48">
        <f t="shared" si="1"/>
        <v>18850</v>
      </c>
      <c r="F16" s="67" t="s">
        <v>41</v>
      </c>
      <c r="G16" s="66" t="s">
        <v>42</v>
      </c>
      <c r="H16" s="178">
        <v>1296</v>
      </c>
      <c r="I16" s="178"/>
      <c r="J16" s="17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7"/>
      <c r="B17" s="84" t="s">
        <v>118</v>
      </c>
      <c r="C17" s="10">
        <v>2</v>
      </c>
      <c r="D17" s="48">
        <f t="shared" si="1"/>
        <v>3404</v>
      </c>
      <c r="F17" s="56"/>
      <c r="G17" s="66" t="s">
        <v>44</v>
      </c>
      <c r="H17" s="189"/>
      <c r="I17" s="189"/>
      <c r="J17" s="18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7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9"/>
      <c r="I18" s="189"/>
      <c r="J18" s="18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7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8"/>
      <c r="I19" s="178"/>
      <c r="J19" s="17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7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8"/>
      <c r="I20" s="178"/>
      <c r="J20" s="17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7"/>
      <c r="B21" s="14" t="s">
        <v>198</v>
      </c>
      <c r="C21" s="10">
        <v>1</v>
      </c>
      <c r="D21" s="48">
        <f t="shared" si="1"/>
        <v>1667</v>
      </c>
      <c r="F21" s="69" t="s">
        <v>94</v>
      </c>
      <c r="G21" s="81" t="s">
        <v>93</v>
      </c>
      <c r="H21" s="191" t="s">
        <v>13</v>
      </c>
      <c r="I21" s="192"/>
      <c r="J21" s="193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7"/>
      <c r="B22" s="46" t="s">
        <v>103</v>
      </c>
      <c r="C22" s="10"/>
      <c r="D22" s="48">
        <f t="shared" si="1"/>
        <v>0</v>
      </c>
      <c r="F22" s="76" t="s">
        <v>163</v>
      </c>
      <c r="G22" s="72">
        <v>11945</v>
      </c>
      <c r="H22" s="194">
        <v>97893</v>
      </c>
      <c r="I22" s="194"/>
      <c r="J22" s="19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7"/>
      <c r="B23" s="14" t="s">
        <v>116</v>
      </c>
      <c r="C23" s="10"/>
      <c r="D23" s="48">
        <f t="shared" si="1"/>
        <v>0</v>
      </c>
      <c r="F23" s="76"/>
      <c r="G23" s="78"/>
      <c r="H23" s="259"/>
      <c r="I23" s="260"/>
      <c r="J23" s="26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7"/>
      <c r="B24" s="14" t="s">
        <v>123</v>
      </c>
      <c r="C24" s="10"/>
      <c r="D24" s="48">
        <f t="shared" si="1"/>
        <v>0</v>
      </c>
      <c r="F24" s="76"/>
      <c r="G24" s="78"/>
      <c r="H24" s="259"/>
      <c r="I24" s="260"/>
      <c r="J24" s="26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6" t="s">
        <v>13</v>
      </c>
      <c r="I25" s="197"/>
      <c r="J25" s="19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7"/>
      <c r="B26" s="14" t="s">
        <v>124</v>
      </c>
      <c r="C26" s="10"/>
      <c r="D26" s="48">
        <f t="shared" si="1"/>
        <v>0</v>
      </c>
      <c r="F26" s="74" t="s">
        <v>163</v>
      </c>
      <c r="G26" s="65">
        <v>11698</v>
      </c>
      <c r="H26" s="164">
        <v>97987</v>
      </c>
      <c r="I26" s="164"/>
      <c r="J26" s="16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7"/>
      <c r="B27" s="14" t="s">
        <v>125</v>
      </c>
      <c r="C27" s="10"/>
      <c r="D27" s="44">
        <f t="shared" si="1"/>
        <v>0</v>
      </c>
      <c r="F27" s="71"/>
      <c r="G27" s="117"/>
      <c r="H27" s="261"/>
      <c r="I27" s="262"/>
      <c r="J27" s="26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8"/>
      <c r="B28" s="46" t="s">
        <v>92</v>
      </c>
      <c r="C28" s="10">
        <v>13</v>
      </c>
      <c r="D28" s="48">
        <f t="shared" si="1"/>
        <v>10543</v>
      </c>
      <c r="F28" s="119"/>
      <c r="G28" s="61"/>
      <c r="H28" s="205"/>
      <c r="I28" s="206"/>
      <c r="J28" s="20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9" t="s">
        <v>36</v>
      </c>
      <c r="B29" s="180"/>
      <c r="C29" s="181"/>
      <c r="D29" s="185">
        <f>SUM(D6:D28)</f>
        <v>660045.41666666663</v>
      </c>
      <c r="F29" s="125" t="s">
        <v>54</v>
      </c>
      <c r="G29" s="187"/>
      <c r="H29" s="147">
        <f>H15-H16-H17-H18-H19-H20-H22-H23-H24+H26+H27+H28</f>
        <v>574754.91666666663</v>
      </c>
      <c r="I29" s="148"/>
      <c r="J29" s="14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2"/>
      <c r="B30" s="183"/>
      <c r="C30" s="184"/>
      <c r="D30" s="186"/>
      <c r="F30" s="128"/>
      <c r="G30" s="188"/>
      <c r="H30" s="150"/>
      <c r="I30" s="151"/>
      <c r="J30" s="15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2" t="s">
        <v>57</v>
      </c>
      <c r="B32" s="173"/>
      <c r="C32" s="173"/>
      <c r="D32" s="174"/>
      <c r="F32" s="175" t="s">
        <v>58</v>
      </c>
      <c r="G32" s="176"/>
      <c r="H32" s="176"/>
      <c r="I32" s="176"/>
      <c r="J32" s="17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75" t="s">
        <v>13</v>
      </c>
      <c r="I33" s="176"/>
      <c r="J33" s="17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6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40">
        <v>202</v>
      </c>
      <c r="H34" s="169">
        <f t="shared" ref="H34:H39" si="2">F34*G34</f>
        <v>202000</v>
      </c>
      <c r="I34" s="170"/>
      <c r="J34" s="17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7"/>
      <c r="B35" s="27" t="s">
        <v>67</v>
      </c>
      <c r="C35" s="52">
        <v>6</v>
      </c>
      <c r="D35" s="30">
        <f>C35*84</f>
        <v>504</v>
      </c>
      <c r="F35" s="58">
        <v>500</v>
      </c>
      <c r="G35" s="121">
        <v>14</v>
      </c>
      <c r="H35" s="169">
        <f t="shared" si="2"/>
        <v>7000</v>
      </c>
      <c r="I35" s="170"/>
      <c r="J35" s="17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8"/>
      <c r="B36" s="26" t="s">
        <v>69</v>
      </c>
      <c r="C36" s="10"/>
      <c r="D36" s="12">
        <f>C36*1.5</f>
        <v>0</v>
      </c>
      <c r="F36" s="12">
        <v>200</v>
      </c>
      <c r="G36" s="37"/>
      <c r="H36" s="169">
        <f t="shared" si="2"/>
        <v>0</v>
      </c>
      <c r="I36" s="170"/>
      <c r="J36" s="17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6" t="s">
        <v>71</v>
      </c>
      <c r="B37" s="28" t="s">
        <v>65</v>
      </c>
      <c r="C37" s="53">
        <v>531</v>
      </c>
      <c r="D37" s="12">
        <f>C37*111</f>
        <v>58941</v>
      </c>
      <c r="F37" s="12">
        <v>100</v>
      </c>
      <c r="G37" s="39">
        <v>19</v>
      </c>
      <c r="H37" s="169">
        <f t="shared" si="2"/>
        <v>1900</v>
      </c>
      <c r="I37" s="170"/>
      <c r="J37" s="17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7"/>
      <c r="B38" s="29" t="s">
        <v>67</v>
      </c>
      <c r="C38" s="54">
        <v>203</v>
      </c>
      <c r="D38" s="12">
        <f>C38*84</f>
        <v>17052</v>
      </c>
      <c r="F38" s="30">
        <v>50</v>
      </c>
      <c r="G38" s="39">
        <v>6</v>
      </c>
      <c r="H38" s="169">
        <f t="shared" si="2"/>
        <v>300</v>
      </c>
      <c r="I38" s="170"/>
      <c r="J38" s="17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8"/>
      <c r="B39" s="29" t="s">
        <v>69</v>
      </c>
      <c r="C39" s="52">
        <v>7</v>
      </c>
      <c r="D39" s="31">
        <f>C39*4.5</f>
        <v>31.5</v>
      </c>
      <c r="F39" s="12">
        <v>20</v>
      </c>
      <c r="G39" s="37"/>
      <c r="H39" s="169">
        <f t="shared" si="2"/>
        <v>0</v>
      </c>
      <c r="I39" s="170"/>
      <c r="J39" s="17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6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122"/>
      <c r="H40" s="257"/>
      <c r="I40" s="258"/>
      <c r="J40" s="19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7"/>
      <c r="B41" s="27" t="s">
        <v>67</v>
      </c>
      <c r="C41" s="10">
        <v>30</v>
      </c>
      <c r="D41" s="12">
        <f>C41*84</f>
        <v>2520</v>
      </c>
      <c r="F41" s="12">
        <v>5</v>
      </c>
      <c r="G41" s="122"/>
      <c r="H41" s="169"/>
      <c r="I41" s="170"/>
      <c r="J41" s="17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8"/>
      <c r="B42" s="27" t="s">
        <v>69</v>
      </c>
      <c r="C42" s="11">
        <v>10</v>
      </c>
      <c r="D42" s="12">
        <f>C42*2.25</f>
        <v>22.5</v>
      </c>
      <c r="F42" s="39" t="s">
        <v>78</v>
      </c>
      <c r="G42" s="169">
        <v>34</v>
      </c>
      <c r="H42" s="170"/>
      <c r="I42" s="170"/>
      <c r="J42" s="17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9" t="s">
        <v>80</v>
      </c>
      <c r="C43" s="11"/>
      <c r="D43" s="12"/>
      <c r="F43" s="59" t="s">
        <v>81</v>
      </c>
      <c r="G43" s="117" t="s">
        <v>82</v>
      </c>
      <c r="H43" s="161" t="s">
        <v>13</v>
      </c>
      <c r="I43" s="162"/>
      <c r="J43" s="16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0"/>
      <c r="B44" s="27" t="s">
        <v>65</v>
      </c>
      <c r="C44" s="10">
        <v>3</v>
      </c>
      <c r="D44" s="12">
        <f>C44*120</f>
        <v>360</v>
      </c>
      <c r="F44" s="37" t="s">
        <v>136</v>
      </c>
      <c r="G44" s="87" t="s">
        <v>199</v>
      </c>
      <c r="H44" s="164">
        <v>264874</v>
      </c>
      <c r="I44" s="164"/>
      <c r="J44" s="16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0"/>
      <c r="B45" s="27" t="s">
        <v>67</v>
      </c>
      <c r="C45" s="33">
        <v>42</v>
      </c>
      <c r="D45" s="12">
        <f>C45*84</f>
        <v>3528</v>
      </c>
      <c r="F45" s="37"/>
      <c r="G45" s="108" t="s">
        <v>134</v>
      </c>
      <c r="H45" s="164">
        <v>97987</v>
      </c>
      <c r="I45" s="164"/>
      <c r="J45" s="164"/>
      <c r="K45" s="21"/>
      <c r="P45" s="4"/>
      <c r="Q45" s="4"/>
      <c r="R45" s="5"/>
    </row>
    <row r="46" spans="1:18" ht="15.75" x14ac:dyDescent="0.25">
      <c r="A46" s="140"/>
      <c r="B46" s="49" t="s">
        <v>69</v>
      </c>
      <c r="C46" s="80">
        <v>21</v>
      </c>
      <c r="D46" s="12">
        <f>C46*1.5</f>
        <v>31.5</v>
      </c>
      <c r="F46" s="37"/>
      <c r="G46" s="62"/>
      <c r="H46" s="164"/>
      <c r="I46" s="164"/>
      <c r="J46" s="164"/>
      <c r="K46" s="21"/>
      <c r="P46" s="4"/>
      <c r="Q46" s="4"/>
      <c r="R46" s="5"/>
    </row>
    <row r="47" spans="1:18" ht="15.75" x14ac:dyDescent="0.25">
      <c r="A47" s="141"/>
      <c r="B47" s="27"/>
      <c r="C47" s="11"/>
      <c r="D47" s="12"/>
      <c r="F47" s="59"/>
      <c r="G47" s="59"/>
      <c r="H47" s="254"/>
      <c r="I47" s="255"/>
      <c r="J47" s="256"/>
      <c r="K47" s="21"/>
      <c r="P47" s="4"/>
      <c r="Q47" s="4"/>
      <c r="R47" s="5"/>
    </row>
    <row r="48" spans="1:18" ht="15" customHeight="1" x14ac:dyDescent="0.25">
      <c r="A48" s="139" t="s">
        <v>32</v>
      </c>
      <c r="B48" s="27" t="s">
        <v>65</v>
      </c>
      <c r="C48" s="10">
        <v>10</v>
      </c>
      <c r="D48" s="12">
        <f>C48*78</f>
        <v>780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0"/>
      <c r="B49" s="29" t="s">
        <v>67</v>
      </c>
      <c r="C49" s="33">
        <v>2</v>
      </c>
      <c r="D49" s="12">
        <f>C49*42</f>
        <v>84</v>
      </c>
      <c r="F49" s="145" t="s">
        <v>85</v>
      </c>
      <c r="G49" s="147">
        <f>H34+H35+H36+H37+H38+H39+H40+H41+G42+H44+H45+H46+H47+H48</f>
        <v>574095</v>
      </c>
      <c r="H49" s="148"/>
      <c r="I49" s="148"/>
      <c r="J49" s="14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0"/>
      <c r="B50" s="32" t="s">
        <v>69</v>
      </c>
      <c r="C50" s="11">
        <v>2</v>
      </c>
      <c r="D50" s="12">
        <f>C50*1.5</f>
        <v>3</v>
      </c>
      <c r="F50" s="146"/>
      <c r="G50" s="150"/>
      <c r="H50" s="151"/>
      <c r="I50" s="151"/>
      <c r="J50" s="152"/>
      <c r="O50" t="s">
        <v>112</v>
      </c>
      <c r="P50" s="4">
        <v>1204</v>
      </c>
      <c r="Q50" s="4"/>
      <c r="R50" s="5"/>
    </row>
    <row r="51" spans="1:18" ht="15" customHeight="1" x14ac:dyDescent="0.25">
      <c r="A51" s="140"/>
      <c r="B51" s="27"/>
      <c r="C51" s="10"/>
      <c r="D51" s="31"/>
      <c r="F51" s="153" t="str">
        <f>_xlfn.IFS(H29&gt;G49,"SHORT",H29&lt;G49,"OVER",H29&lt;=G49,"-")</f>
        <v>SHORT</v>
      </c>
      <c r="G51" s="155">
        <f>G49-H29</f>
        <v>-659.91666666662786</v>
      </c>
      <c r="H51" s="156"/>
      <c r="I51" s="156"/>
      <c r="J51" s="1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0"/>
      <c r="B52" s="29"/>
      <c r="C52" s="33"/>
      <c r="D52" s="45"/>
      <c r="F52" s="154"/>
      <c r="G52" s="158"/>
      <c r="H52" s="159"/>
      <c r="I52" s="159"/>
      <c r="J52" s="1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5" t="s">
        <v>89</v>
      </c>
      <c r="B54" s="126"/>
      <c r="C54" s="127"/>
      <c r="D54" s="131">
        <f>SUM(D34:D53)</f>
        <v>84088.5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8"/>
      <c r="B55" s="129"/>
      <c r="C55" s="130"/>
      <c r="D55" s="13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33" t="s">
        <v>90</v>
      </c>
      <c r="B58" s="134"/>
      <c r="C58" s="134"/>
      <c r="D58" s="135"/>
      <c r="F58" s="133" t="s">
        <v>91</v>
      </c>
      <c r="G58" s="134"/>
      <c r="H58" s="134"/>
      <c r="I58" s="134"/>
      <c r="J58" s="135"/>
    </row>
    <row r="59" spans="1:18" x14ac:dyDescent="0.25">
      <c r="A59" s="136"/>
      <c r="B59" s="137"/>
      <c r="C59" s="137"/>
      <c r="D59" s="138"/>
      <c r="F59" s="136"/>
      <c r="G59" s="137"/>
      <c r="H59" s="137"/>
      <c r="I59" s="137"/>
      <c r="J59" s="138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17" priority="1" operator="containsText" text="OVER">
      <formula>NOT(ISERROR(SEARCH("OVER",F51)))</formula>
    </cfRule>
    <cfRule type="containsText" dxfId="16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DB4050AD-C94A-4356-A7D7-ABAEE6DF8EA1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266FEC-3334-4158-9375-FA6D1D099799}">
  <dimension ref="A1:R59"/>
  <sheetViews>
    <sheetView topLeftCell="A27" zoomScaleNormal="100" zoomScaleSheetLayoutView="85" workbookViewId="0">
      <selection activeCell="N59" sqref="N59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1" t="s">
        <v>1</v>
      </c>
      <c r="O1" s="221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2" t="s">
        <v>7</v>
      </c>
      <c r="B4" s="173"/>
      <c r="C4" s="173"/>
      <c r="D4" s="174"/>
      <c r="F4" s="222" t="s">
        <v>8</v>
      </c>
      <c r="G4" s="224">
        <v>2</v>
      </c>
      <c r="H4" s="226" t="s">
        <v>9</v>
      </c>
      <c r="I4" s="228">
        <v>46254</v>
      </c>
      <c r="J4" s="22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6" t="s">
        <v>7</v>
      </c>
      <c r="B5" s="15" t="s">
        <v>11</v>
      </c>
      <c r="C5" s="9" t="s">
        <v>12</v>
      </c>
      <c r="D5" s="25" t="s">
        <v>13</v>
      </c>
      <c r="F5" s="223"/>
      <c r="G5" s="225"/>
      <c r="H5" s="227"/>
      <c r="I5" s="230"/>
      <c r="J5" s="23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7"/>
      <c r="B6" s="16" t="s">
        <v>15</v>
      </c>
      <c r="C6" s="10">
        <v>71</v>
      </c>
      <c r="D6" s="13">
        <f t="shared" ref="D6:D28" si="1">C6*L6</f>
        <v>54031</v>
      </c>
      <c r="F6" s="232" t="s">
        <v>16</v>
      </c>
      <c r="G6" s="234" t="s">
        <v>194</v>
      </c>
      <c r="H6" s="235"/>
      <c r="I6" s="235"/>
      <c r="J6" s="2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7"/>
      <c r="B7" s="16" t="s">
        <v>18</v>
      </c>
      <c r="C7" s="10">
        <v>6</v>
      </c>
      <c r="D7" s="13">
        <f t="shared" si="1"/>
        <v>4686</v>
      </c>
      <c r="F7" s="233"/>
      <c r="G7" s="237"/>
      <c r="H7" s="238"/>
      <c r="I7" s="238"/>
      <c r="J7" s="2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7"/>
      <c r="B8" s="16" t="s">
        <v>20</v>
      </c>
      <c r="C8" s="10"/>
      <c r="D8" s="13">
        <f t="shared" si="1"/>
        <v>0</v>
      </c>
      <c r="F8" s="240" t="s">
        <v>21</v>
      </c>
      <c r="G8" s="241" t="s">
        <v>100</v>
      </c>
      <c r="H8" s="242"/>
      <c r="I8" s="242"/>
      <c r="J8" s="24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7"/>
      <c r="B9" s="16" t="s">
        <v>23</v>
      </c>
      <c r="C9" s="10">
        <v>21</v>
      </c>
      <c r="D9" s="13">
        <f t="shared" si="1"/>
        <v>15393</v>
      </c>
      <c r="F9" s="233"/>
      <c r="G9" s="244"/>
      <c r="H9" s="245"/>
      <c r="I9" s="245"/>
      <c r="J9" s="24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7"/>
      <c r="B10" t="s">
        <v>25</v>
      </c>
      <c r="C10" s="10">
        <v>2</v>
      </c>
      <c r="D10" s="13">
        <f t="shared" si="1"/>
        <v>2064</v>
      </c>
      <c r="F10" s="232" t="s">
        <v>26</v>
      </c>
      <c r="G10" s="247" t="s">
        <v>101</v>
      </c>
      <c r="H10" s="248"/>
      <c r="I10" s="248"/>
      <c r="J10" s="249"/>
      <c r="K10" s="8"/>
      <c r="L10" s="6">
        <f>R36</f>
        <v>1032</v>
      </c>
      <c r="P10" s="4"/>
      <c r="Q10" s="4"/>
      <c r="R10" s="5"/>
    </row>
    <row r="11" spans="1:18" ht="15.75" x14ac:dyDescent="0.25">
      <c r="A11" s="167"/>
      <c r="B11" s="17" t="s">
        <v>28</v>
      </c>
      <c r="C11" s="10"/>
      <c r="D11" s="13">
        <f t="shared" si="1"/>
        <v>0</v>
      </c>
      <c r="F11" s="233"/>
      <c r="G11" s="244"/>
      <c r="H11" s="245"/>
      <c r="I11" s="245"/>
      <c r="J11" s="24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7"/>
      <c r="B12" s="17" t="s">
        <v>30</v>
      </c>
      <c r="C12" s="10">
        <v>2</v>
      </c>
      <c r="D12" s="48">
        <f t="shared" si="1"/>
        <v>1984</v>
      </c>
      <c r="F12" s="250" t="s">
        <v>33</v>
      </c>
      <c r="G12" s="251"/>
      <c r="H12" s="251"/>
      <c r="I12" s="251"/>
      <c r="J12" s="25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7"/>
      <c r="B13" s="17" t="s">
        <v>32</v>
      </c>
      <c r="C13" s="10">
        <v>3</v>
      </c>
      <c r="D13" s="48">
        <f t="shared" si="1"/>
        <v>921</v>
      </c>
      <c r="F13" s="253" t="s">
        <v>36</v>
      </c>
      <c r="G13" s="217"/>
      <c r="H13" s="208">
        <f>D29</f>
        <v>79145.25</v>
      </c>
      <c r="I13" s="209"/>
      <c r="J13" s="21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7"/>
      <c r="B14" s="14" t="s">
        <v>35</v>
      </c>
      <c r="C14" s="10">
        <v>6</v>
      </c>
      <c r="D14" s="31">
        <f t="shared" si="1"/>
        <v>66.25</v>
      </c>
      <c r="F14" s="211" t="s">
        <v>38</v>
      </c>
      <c r="G14" s="212"/>
      <c r="H14" s="213">
        <f>D54</f>
        <v>11838</v>
      </c>
      <c r="I14" s="214"/>
      <c r="J14" s="215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7"/>
      <c r="B15" s="14" t="s">
        <v>117</v>
      </c>
      <c r="C15" s="10"/>
      <c r="D15" s="31">
        <f t="shared" si="1"/>
        <v>0</v>
      </c>
      <c r="F15" s="216" t="s">
        <v>39</v>
      </c>
      <c r="G15" s="217"/>
      <c r="H15" s="218">
        <f>H13-H14</f>
        <v>67307.25</v>
      </c>
      <c r="I15" s="219"/>
      <c r="J15" s="22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7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8">
        <v>534</v>
      </c>
      <c r="I16" s="178"/>
      <c r="J16" s="17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7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9"/>
      <c r="I17" s="189"/>
      <c r="J17" s="18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7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9"/>
      <c r="I18" s="189"/>
      <c r="J18" s="18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7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3"/>
      <c r="I19" s="263"/>
      <c r="J19" s="26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7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8"/>
      <c r="I20" s="178"/>
      <c r="J20" s="17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7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91" t="s">
        <v>13</v>
      </c>
      <c r="I21" s="192"/>
      <c r="J21" s="193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7"/>
      <c r="B22" s="46" t="s">
        <v>103</v>
      </c>
      <c r="C22" s="10"/>
      <c r="D22" s="48">
        <f t="shared" si="1"/>
        <v>0</v>
      </c>
      <c r="F22" s="76"/>
      <c r="G22" s="72"/>
      <c r="H22" s="194"/>
      <c r="I22" s="194"/>
      <c r="J22" s="19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7"/>
      <c r="B23" s="14" t="s">
        <v>116</v>
      </c>
      <c r="C23" s="10"/>
      <c r="D23" s="48">
        <f t="shared" si="1"/>
        <v>0</v>
      </c>
      <c r="F23" s="77"/>
      <c r="G23" s="78"/>
      <c r="H23" s="264"/>
      <c r="I23" s="194"/>
      <c r="J23" s="19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7"/>
      <c r="B24" s="14" t="s">
        <v>123</v>
      </c>
      <c r="C24" s="10"/>
      <c r="D24" s="48">
        <f t="shared" si="1"/>
        <v>0</v>
      </c>
      <c r="F24" s="38"/>
      <c r="G24" s="37"/>
      <c r="H24" s="195"/>
      <c r="I24" s="164"/>
      <c r="J24" s="16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6" t="s">
        <v>13</v>
      </c>
      <c r="I25" s="197"/>
      <c r="J25" s="19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7"/>
      <c r="B26" s="14" t="s">
        <v>124</v>
      </c>
      <c r="C26" s="10"/>
      <c r="D26" s="48">
        <f t="shared" si="1"/>
        <v>0</v>
      </c>
      <c r="F26" s="64"/>
      <c r="G26" s="59"/>
      <c r="H26" s="199"/>
      <c r="I26" s="200"/>
      <c r="J26" s="20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7"/>
      <c r="B27" s="14" t="s">
        <v>125</v>
      </c>
      <c r="C27" s="10"/>
      <c r="D27" s="44">
        <f t="shared" si="1"/>
        <v>0</v>
      </c>
      <c r="F27" s="25"/>
      <c r="G27" s="79"/>
      <c r="H27" s="202"/>
      <c r="I27" s="203"/>
      <c r="J27" s="20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8"/>
      <c r="B28" s="46" t="s">
        <v>92</v>
      </c>
      <c r="C28" s="10"/>
      <c r="D28" s="48">
        <f t="shared" si="1"/>
        <v>0</v>
      </c>
      <c r="F28" s="119"/>
      <c r="G28" s="61"/>
      <c r="H28" s="205"/>
      <c r="I28" s="206"/>
      <c r="J28" s="20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9" t="s">
        <v>36</v>
      </c>
      <c r="B29" s="180"/>
      <c r="C29" s="181"/>
      <c r="D29" s="185">
        <f>SUM(D6:D28)</f>
        <v>79145.25</v>
      </c>
      <c r="F29" s="125" t="s">
        <v>54</v>
      </c>
      <c r="G29" s="187"/>
      <c r="H29" s="147">
        <f>H15-H16-H17-H18-H19-H20-H22-H23-H24+H26+H27</f>
        <v>66773.25</v>
      </c>
      <c r="I29" s="148"/>
      <c r="J29" s="14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2"/>
      <c r="B30" s="183"/>
      <c r="C30" s="184"/>
      <c r="D30" s="186"/>
      <c r="F30" s="128"/>
      <c r="G30" s="188"/>
      <c r="H30" s="150"/>
      <c r="I30" s="151"/>
      <c r="J30" s="15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2" t="s">
        <v>57</v>
      </c>
      <c r="B32" s="173"/>
      <c r="C32" s="173"/>
      <c r="D32" s="174"/>
      <c r="F32" s="175" t="s">
        <v>58</v>
      </c>
      <c r="G32" s="176"/>
      <c r="H32" s="176"/>
      <c r="I32" s="176"/>
      <c r="J32" s="17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75" t="s">
        <v>13</v>
      </c>
      <c r="I33" s="176"/>
      <c r="J33" s="17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6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8</v>
      </c>
      <c r="H34" s="169">
        <f>F34*G34</f>
        <v>8000</v>
      </c>
      <c r="I34" s="170"/>
      <c r="J34" s="17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7"/>
      <c r="B35" s="27" t="s">
        <v>67</v>
      </c>
      <c r="C35" s="52">
        <v>1</v>
      </c>
      <c r="D35" s="30">
        <f>C35*84</f>
        <v>84</v>
      </c>
      <c r="F35" s="58">
        <v>500</v>
      </c>
      <c r="G35" s="121"/>
      <c r="H35" s="169">
        <f>F35*G35</f>
        <v>0</v>
      </c>
      <c r="I35" s="170"/>
      <c r="J35" s="17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8"/>
      <c r="B36" s="26" t="s">
        <v>69</v>
      </c>
      <c r="C36" s="10">
        <v>24</v>
      </c>
      <c r="D36" s="12">
        <f>C36*1.5</f>
        <v>36</v>
      </c>
      <c r="F36" s="12">
        <v>200</v>
      </c>
      <c r="G36" s="37"/>
      <c r="H36" s="169">
        <f t="shared" ref="H36:H39" si="2">F36*G36</f>
        <v>0</v>
      </c>
      <c r="I36" s="170"/>
      <c r="J36" s="17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6" t="s">
        <v>71</v>
      </c>
      <c r="B37" s="28" t="s">
        <v>65</v>
      </c>
      <c r="C37" s="53">
        <v>102</v>
      </c>
      <c r="D37" s="12">
        <f>C37*111</f>
        <v>11322</v>
      </c>
      <c r="F37" s="12">
        <v>100</v>
      </c>
      <c r="G37" s="39">
        <v>2</v>
      </c>
      <c r="H37" s="169">
        <f t="shared" si="2"/>
        <v>200</v>
      </c>
      <c r="I37" s="170"/>
      <c r="J37" s="17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7"/>
      <c r="B38" s="29" t="s">
        <v>67</v>
      </c>
      <c r="C38" s="54">
        <v>1</v>
      </c>
      <c r="D38" s="12">
        <f>C38*84</f>
        <v>84</v>
      </c>
      <c r="F38" s="30">
        <v>50</v>
      </c>
      <c r="G38" s="39"/>
      <c r="H38" s="169">
        <f t="shared" si="2"/>
        <v>0</v>
      </c>
      <c r="I38" s="170"/>
      <c r="J38" s="17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8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169">
        <f t="shared" si="2"/>
        <v>0</v>
      </c>
      <c r="I39" s="170"/>
      <c r="J39" s="17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6" t="s">
        <v>75</v>
      </c>
      <c r="B40" s="27" t="s">
        <v>65</v>
      </c>
      <c r="C40" s="63"/>
      <c r="D40" s="12">
        <f>C40*111</f>
        <v>0</v>
      </c>
      <c r="F40" s="12">
        <v>10</v>
      </c>
      <c r="G40" s="122"/>
      <c r="H40" s="169"/>
      <c r="I40" s="170"/>
      <c r="J40" s="17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7"/>
      <c r="B41" s="27" t="s">
        <v>67</v>
      </c>
      <c r="C41" s="10"/>
      <c r="D41" s="12">
        <f>C41*84</f>
        <v>0</v>
      </c>
      <c r="F41" s="12">
        <v>5</v>
      </c>
      <c r="G41" s="122"/>
      <c r="H41" s="169"/>
      <c r="I41" s="170"/>
      <c r="J41" s="17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8"/>
      <c r="B42" s="27" t="s">
        <v>69</v>
      </c>
      <c r="C42" s="11"/>
      <c r="D42" s="12">
        <f>C42*2.25</f>
        <v>0</v>
      </c>
      <c r="F42" s="39" t="s">
        <v>78</v>
      </c>
      <c r="G42" s="169">
        <v>55</v>
      </c>
      <c r="H42" s="170"/>
      <c r="I42" s="170"/>
      <c r="J42" s="17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9" t="s">
        <v>80</v>
      </c>
      <c r="C43" s="11"/>
      <c r="D43" s="12"/>
      <c r="F43" s="59" t="s">
        <v>81</v>
      </c>
      <c r="G43" s="117" t="s">
        <v>82</v>
      </c>
      <c r="H43" s="161" t="s">
        <v>13</v>
      </c>
      <c r="I43" s="162"/>
      <c r="J43" s="16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0"/>
      <c r="B44" s="27" t="s">
        <v>65</v>
      </c>
      <c r="C44" s="10"/>
      <c r="D44" s="12">
        <f>C44*120</f>
        <v>0</v>
      </c>
      <c r="F44" s="37" t="s">
        <v>136</v>
      </c>
      <c r="G44" s="62" t="s">
        <v>200</v>
      </c>
      <c r="H44" s="164">
        <v>58583</v>
      </c>
      <c r="I44" s="164"/>
      <c r="J44" s="16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0"/>
      <c r="B45" s="27" t="s">
        <v>67</v>
      </c>
      <c r="C45" s="33"/>
      <c r="D45" s="12">
        <f>C45*84</f>
        <v>0</v>
      </c>
      <c r="F45" s="37"/>
      <c r="G45" s="75"/>
      <c r="H45" s="164"/>
      <c r="I45" s="164"/>
      <c r="J45" s="164"/>
      <c r="K45" s="21"/>
      <c r="P45" s="4"/>
      <c r="Q45" s="4"/>
      <c r="R45" s="5"/>
    </row>
    <row r="46" spans="1:18" ht="15.75" x14ac:dyDescent="0.25">
      <c r="A46" s="140"/>
      <c r="B46" s="49" t="s">
        <v>69</v>
      </c>
      <c r="C46" s="80"/>
      <c r="D46" s="12">
        <f>C46*1.5</f>
        <v>0</v>
      </c>
      <c r="F46" s="37"/>
      <c r="G46" s="62"/>
      <c r="H46" s="164"/>
      <c r="I46" s="164"/>
      <c r="J46" s="164"/>
      <c r="K46" s="21"/>
      <c r="P46" s="4"/>
      <c r="Q46" s="4"/>
      <c r="R46" s="5"/>
    </row>
    <row r="47" spans="1:18" ht="15.75" x14ac:dyDescent="0.25">
      <c r="A47" s="141"/>
      <c r="B47" s="27"/>
      <c r="C47" s="11"/>
      <c r="D47" s="12"/>
      <c r="F47" s="59"/>
      <c r="G47" s="59"/>
      <c r="H47" s="164"/>
      <c r="I47" s="164"/>
      <c r="J47" s="164"/>
      <c r="K47" s="21"/>
      <c r="P47" s="4"/>
      <c r="Q47" s="4"/>
      <c r="R47" s="5"/>
    </row>
    <row r="48" spans="1:18" ht="15" customHeight="1" x14ac:dyDescent="0.25">
      <c r="A48" s="139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0"/>
      <c r="B49" s="29" t="s">
        <v>67</v>
      </c>
      <c r="C49" s="33">
        <v>2</v>
      </c>
      <c r="D49" s="12">
        <f>C49*42</f>
        <v>84</v>
      </c>
      <c r="F49" s="145" t="s">
        <v>85</v>
      </c>
      <c r="G49" s="147">
        <f>H34+H35+H36+H37+H38+H39+H40+H41+G42+H44+H45+H46+H47+H48</f>
        <v>66838</v>
      </c>
      <c r="H49" s="148"/>
      <c r="I49" s="148"/>
      <c r="J49" s="14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0"/>
      <c r="B50" s="32" t="s">
        <v>69</v>
      </c>
      <c r="C50" s="80">
        <v>17</v>
      </c>
      <c r="D50" s="12">
        <f>C50*1.5</f>
        <v>25.5</v>
      </c>
      <c r="F50" s="146"/>
      <c r="G50" s="150"/>
      <c r="H50" s="151"/>
      <c r="I50" s="151"/>
      <c r="J50" s="152"/>
      <c r="O50" t="s">
        <v>112</v>
      </c>
      <c r="P50" s="4">
        <v>1204</v>
      </c>
      <c r="Q50" s="4"/>
      <c r="R50" s="5"/>
    </row>
    <row r="51" spans="1:18" ht="15" customHeight="1" x14ac:dyDescent="0.25">
      <c r="A51" s="140"/>
      <c r="B51" s="27"/>
      <c r="C51" s="10"/>
      <c r="D51" s="31"/>
      <c r="F51" s="153" t="str">
        <f>_xlfn.IFS(H29&gt;G49,"SHORT",H29&lt;G49,"OVER",H29&lt;=G49,"-")</f>
        <v>OVER</v>
      </c>
      <c r="G51" s="155">
        <f>G49-H29</f>
        <v>64.75</v>
      </c>
      <c r="H51" s="156"/>
      <c r="I51" s="156"/>
      <c r="J51" s="1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140"/>
      <c r="B52" s="29"/>
      <c r="C52" s="33"/>
      <c r="D52" s="45"/>
      <c r="F52" s="154"/>
      <c r="G52" s="158"/>
      <c r="H52" s="159"/>
      <c r="I52" s="159"/>
      <c r="J52" s="1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5" t="s">
        <v>89</v>
      </c>
      <c r="B54" s="126"/>
      <c r="C54" s="127"/>
      <c r="D54" s="131">
        <f>SUM(D34:D53)</f>
        <v>11838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8"/>
      <c r="B55" s="129"/>
      <c r="C55" s="130"/>
      <c r="D55" s="13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192</v>
      </c>
      <c r="D57" s="34"/>
      <c r="F57" s="36"/>
      <c r="G57" s="50"/>
      <c r="H57" s="50"/>
      <c r="I57" s="50"/>
      <c r="J57" s="43"/>
    </row>
    <row r="58" spans="1:18" x14ac:dyDescent="0.25">
      <c r="A58" s="133" t="s">
        <v>90</v>
      </c>
      <c r="B58" s="134"/>
      <c r="C58" s="134"/>
      <c r="D58" s="135"/>
      <c r="F58" s="133" t="s">
        <v>91</v>
      </c>
      <c r="G58" s="134"/>
      <c r="H58" s="134"/>
      <c r="I58" s="134"/>
      <c r="J58" s="135"/>
    </row>
    <row r="59" spans="1:18" x14ac:dyDescent="0.25">
      <c r="A59" s="136"/>
      <c r="B59" s="137"/>
      <c r="C59" s="137"/>
      <c r="D59" s="138"/>
      <c r="F59" s="136"/>
      <c r="G59" s="137"/>
      <c r="H59" s="137"/>
      <c r="I59" s="137"/>
      <c r="J59" s="13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14" priority="1" operator="containsText" text="OVER">
      <formula>NOT(ISERROR(SEARCH("OVER",F51)))</formula>
    </cfRule>
    <cfRule type="containsText" dxfId="13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BBEAE7E9-3601-4D92-A13A-9EAEE146358E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66BBE4-8B0E-4788-B23B-551F95D9E4DF}">
  <dimension ref="A1:R59"/>
  <sheetViews>
    <sheetView zoomScaleNormal="100" zoomScaleSheetLayoutView="85" workbookViewId="0">
      <selection activeCell="M43" sqref="M4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1" t="s">
        <v>1</v>
      </c>
      <c r="O1" s="221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2" t="s">
        <v>7</v>
      </c>
      <c r="B4" s="173"/>
      <c r="C4" s="173"/>
      <c r="D4" s="174"/>
      <c r="F4" s="222" t="s">
        <v>8</v>
      </c>
      <c r="G4" s="224">
        <v>3</v>
      </c>
      <c r="H4" s="226" t="s">
        <v>9</v>
      </c>
      <c r="I4" s="228">
        <v>46254</v>
      </c>
      <c r="J4" s="22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6" t="s">
        <v>7</v>
      </c>
      <c r="B5" s="15" t="s">
        <v>11</v>
      </c>
      <c r="C5" s="9" t="s">
        <v>12</v>
      </c>
      <c r="D5" s="25" t="s">
        <v>13</v>
      </c>
      <c r="F5" s="223"/>
      <c r="G5" s="225"/>
      <c r="H5" s="227"/>
      <c r="I5" s="230"/>
      <c r="J5" s="23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7"/>
      <c r="B6" s="16" t="s">
        <v>15</v>
      </c>
      <c r="C6" s="10">
        <v>465</v>
      </c>
      <c r="D6" s="13">
        <f t="shared" ref="D6:D28" si="1">C6*L6</f>
        <v>353865</v>
      </c>
      <c r="F6" s="232" t="s">
        <v>16</v>
      </c>
      <c r="G6" s="234" t="s">
        <v>142</v>
      </c>
      <c r="H6" s="235"/>
      <c r="I6" s="235"/>
      <c r="J6" s="2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7"/>
      <c r="B7" s="16" t="s">
        <v>18</v>
      </c>
      <c r="C7" s="10">
        <v>44</v>
      </c>
      <c r="D7" s="13">
        <f t="shared" si="1"/>
        <v>34364</v>
      </c>
      <c r="F7" s="233"/>
      <c r="G7" s="237"/>
      <c r="H7" s="238"/>
      <c r="I7" s="238"/>
      <c r="J7" s="2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7"/>
      <c r="B8" s="16" t="s">
        <v>20</v>
      </c>
      <c r="C8" s="10">
        <v>2</v>
      </c>
      <c r="D8" s="13">
        <f t="shared" si="1"/>
        <v>2186</v>
      </c>
      <c r="F8" s="240" t="s">
        <v>21</v>
      </c>
      <c r="G8" s="241" t="s">
        <v>109</v>
      </c>
      <c r="H8" s="242"/>
      <c r="I8" s="242"/>
      <c r="J8" s="24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7"/>
      <c r="B9" s="16" t="s">
        <v>23</v>
      </c>
      <c r="C9" s="10">
        <v>110</v>
      </c>
      <c r="D9" s="13">
        <f t="shared" si="1"/>
        <v>80630</v>
      </c>
      <c r="F9" s="233"/>
      <c r="G9" s="244"/>
      <c r="H9" s="245"/>
      <c r="I9" s="245"/>
      <c r="J9" s="24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7"/>
      <c r="B10" t="s">
        <v>25</v>
      </c>
      <c r="C10" s="10"/>
      <c r="D10" s="13">
        <f t="shared" si="1"/>
        <v>0</v>
      </c>
      <c r="F10" s="232" t="s">
        <v>26</v>
      </c>
      <c r="G10" s="247" t="s">
        <v>119</v>
      </c>
      <c r="H10" s="248"/>
      <c r="I10" s="248"/>
      <c r="J10" s="249"/>
      <c r="K10" s="8"/>
      <c r="L10" s="6">
        <f>R36</f>
        <v>1032</v>
      </c>
      <c r="P10" s="4"/>
      <c r="Q10" s="4"/>
      <c r="R10" s="5"/>
    </row>
    <row r="11" spans="1:18" ht="15.75" x14ac:dyDescent="0.25">
      <c r="A11" s="167"/>
      <c r="B11" s="17" t="s">
        <v>28</v>
      </c>
      <c r="C11" s="10">
        <v>2</v>
      </c>
      <c r="D11" s="13">
        <f t="shared" si="1"/>
        <v>2340</v>
      </c>
      <c r="F11" s="233"/>
      <c r="G11" s="244"/>
      <c r="H11" s="245"/>
      <c r="I11" s="245"/>
      <c r="J11" s="24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7"/>
      <c r="B12" s="17" t="s">
        <v>30</v>
      </c>
      <c r="C12" s="10">
        <v>2</v>
      </c>
      <c r="D12" s="48">
        <f t="shared" si="1"/>
        <v>1984</v>
      </c>
      <c r="F12" s="250" t="s">
        <v>33</v>
      </c>
      <c r="G12" s="251"/>
      <c r="H12" s="251"/>
      <c r="I12" s="251"/>
      <c r="J12" s="25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7"/>
      <c r="B13" s="17" t="s">
        <v>32</v>
      </c>
      <c r="C13" s="10">
        <v>19</v>
      </c>
      <c r="D13" s="48">
        <f t="shared" si="1"/>
        <v>5833</v>
      </c>
      <c r="F13" s="253" t="s">
        <v>36</v>
      </c>
      <c r="G13" s="217"/>
      <c r="H13" s="208">
        <f>D29</f>
        <v>481202</v>
      </c>
      <c r="I13" s="209"/>
      <c r="J13" s="21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7"/>
      <c r="B14" s="14" t="s">
        <v>35</v>
      </c>
      <c r="C14" s="10"/>
      <c r="D14" s="31">
        <f t="shared" si="1"/>
        <v>0</v>
      </c>
      <c r="F14" s="211" t="s">
        <v>38</v>
      </c>
      <c r="G14" s="212"/>
      <c r="H14" s="213">
        <f>D54</f>
        <v>71605.5</v>
      </c>
      <c r="I14" s="214"/>
      <c r="J14" s="215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7"/>
      <c r="B15" s="14" t="s">
        <v>117</v>
      </c>
      <c r="C15" s="10"/>
      <c r="D15" s="31">
        <f t="shared" si="1"/>
        <v>0</v>
      </c>
      <c r="F15" s="216" t="s">
        <v>39</v>
      </c>
      <c r="G15" s="217"/>
      <c r="H15" s="218">
        <f>H13-H14</f>
        <v>409596.5</v>
      </c>
      <c r="I15" s="219"/>
      <c r="J15" s="22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7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8">
        <v>3732</v>
      </c>
      <c r="I16" s="178"/>
      <c r="J16" s="17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7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9"/>
      <c r="I17" s="189"/>
      <c r="J17" s="18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7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9"/>
      <c r="I18" s="189"/>
      <c r="J18" s="18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7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3">
        <v>50</v>
      </c>
      <c r="I19" s="263"/>
      <c r="J19" s="26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7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8"/>
      <c r="I20" s="178"/>
      <c r="J20" s="17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7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191" t="s">
        <v>13</v>
      </c>
      <c r="I21" s="192"/>
      <c r="J21" s="19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7"/>
      <c r="B22" s="46" t="s">
        <v>103</v>
      </c>
      <c r="C22" s="10"/>
      <c r="D22" s="48">
        <f t="shared" si="1"/>
        <v>0</v>
      </c>
      <c r="F22" s="76"/>
      <c r="G22" s="72"/>
      <c r="H22" s="194"/>
      <c r="I22" s="194"/>
      <c r="J22" s="19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7"/>
      <c r="B23" s="14" t="s">
        <v>116</v>
      </c>
      <c r="C23" s="10"/>
      <c r="D23" s="48">
        <f t="shared" si="1"/>
        <v>0</v>
      </c>
      <c r="F23" s="77"/>
      <c r="G23" s="78"/>
      <c r="H23" s="264"/>
      <c r="I23" s="194"/>
      <c r="J23" s="19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7"/>
      <c r="B24" s="14" t="s">
        <v>123</v>
      </c>
      <c r="C24" s="10"/>
      <c r="D24" s="48">
        <f t="shared" si="1"/>
        <v>0</v>
      </c>
      <c r="F24" s="38"/>
      <c r="G24" s="37"/>
      <c r="H24" s="195"/>
      <c r="I24" s="164"/>
      <c r="J24" s="16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6" t="s">
        <v>13</v>
      </c>
      <c r="I25" s="197"/>
      <c r="J25" s="19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7"/>
      <c r="B26" s="14" t="s">
        <v>124</v>
      </c>
      <c r="C26" s="10"/>
      <c r="D26" s="48">
        <f t="shared" si="1"/>
        <v>0</v>
      </c>
      <c r="F26" s="64"/>
      <c r="G26" s="59"/>
      <c r="H26" s="199"/>
      <c r="I26" s="200"/>
      <c r="J26" s="20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7"/>
      <c r="B27" s="14" t="s">
        <v>125</v>
      </c>
      <c r="C27" s="10"/>
      <c r="D27" s="44">
        <f t="shared" si="1"/>
        <v>0</v>
      </c>
      <c r="F27" s="25"/>
      <c r="G27" s="79"/>
      <c r="H27" s="202"/>
      <c r="I27" s="203"/>
      <c r="J27" s="20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8"/>
      <c r="B28" s="46" t="s">
        <v>92</v>
      </c>
      <c r="C28" s="10"/>
      <c r="D28" s="48">
        <f t="shared" si="1"/>
        <v>0</v>
      </c>
      <c r="F28" s="119"/>
      <c r="G28" s="61"/>
      <c r="H28" s="205"/>
      <c r="I28" s="206"/>
      <c r="J28" s="20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9" t="s">
        <v>36</v>
      </c>
      <c r="B29" s="180"/>
      <c r="C29" s="181"/>
      <c r="D29" s="185">
        <f>SUM(D6:D28)</f>
        <v>481202</v>
      </c>
      <c r="F29" s="125" t="s">
        <v>54</v>
      </c>
      <c r="G29" s="187"/>
      <c r="H29" s="147">
        <f>H15-H16-H17-H18-H19-H20-H22-H23-H24+H26+H27</f>
        <v>405814.5</v>
      </c>
      <c r="I29" s="148"/>
      <c r="J29" s="14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2"/>
      <c r="B30" s="183"/>
      <c r="C30" s="184"/>
      <c r="D30" s="186"/>
      <c r="F30" s="128"/>
      <c r="G30" s="188"/>
      <c r="H30" s="150"/>
      <c r="I30" s="151"/>
      <c r="J30" s="15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2" t="s">
        <v>57</v>
      </c>
      <c r="B32" s="173"/>
      <c r="C32" s="173"/>
      <c r="D32" s="174"/>
      <c r="F32" s="175" t="s">
        <v>58</v>
      </c>
      <c r="G32" s="176"/>
      <c r="H32" s="176"/>
      <c r="I32" s="176"/>
      <c r="J32" s="17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75" t="s">
        <v>13</v>
      </c>
      <c r="I33" s="176"/>
      <c r="J33" s="17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6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</v>
      </c>
      <c r="H34" s="169">
        <f>F34*G34</f>
        <v>1000</v>
      </c>
      <c r="I34" s="170"/>
      <c r="J34" s="17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7"/>
      <c r="B35" s="27" t="s">
        <v>67</v>
      </c>
      <c r="C35" s="52"/>
      <c r="D35" s="30">
        <f>C35*84</f>
        <v>0</v>
      </c>
      <c r="F35" s="58">
        <v>500</v>
      </c>
      <c r="G35" s="121">
        <v>1</v>
      </c>
      <c r="H35" s="169">
        <f>F35*G35</f>
        <v>500</v>
      </c>
      <c r="I35" s="170"/>
      <c r="J35" s="17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8"/>
      <c r="B36" s="26" t="s">
        <v>69</v>
      </c>
      <c r="C36" s="10"/>
      <c r="D36" s="12">
        <f>C36*1.5</f>
        <v>0</v>
      </c>
      <c r="F36" s="12">
        <v>200</v>
      </c>
      <c r="G36" s="37"/>
      <c r="H36" s="169">
        <f t="shared" ref="H36:H39" si="2">F36*G36</f>
        <v>0</v>
      </c>
      <c r="I36" s="170"/>
      <c r="J36" s="17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6" t="s">
        <v>71</v>
      </c>
      <c r="B37" s="28" t="s">
        <v>65</v>
      </c>
      <c r="C37" s="53">
        <v>602</v>
      </c>
      <c r="D37" s="12">
        <f>C37*111</f>
        <v>66822</v>
      </c>
      <c r="F37" s="12">
        <v>100</v>
      </c>
      <c r="G37" s="39">
        <v>8</v>
      </c>
      <c r="H37" s="169">
        <f t="shared" si="2"/>
        <v>800</v>
      </c>
      <c r="I37" s="170"/>
      <c r="J37" s="17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7"/>
      <c r="B38" s="29" t="s">
        <v>67</v>
      </c>
      <c r="C38" s="54">
        <v>11</v>
      </c>
      <c r="D38" s="12">
        <f>C38*84</f>
        <v>924</v>
      </c>
      <c r="F38" s="30">
        <v>50</v>
      </c>
      <c r="G38" s="39">
        <v>1</v>
      </c>
      <c r="H38" s="169">
        <f t="shared" si="2"/>
        <v>50</v>
      </c>
      <c r="I38" s="170"/>
      <c r="J38" s="17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8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169">
        <f t="shared" si="2"/>
        <v>0</v>
      </c>
      <c r="I39" s="170"/>
      <c r="J39" s="17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6" t="s">
        <v>75</v>
      </c>
      <c r="B40" s="27" t="s">
        <v>65</v>
      </c>
      <c r="C40" s="63">
        <v>17</v>
      </c>
      <c r="D40" s="12">
        <f>C40*111</f>
        <v>1887</v>
      </c>
      <c r="F40" s="12">
        <v>10</v>
      </c>
      <c r="G40" s="122"/>
      <c r="H40" s="169"/>
      <c r="I40" s="170"/>
      <c r="J40" s="17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7"/>
      <c r="B41" s="27" t="s">
        <v>67</v>
      </c>
      <c r="C41" s="10">
        <v>1</v>
      </c>
      <c r="D41" s="12">
        <f>C41*84</f>
        <v>84</v>
      </c>
      <c r="F41" s="12">
        <v>5</v>
      </c>
      <c r="G41" s="122"/>
      <c r="H41" s="169"/>
      <c r="I41" s="170"/>
      <c r="J41" s="17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8"/>
      <c r="B42" s="27" t="s">
        <v>69</v>
      </c>
      <c r="C42" s="11"/>
      <c r="D42" s="12">
        <f>C42*2.25</f>
        <v>0</v>
      </c>
      <c r="F42" s="39" t="s">
        <v>78</v>
      </c>
      <c r="G42" s="169">
        <v>20</v>
      </c>
      <c r="H42" s="170"/>
      <c r="I42" s="170"/>
      <c r="J42" s="17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9" t="s">
        <v>80</v>
      </c>
      <c r="C43" s="11"/>
      <c r="D43" s="12"/>
      <c r="F43" s="59" t="s">
        <v>81</v>
      </c>
      <c r="G43" s="117" t="s">
        <v>82</v>
      </c>
      <c r="H43" s="161" t="s">
        <v>13</v>
      </c>
      <c r="I43" s="162"/>
      <c r="J43" s="16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0"/>
      <c r="B44" s="27" t="s">
        <v>65</v>
      </c>
      <c r="C44" s="10">
        <v>7</v>
      </c>
      <c r="D44" s="12">
        <f>C44*120</f>
        <v>840</v>
      </c>
      <c r="F44" s="37" t="s">
        <v>133</v>
      </c>
      <c r="G44" s="87" t="s">
        <v>201</v>
      </c>
      <c r="H44" s="164">
        <v>334197</v>
      </c>
      <c r="I44" s="164"/>
      <c r="J44" s="16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0"/>
      <c r="B45" s="27" t="s">
        <v>67</v>
      </c>
      <c r="C45" s="33">
        <v>1</v>
      </c>
      <c r="D45" s="12">
        <f>C45*84</f>
        <v>84</v>
      </c>
      <c r="F45" s="37" t="s">
        <v>133</v>
      </c>
      <c r="G45" s="87" t="s">
        <v>202</v>
      </c>
      <c r="H45" s="164">
        <v>69310</v>
      </c>
      <c r="I45" s="164"/>
      <c r="J45" s="164"/>
      <c r="K45" s="21"/>
      <c r="P45" s="4"/>
      <c r="Q45" s="4"/>
      <c r="R45" s="5"/>
    </row>
    <row r="46" spans="1:18" ht="15.75" x14ac:dyDescent="0.25">
      <c r="A46" s="140"/>
      <c r="B46" s="49" t="s">
        <v>69</v>
      </c>
      <c r="C46" s="80"/>
      <c r="D46" s="12">
        <f>C46*1.5</f>
        <v>0</v>
      </c>
      <c r="F46" s="37"/>
      <c r="G46" s="75"/>
      <c r="H46" s="164"/>
      <c r="I46" s="164"/>
      <c r="J46" s="164"/>
      <c r="K46" s="21"/>
      <c r="P46" s="4"/>
      <c r="Q46" s="4"/>
      <c r="R46" s="5"/>
    </row>
    <row r="47" spans="1:18" ht="15.75" x14ac:dyDescent="0.25">
      <c r="A47" s="141"/>
      <c r="B47" s="27"/>
      <c r="C47" s="11"/>
      <c r="D47" s="12"/>
      <c r="F47" s="37"/>
      <c r="G47" s="75"/>
      <c r="H47" s="164"/>
      <c r="I47" s="164"/>
      <c r="J47" s="164"/>
      <c r="K47" s="21"/>
      <c r="P47" s="4"/>
      <c r="Q47" s="4"/>
      <c r="R47" s="5"/>
    </row>
    <row r="48" spans="1:18" ht="15" customHeight="1" x14ac:dyDescent="0.25">
      <c r="A48" s="139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0"/>
      <c r="B49" s="29" t="s">
        <v>67</v>
      </c>
      <c r="C49" s="33">
        <v>15</v>
      </c>
      <c r="D49" s="12">
        <f>C49*42</f>
        <v>630</v>
      </c>
      <c r="F49" s="145" t="s">
        <v>85</v>
      </c>
      <c r="G49" s="147">
        <f>H34+H35+H36+H37+H38+H39+H40+H41+G42+H44+H45+H46+H47+H48</f>
        <v>405877</v>
      </c>
      <c r="H49" s="148"/>
      <c r="I49" s="148"/>
      <c r="J49" s="14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0"/>
      <c r="B50" s="32" t="s">
        <v>69</v>
      </c>
      <c r="C50" s="11">
        <v>12</v>
      </c>
      <c r="D50" s="12">
        <f>C50*1.5</f>
        <v>18</v>
      </c>
      <c r="F50" s="146"/>
      <c r="G50" s="150"/>
      <c r="H50" s="151"/>
      <c r="I50" s="151"/>
      <c r="J50" s="152"/>
      <c r="O50" t="s">
        <v>112</v>
      </c>
      <c r="P50" s="4">
        <v>1204</v>
      </c>
      <c r="Q50" s="4"/>
      <c r="R50" s="5"/>
    </row>
    <row r="51" spans="1:18" ht="15" customHeight="1" x14ac:dyDescent="0.25">
      <c r="A51" s="140"/>
      <c r="B51" s="27"/>
      <c r="C51" s="10"/>
      <c r="D51" s="31"/>
      <c r="F51" s="153" t="str">
        <f>_xlfn.IFS(H29&gt;G49,"SHORT",H29&lt;G49,"OVER",H29&lt;=G49,"-")</f>
        <v>OVER</v>
      </c>
      <c r="G51" s="155">
        <f>G49-H29</f>
        <v>62.5</v>
      </c>
      <c r="H51" s="156"/>
      <c r="I51" s="156"/>
      <c r="J51" s="1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140"/>
      <c r="B52" s="29"/>
      <c r="C52" s="33"/>
      <c r="D52" s="45"/>
      <c r="F52" s="154"/>
      <c r="G52" s="158"/>
      <c r="H52" s="159"/>
      <c r="I52" s="159"/>
      <c r="J52" s="1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5" t="s">
        <v>89</v>
      </c>
      <c r="B54" s="126"/>
      <c r="C54" s="127"/>
      <c r="D54" s="131">
        <f>SUM(D34:D53)</f>
        <v>71605.5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8"/>
      <c r="B55" s="129"/>
      <c r="C55" s="130"/>
      <c r="D55" s="13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33" t="s">
        <v>90</v>
      </c>
      <c r="B58" s="134"/>
      <c r="C58" s="134"/>
      <c r="D58" s="135"/>
      <c r="F58" s="133" t="s">
        <v>91</v>
      </c>
      <c r="G58" s="134"/>
      <c r="H58" s="134"/>
      <c r="I58" s="134"/>
      <c r="J58" s="135"/>
    </row>
    <row r="59" spans="1:18" x14ac:dyDescent="0.25">
      <c r="A59" s="136"/>
      <c r="B59" s="137"/>
      <c r="C59" s="137"/>
      <c r="D59" s="138"/>
      <c r="F59" s="136"/>
      <c r="G59" s="137"/>
      <c r="H59" s="137"/>
      <c r="I59" s="137"/>
      <c r="J59" s="13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11" priority="1" operator="containsText" text="OVER">
      <formula>NOT(ISERROR(SEARCH("OVER",F51)))</formula>
    </cfRule>
    <cfRule type="containsText" dxfId="10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2B442134-15CE-4920-AEE2-BAEFE5C82A1D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D7CE38-E453-4A8E-8C5B-89D01DB1051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1" t="s">
        <v>1</v>
      </c>
      <c r="O1" s="221"/>
      <c r="P1" s="118" t="s">
        <v>2</v>
      </c>
      <c r="Q1" s="11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2" t="s">
        <v>7</v>
      </c>
      <c r="B4" s="173"/>
      <c r="C4" s="173"/>
      <c r="D4" s="174"/>
      <c r="F4" s="222" t="s">
        <v>8</v>
      </c>
      <c r="G4" s="224"/>
      <c r="H4" s="226" t="s">
        <v>9</v>
      </c>
      <c r="I4" s="228"/>
      <c r="J4" s="22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6" t="s">
        <v>7</v>
      </c>
      <c r="B5" s="15" t="s">
        <v>11</v>
      </c>
      <c r="C5" s="9" t="s">
        <v>12</v>
      </c>
      <c r="D5" s="25" t="s">
        <v>13</v>
      </c>
      <c r="F5" s="223"/>
      <c r="G5" s="225"/>
      <c r="H5" s="227"/>
      <c r="I5" s="230"/>
      <c r="J5" s="23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7"/>
      <c r="B6" s="16"/>
      <c r="C6" s="10"/>
      <c r="D6" s="13">
        <f t="shared" ref="D6:D28" si="1">C6*L6</f>
        <v>0</v>
      </c>
      <c r="F6" s="232" t="s">
        <v>16</v>
      </c>
      <c r="G6" s="234"/>
      <c r="H6" s="235"/>
      <c r="I6" s="235"/>
      <c r="J6" s="23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7"/>
      <c r="B7" s="16"/>
      <c r="C7" s="10"/>
      <c r="D7" s="13">
        <f t="shared" si="1"/>
        <v>0</v>
      </c>
      <c r="F7" s="233"/>
      <c r="G7" s="237"/>
      <c r="H7" s="238"/>
      <c r="I7" s="238"/>
      <c r="J7" s="23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7"/>
      <c r="B8" s="16"/>
      <c r="C8" s="10"/>
      <c r="D8" s="13">
        <f t="shared" si="1"/>
        <v>0</v>
      </c>
      <c r="F8" s="240" t="s">
        <v>21</v>
      </c>
      <c r="G8" s="241"/>
      <c r="H8" s="242"/>
      <c r="I8" s="242"/>
      <c r="J8" s="24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7"/>
      <c r="B9" s="16"/>
      <c r="C9" s="10"/>
      <c r="D9" s="13">
        <f t="shared" si="1"/>
        <v>0</v>
      </c>
      <c r="F9" s="233"/>
      <c r="G9" s="244"/>
      <c r="H9" s="245"/>
      <c r="I9" s="245"/>
      <c r="J9" s="24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7"/>
      <c r="C10" s="10"/>
      <c r="D10" s="13">
        <f t="shared" si="1"/>
        <v>0</v>
      </c>
      <c r="F10" s="232" t="s">
        <v>26</v>
      </c>
      <c r="G10" s="247"/>
      <c r="H10" s="248"/>
      <c r="I10" s="248"/>
      <c r="J10" s="249"/>
      <c r="K10" s="8"/>
      <c r="L10" s="6">
        <f>R36</f>
        <v>972</v>
      </c>
      <c r="P10" s="4"/>
      <c r="Q10" s="4"/>
      <c r="R10" s="5"/>
    </row>
    <row r="11" spans="1:19" ht="15.75" x14ac:dyDescent="0.25">
      <c r="A11" s="167"/>
      <c r="B11" s="17"/>
      <c r="C11" s="10"/>
      <c r="D11" s="13">
        <f t="shared" si="1"/>
        <v>0</v>
      </c>
      <c r="F11" s="233"/>
      <c r="G11" s="244"/>
      <c r="H11" s="245"/>
      <c r="I11" s="245"/>
      <c r="J11" s="24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7"/>
      <c r="B12" s="17"/>
      <c r="C12" s="10"/>
      <c r="D12" s="48">
        <f t="shared" si="1"/>
        <v>0</v>
      </c>
      <c r="F12" s="250" t="s">
        <v>33</v>
      </c>
      <c r="G12" s="251"/>
      <c r="H12" s="251"/>
      <c r="I12" s="251"/>
      <c r="J12" s="25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7"/>
      <c r="B13" s="17"/>
      <c r="C13" s="10"/>
      <c r="D13" s="48">
        <f t="shared" si="1"/>
        <v>0</v>
      </c>
      <c r="F13" s="253" t="s">
        <v>36</v>
      </c>
      <c r="G13" s="217"/>
      <c r="H13" s="208">
        <f>D29</f>
        <v>0</v>
      </c>
      <c r="I13" s="209"/>
      <c r="J13" s="21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7"/>
      <c r="B14" s="14"/>
      <c r="C14" s="10"/>
      <c r="D14" s="31">
        <f t="shared" si="1"/>
        <v>0</v>
      </c>
      <c r="F14" s="211" t="s">
        <v>38</v>
      </c>
      <c r="G14" s="212"/>
      <c r="H14" s="213">
        <f>D54</f>
        <v>0</v>
      </c>
      <c r="I14" s="214"/>
      <c r="J14" s="21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7"/>
      <c r="B15" s="14"/>
      <c r="C15" s="10"/>
      <c r="D15" s="31">
        <f t="shared" si="1"/>
        <v>0</v>
      </c>
      <c r="F15" s="216" t="s">
        <v>39</v>
      </c>
      <c r="G15" s="217"/>
      <c r="H15" s="218">
        <f>H13-H14</f>
        <v>0</v>
      </c>
      <c r="I15" s="219"/>
      <c r="J15" s="22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8"/>
      <c r="I16" s="178"/>
      <c r="J16" s="17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7"/>
      <c r="C17" s="10"/>
      <c r="D17" s="48">
        <f t="shared" si="1"/>
        <v>0</v>
      </c>
      <c r="F17" s="56"/>
      <c r="G17" s="66" t="s">
        <v>44</v>
      </c>
      <c r="H17" s="189"/>
      <c r="I17" s="189"/>
      <c r="J17" s="18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7"/>
      <c r="B18" s="19"/>
      <c r="C18" s="10"/>
      <c r="D18" s="48">
        <f t="shared" si="1"/>
        <v>0</v>
      </c>
      <c r="F18" s="56"/>
      <c r="G18" s="66" t="s">
        <v>46</v>
      </c>
      <c r="H18" s="189"/>
      <c r="I18" s="189"/>
      <c r="J18" s="18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7"/>
      <c r="B19" s="14"/>
      <c r="C19" s="10"/>
      <c r="D19" s="48">
        <f t="shared" si="1"/>
        <v>0</v>
      </c>
      <c r="F19" s="56"/>
      <c r="G19" s="68" t="s">
        <v>49</v>
      </c>
      <c r="H19" s="190"/>
      <c r="I19" s="190"/>
      <c r="J19" s="19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7"/>
      <c r="B20" s="46"/>
      <c r="C20" s="10"/>
      <c r="D20" s="13">
        <f t="shared" si="1"/>
        <v>0</v>
      </c>
      <c r="F20" s="57"/>
      <c r="G20" s="70" t="s">
        <v>102</v>
      </c>
      <c r="H20" s="178"/>
      <c r="I20" s="178"/>
      <c r="J20" s="17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7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91" t="s">
        <v>13</v>
      </c>
      <c r="I21" s="192"/>
      <c r="J21" s="193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7"/>
      <c r="B22" s="46"/>
      <c r="C22" s="10"/>
      <c r="D22" s="48">
        <f t="shared" si="1"/>
        <v>0</v>
      </c>
      <c r="F22" s="76"/>
      <c r="G22" s="72"/>
      <c r="H22" s="194"/>
      <c r="I22" s="194"/>
      <c r="J22" s="194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7"/>
      <c r="B23" s="14"/>
      <c r="C23" s="10"/>
      <c r="D23" s="48">
        <f t="shared" si="1"/>
        <v>0</v>
      </c>
      <c r="F23" s="77"/>
      <c r="G23" s="78"/>
      <c r="H23" s="195"/>
      <c r="I23" s="164"/>
      <c r="J23" s="16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7"/>
      <c r="B24" s="14"/>
      <c r="C24" s="10"/>
      <c r="D24" s="48">
        <f t="shared" si="1"/>
        <v>0</v>
      </c>
      <c r="F24" s="38"/>
      <c r="G24" s="37"/>
      <c r="H24" s="195"/>
      <c r="I24" s="164"/>
      <c r="J24" s="16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6" t="s">
        <v>13</v>
      </c>
      <c r="I25" s="197"/>
      <c r="J25" s="19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7"/>
      <c r="B26" s="14"/>
      <c r="C26" s="10"/>
      <c r="D26" s="48">
        <f t="shared" si="1"/>
        <v>0</v>
      </c>
      <c r="F26" s="64"/>
      <c r="G26" s="59"/>
      <c r="H26" s="199"/>
      <c r="I26" s="200"/>
      <c r="J26" s="20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7"/>
      <c r="B27" s="14"/>
      <c r="C27" s="10"/>
      <c r="D27" s="44">
        <f t="shared" si="1"/>
        <v>0</v>
      </c>
      <c r="F27" s="25"/>
      <c r="G27" s="79"/>
      <c r="H27" s="202"/>
      <c r="I27" s="203"/>
      <c r="J27" s="20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8"/>
      <c r="B28" s="46"/>
      <c r="C28" s="10"/>
      <c r="D28" s="48">
        <f t="shared" si="1"/>
        <v>0</v>
      </c>
      <c r="F28" s="119"/>
      <c r="G28" s="61"/>
      <c r="H28" s="205"/>
      <c r="I28" s="206"/>
      <c r="J28" s="20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9" t="s">
        <v>36</v>
      </c>
      <c r="B29" s="180"/>
      <c r="C29" s="181"/>
      <c r="D29" s="185">
        <f>SUM(D6:D28)</f>
        <v>0</v>
      </c>
      <c r="F29" s="125" t="s">
        <v>54</v>
      </c>
      <c r="G29" s="187"/>
      <c r="H29" s="147">
        <f>H15-H16-H17-H18-H19-H20-H22-H23-H24+H26+H27</f>
        <v>0</v>
      </c>
      <c r="I29" s="148"/>
      <c r="J29" s="14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2"/>
      <c r="B30" s="183"/>
      <c r="C30" s="184"/>
      <c r="D30" s="186"/>
      <c r="F30" s="128"/>
      <c r="G30" s="188"/>
      <c r="H30" s="150"/>
      <c r="I30" s="151"/>
      <c r="J30" s="15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2" t="s">
        <v>57</v>
      </c>
      <c r="B32" s="173"/>
      <c r="C32" s="173"/>
      <c r="D32" s="174"/>
      <c r="F32" s="175" t="s">
        <v>58</v>
      </c>
      <c r="G32" s="176"/>
      <c r="H32" s="176"/>
      <c r="I32" s="176"/>
      <c r="J32" s="17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75" t="s">
        <v>13</v>
      </c>
      <c r="I33" s="176"/>
      <c r="J33" s="17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6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69"/>
      <c r="I34" s="170"/>
      <c r="J34" s="17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7"/>
      <c r="B35" s="27" t="s">
        <v>67</v>
      </c>
      <c r="C35" s="52"/>
      <c r="D35" s="30">
        <f>C35*84</f>
        <v>0</v>
      </c>
      <c r="F35" s="58">
        <v>500</v>
      </c>
      <c r="G35" s="121"/>
      <c r="H35" s="169"/>
      <c r="I35" s="170"/>
      <c r="J35" s="17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8"/>
      <c r="B36" s="26" t="s">
        <v>69</v>
      </c>
      <c r="C36" s="10"/>
      <c r="D36" s="12">
        <f>C36*1.5</f>
        <v>0</v>
      </c>
      <c r="F36" s="12">
        <v>200</v>
      </c>
      <c r="G36" s="37"/>
      <c r="H36" s="169"/>
      <c r="I36" s="170"/>
      <c r="J36" s="17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9"/>
      <c r="I37" s="170"/>
      <c r="J37" s="17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7"/>
      <c r="B38" s="29" t="s">
        <v>67</v>
      </c>
      <c r="C38" s="54"/>
      <c r="D38" s="12">
        <f>C38*84</f>
        <v>0</v>
      </c>
      <c r="F38" s="30">
        <v>50</v>
      </c>
      <c r="G38" s="39"/>
      <c r="H38" s="169"/>
      <c r="I38" s="170"/>
      <c r="J38" s="17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8"/>
      <c r="B39" s="29" t="s">
        <v>69</v>
      </c>
      <c r="C39" s="52"/>
      <c r="D39" s="31">
        <f>C39*4.5</f>
        <v>0</v>
      </c>
      <c r="F39" s="12">
        <v>20</v>
      </c>
      <c r="G39" s="37"/>
      <c r="H39" s="169"/>
      <c r="I39" s="170"/>
      <c r="J39" s="17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6" t="s">
        <v>75</v>
      </c>
      <c r="B40" s="27" t="s">
        <v>65</v>
      </c>
      <c r="C40" s="63"/>
      <c r="D40" s="12">
        <f>C40*111</f>
        <v>0</v>
      </c>
      <c r="F40" s="12">
        <v>10</v>
      </c>
      <c r="G40" s="122"/>
      <c r="H40" s="169"/>
      <c r="I40" s="170"/>
      <c r="J40" s="17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7"/>
      <c r="B41" s="27" t="s">
        <v>67</v>
      </c>
      <c r="C41" s="10"/>
      <c r="D41" s="12">
        <f>C41*84</f>
        <v>0</v>
      </c>
      <c r="F41" s="12">
        <v>5</v>
      </c>
      <c r="G41" s="122"/>
      <c r="H41" s="169"/>
      <c r="I41" s="170"/>
      <c r="J41" s="17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8"/>
      <c r="B42" s="27" t="s">
        <v>69</v>
      </c>
      <c r="C42" s="11"/>
      <c r="D42" s="12">
        <f>C42*2.25</f>
        <v>0</v>
      </c>
      <c r="F42" s="39" t="s">
        <v>78</v>
      </c>
      <c r="G42" s="169"/>
      <c r="H42" s="170"/>
      <c r="I42" s="170"/>
      <c r="J42" s="17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9" t="s">
        <v>80</v>
      </c>
      <c r="C43" s="11"/>
      <c r="D43" s="12"/>
      <c r="F43" s="59" t="s">
        <v>81</v>
      </c>
      <c r="G43" s="117" t="s">
        <v>82</v>
      </c>
      <c r="H43" s="161" t="s">
        <v>13</v>
      </c>
      <c r="I43" s="162"/>
      <c r="J43" s="163"/>
      <c r="K43" s="21"/>
      <c r="P43" s="4"/>
      <c r="Q43" s="4"/>
      <c r="R43" s="5"/>
    </row>
    <row r="44" spans="1:18" ht="15.75" x14ac:dyDescent="0.25">
      <c r="A44" s="140"/>
      <c r="B44" s="27" t="s">
        <v>65</v>
      </c>
      <c r="C44" s="10"/>
      <c r="D44" s="12">
        <f>C44*120</f>
        <v>0</v>
      </c>
      <c r="F44" s="37"/>
      <c r="G44" s="75"/>
      <c r="H44" s="164"/>
      <c r="I44" s="164"/>
      <c r="J44" s="164"/>
      <c r="K44" s="21"/>
      <c r="P44" s="4"/>
      <c r="Q44" s="4"/>
      <c r="R44" s="5"/>
    </row>
    <row r="45" spans="1:18" ht="15.75" x14ac:dyDescent="0.25">
      <c r="A45" s="140"/>
      <c r="B45" s="27" t="s">
        <v>67</v>
      </c>
      <c r="C45" s="33"/>
      <c r="D45" s="12">
        <f>C45*84</f>
        <v>0</v>
      </c>
      <c r="F45" s="37"/>
      <c r="G45" s="75"/>
      <c r="H45" s="164"/>
      <c r="I45" s="164"/>
      <c r="J45" s="164"/>
      <c r="K45" s="21"/>
      <c r="P45" s="4"/>
      <c r="Q45" s="4"/>
      <c r="R45" s="5"/>
    </row>
    <row r="46" spans="1:18" ht="15.75" x14ac:dyDescent="0.25">
      <c r="A46" s="140"/>
      <c r="B46" s="49" t="s">
        <v>69</v>
      </c>
      <c r="C46" s="80"/>
      <c r="D46" s="12">
        <f>C46*1.5</f>
        <v>0</v>
      </c>
      <c r="F46" s="37"/>
      <c r="G46" s="62"/>
      <c r="H46" s="165"/>
      <c r="I46" s="165"/>
      <c r="J46" s="165"/>
      <c r="K46" s="21"/>
      <c r="P46" s="4"/>
      <c r="Q46" s="4"/>
      <c r="R46" s="5"/>
    </row>
    <row r="47" spans="1:18" ht="15.75" x14ac:dyDescent="0.25">
      <c r="A47" s="141"/>
      <c r="B47" s="27"/>
      <c r="C47" s="11"/>
      <c r="D47" s="12"/>
      <c r="F47" s="59"/>
      <c r="G47" s="59"/>
      <c r="H47" s="142"/>
      <c r="I47" s="143"/>
      <c r="J47" s="144"/>
      <c r="K47" s="21"/>
      <c r="P47" s="4"/>
      <c r="Q47" s="4"/>
      <c r="R47" s="5"/>
    </row>
    <row r="48" spans="1:18" ht="15" customHeight="1" x14ac:dyDescent="0.25">
      <c r="A48" s="139" t="s">
        <v>32</v>
      </c>
      <c r="B48" s="27" t="s">
        <v>65</v>
      </c>
      <c r="C48" s="10"/>
      <c r="D48" s="12">
        <f>C48*78</f>
        <v>0</v>
      </c>
      <c r="F48" s="59"/>
      <c r="G48" s="59"/>
      <c r="H48" s="142"/>
      <c r="I48" s="143"/>
      <c r="J48" s="14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0"/>
      <c r="B49" s="29" t="s">
        <v>67</v>
      </c>
      <c r="C49" s="33"/>
      <c r="D49" s="12">
        <f>C49*42</f>
        <v>0</v>
      </c>
      <c r="F49" s="145" t="s">
        <v>85</v>
      </c>
      <c r="G49" s="147">
        <f>H34+H35+H36+H37+H38+H39+H40+H41+G42+H44+H45+H46</f>
        <v>0</v>
      </c>
      <c r="H49" s="148"/>
      <c r="I49" s="148"/>
      <c r="J49" s="14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0"/>
      <c r="B50" s="32" t="s">
        <v>69</v>
      </c>
      <c r="C50" s="11"/>
      <c r="D50" s="12">
        <f>C50*1.5</f>
        <v>0</v>
      </c>
      <c r="F50" s="146"/>
      <c r="G50" s="150"/>
      <c r="H50" s="151"/>
      <c r="I50" s="151"/>
      <c r="J50" s="152"/>
      <c r="P50" s="4"/>
      <c r="Q50" s="4"/>
      <c r="R50" s="5"/>
    </row>
    <row r="51" spans="1:18" ht="15" customHeight="1" x14ac:dyDescent="0.25">
      <c r="A51" s="140"/>
      <c r="B51" s="27"/>
      <c r="C51" s="10"/>
      <c r="D51" s="31"/>
      <c r="F51" s="153" t="s">
        <v>106</v>
      </c>
      <c r="G51" s="155">
        <f>G49-H29</f>
        <v>0</v>
      </c>
      <c r="H51" s="156"/>
      <c r="I51" s="156"/>
      <c r="J51" s="15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0"/>
      <c r="B52" s="29"/>
      <c r="C52" s="33"/>
      <c r="D52" s="45"/>
      <c r="F52" s="154"/>
      <c r="G52" s="158"/>
      <c r="H52" s="159"/>
      <c r="I52" s="159"/>
      <c r="J52" s="1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5" t="s">
        <v>89</v>
      </c>
      <c r="B54" s="126"/>
      <c r="C54" s="127"/>
      <c r="D54" s="131">
        <f>SUM(D34:D53)</f>
        <v>0</v>
      </c>
      <c r="F54" s="21"/>
      <c r="J54" s="34"/>
    </row>
    <row r="55" spans="1:18" x14ac:dyDescent="0.25">
      <c r="A55" s="128"/>
      <c r="B55" s="129"/>
      <c r="C55" s="130"/>
      <c r="D55" s="13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3" t="s">
        <v>90</v>
      </c>
      <c r="B58" s="134"/>
      <c r="C58" s="134"/>
      <c r="D58" s="135"/>
      <c r="F58" s="133" t="s">
        <v>91</v>
      </c>
      <c r="G58" s="134"/>
      <c r="H58" s="134"/>
      <c r="I58" s="134"/>
      <c r="J58" s="135"/>
    </row>
    <row r="59" spans="1:18" x14ac:dyDescent="0.25">
      <c r="A59" s="136"/>
      <c r="B59" s="137"/>
      <c r="C59" s="137"/>
      <c r="D59" s="138"/>
      <c r="F59" s="136"/>
      <c r="G59" s="137"/>
      <c r="H59" s="137"/>
      <c r="I59" s="137"/>
      <c r="J59" s="13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5B1077-ED03-4EFC-96D3-095E60C816E2}">
  <dimension ref="A1:V68"/>
  <sheetViews>
    <sheetView zoomScaleNormal="100" zoomScaleSheetLayoutView="85" workbookViewId="0">
      <selection activeCell="N35" sqref="N3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1" t="s">
        <v>1</v>
      </c>
      <c r="O1" s="221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2" t="s">
        <v>7</v>
      </c>
      <c r="B4" s="173"/>
      <c r="C4" s="173"/>
      <c r="D4" s="174"/>
      <c r="F4" s="222" t="s">
        <v>8</v>
      </c>
      <c r="G4" s="224">
        <v>1</v>
      </c>
      <c r="H4" s="226" t="s">
        <v>9</v>
      </c>
      <c r="I4" s="228">
        <v>46255</v>
      </c>
      <c r="J4" s="22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6" t="s">
        <v>7</v>
      </c>
      <c r="B5" s="15" t="s">
        <v>11</v>
      </c>
      <c r="C5" s="9" t="s">
        <v>12</v>
      </c>
      <c r="D5" s="25" t="s">
        <v>13</v>
      </c>
      <c r="F5" s="223"/>
      <c r="G5" s="225"/>
      <c r="H5" s="227"/>
      <c r="I5" s="230"/>
      <c r="J5" s="23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7"/>
      <c r="B6" s="16" t="s">
        <v>15</v>
      </c>
      <c r="C6" s="10"/>
      <c r="D6" s="13">
        <f t="shared" ref="D6:D28" si="1">C6*L6</f>
        <v>0</v>
      </c>
      <c r="F6" s="232" t="s">
        <v>16</v>
      </c>
      <c r="G6" s="234" t="s">
        <v>99</v>
      </c>
      <c r="H6" s="235"/>
      <c r="I6" s="235"/>
      <c r="J6" s="2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7"/>
      <c r="B7" s="16" t="s">
        <v>18</v>
      </c>
      <c r="C7" s="10"/>
      <c r="D7" s="13">
        <f t="shared" si="1"/>
        <v>0</v>
      </c>
      <c r="F7" s="233"/>
      <c r="G7" s="237"/>
      <c r="H7" s="238"/>
      <c r="I7" s="238"/>
      <c r="J7" s="2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7"/>
      <c r="B8" s="16" t="s">
        <v>20</v>
      </c>
      <c r="C8" s="10"/>
      <c r="D8" s="13">
        <f t="shared" si="1"/>
        <v>0</v>
      </c>
      <c r="F8" s="240" t="s">
        <v>21</v>
      </c>
      <c r="G8" s="241" t="s">
        <v>115</v>
      </c>
      <c r="H8" s="242"/>
      <c r="I8" s="242"/>
      <c r="J8" s="24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7"/>
      <c r="B9" s="16" t="s">
        <v>23</v>
      </c>
      <c r="C9" s="10"/>
      <c r="D9" s="13">
        <f t="shared" si="1"/>
        <v>0</v>
      </c>
      <c r="F9" s="233"/>
      <c r="G9" s="244"/>
      <c r="H9" s="245"/>
      <c r="I9" s="245"/>
      <c r="J9" s="24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7"/>
      <c r="B10" t="s">
        <v>25</v>
      </c>
      <c r="C10" s="10"/>
      <c r="D10" s="13">
        <f t="shared" si="1"/>
        <v>0</v>
      </c>
      <c r="F10" s="232" t="s">
        <v>26</v>
      </c>
      <c r="G10" s="247" t="s">
        <v>108</v>
      </c>
      <c r="H10" s="248"/>
      <c r="I10" s="248"/>
      <c r="J10" s="249"/>
      <c r="K10" s="8"/>
      <c r="L10" s="6">
        <f>R36</f>
        <v>1032</v>
      </c>
      <c r="P10" s="4"/>
      <c r="Q10" s="4"/>
      <c r="R10" s="5"/>
    </row>
    <row r="11" spans="1:18" ht="15.75" x14ac:dyDescent="0.25">
      <c r="A11" s="167"/>
      <c r="B11" s="17" t="s">
        <v>28</v>
      </c>
      <c r="C11" s="10"/>
      <c r="D11" s="13">
        <f t="shared" si="1"/>
        <v>0</v>
      </c>
      <c r="F11" s="233"/>
      <c r="G11" s="244"/>
      <c r="H11" s="245"/>
      <c r="I11" s="245"/>
      <c r="J11" s="24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7"/>
      <c r="B12" s="17" t="s">
        <v>30</v>
      </c>
      <c r="C12" s="10"/>
      <c r="D12" s="48">
        <f t="shared" si="1"/>
        <v>0</v>
      </c>
      <c r="F12" s="250" t="s">
        <v>33</v>
      </c>
      <c r="G12" s="251"/>
      <c r="H12" s="251"/>
      <c r="I12" s="251"/>
      <c r="J12" s="25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7"/>
      <c r="B13" s="17" t="s">
        <v>32</v>
      </c>
      <c r="C13" s="10"/>
      <c r="D13" s="48">
        <f t="shared" si="1"/>
        <v>0</v>
      </c>
      <c r="F13" s="253" t="s">
        <v>36</v>
      </c>
      <c r="G13" s="217"/>
      <c r="H13" s="208">
        <f>D29</f>
        <v>0</v>
      </c>
      <c r="I13" s="209"/>
      <c r="J13" s="21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7"/>
      <c r="B14" s="14" t="s">
        <v>35</v>
      </c>
      <c r="C14" s="10"/>
      <c r="D14" s="31">
        <f t="shared" si="1"/>
        <v>0</v>
      </c>
      <c r="F14" s="211" t="s">
        <v>38</v>
      </c>
      <c r="G14" s="212"/>
      <c r="H14" s="213">
        <f>D54</f>
        <v>0</v>
      </c>
      <c r="I14" s="214"/>
      <c r="J14" s="215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7"/>
      <c r="B15" s="14" t="s">
        <v>117</v>
      </c>
      <c r="C15" s="10"/>
      <c r="D15" s="31">
        <f t="shared" si="1"/>
        <v>0</v>
      </c>
      <c r="F15" s="216" t="s">
        <v>39</v>
      </c>
      <c r="G15" s="217"/>
      <c r="H15" s="218">
        <f>H13-H14</f>
        <v>0</v>
      </c>
      <c r="I15" s="219"/>
      <c r="J15" s="22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7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8"/>
      <c r="I16" s="178"/>
      <c r="J16" s="17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7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9"/>
      <c r="I17" s="189"/>
      <c r="J17" s="18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7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9"/>
      <c r="I18" s="189"/>
      <c r="J18" s="18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7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8"/>
      <c r="I19" s="178"/>
      <c r="J19" s="17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7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8"/>
      <c r="I20" s="178"/>
      <c r="J20" s="17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7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91" t="s">
        <v>13</v>
      </c>
      <c r="I21" s="192"/>
      <c r="J21" s="19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7"/>
      <c r="B22" s="46" t="s">
        <v>103</v>
      </c>
      <c r="C22" s="10"/>
      <c r="D22" s="48">
        <f t="shared" si="1"/>
        <v>0</v>
      </c>
      <c r="F22" s="76"/>
      <c r="G22" s="72"/>
      <c r="H22" s="194"/>
      <c r="I22" s="194"/>
      <c r="J22" s="19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7"/>
      <c r="B23" s="14" t="s">
        <v>116</v>
      </c>
      <c r="C23" s="10"/>
      <c r="D23" s="48">
        <f t="shared" si="1"/>
        <v>0</v>
      </c>
      <c r="F23" s="76"/>
      <c r="G23" s="78"/>
      <c r="H23" s="259"/>
      <c r="I23" s="260"/>
      <c r="J23" s="26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7"/>
      <c r="B24" s="14" t="s">
        <v>123</v>
      </c>
      <c r="C24" s="10"/>
      <c r="D24" s="48">
        <f t="shared" si="1"/>
        <v>0</v>
      </c>
      <c r="F24" s="76"/>
      <c r="G24" s="78"/>
      <c r="H24" s="259"/>
      <c r="I24" s="260"/>
      <c r="J24" s="26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6" t="s">
        <v>13</v>
      </c>
      <c r="I25" s="197"/>
      <c r="J25" s="19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7"/>
      <c r="B26" s="14" t="s">
        <v>124</v>
      </c>
      <c r="C26" s="10"/>
      <c r="D26" s="48">
        <f t="shared" si="1"/>
        <v>0</v>
      </c>
      <c r="F26" s="74"/>
      <c r="G26" s="65"/>
      <c r="H26" s="164"/>
      <c r="I26" s="164"/>
      <c r="J26" s="16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7"/>
      <c r="B27" s="14" t="s">
        <v>125</v>
      </c>
      <c r="C27" s="10"/>
      <c r="D27" s="44">
        <f t="shared" si="1"/>
        <v>0</v>
      </c>
      <c r="F27" s="71"/>
      <c r="G27" s="117"/>
      <c r="H27" s="261"/>
      <c r="I27" s="262"/>
      <c r="J27" s="26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8"/>
      <c r="B28" s="46" t="s">
        <v>92</v>
      </c>
      <c r="C28" s="10"/>
      <c r="D28" s="48">
        <f t="shared" si="1"/>
        <v>0</v>
      </c>
      <c r="F28" s="119"/>
      <c r="G28" s="61"/>
      <c r="H28" s="205"/>
      <c r="I28" s="206"/>
      <c r="J28" s="20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9" t="s">
        <v>36</v>
      </c>
      <c r="B29" s="180"/>
      <c r="C29" s="181"/>
      <c r="D29" s="185">
        <f>SUM(D6:D28)</f>
        <v>0</v>
      </c>
      <c r="F29" s="125" t="s">
        <v>54</v>
      </c>
      <c r="G29" s="187"/>
      <c r="H29" s="147">
        <f>H15-H16-H17-H18-H19-H20-H22-H23-H24+H26+H27+H28</f>
        <v>0</v>
      </c>
      <c r="I29" s="148"/>
      <c r="J29" s="14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2"/>
      <c r="B30" s="183"/>
      <c r="C30" s="184"/>
      <c r="D30" s="186"/>
      <c r="F30" s="128"/>
      <c r="G30" s="188"/>
      <c r="H30" s="150"/>
      <c r="I30" s="151"/>
      <c r="J30" s="15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2" t="s">
        <v>57</v>
      </c>
      <c r="B32" s="173"/>
      <c r="C32" s="173"/>
      <c r="D32" s="174"/>
      <c r="F32" s="175" t="s">
        <v>58</v>
      </c>
      <c r="G32" s="176"/>
      <c r="H32" s="176"/>
      <c r="I32" s="176"/>
      <c r="J32" s="17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75" t="s">
        <v>13</v>
      </c>
      <c r="I33" s="176"/>
      <c r="J33" s="17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6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69">
        <f t="shared" ref="H34:H39" si="2">F34*G34</f>
        <v>0</v>
      </c>
      <c r="I34" s="170"/>
      <c r="J34" s="17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7"/>
      <c r="B35" s="27" t="s">
        <v>67</v>
      </c>
      <c r="C35" s="52"/>
      <c r="D35" s="30">
        <f>C35*84</f>
        <v>0</v>
      </c>
      <c r="F35" s="58">
        <v>500</v>
      </c>
      <c r="G35" s="121"/>
      <c r="H35" s="169">
        <f t="shared" si="2"/>
        <v>0</v>
      </c>
      <c r="I35" s="170"/>
      <c r="J35" s="17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8"/>
      <c r="B36" s="26" t="s">
        <v>69</v>
      </c>
      <c r="C36" s="10"/>
      <c r="D36" s="12">
        <f>C36*1.5</f>
        <v>0</v>
      </c>
      <c r="F36" s="12">
        <v>200</v>
      </c>
      <c r="G36" s="37"/>
      <c r="H36" s="169">
        <f t="shared" si="2"/>
        <v>0</v>
      </c>
      <c r="I36" s="170"/>
      <c r="J36" s="17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9">
        <f t="shared" si="2"/>
        <v>0</v>
      </c>
      <c r="I37" s="170"/>
      <c r="J37" s="17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7"/>
      <c r="B38" s="29" t="s">
        <v>67</v>
      </c>
      <c r="C38" s="54"/>
      <c r="D38" s="12">
        <f>C38*84</f>
        <v>0</v>
      </c>
      <c r="F38" s="30">
        <v>50</v>
      </c>
      <c r="G38" s="39"/>
      <c r="H38" s="169">
        <f t="shared" si="2"/>
        <v>0</v>
      </c>
      <c r="I38" s="170"/>
      <c r="J38" s="17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8"/>
      <c r="B39" s="29" t="s">
        <v>69</v>
      </c>
      <c r="C39" s="52"/>
      <c r="D39" s="31">
        <f>C39*4.5</f>
        <v>0</v>
      </c>
      <c r="F39" s="12">
        <v>20</v>
      </c>
      <c r="G39" s="37"/>
      <c r="H39" s="169">
        <f t="shared" si="2"/>
        <v>0</v>
      </c>
      <c r="I39" s="170"/>
      <c r="J39" s="17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6" t="s">
        <v>75</v>
      </c>
      <c r="B40" s="27" t="s">
        <v>65</v>
      </c>
      <c r="C40" s="63"/>
      <c r="D40" s="12">
        <f>C40*111</f>
        <v>0</v>
      </c>
      <c r="F40" s="12">
        <v>10</v>
      </c>
      <c r="G40" s="122"/>
      <c r="H40" s="257"/>
      <c r="I40" s="258"/>
      <c r="J40" s="19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7"/>
      <c r="B41" s="27" t="s">
        <v>67</v>
      </c>
      <c r="C41" s="10"/>
      <c r="D41" s="12">
        <f>C41*84</f>
        <v>0</v>
      </c>
      <c r="F41" s="12">
        <v>5</v>
      </c>
      <c r="G41" s="122"/>
      <c r="H41" s="169"/>
      <c r="I41" s="170"/>
      <c r="J41" s="17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8"/>
      <c r="B42" s="27" t="s">
        <v>69</v>
      </c>
      <c r="C42" s="11"/>
      <c r="D42" s="12">
        <f>C42*2.25</f>
        <v>0</v>
      </c>
      <c r="F42" s="39" t="s">
        <v>78</v>
      </c>
      <c r="G42" s="169"/>
      <c r="H42" s="170"/>
      <c r="I42" s="170"/>
      <c r="J42" s="17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9" t="s">
        <v>80</v>
      </c>
      <c r="C43" s="11"/>
      <c r="D43" s="12"/>
      <c r="F43" s="59" t="s">
        <v>81</v>
      </c>
      <c r="G43" s="117" t="s">
        <v>82</v>
      </c>
      <c r="H43" s="161" t="s">
        <v>13</v>
      </c>
      <c r="I43" s="162"/>
      <c r="J43" s="16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0"/>
      <c r="B44" s="27" t="s">
        <v>65</v>
      </c>
      <c r="C44" s="10"/>
      <c r="D44" s="12">
        <f>C44*120</f>
        <v>0</v>
      </c>
      <c r="F44" s="37"/>
      <c r="G44" s="87"/>
      <c r="H44" s="164"/>
      <c r="I44" s="164"/>
      <c r="J44" s="16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0"/>
      <c r="B45" s="27" t="s">
        <v>67</v>
      </c>
      <c r="C45" s="33"/>
      <c r="D45" s="12">
        <f>C45*84</f>
        <v>0</v>
      </c>
      <c r="F45" s="37"/>
      <c r="G45" s="87"/>
      <c r="H45" s="164"/>
      <c r="I45" s="164"/>
      <c r="J45" s="164"/>
      <c r="K45" s="21"/>
      <c r="P45" s="4"/>
      <c r="Q45" s="4"/>
      <c r="R45" s="5"/>
    </row>
    <row r="46" spans="1:18" ht="15.75" x14ac:dyDescent="0.25">
      <c r="A46" s="140"/>
      <c r="B46" s="49" t="s">
        <v>69</v>
      </c>
      <c r="C46" s="80"/>
      <c r="D46" s="12">
        <f>C46*1.5</f>
        <v>0</v>
      </c>
      <c r="F46" s="37"/>
      <c r="G46" s="62"/>
      <c r="H46" s="164"/>
      <c r="I46" s="164"/>
      <c r="J46" s="164"/>
      <c r="K46" s="21"/>
      <c r="P46" s="4"/>
      <c r="Q46" s="4"/>
      <c r="R46" s="5"/>
    </row>
    <row r="47" spans="1:18" ht="15.75" x14ac:dyDescent="0.25">
      <c r="A47" s="141"/>
      <c r="B47" s="27"/>
      <c r="C47" s="11"/>
      <c r="D47" s="12"/>
      <c r="F47" s="59"/>
      <c r="G47" s="59"/>
      <c r="H47" s="254"/>
      <c r="I47" s="255"/>
      <c r="J47" s="256"/>
      <c r="K47" s="21"/>
      <c r="P47" s="4"/>
      <c r="Q47" s="4"/>
      <c r="R47" s="5"/>
    </row>
    <row r="48" spans="1:18" ht="15" customHeight="1" x14ac:dyDescent="0.25">
      <c r="A48" s="139" t="s">
        <v>32</v>
      </c>
      <c r="B48" s="27" t="s">
        <v>65</v>
      </c>
      <c r="C48" s="10"/>
      <c r="D48" s="12">
        <f>C48*78</f>
        <v>0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0"/>
      <c r="B49" s="29" t="s">
        <v>67</v>
      </c>
      <c r="C49" s="33"/>
      <c r="D49" s="12">
        <f>C49*42</f>
        <v>0</v>
      </c>
      <c r="F49" s="145" t="s">
        <v>85</v>
      </c>
      <c r="G49" s="147">
        <f>H34+H35+H36+H37+H38+H39+H40+H41+G42+H44+H45+H46+H47+H48</f>
        <v>0</v>
      </c>
      <c r="H49" s="148"/>
      <c r="I49" s="148"/>
      <c r="J49" s="14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0"/>
      <c r="B50" s="32" t="s">
        <v>69</v>
      </c>
      <c r="C50" s="11"/>
      <c r="D50" s="12">
        <f>C50*1.5</f>
        <v>0</v>
      </c>
      <c r="F50" s="146"/>
      <c r="G50" s="150"/>
      <c r="H50" s="151"/>
      <c r="I50" s="151"/>
      <c r="J50" s="152"/>
      <c r="O50" t="s">
        <v>112</v>
      </c>
      <c r="P50" s="4">
        <v>1204</v>
      </c>
      <c r="Q50" s="4"/>
      <c r="R50" s="5"/>
    </row>
    <row r="51" spans="1:18" ht="15" customHeight="1" x14ac:dyDescent="0.25">
      <c r="A51" s="140"/>
      <c r="B51" s="27"/>
      <c r="C51" s="10"/>
      <c r="D51" s="31"/>
      <c r="F51" s="153" t="str">
        <f>_xlfn.IFS(H29&gt;G49,"SHORT",H29&lt;G49,"OVER",H29&lt;=G49,"-")</f>
        <v>-</v>
      </c>
      <c r="G51" s="155">
        <f>G49-H29</f>
        <v>0</v>
      </c>
      <c r="H51" s="156"/>
      <c r="I51" s="156"/>
      <c r="J51" s="1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0"/>
      <c r="B52" s="29"/>
      <c r="C52" s="33"/>
      <c r="D52" s="45"/>
      <c r="F52" s="154"/>
      <c r="G52" s="158"/>
      <c r="H52" s="159"/>
      <c r="I52" s="159"/>
      <c r="J52" s="1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5" t="s">
        <v>89</v>
      </c>
      <c r="B54" s="126"/>
      <c r="C54" s="127"/>
      <c r="D54" s="13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8"/>
      <c r="B55" s="129"/>
      <c r="C55" s="130"/>
      <c r="D55" s="13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33" t="s">
        <v>90</v>
      </c>
      <c r="B58" s="134"/>
      <c r="C58" s="134"/>
      <c r="D58" s="135"/>
      <c r="F58" s="133" t="s">
        <v>91</v>
      </c>
      <c r="G58" s="134"/>
      <c r="H58" s="134"/>
      <c r="I58" s="134"/>
      <c r="J58" s="135"/>
    </row>
    <row r="59" spans="1:18" x14ac:dyDescent="0.25">
      <c r="A59" s="136"/>
      <c r="B59" s="137"/>
      <c r="C59" s="137"/>
      <c r="D59" s="138"/>
      <c r="F59" s="136"/>
      <c r="G59" s="137"/>
      <c r="H59" s="137"/>
      <c r="I59" s="137"/>
      <c r="J59" s="138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8" priority="1" operator="containsText" text="OVER">
      <formula>NOT(ISERROR(SEARCH("OVER",F51)))</formula>
    </cfRule>
    <cfRule type="containsText" dxfId="7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14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90078201-B05F-4C11-AB05-13C76DA3175C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59B08-F6AE-406A-84D9-2B41F09E5188}">
  <dimension ref="A1:R59"/>
  <sheetViews>
    <sheetView topLeftCell="A25" zoomScaleNormal="100" zoomScaleSheetLayoutView="85" workbookViewId="0">
      <selection activeCell="G43" sqref="G4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1" t="s">
        <v>1</v>
      </c>
      <c r="O1" s="221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2" t="s">
        <v>7</v>
      </c>
      <c r="B4" s="173"/>
      <c r="C4" s="173"/>
      <c r="D4" s="174"/>
      <c r="F4" s="222" t="s">
        <v>8</v>
      </c>
      <c r="G4" s="224">
        <v>2</v>
      </c>
      <c r="H4" s="226" t="s">
        <v>9</v>
      </c>
      <c r="I4" s="228">
        <v>46255</v>
      </c>
      <c r="J4" s="22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6" t="s">
        <v>7</v>
      </c>
      <c r="B5" s="15" t="s">
        <v>11</v>
      </c>
      <c r="C5" s="9" t="s">
        <v>12</v>
      </c>
      <c r="D5" s="25" t="s">
        <v>13</v>
      </c>
      <c r="F5" s="223"/>
      <c r="G5" s="225"/>
      <c r="H5" s="227"/>
      <c r="I5" s="230"/>
      <c r="J5" s="23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7"/>
      <c r="B6" s="16" t="s">
        <v>15</v>
      </c>
      <c r="C6" s="10">
        <v>405</v>
      </c>
      <c r="D6" s="13">
        <f t="shared" ref="D6:D28" si="1">C6*L6</f>
        <v>308205</v>
      </c>
      <c r="F6" s="232" t="s">
        <v>16</v>
      </c>
      <c r="G6" s="234" t="s">
        <v>194</v>
      </c>
      <c r="H6" s="235"/>
      <c r="I6" s="235"/>
      <c r="J6" s="2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7"/>
      <c r="B7" s="16" t="s">
        <v>18</v>
      </c>
      <c r="C7" s="10"/>
      <c r="D7" s="13">
        <f t="shared" si="1"/>
        <v>0</v>
      </c>
      <c r="F7" s="233"/>
      <c r="G7" s="237"/>
      <c r="H7" s="238"/>
      <c r="I7" s="238"/>
      <c r="J7" s="2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7"/>
      <c r="B8" s="16" t="s">
        <v>20</v>
      </c>
      <c r="C8" s="10">
        <v>1</v>
      </c>
      <c r="D8" s="13">
        <f t="shared" si="1"/>
        <v>1093</v>
      </c>
      <c r="F8" s="240" t="s">
        <v>21</v>
      </c>
      <c r="G8" s="241" t="s">
        <v>100</v>
      </c>
      <c r="H8" s="242"/>
      <c r="I8" s="242"/>
      <c r="J8" s="24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7"/>
      <c r="B9" s="16" t="s">
        <v>23</v>
      </c>
      <c r="C9" s="10">
        <v>51</v>
      </c>
      <c r="D9" s="13">
        <f t="shared" si="1"/>
        <v>37383</v>
      </c>
      <c r="F9" s="233"/>
      <c r="G9" s="244"/>
      <c r="H9" s="245"/>
      <c r="I9" s="245"/>
      <c r="J9" s="24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7"/>
      <c r="B10" t="s">
        <v>25</v>
      </c>
      <c r="C10" s="10">
        <v>5</v>
      </c>
      <c r="D10" s="13">
        <f t="shared" si="1"/>
        <v>5160</v>
      </c>
      <c r="F10" s="232" t="s">
        <v>26</v>
      </c>
      <c r="G10" s="247" t="s">
        <v>101</v>
      </c>
      <c r="H10" s="248"/>
      <c r="I10" s="248"/>
      <c r="J10" s="249"/>
      <c r="K10" s="8"/>
      <c r="L10" s="6">
        <f>R36</f>
        <v>1032</v>
      </c>
      <c r="P10" s="4"/>
      <c r="Q10" s="4"/>
      <c r="R10" s="5"/>
    </row>
    <row r="11" spans="1:18" ht="15.75" x14ac:dyDescent="0.25">
      <c r="A11" s="167"/>
      <c r="B11" s="17" t="s">
        <v>28</v>
      </c>
      <c r="C11" s="10"/>
      <c r="D11" s="13">
        <f t="shared" si="1"/>
        <v>0</v>
      </c>
      <c r="F11" s="233"/>
      <c r="G11" s="244"/>
      <c r="H11" s="245"/>
      <c r="I11" s="245"/>
      <c r="J11" s="24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7"/>
      <c r="B12" s="17" t="s">
        <v>30</v>
      </c>
      <c r="C12" s="10"/>
      <c r="D12" s="48">
        <f t="shared" si="1"/>
        <v>0</v>
      </c>
      <c r="F12" s="250" t="s">
        <v>33</v>
      </c>
      <c r="G12" s="251"/>
      <c r="H12" s="251"/>
      <c r="I12" s="251"/>
      <c r="J12" s="25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7"/>
      <c r="B13" s="17" t="s">
        <v>32</v>
      </c>
      <c r="C13" s="10">
        <v>11</v>
      </c>
      <c r="D13" s="48">
        <f t="shared" si="1"/>
        <v>3377</v>
      </c>
      <c r="F13" s="253" t="s">
        <v>36</v>
      </c>
      <c r="G13" s="217"/>
      <c r="H13" s="208">
        <f>D29</f>
        <v>355218</v>
      </c>
      <c r="I13" s="209"/>
      <c r="J13" s="21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7"/>
      <c r="B14" s="14" t="s">
        <v>35</v>
      </c>
      <c r="C14" s="10"/>
      <c r="D14" s="31">
        <f t="shared" si="1"/>
        <v>0</v>
      </c>
      <c r="F14" s="211" t="s">
        <v>38</v>
      </c>
      <c r="G14" s="212"/>
      <c r="H14" s="213">
        <f>D54</f>
        <v>60337.5</v>
      </c>
      <c r="I14" s="214"/>
      <c r="J14" s="215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7"/>
      <c r="B15" s="14" t="s">
        <v>117</v>
      </c>
      <c r="C15" s="10"/>
      <c r="D15" s="31">
        <f t="shared" si="1"/>
        <v>0</v>
      </c>
      <c r="F15" s="216" t="s">
        <v>39</v>
      </c>
      <c r="G15" s="217"/>
      <c r="H15" s="218">
        <f>H13-H14</f>
        <v>294880.5</v>
      </c>
      <c r="I15" s="219"/>
      <c r="J15" s="22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7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8">
        <v>2010</v>
      </c>
      <c r="I16" s="178"/>
      <c r="J16" s="17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7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9"/>
      <c r="I17" s="189"/>
      <c r="J17" s="18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7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9"/>
      <c r="I18" s="189"/>
      <c r="J18" s="18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7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3"/>
      <c r="I19" s="263"/>
      <c r="J19" s="26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7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8"/>
      <c r="I20" s="178"/>
      <c r="J20" s="17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7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91" t="s">
        <v>13</v>
      </c>
      <c r="I21" s="192"/>
      <c r="J21" s="193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7"/>
      <c r="B22" s="46" t="s">
        <v>103</v>
      </c>
      <c r="C22" s="10"/>
      <c r="D22" s="48">
        <f t="shared" si="1"/>
        <v>0</v>
      </c>
      <c r="F22" s="76"/>
      <c r="G22" s="72"/>
      <c r="H22" s="194"/>
      <c r="I22" s="194"/>
      <c r="J22" s="19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7"/>
      <c r="B23" s="14" t="s">
        <v>116</v>
      </c>
      <c r="C23" s="10"/>
      <c r="D23" s="48">
        <f t="shared" si="1"/>
        <v>0</v>
      </c>
      <c r="F23" s="77"/>
      <c r="G23" s="78"/>
      <c r="H23" s="264"/>
      <c r="I23" s="194"/>
      <c r="J23" s="19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7"/>
      <c r="B24" s="14" t="s">
        <v>123</v>
      </c>
      <c r="C24" s="10"/>
      <c r="D24" s="48">
        <f t="shared" si="1"/>
        <v>0</v>
      </c>
      <c r="F24" s="38"/>
      <c r="G24" s="37"/>
      <c r="H24" s="195"/>
      <c r="I24" s="164"/>
      <c r="J24" s="16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6" t="s">
        <v>13</v>
      </c>
      <c r="I25" s="197"/>
      <c r="J25" s="19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7"/>
      <c r="B26" s="14" t="s">
        <v>124</v>
      </c>
      <c r="C26" s="10"/>
      <c r="D26" s="48">
        <f t="shared" si="1"/>
        <v>0</v>
      </c>
      <c r="F26" s="64"/>
      <c r="G26" s="59"/>
      <c r="H26" s="199"/>
      <c r="I26" s="200"/>
      <c r="J26" s="20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7"/>
      <c r="B27" s="14" t="s">
        <v>125</v>
      </c>
      <c r="C27" s="10"/>
      <c r="D27" s="44">
        <f t="shared" si="1"/>
        <v>0</v>
      </c>
      <c r="F27" s="25"/>
      <c r="G27" s="79"/>
      <c r="H27" s="202"/>
      <c r="I27" s="203"/>
      <c r="J27" s="20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8"/>
      <c r="B28" s="46" t="s">
        <v>92</v>
      </c>
      <c r="C28" s="10"/>
      <c r="D28" s="48">
        <f t="shared" si="1"/>
        <v>0</v>
      </c>
      <c r="F28" s="119"/>
      <c r="G28" s="61"/>
      <c r="H28" s="205"/>
      <c r="I28" s="206"/>
      <c r="J28" s="20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9" t="s">
        <v>36</v>
      </c>
      <c r="B29" s="180"/>
      <c r="C29" s="181"/>
      <c r="D29" s="185">
        <f>SUM(D6:D28)</f>
        <v>355218</v>
      </c>
      <c r="F29" s="125" t="s">
        <v>54</v>
      </c>
      <c r="G29" s="187"/>
      <c r="H29" s="147">
        <f>H15-H16-H17-H18-H19-H20-H22-H23-H24+H26+H27</f>
        <v>292870.5</v>
      </c>
      <c r="I29" s="148"/>
      <c r="J29" s="14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2"/>
      <c r="B30" s="183"/>
      <c r="C30" s="184"/>
      <c r="D30" s="186"/>
      <c r="F30" s="128"/>
      <c r="G30" s="188"/>
      <c r="H30" s="150"/>
      <c r="I30" s="151"/>
      <c r="J30" s="15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2" t="s">
        <v>57</v>
      </c>
      <c r="B32" s="173"/>
      <c r="C32" s="173"/>
      <c r="D32" s="174"/>
      <c r="F32" s="175" t="s">
        <v>58</v>
      </c>
      <c r="G32" s="176"/>
      <c r="H32" s="176"/>
      <c r="I32" s="176"/>
      <c r="J32" s="17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75" t="s">
        <v>13</v>
      </c>
      <c r="I33" s="176"/>
      <c r="J33" s="17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6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73">
        <v>142</v>
      </c>
      <c r="H34" s="169">
        <f>F34*G34</f>
        <v>142000</v>
      </c>
      <c r="I34" s="170"/>
      <c r="J34" s="17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7"/>
      <c r="B35" s="27" t="s">
        <v>67</v>
      </c>
      <c r="C35" s="52"/>
      <c r="D35" s="30">
        <f>C35*84</f>
        <v>0</v>
      </c>
      <c r="F35" s="58">
        <v>500</v>
      </c>
      <c r="G35" s="121">
        <v>9</v>
      </c>
      <c r="H35" s="169">
        <f>F35*G35</f>
        <v>4500</v>
      </c>
      <c r="I35" s="170"/>
      <c r="J35" s="17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8"/>
      <c r="B36" s="26" t="s">
        <v>69</v>
      </c>
      <c r="C36" s="10"/>
      <c r="D36" s="12">
        <f>C36*1.5</f>
        <v>0</v>
      </c>
      <c r="F36" s="12">
        <v>200</v>
      </c>
      <c r="G36" s="37"/>
      <c r="H36" s="169">
        <f t="shared" ref="H36:H39" si="2">F36*G36</f>
        <v>0</v>
      </c>
      <c r="I36" s="170"/>
      <c r="J36" s="17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6" t="s">
        <v>71</v>
      </c>
      <c r="B37" s="28" t="s">
        <v>65</v>
      </c>
      <c r="C37" s="53">
        <v>525</v>
      </c>
      <c r="D37" s="12">
        <f>C37*111</f>
        <v>58275</v>
      </c>
      <c r="F37" s="12">
        <v>100</v>
      </c>
      <c r="G37" s="39">
        <v>2</v>
      </c>
      <c r="H37" s="169">
        <f t="shared" si="2"/>
        <v>200</v>
      </c>
      <c r="I37" s="170"/>
      <c r="J37" s="17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7"/>
      <c r="B38" s="29" t="s">
        <v>67</v>
      </c>
      <c r="C38" s="54">
        <v>10</v>
      </c>
      <c r="D38" s="12">
        <f>C38*84</f>
        <v>840</v>
      </c>
      <c r="F38" s="30">
        <v>50</v>
      </c>
      <c r="G38" s="39">
        <v>2</v>
      </c>
      <c r="H38" s="169">
        <f t="shared" si="2"/>
        <v>100</v>
      </c>
      <c r="I38" s="170"/>
      <c r="J38" s="17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8"/>
      <c r="B39" s="29" t="s">
        <v>69</v>
      </c>
      <c r="C39" s="52">
        <v>7</v>
      </c>
      <c r="D39" s="31">
        <f>C39*4.5</f>
        <v>31.5</v>
      </c>
      <c r="F39" s="12">
        <v>20</v>
      </c>
      <c r="G39" s="37"/>
      <c r="H39" s="169">
        <f t="shared" si="2"/>
        <v>0</v>
      </c>
      <c r="I39" s="170"/>
      <c r="J39" s="17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6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122"/>
      <c r="H40" s="169"/>
      <c r="I40" s="170"/>
      <c r="J40" s="17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7"/>
      <c r="B41" s="27" t="s">
        <v>67</v>
      </c>
      <c r="C41" s="10"/>
      <c r="D41" s="12">
        <f>C41*84</f>
        <v>0</v>
      </c>
      <c r="F41" s="12">
        <v>5</v>
      </c>
      <c r="G41" s="122"/>
      <c r="H41" s="169"/>
      <c r="I41" s="170"/>
      <c r="J41" s="17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8"/>
      <c r="B42" s="27" t="s">
        <v>69</v>
      </c>
      <c r="C42" s="11">
        <v>8</v>
      </c>
      <c r="D42" s="12">
        <f>C42*2.25</f>
        <v>18</v>
      </c>
      <c r="F42" s="39" t="s">
        <v>78</v>
      </c>
      <c r="G42" s="169">
        <v>22</v>
      </c>
      <c r="H42" s="170"/>
      <c r="I42" s="170"/>
      <c r="J42" s="17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9" t="s">
        <v>80</v>
      </c>
      <c r="C43" s="11"/>
      <c r="D43" s="12"/>
      <c r="F43" s="59" t="s">
        <v>81</v>
      </c>
      <c r="G43" s="117" t="s">
        <v>82</v>
      </c>
      <c r="H43" s="161" t="s">
        <v>13</v>
      </c>
      <c r="I43" s="162"/>
      <c r="J43" s="16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0"/>
      <c r="B44" s="27" t="s">
        <v>65</v>
      </c>
      <c r="C44" s="10">
        <v>2</v>
      </c>
      <c r="D44" s="12">
        <f>C44*120</f>
        <v>240</v>
      </c>
      <c r="F44" s="37" t="s">
        <v>136</v>
      </c>
      <c r="G44" s="62" t="s">
        <v>203</v>
      </c>
      <c r="H44" s="164">
        <v>146044</v>
      </c>
      <c r="I44" s="164"/>
      <c r="J44" s="16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0"/>
      <c r="B45" s="27" t="s">
        <v>67</v>
      </c>
      <c r="C45" s="33"/>
      <c r="D45" s="12">
        <f>C45*84</f>
        <v>0</v>
      </c>
      <c r="F45" s="37"/>
      <c r="G45" s="75"/>
      <c r="H45" s="164"/>
      <c r="I45" s="164"/>
      <c r="J45" s="164"/>
      <c r="K45" s="21"/>
      <c r="P45" s="4"/>
      <c r="Q45" s="4"/>
      <c r="R45" s="5"/>
    </row>
    <row r="46" spans="1:18" ht="15.75" x14ac:dyDescent="0.25">
      <c r="A46" s="140"/>
      <c r="B46" s="49" t="s">
        <v>69</v>
      </c>
      <c r="C46" s="80"/>
      <c r="D46" s="12">
        <f>C46*1.5</f>
        <v>0</v>
      </c>
      <c r="F46" s="37"/>
      <c r="G46" s="62"/>
      <c r="H46" s="164"/>
      <c r="I46" s="164"/>
      <c r="J46" s="164"/>
      <c r="K46" s="21"/>
      <c r="P46" s="4"/>
      <c r="Q46" s="4"/>
      <c r="R46" s="5"/>
    </row>
    <row r="47" spans="1:18" ht="15.75" x14ac:dyDescent="0.25">
      <c r="A47" s="141"/>
      <c r="B47" s="27"/>
      <c r="C47" s="11"/>
      <c r="D47" s="12"/>
      <c r="F47" s="59"/>
      <c r="G47" s="59"/>
      <c r="H47" s="164"/>
      <c r="I47" s="164"/>
      <c r="J47" s="164"/>
      <c r="K47" s="21"/>
      <c r="P47" s="4"/>
      <c r="Q47" s="4"/>
      <c r="R47" s="5"/>
    </row>
    <row r="48" spans="1:18" ht="15" customHeight="1" x14ac:dyDescent="0.25">
      <c r="A48" s="139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0"/>
      <c r="B49" s="29" t="s">
        <v>67</v>
      </c>
      <c r="C49" s="33">
        <v>12</v>
      </c>
      <c r="D49" s="12">
        <f>C49*42</f>
        <v>504</v>
      </c>
      <c r="F49" s="145" t="s">
        <v>85</v>
      </c>
      <c r="G49" s="147">
        <f>H34+H35+H36+H37+H38+H39+H40+H41+G42+H44+H45+H46+H47+H48</f>
        <v>292866</v>
      </c>
      <c r="H49" s="148"/>
      <c r="I49" s="148"/>
      <c r="J49" s="14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0"/>
      <c r="B50" s="32" t="s">
        <v>69</v>
      </c>
      <c r="C50" s="80"/>
      <c r="D50" s="12">
        <f>C50*1.5</f>
        <v>0</v>
      </c>
      <c r="F50" s="146"/>
      <c r="G50" s="150"/>
      <c r="H50" s="151"/>
      <c r="I50" s="151"/>
      <c r="J50" s="152"/>
      <c r="O50" t="s">
        <v>112</v>
      </c>
      <c r="P50" s="4">
        <v>1204</v>
      </c>
      <c r="Q50" s="4"/>
      <c r="R50" s="5"/>
    </row>
    <row r="51" spans="1:18" ht="15" customHeight="1" x14ac:dyDescent="0.25">
      <c r="A51" s="140"/>
      <c r="B51" s="27"/>
      <c r="C51" s="10"/>
      <c r="D51" s="31"/>
      <c r="F51" s="153" t="str">
        <f>_xlfn.IFS(H29&gt;G49,"SHORT",H29&lt;G49,"OVER",H29&lt;=G49,"-")</f>
        <v>SHORT</v>
      </c>
      <c r="G51" s="155">
        <f>G49-H29</f>
        <v>-4.5</v>
      </c>
      <c r="H51" s="156"/>
      <c r="I51" s="156"/>
      <c r="J51" s="1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140"/>
      <c r="B52" s="29"/>
      <c r="C52" s="33"/>
      <c r="D52" s="45"/>
      <c r="F52" s="154"/>
      <c r="G52" s="158"/>
      <c r="H52" s="159"/>
      <c r="I52" s="159"/>
      <c r="J52" s="1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5" t="s">
        <v>89</v>
      </c>
      <c r="B54" s="126"/>
      <c r="C54" s="127"/>
      <c r="D54" s="131">
        <f>SUM(D34:D53)</f>
        <v>60337.5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8"/>
      <c r="B55" s="129"/>
      <c r="C55" s="130"/>
      <c r="D55" s="13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192</v>
      </c>
      <c r="D57" s="34"/>
      <c r="F57" s="36"/>
      <c r="G57" s="50"/>
      <c r="H57" s="50"/>
      <c r="I57" s="50"/>
      <c r="J57" s="43"/>
    </row>
    <row r="58" spans="1:18" x14ac:dyDescent="0.25">
      <c r="A58" s="133" t="s">
        <v>90</v>
      </c>
      <c r="B58" s="134"/>
      <c r="C58" s="134"/>
      <c r="D58" s="135"/>
      <c r="F58" s="133" t="s">
        <v>91</v>
      </c>
      <c r="G58" s="134"/>
      <c r="H58" s="134"/>
      <c r="I58" s="134"/>
      <c r="J58" s="135"/>
    </row>
    <row r="59" spans="1:18" x14ac:dyDescent="0.25">
      <c r="A59" s="136"/>
      <c r="B59" s="137"/>
      <c r="C59" s="137"/>
      <c r="D59" s="138"/>
      <c r="F59" s="136"/>
      <c r="G59" s="137"/>
      <c r="H59" s="137"/>
      <c r="I59" s="137"/>
      <c r="J59" s="13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5" priority="1" operator="containsText" text="OVER">
      <formula>NOT(ISERROR(SEARCH("OVER",F51)))</formula>
    </cfRule>
    <cfRule type="containsText" dxfId="4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23478F65-8059-482F-AF52-298BF72FFD78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E77538-60DB-4ADD-9E1B-A065932539C6}">
  <dimension ref="A1:R59"/>
  <sheetViews>
    <sheetView topLeftCell="A28" zoomScaleNormal="100" zoomScaleSheetLayoutView="85" workbookViewId="0">
      <selection activeCell="N60" sqref="N60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1" t="s">
        <v>1</v>
      </c>
      <c r="O1" s="221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2" t="s">
        <v>7</v>
      </c>
      <c r="B4" s="173"/>
      <c r="C4" s="173"/>
      <c r="D4" s="174"/>
      <c r="F4" s="222" t="s">
        <v>8</v>
      </c>
      <c r="G4" s="224">
        <v>3</v>
      </c>
      <c r="H4" s="226" t="s">
        <v>9</v>
      </c>
      <c r="I4" s="228">
        <v>46255</v>
      </c>
      <c r="J4" s="22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6" t="s">
        <v>7</v>
      </c>
      <c r="B5" s="15" t="s">
        <v>11</v>
      </c>
      <c r="C5" s="9" t="s">
        <v>12</v>
      </c>
      <c r="D5" s="25" t="s">
        <v>13</v>
      </c>
      <c r="F5" s="223"/>
      <c r="G5" s="225"/>
      <c r="H5" s="227"/>
      <c r="I5" s="230"/>
      <c r="J5" s="23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7"/>
      <c r="B6" s="16" t="s">
        <v>15</v>
      </c>
      <c r="C6" s="10">
        <v>353</v>
      </c>
      <c r="D6" s="13">
        <f t="shared" ref="D6:D28" si="1">C6*L6</f>
        <v>268633</v>
      </c>
      <c r="F6" s="232" t="s">
        <v>16</v>
      </c>
      <c r="G6" s="234" t="s">
        <v>142</v>
      </c>
      <c r="H6" s="235"/>
      <c r="I6" s="235"/>
      <c r="J6" s="2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7"/>
      <c r="B7" s="16" t="s">
        <v>18</v>
      </c>
      <c r="C7" s="10">
        <v>35</v>
      </c>
      <c r="D7" s="13">
        <f t="shared" si="1"/>
        <v>27335</v>
      </c>
      <c r="F7" s="233"/>
      <c r="G7" s="237"/>
      <c r="H7" s="238"/>
      <c r="I7" s="238"/>
      <c r="J7" s="2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7"/>
      <c r="B8" s="16" t="s">
        <v>20</v>
      </c>
      <c r="C8" s="10">
        <v>15</v>
      </c>
      <c r="D8" s="13">
        <f t="shared" si="1"/>
        <v>16395</v>
      </c>
      <c r="F8" s="240" t="s">
        <v>21</v>
      </c>
      <c r="G8" s="241" t="s">
        <v>109</v>
      </c>
      <c r="H8" s="242"/>
      <c r="I8" s="242"/>
      <c r="J8" s="24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7"/>
      <c r="B9" s="16" t="s">
        <v>23</v>
      </c>
      <c r="C9" s="10">
        <v>50</v>
      </c>
      <c r="D9" s="13">
        <f t="shared" si="1"/>
        <v>36650</v>
      </c>
      <c r="F9" s="233"/>
      <c r="G9" s="244"/>
      <c r="H9" s="245"/>
      <c r="I9" s="245"/>
      <c r="J9" s="24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7"/>
      <c r="B10" t="s">
        <v>25</v>
      </c>
      <c r="C10" s="10">
        <v>20</v>
      </c>
      <c r="D10" s="13">
        <f t="shared" si="1"/>
        <v>20640</v>
      </c>
      <c r="F10" s="232" t="s">
        <v>26</v>
      </c>
      <c r="G10" s="247" t="s">
        <v>119</v>
      </c>
      <c r="H10" s="248"/>
      <c r="I10" s="248"/>
      <c r="J10" s="249"/>
      <c r="K10" s="8"/>
      <c r="L10" s="6">
        <f>R36</f>
        <v>1032</v>
      </c>
      <c r="P10" s="4"/>
      <c r="Q10" s="4"/>
      <c r="R10" s="5"/>
    </row>
    <row r="11" spans="1:18" ht="15.75" x14ac:dyDescent="0.25">
      <c r="A11" s="167"/>
      <c r="B11" s="17" t="s">
        <v>28</v>
      </c>
      <c r="C11" s="10">
        <v>10</v>
      </c>
      <c r="D11" s="13">
        <f t="shared" si="1"/>
        <v>11700</v>
      </c>
      <c r="F11" s="233"/>
      <c r="G11" s="244"/>
      <c r="H11" s="245"/>
      <c r="I11" s="245"/>
      <c r="J11" s="24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7"/>
      <c r="B12" s="17" t="s">
        <v>30</v>
      </c>
      <c r="C12" s="10">
        <v>10</v>
      </c>
      <c r="D12" s="48">
        <f t="shared" si="1"/>
        <v>9920</v>
      </c>
      <c r="F12" s="250" t="s">
        <v>33</v>
      </c>
      <c r="G12" s="251"/>
      <c r="H12" s="251"/>
      <c r="I12" s="251"/>
      <c r="J12" s="25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7"/>
      <c r="B13" s="17" t="s">
        <v>32</v>
      </c>
      <c r="C13" s="10"/>
      <c r="D13" s="48">
        <f t="shared" si="1"/>
        <v>0</v>
      </c>
      <c r="F13" s="253" t="s">
        <v>36</v>
      </c>
      <c r="G13" s="217"/>
      <c r="H13" s="208">
        <f>D29</f>
        <v>421825</v>
      </c>
      <c r="I13" s="209"/>
      <c r="J13" s="21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7"/>
      <c r="B14" s="14" t="s">
        <v>35</v>
      </c>
      <c r="C14" s="10"/>
      <c r="D14" s="31">
        <f t="shared" si="1"/>
        <v>0</v>
      </c>
      <c r="F14" s="211" t="s">
        <v>38</v>
      </c>
      <c r="G14" s="212"/>
      <c r="H14" s="213">
        <f>D54</f>
        <v>47832.75</v>
      </c>
      <c r="I14" s="214"/>
      <c r="J14" s="215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7"/>
      <c r="B15" s="14" t="s">
        <v>117</v>
      </c>
      <c r="C15" s="10">
        <v>6</v>
      </c>
      <c r="D15" s="31">
        <f t="shared" si="1"/>
        <v>3720</v>
      </c>
      <c r="F15" s="216" t="s">
        <v>39</v>
      </c>
      <c r="G15" s="217"/>
      <c r="H15" s="218">
        <f>H13-H14</f>
        <v>373992.25</v>
      </c>
      <c r="I15" s="219"/>
      <c r="J15" s="22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7"/>
      <c r="B16" s="18" t="s">
        <v>110</v>
      </c>
      <c r="C16" s="10">
        <v>20</v>
      </c>
      <c r="D16" s="48">
        <f t="shared" si="1"/>
        <v>13000</v>
      </c>
      <c r="F16" s="67" t="s">
        <v>41</v>
      </c>
      <c r="G16" s="66" t="s">
        <v>42</v>
      </c>
      <c r="H16" s="178">
        <v>300</v>
      </c>
      <c r="I16" s="178"/>
      <c r="J16" s="17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7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9"/>
      <c r="I17" s="189"/>
      <c r="J17" s="18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7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9"/>
      <c r="I18" s="189"/>
      <c r="J18" s="18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7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3"/>
      <c r="I19" s="263"/>
      <c r="J19" s="26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7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8"/>
      <c r="I20" s="178"/>
      <c r="J20" s="17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7"/>
      <c r="B21" s="14" t="s">
        <v>162</v>
      </c>
      <c r="C21" s="10">
        <v>1</v>
      </c>
      <c r="D21" s="48">
        <f t="shared" si="1"/>
        <v>1667</v>
      </c>
      <c r="F21" s="69" t="s">
        <v>94</v>
      </c>
      <c r="G21" s="81" t="s">
        <v>93</v>
      </c>
      <c r="H21" s="191" t="s">
        <v>13</v>
      </c>
      <c r="I21" s="192"/>
      <c r="J21" s="193"/>
      <c r="L21" s="124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7"/>
      <c r="B22" s="46" t="s">
        <v>103</v>
      </c>
      <c r="C22" s="10"/>
      <c r="D22" s="48">
        <f t="shared" si="1"/>
        <v>0</v>
      </c>
      <c r="F22" s="76"/>
      <c r="G22" s="72"/>
      <c r="H22" s="194"/>
      <c r="I22" s="194"/>
      <c r="J22" s="19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7"/>
      <c r="B23" s="14" t="s">
        <v>116</v>
      </c>
      <c r="C23" s="10"/>
      <c r="D23" s="48">
        <f t="shared" si="1"/>
        <v>0</v>
      </c>
      <c r="F23" s="77"/>
      <c r="G23" s="78"/>
      <c r="H23" s="264"/>
      <c r="I23" s="194"/>
      <c r="J23" s="194"/>
      <c r="L23" s="47">
        <f>912/24+1.5</f>
        <v>39.5</v>
      </c>
      <c r="M23" s="123"/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7"/>
      <c r="B24" s="14" t="s">
        <v>123</v>
      </c>
      <c r="C24" s="10"/>
      <c r="D24" s="48">
        <f t="shared" si="1"/>
        <v>0</v>
      </c>
      <c r="F24" s="38"/>
      <c r="G24" s="37"/>
      <c r="H24" s="195"/>
      <c r="I24" s="164"/>
      <c r="J24" s="16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6" t="s">
        <v>13</v>
      </c>
      <c r="I25" s="197"/>
      <c r="J25" s="19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7"/>
      <c r="B26" s="14" t="s">
        <v>124</v>
      </c>
      <c r="C26" s="10"/>
      <c r="D26" s="48">
        <f t="shared" si="1"/>
        <v>0</v>
      </c>
      <c r="F26" s="64"/>
      <c r="G26" s="59"/>
      <c r="H26" s="199"/>
      <c r="I26" s="200"/>
      <c r="J26" s="20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7"/>
      <c r="B27" s="14" t="s">
        <v>125</v>
      </c>
      <c r="C27" s="10"/>
      <c r="D27" s="44">
        <f t="shared" si="1"/>
        <v>0</v>
      </c>
      <c r="F27" s="25"/>
      <c r="G27" s="79"/>
      <c r="H27" s="202"/>
      <c r="I27" s="203"/>
      <c r="J27" s="20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8"/>
      <c r="B28" s="46" t="s">
        <v>92</v>
      </c>
      <c r="C28" s="10">
        <v>15</v>
      </c>
      <c r="D28" s="48">
        <f t="shared" si="1"/>
        <v>12165</v>
      </c>
      <c r="F28" s="119"/>
      <c r="G28" s="61"/>
      <c r="H28" s="205"/>
      <c r="I28" s="206"/>
      <c r="J28" s="207"/>
      <c r="L28" s="47">
        <f>R44</f>
        <v>811</v>
      </c>
      <c r="N28" s="4"/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9" t="s">
        <v>36</v>
      </c>
      <c r="B29" s="180"/>
      <c r="C29" s="181"/>
      <c r="D29" s="185">
        <f>SUM(D6:D28)</f>
        <v>421825</v>
      </c>
      <c r="F29" s="125" t="s">
        <v>54</v>
      </c>
      <c r="G29" s="187"/>
      <c r="H29" s="147">
        <f>H15-H16-H17-H18-H19-H20-H22-H23-H24+H26+H27</f>
        <v>373692.25</v>
      </c>
      <c r="I29" s="148"/>
      <c r="J29" s="14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2"/>
      <c r="B30" s="183"/>
      <c r="C30" s="184"/>
      <c r="D30" s="186"/>
      <c r="F30" s="128"/>
      <c r="G30" s="188"/>
      <c r="H30" s="150"/>
      <c r="I30" s="151"/>
      <c r="J30" s="15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2" t="s">
        <v>57</v>
      </c>
      <c r="B32" s="173"/>
      <c r="C32" s="173"/>
      <c r="D32" s="174"/>
      <c r="F32" s="175" t="s">
        <v>58</v>
      </c>
      <c r="G32" s="176"/>
      <c r="H32" s="176"/>
      <c r="I32" s="176"/>
      <c r="J32" s="17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75" t="s">
        <v>13</v>
      </c>
      <c r="I33" s="176"/>
      <c r="J33" s="17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6" t="s">
        <v>64</v>
      </c>
      <c r="B34" s="26" t="s">
        <v>65</v>
      </c>
      <c r="C34" s="51">
        <v>6</v>
      </c>
      <c r="D34" s="30">
        <f>C34*120</f>
        <v>720</v>
      </c>
      <c r="F34" s="12">
        <v>1000</v>
      </c>
      <c r="G34" s="73">
        <v>30</v>
      </c>
      <c r="H34" s="169">
        <f>F34*G34</f>
        <v>30000</v>
      </c>
      <c r="I34" s="170"/>
      <c r="J34" s="17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7"/>
      <c r="B35" s="27" t="s">
        <v>67</v>
      </c>
      <c r="C35" s="52">
        <v>12</v>
      </c>
      <c r="D35" s="30">
        <f>C35*84</f>
        <v>1008</v>
      </c>
      <c r="F35" s="58">
        <v>500</v>
      </c>
      <c r="G35" s="121">
        <v>3</v>
      </c>
      <c r="H35" s="169">
        <f>F35*G35</f>
        <v>1500</v>
      </c>
      <c r="I35" s="170"/>
      <c r="J35" s="17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8"/>
      <c r="B36" s="26" t="s">
        <v>69</v>
      </c>
      <c r="C36" s="10">
        <v>9</v>
      </c>
      <c r="D36" s="12">
        <f>C36*1.5</f>
        <v>13.5</v>
      </c>
      <c r="F36" s="12">
        <v>200</v>
      </c>
      <c r="G36" s="37"/>
      <c r="H36" s="169">
        <f t="shared" ref="H36:H39" si="2">F36*G36</f>
        <v>0</v>
      </c>
      <c r="I36" s="170"/>
      <c r="J36" s="17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6" t="s">
        <v>71</v>
      </c>
      <c r="B37" s="28" t="s">
        <v>65</v>
      </c>
      <c r="C37" s="53">
        <v>111</v>
      </c>
      <c r="D37" s="12">
        <f>C37*111</f>
        <v>12321</v>
      </c>
      <c r="F37" s="12">
        <v>100</v>
      </c>
      <c r="G37" s="39">
        <v>3</v>
      </c>
      <c r="H37" s="169">
        <f t="shared" si="2"/>
        <v>300</v>
      </c>
      <c r="I37" s="170"/>
      <c r="J37" s="17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7"/>
      <c r="B38" s="29" t="s">
        <v>67</v>
      </c>
      <c r="C38" s="54">
        <v>311</v>
      </c>
      <c r="D38" s="12">
        <f>C38*84</f>
        <v>26124</v>
      </c>
      <c r="F38" s="30">
        <v>50</v>
      </c>
      <c r="G38" s="39"/>
      <c r="H38" s="169">
        <f t="shared" si="2"/>
        <v>0</v>
      </c>
      <c r="I38" s="170"/>
      <c r="J38" s="17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8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169">
        <f t="shared" si="2"/>
        <v>0</v>
      </c>
      <c r="I39" s="170"/>
      <c r="J39" s="17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6" t="s">
        <v>75</v>
      </c>
      <c r="B40" s="27" t="s">
        <v>65</v>
      </c>
      <c r="C40" s="63"/>
      <c r="D40" s="12">
        <f>C40*111</f>
        <v>0</v>
      </c>
      <c r="F40" s="12">
        <v>10</v>
      </c>
      <c r="G40" s="122"/>
      <c r="H40" s="169"/>
      <c r="I40" s="170"/>
      <c r="J40" s="17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7"/>
      <c r="B41" s="27" t="s">
        <v>67</v>
      </c>
      <c r="C41" s="10">
        <v>38</v>
      </c>
      <c r="D41" s="12">
        <f>C41*84</f>
        <v>3192</v>
      </c>
      <c r="F41" s="12">
        <v>5</v>
      </c>
      <c r="G41" s="122"/>
      <c r="H41" s="169"/>
      <c r="I41" s="170"/>
      <c r="J41" s="17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8"/>
      <c r="B42" s="27" t="s">
        <v>69</v>
      </c>
      <c r="C42" s="11">
        <v>15</v>
      </c>
      <c r="D42" s="12">
        <f>C42*2.25</f>
        <v>33.75</v>
      </c>
      <c r="F42" s="39" t="s">
        <v>78</v>
      </c>
      <c r="G42" s="169">
        <v>43</v>
      </c>
      <c r="H42" s="170"/>
      <c r="I42" s="170"/>
      <c r="J42" s="17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9" t="s">
        <v>80</v>
      </c>
      <c r="C43" s="11"/>
      <c r="D43" s="12"/>
      <c r="F43" s="59" t="s">
        <v>81</v>
      </c>
      <c r="G43" s="117" t="s">
        <v>82</v>
      </c>
      <c r="H43" s="161" t="s">
        <v>13</v>
      </c>
      <c r="I43" s="162"/>
      <c r="J43" s="16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0"/>
      <c r="B44" s="27" t="s">
        <v>65</v>
      </c>
      <c r="C44" s="10">
        <v>1</v>
      </c>
      <c r="D44" s="12">
        <f>C44*120</f>
        <v>120</v>
      </c>
      <c r="F44" s="37" t="s">
        <v>136</v>
      </c>
      <c r="G44" s="87" t="s">
        <v>204</v>
      </c>
      <c r="H44" s="164">
        <v>342768</v>
      </c>
      <c r="I44" s="164"/>
      <c r="J44" s="16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0"/>
      <c r="B45" s="27" t="s">
        <v>67</v>
      </c>
      <c r="C45" s="33">
        <v>51</v>
      </c>
      <c r="D45" s="12">
        <f>C45*84</f>
        <v>4284</v>
      </c>
      <c r="F45" s="37"/>
      <c r="G45" s="87"/>
      <c r="H45" s="164"/>
      <c r="I45" s="164"/>
      <c r="J45" s="164"/>
      <c r="K45" s="21"/>
      <c r="P45" s="4"/>
      <c r="Q45" s="4"/>
      <c r="R45" s="5"/>
    </row>
    <row r="46" spans="1:18" ht="15.75" x14ac:dyDescent="0.25">
      <c r="A46" s="140"/>
      <c r="B46" s="49" t="s">
        <v>69</v>
      </c>
      <c r="C46" s="80">
        <v>8</v>
      </c>
      <c r="D46" s="12">
        <f>C46*1.5</f>
        <v>12</v>
      </c>
      <c r="F46" s="37"/>
      <c r="G46" s="75"/>
      <c r="H46" s="164"/>
      <c r="I46" s="164"/>
      <c r="J46" s="164"/>
      <c r="K46" s="21"/>
      <c r="P46" s="4"/>
      <c r="Q46" s="4"/>
      <c r="R46" s="5"/>
    </row>
    <row r="47" spans="1:18" ht="15.75" x14ac:dyDescent="0.25">
      <c r="A47" s="141"/>
      <c r="B47" s="27"/>
      <c r="C47" s="11"/>
      <c r="D47" s="12"/>
      <c r="F47" s="37"/>
      <c r="G47" s="75"/>
      <c r="H47" s="164"/>
      <c r="I47" s="164"/>
      <c r="J47" s="164"/>
      <c r="K47" s="21"/>
      <c r="P47" s="4"/>
      <c r="Q47" s="4"/>
      <c r="R47" s="5"/>
    </row>
    <row r="48" spans="1:18" ht="15" customHeight="1" x14ac:dyDescent="0.25">
      <c r="A48" s="139" t="s">
        <v>32</v>
      </c>
      <c r="B48" s="27" t="s">
        <v>65</v>
      </c>
      <c r="C48" s="10"/>
      <c r="D48" s="12">
        <f>C48*78</f>
        <v>0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0"/>
      <c r="B49" s="29" t="s">
        <v>67</v>
      </c>
      <c r="C49" s="33"/>
      <c r="D49" s="12">
        <f>C49*42</f>
        <v>0</v>
      </c>
      <c r="F49" s="145" t="s">
        <v>85</v>
      </c>
      <c r="G49" s="147">
        <f>H34+H35+H36+H37+H38+H39+H40+H41+G42+H44+H45+H46+H47+H48</f>
        <v>374611</v>
      </c>
      <c r="H49" s="148"/>
      <c r="I49" s="148"/>
      <c r="J49" s="14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0"/>
      <c r="B50" s="32" t="s">
        <v>69</v>
      </c>
      <c r="C50" s="11"/>
      <c r="D50" s="12">
        <f>C50*1.5</f>
        <v>0</v>
      </c>
      <c r="F50" s="146"/>
      <c r="G50" s="150"/>
      <c r="H50" s="151"/>
      <c r="I50" s="151"/>
      <c r="J50" s="152"/>
      <c r="O50" t="s">
        <v>112</v>
      </c>
      <c r="P50" s="4">
        <v>1204</v>
      </c>
      <c r="Q50" s="4"/>
      <c r="R50" s="5"/>
    </row>
    <row r="51" spans="1:18" ht="15" customHeight="1" x14ac:dyDescent="0.25">
      <c r="A51" s="140"/>
      <c r="B51" s="27"/>
      <c r="C51" s="10"/>
      <c r="D51" s="31"/>
      <c r="F51" s="153" t="str">
        <f>_xlfn.IFS(H29&gt;G49,"SHORT",H29&lt;G49,"OVER",H29&lt;=G49,"-")</f>
        <v>OVER</v>
      </c>
      <c r="G51" s="155">
        <f>G49-H29</f>
        <v>918.75</v>
      </c>
      <c r="H51" s="156"/>
      <c r="I51" s="156"/>
      <c r="J51" s="1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140"/>
      <c r="B52" s="29"/>
      <c r="C52" s="33"/>
      <c r="D52" s="45"/>
      <c r="F52" s="154"/>
      <c r="G52" s="158"/>
      <c r="H52" s="159"/>
      <c r="I52" s="159"/>
      <c r="J52" s="1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5" t="s">
        <v>89</v>
      </c>
      <c r="B54" s="126"/>
      <c r="C54" s="127"/>
      <c r="D54" s="131">
        <f>SUM(D34:D53)</f>
        <v>47832.75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8"/>
      <c r="B55" s="129"/>
      <c r="C55" s="130"/>
      <c r="D55" s="13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33" t="s">
        <v>90</v>
      </c>
      <c r="B58" s="134"/>
      <c r="C58" s="134"/>
      <c r="D58" s="135"/>
      <c r="F58" s="133" t="s">
        <v>91</v>
      </c>
      <c r="G58" s="134"/>
      <c r="H58" s="134"/>
      <c r="I58" s="134"/>
      <c r="J58" s="135"/>
    </row>
    <row r="59" spans="1:18" x14ac:dyDescent="0.25">
      <c r="A59" s="136"/>
      <c r="B59" s="137"/>
      <c r="C59" s="137"/>
      <c r="D59" s="138"/>
      <c r="F59" s="136"/>
      <c r="G59" s="137"/>
      <c r="H59" s="137"/>
      <c r="I59" s="137"/>
      <c r="J59" s="13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2" priority="1" operator="containsText" text="OVER">
      <formula>NOT(ISERROR(SEARCH("OVER",F51)))</formula>
    </cfRule>
    <cfRule type="containsText" dxfId="1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14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73F23BA1-2563-4376-BEB5-9FA46EF9ED75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73</vt:i4>
      </vt:variant>
      <vt:variant>
        <vt:lpstr>Named Ranges</vt:lpstr>
      </vt:variant>
      <vt:variant>
        <vt:i4>72</vt:i4>
      </vt:variant>
    </vt:vector>
  </HeadingPairs>
  <TitlesOfParts>
    <vt:vector size="145" baseType="lpstr">
      <vt:lpstr>(AUGUST 2026)</vt:lpstr>
      <vt:lpstr>(01)</vt:lpstr>
      <vt:lpstr>08,01 R1 NO TRIP</vt:lpstr>
      <vt:lpstr>08,01 R2 COLLECTION</vt:lpstr>
      <vt:lpstr>08,01 R3 NO TRIP</vt:lpstr>
      <vt:lpstr>(3)</vt:lpstr>
      <vt:lpstr>08,03 R1</vt:lpstr>
      <vt:lpstr>08,03 R2</vt:lpstr>
      <vt:lpstr>08,03 R3</vt:lpstr>
      <vt:lpstr>(4)</vt:lpstr>
      <vt:lpstr>08,04 R1 NO TRIP</vt:lpstr>
      <vt:lpstr>08,04 R2</vt:lpstr>
      <vt:lpstr>08,04 R3</vt:lpstr>
      <vt:lpstr>(5)</vt:lpstr>
      <vt:lpstr>08,05 R1</vt:lpstr>
      <vt:lpstr>08,05 R2</vt:lpstr>
      <vt:lpstr>08,05 R3 NO TRIP</vt:lpstr>
      <vt:lpstr>(6)</vt:lpstr>
      <vt:lpstr>08,06 R1 NO TRIP</vt:lpstr>
      <vt:lpstr>08,06 R2</vt:lpstr>
      <vt:lpstr>08,06 R3</vt:lpstr>
      <vt:lpstr>(7)</vt:lpstr>
      <vt:lpstr>08,07 R1</vt:lpstr>
      <vt:lpstr>08,07 R2</vt:lpstr>
      <vt:lpstr>08,07 R3</vt:lpstr>
      <vt:lpstr>(8)</vt:lpstr>
      <vt:lpstr>08,08 R1 NO TRIP</vt:lpstr>
      <vt:lpstr>08,08 R2</vt:lpstr>
      <vt:lpstr>08,08 R3</vt:lpstr>
      <vt:lpstr>(10)</vt:lpstr>
      <vt:lpstr>08,10 R1</vt:lpstr>
      <vt:lpstr>08,10 R2</vt:lpstr>
      <vt:lpstr>08,10 R3</vt:lpstr>
      <vt:lpstr>(11)</vt:lpstr>
      <vt:lpstr>08,11 R1</vt:lpstr>
      <vt:lpstr>08,11 R2</vt:lpstr>
      <vt:lpstr>08,11 R3</vt:lpstr>
      <vt:lpstr>(12)</vt:lpstr>
      <vt:lpstr>08,12 R1</vt:lpstr>
      <vt:lpstr>08,12 R2</vt:lpstr>
      <vt:lpstr>08,12 R3</vt:lpstr>
      <vt:lpstr>(13)</vt:lpstr>
      <vt:lpstr>08,13 R1</vt:lpstr>
      <vt:lpstr>08,13 R2</vt:lpstr>
      <vt:lpstr>08,13 R3</vt:lpstr>
      <vt:lpstr>(14)</vt:lpstr>
      <vt:lpstr>08,14 R1</vt:lpstr>
      <vt:lpstr>08,14 R2</vt:lpstr>
      <vt:lpstr>08,14 R3</vt:lpstr>
      <vt:lpstr>(15)</vt:lpstr>
      <vt:lpstr>08,15 R1 COLLECTION</vt:lpstr>
      <vt:lpstr>08,15 R2</vt:lpstr>
      <vt:lpstr>08,15 R3</vt:lpstr>
      <vt:lpstr>(17)</vt:lpstr>
      <vt:lpstr>08,17 R1</vt:lpstr>
      <vt:lpstr>08,17 R2</vt:lpstr>
      <vt:lpstr>08,17 R3</vt:lpstr>
      <vt:lpstr>(18)</vt:lpstr>
      <vt:lpstr>08,18 R1</vt:lpstr>
      <vt:lpstr>08,18 R2</vt:lpstr>
      <vt:lpstr>08,18 R3</vt:lpstr>
      <vt:lpstr>(19)</vt:lpstr>
      <vt:lpstr>08,19 R1</vt:lpstr>
      <vt:lpstr>08,19 R2</vt:lpstr>
      <vt:lpstr>08,19 R3</vt:lpstr>
      <vt:lpstr>(20)</vt:lpstr>
      <vt:lpstr>08,20 R1</vt:lpstr>
      <vt:lpstr>08,20 R2</vt:lpstr>
      <vt:lpstr>08,20 R3</vt:lpstr>
      <vt:lpstr>(21)</vt:lpstr>
      <vt:lpstr>08,21 R1 NO TRIP</vt:lpstr>
      <vt:lpstr>08,21 R2 </vt:lpstr>
      <vt:lpstr>08,21 R3</vt:lpstr>
      <vt:lpstr>'(01)'!Print_Area</vt:lpstr>
      <vt:lpstr>'(10)'!Print_Area</vt:lpstr>
      <vt:lpstr>'(11)'!Print_Area</vt:lpstr>
      <vt:lpstr>'(12)'!Print_Area</vt:lpstr>
      <vt:lpstr>'(13)'!Print_Area</vt:lpstr>
      <vt:lpstr>'(14)'!Print_Area</vt:lpstr>
      <vt:lpstr>'(15)'!Print_Area</vt:lpstr>
      <vt:lpstr>'(17)'!Print_Area</vt:lpstr>
      <vt:lpstr>'(18)'!Print_Area</vt:lpstr>
      <vt:lpstr>'(19)'!Print_Area</vt:lpstr>
      <vt:lpstr>'(20)'!Print_Area</vt:lpstr>
      <vt:lpstr>'(21)'!Print_Area</vt:lpstr>
      <vt:lpstr>'(3)'!Print_Area</vt:lpstr>
      <vt:lpstr>'(4)'!Print_Area</vt:lpstr>
      <vt:lpstr>'(5)'!Print_Area</vt:lpstr>
      <vt:lpstr>'(6)'!Print_Area</vt:lpstr>
      <vt:lpstr>'(7)'!Print_Area</vt:lpstr>
      <vt:lpstr>'(8)'!Print_Area</vt:lpstr>
      <vt:lpstr>'08,01 R1 NO TRIP'!Print_Area</vt:lpstr>
      <vt:lpstr>'08,01 R2 COLLECTION'!Print_Area</vt:lpstr>
      <vt:lpstr>'08,01 R3 NO TRIP'!Print_Area</vt:lpstr>
      <vt:lpstr>'08,03 R1'!Print_Area</vt:lpstr>
      <vt:lpstr>'08,03 R2'!Print_Area</vt:lpstr>
      <vt:lpstr>'08,03 R3'!Print_Area</vt:lpstr>
      <vt:lpstr>'08,04 R1 NO TRIP'!Print_Area</vt:lpstr>
      <vt:lpstr>'08,04 R2'!Print_Area</vt:lpstr>
      <vt:lpstr>'08,04 R3'!Print_Area</vt:lpstr>
      <vt:lpstr>'08,05 R1'!Print_Area</vt:lpstr>
      <vt:lpstr>'08,05 R2'!Print_Area</vt:lpstr>
      <vt:lpstr>'08,05 R3 NO TRIP'!Print_Area</vt:lpstr>
      <vt:lpstr>'08,06 R1 NO TRIP'!Print_Area</vt:lpstr>
      <vt:lpstr>'08,06 R2'!Print_Area</vt:lpstr>
      <vt:lpstr>'08,06 R3'!Print_Area</vt:lpstr>
      <vt:lpstr>'08,07 R1'!Print_Area</vt:lpstr>
      <vt:lpstr>'08,07 R2'!Print_Area</vt:lpstr>
      <vt:lpstr>'08,07 R3'!Print_Area</vt:lpstr>
      <vt:lpstr>'08,08 R1 NO TRIP'!Print_Area</vt:lpstr>
      <vt:lpstr>'08,08 R2'!Print_Area</vt:lpstr>
      <vt:lpstr>'08,08 R3'!Print_Area</vt:lpstr>
      <vt:lpstr>'08,10 R1'!Print_Area</vt:lpstr>
      <vt:lpstr>'08,10 R2'!Print_Area</vt:lpstr>
      <vt:lpstr>'08,10 R3'!Print_Area</vt:lpstr>
      <vt:lpstr>'08,11 R1'!Print_Area</vt:lpstr>
      <vt:lpstr>'08,11 R2'!Print_Area</vt:lpstr>
      <vt:lpstr>'08,11 R3'!Print_Area</vt:lpstr>
      <vt:lpstr>'08,12 R1'!Print_Area</vt:lpstr>
      <vt:lpstr>'08,12 R2'!Print_Area</vt:lpstr>
      <vt:lpstr>'08,12 R3'!Print_Area</vt:lpstr>
      <vt:lpstr>'08,13 R1'!Print_Area</vt:lpstr>
      <vt:lpstr>'08,13 R2'!Print_Area</vt:lpstr>
      <vt:lpstr>'08,13 R3'!Print_Area</vt:lpstr>
      <vt:lpstr>'08,14 R1'!Print_Area</vt:lpstr>
      <vt:lpstr>'08,14 R2'!Print_Area</vt:lpstr>
      <vt:lpstr>'08,14 R3'!Print_Area</vt:lpstr>
      <vt:lpstr>'08,15 R1 COLLECTION'!Print_Area</vt:lpstr>
      <vt:lpstr>'08,15 R2'!Print_Area</vt:lpstr>
      <vt:lpstr>'08,15 R3'!Print_Area</vt:lpstr>
      <vt:lpstr>'08,17 R1'!Print_Area</vt:lpstr>
      <vt:lpstr>'08,17 R2'!Print_Area</vt:lpstr>
      <vt:lpstr>'08,17 R3'!Print_Area</vt:lpstr>
      <vt:lpstr>'08,18 R1'!Print_Area</vt:lpstr>
      <vt:lpstr>'08,18 R2'!Print_Area</vt:lpstr>
      <vt:lpstr>'08,18 R3'!Print_Area</vt:lpstr>
      <vt:lpstr>'08,19 R1'!Print_Area</vt:lpstr>
      <vt:lpstr>'08,19 R2'!Print_Area</vt:lpstr>
      <vt:lpstr>'08,19 R3'!Print_Area</vt:lpstr>
      <vt:lpstr>'08,20 R1'!Print_Area</vt:lpstr>
      <vt:lpstr>'08,20 R2'!Print_Area</vt:lpstr>
      <vt:lpstr>'08,20 R3'!Print_Area</vt:lpstr>
      <vt:lpstr>'08,21 R1 NO TRIP'!Print_Area</vt:lpstr>
      <vt:lpstr>'08,21 R2 '!Print_Area</vt:lpstr>
      <vt:lpstr>'08,21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2026-08-22T08:23:03Z</cp:lastPrinted>
  <dcterms:created xsi:type="dcterms:W3CDTF">2024-09-01T23:36:50Z</dcterms:created>
  <dcterms:modified xsi:type="dcterms:W3CDTF">2026-08-22T08:27:31Z</dcterms:modified>
</cp:coreProperties>
</file>