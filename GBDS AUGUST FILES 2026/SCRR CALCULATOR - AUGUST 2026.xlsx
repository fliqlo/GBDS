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0FD6A48-705E-45A4-A3F2-33816F4A290E}" xr6:coauthVersionLast="45" xr6:coauthVersionMax="47" xr10:uidLastSave="{00000000-0000-0000-0000-000000000000}"/>
  <bookViews>
    <workbookView xWindow="-120" yWindow="-120" windowWidth="29040" windowHeight="15840" firstSheet="40" activeTab="5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G49" i="2290" s="1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G49" i="2288" s="1"/>
  <c r="D34" i="2288"/>
  <c r="D54" i="2288" s="1"/>
  <c r="H14" i="2288" s="1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D54" i="2287" s="1"/>
  <c r="H14" i="2287" s="1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G49" i="2286" s="1"/>
  <c r="D34" i="2286"/>
  <c r="D54" i="2286" s="1"/>
  <c r="H14" i="2286" s="1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D54" i="2284" s="1"/>
  <c r="H14" i="2284" s="1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L21" i="2284"/>
  <c r="D21" i="2284" s="1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G49" i="2283" s="1"/>
  <c r="D34" i="2283"/>
  <c r="D54" i="2283" s="1"/>
  <c r="H14" i="2283" s="1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G49" i="2280" s="1"/>
  <c r="D36" i="2280"/>
  <c r="R35" i="2280"/>
  <c r="H35" i="2280"/>
  <c r="D35" i="2280"/>
  <c r="R34" i="2280"/>
  <c r="H34" i="2280"/>
  <c r="D34" i="2280"/>
  <c r="D54" i="2280" s="1"/>
  <c r="H14" i="2280" s="1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D54" i="2279" s="1"/>
  <c r="H14" i="2279" s="1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G49" i="2278" s="1"/>
  <c r="D34" i="2278"/>
  <c r="D54" i="2278" s="1"/>
  <c r="H14" i="2278" s="1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29" i="2276" s="1"/>
  <c r="H13" i="2276" s="1"/>
  <c r="H15" i="2276" s="1"/>
  <c r="H29" i="2276" s="1"/>
  <c r="F51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G49" i="2276" s="1"/>
  <c r="D36" i="2276"/>
  <c r="R35" i="2276"/>
  <c r="H35" i="2276"/>
  <c r="D35" i="2276"/>
  <c r="R34" i="2276"/>
  <c r="L12" i="2276" s="1"/>
  <c r="D12" i="2276" s="1"/>
  <c r="H34" i="2276"/>
  <c r="D34" i="2276"/>
  <c r="D54" i="2276" s="1"/>
  <c r="H14" i="2276" s="1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29" i="2275" s="1"/>
  <c r="H13" i="2275" s="1"/>
  <c r="H15" i="2275" s="1"/>
  <c r="H29" i="2275" s="1"/>
  <c r="F51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G49" i="2275" s="1"/>
  <c r="G51" i="2275" s="1"/>
  <c r="D35" i="2275"/>
  <c r="R34" i="2275"/>
  <c r="H34" i="2275"/>
  <c r="D34" i="2275"/>
  <c r="D54" i="2275" s="1"/>
  <c r="H14" i="2275" s="1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D54" i="2274" s="1"/>
  <c r="H14" i="2274" s="1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G49" i="2274" s="1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L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29" i="2292" l="1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F51" i="2290" s="1"/>
  <c r="G51" i="2290"/>
  <c r="D29" i="2289"/>
  <c r="H13" i="2289" s="1"/>
  <c r="H15" i="2289" s="1"/>
  <c r="H29" i="2289" s="1"/>
  <c r="G51" i="2289"/>
  <c r="D29" i="2288"/>
  <c r="H13" i="2288" s="1"/>
  <c r="H15" i="2288" s="1"/>
  <c r="H29" i="2288" s="1"/>
  <c r="F51" i="2288" s="1"/>
  <c r="D29" i="2287"/>
  <c r="H13" i="2287" s="1"/>
  <c r="H15" i="2287" s="1"/>
  <c r="H29" i="2287" s="1"/>
  <c r="F51" i="2287" s="1"/>
  <c r="G51" i="2287"/>
  <c r="D29" i="2286"/>
  <c r="H13" i="2286" s="1"/>
  <c r="H15" i="2286" s="1"/>
  <c r="H29" i="2286" s="1"/>
  <c r="F51" i="2286" s="1"/>
  <c r="G51" i="2286"/>
  <c r="D29" i="2285"/>
  <c r="H13" i="2285" s="1"/>
  <c r="H15" i="2285" s="1"/>
  <c r="H29" i="2285" s="1"/>
  <c r="G51" i="2285"/>
  <c r="D29" i="2284"/>
  <c r="H13" i="2284" s="1"/>
  <c r="H15" i="2284" s="1"/>
  <c r="H29" i="2284" s="1"/>
  <c r="F51" i="2284" s="1"/>
  <c r="D29" i="2283"/>
  <c r="H13" i="2283" s="1"/>
  <c r="H15" i="2283" s="1"/>
  <c r="H29" i="2283" s="1"/>
  <c r="F51" i="2283" s="1"/>
  <c r="D29" i="2282"/>
  <c r="H13" i="2282" s="1"/>
  <c r="H15" i="2282" s="1"/>
  <c r="H29" i="2282" s="1"/>
  <c r="F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F51" i="2280" s="1"/>
  <c r="D29" i="2279"/>
  <c r="H13" i="2279" s="1"/>
  <c r="H15" i="2279" s="1"/>
  <c r="H29" i="2279" s="1"/>
  <c r="F51" i="2279" s="1"/>
  <c r="D29" i="2278"/>
  <c r="H13" i="2278" s="1"/>
  <c r="H15" i="2278" s="1"/>
  <c r="H29" i="2278" s="1"/>
  <c r="F51" i="2278" s="1"/>
  <c r="D29" i="2277"/>
  <c r="H13" i="2277" s="1"/>
  <c r="H15" i="2277" s="1"/>
  <c r="H29" i="2277" s="1"/>
  <c r="G51" i="2277" s="1"/>
  <c r="G51" i="2276"/>
  <c r="D29" i="2274"/>
  <c r="H13" i="2274" s="1"/>
  <c r="H15" i="2274" s="1"/>
  <c r="H29" i="2274" s="1"/>
  <c r="F51" i="2274" s="1"/>
  <c r="D29" i="2273"/>
  <c r="H13" i="2273" s="1"/>
  <c r="H15" i="2273" s="1"/>
  <c r="H29" i="2273" s="1"/>
  <c r="G51" i="2273"/>
  <c r="L14" i="2262"/>
  <c r="C16" i="2264"/>
  <c r="G51" i="2292" l="1"/>
  <c r="G51" i="2291"/>
  <c r="G51" i="2288"/>
  <c r="G51" i="2284"/>
  <c r="G51" i="2283"/>
  <c r="G51" i="2282"/>
  <c r="G51" i="2280"/>
  <c r="G51" i="2279"/>
  <c r="G51" i="2278"/>
  <c r="G51" i="2274"/>
  <c r="H20" i="2260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68" l="1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68" l="1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8" l="1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<sst xmlns="http://schemas.openxmlformats.org/spreadsheetml/2006/main" count="7012" uniqueCount="159">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</sst>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1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7">
        <v>69862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69862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9">
        <f>F34*G34</f>
        <v>53000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9">
        <f>F35*G35</f>
        <v>16500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12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69862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113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1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7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283</v>
      </c>
      <c r="D6" s="13">
        <f t="shared" ref="D6:D28" si="1">C6*L6</f>
        <v>215363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32</v>
      </c>
      <c r="D9" s="13">
        <f t="shared" si="1"/>
        <v>23456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</v>
      </c>
      <c r="D13" s="48">
        <f t="shared" si="1"/>
        <v>614</v>
      </c>
      <c r="F13" s="154" t="s">
        <v>36</v>
      </c>
      <c r="G13" s="155"/>
      <c r="H13" s="156">
        <f>D29</f>
        <v>248162.33333333334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36360.75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211801.58333333334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248162.33333333334</v>
      </c>
      <c r="F29" s="177" t="s">
        <v>54</v>
      </c>
      <c r="G29" s="178"/>
      <c r="H29" s="181">
        <f>H15-H16-H17-H18-H19-H20-H22-H23-H24+H26+H27+H28</f>
        <v>211801.58333333334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9">
        <f t="shared" ref="H34:H39" si="2">F34*G34</f>
        <v>111000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9">
        <f t="shared" si="2"/>
        <v>20500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9">
        <f t="shared" si="2"/>
        <v>1050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116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3">
        <v>62000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93">
        <v>16444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16</v>
      </c>
      <c r="D46" s="12">
        <f>C46*1.5</f>
        <v>24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2</v>
      </c>
      <c r="D49" s="12">
        <f>C49*42</f>
        <v>84</v>
      </c>
      <c r="F49" s="234" t="s">
        <v>85</v>
      </c>
      <c r="G49" s="181">
        <f>H34+H35+H36+H37+H38+H39+H40+H41+G42+H44+H45+H46+H47+H48</f>
        <v>212450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13</v>
      </c>
      <c r="D50" s="12">
        <f>C50*1.5</f>
        <v>19.5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648.41666666665697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487</v>
      </c>
      <c r="D6" s="13">
        <f t="shared" ref="D6:D28" si="1">C6*L6</f>
        <v>370607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168</v>
      </c>
      <c r="D9" s="13">
        <f t="shared" si="1"/>
        <v>123144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25</v>
      </c>
      <c r="D13" s="48">
        <f t="shared" si="1"/>
        <v>7675</v>
      </c>
      <c r="F13" s="154" t="s">
        <v>36</v>
      </c>
      <c r="G13" s="155"/>
      <c r="H13" s="156">
        <f>D29</f>
        <v>516071.33333333331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88.333333333333329</v>
      </c>
      <c r="F14" s="159" t="s">
        <v>38</v>
      </c>
      <c r="G14" s="160"/>
      <c r="H14" s="161">
        <f>D54</f>
        <v>76411.5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439659.83333333331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3396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516071.33333333331</v>
      </c>
      <c r="F29" s="177" t="s">
        <v>54</v>
      </c>
      <c r="G29" s="178"/>
      <c r="H29" s="181">
        <f>H15-H16-H17-H18-H19-H20-H22-H23-H24+H26+H27</f>
        <v>436263.83333333331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9">
        <f>F34*G34</f>
        <v>47000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9">
        <f>F35*G35</f>
        <v>155000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9">
        <f t="shared" si="2"/>
        <v>3200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9">
        <v>83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93">
        <v>231443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8</v>
      </c>
      <c r="D49" s="12">
        <f>C49*42</f>
        <v>336</v>
      </c>
      <c r="F49" s="234" t="s">
        <v>85</v>
      </c>
      <c r="G49" s="181">
        <f>H34+H35+H36+H37+H38+H39+H40+H41+G42+H44+H45+H46+H47+H48</f>
        <v>436926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662.16666666668607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428</v>
      </c>
      <c r="D6" s="13">
        <f t="shared" ref="D6:D28" si="1">C6*L6</f>
        <v>325708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14</v>
      </c>
      <c r="D7" s="13">
        <f t="shared" si="1"/>
        <v>10934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81</v>
      </c>
      <c r="D9" s="13">
        <f t="shared" si="1"/>
        <v>59373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2+1</f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406307.125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3</v>
      </c>
      <c r="D14" s="31">
        <f t="shared" si="1"/>
        <v>33.125</v>
      </c>
      <c r="F14" s="159" t="s">
        <v>38</v>
      </c>
      <c r="G14" s="160"/>
      <c r="H14" s="161">
        <f>D54</f>
        <v>66713.25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339593.875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1602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406307.125</v>
      </c>
      <c r="F29" s="177" t="s">
        <v>54</v>
      </c>
      <c r="G29" s="178"/>
      <c r="H29" s="181">
        <f>H15-H16-H17-H18-H19-H20-H22-H23-H24+H26+H27</f>
        <v>337941.875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9">
        <f>F34*G34</f>
        <v>25000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9">
        <f>F35*G35</f>
        <v>1000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9">
        <f t="shared" si="2"/>
        <v>1400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93">
        <v>56443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93">
        <v>115712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93">
        <v>137865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11</v>
      </c>
      <c r="D49" s="12">
        <f>C49*42</f>
        <v>462</v>
      </c>
      <c r="F49" s="234" t="s">
        <v>85</v>
      </c>
      <c r="G49" s="181">
        <f>H34+H35+H36+H37+H38+H39+H40+H41+G42+H44+H45+H46+H47+H48</f>
        <v>337610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-331.875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431</v>
      </c>
      <c r="D6" s="13">
        <f t="shared" ref="D6:D28" si="1">C6*L6</f>
        <v>327991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347634.16666666669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52755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294879.16666666669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2004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v>5850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347634.16666666669</v>
      </c>
      <c r="F29" s="177" t="s">
        <v>54</v>
      </c>
      <c r="G29" s="178"/>
      <c r="H29" s="181">
        <f>H15-H16-H17-H18-H19-H20-H22-H23-H24+H26+H27</f>
        <v>287025.16666666669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9">
        <f>F34*G34</f>
        <v>120000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9">
        <f>F35*G35</f>
        <v>166500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286814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5</v>
      </c>
      <c r="D50" s="12">
        <f>C50*1.5</f>
        <v>7.5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-211.16666666668607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548</v>
      </c>
      <c r="D6" s="13">
        <f t="shared" ref="D6:D28" si="1">C6*L6</f>
        <v>417028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55</v>
      </c>
      <c r="D9" s="13">
        <f t="shared" si="1"/>
        <v>40315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472049.20833333331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71464.5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400584.70833333331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3366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472049.20833333331</v>
      </c>
      <c r="F29" s="177" t="s">
        <v>54</v>
      </c>
      <c r="G29" s="178"/>
      <c r="H29" s="181">
        <f>H15-H16-H17-H18-H19-H20-H22-H23-H24+H26+H27</f>
        <v>397218.70833333331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9">
        <f>F34*G34</f>
        <v>31000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0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1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63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9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93">
        <v>135285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93">
        <v>141116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93">
        <v>89177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397341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2</v>
      </c>
      <c r="D50" s="12">
        <f>C50*1.5</f>
        <v>3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122.29166666668607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236</v>
      </c>
      <c r="D6" s="13">
        <f t="shared" ref="D6:D28" si="1">C6*L6</f>
        <v>179596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113</v>
      </c>
      <c r="D9" s="13">
        <f t="shared" si="1"/>
        <v>82829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276596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37282.5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239313.5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2034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276596</v>
      </c>
      <c r="F29" s="177" t="s">
        <v>54</v>
      </c>
      <c r="G29" s="178"/>
      <c r="H29" s="181">
        <f>H15-H16-H17-H18-H19-H20-H22-H23-H24+H26+H27+H28</f>
        <v>237279.5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9">
        <f t="shared" ref="H34:H39" si="2">F34*G34</f>
        <v>11000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9">
        <f t="shared" si="2"/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si="2"/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9">
        <f t="shared" si="2"/>
        <v>900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</v>
      </c>
      <c r="D42" s="12">
        <f>C42*2.25</f>
        <v>4.5</v>
      </c>
      <c r="F42" s="39" t="s">
        <v>78</v>
      </c>
      <c r="G42" s="209">
        <v>11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93">
        <v>223169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237280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0.5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322</v>
      </c>
      <c r="D6" s="13">
        <f t="shared" ref="D6:D28" si="1">C6*L6</f>
        <v>245042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21</v>
      </c>
      <c r="D9" s="13">
        <f t="shared" si="1"/>
        <v>15393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271026.41666666669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110.41666666666666</v>
      </c>
      <c r="F14" s="159" t="s">
        <v>38</v>
      </c>
      <c r="G14" s="160"/>
      <c r="H14" s="161">
        <f>D54</f>
        <v>36957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234069.41666666669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1818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271026.41666666669</v>
      </c>
      <c r="F29" s="177" t="s">
        <v>54</v>
      </c>
      <c r="G29" s="178"/>
      <c r="H29" s="181">
        <f>H15-H16-H17-H18-H19-H20-H22-H23-H24+H26+H27</f>
        <v>232251.41666666669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9">
        <f>F34*G34</f>
        <v>24000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9">
        <f>F35*G35</f>
        <v>2000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24</v>
      </c>
      <c r="D42" s="12">
        <f>C42*2.25</f>
        <v>54</v>
      </c>
      <c r="F42" s="39" t="s">
        <v>78</v>
      </c>
      <c r="G42" s="209">
        <v>41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93">
        <v>70296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93">
        <v>136287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232724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472.58333333331393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385</v>
      </c>
      <c r="D6" s="13">
        <f t="shared" ref="D6:D28" si="1">C6*L6</f>
        <v>292985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67</v>
      </c>
      <c r="D8" s="13">
        <f t="shared" si="1"/>
        <v>73231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28</v>
      </c>
      <c r="D9" s="13">
        <f t="shared" si="1"/>
        <v>20524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402717.5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132.5</v>
      </c>
      <c r="F14" s="159" t="s">
        <v>38</v>
      </c>
      <c r="G14" s="160"/>
      <c r="H14" s="161">
        <f>D54</f>
        <v>60681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342036.5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2178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f>650*7</f>
        <v>4550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1">
        <v>67927</v>
      </c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402717.5</v>
      </c>
      <c r="F29" s="177" t="s">
        <v>54</v>
      </c>
      <c r="G29" s="178"/>
      <c r="H29" s="181">
        <f>H15-H16-H17-H18-H19-H20-H22-H23-H24+H26+H27</f>
        <v>267331.5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9">
        <f>F34*G34</f>
        <v>66000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09">
        <f>F35*G35</f>
        <v>28500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09">
        <f t="shared" si="2"/>
        <v>6500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09">
        <f t="shared" si="2"/>
        <v>1800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>
        <v>20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93">
        <v>74658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93">
        <v>90788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268266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934.5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367</v>
      </c>
      <c r="D6" s="13">
        <f t="shared" ref="D6:D28" si="1">C6*L6</f>
        <v>279287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20</v>
      </c>
      <c r="D8" s="13">
        <f t="shared" si="1"/>
        <v>21860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318659.20833333331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45737.25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>
        <v>1</v>
      </c>
      <c r="D15" s="31">
        <f t="shared" si="1"/>
        <v>620</v>
      </c>
      <c r="F15" s="164" t="s">
        <v>39</v>
      </c>
      <c r="G15" s="155"/>
      <c r="H15" s="165">
        <f>H13-H14</f>
        <v>272921.95833333331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1896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>
        <f>650*5</f>
        <v>3250</v>
      </c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318659.20833333331</v>
      </c>
      <c r="F29" s="177" t="s">
        <v>54</v>
      </c>
      <c r="G29" s="178"/>
      <c r="H29" s="181">
        <f>H15-H16-H17-H18-H19-H20-H22-H23-H24+H26+H27</f>
        <v>267775.95833333331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09">
        <f>F34*G34</f>
        <v>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09">
        <f>F35*G35</f>
        <v>29000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09">
        <f t="shared" si="2"/>
        <v>1300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09">
        <f t="shared" si="2"/>
        <v>150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9">
        <v>75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93">
        <v>140936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93">
        <v>32838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2</v>
      </c>
      <c r="D46" s="12">
        <f>C46*1.5</f>
        <v>3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6</v>
      </c>
      <c r="D49" s="12">
        <f>C49*42</f>
        <v>252</v>
      </c>
      <c r="F49" s="234" t="s">
        <v>85</v>
      </c>
      <c r="G49" s="181">
        <f>H34+H35+H36+H37+H38+H39+H40+H41+G42+H44+H45+H46+H47+H48</f>
        <v>267499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-276.95833333331393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482</v>
      </c>
      <c r="D6" s="13">
        <f t="shared" ref="D6:D28" si="1">C6*L6</f>
        <v>366802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3</v>
      </c>
      <c r="D13" s="48">
        <f t="shared" si="1"/>
        <v>921</v>
      </c>
      <c r="F13" s="154" t="s">
        <v>36</v>
      </c>
      <c r="G13" s="155"/>
      <c r="H13" s="156">
        <f>D29</f>
        <v>408810.70833333331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17</v>
      </c>
      <c r="D14" s="31">
        <f t="shared" si="1"/>
        <v>187.70833333333331</v>
      </c>
      <c r="F14" s="159" t="s">
        <v>38</v>
      </c>
      <c r="G14" s="160"/>
      <c r="H14" s="161">
        <f>D54</f>
        <v>60101.25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348709.45833333331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408810.70833333331</v>
      </c>
      <c r="F29" s="177" t="s">
        <v>54</v>
      </c>
      <c r="G29" s="178"/>
      <c r="H29" s="181">
        <f>H15-H16-H17-H18-H19-H20-H22-H23-H24+H26+H27+H28</f>
        <v>348709.45833333331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09">
        <f t="shared" ref="H34:H39" si="2">F34*G34</f>
        <v>263000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09">
        <f t="shared" si="2"/>
        <v>47500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09">
        <f t="shared" si="2"/>
        <v>3300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09">
        <v>155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93">
        <v>34470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348425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-284.45833333331393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373</v>
      </c>
      <c r="D6" s="13">
        <f t="shared" ref="D6:D28" si="1">C6*L6</f>
        <v>283853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24</v>
      </c>
      <c r="D9" s="13">
        <f t="shared" si="1"/>
        <v>17592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314974.20833333331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55.208333333333329</v>
      </c>
      <c r="F14" s="159" t="s">
        <v>38</v>
      </c>
      <c r="G14" s="160"/>
      <c r="H14" s="161">
        <f>D54</f>
        <v>51996.75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262977.45833333331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1224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314974.20833333331</v>
      </c>
      <c r="F29" s="177" t="s">
        <v>54</v>
      </c>
      <c r="G29" s="178"/>
      <c r="H29" s="181">
        <f>H15-H16-H17-H18-H19-H20-H22-H23-H24+H26+H27</f>
        <v>261753.45833333331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09">
        <f>F34*G34</f>
        <v>176000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09">
        <f>F35*G35</f>
        <v>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9">
        <v>68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93">
        <v>76215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9</v>
      </c>
      <c r="D49" s="12">
        <f>C49*42</f>
        <v>378</v>
      </c>
      <c r="F49" s="234" t="s">
        <v>85</v>
      </c>
      <c r="G49" s="181">
        <f>H34+H35+H36+H37+H38+H39+H40+H41+G42+H44+H45+H46+H47+H48</f>
        <v>262183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8</v>
      </c>
      <c r="D50" s="12">
        <f>C50*1.5</f>
        <v>12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429.54166666668607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387</v>
      </c>
      <c r="D6" s="13">
        <f t="shared" ref="D6:D28" si="1">C6*L6</f>
        <v>294507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14</v>
      </c>
      <c r="D13" s="48">
        <f t="shared" si="1"/>
        <v>4298</v>
      </c>
      <c r="F13" s="154" t="s">
        <v>36</v>
      </c>
      <c r="G13" s="155"/>
      <c r="H13" s="156">
        <f>D29</f>
        <v>383530.16666666669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44.166666666666664</v>
      </c>
      <c r="F14" s="159" t="s">
        <v>38</v>
      </c>
      <c r="G14" s="160"/>
      <c r="H14" s="161">
        <f>D54</f>
        <v>57755.25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325774.91666666669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2406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383530.16666666669</v>
      </c>
      <c r="F29" s="177" t="s">
        <v>54</v>
      </c>
      <c r="G29" s="178"/>
      <c r="H29" s="181">
        <f>H15-H16-H17-H18-H19-H20-H22-H23-H24+H26+H27</f>
        <v>323368.91666666669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09">
        <f>F34*G34</f>
        <v>59000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09">
        <f>F35*G35</f>
        <v>4000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09">
        <f t="shared" si="2"/>
        <v>500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9">
        <v>64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93">
        <v>87905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93">
        <v>171965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323534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OVER</v>
      </c>
      <c r="G51" s="238">
        <f>G49-H29</f>
        <v>165.08333333331393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273</v>
      </c>
      <c r="D6" s="13">
        <f t="shared" ref="D6:D28" si="1">C6*L6</f>
        <v>207753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12</v>
      </c>
      <c r="D9" s="13">
        <f t="shared" si="1"/>
        <v>8796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11</v>
      </c>
      <c r="D13" s="48">
        <f t="shared" si="1"/>
        <v>3377</v>
      </c>
      <c r="F13" s="154" t="s">
        <v>36</v>
      </c>
      <c r="G13" s="155"/>
      <c r="H13" s="156">
        <f>D29</f>
        <v>226955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33465.75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193489.25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1350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7">
        <v>67927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226955</v>
      </c>
      <c r="F29" s="177" t="s">
        <v>54</v>
      </c>
      <c r="G29" s="178"/>
      <c r="H29" s="181">
        <f>H15-H16-H17-H18-H19-H20-H22-H23-H24+H26+H27</f>
        <v>260066.25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09">
        <f>F34*G34</f>
        <v>100000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09">
        <f>F35*G35</f>
        <v>159500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09">
        <f t="shared" si="2"/>
        <v>400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3</v>
      </c>
      <c r="D42" s="12">
        <f>C42*2.25</f>
        <v>6.75</v>
      </c>
      <c r="F42" s="39" t="s">
        <v>78</v>
      </c>
      <c r="G42" s="209">
        <v>52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13</v>
      </c>
      <c r="D49" s="12">
        <f>C49*42</f>
        <v>546</v>
      </c>
      <c r="F49" s="234" t="s">
        <v>85</v>
      </c>
      <c r="G49" s="181">
        <f>H34+H35+H36+H37+H38+H39+H40+H41+G42+H44+H45+H46+H47+H48</f>
        <v>259952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>
        <v>4</v>
      </c>
      <c r="D50" s="12">
        <f>C50*1.5</f>
        <v>6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-114.25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280</v>
      </c>
      <c r="D6" s="13">
        <f t="shared" ref="D6:D28" si="1">C6*L6</f>
        <v>213080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108</v>
      </c>
      <c r="D9" s="13">
        <f t="shared" si="1"/>
        <v>79164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303138.04166666669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</v>
      </c>
      <c r="D14" s="31">
        <f t="shared" si="1"/>
        <v>11.041666666666666</v>
      </c>
      <c r="F14" s="159" t="s">
        <v>38</v>
      </c>
      <c r="G14" s="160"/>
      <c r="H14" s="161">
        <f>D54</f>
        <v>26834.25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276303.79166666669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1944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303138.04166666669</v>
      </c>
      <c r="F29" s="177" t="s">
        <v>54</v>
      </c>
      <c r="G29" s="178"/>
      <c r="H29" s="181">
        <f>H15-H16-H17-H18-H19-H20-H22-H23-H24+H26+H27</f>
        <v>274359.79166666669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09">
        <f>F34*G34</f>
        <v>37000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09">
        <f>F35*G35</f>
        <v>12500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>
        <v>1</v>
      </c>
      <c r="D42" s="12">
        <f>C42*2.25</f>
        <v>2.25</v>
      </c>
      <c r="F42" s="39" t="s">
        <v>78</v>
      </c>
      <c r="G42" s="209">
        <v>15</v>
      </c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93">
        <v>224164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>
        <v>1</v>
      </c>
      <c r="D46" s="12">
        <f>C46*1.5</f>
        <v>1.5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>
        <v>4</v>
      </c>
      <c r="D49" s="12">
        <f>C49*42</f>
        <v>168</v>
      </c>
      <c r="F49" s="234" t="s">
        <v>85</v>
      </c>
      <c r="G49" s="181">
        <f>H34+H35+H36+H37+H38+H39+H40+H41+G42+H44+H45+H46+H47+H48</f>
        <v>274329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>
        <v>3</v>
      </c>
      <c r="D50" s="12">
        <f>C50*1.5</f>
        <v>4.5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SHORT</v>
      </c>
      <c r="G51" s="238">
        <f>G49-H29</f>
        <v>-30.791666666686069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5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06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07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5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7"/>
      <c r="G23" s="78"/>
      <c r="H23" s="192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/>
      <c r="I34" s="210"/>
      <c r="J34" s="21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/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106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99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115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108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71"/>
      <c r="G27" s="10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H15-H16-H17-H18-H19-H20-H22-H23-H24+H26+H27+H28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 t="shared" si="2"/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8"/>
      <c r="I40" s="249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87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50"/>
      <c r="I47" s="251"/>
      <c r="J47" s="252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107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100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101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80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46249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142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109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119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38</v>
      </c>
      <c r="G14" s="160"/>
      <c r="H14" s="161">
        <f>D54</f>
        <v>0</v>
      </c>
      <c r="I14" s="162"/>
      <c r="J14" s="16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117</v>
      </c>
      <c r="C15" s="10"/>
      <c r="D15" s="31">
        <f t="shared" si="1"/>
        <v>0</v>
      </c>
      <c r="F15" s="164" t="s">
        <v>39</v>
      </c>
      <c r="G15" s="155"/>
      <c r="H15" s="165">
        <f>H13-H14</f>
        <v>0</v>
      </c>
      <c r="I15" s="166"/>
      <c r="J15" s="16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1"/>
      <c r="I18" s="141"/>
      <c r="J18" s="14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0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8" t="s">
        <v>13</v>
      </c>
      <c r="I21" s="189"/>
      <c r="J21" s="19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103</v>
      </c>
      <c r="C22" s="10"/>
      <c r="D22" s="48">
        <f t="shared" si="1"/>
        <v>0</v>
      </c>
      <c r="F22" s="76"/>
      <c r="G22" s="72"/>
      <c r="H22" s="191"/>
      <c r="I22" s="191"/>
      <c r="J22" s="19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116</v>
      </c>
      <c r="C23" s="10"/>
      <c r="D23" s="48">
        <f t="shared" si="1"/>
        <v>0</v>
      </c>
      <c r="F23" s="77"/>
      <c r="G23" s="78"/>
      <c r="H23" s="254"/>
      <c r="I23" s="191"/>
      <c r="J23" s="19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54</v>
      </c>
      <c r="G29" s="178"/>
      <c r="H29" s="181">
        <f>H15-H16-H17-H18-H19-H20-H22-H23-H24+H26+H27</f>
        <v>0</v>
      </c>
      <c r="I29" s="182"/>
      <c r="J29" s="18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57</v>
      </c>
      <c r="B32" s="117"/>
      <c r="C32" s="117"/>
      <c r="D32" s="118"/>
      <c r="F32" s="206" t="s">
        <v>58</v>
      </c>
      <c r="G32" s="207"/>
      <c r="H32" s="207"/>
      <c r="I32" s="207"/>
      <c r="J32" s="20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6" t="s">
        <v>13</v>
      </c>
      <c r="I33" s="207"/>
      <c r="J33" s="20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9">
        <f>F34*G34</f>
        <v>0</v>
      </c>
      <c r="I34" s="210"/>
      <c r="J34" s="21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67</v>
      </c>
      <c r="C35" s="52"/>
      <c r="D35" s="30">
        <f>C35*84</f>
        <v>0</v>
      </c>
      <c r="F35" s="58">
        <v>500</v>
      </c>
      <c r="G35" s="113"/>
      <c r="H35" s="209">
        <f>F35*G35</f>
        <v>0</v>
      </c>
      <c r="I35" s="210"/>
      <c r="J35" s="21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69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67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69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09"/>
      <c r="I40" s="210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67</v>
      </c>
      <c r="C41" s="10"/>
      <c r="D41" s="12">
        <f>C41*84</f>
        <v>0</v>
      </c>
      <c r="F41" s="12">
        <v>5</v>
      </c>
      <c r="G41" s="114"/>
      <c r="H41" s="209"/>
      <c r="I41" s="210"/>
      <c r="J41" s="21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69</v>
      </c>
      <c r="C42" s="11"/>
      <c r="D42" s="12">
        <f>C42*2.25</f>
        <v>0</v>
      </c>
      <c r="F42" s="39" t="s">
        <v>78</v>
      </c>
      <c r="G42" s="209"/>
      <c r="H42" s="210"/>
      <c r="I42" s="210"/>
      <c r="J42" s="21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80</v>
      </c>
      <c r="C43" s="11"/>
      <c r="D43" s="12"/>
      <c r="F43" s="59" t="s">
        <v>81</v>
      </c>
      <c r="G43" s="109" t="s">
        <v>82</v>
      </c>
      <c r="H43" s="215" t="s">
        <v>13</v>
      </c>
      <c r="I43" s="216"/>
      <c r="J43" s="21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3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65</v>
      </c>
      <c r="C48" s="10"/>
      <c r="D48" s="12">
        <f>C48*78</f>
        <v>0</v>
      </c>
      <c r="F48" s="59"/>
      <c r="G48" s="59"/>
      <c r="H48" s="250"/>
      <c r="I48" s="251"/>
      <c r="J48" s="25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67</v>
      </c>
      <c r="C49" s="33"/>
      <c r="D49" s="12">
        <f>C49*42</f>
        <v>0</v>
      </c>
      <c r="F49" s="234" t="s">
        <v>85</v>
      </c>
      <c r="G49" s="181">
        <f>H34+H35+H36+H37+H38+H39+H40+H41+G42+H44+H45+H46+H47+H48</f>
        <v>0</v>
      </c>
      <c r="H49" s="182"/>
      <c r="I49" s="182"/>
      <c r="J49" s="18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69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112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tr">
        <f>_xlfn.IFS(H29&gt;G49,"SHORT",H29&lt;G49,"OVER",H29&lt;=G49,"-")</f>
        <v>-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7" t="s">
        <v>89</v>
      </c>
      <c r="B54" s="222"/>
      <c r="C54" s="223"/>
      <c r="D54" s="22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90</v>
      </c>
      <c r="B58" s="229"/>
      <c r="C58" s="229"/>
      <c r="D58" s="230"/>
      <c r="F58" s="228" t="s">
        <v>91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2026-08-08T07:41:08Z</cp:lastPrinted>
  <dcterms:created xsi:type="dcterms:W3CDTF">2024-09-01T23:36:50Z</dcterms:created>
  <dcterms:modified xsi:type="dcterms:W3CDTF">2026-08-10T00:53:07Z</dcterms:modified>
</cp:coreProperties>
</file>