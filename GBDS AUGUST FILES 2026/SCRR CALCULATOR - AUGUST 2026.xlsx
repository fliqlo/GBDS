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1.xml" ContentType="application/vnd.openxmlformats-officedocument.spreadsheetml.comments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comments2.xml" ContentType="application/vnd.openxmlformats-officedocument.spreadsheetml.comments+xml"/>
  <Override PartName="/xl/drawings/drawing20.xml" ContentType="application/vnd.openxmlformats-officedocument.drawing+xml"/>
  <Override PartName="/xl/comments3.xml" ContentType="application/vnd.openxmlformats-officedocument.spreadsheetml.comment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C2607FD-AA6B-48DC-A0A5-E7A3D77D53A0}" xr6:coauthVersionLast="45" xr6:coauthVersionMax="47" xr10:uidLastSave="{00000000-0000-0000-0000-000000000000}"/>
  <bookViews>
    <workbookView xWindow="-120" yWindow="-120" windowWidth="29040" windowHeight="15840" firstSheet="12" activeTab="23" xr2:uid="{00000000-000D-0000-FFFF-FFFF00000000}"/>
  </bookViews>
  <sheets>
    <sheet name="(AUGUST 2026)" sheetId="814" r:id="rId1"/>
    <sheet name="(01)" sheetId="2241" r:id="rId2"/>
    <sheet name="08,01 R1 NO TRIP" sheetId="2242" r:id="rId3"/>
    <sheet name="08,01 R2 COLLECTION" sheetId="2243" r:id="rId4"/>
    <sheet name="08,01 R3 NO TRIP" sheetId="2244" r:id="rId5"/>
    <sheet name="(3)" sheetId="2249" r:id="rId6"/>
    <sheet name="08,03 R1" sheetId="2250" r:id="rId7"/>
    <sheet name="08,03 R2" sheetId="2251" r:id="rId8"/>
    <sheet name="08,03 R3" sheetId="2252" r:id="rId9"/>
    <sheet name="(4)" sheetId="2245" r:id="rId10"/>
    <sheet name="08,04 R1 NO TRIP" sheetId="2246" r:id="rId11"/>
    <sheet name="08,04 R2" sheetId="2247" r:id="rId12"/>
    <sheet name="08,04 R3" sheetId="2248" r:id="rId13"/>
    <sheet name="(5)" sheetId="2253" r:id="rId14"/>
    <sheet name="08,05 R1" sheetId="2254" r:id="rId15"/>
    <sheet name="08,05 R2" sheetId="2255" r:id="rId16"/>
    <sheet name="08,05 R3 NO TRIP" sheetId="2256" r:id="rId17"/>
    <sheet name="(6)" sheetId="2257" r:id="rId18"/>
    <sheet name="08,06 R1 NO TRIP" sheetId="2258" r:id="rId19"/>
    <sheet name="08,06 R2" sheetId="2259" r:id="rId20"/>
    <sheet name="08,06 R3" sheetId="2260" r:id="rId21"/>
    <sheet name="(7)" sheetId="2261" r:id="rId22"/>
    <sheet name="08,07 R1" sheetId="2262" r:id="rId23"/>
    <sheet name="08,07 R2" sheetId="2263" r:id="rId24"/>
    <sheet name="08,07 R3" sheetId="2264" r:id="rId25"/>
    <sheet name="(8)" sheetId="2265" r:id="rId26"/>
    <sheet name="08,08 R1" sheetId="2266" r:id="rId27"/>
    <sheet name="08,08 R2" sheetId="2267" r:id="rId28"/>
    <sheet name="08,08 R3" sheetId="2268" r:id="rId29"/>
    <sheet name="(10)" sheetId="2269" r:id="rId30"/>
    <sheet name="08,10 R1" sheetId="2270" r:id="rId31"/>
    <sheet name="08,10 R2" sheetId="2271" r:id="rId32"/>
    <sheet name="08,10 R3" sheetId="2272" r:id="rId33"/>
  </sheets>
  <definedNames>
    <definedName name="_xlnm.Print_Area" localSheetId="1">'(01)'!$A$1:$J$60</definedName>
    <definedName name="_xlnm.Print_Area" localSheetId="29">'(10)'!$A$1:$J$60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">'08,01 R1 NO TRIP'!$A$1:$J$60</definedName>
    <definedName name="_xlnm.Print_Area" localSheetId="3">'08,01 R2 COLLECTION'!$A$1:$J$60</definedName>
    <definedName name="_xlnm.Print_Area" localSheetId="4">'08,01 R3 NO TRIP'!$A$1:$J$60</definedName>
    <definedName name="_xlnm.Print_Area" localSheetId="6">'08,03 R1'!$A$1:$J$60</definedName>
    <definedName name="_xlnm.Print_Area" localSheetId="7">'08,03 R2'!$A$1:$J$60</definedName>
    <definedName name="_xlnm.Print_Area" localSheetId="8">'08,03 R3'!$A$1:$J$60</definedName>
    <definedName name="_xlnm.Print_Area" localSheetId="10">'08,04 R1 NO TRIP'!$A$1:$J$60</definedName>
    <definedName name="_xlnm.Print_Area" localSheetId="11">'08,04 R2'!$A$1:$J$60</definedName>
    <definedName name="_xlnm.Print_Area" localSheetId="12">'08,04 R3'!$A$1:$J$60</definedName>
    <definedName name="_xlnm.Print_Area" localSheetId="14">'08,05 R1'!$A$1:$J$60</definedName>
    <definedName name="_xlnm.Print_Area" localSheetId="15">'08,05 R2'!$A$1:$J$60</definedName>
    <definedName name="_xlnm.Print_Area" localSheetId="16">'08,05 R3 NO TRIP'!$A$1:$J$60</definedName>
    <definedName name="_xlnm.Print_Area" localSheetId="18">'08,06 R1 NO TRIP'!$A$1:$J$60</definedName>
    <definedName name="_xlnm.Print_Area" localSheetId="19">'08,06 R2'!$A$1:$J$60</definedName>
    <definedName name="_xlnm.Print_Area" localSheetId="20">'08,06 R3'!$A$1:$J$60</definedName>
    <definedName name="_xlnm.Print_Area" localSheetId="22">'08,07 R1'!$A$1:$J$60</definedName>
    <definedName name="_xlnm.Print_Area" localSheetId="23">'08,07 R2'!$A$1:$J$60</definedName>
    <definedName name="_xlnm.Print_Area" localSheetId="24">'08,07 R3'!$A$1:$J$60</definedName>
    <definedName name="_xlnm.Print_Area" localSheetId="26">'08,08 R1'!$A$1:$J$60</definedName>
    <definedName name="_xlnm.Print_Area" localSheetId="27">'08,08 R2'!$A$1:$J$60</definedName>
    <definedName name="_xlnm.Print_Area" localSheetId="28">'08,08 R3'!$A$1:$J$60</definedName>
    <definedName name="_xlnm.Print_Area" localSheetId="30">'08,10 R1'!$A$1:$J$60</definedName>
    <definedName name="_xlnm.Print_Area" localSheetId="31">'08,10 R2'!$A$1:$J$60</definedName>
    <definedName name="_xlnm.Print_Area" localSheetId="32">'08,10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0" i="2260" l="1"/>
  <c r="H20" i="2259"/>
  <c r="C19" i="2255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L6" i="2272" s="1"/>
  <c r="D6" i="2272" s="1"/>
  <c r="D42" i="2272"/>
  <c r="R41" i="2272"/>
  <c r="L7" i="2272" s="1"/>
  <c r="D7" i="2272" s="1"/>
  <c r="D41" i="2272"/>
  <c r="R40" i="2272"/>
  <c r="L8" i="2272" s="1"/>
  <c r="D8" i="2272" s="1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L10" i="2272" s="1"/>
  <c r="D10" i="2272" s="1"/>
  <c r="H36" i="2272"/>
  <c r="D36" i="2272"/>
  <c r="R35" i="2272"/>
  <c r="L18" i="2272" s="1"/>
  <c r="D18" i="2272" s="1"/>
  <c r="H35" i="2272"/>
  <c r="D35" i="2272"/>
  <c r="D54" i="2272" s="1"/>
  <c r="H14" i="2272" s="1"/>
  <c r="R34" i="2272"/>
  <c r="H34" i="2272"/>
  <c r="G49" i="2272" s="1"/>
  <c r="D34" i="2272"/>
  <c r="R33" i="2272"/>
  <c r="R32" i="2272"/>
  <c r="R31" i="2272"/>
  <c r="R30" i="2272"/>
  <c r="R29" i="2272"/>
  <c r="R28" i="2272"/>
  <c r="L28" i="2272"/>
  <c r="D28" i="2272" s="1"/>
  <c r="R27" i="2272"/>
  <c r="L27" i="2272"/>
  <c r="D27" i="2272" s="1"/>
  <c r="R26" i="2272"/>
  <c r="L26" i="2272"/>
  <c r="D26" i="2272" s="1"/>
  <c r="R25" i="2272"/>
  <c r="L25" i="2272"/>
  <c r="D25" i="2272"/>
  <c r="R24" i="2272"/>
  <c r="L24" i="2272"/>
  <c r="D24" i="2272"/>
  <c r="R23" i="2272"/>
  <c r="L23" i="2272"/>
  <c r="D23" i="2272"/>
  <c r="R22" i="2272"/>
  <c r="L20" i="2272" s="1"/>
  <c r="D20" i="2272" s="1"/>
  <c r="L22" i="2272"/>
  <c r="D22" i="2272"/>
  <c r="R21" i="2272"/>
  <c r="L17" i="2272" s="1"/>
  <c r="D17" i="2272" s="1"/>
  <c r="L21" i="2272"/>
  <c r="D21" i="2272"/>
  <c r="R20" i="2272"/>
  <c r="R19" i="2272"/>
  <c r="L19" i="2272"/>
  <c r="D19" i="2272" s="1"/>
  <c r="R18" i="2272"/>
  <c r="R17" i="2272"/>
  <c r="R16" i="2272"/>
  <c r="L16" i="2272"/>
  <c r="D16" i="2272" s="1"/>
  <c r="R15" i="2272"/>
  <c r="R14" i="2272"/>
  <c r="D14" i="2272"/>
  <c r="R13" i="2272"/>
  <c r="D13" i="2272"/>
  <c r="R12" i="2272"/>
  <c r="L12" i="2272"/>
  <c r="D12" i="2272"/>
  <c r="R11" i="2272"/>
  <c r="L11" i="2272"/>
  <c r="D11" i="2272" s="1"/>
  <c r="R6" i="2272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D41" i="2271"/>
  <c r="R40" i="2271"/>
  <c r="L8" i="2271" s="1"/>
  <c r="D8" i="2271" s="1"/>
  <c r="D40" i="2271"/>
  <c r="R39" i="2271"/>
  <c r="H39" i="2271"/>
  <c r="D39" i="2271"/>
  <c r="R38" i="2271"/>
  <c r="H38" i="2271"/>
  <c r="D38" i="2271"/>
  <c r="R37" i="2271"/>
  <c r="H37" i="2271"/>
  <c r="D37" i="2271"/>
  <c r="R36" i="2271"/>
  <c r="L10" i="2271" s="1"/>
  <c r="D10" i="2271" s="1"/>
  <c r="H36" i="2271"/>
  <c r="D36" i="2271"/>
  <c r="R35" i="2271"/>
  <c r="L18" i="2271" s="1"/>
  <c r="D18" i="2271" s="1"/>
  <c r="H35" i="2271"/>
  <c r="D35" i="2271"/>
  <c r="R34" i="2271"/>
  <c r="H34" i="2271"/>
  <c r="G49" i="2271" s="1"/>
  <c r="D34" i="2271"/>
  <c r="D54" i="2271" s="1"/>
  <c r="H14" i="2271" s="1"/>
  <c r="R33" i="2271"/>
  <c r="R32" i="2271"/>
  <c r="R31" i="2271"/>
  <c r="R30" i="2271"/>
  <c r="R29" i="2271"/>
  <c r="R28" i="2271"/>
  <c r="L28" i="2271"/>
  <c r="D28" i="2271" s="1"/>
  <c r="R27" i="2271"/>
  <c r="L27" i="2271"/>
  <c r="D27" i="2271"/>
  <c r="R26" i="2271"/>
  <c r="L26" i="2271"/>
  <c r="D26" i="2271"/>
  <c r="R25" i="2271"/>
  <c r="L25" i="2271"/>
  <c r="D25" i="2271" s="1"/>
  <c r="R24" i="2271"/>
  <c r="L24" i="2271"/>
  <c r="D24" i="2271" s="1"/>
  <c r="R23" i="2271"/>
  <c r="L23" i="2271"/>
  <c r="D23" i="2271"/>
  <c r="R22" i="2271"/>
  <c r="L22" i="2271"/>
  <c r="D22" i="2271"/>
  <c r="R21" i="2271"/>
  <c r="D21" i="2271"/>
  <c r="R20" i="2271"/>
  <c r="L20" i="2271"/>
  <c r="D20" i="2271" s="1"/>
  <c r="R19" i="2271"/>
  <c r="L19" i="2271"/>
  <c r="D19" i="2271"/>
  <c r="R18" i="2271"/>
  <c r="R17" i="2271"/>
  <c r="L17" i="2271"/>
  <c r="D17" i="2271" s="1"/>
  <c r="R16" i="2271"/>
  <c r="R15" i="2271"/>
  <c r="R14" i="2271"/>
  <c r="L14" i="2271"/>
  <c r="D14" i="2271"/>
  <c r="R13" i="2271"/>
  <c r="D13" i="2271"/>
  <c r="R12" i="2271"/>
  <c r="L12" i="2271"/>
  <c r="D12" i="2271"/>
  <c r="R11" i="2271"/>
  <c r="L11" i="2271"/>
  <c r="D11" i="2271"/>
  <c r="L9" i="2271"/>
  <c r="D9" i="2271"/>
  <c r="L7" i="2271"/>
  <c r="D7" i="2271" s="1"/>
  <c r="R6" i="2271"/>
  <c r="L16" i="2271" s="1"/>
  <c r="D16" i="2271" s="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D44" i="2270"/>
  <c r="R42" i="2270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L10" i="2270" s="1"/>
  <c r="D10" i="2270" s="1"/>
  <c r="H36" i="2270"/>
  <c r="D36" i="2270"/>
  <c r="R35" i="2270"/>
  <c r="L18" i="2270" s="1"/>
  <c r="D18" i="2270" s="1"/>
  <c r="H35" i="2270"/>
  <c r="D35" i="2270"/>
  <c r="D54" i="2270" s="1"/>
  <c r="H14" i="2270" s="1"/>
  <c r="R34" i="2270"/>
  <c r="H34" i="2270"/>
  <c r="G49" i="2270" s="1"/>
  <c r="D34" i="2270"/>
  <c r="R33" i="2270"/>
  <c r="R32" i="2270"/>
  <c r="R31" i="2270"/>
  <c r="R30" i="2270"/>
  <c r="R29" i="2270"/>
  <c r="R28" i="2270"/>
  <c r="L28" i="2270"/>
  <c r="D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 s="1"/>
  <c r="R22" i="2270"/>
  <c r="L20" i="2270" s="1"/>
  <c r="D20" i="2270" s="1"/>
  <c r="L22" i="2270"/>
  <c r="D22" i="2270"/>
  <c r="R21" i="2270"/>
  <c r="L17" i="2270" s="1"/>
  <c r="D17" i="2270" s="1"/>
  <c r="L21" i="2270"/>
  <c r="D21" i="2270" s="1"/>
  <c r="R20" i="2270"/>
  <c r="R19" i="2270"/>
  <c r="L19" i="2270"/>
  <c r="D19" i="2270"/>
  <c r="R18" i="2270"/>
  <c r="R17" i="2270"/>
  <c r="R16" i="2270"/>
  <c r="L16" i="2270"/>
  <c r="D16" i="2270" s="1"/>
  <c r="R15" i="2270"/>
  <c r="R14" i="2270"/>
  <c r="D14" i="2270"/>
  <c r="R13" i="2270"/>
  <c r="D13" i="2270"/>
  <c r="R12" i="2270"/>
  <c r="L12" i="2270"/>
  <c r="D12" i="2270" s="1"/>
  <c r="R11" i="2270"/>
  <c r="L11" i="2270"/>
  <c r="D11" i="2270" s="1"/>
  <c r="L9" i="2270"/>
  <c r="D9" i="2270" s="1"/>
  <c r="L7" i="2270"/>
  <c r="D7" i="2270" s="1"/>
  <c r="R6" i="2270"/>
  <c r="L6" i="2270"/>
  <c r="D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L9" i="2269" s="1"/>
  <c r="D9" i="2269" s="1"/>
  <c r="D38" i="2269"/>
  <c r="R37" i="2269"/>
  <c r="D37" i="2269"/>
  <c r="R36" i="2269"/>
  <c r="L10" i="2269" s="1"/>
  <c r="D10" i="2269" s="1"/>
  <c r="D36" i="2269"/>
  <c r="R35" i="2269"/>
  <c r="D35" i="2269"/>
  <c r="R34" i="2269"/>
  <c r="D34" i="2269"/>
  <c r="D54" i="2269" s="1"/>
  <c r="H14" i="2269" s="1"/>
  <c r="R33" i="2269"/>
  <c r="R32" i="2269"/>
  <c r="R31" i="2269"/>
  <c r="R30" i="2269"/>
  <c r="R29" i="2269"/>
  <c r="R28" i="2269"/>
  <c r="L16" i="2269" s="1"/>
  <c r="D16" i="2269" s="1"/>
  <c r="D28" i="2269"/>
  <c r="R27" i="2269"/>
  <c r="D27" i="2269"/>
  <c r="R26" i="2269"/>
  <c r="L26" i="2269"/>
  <c r="D26" i="2269"/>
  <c r="R25" i="2269"/>
  <c r="L25" i="2269"/>
  <c r="D25" i="2269"/>
  <c r="R24" i="2269"/>
  <c r="D24" i="2269"/>
  <c r="R23" i="2269"/>
  <c r="L23" i="2269"/>
  <c r="D23" i="2269" s="1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S15" i="2269"/>
  <c r="R15" i="2269"/>
  <c r="D15" i="2269"/>
  <c r="S14" i="2269"/>
  <c r="R14" i="2269"/>
  <c r="D14" i="2269"/>
  <c r="R13" i="2269"/>
  <c r="D13" i="2269"/>
  <c r="R12" i="2269"/>
  <c r="L12" i="2269"/>
  <c r="D12" i="2269" s="1"/>
  <c r="R11" i="2269"/>
  <c r="L11" i="2269"/>
  <c r="D11" i="2269" s="1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L28" i="2268" s="1"/>
  <c r="D28" i="2268" s="1"/>
  <c r="D44" i="2268"/>
  <c r="R42" i="2268"/>
  <c r="L6" i="2268" s="1"/>
  <c r="D6" i="2268" s="1"/>
  <c r="D42" i="2268"/>
  <c r="R41" i="2268"/>
  <c r="L7" i="2268" s="1"/>
  <c r="D7" i="2268" s="1"/>
  <c r="D41" i="2268"/>
  <c r="R40" i="2268"/>
  <c r="D40" i="2268"/>
  <c r="R39" i="2268"/>
  <c r="H39" i="2268"/>
  <c r="D39" i="2268"/>
  <c r="R38" i="2268"/>
  <c r="H38" i="2268"/>
  <c r="D38" i="2268"/>
  <c r="R37" i="2268"/>
  <c r="H37" i="2268"/>
  <c r="D37" i="2268"/>
  <c r="R36" i="2268"/>
  <c r="H36" i="2268"/>
  <c r="D36" i="2268"/>
  <c r="R35" i="2268"/>
  <c r="H35" i="2268"/>
  <c r="D35" i="2268"/>
  <c r="R34" i="2268"/>
  <c r="L12" i="2268" s="1"/>
  <c r="D12" i="2268" s="1"/>
  <c r="H34" i="2268"/>
  <c r="G49" i="2268" s="1"/>
  <c r="D34" i="2268"/>
  <c r="D54" i="2268" s="1"/>
  <c r="H14" i="2268" s="1"/>
  <c r="R33" i="2268"/>
  <c r="R32" i="2268"/>
  <c r="L11" i="2268" s="1"/>
  <c r="D11" i="2268" s="1"/>
  <c r="R31" i="2268"/>
  <c r="R30" i="2268"/>
  <c r="R29" i="2268"/>
  <c r="R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/>
  <c r="R23" i="2268"/>
  <c r="L23" i="2268"/>
  <c r="D23" i="2268"/>
  <c r="R22" i="2268"/>
  <c r="L22" i="2268"/>
  <c r="D22" i="2268"/>
  <c r="R21" i="2268"/>
  <c r="L21" i="2268"/>
  <c r="D21" i="2268"/>
  <c r="R20" i="2268"/>
  <c r="L20" i="2268"/>
  <c r="D20" i="2268" s="1"/>
  <c r="R19" i="2268"/>
  <c r="L19" i="2268"/>
  <c r="D19" i="2268" s="1"/>
  <c r="R18" i="2268"/>
  <c r="L18" i="2268"/>
  <c r="D18" i="2268" s="1"/>
  <c r="R17" i="2268"/>
  <c r="L17" i="2268"/>
  <c r="D17" i="2268"/>
  <c r="R16" i="2268"/>
  <c r="R15" i="2268"/>
  <c r="R14" i="2268"/>
  <c r="D14" i="2268"/>
  <c r="R13" i="2268"/>
  <c r="D13" i="2268"/>
  <c r="R12" i="2268"/>
  <c r="R11" i="2268"/>
  <c r="L10" i="2268"/>
  <c r="D10" i="2268" s="1"/>
  <c r="L9" i="2268"/>
  <c r="D9" i="2268" s="1"/>
  <c r="L8" i="2268"/>
  <c r="D8" i="2268"/>
  <c r="R6" i="2268"/>
  <c r="L16" i="2268" s="1"/>
  <c r="D1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D44" i="2267"/>
  <c r="R42" i="2267"/>
  <c r="L6" i="2267" s="1"/>
  <c r="D6" i="2267" s="1"/>
  <c r="D42" i="2267"/>
  <c r="R41" i="2267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H35" i="2267"/>
  <c r="D35" i="2267"/>
  <c r="R34" i="2267"/>
  <c r="H34" i="2267"/>
  <c r="G49" i="2267" s="1"/>
  <c r="D34" i="2267"/>
  <c r="D54" i="2267" s="1"/>
  <c r="H14" i="2267" s="1"/>
  <c r="R33" i="2267"/>
  <c r="R32" i="2267"/>
  <c r="R31" i="2267"/>
  <c r="R30" i="2267"/>
  <c r="R29" i="2267"/>
  <c r="R28" i="2267"/>
  <c r="L28" i="2267"/>
  <c r="D28" i="2267" s="1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0" i="2267" s="1"/>
  <c r="D20" i="2267" s="1"/>
  <c r="L22" i="2267"/>
  <c r="D22" i="2267" s="1"/>
  <c r="R21" i="2267"/>
  <c r="D21" i="2267"/>
  <c r="R20" i="2267"/>
  <c r="R19" i="2267"/>
  <c r="L19" i="2267"/>
  <c r="D19" i="2267" s="1"/>
  <c r="R18" i="2267"/>
  <c r="L18" i="2267"/>
  <c r="D18" i="2267" s="1"/>
  <c r="R17" i="2267"/>
  <c r="L17" i="2267"/>
  <c r="D17" i="2267" s="1"/>
  <c r="R16" i="2267"/>
  <c r="R15" i="2267"/>
  <c r="R14" i="2267"/>
  <c r="L14" i="2267"/>
  <c r="D14" i="2267" s="1"/>
  <c r="R13" i="2267"/>
  <c r="D13" i="2267"/>
  <c r="R12" i="2267"/>
  <c r="L12" i="2267"/>
  <c r="D12" i="2267" s="1"/>
  <c r="R11" i="2267"/>
  <c r="L11" i="2267"/>
  <c r="D11" i="2267"/>
  <c r="L10" i="2267"/>
  <c r="D10" i="2267" s="1"/>
  <c r="L9" i="2267"/>
  <c r="D9" i="2267"/>
  <c r="L8" i="2267"/>
  <c r="D8" i="2267" s="1"/>
  <c r="L7" i="2267"/>
  <c r="D7" i="2267"/>
  <c r="R6" i="2267"/>
  <c r="L16" i="2267" s="1"/>
  <c r="D16" i="2267" s="1"/>
  <c r="R5" i="2267"/>
  <c r="R4" i="2267"/>
  <c r="L15" i="2267" s="1"/>
  <c r="D15" i="2267" s="1"/>
  <c r="V68" i="2266"/>
  <c r="R52" i="2266"/>
  <c r="R51" i="2266"/>
  <c r="D50" i="2266"/>
  <c r="R49" i="2266"/>
  <c r="D49" i="2266"/>
  <c r="R48" i="2266"/>
  <c r="D48" i="2266"/>
  <c r="D46" i="2266"/>
  <c r="D45" i="2266"/>
  <c r="R44" i="2266"/>
  <c r="L28" i="2266" s="1"/>
  <c r="D28" i="2266" s="1"/>
  <c r="D44" i="2266"/>
  <c r="R42" i="2266"/>
  <c r="D42" i="2266"/>
  <c r="R41" i="2266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R34" i="2266"/>
  <c r="L12" i="2266" s="1"/>
  <c r="D12" i="2266" s="1"/>
  <c r="H34" i="2266"/>
  <c r="G49" i="2266" s="1"/>
  <c r="D34" i="2266"/>
  <c r="D54" i="2266" s="1"/>
  <c r="H14" i="2266" s="1"/>
  <c r="R33" i="2266"/>
  <c r="R32" i="2266"/>
  <c r="R31" i="2266"/>
  <c r="R30" i="2266"/>
  <c r="R29" i="2266"/>
  <c r="R28" i="2266"/>
  <c r="R27" i="2266"/>
  <c r="L27" i="2266"/>
  <c r="D27" i="2266"/>
  <c r="R26" i="2266"/>
  <c r="L26" i="2266"/>
  <c r="D26" i="2266" s="1"/>
  <c r="R25" i="2266"/>
  <c r="L25" i="2266"/>
  <c r="D25" i="2266" s="1"/>
  <c r="R24" i="2266"/>
  <c r="L24" i="2266"/>
  <c r="D24" i="2266"/>
  <c r="R23" i="2266"/>
  <c r="L23" i="2266"/>
  <c r="D23" i="2266" s="1"/>
  <c r="R22" i="2266"/>
  <c r="L20" i="2266" s="1"/>
  <c r="D20" i="2266" s="1"/>
  <c r="L22" i="2266"/>
  <c r="D22" i="2266"/>
  <c r="R21" i="2266"/>
  <c r="L17" i="2266" s="1"/>
  <c r="D17" i="2266" s="1"/>
  <c r="L21" i="2266"/>
  <c r="D21" i="2266"/>
  <c r="R20" i="2266"/>
  <c r="R19" i="2266"/>
  <c r="L19" i="2266"/>
  <c r="D19" i="2266"/>
  <c r="R18" i="2266"/>
  <c r="L18" i="2266"/>
  <c r="D18" i="2266"/>
  <c r="R17" i="2266"/>
  <c r="R16" i="2266"/>
  <c r="L16" i="2266"/>
  <c r="D16" i="2266"/>
  <c r="R15" i="2266"/>
  <c r="L15" i="2266"/>
  <c r="D15" i="2266" s="1"/>
  <c r="R14" i="2266"/>
  <c r="D14" i="2266"/>
  <c r="R13" i="2266"/>
  <c r="D13" i="2266"/>
  <c r="R12" i="2266"/>
  <c r="R11" i="2266"/>
  <c r="L11" i="2266"/>
  <c r="D11" i="2266"/>
  <c r="L10" i="2266"/>
  <c r="D10" i="2266" s="1"/>
  <c r="L7" i="2266"/>
  <c r="D7" i="2266"/>
  <c r="R6" i="2266"/>
  <c r="L6" i="2266"/>
  <c r="D6" i="2266" s="1"/>
  <c r="R5" i="2266"/>
  <c r="R4" i="2266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L10" i="2265" s="1"/>
  <c r="D10" i="2265" s="1"/>
  <c r="D36" i="2265"/>
  <c r="D54" i="2265" s="1"/>
  <c r="H14" i="2265" s="1"/>
  <c r="R35" i="2265"/>
  <c r="D35" i="2265"/>
  <c r="R34" i="2265"/>
  <c r="D34" i="2265"/>
  <c r="R33" i="2265"/>
  <c r="R32" i="2265"/>
  <c r="L11" i="2265" s="1"/>
  <c r="D11" i="2265" s="1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/>
  <c r="R25" i="2265"/>
  <c r="L25" i="2265"/>
  <c r="D25" i="2265"/>
  <c r="R24" i="2265"/>
  <c r="D24" i="2265"/>
  <c r="R23" i="2265"/>
  <c r="L23" i="2265"/>
  <c r="D23" i="2265" s="1"/>
  <c r="R22" i="2265"/>
  <c r="L22" i="2265"/>
  <c r="D22" i="2265" s="1"/>
  <c r="R21" i="2265"/>
  <c r="D21" i="2265"/>
  <c r="R20" i="2265"/>
  <c r="L20" i="2265"/>
  <c r="D20" i="2265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L12" i="2265"/>
  <c r="D12" i="2265" s="1"/>
  <c r="R11" i="2265"/>
  <c r="L9" i="2265"/>
  <c r="D9" i="2265" s="1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D44" i="2264"/>
  <c r="R42" i="2264"/>
  <c r="L6" i="2264" s="1"/>
  <c r="D6" i="2264" s="1"/>
  <c r="D42" i="2264"/>
  <c r="R41" i="2264"/>
  <c r="L7" i="2264" s="1"/>
  <c r="D7" i="2264" s="1"/>
  <c r="D41" i="2264"/>
  <c r="R40" i="2264"/>
  <c r="D40" i="2264"/>
  <c r="R39" i="2264"/>
  <c r="H39" i="2264"/>
  <c r="D39" i="2264"/>
  <c r="R38" i="2264"/>
  <c r="L9" i="2264" s="1"/>
  <c r="D9" i="2264" s="1"/>
  <c r="H38" i="2264"/>
  <c r="D38" i="2264"/>
  <c r="D54" i="2264" s="1"/>
  <c r="H14" i="2264" s="1"/>
  <c r="R37" i="2264"/>
  <c r="H37" i="2264"/>
  <c r="D37" i="2264"/>
  <c r="R36" i="2264"/>
  <c r="H36" i="2264"/>
  <c r="D36" i="2264"/>
  <c r="R35" i="2264"/>
  <c r="L18" i="2264" s="1"/>
  <c r="D18" i="2264" s="1"/>
  <c r="H35" i="2264"/>
  <c r="D35" i="2264"/>
  <c r="R34" i="2264"/>
  <c r="H34" i="2264"/>
  <c r="G49" i="2264" s="1"/>
  <c r="D34" i="2264"/>
  <c r="R33" i="2264"/>
  <c r="R32" i="2264"/>
  <c r="L11" i="2264" s="1"/>
  <c r="D11" i="2264" s="1"/>
  <c r="R31" i="2264"/>
  <c r="R30" i="2264"/>
  <c r="R29" i="2264"/>
  <c r="R28" i="2264"/>
  <c r="L28" i="2264"/>
  <c r="D28" i="2264"/>
  <c r="R27" i="2264"/>
  <c r="L27" i="2264"/>
  <c r="D27" i="2264" s="1"/>
  <c r="R26" i="2264"/>
  <c r="L26" i="2264"/>
  <c r="D26" i="2264" s="1"/>
  <c r="R25" i="2264"/>
  <c r="L25" i="2264"/>
  <c r="D25" i="2264"/>
  <c r="R24" i="2264"/>
  <c r="L24" i="2264"/>
  <c r="D24" i="2264"/>
  <c r="R23" i="2264"/>
  <c r="L23" i="2264"/>
  <c r="D23" i="2264"/>
  <c r="R22" i="2264"/>
  <c r="L20" i="2264" s="1"/>
  <c r="D20" i="2264" s="1"/>
  <c r="L22" i="2264"/>
  <c r="D22" i="2264"/>
  <c r="R21" i="2264"/>
  <c r="L21" i="2264"/>
  <c r="D21" i="2264"/>
  <c r="R20" i="2264"/>
  <c r="R19" i="2264"/>
  <c r="L19" i="2264"/>
  <c r="D19" i="2264" s="1"/>
  <c r="R18" i="2264"/>
  <c r="R17" i="2264"/>
  <c r="L17" i="2264"/>
  <c r="D17" i="2264"/>
  <c r="R16" i="2264"/>
  <c r="R15" i="2264"/>
  <c r="R14" i="2264"/>
  <c r="D14" i="2264"/>
  <c r="R13" i="2264"/>
  <c r="D13" i="2264"/>
  <c r="R12" i="2264"/>
  <c r="L12" i="2264"/>
  <c r="D12" i="2264"/>
  <c r="R11" i="2264"/>
  <c r="L10" i="2264"/>
  <c r="D10" i="2264" s="1"/>
  <c r="L8" i="2264"/>
  <c r="D8" i="2264"/>
  <c r="R6" i="2264"/>
  <c r="L16" i="2264" s="1"/>
  <c r="D16" i="2264" s="1"/>
  <c r="R5" i="2264"/>
  <c r="R4" i="2264"/>
  <c r="L15" i="2264" s="1"/>
  <c r="D15" i="2264" s="1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L6" i="2263" s="1"/>
  <c r="D6" i="2263" s="1"/>
  <c r="D42" i="2263"/>
  <c r="R41" i="2263"/>
  <c r="D41" i="2263"/>
  <c r="R40" i="2263"/>
  <c r="L8" i="2263" s="1"/>
  <c r="D8" i="2263" s="1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R32" i="2263"/>
  <c r="R31" i="2263"/>
  <c r="R30" i="2263"/>
  <c r="R29" i="2263"/>
  <c r="R28" i="2263"/>
  <c r="R27" i="2263"/>
  <c r="L27" i="2263"/>
  <c r="D27" i="2263"/>
  <c r="R26" i="2263"/>
  <c r="L26" i="2263"/>
  <c r="D26" i="2263" s="1"/>
  <c r="R25" i="2263"/>
  <c r="L25" i="2263"/>
  <c r="D25" i="2263"/>
  <c r="R24" i="2263"/>
  <c r="L24" i="2263"/>
  <c r="D24" i="2263"/>
  <c r="R23" i="2263"/>
  <c r="L23" i="2263"/>
  <c r="D23" i="2263"/>
  <c r="R22" i="2263"/>
  <c r="L20" i="2263" s="1"/>
  <c r="D20" i="2263" s="1"/>
  <c r="L22" i="2263"/>
  <c r="D22" i="2263"/>
  <c r="R21" i="2263"/>
  <c r="L17" i="2263" s="1"/>
  <c r="D17" i="2263" s="1"/>
  <c r="D21" i="2263"/>
  <c r="R20" i="2263"/>
  <c r="R19" i="2263"/>
  <c r="L19" i="2263"/>
  <c r="D19" i="2263"/>
  <c r="R18" i="2263"/>
  <c r="L18" i="2263"/>
  <c r="D18" i="2263"/>
  <c r="R17" i="2263"/>
  <c r="R16" i="2263"/>
  <c r="R15" i="2263"/>
  <c r="R14" i="2263"/>
  <c r="L14" i="2263"/>
  <c r="D14" i="2263"/>
  <c r="R13" i="2263"/>
  <c r="D13" i="2263"/>
  <c r="R12" i="2263"/>
  <c r="L12" i="2263"/>
  <c r="D12" i="2263"/>
  <c r="R11" i="2263"/>
  <c r="L11" i="2263"/>
  <c r="D11" i="2263" s="1"/>
  <c r="L10" i="2263"/>
  <c r="D10" i="2263" s="1"/>
  <c r="L9" i="2263"/>
  <c r="D9" i="2263" s="1"/>
  <c r="L7" i="2263"/>
  <c r="D7" i="2263"/>
  <c r="R6" i="2263"/>
  <c r="L16" i="2263" s="1"/>
  <c r="D16" i="2263" s="1"/>
  <c r="R5" i="2263"/>
  <c r="R4" i="2263"/>
  <c r="L15" i="2263" s="1"/>
  <c r="D15" i="2263" s="1"/>
  <c r="V68" i="2262"/>
  <c r="R52" i="2262"/>
  <c r="R51" i="2262"/>
  <c r="D50" i="2262"/>
  <c r="R49" i="2262"/>
  <c r="D49" i="2262"/>
  <c r="R48" i="2262"/>
  <c r="D48" i="2262"/>
  <c r="D46" i="2262"/>
  <c r="D45" i="2262"/>
  <c r="R44" i="2262"/>
  <c r="L28" i="2262" s="1"/>
  <c r="D28" i="2262" s="1"/>
  <c r="D44" i="2262"/>
  <c r="R42" i="2262"/>
  <c r="D42" i="2262"/>
  <c r="R41" i="2262"/>
  <c r="D41" i="2262"/>
  <c r="R40" i="2262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L12" i="2262" s="1"/>
  <c r="D12" i="2262" s="1"/>
  <c r="H34" i="2262"/>
  <c r="G49" i="2262" s="1"/>
  <c r="D34" i="2262"/>
  <c r="R33" i="2262"/>
  <c r="R32" i="2262"/>
  <c r="R31" i="2262"/>
  <c r="R30" i="2262"/>
  <c r="R29" i="2262"/>
  <c r="R28" i="2262"/>
  <c r="R27" i="2262"/>
  <c r="L27" i="2262"/>
  <c r="D27" i="2262" s="1"/>
  <c r="R26" i="2262"/>
  <c r="L26" i="2262"/>
  <c r="D26" i="2262" s="1"/>
  <c r="R25" i="2262"/>
  <c r="L25" i="2262"/>
  <c r="D25" i="2262"/>
  <c r="R24" i="2262"/>
  <c r="L24" i="2262"/>
  <c r="D24" i="2262"/>
  <c r="R23" i="2262"/>
  <c r="L23" i="2262"/>
  <c r="D23" i="2262" s="1"/>
  <c r="R22" i="2262"/>
  <c r="L22" i="2262"/>
  <c r="D22" i="2262"/>
  <c r="R21" i="2262"/>
  <c r="L17" i="2262" s="1"/>
  <c r="D17" i="2262" s="1"/>
  <c r="L21" i="2262"/>
  <c r="D21" i="2262"/>
  <c r="R20" i="2262"/>
  <c r="L20" i="2262"/>
  <c r="D20" i="2262"/>
  <c r="R19" i="2262"/>
  <c r="L19" i="2262"/>
  <c r="D19" i="2262"/>
  <c r="R18" i="2262"/>
  <c r="L18" i="2262"/>
  <c r="D18" i="2262"/>
  <c r="R17" i="2262"/>
  <c r="R16" i="2262"/>
  <c r="R15" i="2262"/>
  <c r="R14" i="2262"/>
  <c r="D14" i="2262"/>
  <c r="R13" i="2262"/>
  <c r="D13" i="2262"/>
  <c r="R12" i="2262"/>
  <c r="R11" i="2262"/>
  <c r="L11" i="2262"/>
  <c r="D11" i="2262" s="1"/>
  <c r="L9" i="2262"/>
  <c r="D9" i="2262"/>
  <c r="L8" i="2262"/>
  <c r="D8" i="2262" s="1"/>
  <c r="L7" i="2262"/>
  <c r="D7" i="2262"/>
  <c r="R6" i="2262"/>
  <c r="L16" i="2262" s="1"/>
  <c r="D16" i="2262" s="1"/>
  <c r="L6" i="2262"/>
  <c r="D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L16" i="2261"/>
  <c r="D16" i="2261" s="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D44" i="2260"/>
  <c r="R42" i="2260"/>
  <c r="L6" i="2260" s="1"/>
  <c r="D6" i="2260" s="1"/>
  <c r="D42" i="2260"/>
  <c r="R41" i="2260"/>
  <c r="D41" i="2260"/>
  <c r="R40" i="2260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L12" i="2260" s="1"/>
  <c r="D12" i="2260" s="1"/>
  <c r="H34" i="2260"/>
  <c r="D34" i="2260"/>
  <c r="R33" i="2260"/>
  <c r="L19" i="2260" s="1"/>
  <c r="D19" i="2260" s="1"/>
  <c r="R32" i="2260"/>
  <c r="R31" i="2260"/>
  <c r="R30" i="2260"/>
  <c r="R29" i="2260"/>
  <c r="R28" i="2260"/>
  <c r="L28" i="2260"/>
  <c r="D28" i="2260" s="1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/>
  <c r="R23" i="2260"/>
  <c r="L23" i="2260"/>
  <c r="D23" i="2260"/>
  <c r="R22" i="2260"/>
  <c r="L22" i="2260"/>
  <c r="D22" i="2260" s="1"/>
  <c r="R21" i="2260"/>
  <c r="L17" i="2260" s="1"/>
  <c r="D17" i="2260" s="1"/>
  <c r="L21" i="2260"/>
  <c r="D21" i="2260" s="1"/>
  <c r="R20" i="2260"/>
  <c r="L20" i="2260"/>
  <c r="D20" i="2260" s="1"/>
  <c r="R19" i="2260"/>
  <c r="R18" i="2260"/>
  <c r="R17" i="2260"/>
  <c r="R16" i="2260"/>
  <c r="L16" i="2260"/>
  <c r="D16" i="2260"/>
  <c r="R15" i="2260"/>
  <c r="R14" i="2260"/>
  <c r="D14" i="2260"/>
  <c r="R13" i="2260"/>
  <c r="D13" i="2260"/>
  <c r="R12" i="2260"/>
  <c r="R11" i="2260"/>
  <c r="L11" i="2260"/>
  <c r="D11" i="2260"/>
  <c r="L9" i="2260"/>
  <c r="D9" i="2260" s="1"/>
  <c r="L8" i="2260"/>
  <c r="D8" i="2260" s="1"/>
  <c r="L7" i="2260"/>
  <c r="D7" i="2260"/>
  <c r="R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D41" i="2259"/>
  <c r="R40" i="2259"/>
  <c r="D40" i="2259"/>
  <c r="R39" i="2259"/>
  <c r="H39" i="2259"/>
  <c r="D39" i="2259"/>
  <c r="R38" i="2259"/>
  <c r="L9" i="2259" s="1"/>
  <c r="D9" i="2259" s="1"/>
  <c r="H38" i="2259"/>
  <c r="D38" i="2259"/>
  <c r="R37" i="2259"/>
  <c r="H37" i="2259"/>
  <c r="D37" i="2259"/>
  <c r="R36" i="2259"/>
  <c r="L10" i="2259" s="1"/>
  <c r="D10" i="2259" s="1"/>
  <c r="H36" i="2259"/>
  <c r="D36" i="2259"/>
  <c r="R35" i="2259"/>
  <c r="H35" i="2259"/>
  <c r="D35" i="2259"/>
  <c r="R34" i="2259"/>
  <c r="L12" i="2259" s="1"/>
  <c r="D12" i="2259" s="1"/>
  <c r="H34" i="2259"/>
  <c r="D34" i="2259"/>
  <c r="R33" i="2259"/>
  <c r="R32" i="2259"/>
  <c r="L11" i="2259" s="1"/>
  <c r="D11" i="2259" s="1"/>
  <c r="R31" i="2259"/>
  <c r="R30" i="2259"/>
  <c r="R29" i="2259"/>
  <c r="R28" i="2259"/>
  <c r="R27" i="2259"/>
  <c r="L27" i="2259"/>
  <c r="D27" i="2259" s="1"/>
  <c r="R26" i="2259"/>
  <c r="L26" i="2259"/>
  <c r="D26" i="2259"/>
  <c r="R25" i="2259"/>
  <c r="L25" i="2259"/>
  <c r="D25" i="2259"/>
  <c r="R24" i="2259"/>
  <c r="L24" i="2259"/>
  <c r="D24" i="2259"/>
  <c r="R23" i="2259"/>
  <c r="L23" i="2259"/>
  <c r="D23" i="2259" s="1"/>
  <c r="R22" i="2259"/>
  <c r="L22" i="2259"/>
  <c r="D22" i="2259"/>
  <c r="R21" i="2259"/>
  <c r="D21" i="2259"/>
  <c r="R20" i="2259"/>
  <c r="L20" i="2259"/>
  <c r="D20" i="2259"/>
  <c r="R19" i="2259"/>
  <c r="L19" i="2259"/>
  <c r="D19" i="2259" s="1"/>
  <c r="R18" i="2259"/>
  <c r="L18" i="2259"/>
  <c r="D18" i="2259"/>
  <c r="R17" i="2259"/>
  <c r="L17" i="2259"/>
  <c r="D17" i="2259" s="1"/>
  <c r="R16" i="2259"/>
  <c r="R15" i="2259"/>
  <c r="L15" i="2259"/>
  <c r="D15" i="2259"/>
  <c r="R14" i="2259"/>
  <c r="L14" i="2259"/>
  <c r="D14" i="2259"/>
  <c r="R13" i="2259"/>
  <c r="D13" i="2259"/>
  <c r="R12" i="2259"/>
  <c r="R11" i="2259"/>
  <c r="L8" i="2259"/>
  <c r="D8" i="2259" s="1"/>
  <c r="L7" i="2259"/>
  <c r="D7" i="2259"/>
  <c r="R6" i="2259"/>
  <c r="L16" i="2259" s="1"/>
  <c r="D16" i="2259" s="1"/>
  <c r="L6" i="2259"/>
  <c r="D6" i="2259" s="1"/>
  <c r="R5" i="2259"/>
  <c r="R4" i="2259"/>
  <c r="V68" i="2258"/>
  <c r="R52" i="2258"/>
  <c r="R51" i="2258"/>
  <c r="D50" i="2258"/>
  <c r="R49" i="2258"/>
  <c r="D49" i="2258"/>
  <c r="R48" i="2258"/>
  <c r="D48" i="2258"/>
  <c r="D46" i="2258"/>
  <c r="D45" i="2258"/>
  <c r="R44" i="2258"/>
  <c r="D44" i="2258"/>
  <c r="R42" i="2258"/>
  <c r="L6" i="2258" s="1"/>
  <c r="D6" i="2258" s="1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L10" i="2258" s="1"/>
  <c r="D10" i="2258" s="1"/>
  <c r="H36" i="2258"/>
  <c r="D36" i="2258"/>
  <c r="R35" i="2258"/>
  <c r="H35" i="2258"/>
  <c r="G49" i="2258" s="1"/>
  <c r="D35" i="2258"/>
  <c r="R34" i="2258"/>
  <c r="L12" i="2258" s="1"/>
  <c r="D12" i="2258" s="1"/>
  <c r="H34" i="2258"/>
  <c r="D34" i="2258"/>
  <c r="D54" i="2258" s="1"/>
  <c r="H14" i="2258" s="1"/>
  <c r="R33" i="2258"/>
  <c r="R32" i="2258"/>
  <c r="R31" i="2258"/>
  <c r="R30" i="2258"/>
  <c r="R29" i="2258"/>
  <c r="R28" i="2258"/>
  <c r="L28" i="2258"/>
  <c r="D28" i="2258" s="1"/>
  <c r="R27" i="2258"/>
  <c r="L27" i="2258"/>
  <c r="D27" i="2258"/>
  <c r="R26" i="2258"/>
  <c r="L26" i="2258"/>
  <c r="D26" i="2258"/>
  <c r="R25" i="2258"/>
  <c r="L25" i="2258"/>
  <c r="D25" i="2258"/>
  <c r="R24" i="2258"/>
  <c r="L24" i="2258"/>
  <c r="D24" i="2258" s="1"/>
  <c r="R23" i="2258"/>
  <c r="L23" i="2258"/>
  <c r="D23" i="2258"/>
  <c r="R22" i="2258"/>
  <c r="L22" i="2258"/>
  <c r="D22" i="2258"/>
  <c r="R21" i="2258"/>
  <c r="L17" i="2258" s="1"/>
  <c r="D17" i="2258" s="1"/>
  <c r="L21" i="2258"/>
  <c r="D21" i="2258" s="1"/>
  <c r="R20" i="2258"/>
  <c r="L20" i="2258"/>
  <c r="D20" i="2258"/>
  <c r="R19" i="2258"/>
  <c r="L19" i="2258"/>
  <c r="D19" i="2258"/>
  <c r="R18" i="2258"/>
  <c r="L18" i="2258"/>
  <c r="D18" i="2258"/>
  <c r="R17" i="2258"/>
  <c r="R16" i="2258"/>
  <c r="L16" i="2258"/>
  <c r="D16" i="2258" s="1"/>
  <c r="R15" i="2258"/>
  <c r="R14" i="2258"/>
  <c r="D14" i="2258"/>
  <c r="R13" i="2258"/>
  <c r="D13" i="2258"/>
  <c r="R12" i="2258"/>
  <c r="R11" i="2258"/>
  <c r="L11" i="2258"/>
  <c r="D11" i="2258" s="1"/>
  <c r="L9" i="2258"/>
  <c r="D9" i="2258"/>
  <c r="L7" i="2258"/>
  <c r="D7" i="2258" s="1"/>
  <c r="R6" i="2258"/>
  <c r="R5" i="2258"/>
  <c r="R4" i="2258"/>
  <c r="L15" i="2258" s="1"/>
  <c r="D15" i="2258" s="1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L6" i="2257" s="1"/>
  <c r="D6" i="2257" s="1"/>
  <c r="D42" i="2257"/>
  <c r="R41" i="2257"/>
  <c r="L7" i="2257" s="1"/>
  <c r="D7" i="2257" s="1"/>
  <c r="D41" i="2257"/>
  <c r="R40" i="2257"/>
  <c r="D40" i="2257"/>
  <c r="R39" i="2257"/>
  <c r="D39" i="2257"/>
  <c r="R38" i="2257"/>
  <c r="L9" i="2257" s="1"/>
  <c r="D9" i="2257" s="1"/>
  <c r="D38" i="2257"/>
  <c r="R37" i="2257"/>
  <c r="D37" i="2257"/>
  <c r="R36" i="2257"/>
  <c r="L10" i="2257" s="1"/>
  <c r="D10" i="2257" s="1"/>
  <c r="D36" i="2257"/>
  <c r="R35" i="2257"/>
  <c r="L19" i="2257" s="1"/>
  <c r="D19" i="2257" s="1"/>
  <c r="D35" i="2257"/>
  <c r="R34" i="2257"/>
  <c r="L12" i="2257" s="1"/>
  <c r="D12" i="2257" s="1"/>
  <c r="D34" i="2257"/>
  <c r="D54" i="2257" s="1"/>
  <c r="H14" i="2257" s="1"/>
  <c r="R33" i="2257"/>
  <c r="R32" i="2257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L11" i="2257"/>
  <c r="D11" i="2257"/>
  <c r="L8" i="2257"/>
  <c r="D8" i="2257"/>
  <c r="R6" i="2257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D44" i="2256"/>
  <c r="R42" i="2256"/>
  <c r="L6" i="2256" s="1"/>
  <c r="D6" i="2256" s="1"/>
  <c r="D42" i="2256"/>
  <c r="D54" i="2256" s="1"/>
  <c r="H14" i="2256" s="1"/>
  <c r="R41" i="2256"/>
  <c r="D41" i="2256"/>
  <c r="R40" i="2256"/>
  <c r="D40" i="2256"/>
  <c r="R39" i="2256"/>
  <c r="H39" i="2256"/>
  <c r="D39" i="2256"/>
  <c r="R38" i="2256"/>
  <c r="L9" i="2256" s="1"/>
  <c r="D9" i="2256" s="1"/>
  <c r="H38" i="2256"/>
  <c r="D38" i="2256"/>
  <c r="R37" i="2256"/>
  <c r="H37" i="2256"/>
  <c r="D37" i="2256"/>
  <c r="R36" i="2256"/>
  <c r="L10" i="2256" s="1"/>
  <c r="D10" i="2256" s="1"/>
  <c r="H36" i="2256"/>
  <c r="G49" i="2256" s="1"/>
  <c r="D36" i="2256"/>
  <c r="R35" i="2256"/>
  <c r="H35" i="2256"/>
  <c r="D35" i="2256"/>
  <c r="R34" i="2256"/>
  <c r="H34" i="2256"/>
  <c r="D34" i="2256"/>
  <c r="R33" i="2256"/>
  <c r="R32" i="2256"/>
  <c r="L11" i="2256" s="1"/>
  <c r="D11" i="2256" s="1"/>
  <c r="R31" i="2256"/>
  <c r="R30" i="2256"/>
  <c r="R29" i="2256"/>
  <c r="R28" i="2256"/>
  <c r="L28" i="2256"/>
  <c r="D28" i="2256"/>
  <c r="R27" i="2256"/>
  <c r="L27" i="2256"/>
  <c r="D27" i="2256"/>
  <c r="R26" i="2256"/>
  <c r="L26" i="2256"/>
  <c r="D26" i="2256"/>
  <c r="R25" i="2256"/>
  <c r="L25" i="2256"/>
  <c r="D25" i="2256"/>
  <c r="R24" i="2256"/>
  <c r="L24" i="2256"/>
  <c r="D24" i="2256"/>
  <c r="R23" i="2256"/>
  <c r="L23" i="2256"/>
  <c r="D23" i="2256"/>
  <c r="R22" i="2256"/>
  <c r="L20" i="2256" s="1"/>
  <c r="D20" i="2256" s="1"/>
  <c r="L22" i="2256"/>
  <c r="D22" i="2256"/>
  <c r="R21" i="2256"/>
  <c r="L21" i="2256"/>
  <c r="D21" i="2256" s="1"/>
  <c r="R20" i="2256"/>
  <c r="R19" i="2256"/>
  <c r="L19" i="2256"/>
  <c r="D19" i="2256"/>
  <c r="R18" i="2256"/>
  <c r="L18" i="2256"/>
  <c r="D18" i="2256" s="1"/>
  <c r="R17" i="2256"/>
  <c r="L17" i="2256"/>
  <c r="D17" i="2256" s="1"/>
  <c r="R16" i="2256"/>
  <c r="R15" i="2256"/>
  <c r="L15" i="2256"/>
  <c r="D15" i="2256"/>
  <c r="R14" i="2256"/>
  <c r="D14" i="2256"/>
  <c r="R13" i="2256"/>
  <c r="D13" i="2256"/>
  <c r="R12" i="2256"/>
  <c r="L12" i="2256"/>
  <c r="D12" i="2256" s="1"/>
  <c r="R11" i="2256"/>
  <c r="L8" i="2256"/>
  <c r="D8" i="2256" s="1"/>
  <c r="L7" i="2256"/>
  <c r="D7" i="2256"/>
  <c r="R6" i="2256"/>
  <c r="L16" i="2256" s="1"/>
  <c r="D16" i="2256" s="1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D44" i="2255"/>
  <c r="R42" i="2255"/>
  <c r="L6" i="2255" s="1"/>
  <c r="D6" i="2255" s="1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L12" i="2255" s="1"/>
  <c r="D12" i="2255" s="1"/>
  <c r="H34" i="2255"/>
  <c r="D34" i="2255"/>
  <c r="R33" i="2255"/>
  <c r="R32" i="2255"/>
  <c r="L11" i="2255" s="1"/>
  <c r="D11" i="2255" s="1"/>
  <c r="R31" i="2255"/>
  <c r="R30" i="2255"/>
  <c r="R29" i="2255"/>
  <c r="R28" i="2255"/>
  <c r="L28" i="2255"/>
  <c r="D28" i="2255" s="1"/>
  <c r="R27" i="2255"/>
  <c r="L27" i="2255"/>
  <c r="D27" i="2255" s="1"/>
  <c r="R26" i="2255"/>
  <c r="L26" i="2255"/>
  <c r="D26" i="2255" s="1"/>
  <c r="R25" i="2255"/>
  <c r="L25" i="2255"/>
  <c r="D25" i="2255"/>
  <c r="R24" i="2255"/>
  <c r="L24" i="2255"/>
  <c r="D24" i="2255"/>
  <c r="R23" i="2255"/>
  <c r="L23" i="2255"/>
  <c r="D23" i="2255"/>
  <c r="R22" i="2255"/>
  <c r="L22" i="2255"/>
  <c r="D22" i="2255"/>
  <c r="R21" i="2255"/>
  <c r="D21" i="2255"/>
  <c r="R20" i="2255"/>
  <c r="L20" i="2255"/>
  <c r="D20" i="2255"/>
  <c r="R19" i="2255"/>
  <c r="L19" i="2255"/>
  <c r="D19" i="2255"/>
  <c r="R18" i="2255"/>
  <c r="L18" i="2255"/>
  <c r="D18" i="2255"/>
  <c r="R17" i="2255"/>
  <c r="L17" i="2255"/>
  <c r="D17" i="2255" s="1"/>
  <c r="R16" i="2255"/>
  <c r="R15" i="2255"/>
  <c r="L15" i="2255"/>
  <c r="D15" i="2255" s="1"/>
  <c r="R14" i="2255"/>
  <c r="L14" i="2255"/>
  <c r="D14" i="2255"/>
  <c r="R13" i="2255"/>
  <c r="D13" i="2255"/>
  <c r="R12" i="2255"/>
  <c r="R11" i="2255"/>
  <c r="L9" i="2255"/>
  <c r="D9" i="2255"/>
  <c r="L8" i="2255"/>
  <c r="D8" i="2255"/>
  <c r="L7" i="2255"/>
  <c r="D7" i="2255"/>
  <c r="R6" i="2255"/>
  <c r="L16" i="2255" s="1"/>
  <c r="D1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D40" i="2254"/>
  <c r="R39" i="2254"/>
  <c r="H39" i="2254"/>
  <c r="D39" i="2254"/>
  <c r="R38" i="2254"/>
  <c r="L9" i="2254" s="1"/>
  <c r="D9" i="2254" s="1"/>
  <c r="H38" i="2254"/>
  <c r="D38" i="2254"/>
  <c r="R37" i="2254"/>
  <c r="H37" i="2254"/>
  <c r="D37" i="2254"/>
  <c r="R36" i="2254"/>
  <c r="L10" i="2254" s="1"/>
  <c r="D10" i="2254" s="1"/>
  <c r="H36" i="2254"/>
  <c r="D36" i="2254"/>
  <c r="R35" i="2254"/>
  <c r="H35" i="2254"/>
  <c r="D35" i="2254"/>
  <c r="R34" i="2254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/>
  <c r="R27" i="2254"/>
  <c r="L27" i="2254"/>
  <c r="D27" i="2254"/>
  <c r="R26" i="2254"/>
  <c r="L26" i="2254"/>
  <c r="D26" i="2254"/>
  <c r="R25" i="2254"/>
  <c r="L25" i="2254"/>
  <c r="D25" i="2254" s="1"/>
  <c r="R24" i="2254"/>
  <c r="L24" i="2254"/>
  <c r="D24" i="2254"/>
  <c r="R23" i="2254"/>
  <c r="L23" i="2254"/>
  <c r="D23" i="2254"/>
  <c r="R22" i="2254"/>
  <c r="L20" i="2254" s="1"/>
  <c r="D20" i="2254" s="1"/>
  <c r="L22" i="2254"/>
  <c r="D22" i="2254"/>
  <c r="R21" i="2254"/>
  <c r="L21" i="2254"/>
  <c r="D21" i="2254" s="1"/>
  <c r="R20" i="2254"/>
  <c r="R19" i="2254"/>
  <c r="R18" i="2254"/>
  <c r="L18" i="2254"/>
  <c r="D18" i="2254"/>
  <c r="R17" i="2254"/>
  <c r="L17" i="2254"/>
  <c r="D17" i="2254" s="1"/>
  <c r="R16" i="2254"/>
  <c r="R15" i="2254"/>
  <c r="L15" i="2254"/>
  <c r="D15" i="2254"/>
  <c r="R14" i="2254"/>
  <c r="D14" i="2254"/>
  <c r="R13" i="2254"/>
  <c r="D13" i="2254"/>
  <c r="R12" i="2254"/>
  <c r="L12" i="2254"/>
  <c r="D12" i="2254" s="1"/>
  <c r="R11" i="2254"/>
  <c r="L8" i="2254"/>
  <c r="D8" i="2254" s="1"/>
  <c r="L7" i="2254"/>
  <c r="D7" i="2254"/>
  <c r="R6" i="2254"/>
  <c r="L16" i="2254" s="1"/>
  <c r="D16" i="2254" s="1"/>
  <c r="R5" i="2254"/>
  <c r="R4" i="2254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D42" i="2253"/>
  <c r="R41" i="2253"/>
  <c r="L7" i="2253" s="1"/>
  <c r="D7" i="2253" s="1"/>
  <c r="D41" i="2253"/>
  <c r="R40" i="2253"/>
  <c r="L8" i="2253" s="1"/>
  <c r="D8" i="2253" s="1"/>
  <c r="D40" i="2253"/>
  <c r="D54" i="2253" s="1"/>
  <c r="H14" i="2253" s="1"/>
  <c r="R39" i="2253"/>
  <c r="D39" i="2253"/>
  <c r="R38" i="2253"/>
  <c r="D38" i="2253"/>
  <c r="R37" i="2253"/>
  <c r="D37" i="2253"/>
  <c r="R36" i="2253"/>
  <c r="L10" i="2253" s="1"/>
  <c r="D10" i="2253" s="1"/>
  <c r="D36" i="2253"/>
  <c r="R35" i="2253"/>
  <c r="D35" i="2253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9" i="2253"/>
  <c r="D9" i="2253"/>
  <c r="R6" i="2253"/>
  <c r="L6" i="2253"/>
  <c r="D6" i="2253" s="1"/>
  <c r="R5" i="2253"/>
  <c r="R4" i="2253"/>
  <c r="L14" i="2250"/>
  <c r="C12" i="2252"/>
  <c r="C19" i="2251"/>
  <c r="C16" i="2251"/>
  <c r="G49" i="2263" l="1"/>
  <c r="D54" i="2263"/>
  <c r="H14" i="2263" s="1"/>
  <c r="D54" i="2262"/>
  <c r="H14" i="2262" s="1"/>
  <c r="D54" i="2259"/>
  <c r="H14" i="2259" s="1"/>
  <c r="D54" i="2260"/>
  <c r="H14" i="2260" s="1"/>
  <c r="G49" i="2260"/>
  <c r="G49" i="2259"/>
  <c r="G49" i="2255"/>
  <c r="G49" i="2254"/>
  <c r="D54" i="2255"/>
  <c r="H14" i="2255" s="1"/>
  <c r="D54" i="2254"/>
  <c r="H14" i="2254" s="1"/>
  <c r="D29" i="2272"/>
  <c r="H13" i="2272" s="1"/>
  <c r="H15" i="2272" s="1"/>
  <c r="H29" i="2272" s="1"/>
  <c r="F51" i="2272" s="1"/>
  <c r="G51" i="2272"/>
  <c r="D29" i="2271"/>
  <c r="H13" i="2271" s="1"/>
  <c r="H15" i="2271" s="1"/>
  <c r="H29" i="2271" s="1"/>
  <c r="F51" i="2271" s="1"/>
  <c r="G51" i="2271"/>
  <c r="D29" i="2270"/>
  <c r="H13" i="2270" s="1"/>
  <c r="H15" i="2270" s="1"/>
  <c r="H29" i="2270" s="1"/>
  <c r="F51" i="2270" s="1"/>
  <c r="D29" i="2269"/>
  <c r="H13" i="2269" s="1"/>
  <c r="H15" i="2269" s="1"/>
  <c r="H29" i="2269" s="1"/>
  <c r="G51" i="2269"/>
  <c r="D29" i="2268"/>
  <c r="H13" i="2268" s="1"/>
  <c r="H15" i="2268" s="1"/>
  <c r="H29" i="2268" s="1"/>
  <c r="F51" i="2268" s="1"/>
  <c r="G51" i="2268"/>
  <c r="D29" i="2267"/>
  <c r="H13" i="2267" s="1"/>
  <c r="H15" i="2267" s="1"/>
  <c r="H29" i="2267" s="1"/>
  <c r="F51" i="2267" s="1"/>
  <c r="G51" i="2267"/>
  <c r="D29" i="2266"/>
  <c r="H13" i="2266" s="1"/>
  <c r="H15" i="2266" s="1"/>
  <c r="H29" i="2266" s="1"/>
  <c r="F51" i="2266" s="1"/>
  <c r="G51" i="2266"/>
  <c r="D29" i="2265"/>
  <c r="H13" i="2265" s="1"/>
  <c r="H15" i="2265" s="1"/>
  <c r="H29" i="2265" s="1"/>
  <c r="G51" i="2265" s="1"/>
  <c r="D29" i="2264"/>
  <c r="H13" i="2264" s="1"/>
  <c r="H15" i="2264" s="1"/>
  <c r="H29" i="2264" s="1"/>
  <c r="F51" i="2264" s="1"/>
  <c r="D29" i="2263"/>
  <c r="H13" i="2263" s="1"/>
  <c r="D29" i="2262"/>
  <c r="H13" i="2262" s="1"/>
  <c r="D29" i="2261"/>
  <c r="H13" i="2261" s="1"/>
  <c r="H15" i="2261" s="1"/>
  <c r="H29" i="2261" s="1"/>
  <c r="G51" i="2261" s="1"/>
  <c r="D29" i="2260"/>
  <c r="H13" i="2260" s="1"/>
  <c r="D29" i="2259"/>
  <c r="H13" i="2259" s="1"/>
  <c r="D29" i="2258"/>
  <c r="H13" i="2258" s="1"/>
  <c r="H15" i="2258" s="1"/>
  <c r="H29" i="2258" s="1"/>
  <c r="F51" i="2258" s="1"/>
  <c r="D29" i="2257"/>
  <c r="H13" i="2257" s="1"/>
  <c r="H15" i="2257" s="1"/>
  <c r="H29" i="2257" s="1"/>
  <c r="G51" i="2257" s="1"/>
  <c r="D29" i="2256"/>
  <c r="H13" i="2256" s="1"/>
  <c r="H15" i="2256" s="1"/>
  <c r="H29" i="2256" s="1"/>
  <c r="F51" i="2256" s="1"/>
  <c r="D29" i="2255"/>
  <c r="H13" i="2255" s="1"/>
  <c r="D29" i="2254"/>
  <c r="H13" i="2254" s="1"/>
  <c r="D29" i="2253"/>
  <c r="H13" i="2253" s="1"/>
  <c r="H15" i="2253" s="1"/>
  <c r="H29" i="2253" s="1"/>
  <c r="G51" i="2253" s="1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L6" i="2252" s="1"/>
  <c r="D6" i="2252" s="1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L11" i="2252" s="1"/>
  <c r="D11" i="2252" s="1"/>
  <c r="R31" i="2252"/>
  <c r="R30" i="2252"/>
  <c r="R29" i="2252"/>
  <c r="R28" i="2252"/>
  <c r="L28" i="2252"/>
  <c r="D28" i="2252" s="1"/>
  <c r="R27" i="2252"/>
  <c r="L27" i="2252"/>
  <c r="D27" i="2252" s="1"/>
  <c r="R26" i="2252"/>
  <c r="L26" i="2252"/>
  <c r="D26" i="2252" s="1"/>
  <c r="R25" i="2252"/>
  <c r="L25" i="2252"/>
  <c r="D25" i="2252"/>
  <c r="R24" i="2252"/>
  <c r="L24" i="2252"/>
  <c r="D24" i="2252"/>
  <c r="R23" i="2252"/>
  <c r="L23" i="2252"/>
  <c r="D23" i="2252"/>
  <c r="R22" i="2252"/>
  <c r="L22" i="2252"/>
  <c r="D22" i="2252"/>
  <c r="R21" i="2252"/>
  <c r="L21" i="2252"/>
  <c r="D21" i="2252"/>
  <c r="R20" i="2252"/>
  <c r="L20" i="2252"/>
  <c r="D20" i="2252" s="1"/>
  <c r="R19" i="2252"/>
  <c r="L19" i="2252"/>
  <c r="D19" i="2252" s="1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 s="1"/>
  <c r="R11" i="2252"/>
  <c r="L9" i="2252"/>
  <c r="D9" i="2252" s="1"/>
  <c r="L8" i="2252"/>
  <c r="D8" i="2252"/>
  <c r="L7" i="2252"/>
  <c r="D7" i="2252"/>
  <c r="R6" i="2252"/>
  <c r="L16" i="2252" s="1"/>
  <c r="D16" i="2252" s="1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L7" i="2251" s="1"/>
  <c r="D7" i="2251" s="1"/>
  <c r="D41" i="2251"/>
  <c r="R40" i="2251"/>
  <c r="D40" i="2251"/>
  <c r="R39" i="2251"/>
  <c r="H39" i="2251"/>
  <c r="D39" i="2251"/>
  <c r="R38" i="2251"/>
  <c r="L9" i="2251" s="1"/>
  <c r="D9" i="2251" s="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L18" i="2251" s="1"/>
  <c r="D18" i="2251" s="1"/>
  <c r="H35" i="2251"/>
  <c r="D35" i="2251"/>
  <c r="R34" i="2251"/>
  <c r="H34" i="2251"/>
  <c r="D34" i="2251"/>
  <c r="R33" i="2251"/>
  <c r="L19" i="2251" s="1"/>
  <c r="D19" i="2251" s="1"/>
  <c r="R32" i="2251"/>
  <c r="L11" i="2251" s="1"/>
  <c r="D11" i="2251" s="1"/>
  <c r="R31" i="2251"/>
  <c r="R30" i="2251"/>
  <c r="R29" i="2251"/>
  <c r="R28" i="2251"/>
  <c r="R27" i="2251"/>
  <c r="L27" i="2251"/>
  <c r="D27" i="2251" s="1"/>
  <c r="R26" i="2251"/>
  <c r="L26" i="2251"/>
  <c r="D26" i="2251" s="1"/>
  <c r="R25" i="2251"/>
  <c r="L25" i="2251"/>
  <c r="D25" i="2251" s="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R18" i="2251"/>
  <c r="R17" i="2251"/>
  <c r="L17" i="2251"/>
  <c r="D17" i="2251"/>
  <c r="R16" i="2251"/>
  <c r="L16" i="2251"/>
  <c r="D16" i="2251" s="1"/>
  <c r="R15" i="2251"/>
  <c r="R14" i="2251"/>
  <c r="L14" i="2251"/>
  <c r="D14" i="2251"/>
  <c r="R13" i="2251"/>
  <c r="D13" i="2251"/>
  <c r="R12" i="2251"/>
  <c r="L12" i="2251"/>
  <c r="D12" i="2251"/>
  <c r="R11" i="2251"/>
  <c r="L8" i="2251"/>
  <c r="D8" i="2251"/>
  <c r="R6" i="2251"/>
  <c r="R5" i="2251"/>
  <c r="R4" i="2251"/>
  <c r="L15" i="2251" s="1"/>
  <c r="D15" i="2251" s="1"/>
  <c r="V68" i="2250"/>
  <c r="R52" i="2250"/>
  <c r="R51" i="2250"/>
  <c r="D50" i="2250"/>
  <c r="R49" i="2250"/>
  <c r="D49" i="2250"/>
  <c r="R48" i="2250"/>
  <c r="D48" i="2250"/>
  <c r="D46" i="2250"/>
  <c r="D45" i="2250"/>
  <c r="R44" i="2250"/>
  <c r="L28" i="2250" s="1"/>
  <c r="D28" i="2250" s="1"/>
  <c r="D44" i="2250"/>
  <c r="R42" i="2250"/>
  <c r="D42" i="2250"/>
  <c r="R41" i="2250"/>
  <c r="D41" i="2250"/>
  <c r="R40" i="2250"/>
  <c r="L8" i="2250" s="1"/>
  <c r="D8" i="2250" s="1"/>
  <c r="D40" i="2250"/>
  <c r="R39" i="2250"/>
  <c r="H39" i="2250"/>
  <c r="D39" i="2250"/>
  <c r="R38" i="2250"/>
  <c r="L9" i="2250" s="1"/>
  <c r="D9" i="2250" s="1"/>
  <c r="H38" i="2250"/>
  <c r="D38" i="2250"/>
  <c r="R37" i="2250"/>
  <c r="H37" i="2250"/>
  <c r="D37" i="2250"/>
  <c r="R36" i="2250"/>
  <c r="H36" i="2250"/>
  <c r="D36" i="2250"/>
  <c r="R35" i="2250"/>
  <c r="L18" i="2250" s="1"/>
  <c r="D18" i="2250" s="1"/>
  <c r="H35" i="2250"/>
  <c r="D35" i="2250"/>
  <c r="R34" i="2250"/>
  <c r="L12" i="2250" s="1"/>
  <c r="D12" i="2250" s="1"/>
  <c r="H34" i="2250"/>
  <c r="D34" i="2250"/>
  <c r="R33" i="2250"/>
  <c r="R32" i="2250"/>
  <c r="R31" i="2250"/>
  <c r="R30" i="2250"/>
  <c r="R29" i="2250"/>
  <c r="R28" i="2250"/>
  <c r="R27" i="2250"/>
  <c r="L27" i="2250"/>
  <c r="D27" i="2250"/>
  <c r="R26" i="2250"/>
  <c r="L26" i="2250"/>
  <c r="D26" i="2250"/>
  <c r="R25" i="2250"/>
  <c r="L25" i="2250"/>
  <c r="D25" i="2250"/>
  <c r="R24" i="2250"/>
  <c r="L24" i="2250"/>
  <c r="D24" i="2250"/>
  <c r="R23" i="2250"/>
  <c r="L23" i="2250"/>
  <c r="D23" i="2250" s="1"/>
  <c r="R22" i="2250"/>
  <c r="L20" i="2250" s="1"/>
  <c r="D20" i="2250" s="1"/>
  <c r="L22" i="2250"/>
  <c r="D22" i="2250"/>
  <c r="R21" i="2250"/>
  <c r="L17" i="2250" s="1"/>
  <c r="D17" i="2250" s="1"/>
  <c r="L21" i="2250"/>
  <c r="D21" i="2250"/>
  <c r="R20" i="2250"/>
  <c r="R19" i="2250"/>
  <c r="L19" i="2250"/>
  <c r="D19" i="2250"/>
  <c r="R18" i="2250"/>
  <c r="R17" i="2250"/>
  <c r="R16" i="2250"/>
  <c r="L16" i="2250"/>
  <c r="D16" i="2250"/>
  <c r="R15" i="2250"/>
  <c r="L15" i="2250"/>
  <c r="D15" i="2250" s="1"/>
  <c r="R14" i="2250"/>
  <c r="D14" i="2250"/>
  <c r="R13" i="2250"/>
  <c r="D13" i="2250"/>
  <c r="R12" i="2250"/>
  <c r="R11" i="2250"/>
  <c r="L11" i="2250"/>
  <c r="D11" i="2250"/>
  <c r="L10" i="2250"/>
  <c r="D10" i="2250"/>
  <c r="L7" i="2250"/>
  <c r="D7" i="2250"/>
  <c r="R6" i="2250"/>
  <c r="L6" i="2250"/>
  <c r="D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D42" i="2249"/>
  <c r="R41" i="2249"/>
  <c r="L7" i="2249" s="1"/>
  <c r="D7" i="2249" s="1"/>
  <c r="D41" i="2249"/>
  <c r="R40" i="2249"/>
  <c r="L8" i="2249" s="1"/>
  <c r="D8" i="2249" s="1"/>
  <c r="D40" i="2249"/>
  <c r="D54" i="2249" s="1"/>
  <c r="H14" i="2249" s="1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R33" i="2249"/>
  <c r="L23" i="2249" s="1"/>
  <c r="D23" i="2249" s="1"/>
  <c r="R32" i="2249"/>
  <c r="L11" i="2249" s="1"/>
  <c r="D11" i="2249" s="1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9" i="2249"/>
  <c r="D9" i="2249" s="1"/>
  <c r="R6" i="2249"/>
  <c r="L6" i="2249"/>
  <c r="D6" i="2249"/>
  <c r="R5" i="2249"/>
  <c r="R4" i="2249"/>
  <c r="R52" i="2248"/>
  <c r="R51" i="2248"/>
  <c r="D50" i="2248"/>
  <c r="R49" i="2248"/>
  <c r="D49" i="2248"/>
  <c r="R48" i="2248"/>
  <c r="D48" i="2248"/>
  <c r="D46" i="2248"/>
  <c r="D45" i="2248"/>
  <c r="R44" i="2248"/>
  <c r="D44" i="2248"/>
  <c r="R42" i="2248"/>
  <c r="L6" i="2248" s="1"/>
  <c r="D6" i="2248" s="1"/>
  <c r="D42" i="2248"/>
  <c r="R41" i="2248"/>
  <c r="D41" i="2248"/>
  <c r="R40" i="2248"/>
  <c r="D40" i="2248"/>
  <c r="R39" i="2248"/>
  <c r="H39" i="2248"/>
  <c r="D39" i="2248"/>
  <c r="R38" i="2248"/>
  <c r="L9" i="2248" s="1"/>
  <c r="D9" i="2248" s="1"/>
  <c r="H38" i="2248"/>
  <c r="D38" i="2248"/>
  <c r="R37" i="2248"/>
  <c r="H37" i="2248"/>
  <c r="D37" i="2248"/>
  <c r="R36" i="2248"/>
  <c r="L10" i="2248" s="1"/>
  <c r="D10" i="2248" s="1"/>
  <c r="H36" i="2248"/>
  <c r="D36" i="2248"/>
  <c r="R35" i="2248"/>
  <c r="H35" i="2248"/>
  <c r="D35" i="2248"/>
  <c r="R34" i="2248"/>
  <c r="L12" i="2248" s="1"/>
  <c r="D12" i="2248" s="1"/>
  <c r="H34" i="2248"/>
  <c r="D34" i="2248"/>
  <c r="R33" i="2248"/>
  <c r="R32" i="2248"/>
  <c r="R31" i="2248"/>
  <c r="R30" i="2248"/>
  <c r="R29" i="2248"/>
  <c r="R28" i="2248"/>
  <c r="L28" i="2248"/>
  <c r="D28" i="2248" s="1"/>
  <c r="R27" i="2248"/>
  <c r="L27" i="2248"/>
  <c r="D27" i="2248"/>
  <c r="R26" i="2248"/>
  <c r="L26" i="2248"/>
  <c r="D26" i="2248"/>
  <c r="R25" i="2248"/>
  <c r="L25" i="2248"/>
  <c r="D25" i="2248" s="1"/>
  <c r="R24" i="2248"/>
  <c r="L24" i="2248"/>
  <c r="D24" i="2248"/>
  <c r="R23" i="2248"/>
  <c r="L23" i="2248"/>
  <c r="D23" i="2248"/>
  <c r="R22" i="2248"/>
  <c r="L22" i="2248"/>
  <c r="D22" i="2248"/>
  <c r="R21" i="2248"/>
  <c r="L17" i="2248" s="1"/>
  <c r="D17" i="2248" s="1"/>
  <c r="L21" i="2248"/>
  <c r="D21" i="2248"/>
  <c r="R20" i="2248"/>
  <c r="L20" i="2248"/>
  <c r="D20" i="2248"/>
  <c r="R19" i="2248"/>
  <c r="L19" i="2248"/>
  <c r="D19" i="2248"/>
  <c r="R18" i="2248"/>
  <c r="L18" i="2248"/>
  <c r="D18" i="2248" s="1"/>
  <c r="R17" i="2248"/>
  <c r="R16" i="2248"/>
  <c r="R15" i="2248"/>
  <c r="L15" i="2248"/>
  <c r="D15" i="2248" s="1"/>
  <c r="R14" i="2248"/>
  <c r="D14" i="2248"/>
  <c r="R13" i="2248"/>
  <c r="D13" i="2248"/>
  <c r="R12" i="2248"/>
  <c r="R11" i="2248"/>
  <c r="L11" i="2248"/>
  <c r="D11" i="2248"/>
  <c r="L8" i="2248"/>
  <c r="D8" i="2248"/>
  <c r="L7" i="2248"/>
  <c r="D7" i="2248"/>
  <c r="R6" i="2248"/>
  <c r="L16" i="2248" s="1"/>
  <c r="D16" i="2248" s="1"/>
  <c r="R5" i="2248"/>
  <c r="R4" i="2248"/>
  <c r="R52" i="2247"/>
  <c r="R51" i="2247"/>
  <c r="D50" i="2247"/>
  <c r="R49" i="2247"/>
  <c r="D49" i="2247"/>
  <c r="R48" i="2247"/>
  <c r="D48" i="2247"/>
  <c r="D46" i="2247"/>
  <c r="D45" i="2247"/>
  <c r="R44" i="2247"/>
  <c r="L28" i="2247" s="1"/>
  <c r="D28" i="2247" s="1"/>
  <c r="D44" i="2247"/>
  <c r="R42" i="2247"/>
  <c r="L6" i="2247" s="1"/>
  <c r="D6" i="2247" s="1"/>
  <c r="D42" i="2247"/>
  <c r="R41" i="2247"/>
  <c r="L7" i="2247" s="1"/>
  <c r="D7" i="2247" s="1"/>
  <c r="D41" i="2247"/>
  <c r="R40" i="2247"/>
  <c r="L8" i="2247" s="1"/>
  <c r="D8" i="2247" s="1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H36" i="2247"/>
  <c r="D36" i="2247"/>
  <c r="R35" i="2247"/>
  <c r="L18" i="2247" s="1"/>
  <c r="D18" i="2247" s="1"/>
  <c r="H35" i="2247"/>
  <c r="D35" i="2247"/>
  <c r="R34" i="2247"/>
  <c r="L12" i="2247" s="1"/>
  <c r="D12" i="2247" s="1"/>
  <c r="H34" i="2247"/>
  <c r="D34" i="2247"/>
  <c r="R33" i="2247"/>
  <c r="R32" i="2247"/>
  <c r="R31" i="2247"/>
  <c r="R30" i="2247"/>
  <c r="R29" i="2247"/>
  <c r="R28" i="2247"/>
  <c r="R27" i="2247"/>
  <c r="L27" i="2247"/>
  <c r="D27" i="2247"/>
  <c r="R26" i="2247"/>
  <c r="L26" i="2247"/>
  <c r="D26" i="2247"/>
  <c r="R25" i="2247"/>
  <c r="L25" i="2247"/>
  <c r="D25" i="2247"/>
  <c r="R24" i="2247"/>
  <c r="L24" i="2247"/>
  <c r="D24" i="2247"/>
  <c r="R23" i="2247"/>
  <c r="L23" i="2247"/>
  <c r="D23" i="2247"/>
  <c r="R22" i="2247"/>
  <c r="L22" i="2247"/>
  <c r="D22" i="2247"/>
  <c r="R21" i="2247"/>
  <c r="L17" i="2247" s="1"/>
  <c r="D17" i="2247" s="1"/>
  <c r="D21" i="2247"/>
  <c r="R20" i="2247"/>
  <c r="L20" i="2247"/>
  <c r="D20" i="2247" s="1"/>
  <c r="R19" i="2247"/>
  <c r="L19" i="2247"/>
  <c r="D19" i="2247"/>
  <c r="R18" i="2247"/>
  <c r="R17" i="2247"/>
  <c r="R16" i="2247"/>
  <c r="L16" i="2247"/>
  <c r="D16" i="2247"/>
  <c r="R15" i="2247"/>
  <c r="L15" i="2247"/>
  <c r="D15" i="2247" s="1"/>
  <c r="R14" i="2247"/>
  <c r="L14" i="2247"/>
  <c r="D14" i="2247" s="1"/>
  <c r="R13" i="2247"/>
  <c r="D13" i="2247"/>
  <c r="R12" i="2247"/>
  <c r="R11" i="2247"/>
  <c r="L11" i="2247"/>
  <c r="D11" i="2247"/>
  <c r="L10" i="2247"/>
  <c r="D10" i="2247"/>
  <c r="R6" i="2247"/>
  <c r="R5" i="2247"/>
  <c r="R4" i="2247"/>
  <c r="V68" i="2246"/>
  <c r="R52" i="2246"/>
  <c r="R51" i="2246"/>
  <c r="D50" i="2246"/>
  <c r="R49" i="2246"/>
  <c r="D49" i="2246"/>
  <c r="R48" i="2246"/>
  <c r="D48" i="2246"/>
  <c r="D46" i="2246"/>
  <c r="D45" i="2246"/>
  <c r="R44" i="2246"/>
  <c r="L28" i="2246" s="1"/>
  <c r="D28" i="2246" s="1"/>
  <c r="D44" i="2246"/>
  <c r="R42" i="2246"/>
  <c r="D42" i="2246"/>
  <c r="R41" i="2246"/>
  <c r="D41" i="2246"/>
  <c r="R40" i="2246"/>
  <c r="D40" i="2246"/>
  <c r="R39" i="2246"/>
  <c r="H39" i="2246"/>
  <c r="D39" i="2246"/>
  <c r="R38" i="2246"/>
  <c r="L9" i="2246" s="1"/>
  <c r="D9" i="2246" s="1"/>
  <c r="H38" i="2246"/>
  <c r="D38" i="2246"/>
  <c r="R37" i="2246"/>
  <c r="H37" i="2246"/>
  <c r="D37" i="2246"/>
  <c r="R36" i="2246"/>
  <c r="L10" i="2246" s="1"/>
  <c r="D10" i="2246" s="1"/>
  <c r="H36" i="2246"/>
  <c r="D36" i="2246"/>
  <c r="R35" i="2246"/>
  <c r="H35" i="2246"/>
  <c r="D35" i="2246"/>
  <c r="R34" i="2246"/>
  <c r="L12" i="2246" s="1"/>
  <c r="D12" i="2246" s="1"/>
  <c r="H34" i="2246"/>
  <c r="G49" i="2246" s="1"/>
  <c r="D34" i="2246"/>
  <c r="D54" i="2246" s="1"/>
  <c r="H14" i="2246" s="1"/>
  <c r="R33" i="2246"/>
  <c r="R32" i="2246"/>
  <c r="R31" i="2246"/>
  <c r="R30" i="2246"/>
  <c r="R29" i="2246"/>
  <c r="R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 s="1"/>
  <c r="R22" i="2246"/>
  <c r="L20" i="2246" s="1"/>
  <c r="D20" i="2246" s="1"/>
  <c r="L22" i="2246"/>
  <c r="D22" i="2246"/>
  <c r="R21" i="2246"/>
  <c r="L17" i="2246" s="1"/>
  <c r="D17" i="2246" s="1"/>
  <c r="L21" i="2246"/>
  <c r="D21" i="2246" s="1"/>
  <c r="R20" i="2246"/>
  <c r="R19" i="2246"/>
  <c r="L19" i="2246"/>
  <c r="D19" i="2246"/>
  <c r="R18" i="2246"/>
  <c r="L18" i="2246"/>
  <c r="D18" i="2246"/>
  <c r="R17" i="2246"/>
  <c r="R16" i="2246"/>
  <c r="R15" i="2246"/>
  <c r="R14" i="2246"/>
  <c r="D14" i="2246"/>
  <c r="R13" i="2246"/>
  <c r="D13" i="2246"/>
  <c r="R12" i="2246"/>
  <c r="R11" i="2246"/>
  <c r="L11" i="2246"/>
  <c r="D11" i="2246"/>
  <c r="L8" i="2246"/>
  <c r="D8" i="2246" s="1"/>
  <c r="L7" i="2246"/>
  <c r="D7" i="2246"/>
  <c r="R6" i="2246"/>
  <c r="L16" i="2246" s="1"/>
  <c r="D16" i="2246" s="1"/>
  <c r="L6" i="2246"/>
  <c r="D6" i="2246" s="1"/>
  <c r="R5" i="2246"/>
  <c r="R4" i="2246"/>
  <c r="L15" i="2246" s="1"/>
  <c r="D15" i="2246" s="1"/>
  <c r="H15" i="2263" l="1"/>
  <c r="H29" i="2263" s="1"/>
  <c r="F51" i="2263" s="1"/>
  <c r="H15" i="2262"/>
  <c r="H29" i="2262" s="1"/>
  <c r="F51" i="2262" s="1"/>
  <c r="H15" i="2259"/>
  <c r="H29" i="2259" s="1"/>
  <c r="F51" i="2259" s="1"/>
  <c r="H15" i="2260"/>
  <c r="H29" i="2260" s="1"/>
  <c r="F51" i="2260" s="1"/>
  <c r="H15" i="2255"/>
  <c r="H29" i="2255" s="1"/>
  <c r="F51" i="2255" s="1"/>
  <c r="H15" i="2254"/>
  <c r="H29" i="2254" s="1"/>
  <c r="F51" i="2254" s="1"/>
  <c r="G49" i="2247"/>
  <c r="G49" i="2248"/>
  <c r="D54" i="2248"/>
  <c r="H14" i="2248" s="1"/>
  <c r="D54" i="2247"/>
  <c r="H14" i="2247" s="1"/>
  <c r="G51" i="2270"/>
  <c r="G51" i="2264"/>
  <c r="G51" i="2260"/>
  <c r="G51" i="2259"/>
  <c r="G51" i="2258"/>
  <c r="G51" i="2256"/>
  <c r="G49" i="2252"/>
  <c r="G49" i="2251"/>
  <c r="G49" i="2250"/>
  <c r="D54" i="2252"/>
  <c r="H14" i="2252" s="1"/>
  <c r="D54" i="2251"/>
  <c r="H14" i="2251" s="1"/>
  <c r="D54" i="2250"/>
  <c r="H14" i="2250" s="1"/>
  <c r="D29" i="2252"/>
  <c r="H13" i="2252" s="1"/>
  <c r="D29" i="2251"/>
  <c r="H13" i="2251" s="1"/>
  <c r="D29" i="2250"/>
  <c r="H13" i="2250" s="1"/>
  <c r="D29" i="2249"/>
  <c r="H13" i="2249" s="1"/>
  <c r="H15" i="2249" s="1"/>
  <c r="H29" i="2249" s="1"/>
  <c r="G51" i="2249" s="1"/>
  <c r="D29" i="2248"/>
  <c r="H13" i="2248" s="1"/>
  <c r="D29" i="2247"/>
  <c r="H13" i="2247" s="1"/>
  <c r="D29" i="2246"/>
  <c r="H13" i="2246" s="1"/>
  <c r="H15" i="2246" s="1"/>
  <c r="H29" i="2246" s="1"/>
  <c r="F51" i="2246" s="1"/>
  <c r="G51" i="2246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D42" i="2245"/>
  <c r="R41" i="2245"/>
  <c r="L7" i="2245" s="1"/>
  <c r="D7" i="2245" s="1"/>
  <c r="D41" i="2245"/>
  <c r="R40" i="2245"/>
  <c r="L8" i="2245" s="1"/>
  <c r="D8" i="2245" s="1"/>
  <c r="D40" i="2245"/>
  <c r="R39" i="2245"/>
  <c r="D39" i="2245"/>
  <c r="R38" i="2245"/>
  <c r="D38" i="2245"/>
  <c r="R37" i="2245"/>
  <c r="D37" i="2245"/>
  <c r="R36" i="2245"/>
  <c r="L10" i="2245" s="1"/>
  <c r="D10" i="2245" s="1"/>
  <c r="D36" i="2245"/>
  <c r="D54" i="2245" s="1"/>
  <c r="H14" i="2245" s="1"/>
  <c r="R35" i="2245"/>
  <c r="D35" i="2245"/>
  <c r="R34" i="2245"/>
  <c r="L12" i="2245" s="1"/>
  <c r="D12" i="2245" s="1"/>
  <c r="D34" i="2245"/>
  <c r="R33" i="2245"/>
  <c r="L23" i="2245" s="1"/>
  <c r="D23" i="2245" s="1"/>
  <c r="R32" i="2245"/>
  <c r="L11" i="2245" s="1"/>
  <c r="D11" i="2245" s="1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R22" i="2245"/>
  <c r="L22" i="2245"/>
  <c r="D22" i="2245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R11" i="2245"/>
  <c r="L9" i="2245"/>
  <c r="D9" i="2245" s="1"/>
  <c r="R6" i="2245"/>
  <c r="L6" i="2245"/>
  <c r="D6" i="2245"/>
  <c r="R5" i="2245"/>
  <c r="R4" i="2245"/>
  <c r="G51" i="2263" l="1"/>
  <c r="G51" i="2262"/>
  <c r="G51" i="2255"/>
  <c r="G51" i="2254"/>
  <c r="H15" i="2248"/>
  <c r="H29" i="2248" s="1"/>
  <c r="F51" i="2248" s="1"/>
  <c r="H15" i="2247"/>
  <c r="H29" i="2247" s="1"/>
  <c r="F51" i="2247" s="1"/>
  <c r="H15" i="2252"/>
  <c r="H29" i="2252" s="1"/>
  <c r="F51" i="2252" s="1"/>
  <c r="H15" i="2251"/>
  <c r="H29" i="2251" s="1"/>
  <c r="F51" i="2251" s="1"/>
  <c r="H15" i="2250"/>
  <c r="H29" i="2250" s="1"/>
  <c r="F51" i="2250" s="1"/>
  <c r="D29" i="2245"/>
  <c r="H13" i="2245" s="1"/>
  <c r="H15" i="2245" s="1"/>
  <c r="H29" i="2245" s="1"/>
  <c r="G51" i="2245" s="1"/>
  <c r="R52" i="2244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D35" i="2244"/>
  <c r="R34" i="2244"/>
  <c r="H34" i="2244"/>
  <c r="D34" i="2244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D34" i="2243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D34" i="2242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G51" i="2248" l="1"/>
  <c r="G51" i="2247"/>
  <c r="G51" i="2252"/>
  <c r="G51" i="2251"/>
  <c r="G51" i="2250"/>
  <c r="G49" i="2244"/>
  <c r="D54" i="2244"/>
  <c r="H14" i="2244" s="1"/>
  <c r="G49" i="2242"/>
  <c r="G49" i="2243"/>
  <c r="D54" i="2243"/>
  <c r="H14" i="2243" s="1"/>
  <c r="D29" i="2243"/>
  <c r="H13" i="2243" s="1"/>
  <c r="D54" i="2242"/>
  <c r="H14" i="2242" s="1"/>
  <c r="D29" i="2244"/>
  <c r="H13" i="2244" s="1"/>
  <c r="D29" i="2242"/>
  <c r="H13" i="2242" s="1"/>
  <c r="D29" i="2241"/>
  <c r="H13" i="2241" s="1"/>
  <c r="H15" i="2241" s="1"/>
  <c r="H29" i="2241" s="1"/>
  <c r="G51" i="2241"/>
  <c r="H15" i="2244" l="1"/>
  <c r="H29" i="2244" s="1"/>
  <c r="F51" i="2244" s="1"/>
  <c r="H15" i="2243"/>
  <c r="H29" i="2243" s="1"/>
  <c r="G51" i="2243" s="1"/>
  <c r="H15" i="2242"/>
  <c r="H29" i="2242" s="1"/>
  <c r="F51" i="2242" s="1"/>
  <c r="G51" i="2244" l="1"/>
  <c r="F51" i="2243"/>
  <c r="G51" i="224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B19EEE54-4103-42EE-BB65-DE41CC5116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SI NO. 11701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4DB4874D-7704-488B-AE10-64809E6642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 STORE
SI NO. 11718
650 X 7 = 4550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060713BA-A845-4420-9F84-0D46A22359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SI NO. 11764
650 X 5 = 3250</t>
        </r>
      </text>
    </comment>
  </commentList>
</comments>
</file>

<file path=xl/sharedStrings.xml><?xml version="1.0" encoding="utf-8"?>
<sst xmlns="http://schemas.openxmlformats.org/spreadsheetml/2006/main" count="4323" uniqueCount="156">
  <si>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</si>
  <si>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</si>
  <si>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</si>
  <si>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</si>
  <si>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</si>
  <si>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</si>
  <si>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</si>
  <si>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</si>
  <si>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</si>
  <si>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</si>
  <si>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</si>
  <si>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</si>
  <si>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</si>
  <si>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</si>
  <si>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</si>
  <si>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</si>
  <si>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</si>
  <si>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</si>
  <si>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</si>
  <si>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</si>
  <si>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</si>
  <si>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</si>
  <si>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</si>
  <si>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</si>
  <si>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</si>
  <si>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</si>
  <si>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</si>
  <si>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</si>
  <si>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</si>
  <si>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</si>
  <si>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</si>
  <si>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</si>
  <si>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</si>
  <si>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</si>
  <si>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</si>
  <si>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</si>
  <si>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</si>
  <si>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</si>
  <si>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</si>
  <si>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</si>
  <si>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</si>
  <si>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</si>
  <si>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</si>
  <si>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</si>
  <si>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</si>
  <si>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</si>
  <si>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</si>
  <si>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</si>
  <si>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</si>
  <si>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</si>
  <si>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</si>
  <si>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</si>
  <si>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</si>
  <si>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</si>
  <si>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</si>
  <si>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</si>
  <si>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</si>
  <si>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</si>
  <si>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</si>
  <si>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</si>
  <si>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</si>
  <si>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</si>
  <si>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</si>
  <si>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</si>
  <si>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</si>
  <si>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</si>
  <si>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</si>
  <si>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</si>
  <si>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</si>
  <si>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</si>
  <si>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</si>
  <si>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</si>
  <si>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</si>
  <si>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</si>
  <si>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</si>
  <si>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</si>
  <si>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</si>
  <si>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</si>
  <si>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</si>
  <si>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</si>
  <si>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</si>
  <si>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</si>
  <si>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</si>
  <si>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</si>
  <si>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</si>
  <si>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</si>
  <si>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</si>
  <si>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</si>
  <si>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</si>
  <si>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</si>
  <si>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</si>
  <si>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</si>
  <si>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</si>
  <si>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</si>
  <si>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</si>
  <si>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</si>
  <si>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</si>
  <si>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</si>
  <si>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</si>
  <si>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</si>
  <si>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</si>
  <si>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</si>
  <si>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</si>
  <si>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</si>
  <si>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</si>
  <si>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</si>
  <si>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</si>
  <si>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</si>
  <si>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</si>
  <si>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</si>
  <si>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</si>
  <si>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</si>
  <si>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</si>
  <si>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</si>
  <si>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</si>
  <si>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</si>
  <si>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</si>
  <si>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</si>
  <si>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</si>
  <si>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</si>
  <si>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</si>
  <si>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</si>
  <si>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</si>
  <si>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</si>
  <si>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</si>
  <si>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</si>
  <si>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</si>
  <si>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t xml:space="preserve">                        ESTEMARK PORMENTO</t>
  </si>
  <si>
    <t xml:space="preserve">                           RONNEL, DANDAYO</t>
  </si>
  <si>
    <t>SMLB  BOTT.</t>
  </si>
  <si>
    <t>SHORT OVER</t>
  </si>
  <si>
    <t>NET SALES</t>
  </si>
  <si>
    <t>SOUND CHECK</t>
  </si>
  <si>
    <t>PNB</t>
  </si>
  <si>
    <t>BANK TRANSFER</t>
  </si>
  <si>
    <t>G-CASH</t>
  </si>
  <si>
    <t>BDO</t>
  </si>
  <si>
    <t>132798</t>
  </si>
  <si>
    <t>1VB</t>
  </si>
  <si>
    <t>5252209</t>
  </si>
  <si>
    <t>51199</t>
  </si>
  <si>
    <t>60740</t>
  </si>
  <si>
    <t>PODIOTAN, AIR JOHN</t>
  </si>
  <si>
    <t xml:space="preserve">                            AIR JOHN PODIOTAN</t>
  </si>
  <si>
    <t>51200</t>
  </si>
  <si>
    <t>2000003246</t>
  </si>
  <si>
    <t>2000008747</t>
  </si>
  <si>
    <t>151284</t>
  </si>
  <si>
    <t>PSBC</t>
  </si>
  <si>
    <t>2130022077</t>
  </si>
  <si>
    <t>153277</t>
  </si>
  <si>
    <t>51205</t>
  </si>
  <si>
    <t>60752</t>
  </si>
  <si>
    <t>2000003302</t>
  </si>
  <si>
    <t>2000004272</t>
  </si>
  <si>
    <t>2130022085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</si>
</sst>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49" fontId="2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4" fillId="0" borderId="23" xfId="0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72"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  <color rgb="FFFF0000"/>
      </font>
      <numFmt numFmtId="30" formatCode="@"/>
      <fill>
        <patternFill>
          <bgColor theme="0"/>
        </patternFill>
      </fill>
    </dxf>
    <dxf>
      <font>
        <u/>
      </font>
    </dxf>
    <dxf>
      <font>
        <color rgb="FFFF0000"/>
      </font>
    </dxf>
    <dxf>
      <font>
        <u/>
      </font>
    </dxf>
    <dxf>
      <font>
        <u/>
        <color rgb="FFFF0000"/>
      </font>
      <numFmt numFmtId="30" formatCode="@"/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51A01D-B01D-4230-B4A3-F6B917A167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B85E1F-9D2B-4E08-A22D-7E15D3ADE3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945BB2-C57D-4E69-B7EB-744E6A532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50</xdr:row>
      <xdr:rowOff>0</xdr:rowOff>
    </xdr:from>
    <xdr:to>
      <xdr:col>3</xdr:col>
      <xdr:colOff>577245</xdr:colOff>
      <xdr:row>61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97F7D53-E9B9-402B-A601-37081EDF4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" y="9772650"/>
          <a:ext cx="1701195" cy="226695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F1895F-B5AA-4CC3-8BC3-23093AB92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76C2E-EAA7-4CD2-BD56-D53A4D0DA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72A39A-2914-4A3B-BF79-1C0481BEA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32345F-35BB-41C7-8676-56CD9B1D47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E099EF-5BF4-44A7-8F78-D3EE3CC6A9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872DA-6D6E-426B-B233-7AB9A5460E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D3884F-11A7-4F29-BC20-1DB42B8B63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DF6C1D-3075-43A9-A83A-24FCC6B67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290492-1AEB-4342-8096-15F16A55EB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BA8B39-ADF7-4C48-9CDB-2CFA5A92B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C6B139-2FE6-4D5C-BCDE-B5F06F480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6CCE10-A7F7-41C4-A200-41352C1037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BD5720-A593-4EDD-BDF0-8E39770A6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9090BE-2947-40EE-BA53-22C5D18350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D7BA5C-7D06-43F2-93DC-7A1471028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2ED57-B967-4BF7-B5C1-1655C383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35FCAE-97BE-4E9A-BDB1-DDF866ADB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11D802-80A2-4F21-9C8F-7BB7A760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B9DFD-59F2-4EC9-82F8-5485DCFC4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664FEF-B0AC-4081-B2D0-B0A8B982A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87C17A-0622-4170-8D51-0CFA2C404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5FF356-D7B0-4FE8-94B4-1FBBBE9E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D253D-C977-40BD-9FD0-DC0BD78D57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57151</xdr:rowOff>
    </xdr:from>
    <xdr:to>
      <xdr:col>3</xdr:col>
      <xdr:colOff>605820</xdr:colOff>
      <xdr:row>62</xdr:row>
      <xdr:rowOff>19051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397FB-7387-4ABE-8039-2E34DF3EFD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9801"/>
          <a:ext cx="1701195" cy="2266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89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1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honeticPr fontId="16" type="noConversion"/>
  <conditionalFormatting sqref="F51:F52">
    <cfRule type="containsText" dxfId="71" priority="4" operator="containsText" text="SHORT">
      <formula>NOT(ISERROR(SEARCH("SHORT",F51)))</formula>
    </cfRule>
    <cfRule type="containsText" dxfId="70" priority="1" operator="containsText" text="OVER">
      <formula>NOT(ISERROR(SEARCH("OVER",F51)))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78F95BA-522D-4E32-A18B-4959907FA70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 t="s">
        <v>132</v>
      </c>
      <c r="G26" s="59">
        <v>11623</v>
      </c>
      <c r="H26" s="191">
        <v>69862</v>
      </c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69862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53</v>
      </c>
      <c r="H34" s="203">
        <f>F34*G34</f>
        <v>53000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03">
        <f>F35*G35</f>
        <v>16500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203">
        <f t="shared" si="2"/>
        <v>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12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69862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8" priority="1" operator="containsText" text="OVER">
      <formula>NOT(ISERROR(SEARCH("OVER",F51)))</formula>
    </cfRule>
    <cfRule type="containsText" dxfId="6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0686CAD8-F39C-4B50-9254-B30DC22E91C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46235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113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89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1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conditionalFormatting sqref="F51:F52">
    <cfRule type="containsText" dxfId="65" priority="1" operator="containsText" text="OVER">
      <formula>NOT(ISERROR(SEARCH("OVER",F51)))</formula>
    </cfRule>
    <cfRule type="containsText" dxfId="6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B81432-E346-4F53-BBC6-B41A8106C08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BF397-8613-4236-9D43-35F92E937FA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7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89DE-A74E-46FF-92E0-5E3A25395106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283</v>
      </c>
      <c r="D6" s="13">
        <f t="shared" ref="D6:D28" si="1">C6*L6</f>
        <v>215363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9</v>
      </c>
      <c r="D7" s="13">
        <f t="shared" si="1"/>
        <v>7029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32</v>
      </c>
      <c r="D9" s="13">
        <f t="shared" si="1"/>
        <v>23456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</v>
      </c>
      <c r="D13" s="48">
        <f t="shared" si="1"/>
        <v>614</v>
      </c>
      <c r="F13" s="148" t="s">
        <v>36</v>
      </c>
      <c r="G13" s="149"/>
      <c r="H13" s="150">
        <f>D29</f>
        <v>248162.33333333334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36360.75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211801.58333333334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248162.33333333334</v>
      </c>
      <c r="F29" s="171" t="s">
        <v>54</v>
      </c>
      <c r="G29" s="172"/>
      <c r="H29" s="175">
        <f>H15-H16-H17-H18-H19-H20-H22-H23-H24+H26+H27+H28</f>
        <v>211801.58333333334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203">
        <f t="shared" ref="H34:H39" si="2">F34*G34</f>
        <v>111000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41</v>
      </c>
      <c r="H35" s="203">
        <f t="shared" si="2"/>
        <v>20500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13</v>
      </c>
      <c r="H37" s="203">
        <f t="shared" si="2"/>
        <v>1300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21</v>
      </c>
      <c r="H38" s="203">
        <f t="shared" si="2"/>
        <v>1050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3">
        <f t="shared" si="2"/>
        <v>40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5</v>
      </c>
      <c r="D42" s="12">
        <f>C42*2.25</f>
        <v>11.25</v>
      </c>
      <c r="F42" s="39" t="s">
        <v>78</v>
      </c>
      <c r="G42" s="203">
        <v>116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133</v>
      </c>
      <c r="G44" s="108" t="s">
        <v>134</v>
      </c>
      <c r="H44" s="187">
        <v>62000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135</v>
      </c>
      <c r="G45" s="87"/>
      <c r="H45" s="187">
        <v>16444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16</v>
      </c>
      <c r="D46" s="12">
        <f>C46*1.5</f>
        <v>24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2</v>
      </c>
      <c r="D49" s="12">
        <f>C49*42</f>
        <v>84</v>
      </c>
      <c r="F49" s="228" t="s">
        <v>85</v>
      </c>
      <c r="G49" s="175">
        <f>H34+H35+H36+H37+H38+H39+H40+H41+G42+H44+H45+H46+H47+H48</f>
        <v>212450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13</v>
      </c>
      <c r="D50" s="12">
        <f>C50*1.5</f>
        <v>19.5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648.41666666665697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36360.75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62" priority="1" operator="containsText" text="OVER">
      <formula>NOT(ISERROR(SEARCH("OVER",F51)))</formula>
    </cfRule>
    <cfRule type="containsText" dxfId="6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8D05D359-5E91-40C2-984A-EC1974F7849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6C338-13F4-49A3-AF50-48508A21647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487</v>
      </c>
      <c r="D6" s="13">
        <f t="shared" ref="D6:D28" si="1">C6*L6</f>
        <v>370607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6</v>
      </c>
      <c r="D7" s="13">
        <f t="shared" si="1"/>
        <v>4686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168</v>
      </c>
      <c r="D9" s="13">
        <f t="shared" si="1"/>
        <v>123144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25</v>
      </c>
      <c r="D13" s="48">
        <f t="shared" si="1"/>
        <v>7675</v>
      </c>
      <c r="F13" s="148" t="s">
        <v>36</v>
      </c>
      <c r="G13" s="149"/>
      <c r="H13" s="150">
        <f>D29</f>
        <v>516071.33333333331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8</v>
      </c>
      <c r="D14" s="31">
        <f t="shared" si="1"/>
        <v>88.333333333333329</v>
      </c>
      <c r="F14" s="153" t="s">
        <v>38</v>
      </c>
      <c r="G14" s="154"/>
      <c r="H14" s="155">
        <f>D54</f>
        <v>76411.5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439659.83333333331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2">
        <v>3396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>
        <f>1+1+2</f>
        <v>4</v>
      </c>
      <c r="D19" s="48">
        <f t="shared" si="1"/>
        <v>4700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516071.33333333331</v>
      </c>
      <c r="F29" s="171" t="s">
        <v>54</v>
      </c>
      <c r="G29" s="172"/>
      <c r="H29" s="175">
        <f>H15-H16-H17-H18-H19-H20-H22-H23-H24+H26+H27</f>
        <v>436263.83333333331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47</v>
      </c>
      <c r="H34" s="203">
        <f>F34*G34</f>
        <v>47000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310</v>
      </c>
      <c r="H35" s="203">
        <f>F35*G35</f>
        <v>155000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664</v>
      </c>
      <c r="D37" s="12">
        <f>C37*111</f>
        <v>73704</v>
      </c>
      <c r="F37" s="12">
        <v>100</v>
      </c>
      <c r="G37" s="39">
        <v>32</v>
      </c>
      <c r="H37" s="203">
        <f t="shared" si="2"/>
        <v>3200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10</v>
      </c>
      <c r="D39" s="31">
        <f>C39*4.5</f>
        <v>45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3">
        <v>83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7</v>
      </c>
      <c r="D44" s="12">
        <f>C44*120</f>
        <v>840</v>
      </c>
      <c r="F44" s="37" t="s">
        <v>136</v>
      </c>
      <c r="G44" s="62" t="s">
        <v>137</v>
      </c>
      <c r="H44" s="187">
        <v>231443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8</v>
      </c>
      <c r="D49" s="12">
        <f>C49*42</f>
        <v>336</v>
      </c>
      <c r="F49" s="228" t="s">
        <v>85</v>
      </c>
      <c r="G49" s="175">
        <f>H34+H35+H36+H37+H38+H39+H40+H41+G42+H44+H45+H46+H47+H48</f>
        <v>436926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4</v>
      </c>
      <c r="D50" s="12">
        <f>C50*1.5</f>
        <v>6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662.16666666668607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76411.5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9" priority="1" operator="containsText" text="OVER">
      <formula>NOT(ISERROR(SEARCH("OVER",F51)))</formula>
    </cfRule>
    <cfRule type="containsText" dxfId="5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9C3E7F0-97B9-425D-9DFB-1FDF07BE9C6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72228-AF99-4AAD-8650-BEDD5F843D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46237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428</v>
      </c>
      <c r="D6" s="13">
        <f t="shared" ref="D6:D28" si="1">C6*L6</f>
        <v>325708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14</v>
      </c>
      <c r="D7" s="13">
        <f t="shared" si="1"/>
        <v>10934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81</v>
      </c>
      <c r="D9" s="13">
        <f t="shared" si="1"/>
        <v>59373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2</v>
      </c>
      <c r="D10" s="13">
        <f t="shared" si="1"/>
        <v>2064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f>2+1</f>
        <v>3</v>
      </c>
      <c r="D12" s="48">
        <f t="shared" si="1"/>
        <v>2976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406307.125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3</v>
      </c>
      <c r="D14" s="31">
        <f t="shared" si="1"/>
        <v>33.125</v>
      </c>
      <c r="F14" s="153" t="s">
        <v>38</v>
      </c>
      <c r="G14" s="154"/>
      <c r="H14" s="155">
        <f>D54</f>
        <v>66713.25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339593.875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1602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406307.125</v>
      </c>
      <c r="F29" s="171" t="s">
        <v>54</v>
      </c>
      <c r="G29" s="172"/>
      <c r="H29" s="175">
        <f>H15-H16-H17-H18-H19-H20-H22-H23-H24+H26+H27</f>
        <v>337941.875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203">
        <f>F34*G34</f>
        <v>25000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2</v>
      </c>
      <c r="H35" s="203">
        <f>F35*G35</f>
        <v>1000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572</v>
      </c>
      <c r="D37" s="12">
        <f>C37*111</f>
        <v>63492</v>
      </c>
      <c r="F37" s="12">
        <v>100</v>
      </c>
      <c r="G37" s="39">
        <v>14</v>
      </c>
      <c r="H37" s="203">
        <f t="shared" si="2"/>
        <v>1400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03">
        <f t="shared" si="2"/>
        <v>20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3</v>
      </c>
      <c r="D42" s="12">
        <f>C42*2.25</f>
        <v>6.75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</v>
      </c>
      <c r="D44" s="12">
        <f>C44*120</f>
        <v>120</v>
      </c>
      <c r="F44" s="37" t="s">
        <v>136</v>
      </c>
      <c r="G44" s="62" t="s">
        <v>141</v>
      </c>
      <c r="H44" s="187">
        <v>56443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136</v>
      </c>
      <c r="G45" s="62" t="s">
        <v>140</v>
      </c>
      <c r="H45" s="187">
        <v>115712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5</v>
      </c>
      <c r="D46" s="12">
        <f>C46*1.5</f>
        <v>7.5</v>
      </c>
      <c r="F46" s="37" t="s">
        <v>138</v>
      </c>
      <c r="G46" s="75" t="s">
        <v>139</v>
      </c>
      <c r="H46" s="187">
        <v>137865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11</v>
      </c>
      <c r="D49" s="12">
        <f>C49*42</f>
        <v>462</v>
      </c>
      <c r="F49" s="228" t="s">
        <v>85</v>
      </c>
      <c r="G49" s="175">
        <f>H34+H35+H36+H37+H38+H39+H40+H41+G42+H44+H45+H46+H47+H48</f>
        <v>337610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15</v>
      </c>
      <c r="D50" s="12">
        <f>C50*1.5</f>
        <v>22.5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-331.875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66713.25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6" priority="1" operator="containsText" text="OVER">
      <formula>NOT(ISERROR(SEARCH("OVER",F51)))</formula>
    </cfRule>
    <cfRule type="containsText" dxfId="5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8A46AFD-439B-4D64-995F-C089838F9D0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C8929-4AA7-405E-B23D-6AE6BADCDE7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9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41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42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B289BF-1BE7-49CE-B7D6-6B26C905BD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99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1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3" priority="1" operator="containsText" text="OVER">
      <formula>NOT(ISERROR(SEARCH("OVER",F51)))</formula>
    </cfRule>
    <cfRule type="containsText" dxfId="5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4D6F5D8-305E-45E8-B635-BC560FCCEA3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F1EEE-7709-4877-B3A6-8E6FF7E238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431</v>
      </c>
      <c r="D6" s="13">
        <f t="shared" ref="D6:D28" si="1">C6*L6</f>
        <v>327991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2</v>
      </c>
      <c r="D7" s="13">
        <f t="shared" si="1"/>
        <v>1562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20</v>
      </c>
      <c r="D9" s="13">
        <f t="shared" si="1"/>
        <v>14660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11</v>
      </c>
      <c r="D13" s="48">
        <f t="shared" si="1"/>
        <v>3377</v>
      </c>
      <c r="F13" s="148" t="s">
        <v>36</v>
      </c>
      <c r="G13" s="149"/>
      <c r="H13" s="150">
        <f>D29</f>
        <v>347634.16666666669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4</v>
      </c>
      <c r="D14" s="31">
        <f t="shared" si="1"/>
        <v>44.166666666666664</v>
      </c>
      <c r="F14" s="153" t="s">
        <v>38</v>
      </c>
      <c r="G14" s="154"/>
      <c r="H14" s="155">
        <f>D54</f>
        <v>52755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294879.16666666669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2004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v>5850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347634.16666666669</v>
      </c>
      <c r="F29" s="171" t="s">
        <v>54</v>
      </c>
      <c r="G29" s="172"/>
      <c r="H29" s="175">
        <f>H15-H16-H17-H18-H19-H20-H22-H23-H24+H26+H27</f>
        <v>287025.16666666669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120</v>
      </c>
      <c r="H34" s="203">
        <f>F34*G34</f>
        <v>120000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>
        <v>333</v>
      </c>
      <c r="H35" s="203">
        <f>F35*G35</f>
        <v>166500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466</v>
      </c>
      <c r="D37" s="12">
        <f>C37*111</f>
        <v>51726</v>
      </c>
      <c r="F37" s="12">
        <v>100</v>
      </c>
      <c r="G37" s="39">
        <v>2</v>
      </c>
      <c r="H37" s="203">
        <f t="shared" si="2"/>
        <v>200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03">
        <f t="shared" si="2"/>
        <v>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64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286814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5</v>
      </c>
      <c r="D50" s="12">
        <f>C50*1.5</f>
        <v>7.5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-211.16666666668607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52755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0" priority="1" operator="containsText" text="OVER">
      <formula>NOT(ISERROR(SEARCH("OVER",F51)))</formula>
    </cfRule>
    <cfRule type="containsText" dxfId="4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C67DF5F-1DFC-43A1-B8C9-70103D219E0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313BD-3B60-486A-A89D-86017D3825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46238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548</v>
      </c>
      <c r="D6" s="13">
        <f t="shared" ref="D6:D28" si="1">C6*L6</f>
        <v>417028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4</v>
      </c>
      <c r="D7" s="13">
        <f t="shared" si="1"/>
        <v>3124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55</v>
      </c>
      <c r="D9" s="13">
        <f t="shared" si="1"/>
        <v>40315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>
        <v>2</v>
      </c>
      <c r="D11" s="13">
        <f t="shared" si="1"/>
        <v>2340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4</v>
      </c>
      <c r="D12" s="48">
        <f t="shared" si="1"/>
        <v>3968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17</v>
      </c>
      <c r="D13" s="48">
        <f t="shared" si="1"/>
        <v>5219</v>
      </c>
      <c r="F13" s="148" t="s">
        <v>36</v>
      </c>
      <c r="G13" s="149"/>
      <c r="H13" s="150">
        <f>D29</f>
        <v>472049.20833333331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5</v>
      </c>
      <c r="D14" s="31">
        <f t="shared" si="1"/>
        <v>55.208333333333329</v>
      </c>
      <c r="F14" s="153" t="s">
        <v>38</v>
      </c>
      <c r="G14" s="154"/>
      <c r="H14" s="155">
        <f>D54</f>
        <v>71464.5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400584.70833333331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3366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97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472049.20833333331</v>
      </c>
      <c r="F29" s="171" t="s">
        <v>54</v>
      </c>
      <c r="G29" s="172"/>
      <c r="H29" s="175">
        <f>H15-H16-H17-H18-H19-H20-H22-H23-H24+H26+H27</f>
        <v>397218.70833333331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31</v>
      </c>
      <c r="H34" s="203">
        <f>F34*G34</f>
        <v>31000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0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620</v>
      </c>
      <c r="D37" s="12">
        <f>C37*111</f>
        <v>68820</v>
      </c>
      <c r="F37" s="12">
        <v>100</v>
      </c>
      <c r="G37" s="39">
        <v>6</v>
      </c>
      <c r="H37" s="203">
        <f t="shared" si="2"/>
        <v>600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203">
        <f t="shared" si="2"/>
        <v>100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101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1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63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99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5</v>
      </c>
      <c r="D44" s="12">
        <f>C44*120</f>
        <v>600</v>
      </c>
      <c r="F44" s="37" t="s">
        <v>136</v>
      </c>
      <c r="G44" s="62" t="s">
        <v>144</v>
      </c>
      <c r="H44" s="187">
        <v>135285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133</v>
      </c>
      <c r="G45" s="87" t="s">
        <v>145</v>
      </c>
      <c r="H45" s="187">
        <v>141116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14</v>
      </c>
      <c r="D46" s="12">
        <f>C46*1.5</f>
        <v>21</v>
      </c>
      <c r="F46" s="37" t="s">
        <v>133</v>
      </c>
      <c r="G46" s="75" t="s">
        <v>146</v>
      </c>
      <c r="H46" s="187">
        <v>89177</v>
      </c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397341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2</v>
      </c>
      <c r="D50" s="12">
        <f>C50*1.5</f>
        <v>3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122.29166666668607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71464.5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7" priority="1" operator="containsText" text="OVER">
      <formula>NOT(ISERROR(SEARCH("OVER",F51)))</formula>
    </cfRule>
    <cfRule type="containsText" dxfId="4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348A605-64EB-4A7F-9E70-BF91BC528F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34CDA-3ECC-43BC-ACE6-0D6421C9CB5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6C2CF-F71C-41EA-BA9C-FCB5112AD8F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236</v>
      </c>
      <c r="D6" s="13">
        <f t="shared" ref="D6:D28" si="1">C6*L6</f>
        <v>179596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15</v>
      </c>
      <c r="D7" s="13">
        <f t="shared" si="1"/>
        <v>11715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113</v>
      </c>
      <c r="D9" s="13">
        <f t="shared" si="1"/>
        <v>82829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8</v>
      </c>
      <c r="D13" s="48">
        <f t="shared" si="1"/>
        <v>2456</v>
      </c>
      <c r="F13" s="148" t="s">
        <v>36</v>
      </c>
      <c r="G13" s="149"/>
      <c r="H13" s="150">
        <f>D29</f>
        <v>276596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37282.5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239313.5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2034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276596</v>
      </c>
      <c r="F29" s="171" t="s">
        <v>54</v>
      </c>
      <c r="G29" s="172"/>
      <c r="H29" s="175">
        <f>H15-H16-H17-H18-H19-H20-H22-H23-H24+H26+H27+H28</f>
        <v>237279.5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11</v>
      </c>
      <c r="H34" s="203">
        <f t="shared" ref="H34:H39" si="2">F34*G34</f>
        <v>11000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>
        <v>4</v>
      </c>
      <c r="H35" s="203">
        <f t="shared" si="2"/>
        <v>2000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si="2"/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9</v>
      </c>
      <c r="H37" s="203">
        <f t="shared" si="2"/>
        <v>900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</v>
      </c>
      <c r="D42" s="12">
        <f>C42*2.25</f>
        <v>4.5</v>
      </c>
      <c r="F42" s="39" t="s">
        <v>78</v>
      </c>
      <c r="G42" s="203">
        <v>11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3</v>
      </c>
      <c r="D44" s="12">
        <f>C44*120</f>
        <v>360</v>
      </c>
      <c r="F44" s="37" t="s">
        <v>136</v>
      </c>
      <c r="G44" s="62" t="s">
        <v>147</v>
      </c>
      <c r="H44" s="187">
        <v>223169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4</v>
      </c>
      <c r="D49" s="12">
        <f>C49*42</f>
        <v>168</v>
      </c>
      <c r="F49" s="228" t="s">
        <v>85</v>
      </c>
      <c r="G49" s="175">
        <f>H34+H35+H36+H37+H38+H39+H40+H41+G42+H44+H45+H46+H47+H48</f>
        <v>237280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</v>
      </c>
      <c r="D50" s="12">
        <f>C50*1.5</f>
        <v>1.5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0.5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37282.5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4" priority="1" operator="containsText" text="OVER">
      <formula>NOT(ISERROR(SEARCH("OVER",F51)))</formula>
    </cfRule>
    <cfRule type="containsText" dxfId="4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606C5C97-2ABC-4542-AF55-A20D9FA2792F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92A9-849E-4747-A98F-14C557FCD55D}">
  <dimension ref="A1:R59"/>
  <sheetViews>
    <sheetView topLeftCell="A19"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322</v>
      </c>
      <c r="D6" s="13">
        <f t="shared" ref="D6:D28" si="1">C6*L6</f>
        <v>245042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21</v>
      </c>
      <c r="D9" s="13">
        <f t="shared" si="1"/>
        <v>15393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271026.41666666669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10</v>
      </c>
      <c r="D14" s="31">
        <f t="shared" si="1"/>
        <v>110.41666666666666</v>
      </c>
      <c r="F14" s="153" t="s">
        <v>38</v>
      </c>
      <c r="G14" s="154"/>
      <c r="H14" s="155">
        <f>D54</f>
        <v>36957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234069.41666666669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2">
        <v>1818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>
        <f>1+1</f>
        <v>2</v>
      </c>
      <c r="D19" s="48">
        <f t="shared" si="1"/>
        <v>2350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271026.41666666669</v>
      </c>
      <c r="F29" s="171" t="s">
        <v>54</v>
      </c>
      <c r="G29" s="172"/>
      <c r="H29" s="175">
        <f>H15-H16-H17-H18-H19-H20-H22-H23-H24+H26+H27</f>
        <v>232251.41666666669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203">
        <f>F34*G34</f>
        <v>24000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4</v>
      </c>
      <c r="H35" s="203">
        <f>F35*G35</f>
        <v>2000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1</v>
      </c>
      <c r="H37" s="203">
        <f t="shared" si="2"/>
        <v>100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24</v>
      </c>
      <c r="D42" s="12">
        <f>C42*2.25</f>
        <v>54</v>
      </c>
      <c r="F42" s="39" t="s">
        <v>78</v>
      </c>
      <c r="G42" s="203">
        <v>41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148</v>
      </c>
      <c r="G44" s="87" t="s">
        <v>149</v>
      </c>
      <c r="H44" s="187">
        <v>70296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1</v>
      </c>
      <c r="D45" s="12">
        <f>C45*84</f>
        <v>84</v>
      </c>
      <c r="F45" s="37" t="s">
        <v>136</v>
      </c>
      <c r="G45" s="75" t="s">
        <v>150</v>
      </c>
      <c r="H45" s="187">
        <v>136287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1</v>
      </c>
      <c r="D46" s="12">
        <f>C46*1.5</f>
        <v>1.5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H34+H35+H36+H37+H38+H39+H40+H41+G42+H44+H45+H46+H47+H48</f>
        <v>232724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472.58333333331393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36957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41" priority="1" operator="containsText" text="OVER">
      <formula>NOT(ISERROR(SEARCH("OVER",F51)))</formula>
    </cfRule>
    <cfRule type="containsText" dxfId="4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94DAD1C-2CDF-4FA0-99FF-960EB41116B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E3969-CE49-4567-ACEA-C7A532429C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46239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8" priority="1" operator="containsText" text="OVER">
      <formula>NOT(ISERROR(SEARCH("OVER",F51)))</formula>
    </cfRule>
    <cfRule type="containsText" dxfId="3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1F422771-CF61-4A59-975D-1A567954917B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054E5-5AB1-467A-8ED4-EB78E222912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FE4E-EC3F-40B3-A536-8E667257647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5" priority="1" operator="containsText" text="OVER">
      <formula>NOT(ISERROR(SEARCH("OVER",F51)))</formula>
    </cfRule>
    <cfRule type="containsText" dxfId="3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32AB964F-ABC7-4816-8BEE-0B81B5C3F71D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AD49F-F93E-4166-9427-89DFDDBF023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385</v>
      </c>
      <c r="D6" s="13">
        <f t="shared" ref="D6:D28" si="1">C6*L6</f>
        <v>292985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12</v>
      </c>
      <c r="D7" s="13">
        <f t="shared" si="1"/>
        <v>9372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67</v>
      </c>
      <c r="D8" s="13">
        <f t="shared" si="1"/>
        <v>73231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28</v>
      </c>
      <c r="D9" s="13">
        <f t="shared" si="1"/>
        <v>20524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3</v>
      </c>
      <c r="D10" s="13">
        <f t="shared" si="1"/>
        <v>3096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11</v>
      </c>
      <c r="D13" s="48">
        <f t="shared" si="1"/>
        <v>3377</v>
      </c>
      <c r="F13" s="148" t="s">
        <v>36</v>
      </c>
      <c r="G13" s="149"/>
      <c r="H13" s="150">
        <f>D29</f>
        <v>402717.5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12</v>
      </c>
      <c r="D14" s="31">
        <f t="shared" si="1"/>
        <v>132.5</v>
      </c>
      <c r="F14" s="153" t="s">
        <v>38</v>
      </c>
      <c r="G14" s="154"/>
      <c r="H14" s="155">
        <f>D54</f>
        <v>60681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342036.5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2178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>
        <v>50</v>
      </c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650*7</f>
        <v>4550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 t="s">
        <v>132</v>
      </c>
      <c r="G22" s="72">
        <v>11720</v>
      </c>
      <c r="H22" s="185">
        <v>67927</v>
      </c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402717.5</v>
      </c>
      <c r="F29" s="171" t="s">
        <v>54</v>
      </c>
      <c r="G29" s="172"/>
      <c r="H29" s="175">
        <f>H15-H16-H17-H18-H19-H20-H22-H23-H24+H26+H27</f>
        <v>267331.5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66</v>
      </c>
      <c r="H34" s="203">
        <f>F34*G34</f>
        <v>66000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>
        <v>57</v>
      </c>
      <c r="H35" s="203">
        <f>F35*G35</f>
        <v>28500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457</v>
      </c>
      <c r="D37" s="12">
        <f>C37*111</f>
        <v>50727</v>
      </c>
      <c r="F37" s="12">
        <v>100</v>
      </c>
      <c r="G37" s="39">
        <v>65</v>
      </c>
      <c r="H37" s="203">
        <f t="shared" si="2"/>
        <v>6500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>
        <v>36</v>
      </c>
      <c r="H38" s="203">
        <f t="shared" si="2"/>
        <v>1800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>
        <v>20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67</v>
      </c>
      <c r="D44" s="12">
        <f>C44*120</f>
        <v>8040</v>
      </c>
      <c r="F44" s="37" t="s">
        <v>136</v>
      </c>
      <c r="G44" s="62" t="s">
        <v>151</v>
      </c>
      <c r="H44" s="187">
        <v>74658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 t="s">
        <v>136</v>
      </c>
      <c r="G45" s="62" t="s">
        <v>152</v>
      </c>
      <c r="H45" s="187">
        <v>90788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H34+H35+H36+H37+H38+H39+H40+H41+G42+H44+H45+H46+H47+H48</f>
        <v>268266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934.5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60681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32" priority="1" operator="containsText" text="OVER">
      <formula>NOT(ISERROR(SEARCH("OVER",F51)))</formula>
    </cfRule>
    <cfRule type="containsText" dxfId="3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5FCC0775-670B-42A8-AC16-CB7D72103A75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43B5F-9A1E-4D24-85E9-09D869C688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46240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367</v>
      </c>
      <c r="D6" s="13">
        <f t="shared" ref="D6:D28" si="1">C6*L6</f>
        <v>279287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12</v>
      </c>
      <c r="D7" s="13">
        <f t="shared" si="1"/>
        <v>9372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>
        <v>20</v>
      </c>
      <c r="D8" s="13">
        <f t="shared" si="1"/>
        <v>21860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3</v>
      </c>
      <c r="D10" s="13">
        <f t="shared" si="1"/>
        <v>3096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>
        <v>1</v>
      </c>
      <c r="D12" s="48">
        <f t="shared" si="1"/>
        <v>992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11</v>
      </c>
      <c r="D13" s="48">
        <f t="shared" si="1"/>
        <v>3377</v>
      </c>
      <c r="F13" s="148" t="s">
        <v>36</v>
      </c>
      <c r="G13" s="149"/>
      <c r="H13" s="150">
        <f>D29</f>
        <v>318659.20833333331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5</v>
      </c>
      <c r="D14" s="31">
        <f t="shared" si="1"/>
        <v>55.208333333333329</v>
      </c>
      <c r="F14" s="153" t="s">
        <v>38</v>
      </c>
      <c r="G14" s="154"/>
      <c r="H14" s="155">
        <f>D54</f>
        <v>45737.25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>
        <v>1</v>
      </c>
      <c r="D15" s="31">
        <f t="shared" si="1"/>
        <v>620</v>
      </c>
      <c r="F15" s="158" t="s">
        <v>39</v>
      </c>
      <c r="G15" s="149"/>
      <c r="H15" s="159">
        <f>H13-H14</f>
        <v>272921.95833333331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1896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>
        <f>650*5</f>
        <v>3250</v>
      </c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318659.20833333331</v>
      </c>
      <c r="F29" s="171" t="s">
        <v>54</v>
      </c>
      <c r="G29" s="172"/>
      <c r="H29" s="175">
        <f>H15-H16-H17-H18-H19-H20-H22-H23-H24+H26+H27</f>
        <v>267775.95833333331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63</v>
      </c>
      <c r="H34" s="203">
        <f>F34*G34</f>
        <v>63000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>
        <v>58</v>
      </c>
      <c r="H35" s="203">
        <f>F35*G35</f>
        <v>29000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3">
        <f t="shared" ref="H36:H39" si="2">F36*G36</f>
        <v>200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13</v>
      </c>
      <c r="H37" s="203">
        <f t="shared" si="2"/>
        <v>1300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3</v>
      </c>
      <c r="H38" s="203">
        <f t="shared" si="2"/>
        <v>150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3">
        <v>75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>
        <v>13</v>
      </c>
      <c r="D44" s="12">
        <f>C44*120</f>
        <v>1560</v>
      </c>
      <c r="F44" s="37" t="s">
        <v>133</v>
      </c>
      <c r="G44" s="87" t="s">
        <v>153</v>
      </c>
      <c r="H44" s="187">
        <v>140936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>
        <v>7</v>
      </c>
      <c r="D45" s="12">
        <f>C45*84</f>
        <v>588</v>
      </c>
      <c r="F45" s="37" t="s">
        <v>133</v>
      </c>
      <c r="G45" s="87" t="s">
        <v>154</v>
      </c>
      <c r="H45" s="187">
        <v>32838</v>
      </c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>
        <v>2</v>
      </c>
      <c r="D46" s="12">
        <f>C46*1.5</f>
        <v>3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6</v>
      </c>
      <c r="D49" s="12">
        <f>C49*42</f>
        <v>252</v>
      </c>
      <c r="F49" s="228" t="s">
        <v>85</v>
      </c>
      <c r="G49" s="175">
        <f>H34+H35+H36+H37+H38+H39+H40+H41+G42+H44+H45+H46+H47+H48</f>
        <v>267499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8</v>
      </c>
      <c r="D50" s="12">
        <f>C50*1.5</f>
        <v>12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-276.95833333331393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45737.25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9" priority="1" operator="containsText" text="OVER">
      <formula>NOT(ISERROR(SEARCH("OVER",F51)))</formula>
    </cfRule>
    <cfRule type="containsText" dxfId="28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DB820B3F-845E-462E-82D4-131475B7FF07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F6AD9-1EDB-49A0-90E4-E69CF83482E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7EA21-BEEB-46EC-8B95-1C84FFAF7DF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462</v>
      </c>
      <c r="D6" s="13">
        <f t="shared" ref="D6:D28" si="1">C6*L6</f>
        <v>351582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15</v>
      </c>
      <c r="D7" s="13">
        <f t="shared" si="1"/>
        <v>11715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37</v>
      </c>
      <c r="D9" s="13">
        <f t="shared" si="1"/>
        <v>27121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3</v>
      </c>
      <c r="D13" s="48">
        <f t="shared" si="1"/>
        <v>921</v>
      </c>
      <c r="F13" s="148" t="s">
        <v>36</v>
      </c>
      <c r="G13" s="149"/>
      <c r="H13" s="150">
        <f>D29</f>
        <v>391526.70833333331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17</v>
      </c>
      <c r="D14" s="31">
        <f t="shared" si="1"/>
        <v>187.70833333333331</v>
      </c>
      <c r="F14" s="153" t="s">
        <v>38</v>
      </c>
      <c r="G14" s="154"/>
      <c r="H14" s="155">
        <f>D54</f>
        <v>57639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333887.70833333331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391526.70833333331</v>
      </c>
      <c r="F29" s="171" t="s">
        <v>54</v>
      </c>
      <c r="G29" s="172"/>
      <c r="H29" s="175">
        <f>H15-H16-H17-H18-H19-H20-H22-H23-H24+H26+H27+H28</f>
        <v>333887.70833333331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>
        <v>1</v>
      </c>
      <c r="D41" s="12">
        <f>C41*84</f>
        <v>84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4</v>
      </c>
      <c r="D42" s="12">
        <f>C42*2.25</f>
        <v>9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>
        <v>15</v>
      </c>
      <c r="D50" s="12">
        <f>C50*1.5</f>
        <v>22.5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SHORT</v>
      </c>
      <c r="G51" s="232">
        <f>G49-H29</f>
        <v>-333887.70833333331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57639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6" priority="1" operator="containsText" text="OVER">
      <formula>NOT(ISERROR(SEARCH("OVER",F51)))</formula>
    </cfRule>
    <cfRule type="containsText" dxfId="25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F2C0F1C1-EC55-4E87-B6F2-678BD5937EC2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4D2D4-EF18-4864-BDB6-755A72CF2DA9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>
        <v>373</v>
      </c>
      <c r="D6" s="13">
        <f t="shared" ref="D6:D28" si="1">C6*L6</f>
        <v>283853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>
        <v>12</v>
      </c>
      <c r="D7" s="13">
        <f t="shared" si="1"/>
        <v>9372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>
        <v>24</v>
      </c>
      <c r="D9" s="13">
        <f t="shared" si="1"/>
        <v>17592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>
        <v>1</v>
      </c>
      <c r="D10" s="13">
        <f t="shared" si="1"/>
        <v>1032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>
        <v>10</v>
      </c>
      <c r="D13" s="48">
        <f t="shared" si="1"/>
        <v>3070</v>
      </c>
      <c r="F13" s="148" t="s">
        <v>36</v>
      </c>
      <c r="G13" s="149"/>
      <c r="H13" s="150">
        <f>D29</f>
        <v>314974.20833333331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>
        <v>5</v>
      </c>
      <c r="D14" s="31">
        <f t="shared" si="1"/>
        <v>55.208333333333329</v>
      </c>
      <c r="F14" s="153" t="s">
        <v>38</v>
      </c>
      <c r="G14" s="154"/>
      <c r="H14" s="155">
        <f>D54</f>
        <v>51996.75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262977.45833333331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>
        <v>1224</v>
      </c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314974.20833333331</v>
      </c>
      <c r="F29" s="171" t="s">
        <v>54</v>
      </c>
      <c r="G29" s="172"/>
      <c r="H29" s="175">
        <f>H15-H16-H17-H18-H19-H20-H22-H23-H24+H26+H27</f>
        <v>261753.45833333331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176</v>
      </c>
      <c r="H34" s="203">
        <f>F34*G34</f>
        <v>176000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>
        <v>1</v>
      </c>
      <c r="D35" s="30">
        <f>C35*84</f>
        <v>84</v>
      </c>
      <c r="F35" s="58">
        <v>500</v>
      </c>
      <c r="G35" s="106">
        <v>19</v>
      </c>
      <c r="H35" s="203">
        <f>F35*G35</f>
        <v>9500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>
        <v>448</v>
      </c>
      <c r="D37" s="12">
        <f>C37*111</f>
        <v>49728</v>
      </c>
      <c r="F37" s="12">
        <v>100</v>
      </c>
      <c r="G37" s="39">
        <v>4</v>
      </c>
      <c r="H37" s="203">
        <f t="shared" si="2"/>
        <v>400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3">
        <v>68</v>
      </c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 t="s">
        <v>148</v>
      </c>
      <c r="G44" s="87" t="s">
        <v>155</v>
      </c>
      <c r="H44" s="187">
        <v>76215</v>
      </c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>
        <v>9</v>
      </c>
      <c r="D49" s="12">
        <f>C49*42</f>
        <v>378</v>
      </c>
      <c r="F49" s="228" t="s">
        <v>85</v>
      </c>
      <c r="G49" s="175">
        <f>H34+H35+H36+H37+H38+H39+H40+H41+G42+H44+H45+H46+H47+H48</f>
        <v>262183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>
        <v>8</v>
      </c>
      <c r="D50" s="12">
        <f>C50*1.5</f>
        <v>12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OVER</v>
      </c>
      <c r="G51" s="232">
        <f>G49-H29</f>
        <v>429.54166666668607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51996.75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3" priority="1" operator="containsText" text="OVER">
      <formula>NOT(ISERROR(SEARCH("OVER",F51)))</formula>
    </cfRule>
    <cfRule type="containsText" dxfId="22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4C4EB917-48ED-41C2-8D85-39E12E29F619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4DBC-6C41-49BB-B84D-3AE2E7ED6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46241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0" priority="1" operator="containsText" text="OVER">
      <formula>NOT(ISERROR(SEARCH("OVER",F51)))</formula>
    </cfRule>
    <cfRule type="containsText" dxfId="19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B5B9C79B-9156-4B74-8BE3-C3B45CA3B213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CC6A5-4FC2-4787-9161-B5E494A0037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21D85-DAA8-4134-B1E2-2717632A4151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7" priority="1" operator="containsText" text="OVER">
      <formula>NOT(ISERROR(SEARCH("OVER",F51)))</formula>
    </cfRule>
    <cfRule type="containsText" dxfId="16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A6CF81A-B71A-4CE0-B3EE-B46F5FCF477E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6A2F8-687C-48AC-8E55-8F5A59F918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4" priority="1" operator="containsText" text="OVER">
      <formula>NOT(ISERROR(SEARCH("OVER",F51)))</formula>
    </cfRule>
    <cfRule type="containsText" dxfId="13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D85729E-6C7F-4F21-B61F-A01F8BF9A4F8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8D9F4-6036-40F7-B664-3E6F6D74B6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46242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11" priority="1" operator="containsText" text="OVER">
      <formula>NOT(ISERROR(SEARCH("OVER",F51)))</formula>
    </cfRule>
    <cfRule type="containsText" dxfId="10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91734535-04A1-4001-9F7E-0D1572827E3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68BE-4E3C-4BE3-B549-C0E32B1658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0" t="s">
        <v>7</v>
      </c>
      <c r="B4" s="111"/>
      <c r="C4" s="111"/>
      <c r="D4" s="112"/>
      <c r="F4" s="113" t="s">
        <v>8</v>
      </c>
      <c r="G4" s="115"/>
      <c r="H4" s="117" t="s">
        <v>9</v>
      </c>
      <c r="I4" s="119"/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4"/>
      <c r="B6" s="16"/>
      <c r="C6" s="10"/>
      <c r="D6" s="13">
        <f t="shared" ref="D6:D28" si="1">C6*L6</f>
        <v>0</v>
      </c>
      <c r="F6" s="126" t="s">
        <v>16</v>
      </c>
      <c r="G6" s="128"/>
      <c r="H6" s="129"/>
      <c r="I6" s="129"/>
      <c r="J6" s="1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4"/>
      <c r="B7" s="16"/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4"/>
      <c r="B8" s="16"/>
      <c r="C8" s="10"/>
      <c r="D8" s="13">
        <f t="shared" si="1"/>
        <v>0</v>
      </c>
      <c r="F8" s="134" t="s">
        <v>21</v>
      </c>
      <c r="G8" s="136"/>
      <c r="H8" s="137"/>
      <c r="I8" s="137"/>
      <c r="J8" s="13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4"/>
      <c r="B9" s="16"/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4"/>
      <c r="C10" s="10"/>
      <c r="D10" s="13">
        <f t="shared" si="1"/>
        <v>0</v>
      </c>
      <c r="F10" s="126" t="s">
        <v>26</v>
      </c>
      <c r="G10" s="142"/>
      <c r="H10" s="143"/>
      <c r="I10" s="143"/>
      <c r="J10" s="144"/>
      <c r="K10" s="8"/>
      <c r="L10" s="6">
        <f>R36</f>
        <v>972</v>
      </c>
      <c r="P10" s="4"/>
      <c r="Q10" s="4"/>
      <c r="R10" s="5"/>
    </row>
    <row r="11" spans="1:19" ht="15.75" x14ac:dyDescent="0.25">
      <c r="A11" s="124"/>
      <c r="B11" s="17"/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4"/>
      <c r="B12" s="17"/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4"/>
      <c r="B13" s="17"/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4"/>
      <c r="B14" s="14"/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4"/>
      <c r="B15" s="14"/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19"/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14"/>
      <c r="C19" s="10"/>
      <c r="D19" s="48">
        <f t="shared" si="1"/>
        <v>0</v>
      </c>
      <c r="F19" s="56"/>
      <c r="G19" s="68" t="s">
        <v>49</v>
      </c>
      <c r="H19" s="181"/>
      <c r="I19" s="181"/>
      <c r="J19" s="18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4"/>
      <c r="B20" s="46"/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4"/>
      <c r="B22" s="46"/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/>
      <c r="C23" s="10"/>
      <c r="D23" s="48">
        <f t="shared" si="1"/>
        <v>0</v>
      </c>
      <c r="F23" s="77"/>
      <c r="G23" s="78"/>
      <c r="H23" s="186"/>
      <c r="I23" s="187"/>
      <c r="J23" s="187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/>
      <c r="C24" s="10"/>
      <c r="D24" s="48">
        <f t="shared" si="1"/>
        <v>0</v>
      </c>
      <c r="F24" s="38"/>
      <c r="G24" s="37"/>
      <c r="H24" s="186"/>
      <c r="I24" s="187"/>
      <c r="J24" s="187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/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4"/>
      <c r="B27" s="14"/>
      <c r="C27" s="10"/>
      <c r="D27" s="44">
        <f t="shared" si="1"/>
        <v>0</v>
      </c>
      <c r="F27" s="25"/>
      <c r="G27" s="79"/>
      <c r="H27" s="194"/>
      <c r="I27" s="195"/>
      <c r="J27" s="196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/>
      <c r="C28" s="10"/>
      <c r="D28" s="48">
        <f t="shared" si="1"/>
        <v>0</v>
      </c>
      <c r="F28" s="103"/>
      <c r="G28" s="61"/>
      <c r="H28" s="197"/>
      <c r="I28" s="198"/>
      <c r="J28" s="199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/>
      <c r="I34" s="204"/>
      <c r="J34" s="20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/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/>
      <c r="I36" s="204"/>
      <c r="J36" s="20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/>
      <c r="I37" s="204"/>
      <c r="J37" s="20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/>
      <c r="I38" s="204"/>
      <c r="J38" s="20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/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P43" s="4"/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75"/>
      <c r="H44" s="187"/>
      <c r="I44" s="187"/>
      <c r="J44" s="187"/>
      <c r="K44" s="21"/>
      <c r="P44" s="4"/>
      <c r="Q44" s="4"/>
      <c r="R44" s="5"/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212"/>
      <c r="I46" s="212"/>
      <c r="J46" s="212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13"/>
      <c r="I47" s="214"/>
      <c r="J47" s="215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13"/>
      <c r="I48" s="214"/>
      <c r="J48" s="215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P50" s="4"/>
      <c r="Q50" s="4"/>
      <c r="R50" s="5"/>
    </row>
    <row r="51" spans="1:18" ht="15" customHeight="1" x14ac:dyDescent="0.25">
      <c r="A51" s="207"/>
      <c r="B51" s="27"/>
      <c r="C51" s="10"/>
      <c r="D51" s="31"/>
      <c r="F51" s="230" t="s">
        <v>106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59BA4-6695-443D-9486-97110FA3A2C2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1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99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115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108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2"/>
      <c r="I19" s="162"/>
      <c r="J19" s="16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6"/>
      <c r="G23" s="78"/>
      <c r="H23" s="238"/>
      <c r="I23" s="239"/>
      <c r="J23" s="23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76"/>
      <c r="G24" s="78"/>
      <c r="H24" s="238"/>
      <c r="I24" s="239"/>
      <c r="J24" s="23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74"/>
      <c r="G26" s="65"/>
      <c r="H26" s="187"/>
      <c r="I26" s="187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71"/>
      <c r="G27" s="105"/>
      <c r="H27" s="240"/>
      <c r="I27" s="241"/>
      <c r="J27" s="24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H15-H16-H17-H18-H19-H20-H22-H23-H24+H26+H27+H28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3">
        <f t="shared" ref="H34:H39" si="2"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 t="shared" si="2"/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si="2"/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42"/>
      <c r="I40" s="243"/>
      <c r="J40" s="18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87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87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244"/>
      <c r="I47" s="245"/>
      <c r="J47" s="246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  <row r="66" spans="20:22" x14ac:dyDescent="0.25">
      <c r="T66" t="s">
        <v>131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130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8" priority="1" operator="containsText" text="OVER">
      <formula>NOT(ISERROR(SEARCH("OVER",F51)))</formula>
    </cfRule>
    <cfRule type="containsText" dxfId="7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CBBE722A-3E15-4870-88C0-C876B57BA39A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B2FA3-B525-479B-81DF-9CDB8451BC3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2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107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100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101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75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62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59"/>
      <c r="G47" s="59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80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127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5" priority="1" operator="containsText" text="OVER">
      <formula>NOT(ISERROR(SEARCH("OVER",F51)))</formula>
    </cfRule>
    <cfRule type="containsText" dxfId="4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A98FA0F9-79F5-49FB-8670-0B74ABC75D94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0A562-6DE7-43D7-BAFF-98D0D9C857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09" t="s">
        <v>1</v>
      </c>
      <c r="O1" s="109"/>
      <c r="P1" s="102" t="s">
        <v>2</v>
      </c>
      <c r="Q1" s="10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0" t="s">
        <v>7</v>
      </c>
      <c r="B4" s="111"/>
      <c r="C4" s="111"/>
      <c r="D4" s="112"/>
      <c r="F4" s="113" t="s">
        <v>8</v>
      </c>
      <c r="G4" s="115">
        <v>3</v>
      </c>
      <c r="H4" s="117" t="s">
        <v>9</v>
      </c>
      <c r="I4" s="119">
        <v>46244</v>
      </c>
      <c r="J4" s="12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3" t="s">
        <v>7</v>
      </c>
      <c r="B5" s="15" t="s">
        <v>11</v>
      </c>
      <c r="C5" s="9" t="s">
        <v>12</v>
      </c>
      <c r="D5" s="25" t="s">
        <v>13</v>
      </c>
      <c r="F5" s="114"/>
      <c r="G5" s="116"/>
      <c r="H5" s="118"/>
      <c r="I5" s="121"/>
      <c r="J5" s="12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4"/>
      <c r="B6" s="16" t="s">
        <v>15</v>
      </c>
      <c r="C6" s="10"/>
      <c r="D6" s="13">
        <f t="shared" ref="D6:D28" si="1">C6*L6</f>
        <v>0</v>
      </c>
      <c r="F6" s="126" t="s">
        <v>16</v>
      </c>
      <c r="G6" s="128" t="s">
        <v>142</v>
      </c>
      <c r="H6" s="129"/>
      <c r="I6" s="129"/>
      <c r="J6" s="1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4"/>
      <c r="B7" s="16" t="s">
        <v>18</v>
      </c>
      <c r="C7" s="10"/>
      <c r="D7" s="13">
        <f t="shared" si="1"/>
        <v>0</v>
      </c>
      <c r="F7" s="127"/>
      <c r="G7" s="131"/>
      <c r="H7" s="132"/>
      <c r="I7" s="132"/>
      <c r="J7" s="1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4"/>
      <c r="B8" s="16" t="s">
        <v>20</v>
      </c>
      <c r="C8" s="10"/>
      <c r="D8" s="13">
        <f t="shared" si="1"/>
        <v>0</v>
      </c>
      <c r="F8" s="134" t="s">
        <v>21</v>
      </c>
      <c r="G8" s="136" t="s">
        <v>109</v>
      </c>
      <c r="H8" s="137"/>
      <c r="I8" s="137"/>
      <c r="J8" s="13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4"/>
      <c r="B9" s="16" t="s">
        <v>23</v>
      </c>
      <c r="C9" s="10"/>
      <c r="D9" s="13">
        <f t="shared" si="1"/>
        <v>0</v>
      </c>
      <c r="F9" s="127"/>
      <c r="G9" s="139"/>
      <c r="H9" s="140"/>
      <c r="I9" s="140"/>
      <c r="J9" s="14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4"/>
      <c r="B10" t="s">
        <v>25</v>
      </c>
      <c r="C10" s="10"/>
      <c r="D10" s="13">
        <f t="shared" si="1"/>
        <v>0</v>
      </c>
      <c r="F10" s="126" t="s">
        <v>26</v>
      </c>
      <c r="G10" s="142" t="s">
        <v>119</v>
      </c>
      <c r="H10" s="143"/>
      <c r="I10" s="143"/>
      <c r="J10" s="144"/>
      <c r="K10" s="8"/>
      <c r="L10" s="6">
        <f>R36</f>
        <v>1032</v>
      </c>
      <c r="P10" s="4"/>
      <c r="Q10" s="4"/>
      <c r="R10" s="5"/>
    </row>
    <row r="11" spans="1:18" ht="15.75" x14ac:dyDescent="0.25">
      <c r="A11" s="124"/>
      <c r="B11" s="17" t="s">
        <v>28</v>
      </c>
      <c r="C11" s="10"/>
      <c r="D11" s="13">
        <f t="shared" si="1"/>
        <v>0</v>
      </c>
      <c r="F11" s="127"/>
      <c r="G11" s="139"/>
      <c r="H11" s="140"/>
      <c r="I11" s="140"/>
      <c r="J11" s="14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4"/>
      <c r="B12" s="17" t="s">
        <v>30</v>
      </c>
      <c r="C12" s="10"/>
      <c r="D12" s="48">
        <f t="shared" si="1"/>
        <v>0</v>
      </c>
      <c r="F12" s="145" t="s">
        <v>33</v>
      </c>
      <c r="G12" s="146"/>
      <c r="H12" s="146"/>
      <c r="I12" s="146"/>
      <c r="J12" s="14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4"/>
      <c r="B13" s="17" t="s">
        <v>32</v>
      </c>
      <c r="C13" s="10"/>
      <c r="D13" s="48">
        <f t="shared" si="1"/>
        <v>0</v>
      </c>
      <c r="F13" s="148" t="s">
        <v>36</v>
      </c>
      <c r="G13" s="149"/>
      <c r="H13" s="150">
        <f>D29</f>
        <v>0</v>
      </c>
      <c r="I13" s="151"/>
      <c r="J13" s="15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4"/>
      <c r="B14" s="14" t="s">
        <v>35</v>
      </c>
      <c r="C14" s="10"/>
      <c r="D14" s="31">
        <f t="shared" si="1"/>
        <v>0</v>
      </c>
      <c r="F14" s="153" t="s">
        <v>38</v>
      </c>
      <c r="G14" s="154"/>
      <c r="H14" s="155">
        <f>D54</f>
        <v>0</v>
      </c>
      <c r="I14" s="156"/>
      <c r="J14" s="157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4"/>
      <c r="B15" s="14" t="s">
        <v>117</v>
      </c>
      <c r="C15" s="10"/>
      <c r="D15" s="31">
        <f t="shared" si="1"/>
        <v>0</v>
      </c>
      <c r="F15" s="158" t="s">
        <v>39</v>
      </c>
      <c r="G15" s="149"/>
      <c r="H15" s="159">
        <f>H13-H14</f>
        <v>0</v>
      </c>
      <c r="I15" s="160"/>
      <c r="J15" s="161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4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2"/>
      <c r="I16" s="162"/>
      <c r="J16" s="16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4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35"/>
      <c r="I17" s="135"/>
      <c r="J17" s="13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4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35"/>
      <c r="I18" s="135"/>
      <c r="J18" s="13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4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7"/>
      <c r="I19" s="247"/>
      <c r="J19" s="24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4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62"/>
      <c r="I20" s="162"/>
      <c r="J20" s="16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4"/>
      <c r="B21" s="14" t="s">
        <v>129</v>
      </c>
      <c r="C21" s="10"/>
      <c r="D21" s="48">
        <f t="shared" si="1"/>
        <v>0</v>
      </c>
      <c r="F21" s="69" t="s">
        <v>94</v>
      </c>
      <c r="G21" s="81" t="s">
        <v>93</v>
      </c>
      <c r="H21" s="182" t="s">
        <v>13</v>
      </c>
      <c r="I21" s="183"/>
      <c r="J21" s="184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4"/>
      <c r="B22" s="46" t="s">
        <v>103</v>
      </c>
      <c r="C22" s="10"/>
      <c r="D22" s="48">
        <f t="shared" si="1"/>
        <v>0</v>
      </c>
      <c r="F22" s="76"/>
      <c r="G22" s="72"/>
      <c r="H22" s="185"/>
      <c r="I22" s="185"/>
      <c r="J22" s="185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4"/>
      <c r="B23" s="14" t="s">
        <v>116</v>
      </c>
      <c r="C23" s="10"/>
      <c r="D23" s="48">
        <f t="shared" si="1"/>
        <v>0</v>
      </c>
      <c r="F23" s="77"/>
      <c r="G23" s="78"/>
      <c r="H23" s="248"/>
      <c r="I23" s="185"/>
      <c r="J23" s="185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4"/>
      <c r="B24" s="14" t="s">
        <v>123</v>
      </c>
      <c r="C24" s="10"/>
      <c r="D24" s="48">
        <f t="shared" si="1"/>
        <v>0</v>
      </c>
      <c r="F24" s="38"/>
      <c r="G24" s="37"/>
      <c r="H24" s="186"/>
      <c r="I24" s="187"/>
      <c r="J24" s="18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8" t="s">
        <v>13</v>
      </c>
      <c r="I25" s="189"/>
      <c r="J25" s="190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4"/>
      <c r="B26" s="14" t="s">
        <v>124</v>
      </c>
      <c r="C26" s="10"/>
      <c r="D26" s="48">
        <f t="shared" si="1"/>
        <v>0</v>
      </c>
      <c r="F26" s="64"/>
      <c r="G26" s="59"/>
      <c r="H26" s="191"/>
      <c r="I26" s="192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4"/>
      <c r="B27" s="14" t="s">
        <v>125</v>
      </c>
      <c r="C27" s="10"/>
      <c r="D27" s="44">
        <f t="shared" si="1"/>
        <v>0</v>
      </c>
      <c r="F27" s="25"/>
      <c r="G27" s="79"/>
      <c r="H27" s="194"/>
      <c r="I27" s="195"/>
      <c r="J27" s="196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5"/>
      <c r="B28" s="46" t="s">
        <v>92</v>
      </c>
      <c r="C28" s="10"/>
      <c r="D28" s="48">
        <f t="shared" si="1"/>
        <v>0</v>
      </c>
      <c r="F28" s="103"/>
      <c r="G28" s="61"/>
      <c r="H28" s="197"/>
      <c r="I28" s="198"/>
      <c r="J28" s="199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3" t="s">
        <v>36</v>
      </c>
      <c r="B29" s="164"/>
      <c r="C29" s="165"/>
      <c r="D29" s="169">
        <f>SUM(D6:D28)</f>
        <v>0</v>
      </c>
      <c r="F29" s="171" t="s">
        <v>54</v>
      </c>
      <c r="G29" s="172"/>
      <c r="H29" s="175">
        <f>H15-H16-H17-H18-H19-H20-H22-H23-H24+H26+H27</f>
        <v>0</v>
      </c>
      <c r="I29" s="176"/>
      <c r="J29" s="177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6"/>
      <c r="B30" s="167"/>
      <c r="C30" s="168"/>
      <c r="D30" s="170"/>
      <c r="F30" s="173"/>
      <c r="G30" s="174"/>
      <c r="H30" s="178"/>
      <c r="I30" s="179"/>
      <c r="J30" s="180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0" t="s">
        <v>57</v>
      </c>
      <c r="B32" s="111"/>
      <c r="C32" s="111"/>
      <c r="D32" s="112"/>
      <c r="F32" s="200" t="s">
        <v>58</v>
      </c>
      <c r="G32" s="201"/>
      <c r="H32" s="201"/>
      <c r="I32" s="201"/>
      <c r="J32" s="20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4" t="s">
        <v>62</v>
      </c>
      <c r="H33" s="200" t="s">
        <v>13</v>
      </c>
      <c r="I33" s="201"/>
      <c r="J33" s="20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3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3">
        <f>F34*G34</f>
        <v>0</v>
      </c>
      <c r="I34" s="204"/>
      <c r="J34" s="20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4"/>
      <c r="B35" s="27" t="s">
        <v>67</v>
      </c>
      <c r="C35" s="52"/>
      <c r="D35" s="30">
        <f>C35*84</f>
        <v>0</v>
      </c>
      <c r="F35" s="58">
        <v>500</v>
      </c>
      <c r="G35" s="106"/>
      <c r="H35" s="203">
        <f>F35*G35</f>
        <v>0</v>
      </c>
      <c r="I35" s="204"/>
      <c r="J35" s="20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5"/>
      <c r="B36" s="26" t="s">
        <v>69</v>
      </c>
      <c r="C36" s="10"/>
      <c r="D36" s="12">
        <f>C36*1.5</f>
        <v>0</v>
      </c>
      <c r="F36" s="12">
        <v>200</v>
      </c>
      <c r="G36" s="37"/>
      <c r="H36" s="203">
        <f t="shared" ref="H36:H39" si="2">F36*G36</f>
        <v>0</v>
      </c>
      <c r="I36" s="204"/>
      <c r="J36" s="20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3">
        <f t="shared" si="2"/>
        <v>0</v>
      </c>
      <c r="I37" s="204"/>
      <c r="J37" s="20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4"/>
      <c r="B38" s="29" t="s">
        <v>67</v>
      </c>
      <c r="C38" s="54"/>
      <c r="D38" s="12">
        <f>C38*84</f>
        <v>0</v>
      </c>
      <c r="F38" s="30">
        <v>50</v>
      </c>
      <c r="G38" s="39"/>
      <c r="H38" s="203">
        <f t="shared" si="2"/>
        <v>0</v>
      </c>
      <c r="I38" s="204"/>
      <c r="J38" s="20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5"/>
      <c r="B39" s="29" t="s">
        <v>69</v>
      </c>
      <c r="C39" s="52"/>
      <c r="D39" s="31">
        <f>C39*4.5</f>
        <v>0</v>
      </c>
      <c r="F39" s="12">
        <v>20</v>
      </c>
      <c r="G39" s="37"/>
      <c r="H39" s="203">
        <f t="shared" si="2"/>
        <v>0</v>
      </c>
      <c r="I39" s="204"/>
      <c r="J39" s="20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3" t="s">
        <v>75</v>
      </c>
      <c r="B40" s="27" t="s">
        <v>65</v>
      </c>
      <c r="C40" s="63"/>
      <c r="D40" s="12">
        <f>C40*111</f>
        <v>0</v>
      </c>
      <c r="F40" s="12">
        <v>10</v>
      </c>
      <c r="G40" s="107"/>
      <c r="H40" s="203"/>
      <c r="I40" s="204"/>
      <c r="J40" s="20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4"/>
      <c r="B41" s="27" t="s">
        <v>67</v>
      </c>
      <c r="C41" s="10"/>
      <c r="D41" s="12">
        <f>C41*84</f>
        <v>0</v>
      </c>
      <c r="F41" s="12">
        <v>5</v>
      </c>
      <c r="G41" s="107"/>
      <c r="H41" s="203"/>
      <c r="I41" s="204"/>
      <c r="J41" s="20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5"/>
      <c r="B42" s="27" t="s">
        <v>69</v>
      </c>
      <c r="C42" s="11"/>
      <c r="D42" s="12">
        <f>C42*2.25</f>
        <v>0</v>
      </c>
      <c r="F42" s="39" t="s">
        <v>78</v>
      </c>
      <c r="G42" s="203"/>
      <c r="H42" s="204"/>
      <c r="I42" s="204"/>
      <c r="J42" s="20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6" t="s">
        <v>80</v>
      </c>
      <c r="C43" s="11"/>
      <c r="D43" s="12"/>
      <c r="F43" s="59" t="s">
        <v>81</v>
      </c>
      <c r="G43" s="105" t="s">
        <v>82</v>
      </c>
      <c r="H43" s="209" t="s">
        <v>13</v>
      </c>
      <c r="I43" s="210"/>
      <c r="J43" s="211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7"/>
      <c r="B44" s="27" t="s">
        <v>65</v>
      </c>
      <c r="C44" s="10"/>
      <c r="D44" s="12">
        <f>C44*120</f>
        <v>0</v>
      </c>
      <c r="F44" s="37"/>
      <c r="G44" s="62"/>
      <c r="H44" s="187"/>
      <c r="I44" s="187"/>
      <c r="J44" s="187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7"/>
      <c r="B45" s="27" t="s">
        <v>67</v>
      </c>
      <c r="C45" s="33"/>
      <c r="D45" s="12">
        <f>C45*84</f>
        <v>0</v>
      </c>
      <c r="F45" s="37"/>
      <c r="G45" s="62"/>
      <c r="H45" s="187"/>
      <c r="I45" s="187"/>
      <c r="J45" s="187"/>
      <c r="K45" s="21"/>
      <c r="P45" s="4"/>
      <c r="Q45" s="4"/>
      <c r="R45" s="5"/>
    </row>
    <row r="46" spans="1:18" ht="15.75" x14ac:dyDescent="0.25">
      <c r="A46" s="207"/>
      <c r="B46" s="49" t="s">
        <v>69</v>
      </c>
      <c r="C46" s="80"/>
      <c r="D46" s="12">
        <f>C46*1.5</f>
        <v>0</v>
      </c>
      <c r="F46" s="37"/>
      <c r="G46" s="75"/>
      <c r="H46" s="187"/>
      <c r="I46" s="187"/>
      <c r="J46" s="187"/>
      <c r="K46" s="21"/>
      <c r="P46" s="4"/>
      <c r="Q46" s="4"/>
      <c r="R46" s="5"/>
    </row>
    <row r="47" spans="1:18" ht="15.75" x14ac:dyDescent="0.25">
      <c r="A47" s="208"/>
      <c r="B47" s="27"/>
      <c r="C47" s="11"/>
      <c r="D47" s="12"/>
      <c r="F47" s="37"/>
      <c r="G47" s="75"/>
      <c r="H47" s="187"/>
      <c r="I47" s="187"/>
      <c r="J47" s="187"/>
      <c r="K47" s="21"/>
      <c r="P47" s="4"/>
      <c r="Q47" s="4"/>
      <c r="R47" s="5"/>
    </row>
    <row r="48" spans="1:18" ht="15" customHeight="1" x14ac:dyDescent="0.25">
      <c r="A48" s="206" t="s">
        <v>32</v>
      </c>
      <c r="B48" s="27" t="s">
        <v>65</v>
      </c>
      <c r="C48" s="10"/>
      <c r="D48" s="12">
        <f>C48*78</f>
        <v>0</v>
      </c>
      <c r="F48" s="59"/>
      <c r="G48" s="59"/>
      <c r="H48" s="244"/>
      <c r="I48" s="245"/>
      <c r="J48" s="24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7"/>
      <c r="B49" s="29" t="s">
        <v>67</v>
      </c>
      <c r="C49" s="33"/>
      <c r="D49" s="12">
        <f>C49*42</f>
        <v>0</v>
      </c>
      <c r="F49" s="228" t="s">
        <v>85</v>
      </c>
      <c r="G49" s="175">
        <f>H34+H35+H36+H37+H38+H39+H40+H41+G42+H44+H45+H46+H47+H48</f>
        <v>0</v>
      </c>
      <c r="H49" s="176"/>
      <c r="I49" s="176"/>
      <c r="J49" s="177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7"/>
      <c r="B50" s="32" t="s">
        <v>69</v>
      </c>
      <c r="C50" s="11"/>
      <c r="D50" s="12">
        <f>C50*1.5</f>
        <v>0</v>
      </c>
      <c r="F50" s="229"/>
      <c r="G50" s="178"/>
      <c r="H50" s="179"/>
      <c r="I50" s="179"/>
      <c r="J50" s="180"/>
      <c r="O50" t="s">
        <v>112</v>
      </c>
      <c r="P50" s="4">
        <v>1204</v>
      </c>
      <c r="Q50" s="4"/>
      <c r="R50" s="5"/>
    </row>
    <row r="51" spans="1:18" ht="15" customHeight="1" x14ac:dyDescent="0.25">
      <c r="A51" s="207"/>
      <c r="B51" s="27"/>
      <c r="C51" s="10"/>
      <c r="D51" s="31"/>
      <c r="F51" s="230" t="str">
        <f>_xlfn.IFS(H29&gt;G49,"SHORT",H29&lt;G49,"OVER",H29&lt;=G49,"-")</f>
        <v>-</v>
      </c>
      <c r="G51" s="232">
        <f>G49-H29</f>
        <v>0</v>
      </c>
      <c r="H51" s="233"/>
      <c r="I51" s="233"/>
      <c r="J51" s="2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customHeight="1" x14ac:dyDescent="0.25">
      <c r="A52" s="207"/>
      <c r="B52" s="29"/>
      <c r="C52" s="33"/>
      <c r="D52" s="45"/>
      <c r="F52" s="231"/>
      <c r="G52" s="235"/>
      <c r="H52" s="236"/>
      <c r="I52" s="236"/>
      <c r="J52" s="2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1" t="s">
        <v>89</v>
      </c>
      <c r="B54" s="216"/>
      <c r="C54" s="217"/>
      <c r="D54" s="22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3"/>
      <c r="B55" s="218"/>
      <c r="C55" s="219"/>
      <c r="D55" s="22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2" t="s">
        <v>90</v>
      </c>
      <c r="B58" s="223"/>
      <c r="C58" s="223"/>
      <c r="D58" s="224"/>
      <c r="F58" s="222" t="s">
        <v>91</v>
      </c>
      <c r="G58" s="223"/>
      <c r="H58" s="223"/>
      <c r="I58" s="223"/>
      <c r="J58" s="224"/>
    </row>
    <row r="59" spans="1:18" x14ac:dyDescent="0.25">
      <c r="A59" s="225"/>
      <c r="B59" s="226"/>
      <c r="C59" s="226"/>
      <c r="D59" s="227"/>
      <c r="F59" s="225"/>
      <c r="G59" s="226"/>
      <c r="H59" s="226"/>
      <c r="I59" s="226"/>
      <c r="J59" s="22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containsText" dxfId="2" priority="1" operator="containsText" text="OVER">
      <formula>NOT(ISERROR(SEARCH("OVER",F51)))</formula>
    </cfRule>
    <cfRule type="containsText" dxfId="1" priority="3" operator="containsText" text="SHORT">
      <formula>NOT(ISERROR(SEARCH("SHORT",F51)))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" operator="containsText" id="{22FF0B26-45F8-4DB6-9AC7-2EE2BE0D9450}">
            <xm:f>NOT(ISERROR(SEARCH("-",G51)))</xm:f>
            <xm:f>"-"</xm:f>
            <x14:dxf>
              <font>
                <color rgb="FFFF0000"/>
              </font>
            </x14:dxf>
          </x14:cfRule>
          <xm:sqref>G51:J52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(AUGUST 2026)</vt:lpstr>
      <vt:lpstr>(01)</vt:lpstr>
      <vt:lpstr>08,01 R1 NO TRIP</vt:lpstr>
      <vt:lpstr>08,01 R2 COLLECTION</vt:lpstr>
      <vt:lpstr>08,01 R3 NO TRIP</vt:lpstr>
      <vt:lpstr>(3)</vt:lpstr>
      <vt:lpstr>08,03 R1</vt:lpstr>
      <vt:lpstr>08,03 R2</vt:lpstr>
      <vt:lpstr>08,03 R3</vt:lpstr>
      <vt:lpstr>(4)</vt:lpstr>
      <vt:lpstr>08,04 R1 NO TRIP</vt:lpstr>
      <vt:lpstr>08,04 R2</vt:lpstr>
      <vt:lpstr>08,04 R3</vt:lpstr>
      <vt:lpstr>(5)</vt:lpstr>
      <vt:lpstr>08,05 R1</vt:lpstr>
      <vt:lpstr>08,05 R2</vt:lpstr>
      <vt:lpstr>08,05 R3 NO TRIP</vt:lpstr>
      <vt:lpstr>(6)</vt:lpstr>
      <vt:lpstr>08,06 R1 NO TRIP</vt:lpstr>
      <vt:lpstr>08,06 R2</vt:lpstr>
      <vt:lpstr>08,06 R3</vt:lpstr>
      <vt:lpstr>(7)</vt:lpstr>
      <vt:lpstr>08,07 R1</vt:lpstr>
      <vt:lpstr>08,07 R2</vt:lpstr>
      <vt:lpstr>08,07 R3</vt:lpstr>
      <vt:lpstr>(8)</vt:lpstr>
      <vt:lpstr>08,08 R1</vt:lpstr>
      <vt:lpstr>08,08 R2</vt:lpstr>
      <vt:lpstr>08,08 R3</vt:lpstr>
      <vt:lpstr>(10)</vt:lpstr>
      <vt:lpstr>08,10 R1</vt:lpstr>
      <vt:lpstr>08,10 R2</vt:lpstr>
      <vt:lpstr>08,10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'08,01 R1 NO TRIP'!Print_Area</vt:lpstr>
      <vt:lpstr>'08,01 R2 COLLECTION'!Print_Area</vt:lpstr>
      <vt:lpstr>'08,01 R3 NO TRIP'!Print_Area</vt:lpstr>
      <vt:lpstr>'08,03 R1'!Print_Area</vt:lpstr>
      <vt:lpstr>'08,03 R2'!Print_Area</vt:lpstr>
      <vt:lpstr>'08,03 R3'!Print_Area</vt:lpstr>
      <vt:lpstr>'08,04 R1 NO TRIP'!Print_Area</vt:lpstr>
      <vt:lpstr>'08,04 R2'!Print_Area</vt:lpstr>
      <vt:lpstr>'08,04 R3'!Print_Area</vt:lpstr>
      <vt:lpstr>'08,05 R1'!Print_Area</vt:lpstr>
      <vt:lpstr>'08,05 R2'!Print_Area</vt:lpstr>
      <vt:lpstr>'08,05 R3 NO TRIP'!Print_Area</vt:lpstr>
      <vt:lpstr>'08,06 R1 NO TRIP'!Print_Area</vt:lpstr>
      <vt:lpstr>'08,06 R2'!Print_Area</vt:lpstr>
      <vt:lpstr>'08,06 R3'!Print_Area</vt:lpstr>
      <vt:lpstr>'08,07 R1'!Print_Area</vt:lpstr>
      <vt:lpstr>'08,07 R2'!Print_Area</vt:lpstr>
      <vt:lpstr>'08,07 R3'!Print_Area</vt:lpstr>
      <vt:lpstr>'08,08 R1'!Print_Area</vt:lpstr>
      <vt:lpstr>'08,08 R2'!Print_Area</vt:lpstr>
      <vt:lpstr>'08,08 R3'!Print_Area</vt:lpstr>
      <vt:lpstr>'08,10 R1'!Print_Area</vt:lpstr>
      <vt:lpstr>'08,10 R2'!Print_Area</vt:lpstr>
      <vt:lpstr>'08,10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2026-08-07T00:22:06Z</cp:lastPrinted>
  <dcterms:created xsi:type="dcterms:W3CDTF">2024-09-01T23:36:50Z</dcterms:created>
  <dcterms:modified xsi:type="dcterms:W3CDTF">2026-08-07T08:41:11Z</dcterms:modified>
</cp:coreProperties>
</file>