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omments4.xml" ContentType="application/vnd.openxmlformats-officedocument.spreadsheetml.comments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D8EBF44C-0290-4985-B13A-CDA22B606E6B}" xr6:coauthVersionLast="45" xr6:coauthVersionMax="47" xr10:uidLastSave="{00000000-0000-0000-0000-000000000000}"/>
  <bookViews>
    <workbookView xWindow="-120" yWindow="-120" windowWidth="29040" windowHeight="15840" firstSheet="39" activeTab="50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 COLLECTION" sheetId="2290" r:id="rId51"/>
    <sheet name="08,15 R2" sheetId="2291" r:id="rId52"/>
    <sheet name="08,15 R3" sheetId="2292" r:id="rId53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 COLLECTION'!$A$1:$J$60</definedName>
    <definedName name="_xlnm.Print_Area" localSheetId="51">'08,15 R2'!$A$1:$J$60</definedName>
    <definedName name="_xlnm.Print_Area" localSheetId="52">'08,15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9" i="2288" l="1"/>
  <c r="C12" i="2282" l="1"/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G49" i="2292" s="1"/>
  <c r="D36" i="2292"/>
  <c r="D54" i="2292" s="1"/>
  <c r="H14" i="2292" s="1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D34" i="2288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D34" i="2286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D21" i="2284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D34" i="2283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G49" i="2290" l="1"/>
  <c r="D54" i="2288"/>
  <c r="H14" i="2288" s="1"/>
  <c r="G49" i="2288"/>
  <c r="D54" i="2287"/>
  <c r="H14" i="2287" s="1"/>
  <c r="G49" i="2286"/>
  <c r="D54" i="2286"/>
  <c r="H14" i="2286" s="1"/>
  <c r="G49" i="2283"/>
  <c r="G49" i="2282"/>
  <c r="D54" i="2284"/>
  <c r="H14" i="2284" s="1"/>
  <c r="D54" i="2282"/>
  <c r="H14" i="2282" s="1"/>
  <c r="D54" i="2283"/>
  <c r="H14" i="2283" s="1"/>
  <c r="G49" i="2278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H15" i="2292" s="1"/>
  <c r="H29" i="2292" s="1"/>
  <c r="F51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D29" i="2289"/>
  <c r="H13" i="2289" s="1"/>
  <c r="H15" i="2289" s="1"/>
  <c r="H29" i="2289" s="1"/>
  <c r="G51" i="2289"/>
  <c r="D29" i="2288"/>
  <c r="H13" i="2288" s="1"/>
  <c r="D29" i="2287"/>
  <c r="H13" i="2287" s="1"/>
  <c r="D29" i="2286"/>
  <c r="H13" i="2286" s="1"/>
  <c r="D29" i="2285"/>
  <c r="H13" i="2285" s="1"/>
  <c r="H15" i="2285" s="1"/>
  <c r="H29" i="2285" s="1"/>
  <c r="G51" i="2285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G51" i="2290" l="1"/>
  <c r="F51" i="2290"/>
  <c r="H15" i="2288"/>
  <c r="H29" i="2288" s="1"/>
  <c r="F51" i="2288" s="1"/>
  <c r="H15" i="2287"/>
  <c r="H29" i="2287" s="1"/>
  <c r="F51" i="2287" s="1"/>
  <c r="H15" i="2286"/>
  <c r="H29" i="2286" s="1"/>
  <c r="F51" i="2286" s="1"/>
  <c r="H15" i="2284"/>
  <c r="H29" i="2284" s="1"/>
  <c r="F51" i="2284" s="1"/>
  <c r="H15" i="2282"/>
  <c r="H29" i="2282" s="1"/>
  <c r="F51" i="2282" s="1"/>
  <c r="H15" i="2283"/>
  <c r="H29" i="2283" s="1"/>
  <c r="F51" i="2283" s="1"/>
  <c r="H15" i="2278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2"/>
  <c r="G51" i="2291"/>
  <c r="G51" i="2288" l="1"/>
  <c r="G51" i="2287"/>
  <c r="G51" i="2286"/>
  <c r="G51" i="2283"/>
  <c r="G51" i="2284"/>
  <c r="G51" i="2282"/>
  <c r="G51" i="2278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18A107F4-3A78-4150-9916-805D13629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2307
</t>
        </r>
      </text>
    </comment>
  </commentList>
</comments>
</file>

<file path=xl/sharedStrings.xml><?xml version="1.0" encoding="utf-8"?>
<sst xmlns="http://schemas.openxmlformats.org/spreadsheetml/2006/main" count="7061" uniqueCount="181">
  <si>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</si>
  <si>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</si>
  <si>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</si>
  <si>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</si>
  <si>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</si>
  <si>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</si>
  <si>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</si>
  <si>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</si>
  <si>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</si>
  <si>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</si>
  <si>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</si>
  <si>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</si>
  <si>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</si>
  <si>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</si>
  <si>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</si>
  <si>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</si>
  <si>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</si>
  <si>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</si>
  <si>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</si>
  <si>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</si>
  <si>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</si>
  <si>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</si>
  <si>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</si>
  <si>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</si>
  <si>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</si>
  <si>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</si>
  <si>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</si>
  <si>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</si>
  <si>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</si>
  <si>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</si>
  <si>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</si>
  <si>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</si>
  <si>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</si>
  <si>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</si>
  <si>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</si>
  <si>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</si>
  <si>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</si>
  <si>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</si>
  <si>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</si>
  <si>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</si>
  <si>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</si>
  <si>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</si>
  <si>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</si>
  <si>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</si>
  <si>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</si>
  <si>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</si>
  <si>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</si>
  <si>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</si>
  <si>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</si>
  <si>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</si>
  <si>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</si>
  <si>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</si>
  <si>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</si>
  <si>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</si>
  <si>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</si>
  <si>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</si>
  <si>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</si>
  <si>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</si>
  <si>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</si>
  <si>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</si>
  <si>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</si>
  <si>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</si>
  <si>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</si>
  <si>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</si>
  <si>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</si>
  <si>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</si>
  <si>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</si>
  <si>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</si>
  <si>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</si>
  <si>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</si>
  <si>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</si>
  <si>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</si>
  <si>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</si>
  <si>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</si>
  <si>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</si>
  <si>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</si>
  <si>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</si>
  <si>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</si>
  <si>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</si>
  <si>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</si>
  <si>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</si>
  <si>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</si>
  <si>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</si>
  <si>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</si>
  <si>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</si>
  <si>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</si>
  <si>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</si>
  <si>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</si>
  <si>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</si>
  <si>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</si>
  <si>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</si>
  <si>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</si>
  <si>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</si>
  <si>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</si>
  <si>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</si>
  <si>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</si>
  <si>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</si>
  <si>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</si>
  <si>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</si>
  <si>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</si>
  <si>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</si>
  <si>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</si>
  <si>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</si>
  <si>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</si>
  <si>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</si>
  <si>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</si>
  <si>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</si>
  <si>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</si>
  <si>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</si>
  <si>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</si>
  <si>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</si>
  <si>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</si>
  <si>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</si>
  <si>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</si>
  <si>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</si>
  <si>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</si>
  <si>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</si>
  <si>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</si>
  <si>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</si>
  <si>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</si>
  <si>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</si>
  <si>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</si>
  <si>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</si>
  <si>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</si>
  <si>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</si>
  <si>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</si>
  <si>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</si>
  <si>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</si>
  <si>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</si>
  <si>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</si>
  <si>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</si>
  <si>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</si>
  <si>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</si>
  <si>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</si>
  <si>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</si>
  <si>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</si>
  <si>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</si>
  <si>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</si>
  <si>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</si>
  <si>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</si>
  <si>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</si>
  <si>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</si>
  <si>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</si>
  <si>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</si>
  <si>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</si>
  <si>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</si>
  <si>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</si>
  <si>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</si>
  <si>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</si>
  <si>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</si>
  <si>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</si>
  <si>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</si>
  <si>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</si>
  <si>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</si>
  <si>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</si>
  <si>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</si>
  <si>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</si>
  <si>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</si>
  <si>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</si>
  <si>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</si>
  <si>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</si>
  <si>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</si>
  <si>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</si>
  <si>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</si>
  <si>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</si>
  <si>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</si>
  <si>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</si>
  <si>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</si>
  <si>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</si>
  <si>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</si>
  <si>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</si>
  <si>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</si>
  <si>
    <t>SMFC</t>
  </si>
  <si>
    <t>2120013252</t>
  </si>
  <si>
    <t>2130022095</t>
  </si>
  <si>
    <t>51216</t>
  </si>
  <si>
    <t>2000006291</t>
  </si>
  <si>
    <t>154142</t>
  </si>
  <si>
    <t>153318</t>
  </si>
  <si>
    <t>2000003324</t>
  </si>
  <si>
    <t>2000008782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</si>
</sst>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117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Relationship Id="rId4" Type="http://schemas.openxmlformats.org/officeDocument/2006/relationships/comments" Target="../comments4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9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1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46235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91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8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1">
        <f t="shared" ref="H34:H39" si="2"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>
        <f t="shared" si="2"/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1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87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116" priority="4" operator="containsText" text="SHORT">
      <formula>NOT(ISERROR(SEARCH("SHORT",F51)))</formula>
    </cfRule>
    <cfRule type="containsText" dxfId="115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46235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99">
        <v>69862</v>
      </c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8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69862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11">
        <f>F34*G34</f>
        <v>53000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11">
        <f>F35*G35</f>
        <v>16500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11">
        <f t="shared" si="2"/>
        <v>300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12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1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69862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46235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113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8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1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97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46237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283</v>
      </c>
      <c r="D6" s="13">
        <f t="shared" ref="D6:D28" si="1">C6*L6</f>
        <v>215363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9</v>
      </c>
      <c r="D7" s="13">
        <f t="shared" si="1"/>
        <v>7029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32</v>
      </c>
      <c r="D9" s="13">
        <f t="shared" si="1"/>
        <v>23456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2</v>
      </c>
      <c r="D13" s="48">
        <f t="shared" si="1"/>
        <v>614</v>
      </c>
      <c r="F13" s="156" t="s">
        <v>36</v>
      </c>
      <c r="G13" s="157"/>
      <c r="H13" s="158">
        <f>D29</f>
        <v>248162.33333333334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8</v>
      </c>
      <c r="D14" s="31">
        <f t="shared" si="1"/>
        <v>88.333333333333329</v>
      </c>
      <c r="F14" s="161" t="s">
        <v>38</v>
      </c>
      <c r="G14" s="162"/>
      <c r="H14" s="163">
        <f>D54</f>
        <v>36360.75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>
        <v>1</v>
      </c>
      <c r="D15" s="31">
        <f t="shared" si="1"/>
        <v>620</v>
      </c>
      <c r="F15" s="166" t="s">
        <v>39</v>
      </c>
      <c r="G15" s="157"/>
      <c r="H15" s="167">
        <f>H13-H14</f>
        <v>211801.58333333334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248162.33333333334</v>
      </c>
      <c r="F29" s="179" t="s">
        <v>54</v>
      </c>
      <c r="G29" s="180"/>
      <c r="H29" s="183">
        <f>H15-H16-H17-H18-H19-H20-H22-H23-H24+H26+H27+H28</f>
        <v>211801.58333333334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11">
        <f t="shared" ref="H34:H39" si="2">F34*G34</f>
        <v>111000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11">
        <f t="shared" si="2"/>
        <v>20500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11">
        <f t="shared" si="2"/>
        <v>1300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11">
        <f t="shared" si="2"/>
        <v>1050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1">
        <f t="shared" si="2"/>
        <v>40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1">
        <v>116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95">
        <v>62000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95">
        <v>16444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16</v>
      </c>
      <c r="D46" s="12">
        <f>C46*1.5</f>
        <v>24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2</v>
      </c>
      <c r="D49" s="12">
        <f>C49*42</f>
        <v>84</v>
      </c>
      <c r="F49" s="236" t="s">
        <v>85</v>
      </c>
      <c r="G49" s="183">
        <f>H34+H35+H36+H37+H38+H39+H40+H41+G42+H44+H45+H46+H47+H48</f>
        <v>212450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13</v>
      </c>
      <c r="D50" s="12">
        <f>C50*1.5</f>
        <v>19.5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648.41666666665697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46237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487</v>
      </c>
      <c r="D6" s="13">
        <f t="shared" ref="D6:D28" si="1">C6*L6</f>
        <v>370607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6</v>
      </c>
      <c r="D7" s="13">
        <f t="shared" si="1"/>
        <v>4686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168</v>
      </c>
      <c r="D9" s="13">
        <f t="shared" si="1"/>
        <v>123144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25</v>
      </c>
      <c r="D13" s="48">
        <f t="shared" si="1"/>
        <v>7675</v>
      </c>
      <c r="F13" s="156" t="s">
        <v>36</v>
      </c>
      <c r="G13" s="157"/>
      <c r="H13" s="158">
        <f>D29</f>
        <v>516071.33333333331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8</v>
      </c>
      <c r="D14" s="31">
        <f t="shared" si="1"/>
        <v>88.333333333333329</v>
      </c>
      <c r="F14" s="161" t="s">
        <v>38</v>
      </c>
      <c r="G14" s="162"/>
      <c r="H14" s="163">
        <f>D54</f>
        <v>76411.5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439659.83333333331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0">
        <v>3396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516071.33333333331</v>
      </c>
      <c r="F29" s="179" t="s">
        <v>54</v>
      </c>
      <c r="G29" s="180"/>
      <c r="H29" s="183">
        <f>H15-H16-H17-H18-H19-H20-H22-H23-H24+H26+H27</f>
        <v>436263.83333333331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11">
        <f>F34*G34</f>
        <v>47000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11">
        <f>F35*G35</f>
        <v>155000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1">
        <f t="shared" ref="H36:H39" si="2">F36*G36</f>
        <v>200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11">
        <f t="shared" si="2"/>
        <v>3200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1">
        <v>83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95">
        <v>231443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8</v>
      </c>
      <c r="D49" s="12">
        <f>C49*42</f>
        <v>336</v>
      </c>
      <c r="F49" s="236" t="s">
        <v>85</v>
      </c>
      <c r="G49" s="183">
        <f>H34+H35+H36+H37+H38+H39+H40+H41+G42+H44+H45+H46+H47+H48</f>
        <v>436926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4</v>
      </c>
      <c r="D50" s="12">
        <f>C50*1.5</f>
        <v>6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662.16666666668607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46237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428</v>
      </c>
      <c r="D6" s="13">
        <f t="shared" ref="D6:D28" si="1">C6*L6</f>
        <v>325708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14</v>
      </c>
      <c r="D7" s="13">
        <f t="shared" si="1"/>
        <v>10934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81</v>
      </c>
      <c r="D9" s="13">
        <f t="shared" si="1"/>
        <v>59373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2</v>
      </c>
      <c r="D10" s="13">
        <f t="shared" si="1"/>
        <v>2064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f>2+1</f>
        <v>3</v>
      </c>
      <c r="D12" s="48">
        <f t="shared" si="1"/>
        <v>2976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17</v>
      </c>
      <c r="D13" s="48">
        <f t="shared" si="1"/>
        <v>5219</v>
      </c>
      <c r="F13" s="156" t="s">
        <v>36</v>
      </c>
      <c r="G13" s="157"/>
      <c r="H13" s="158">
        <f>D29</f>
        <v>406307.125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3</v>
      </c>
      <c r="D14" s="31">
        <f t="shared" si="1"/>
        <v>33.125</v>
      </c>
      <c r="F14" s="161" t="s">
        <v>38</v>
      </c>
      <c r="G14" s="162"/>
      <c r="H14" s="163">
        <f>D54</f>
        <v>66713.25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339593.875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1602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>
        <v>50</v>
      </c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406307.125</v>
      </c>
      <c r="F29" s="179" t="s">
        <v>54</v>
      </c>
      <c r="G29" s="180"/>
      <c r="H29" s="183">
        <f>H15-H16-H17-H18-H19-H20-H22-H23-H24+H26+H27</f>
        <v>337941.875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11">
        <f>F34*G34</f>
        <v>25000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11">
        <f>F35*G35</f>
        <v>1000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11">
        <f t="shared" si="2"/>
        <v>1400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11">
        <f t="shared" si="2"/>
        <v>150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1">
        <f t="shared" si="2"/>
        <v>20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3</v>
      </c>
      <c r="D42" s="12">
        <f>C42*2.25</f>
        <v>6.75</v>
      </c>
      <c r="F42" s="39" t="s">
        <v>78</v>
      </c>
      <c r="G42" s="211">
        <v>20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95">
        <v>56443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95">
        <v>115712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95">
        <v>137865</v>
      </c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11</v>
      </c>
      <c r="D49" s="12">
        <f>C49*42</f>
        <v>462</v>
      </c>
      <c r="F49" s="236" t="s">
        <v>85</v>
      </c>
      <c r="G49" s="183">
        <f>H34+H35+H36+H37+H38+H39+H40+H41+G42+H44+H45+H46+H47+H48</f>
        <v>337610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15</v>
      </c>
      <c r="D50" s="12">
        <f>C50*1.5</f>
        <v>22.5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-331.875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9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5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46238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1">
        <f t="shared" ref="H34:H39" si="2"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/>
      <c r="H35" s="211">
        <f t="shared" si="2"/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87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46238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431</v>
      </c>
      <c r="D6" s="13">
        <f t="shared" ref="D6:D28" si="1">C6*L6</f>
        <v>327991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</v>
      </c>
      <c r="D7" s="13">
        <f t="shared" si="1"/>
        <v>1562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20</v>
      </c>
      <c r="D9" s="13">
        <f t="shared" si="1"/>
        <v>14660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11</v>
      </c>
      <c r="D13" s="48">
        <f t="shared" si="1"/>
        <v>3377</v>
      </c>
      <c r="F13" s="156" t="s">
        <v>36</v>
      </c>
      <c r="G13" s="157"/>
      <c r="H13" s="158">
        <f>D29</f>
        <v>347634.16666666669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4</v>
      </c>
      <c r="D14" s="31">
        <f t="shared" si="1"/>
        <v>44.166666666666664</v>
      </c>
      <c r="F14" s="161" t="s">
        <v>38</v>
      </c>
      <c r="G14" s="162"/>
      <c r="H14" s="163">
        <f>D54</f>
        <v>52755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294879.16666666669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2004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193">
        <v>5850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347634.16666666669</v>
      </c>
      <c r="F29" s="179" t="s">
        <v>54</v>
      </c>
      <c r="G29" s="180"/>
      <c r="H29" s="183">
        <f>H15-H16-H17-H18-H19-H20-H22-H23-H24+H26+H27</f>
        <v>287025.16666666669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11">
        <f>F34*G34</f>
        <v>120000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11">
        <f>F35*G35</f>
        <v>166500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11">
        <f t="shared" si="2"/>
        <v>200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64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9</v>
      </c>
      <c r="D49" s="12">
        <f>C49*42</f>
        <v>378</v>
      </c>
      <c r="F49" s="236" t="s">
        <v>85</v>
      </c>
      <c r="G49" s="183">
        <f>H34+H35+H36+H37+H38+H39+H40+H41+G42+H44+H45+H46+H47+H48</f>
        <v>286814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5</v>
      </c>
      <c r="D50" s="12">
        <f>C50*1.5</f>
        <v>7.5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-211.16666666668607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46238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548</v>
      </c>
      <c r="D6" s="13">
        <f t="shared" ref="D6:D28" si="1">C6*L6</f>
        <v>417028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4</v>
      </c>
      <c r="D7" s="13">
        <f t="shared" si="1"/>
        <v>3124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55</v>
      </c>
      <c r="D9" s="13">
        <f t="shared" si="1"/>
        <v>40315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2</v>
      </c>
      <c r="D11" s="13">
        <f t="shared" si="1"/>
        <v>2340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4</v>
      </c>
      <c r="D12" s="48">
        <f t="shared" si="1"/>
        <v>3968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17</v>
      </c>
      <c r="D13" s="48">
        <f t="shared" si="1"/>
        <v>5219</v>
      </c>
      <c r="F13" s="156" t="s">
        <v>36</v>
      </c>
      <c r="G13" s="157"/>
      <c r="H13" s="158">
        <f>D29</f>
        <v>472049.20833333331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5</v>
      </c>
      <c r="D14" s="31">
        <f t="shared" si="1"/>
        <v>55.208333333333329</v>
      </c>
      <c r="F14" s="161" t="s">
        <v>38</v>
      </c>
      <c r="G14" s="162"/>
      <c r="H14" s="163">
        <f>D54</f>
        <v>71464.5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400584.70833333331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3366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472049.20833333331</v>
      </c>
      <c r="F29" s="179" t="s">
        <v>54</v>
      </c>
      <c r="G29" s="180"/>
      <c r="H29" s="183">
        <f>H15-H16-H17-H18-H19-H20-H22-H23-H24+H26+H27</f>
        <v>397218.70833333331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11">
        <f>F34*G34</f>
        <v>31000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11">
        <f t="shared" si="2"/>
        <v>600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11">
        <f t="shared" si="2"/>
        <v>100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63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95">
        <v>135285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95">
        <v>141116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95">
        <v>89177</v>
      </c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9</v>
      </c>
      <c r="D49" s="12">
        <f>C49*42</f>
        <v>378</v>
      </c>
      <c r="F49" s="236" t="s">
        <v>85</v>
      </c>
      <c r="G49" s="183">
        <f>H34+H35+H36+H37+H38+H39+H40+H41+G42+H44+H45+H46+H47+H48</f>
        <v>397341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2</v>
      </c>
      <c r="D50" s="12">
        <f>C50*1.5</f>
        <v>3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122.29166666668607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46239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236</v>
      </c>
      <c r="D6" s="13">
        <f t="shared" ref="D6:D28" si="1">C6*L6</f>
        <v>179596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15</v>
      </c>
      <c r="D7" s="13">
        <f t="shared" si="1"/>
        <v>11715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113</v>
      </c>
      <c r="D9" s="13">
        <f t="shared" si="1"/>
        <v>82829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8</v>
      </c>
      <c r="D13" s="48">
        <f t="shared" si="1"/>
        <v>2456</v>
      </c>
      <c r="F13" s="156" t="s">
        <v>36</v>
      </c>
      <c r="G13" s="157"/>
      <c r="H13" s="158">
        <f>D29</f>
        <v>276596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37282.5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239313.5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2034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5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276596</v>
      </c>
      <c r="F29" s="179" t="s">
        <v>54</v>
      </c>
      <c r="G29" s="180"/>
      <c r="H29" s="183">
        <f>H15-H16-H17-H18-H19-H20-H22-H23-H24+H26+H27+H28</f>
        <v>237279.5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11">
        <f t="shared" ref="H34:H39" si="2">F34*G34</f>
        <v>11000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11">
        <f t="shared" si="2"/>
        <v>2000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1">
        <f t="shared" si="2"/>
        <v>200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11">
        <f t="shared" si="2"/>
        <v>900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2</v>
      </c>
      <c r="D42" s="12">
        <f>C42*2.25</f>
        <v>4.5</v>
      </c>
      <c r="F42" s="39" t="s">
        <v>78</v>
      </c>
      <c r="G42" s="211">
        <v>11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95">
        <v>223169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4</v>
      </c>
      <c r="D49" s="12">
        <f>C49*42</f>
        <v>168</v>
      </c>
      <c r="F49" s="236" t="s">
        <v>85</v>
      </c>
      <c r="G49" s="183">
        <f>H34+H35+H36+H37+H38+H39+H40+H41+G42+H44+H45+H46+H47+H48</f>
        <v>237280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</v>
      </c>
      <c r="D50" s="12">
        <f>C50*1.5</f>
        <v>1.5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0.5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46239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322</v>
      </c>
      <c r="D6" s="13">
        <f t="shared" ref="D6:D28" si="1">C6*L6</f>
        <v>245042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21</v>
      </c>
      <c r="D9" s="13">
        <f t="shared" si="1"/>
        <v>15393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10</v>
      </c>
      <c r="D13" s="48">
        <f t="shared" si="1"/>
        <v>3070</v>
      </c>
      <c r="F13" s="156" t="s">
        <v>36</v>
      </c>
      <c r="G13" s="157"/>
      <c r="H13" s="158">
        <f>D29</f>
        <v>271026.41666666669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10</v>
      </c>
      <c r="D14" s="31">
        <f t="shared" si="1"/>
        <v>110.41666666666666</v>
      </c>
      <c r="F14" s="161" t="s">
        <v>38</v>
      </c>
      <c r="G14" s="162"/>
      <c r="H14" s="163">
        <f>D54</f>
        <v>36957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234069.41666666669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0">
        <v>1818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271026.41666666669</v>
      </c>
      <c r="F29" s="179" t="s">
        <v>54</v>
      </c>
      <c r="G29" s="180"/>
      <c r="H29" s="183">
        <f>H15-H16-H17-H18-H19-H20-H22-H23-H24+H26+H27</f>
        <v>232251.41666666669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11">
        <f>F34*G34</f>
        <v>24000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11">
        <f>F35*G35</f>
        <v>2000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11">
        <f t="shared" si="2"/>
        <v>100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24</v>
      </c>
      <c r="D42" s="12">
        <f>C42*2.25</f>
        <v>54</v>
      </c>
      <c r="F42" s="39" t="s">
        <v>78</v>
      </c>
      <c r="G42" s="211">
        <v>41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95">
        <v>70296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95">
        <v>136287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</v>
      </c>
      <c r="D46" s="12">
        <f>C46*1.5</f>
        <v>1.5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6</v>
      </c>
      <c r="D49" s="12">
        <f>C49*42</f>
        <v>252</v>
      </c>
      <c r="F49" s="236" t="s">
        <v>85</v>
      </c>
      <c r="G49" s="183">
        <f>H34+H35+H36+H37+H38+H39+H40+H41+G42+H44+H45+H46+H47+H48</f>
        <v>232724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472.58333333331393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46239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46240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5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1">
        <f t="shared" ref="H34:H39" si="2"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>
        <f t="shared" si="2"/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87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46240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385</v>
      </c>
      <c r="D6" s="13">
        <f t="shared" ref="D6:D28" si="1">C6*L6</f>
        <v>292985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12</v>
      </c>
      <c r="D7" s="13">
        <f t="shared" si="1"/>
        <v>9372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67</v>
      </c>
      <c r="D8" s="13">
        <f t="shared" si="1"/>
        <v>73231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28</v>
      </c>
      <c r="D9" s="13">
        <f t="shared" si="1"/>
        <v>20524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3</v>
      </c>
      <c r="D10" s="13">
        <f t="shared" si="1"/>
        <v>3096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11</v>
      </c>
      <c r="D13" s="48">
        <f t="shared" si="1"/>
        <v>3377</v>
      </c>
      <c r="F13" s="156" t="s">
        <v>36</v>
      </c>
      <c r="G13" s="157"/>
      <c r="H13" s="158">
        <f>D29</f>
        <v>402717.5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12</v>
      </c>
      <c r="D14" s="31">
        <f t="shared" si="1"/>
        <v>132.5</v>
      </c>
      <c r="F14" s="161" t="s">
        <v>38</v>
      </c>
      <c r="G14" s="162"/>
      <c r="H14" s="163">
        <f>D54</f>
        <v>60681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342036.5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2178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>
        <v>50</v>
      </c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93">
        <v>67927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256">
        <v>4550</v>
      </c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402717.5</v>
      </c>
      <c r="F29" s="179" t="s">
        <v>54</v>
      </c>
      <c r="G29" s="180"/>
      <c r="H29" s="183">
        <f>H15-H16-H17-H18-H19-H20-H22-H23-H24+H26+H27</f>
        <v>267331.5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11">
        <f>F34*G34</f>
        <v>66000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211">
        <f>F35*G35</f>
        <v>28500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211">
        <f t="shared" si="2"/>
        <v>6500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211">
        <f t="shared" si="2"/>
        <v>1800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20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95">
        <v>74658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95">
        <v>90788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6</v>
      </c>
      <c r="D49" s="12">
        <f>C49*42</f>
        <v>252</v>
      </c>
      <c r="F49" s="236" t="s">
        <v>85</v>
      </c>
      <c r="G49" s="183">
        <f>H34+H35+H36+H37+H38+H39+H40+H41+G42+H44+H45+H46+H47+H48</f>
        <v>268266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934.5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46240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367</v>
      </c>
      <c r="D6" s="13">
        <f t="shared" ref="D6:D28" si="1">C6*L6</f>
        <v>279287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12</v>
      </c>
      <c r="D7" s="13">
        <f t="shared" si="1"/>
        <v>9372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20</v>
      </c>
      <c r="D8" s="13">
        <f t="shared" si="1"/>
        <v>21860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3</v>
      </c>
      <c r="D10" s="13">
        <f t="shared" si="1"/>
        <v>3096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11</v>
      </c>
      <c r="D13" s="48">
        <f t="shared" si="1"/>
        <v>3377</v>
      </c>
      <c r="F13" s="156" t="s">
        <v>36</v>
      </c>
      <c r="G13" s="157"/>
      <c r="H13" s="158">
        <f>D29</f>
        <v>318659.20833333331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5</v>
      </c>
      <c r="D14" s="31">
        <f t="shared" si="1"/>
        <v>55.208333333333329</v>
      </c>
      <c r="F14" s="161" t="s">
        <v>38</v>
      </c>
      <c r="G14" s="162"/>
      <c r="H14" s="163">
        <f>D54</f>
        <v>45737.25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>
        <v>1</v>
      </c>
      <c r="D15" s="31">
        <f t="shared" si="1"/>
        <v>620</v>
      </c>
      <c r="F15" s="166" t="s">
        <v>39</v>
      </c>
      <c r="G15" s="157"/>
      <c r="H15" s="167">
        <f>H13-H14</f>
        <v>272921.95833333331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1896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193">
        <v>3250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318659.20833333331</v>
      </c>
      <c r="F29" s="179" t="s">
        <v>54</v>
      </c>
      <c r="G29" s="180"/>
      <c r="H29" s="183">
        <f>H15-H16-H17-H18-H19-H20-H22-H23-H24+H26+H27</f>
        <v>267775.95833333331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211">
        <f>F34*G34</f>
        <v>63000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211">
        <f>F35*G35</f>
        <v>29000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1">
        <f t="shared" ref="H36:H39" si="2">F36*G36</f>
        <v>200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211">
        <f t="shared" si="2"/>
        <v>1300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11">
        <f t="shared" si="2"/>
        <v>150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1">
        <v>75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95">
        <v>140936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95">
        <v>32838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2</v>
      </c>
      <c r="D46" s="12">
        <f>C46*1.5</f>
        <v>3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6</v>
      </c>
      <c r="D49" s="12">
        <f>C49*42</f>
        <v>252</v>
      </c>
      <c r="F49" s="236" t="s">
        <v>85</v>
      </c>
      <c r="G49" s="183">
        <f>H34+H35+H36+H37+H38+H39+H40+H41+G42+H44+H45+H46+H47+H48</f>
        <v>267499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8</v>
      </c>
      <c r="D50" s="12">
        <f>C50*1.5</f>
        <v>12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-276.95833333331393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46241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482</v>
      </c>
      <c r="D6" s="13">
        <f t="shared" ref="D6:D28" si="1">C6*L6</f>
        <v>366802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15</v>
      </c>
      <c r="D7" s="13">
        <f t="shared" si="1"/>
        <v>11715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37</v>
      </c>
      <c r="D9" s="13">
        <f t="shared" si="1"/>
        <v>27121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2</v>
      </c>
      <c r="D10" s="13">
        <f t="shared" si="1"/>
        <v>2064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3</v>
      </c>
      <c r="D13" s="48">
        <f t="shared" si="1"/>
        <v>921</v>
      </c>
      <c r="F13" s="156" t="s">
        <v>36</v>
      </c>
      <c r="G13" s="157"/>
      <c r="H13" s="158">
        <f>D29</f>
        <v>408810.70833333331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17</v>
      </c>
      <c r="D14" s="31">
        <f t="shared" si="1"/>
        <v>187.70833333333331</v>
      </c>
      <c r="F14" s="161" t="s">
        <v>38</v>
      </c>
      <c r="G14" s="162"/>
      <c r="H14" s="163">
        <f>D54</f>
        <v>60101.25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348709.45833333331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5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408810.70833333331</v>
      </c>
      <c r="F29" s="179" t="s">
        <v>54</v>
      </c>
      <c r="G29" s="180"/>
      <c r="H29" s="183">
        <f>H15-H16-H17-H18-H19-H20-H22-H23-H24+H26+H27+H28</f>
        <v>348709.45833333331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211">
        <f t="shared" ref="H34:H39" si="2">F34*G34</f>
        <v>263000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211">
        <f t="shared" si="2"/>
        <v>47500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211">
        <f t="shared" si="2"/>
        <v>3300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11">
        <v>155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195">
        <v>34470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348425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15</v>
      </c>
      <c r="D50" s="12">
        <f>C50*1.5</f>
        <v>22.5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-284.45833333331393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46241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373</v>
      </c>
      <c r="D6" s="13">
        <f t="shared" ref="D6:D28" si="1">C6*L6</f>
        <v>283853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12</v>
      </c>
      <c r="D7" s="13">
        <f t="shared" si="1"/>
        <v>9372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24</v>
      </c>
      <c r="D9" s="13">
        <f t="shared" si="1"/>
        <v>17592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1</v>
      </c>
      <c r="D10" s="13">
        <f t="shared" si="1"/>
        <v>1032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10</v>
      </c>
      <c r="D13" s="48">
        <f t="shared" si="1"/>
        <v>3070</v>
      </c>
      <c r="F13" s="156" t="s">
        <v>36</v>
      </c>
      <c r="G13" s="157"/>
      <c r="H13" s="158">
        <f>D29</f>
        <v>314974.20833333331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5</v>
      </c>
      <c r="D14" s="31">
        <f t="shared" si="1"/>
        <v>55.208333333333329</v>
      </c>
      <c r="F14" s="161" t="s">
        <v>38</v>
      </c>
      <c r="G14" s="162"/>
      <c r="H14" s="163">
        <f>D54</f>
        <v>51996.75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262977.45833333331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1224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314974.20833333331</v>
      </c>
      <c r="F29" s="179" t="s">
        <v>54</v>
      </c>
      <c r="G29" s="180"/>
      <c r="H29" s="183">
        <f>H15-H16-H17-H18-H19-H20-H22-H23-H24+H26+H27</f>
        <v>261753.45833333331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211">
        <f>F34*G34</f>
        <v>176000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211">
        <f>F35*G35</f>
        <v>9500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211">
        <f t="shared" si="2"/>
        <v>400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1">
        <v>68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195">
        <v>76215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9</v>
      </c>
      <c r="D49" s="12">
        <f>C49*42</f>
        <v>378</v>
      </c>
      <c r="F49" s="236" t="s">
        <v>85</v>
      </c>
      <c r="G49" s="183">
        <f>H34+H35+H36+H37+H38+H39+H40+H41+G42+H44+H45+H46+H47+H48</f>
        <v>262183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8</v>
      </c>
      <c r="D50" s="12">
        <f>C50*1.5</f>
        <v>12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429.54166666668607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46241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387</v>
      </c>
      <c r="D6" s="13">
        <f t="shared" ref="D6:D28" si="1">C6*L6</f>
        <v>294507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4</v>
      </c>
      <c r="D7" s="13">
        <f t="shared" si="1"/>
        <v>3124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1</v>
      </c>
      <c r="D8" s="13">
        <f t="shared" si="1"/>
        <v>1093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108</v>
      </c>
      <c r="D9" s="13">
        <f t="shared" si="1"/>
        <v>79164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14</v>
      </c>
      <c r="D13" s="48">
        <f t="shared" si="1"/>
        <v>4298</v>
      </c>
      <c r="F13" s="156" t="s">
        <v>36</v>
      </c>
      <c r="G13" s="157"/>
      <c r="H13" s="158">
        <f>D29</f>
        <v>383530.16666666669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4</v>
      </c>
      <c r="D14" s="31">
        <f t="shared" si="1"/>
        <v>44.166666666666664</v>
      </c>
      <c r="F14" s="161" t="s">
        <v>38</v>
      </c>
      <c r="G14" s="162"/>
      <c r="H14" s="163">
        <f>D54</f>
        <v>57755.25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325774.91666666669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0">
        <v>2406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383530.16666666669</v>
      </c>
      <c r="F29" s="179" t="s">
        <v>54</v>
      </c>
      <c r="G29" s="180"/>
      <c r="H29" s="183">
        <f>H15-H16-H17-H18-H19-H20-H22-H23-H24+H26+H27</f>
        <v>323368.91666666669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11">
        <f>F34*G34</f>
        <v>59000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211">
        <f>F35*G35</f>
        <v>4000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211">
        <f t="shared" si="2"/>
        <v>500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11">
        <f t="shared" si="2"/>
        <v>100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1">
        <v>64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195">
        <v>87905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195">
        <v>171965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323534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4</v>
      </c>
      <c r="D50" s="12">
        <f>C50*1.5</f>
        <v>6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165.08333333331393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46242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5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1">
        <f t="shared" ref="H34:H39" si="2"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>
        <f t="shared" si="2"/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87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46242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273</v>
      </c>
      <c r="D6" s="13">
        <f t="shared" ref="D6:D28" si="1">C6*L6</f>
        <v>207753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9</v>
      </c>
      <c r="D7" s="13">
        <f t="shared" si="1"/>
        <v>7029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12</v>
      </c>
      <c r="D9" s="13">
        <f t="shared" si="1"/>
        <v>8796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11</v>
      </c>
      <c r="D13" s="48">
        <f t="shared" si="1"/>
        <v>3377</v>
      </c>
      <c r="F13" s="156" t="s">
        <v>36</v>
      </c>
      <c r="G13" s="157"/>
      <c r="H13" s="158">
        <f>D29</f>
        <v>226955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33465.75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193489.25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1350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199">
        <v>67927</v>
      </c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226955</v>
      </c>
      <c r="F29" s="179" t="s">
        <v>54</v>
      </c>
      <c r="G29" s="180"/>
      <c r="H29" s="183">
        <f>H15-H16-H17-H18-H19-H20-H22-H23-H24+H26+H27</f>
        <v>260066.25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211">
        <f>F34*G34</f>
        <v>100000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211">
        <f>F35*G35</f>
        <v>159500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211">
        <f t="shared" si="2"/>
        <v>400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3</v>
      </c>
      <c r="D42" s="12">
        <f>C42*2.25</f>
        <v>6.75</v>
      </c>
      <c r="F42" s="39" t="s">
        <v>78</v>
      </c>
      <c r="G42" s="211">
        <v>52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13</v>
      </c>
      <c r="D49" s="12">
        <f>C49*42</f>
        <v>546</v>
      </c>
      <c r="F49" s="236" t="s">
        <v>85</v>
      </c>
      <c r="G49" s="183">
        <f>H34+H35+H36+H37+H38+H39+H40+H41+G42+H44+H45+H46+H47+H48</f>
        <v>259952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4</v>
      </c>
      <c r="D50" s="12">
        <f>C50*1.5</f>
        <v>6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-114.25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46242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280</v>
      </c>
      <c r="D6" s="13">
        <f t="shared" ref="D6:D28" si="1">C6*L6</f>
        <v>213080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6</v>
      </c>
      <c r="D7" s="13">
        <f t="shared" si="1"/>
        <v>4686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108</v>
      </c>
      <c r="D9" s="13">
        <f t="shared" si="1"/>
        <v>79164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2</v>
      </c>
      <c r="D10" s="13">
        <f t="shared" si="1"/>
        <v>2064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2</v>
      </c>
      <c r="D12" s="48">
        <f t="shared" si="1"/>
        <v>1984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7</v>
      </c>
      <c r="D13" s="48">
        <f t="shared" si="1"/>
        <v>2149</v>
      </c>
      <c r="F13" s="156" t="s">
        <v>36</v>
      </c>
      <c r="G13" s="157"/>
      <c r="H13" s="158">
        <f>D29</f>
        <v>303138.04166666669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</v>
      </c>
      <c r="D14" s="31">
        <f t="shared" si="1"/>
        <v>11.041666666666666</v>
      </c>
      <c r="F14" s="161" t="s">
        <v>38</v>
      </c>
      <c r="G14" s="162"/>
      <c r="H14" s="163">
        <f>D54</f>
        <v>26834.25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276303.79166666669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1944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303138.04166666669</v>
      </c>
      <c r="F29" s="179" t="s">
        <v>54</v>
      </c>
      <c r="G29" s="180"/>
      <c r="H29" s="183">
        <f>H15-H16-H17-H18-H19-H20-H22-H23-H24+H26+H27</f>
        <v>274359.79166666669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211">
        <f>F34*G34</f>
        <v>37000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211">
        <f>F35*G35</f>
        <v>12500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211">
        <f t="shared" si="2"/>
        <v>600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</v>
      </c>
      <c r="D42" s="12">
        <f>C42*2.25</f>
        <v>2.25</v>
      </c>
      <c r="F42" s="39" t="s">
        <v>78</v>
      </c>
      <c r="G42" s="211">
        <v>15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195">
        <v>224164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</v>
      </c>
      <c r="D46" s="12">
        <f>C46*1.5</f>
        <v>1.5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4</v>
      </c>
      <c r="D49" s="12">
        <f>C49*42</f>
        <v>168</v>
      </c>
      <c r="F49" s="236" t="s">
        <v>85</v>
      </c>
      <c r="G49" s="183">
        <f>H34+H35+H36+H37+H38+H39+H40+H41+G42+H44+H45+H46+H47+H48</f>
        <v>274329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3</v>
      </c>
      <c r="D50" s="12">
        <f>C50*1.5</f>
        <v>4.5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-30.791666666686069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46244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323</v>
      </c>
      <c r="D6" s="13">
        <f t="shared" ref="D6:D28" si="1">C6*L6</f>
        <v>245803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</v>
      </c>
      <c r="D7" s="13">
        <f t="shared" si="1"/>
        <v>1562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8</v>
      </c>
      <c r="D9" s="13">
        <f t="shared" si="1"/>
        <v>5864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6</v>
      </c>
      <c r="D13" s="48">
        <f t="shared" si="1"/>
        <v>1842</v>
      </c>
      <c r="F13" s="156" t="s">
        <v>36</v>
      </c>
      <c r="G13" s="157"/>
      <c r="H13" s="158">
        <f>D29</f>
        <v>256140.29166666666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7</v>
      </c>
      <c r="D14" s="31">
        <f t="shared" si="1"/>
        <v>77.291666666666657</v>
      </c>
      <c r="F14" s="161" t="s">
        <v>38</v>
      </c>
      <c r="G14" s="162"/>
      <c r="H14" s="163">
        <f>D54</f>
        <v>49918.5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206221.79166666666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1296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5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256140.29166666666</v>
      </c>
      <c r="F29" s="179" t="s">
        <v>54</v>
      </c>
      <c r="G29" s="180"/>
      <c r="H29" s="183">
        <f>H15-H16-H17-H18-H19-H20-H22-H23-H24+H26+H27+H28</f>
        <v>204925.79166666666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211">
        <f t="shared" ref="H34:H39" si="2">F34*G34</f>
        <v>56000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211">
        <f t="shared" si="2"/>
        <v>10500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211">
        <f t="shared" si="2"/>
        <v>1700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11">
        <f t="shared" si="2"/>
        <v>100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48</v>
      </c>
      <c r="D42" s="12">
        <f>C42*2.25</f>
        <v>108</v>
      </c>
      <c r="F42" s="39" t="s">
        <v>78</v>
      </c>
      <c r="G42" s="211">
        <v>47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195">
        <v>131436.5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195">
        <v>5000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13</v>
      </c>
      <c r="D46" s="12">
        <f>C46*1.5</f>
        <v>19.5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9</v>
      </c>
      <c r="D49" s="12">
        <f>C49*42</f>
        <v>378</v>
      </c>
      <c r="F49" s="236" t="s">
        <v>85</v>
      </c>
      <c r="G49" s="183">
        <f>H34+H35+H36+H37+H38+H39+H40+H41+G42+H44+H45+H46+H47+H48</f>
        <v>204783.5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11</v>
      </c>
      <c r="D50" s="12">
        <f>C50*1.5</f>
        <v>16.5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-142.29166666665697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46244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361</v>
      </c>
      <c r="D6" s="13">
        <f t="shared" ref="D6:D28" si="1">C6*L6</f>
        <v>274721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</v>
      </c>
      <c r="D7" s="13">
        <f t="shared" si="1"/>
        <v>1562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125</v>
      </c>
      <c r="D9" s="13">
        <f t="shared" si="1"/>
        <v>91625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f>6+1</f>
        <v>7</v>
      </c>
      <c r="D12" s="48">
        <f t="shared" si="1"/>
        <v>6944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16</v>
      </c>
      <c r="D13" s="48">
        <f t="shared" si="1"/>
        <v>4912</v>
      </c>
      <c r="F13" s="156" t="s">
        <v>36</v>
      </c>
      <c r="G13" s="157"/>
      <c r="H13" s="158">
        <f>D29</f>
        <v>380601.70833333331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17</v>
      </c>
      <c r="D14" s="31">
        <f t="shared" si="1"/>
        <v>187.70833333333331</v>
      </c>
      <c r="F14" s="161" t="s">
        <v>38</v>
      </c>
      <c r="G14" s="162"/>
      <c r="H14" s="163">
        <f>D54</f>
        <v>55885.5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324716.20833333331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0">
        <v>1974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380601.70833333331</v>
      </c>
      <c r="F29" s="179" t="s">
        <v>54</v>
      </c>
      <c r="G29" s="180"/>
      <c r="H29" s="183">
        <f>H15-H16-H17-H18-H19-H20-H22-H23-H24+H26+H27</f>
        <v>322742.20833333331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211">
        <f>F34*G34</f>
        <v>86000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211">
        <f>F35*G35</f>
        <v>226500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211">
        <f t="shared" si="2"/>
        <v>9200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2</v>
      </c>
      <c r="D42" s="12">
        <f>C42*2.25</f>
        <v>4.5</v>
      </c>
      <c r="F42" s="39" t="s">
        <v>78</v>
      </c>
      <c r="G42" s="211">
        <v>50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10</v>
      </c>
      <c r="D49" s="12">
        <f>C49*42</f>
        <v>420</v>
      </c>
      <c r="F49" s="236" t="s">
        <v>85</v>
      </c>
      <c r="G49" s="183">
        <f>H34+H35+H36+H37+H38+H39+H40+H41+G42+H44+H45+H46+H47+H48</f>
        <v>321800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13</v>
      </c>
      <c r="D50" s="12">
        <f>C50*1.5</f>
        <v>19.5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-942.20833333331393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46244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484</v>
      </c>
      <c r="D6" s="13">
        <f t="shared" ref="D6:D28" si="1">C6*L6</f>
        <v>368324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26</v>
      </c>
      <c r="D7" s="13">
        <f t="shared" si="1"/>
        <v>20306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92</v>
      </c>
      <c r="D9" s="13">
        <f t="shared" si="1"/>
        <v>67436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12</v>
      </c>
      <c r="D13" s="48">
        <f t="shared" si="1"/>
        <v>3684</v>
      </c>
      <c r="F13" s="156" t="s">
        <v>36</v>
      </c>
      <c r="G13" s="157"/>
      <c r="H13" s="158">
        <f>D29</f>
        <v>459783.125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3</v>
      </c>
      <c r="D14" s="31">
        <f t="shared" si="1"/>
        <v>33.125</v>
      </c>
      <c r="F14" s="161" t="s">
        <v>38</v>
      </c>
      <c r="G14" s="162"/>
      <c r="H14" s="163">
        <f>D54</f>
        <v>76749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383034.125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3042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>
        <v>50</v>
      </c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459783.125</v>
      </c>
      <c r="F29" s="179" t="s">
        <v>54</v>
      </c>
      <c r="G29" s="180"/>
      <c r="H29" s="183">
        <f>H15-H16-H17-H18-H19-H20-H22-H23-H24+H26+H27</f>
        <v>379942.125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11">
        <f>F34*G34</f>
        <v>127000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211">
        <f>F35*G35</f>
        <v>72000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211">
        <f t="shared" si="2"/>
        <v>1100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11">
        <f t="shared" si="2"/>
        <v>250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58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195">
        <v>98032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195">
        <v>81476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379916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-26.125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402</v>
      </c>
      <c r="D6" s="13">
        <f t="shared" ref="D6:D28" si="1">C6*L6</f>
        <v>305922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3</v>
      </c>
      <c r="D7" s="13">
        <f t="shared" si="1"/>
        <v>2343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2</v>
      </c>
      <c r="D8" s="13">
        <f t="shared" si="1"/>
        <v>2186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30</v>
      </c>
      <c r="D9" s="13">
        <f t="shared" si="1"/>
        <v>21990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4</v>
      </c>
      <c r="D10" s="13">
        <f t="shared" si="1"/>
        <v>4128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8</v>
      </c>
      <c r="D13" s="48">
        <f t="shared" si="1"/>
        <v>2456</v>
      </c>
      <c r="F13" s="156" t="s">
        <v>36</v>
      </c>
      <c r="G13" s="157"/>
      <c r="H13" s="158">
        <f>D29</f>
        <v>346704.58333333331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14</v>
      </c>
      <c r="D14" s="31">
        <f t="shared" si="1"/>
        <v>154.58333333333331</v>
      </c>
      <c r="F14" s="161" t="s">
        <v>38</v>
      </c>
      <c r="G14" s="162"/>
      <c r="H14" s="163">
        <f>D54</f>
        <v>49626.75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297077.83333333331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193">
        <v>97987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>
        <v>6</v>
      </c>
      <c r="D28" s="48">
        <f t="shared" si="1"/>
        <v>4866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346704.58333333331</v>
      </c>
      <c r="F29" s="179" t="s">
        <v>54</v>
      </c>
      <c r="G29" s="180"/>
      <c r="H29" s="183">
        <f>H15-H16-H17-H18-H19-H20-H22-H23-H24+H26+H27+H28</f>
        <v>199090.83333333331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211">
        <f t="shared" ref="H34:H39" si="2">F34*G34</f>
        <v>38000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211">
        <f t="shared" si="2"/>
        <v>6000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25</v>
      </c>
      <c r="D42" s="12">
        <f>C42*2.25</f>
        <v>56.25</v>
      </c>
      <c r="F42" s="39" t="s">
        <v>78</v>
      </c>
      <c r="G42" s="211">
        <v>22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195">
        <v>70887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135</v>
      </c>
      <c r="G45" s="87"/>
      <c r="H45" s="195">
        <v>11131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195">
        <v>71799</v>
      </c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197839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6</v>
      </c>
      <c r="D50" s="12">
        <f>C50*1.5</f>
        <v>9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-1251.8333333333139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344</v>
      </c>
      <c r="D6" s="13">
        <f t="shared" ref="D6:D28" si="1">C6*L6</f>
        <v>261784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3</v>
      </c>
      <c r="D7" s="13">
        <f t="shared" si="1"/>
        <v>2343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23</v>
      </c>
      <c r="D9" s="13">
        <f t="shared" si="1"/>
        <v>16859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10</v>
      </c>
      <c r="D13" s="48">
        <f t="shared" si="1"/>
        <v>3070</v>
      </c>
      <c r="F13" s="156" t="s">
        <v>36</v>
      </c>
      <c r="G13" s="157"/>
      <c r="H13" s="158">
        <f>D29</f>
        <v>284254.75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18</v>
      </c>
      <c r="D14" s="31">
        <f t="shared" si="1"/>
        <v>198.75</v>
      </c>
      <c r="F14" s="161" t="s">
        <v>38</v>
      </c>
      <c r="G14" s="162"/>
      <c r="H14" s="163">
        <f>D54</f>
        <v>48858.75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235396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1806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284254.75</v>
      </c>
      <c r="F29" s="179" t="s">
        <v>54</v>
      </c>
      <c r="G29" s="180"/>
      <c r="H29" s="183">
        <f>H15-H16-H17-H18-H19-H20-H22-H23-H24+H26+H27</f>
        <v>233590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211">
        <f>F34*G34</f>
        <v>40000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211">
        <f>F35*G35</f>
        <v>2000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211">
        <f t="shared" si="2"/>
        <v>300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3</v>
      </c>
      <c r="D42" s="12">
        <f>C42*2.25</f>
        <v>6.75</v>
      </c>
      <c r="F42" s="39" t="s">
        <v>78</v>
      </c>
      <c r="G42" s="211">
        <v>20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195">
        <v>124685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195">
        <v>70347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9</v>
      </c>
      <c r="D49" s="12">
        <f>C49*42</f>
        <v>378</v>
      </c>
      <c r="F49" s="236" t="s">
        <v>85</v>
      </c>
      <c r="G49" s="183">
        <f>H34+H35+H36+H37+H38+H39+H40+H41+G42+H44+H45+H46+H47+H48</f>
        <v>237352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19</v>
      </c>
      <c r="D50" s="12">
        <f>C50*1.5</f>
        <v>28.5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3762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418</v>
      </c>
      <c r="D6" s="13">
        <f t="shared" ref="D6:D28" si="1">C6*L6</f>
        <v>318098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30</v>
      </c>
      <c r="D9" s="13">
        <f t="shared" si="1"/>
        <v>21990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15</v>
      </c>
      <c r="D13" s="48">
        <f t="shared" si="1"/>
        <v>4605</v>
      </c>
      <c r="F13" s="156" t="s">
        <v>36</v>
      </c>
      <c r="G13" s="157"/>
      <c r="H13" s="158">
        <f>D29</f>
        <v>345718.125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3</v>
      </c>
      <c r="D14" s="31">
        <f t="shared" si="1"/>
        <v>33.125</v>
      </c>
      <c r="F14" s="161" t="s">
        <v>38</v>
      </c>
      <c r="G14" s="162"/>
      <c r="H14" s="163">
        <f>D54</f>
        <v>51191.25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294526.875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1296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345718.125</v>
      </c>
      <c r="F29" s="179" t="s">
        <v>54</v>
      </c>
      <c r="G29" s="180"/>
      <c r="H29" s="183">
        <f>H15-H16-H17-H18-H19-H20-H22-H23-H24+H26+H27</f>
        <v>293230.875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211">
        <f>F34*G34</f>
        <v>114000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11">
        <f>F35*G35</f>
        <v>35500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211">
        <f t="shared" si="2"/>
        <v>1100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1">
        <v>663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195">
        <v>141165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2</v>
      </c>
      <c r="D49" s="12">
        <f>C49*42</f>
        <v>84</v>
      </c>
      <c r="F49" s="236" t="s">
        <v>85</v>
      </c>
      <c r="G49" s="183">
        <f>H34+H35+H36+H37+H38+H39+H40+H41+G42+H44+H45+H46+H47+H48</f>
        <v>292478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21</v>
      </c>
      <c r="D50" s="12">
        <f>C50*1.5</f>
        <v>31.5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-752.875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46246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632</v>
      </c>
      <c r="D6" s="13">
        <f t="shared" ref="D6:D28" si="1">C6*L6</f>
        <v>480952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10</v>
      </c>
      <c r="D7" s="13">
        <f t="shared" si="1"/>
        <v>7810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32</v>
      </c>
      <c r="D9" s="13">
        <f t="shared" si="1"/>
        <v>23456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9</v>
      </c>
      <c r="D13" s="48">
        <f t="shared" si="1"/>
        <v>2763</v>
      </c>
      <c r="F13" s="156" t="s">
        <v>36</v>
      </c>
      <c r="G13" s="157"/>
      <c r="H13" s="158">
        <f>D29</f>
        <v>519146.41666666669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10</v>
      </c>
      <c r="D14" s="31">
        <f t="shared" si="1"/>
        <v>110.41666666666666</v>
      </c>
      <c r="F14" s="161" t="s">
        <v>38</v>
      </c>
      <c r="G14" s="162"/>
      <c r="H14" s="163">
        <f>D54</f>
        <v>77385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441761.41666666669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3402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195">
        <v>82890</v>
      </c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>
        <v>5</v>
      </c>
      <c r="D28" s="48">
        <f t="shared" si="1"/>
        <v>4055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519146.41666666669</v>
      </c>
      <c r="F29" s="179" t="s">
        <v>54</v>
      </c>
      <c r="G29" s="180"/>
      <c r="H29" s="183">
        <f>H15-H16-H17-H18-H19-H20-H22-H23-H24+H26+H27+H28</f>
        <v>521249.41666666669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211">
        <f t="shared" ref="H34:H39" si="2">F34*G34</f>
        <v>77000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211">
        <f t="shared" si="2"/>
        <v>350000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11">
        <f t="shared" si="2"/>
        <v>100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211">
        <f t="shared" si="2"/>
        <v>20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1">
        <v>109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95">
        <v>11000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195">
        <v>82890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9</v>
      </c>
      <c r="D49" s="12">
        <f>C49*42</f>
        <v>378</v>
      </c>
      <c r="F49" s="236" t="s">
        <v>85</v>
      </c>
      <c r="G49" s="183">
        <f>H34+H35+H36+H37+H38+H39+H40+H41+G42+H44+H45+H46+H47+H48</f>
        <v>521119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13</v>
      </c>
      <c r="D50" s="12">
        <f>C50*1.5</f>
        <v>19.5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-130.41666666668607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46246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362</v>
      </c>
      <c r="D6" s="13">
        <f t="shared" ref="D6:D28" si="1">C6*L6</f>
        <v>275482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10</v>
      </c>
      <c r="D9" s="13">
        <f t="shared" si="1"/>
        <v>7330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10</v>
      </c>
      <c r="D13" s="48">
        <f t="shared" si="1"/>
        <v>3070</v>
      </c>
      <c r="F13" s="156" t="s">
        <v>36</v>
      </c>
      <c r="G13" s="157"/>
      <c r="H13" s="158">
        <f>D29</f>
        <v>286025.54166666669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13</v>
      </c>
      <c r="D14" s="31">
        <f t="shared" si="1"/>
        <v>143.54166666666666</v>
      </c>
      <c r="F14" s="161" t="s">
        <v>38</v>
      </c>
      <c r="G14" s="162"/>
      <c r="H14" s="163">
        <f>D54</f>
        <v>37234.5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248791.04166666669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1944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286025.54166666669</v>
      </c>
      <c r="F29" s="179" t="s">
        <v>54</v>
      </c>
      <c r="G29" s="180"/>
      <c r="H29" s="183">
        <f>H15-H16-H17-H18-H19-H20-H22-H23-H24+H26+H27</f>
        <v>246847.04166666669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11">
        <f>F34*G34</f>
        <v>127000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211">
        <f>F35*G35</f>
        <v>117500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211">
        <f t="shared" si="2"/>
        <v>100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211">
        <f t="shared" si="2"/>
        <v>250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11">
        <f t="shared" si="2"/>
        <v>20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182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8</v>
      </c>
      <c r="D49" s="12">
        <f>C49*42</f>
        <v>336</v>
      </c>
      <c r="F49" s="236" t="s">
        <v>85</v>
      </c>
      <c r="G49" s="183">
        <f>H34+H35+H36+H37+H38+H39+H40+H41+G42+H44+H45+H46+H47+H48</f>
        <v>245052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13</v>
      </c>
      <c r="D50" s="12">
        <f>C50*1.5</f>
        <v>19.5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-1795.0416666666861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46246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292</v>
      </c>
      <c r="D6" s="13">
        <f t="shared" ref="D6:D28" si="1">C6*L6</f>
        <v>222212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2</v>
      </c>
      <c r="D8" s="13">
        <f t="shared" si="1"/>
        <v>2186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51</v>
      </c>
      <c r="D9" s="13">
        <f t="shared" si="1"/>
        <v>37383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2</v>
      </c>
      <c r="D11" s="13">
        <f t="shared" si="1"/>
        <v>2340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f>3+1+1</f>
        <v>5</v>
      </c>
      <c r="D12" s="48">
        <f t="shared" si="1"/>
        <v>4960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7</v>
      </c>
      <c r="D13" s="48">
        <f t="shared" si="1"/>
        <v>2149</v>
      </c>
      <c r="F13" s="156" t="s">
        <v>36</v>
      </c>
      <c r="G13" s="157"/>
      <c r="H13" s="158">
        <f>D29</f>
        <v>271982.5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12</v>
      </c>
      <c r="D14" s="31">
        <f t="shared" si="1"/>
        <v>132.5</v>
      </c>
      <c r="F14" s="161" t="s">
        <v>38</v>
      </c>
      <c r="G14" s="162"/>
      <c r="H14" s="163">
        <f>D54</f>
        <v>39660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>
        <v>1</v>
      </c>
      <c r="D15" s="31">
        <f t="shared" si="1"/>
        <v>620</v>
      </c>
      <c r="F15" s="166" t="s">
        <v>39</v>
      </c>
      <c r="G15" s="157"/>
      <c r="H15" s="167">
        <f>H13-H14</f>
        <v>232322.5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720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271982.5</v>
      </c>
      <c r="F29" s="179" t="s">
        <v>54</v>
      </c>
      <c r="G29" s="180"/>
      <c r="H29" s="183">
        <f>H15-H16-H17-H18-H19-H20-H22-H23-H24+H26+H27</f>
        <v>231602.5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211">
        <f>F34*G34</f>
        <v>177000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211">
        <f>F35*G35</f>
        <v>53500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211">
        <f t="shared" si="2"/>
        <v>150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1">
        <f t="shared" si="2"/>
        <v>20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1">
        <v>291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10</v>
      </c>
      <c r="D44" s="12">
        <f>C44*120</f>
        <v>1200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3</v>
      </c>
      <c r="D49" s="12">
        <f>C49*42</f>
        <v>126</v>
      </c>
      <c r="F49" s="236" t="s">
        <v>85</v>
      </c>
      <c r="G49" s="183">
        <f>H34+H35+H36+H37+H38+H39+H40+H41+G42+H44+H45+H46+H47+H48</f>
        <v>230961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23</v>
      </c>
      <c r="D50" s="12">
        <f>C50*1.5</f>
        <v>34.5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-641.5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347</v>
      </c>
      <c r="D6" s="13">
        <f t="shared" ref="D6:D28" si="1">C6*L6</f>
        <v>264067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8</v>
      </c>
      <c r="D7" s="13">
        <f t="shared" si="1"/>
        <v>6248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55</v>
      </c>
      <c r="D8" s="13">
        <f t="shared" si="1"/>
        <v>60115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20</v>
      </c>
      <c r="D9" s="13">
        <f t="shared" si="1"/>
        <v>14660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3</v>
      </c>
      <c r="D10" s="13">
        <f t="shared" si="1"/>
        <v>3096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2</v>
      </c>
      <c r="D11" s="13">
        <f t="shared" si="1"/>
        <v>2340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f>1+2</f>
        <v>3</v>
      </c>
      <c r="D12" s="48">
        <f t="shared" si="1"/>
        <v>2976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3</v>
      </c>
      <c r="D13" s="48">
        <f t="shared" si="1"/>
        <v>921</v>
      </c>
      <c r="F13" s="156" t="s">
        <v>36</v>
      </c>
      <c r="G13" s="157"/>
      <c r="H13" s="158">
        <f>D29</f>
        <v>354423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53400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301023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 t="s">
        <v>132</v>
      </c>
      <c r="G22" s="72">
        <v>11915</v>
      </c>
      <c r="H22" s="193">
        <v>62655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354423</v>
      </c>
      <c r="F29" s="179" t="s">
        <v>54</v>
      </c>
      <c r="G29" s="180"/>
      <c r="H29" s="183">
        <f>H15-H16-H17-H18-H19-H20-H22-H23-H24+H26+H27+H28</f>
        <v>238368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111</v>
      </c>
      <c r="H34" s="211">
        <f t="shared" ref="H34:H39" si="2">F34*G34</f>
        <v>111000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38</v>
      </c>
      <c r="H35" s="211">
        <f t="shared" si="2"/>
        <v>19000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1">
        <f t="shared" si="2"/>
        <v>200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22</v>
      </c>
      <c r="H37" s="211">
        <f t="shared" si="2"/>
        <v>2200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</v>
      </c>
      <c r="H38" s="211">
        <f t="shared" si="2"/>
        <v>200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14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6</v>
      </c>
      <c r="D41" s="12">
        <f>C41*84</f>
        <v>504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8</v>
      </c>
      <c r="D42" s="12">
        <f>C42*2.25</f>
        <v>18</v>
      </c>
      <c r="F42" s="39" t="s">
        <v>78</v>
      </c>
      <c r="G42" s="211">
        <v>72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62</v>
      </c>
      <c r="D44" s="12">
        <f>C44*120</f>
        <v>7440</v>
      </c>
      <c r="F44" s="37" t="s">
        <v>148</v>
      </c>
      <c r="G44" s="87" t="s">
        <v>173</v>
      </c>
      <c r="H44" s="195">
        <v>105758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42</v>
      </c>
      <c r="D45" s="12">
        <f>C45*84</f>
        <v>3528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1</v>
      </c>
      <c r="D49" s="12">
        <f>C49*42</f>
        <v>42</v>
      </c>
      <c r="F49" s="236" t="s">
        <v>85</v>
      </c>
      <c r="G49" s="183">
        <f>H34+H35+H36+H37+H38+H39+H40+H41+G42+H44+H45+H46+H47+H48</f>
        <v>238430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3</v>
      </c>
      <c r="D50" s="12">
        <f>C50*1.5</f>
        <v>4.5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62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53400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345</v>
      </c>
      <c r="D6" s="13">
        <f t="shared" ref="D6:D28" si="1">C6*L6</f>
        <v>262545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10</v>
      </c>
      <c r="D7" s="13">
        <f t="shared" si="1"/>
        <v>7810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26</v>
      </c>
      <c r="D9" s="13">
        <f t="shared" si="1"/>
        <v>19058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1</v>
      </c>
      <c r="D10" s="13">
        <f t="shared" si="1"/>
        <v>1032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8</v>
      </c>
      <c r="D13" s="48">
        <f t="shared" si="1"/>
        <v>2456</v>
      </c>
      <c r="F13" s="156" t="s">
        <v>36</v>
      </c>
      <c r="G13" s="157"/>
      <c r="H13" s="158">
        <f>D29</f>
        <v>293011.41666666669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10</v>
      </c>
      <c r="D14" s="31">
        <f t="shared" si="1"/>
        <v>110.41666666666666</v>
      </c>
      <c r="F14" s="161" t="s">
        <v>38</v>
      </c>
      <c r="G14" s="162"/>
      <c r="H14" s="163">
        <f>D54</f>
        <v>43533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249478.41666666669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1470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293011.41666666669</v>
      </c>
      <c r="F29" s="179" t="s">
        <v>54</v>
      </c>
      <c r="G29" s="180"/>
      <c r="H29" s="183">
        <f>H15-H16-H17-H18-H19-H20-H22-H23-H24+H26+H27</f>
        <v>248008.41666666669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140</v>
      </c>
      <c r="H34" s="211">
        <f>F34*G34</f>
        <v>140000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11">
        <f>F35*G35</f>
        <v>35500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11">
        <f t="shared" ref="H36:H39" si="2">F36*G36</f>
        <v>600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377</v>
      </c>
      <c r="D37" s="12">
        <f>C37*111</f>
        <v>41847</v>
      </c>
      <c r="F37" s="12">
        <v>100</v>
      </c>
      <c r="G37" s="39">
        <v>12</v>
      </c>
      <c r="H37" s="211">
        <f t="shared" si="2"/>
        <v>1200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2</v>
      </c>
      <c r="D42" s="12">
        <f>C42*2.25</f>
        <v>4.5</v>
      </c>
      <c r="F42" s="39" t="s">
        <v>78</v>
      </c>
      <c r="G42" s="211">
        <v>26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148</v>
      </c>
      <c r="G44" s="87" t="s">
        <v>174</v>
      </c>
      <c r="H44" s="195">
        <v>70074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6</v>
      </c>
      <c r="D49" s="12">
        <f>C49*42</f>
        <v>252</v>
      </c>
      <c r="F49" s="236" t="s">
        <v>85</v>
      </c>
      <c r="G49" s="183">
        <f>H34+H35+H36+H37+H38+H39+H40+H41+G42+H44+H45+H46+H47+H48</f>
        <v>247450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2</v>
      </c>
      <c r="D50" s="12">
        <f>C50*1.5</f>
        <v>3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-558.41666666668607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43533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369</v>
      </c>
      <c r="D6" s="13">
        <f t="shared" ref="D6:D28" si="1">C6*L6</f>
        <v>280809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12</v>
      </c>
      <c r="D7" s="13">
        <f t="shared" si="1"/>
        <v>9372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108</v>
      </c>
      <c r="D9" s="13">
        <f t="shared" si="1"/>
        <v>79164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2</v>
      </c>
      <c r="D11" s="13">
        <f t="shared" si="1"/>
        <v>2340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16</v>
      </c>
      <c r="D13" s="48">
        <f t="shared" si="1"/>
        <v>4912</v>
      </c>
      <c r="F13" s="156" t="s">
        <v>36</v>
      </c>
      <c r="G13" s="157"/>
      <c r="H13" s="158">
        <f>D29</f>
        <v>391216.08333333331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2</v>
      </c>
      <c r="D14" s="31">
        <f t="shared" si="1"/>
        <v>22.083333333333332</v>
      </c>
      <c r="F14" s="161" t="s">
        <v>38</v>
      </c>
      <c r="G14" s="162"/>
      <c r="H14" s="163">
        <f>D54</f>
        <v>54899.25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336316.83333333331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0">
        <v>2736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5">
        <v>50</v>
      </c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172</v>
      </c>
      <c r="C21" s="10">
        <v>10</v>
      </c>
      <c r="D21" s="48">
        <f t="shared" si="1"/>
        <v>11020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1102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391216.08333333331</v>
      </c>
      <c r="F29" s="179" t="s">
        <v>54</v>
      </c>
      <c r="G29" s="180"/>
      <c r="H29" s="183">
        <f>H15-H16-H17-H18-H19-H20-H22-H23-H24+H26+H27</f>
        <v>333530.83333333331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211">
        <f>F34*G34</f>
        <v>18000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14</v>
      </c>
      <c r="H35" s="211">
        <f>F35*G35</f>
        <v>7000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461</v>
      </c>
      <c r="D37" s="12">
        <f>C37*111</f>
        <v>51171</v>
      </c>
      <c r="F37" s="12">
        <v>100</v>
      </c>
      <c r="G37" s="39">
        <v>39</v>
      </c>
      <c r="H37" s="211">
        <f t="shared" si="2"/>
        <v>3900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</v>
      </c>
      <c r="D42" s="12">
        <f>C42*2.25</f>
        <v>2.25</v>
      </c>
      <c r="F42" s="39" t="s">
        <v>78</v>
      </c>
      <c r="G42" s="211">
        <v>20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175</v>
      </c>
      <c r="H44" s="195">
        <v>219967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176</v>
      </c>
      <c r="H45" s="195">
        <v>82199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22</v>
      </c>
      <c r="D46" s="12">
        <f>C46*1.5</f>
        <v>33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4</v>
      </c>
      <c r="D49" s="12">
        <f>C49*42</f>
        <v>168</v>
      </c>
      <c r="F49" s="236" t="s">
        <v>85</v>
      </c>
      <c r="G49" s="183">
        <f>H34+H35+H36+H37+H38+H39+H40+H41+G42+H44+H45+H46+H47+H48</f>
        <v>331136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18</v>
      </c>
      <c r="D50" s="12">
        <f>C50*1.5</f>
        <v>27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-2394.8333333333139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54899.25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46248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412</v>
      </c>
      <c r="D6" s="13">
        <f t="shared" ref="D6:D28" si="1">C6*L6</f>
        <v>313532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10</v>
      </c>
      <c r="D7" s="13">
        <f t="shared" si="1"/>
        <v>7810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14</v>
      </c>
      <c r="D9" s="13">
        <f t="shared" si="1"/>
        <v>10262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2</v>
      </c>
      <c r="D13" s="48">
        <f t="shared" si="1"/>
        <v>614</v>
      </c>
      <c r="F13" s="156" t="s">
        <v>36</v>
      </c>
      <c r="G13" s="157"/>
      <c r="H13" s="158">
        <f>D29</f>
        <v>340635.625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15</v>
      </c>
      <c r="D14" s="31">
        <f t="shared" si="1"/>
        <v>165.625</v>
      </c>
      <c r="F14" s="161" t="s">
        <v>38</v>
      </c>
      <c r="G14" s="162"/>
      <c r="H14" s="163">
        <f>D54</f>
        <v>45124.5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>
        <v>1</v>
      </c>
      <c r="D15" s="31">
        <f t="shared" si="1"/>
        <v>620</v>
      </c>
      <c r="F15" s="166" t="s">
        <v>39</v>
      </c>
      <c r="G15" s="157"/>
      <c r="H15" s="167">
        <f>H13-H14</f>
        <v>295511.125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0">
        <v>1326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>
        <v>126.93</v>
      </c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>
        <v>5</v>
      </c>
      <c r="D28" s="48">
        <f t="shared" si="1"/>
        <v>4055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340635.625</v>
      </c>
      <c r="F29" s="179" t="s">
        <v>54</v>
      </c>
      <c r="G29" s="180"/>
      <c r="H29" s="183">
        <f>H15-H16-H17-H18-H19-H20-H22-H23-H24+H26+H27+H28</f>
        <v>294058.19500000001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95</v>
      </c>
      <c r="H34" s="211">
        <f t="shared" ref="H34:H39" si="2">F34*G34</f>
        <v>95000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17</v>
      </c>
      <c r="H35" s="211">
        <f t="shared" si="2"/>
        <v>8500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367</v>
      </c>
      <c r="D37" s="12">
        <f>C37*111</f>
        <v>40737</v>
      </c>
      <c r="F37" s="12">
        <v>100</v>
      </c>
      <c r="G37" s="39">
        <v>6</v>
      </c>
      <c r="H37" s="211">
        <f t="shared" si="2"/>
        <v>600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5</v>
      </c>
      <c r="H38" s="211">
        <f t="shared" si="2"/>
        <v>250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14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3</v>
      </c>
      <c r="D41" s="12">
        <f>C41*84</f>
        <v>252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22</v>
      </c>
      <c r="D42" s="12">
        <f>C42*2.25</f>
        <v>49.5</v>
      </c>
      <c r="F42" s="39" t="s">
        <v>78</v>
      </c>
      <c r="G42" s="211">
        <v>95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177</v>
      </c>
      <c r="H44" s="195">
        <v>146466.5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133</v>
      </c>
      <c r="G45" s="108" t="s">
        <v>134</v>
      </c>
      <c r="H45" s="195">
        <v>32500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 t="s">
        <v>135</v>
      </c>
      <c r="G46" s="62"/>
      <c r="H46" s="195">
        <v>10000</v>
      </c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18</v>
      </c>
      <c r="D49" s="12">
        <f>C49*42</f>
        <v>756</v>
      </c>
      <c r="F49" s="236" t="s">
        <v>85</v>
      </c>
      <c r="G49" s="183">
        <f>H34+H35+H36+H37+H38+H39+H40+H41+G42+H44+H45+H46+H47+H48</f>
        <v>293411.5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31</v>
      </c>
      <c r="D50" s="12">
        <f>C50*1.5</f>
        <v>46.5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-646.69500000000698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45124.5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topLeftCell="A19" zoomScaleNormal="100" zoomScaleSheetLayoutView="85" workbookViewId="0">
      <selection activeCell="A54" sqref="A54:C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46248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288</v>
      </c>
      <c r="D6" s="13">
        <f t="shared" ref="D6:D28" si="1">C6*L6</f>
        <v>219168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</v>
      </c>
      <c r="D7" s="13">
        <f t="shared" si="1"/>
        <v>1562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10</v>
      </c>
      <c r="D9" s="13">
        <f t="shared" si="1"/>
        <v>7330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9</v>
      </c>
      <c r="D13" s="48">
        <f t="shared" si="1"/>
        <v>2763</v>
      </c>
      <c r="F13" s="156" t="s">
        <v>36</v>
      </c>
      <c r="G13" s="157"/>
      <c r="H13" s="158">
        <f>D29</f>
        <v>230845.08333333334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2</v>
      </c>
      <c r="D14" s="31">
        <f t="shared" si="1"/>
        <v>22.083333333333332</v>
      </c>
      <c r="F14" s="161" t="s">
        <v>38</v>
      </c>
      <c r="G14" s="162"/>
      <c r="H14" s="163">
        <f>D54</f>
        <v>30505.5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200339.58333333334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1248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230845.08333333334</v>
      </c>
      <c r="F29" s="179" t="s">
        <v>54</v>
      </c>
      <c r="G29" s="180"/>
      <c r="H29" s="183">
        <f>H15-H16-H17-H18-H19-H20-H22-H23-H24+H26+H27</f>
        <v>199091.58333333334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112</v>
      </c>
      <c r="H34" s="211">
        <f>F34*G34</f>
        <v>112000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22</v>
      </c>
      <c r="H35" s="211">
        <f>F35*G35</f>
        <v>11000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14</v>
      </c>
      <c r="H37" s="211">
        <f t="shared" si="2"/>
        <v>1400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4</v>
      </c>
      <c r="D42" s="12">
        <f>C42*2.25</f>
        <v>9</v>
      </c>
      <c r="F42" s="39" t="s">
        <v>78</v>
      </c>
      <c r="G42" s="211">
        <v>115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136</v>
      </c>
      <c r="G44" s="62" t="s">
        <v>178</v>
      </c>
      <c r="H44" s="195">
        <v>69092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10</v>
      </c>
      <c r="D46" s="12">
        <f>C46*1.5</f>
        <v>15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3</v>
      </c>
      <c r="D49" s="12">
        <f>C49*42</f>
        <v>126</v>
      </c>
      <c r="F49" s="236" t="s">
        <v>85</v>
      </c>
      <c r="G49" s="183">
        <f>H34+H35+H36+H37+H38+H39+H40+H41+G42+H44+H45+H46+H47+H48</f>
        <v>193607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3</v>
      </c>
      <c r="D50" s="12">
        <f>C50*1.5</f>
        <v>4.5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-5484.583333333343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30505.5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topLeftCell="A28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46248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506</v>
      </c>
      <c r="D6" s="13">
        <f t="shared" ref="D6:D28" si="1">C6*L6</f>
        <v>385066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25</v>
      </c>
      <c r="D7" s="13">
        <f t="shared" si="1"/>
        <v>19525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1</v>
      </c>
      <c r="D8" s="13">
        <f t="shared" si="1"/>
        <v>1093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80</v>
      </c>
      <c r="D9" s="13">
        <f t="shared" si="1"/>
        <v>58640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1</v>
      </c>
      <c r="D10" s="13">
        <f t="shared" si="1"/>
        <v>1032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17</v>
      </c>
      <c r="D13" s="48">
        <f t="shared" si="1"/>
        <v>5219</v>
      </c>
      <c r="F13" s="156" t="s">
        <v>36</v>
      </c>
      <c r="G13" s="157"/>
      <c r="H13" s="158">
        <f>D29</f>
        <v>481855.20833333331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5</v>
      </c>
      <c r="D14" s="31">
        <f t="shared" si="1"/>
        <v>55.208333333333329</v>
      </c>
      <c r="F14" s="161" t="s">
        <v>38</v>
      </c>
      <c r="G14" s="162"/>
      <c r="H14" s="163">
        <f>D54</f>
        <v>77481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404374.20833333331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0">
        <v>3528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>
        <f>3+3+3</f>
        <v>9</v>
      </c>
      <c r="D19" s="48">
        <f t="shared" si="1"/>
        <v>10575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481855.20833333331</v>
      </c>
      <c r="F29" s="179" t="s">
        <v>54</v>
      </c>
      <c r="G29" s="180"/>
      <c r="H29" s="183">
        <f>H15-H16-H17-H18-H19-H20-H22-H23-H24+H26+H27</f>
        <v>400846.20833333331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76</v>
      </c>
      <c r="H34" s="211">
        <f>F34*G34</f>
        <v>76000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29</v>
      </c>
      <c r="H35" s="211">
        <f>F35*G35</f>
        <v>14500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11">
        <f t="shared" ref="H36:H39" si="2">F36*G36</f>
        <v>400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631</v>
      </c>
      <c r="D37" s="12">
        <f>C37*111</f>
        <v>70041</v>
      </c>
      <c r="F37" s="12">
        <v>100</v>
      </c>
      <c r="G37" s="39">
        <v>59</v>
      </c>
      <c r="H37" s="211">
        <f t="shared" si="2"/>
        <v>5900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11">
        <f t="shared" si="2"/>
        <v>250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11">
        <f t="shared" si="2"/>
        <v>60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46</v>
      </c>
      <c r="D40" s="12">
        <f>C40*111</f>
        <v>5106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8</v>
      </c>
      <c r="D41" s="12">
        <f>C41*84</f>
        <v>672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73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179</v>
      </c>
      <c r="H44" s="195">
        <v>184406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133</v>
      </c>
      <c r="G45" s="87" t="s">
        <v>180</v>
      </c>
      <c r="H45" s="195">
        <v>104588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4</v>
      </c>
      <c r="D46" s="12">
        <f>C46*1.5</f>
        <v>6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386177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</v>
      </c>
      <c r="D50" s="12">
        <f>C50*1.5</f>
        <v>1.5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-14669.208333333314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77481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tabSelected="1" topLeftCell="A34" zoomScaleNormal="100" zoomScaleSheetLayoutView="85" workbookViewId="0">
      <selection activeCell="H1" sqref="H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 t="s">
        <v>132</v>
      </c>
      <c r="G26" s="65">
        <v>11915</v>
      </c>
      <c r="H26" s="195">
        <v>62655</v>
      </c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62655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11">
        <f t="shared" ref="H34:H39" si="2">F34*G34</f>
        <v>62000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1</v>
      </c>
      <c r="H35" s="211">
        <f t="shared" si="2"/>
        <v>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11">
        <f t="shared" si="2"/>
        <v>100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5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87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62655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 COLLECTION</vt:lpstr>
      <vt:lpstr>08,15 R2</vt:lpstr>
      <vt:lpstr>08,15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 COLLECTION'!Print_Area</vt:lpstr>
      <vt:lpstr>'08,15 R2'!Print_Area</vt:lpstr>
      <vt:lpstr>'08,15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2026-08-15T07:34:25Z</cp:lastPrinted>
  <dcterms:created xsi:type="dcterms:W3CDTF">2024-09-01T23:36:50Z</dcterms:created>
  <dcterms:modified xsi:type="dcterms:W3CDTF">2026-08-15T07:37:45Z</dcterms:modified>
</cp:coreProperties>
</file>