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2DA41A1B-E281-483A-AE1C-EB10F3D52803}" xr6:coauthVersionLast="45" xr6:coauthVersionMax="47" xr10:uidLastSave="{00000000-0000-0000-0000-000000000000}"/>
  <bookViews>
    <workbookView xWindow="-120" yWindow="-120" windowWidth="29040" windowHeight="15840" firstSheet="82" activeTab="9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  <sheet name="(22)" sheetId="2313" r:id="rId74"/>
    <sheet name="08,22 R1 COLLECTION ONLY" sheetId="2314" r:id="rId75"/>
    <sheet name="08,22 R2 NO TRIP" sheetId="2315" r:id="rId76"/>
    <sheet name="08,22 R3 NO TRIP" sheetId="2316" r:id="rId77"/>
    <sheet name="(24)" sheetId="2328" r:id="rId78"/>
    <sheet name="08,24 R1" sheetId="2329" r:id="rId79"/>
    <sheet name="08,24 R2" sheetId="2330" r:id="rId80"/>
    <sheet name="08,24 R3" sheetId="2331" r:id="rId81"/>
    <sheet name="(25)" sheetId="2332" r:id="rId82"/>
    <sheet name="08,25 R1" sheetId="2333" r:id="rId83"/>
    <sheet name="08,25 R3" sheetId="2335" r:id="rId84"/>
    <sheet name="(26)" sheetId="2336" r:id="rId85"/>
    <sheet name="08,25 R1 COLLECTION PROMO" sheetId="2337" r:id="rId86"/>
    <sheet name="08,26 R1" sheetId="2339" r:id="rId87"/>
    <sheet name="08,26 R2" sheetId="2334" r:id="rId88"/>
    <sheet name="08,26 R3" sheetId="2340" r:id="rId89"/>
    <sheet name="(27)" sheetId="2341" r:id="rId90"/>
    <sheet name="08,27 R1 " sheetId="2344" r:id="rId91"/>
    <sheet name="08,27 R2 " sheetId="2345" r:id="rId92"/>
    <sheet name="08,27 R3 " sheetId="2346" r:id="rId93"/>
    <sheet name="Sheet1" sheetId="2317" r:id="rId94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'(24)'!$A$1:$J$60</definedName>
    <definedName name="_xlnm.Print_Area" localSheetId="81">'(25)'!$A$1:$J$60</definedName>
    <definedName name="_xlnm.Print_Area" localSheetId="84">'(26)'!$A$1:$J$60</definedName>
    <definedName name="_xlnm.Print_Area" localSheetId="89">'(27)'!$A$1:$J$60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  <definedName name="_xlnm.Print_Area" localSheetId="74">'08,22 R1 COLLECTION ONLY'!$A$1:$J$60</definedName>
    <definedName name="_xlnm.Print_Area" localSheetId="75">'08,22 R2 NO TRIP'!$A$1:$J$60</definedName>
    <definedName name="_xlnm.Print_Area" localSheetId="76">'08,22 R3 NO TRIP'!$A$1:$J$60</definedName>
    <definedName name="_xlnm.Print_Area" localSheetId="78">'08,24 R1'!$A$1:$J$60</definedName>
    <definedName name="_xlnm.Print_Area" localSheetId="79">'08,24 R2'!$A$1:$J$60</definedName>
    <definedName name="_xlnm.Print_Area" localSheetId="80">'08,24 R3'!$A$1:$J$60</definedName>
    <definedName name="_xlnm.Print_Area" localSheetId="82">'08,25 R1'!$A$1:$J$60</definedName>
    <definedName name="_xlnm.Print_Area" localSheetId="85">'08,25 R1 COLLECTION PROMO'!$A$1:$J$60</definedName>
    <definedName name="_xlnm.Print_Area" localSheetId="83">'08,25 R3'!$A$1:$J$60</definedName>
    <definedName name="_xlnm.Print_Area" localSheetId="86">'08,26 R1'!$A$1:$J$60</definedName>
    <definedName name="_xlnm.Print_Area" localSheetId="87">'08,26 R2'!$A$1:$J$60</definedName>
    <definedName name="_xlnm.Print_Area" localSheetId="88">'08,26 R3'!$A$1:$J$60</definedName>
    <definedName name="_xlnm.Print_Area" localSheetId="90">'08,27 R1 '!$A$1:$J$60</definedName>
    <definedName name="_xlnm.Print_Area" localSheetId="91">'08,27 R2 '!$A$1:$J$60</definedName>
    <definedName name="_xlnm.Print_Area" localSheetId="92">'08,27 R3 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346" l="1"/>
  <c r="R52" i="2346"/>
  <c r="R51" i="2346"/>
  <c r="D50" i="2346"/>
  <c r="R49" i="2346"/>
  <c r="D49" i="2346"/>
  <c r="R48" i="2346"/>
  <c r="D48" i="2346"/>
  <c r="D46" i="2346"/>
  <c r="D45" i="2346"/>
  <c r="R44" i="2346"/>
  <c r="D44" i="2346"/>
  <c r="R42" i="2346"/>
  <c r="L6" i="2346" s="1"/>
  <c r="D6" i="2346" s="1"/>
  <c r="D42" i="2346"/>
  <c r="R41" i="2346"/>
  <c r="D41" i="2346"/>
  <c r="R40" i="2346"/>
  <c r="L8" i="2346" s="1"/>
  <c r="D8" i="2346" s="1"/>
  <c r="D40" i="2346"/>
  <c r="R39" i="2346"/>
  <c r="H39" i="2346"/>
  <c r="D39" i="2346"/>
  <c r="R38" i="2346"/>
  <c r="L9" i="2346" s="1"/>
  <c r="D9" i="2346" s="1"/>
  <c r="H38" i="2346"/>
  <c r="D38" i="2346"/>
  <c r="R37" i="2346"/>
  <c r="H37" i="2346"/>
  <c r="D37" i="2346"/>
  <c r="R36" i="2346"/>
  <c r="L10" i="2346" s="1"/>
  <c r="D10" i="2346" s="1"/>
  <c r="H36" i="2346"/>
  <c r="D36" i="2346"/>
  <c r="R35" i="2346"/>
  <c r="H35" i="2346"/>
  <c r="D35" i="2346"/>
  <c r="R34" i="2346"/>
  <c r="H34" i="2346"/>
  <c r="D34" i="2346"/>
  <c r="R33" i="2346"/>
  <c r="R32" i="2346"/>
  <c r="R31" i="2346"/>
  <c r="R30" i="2346"/>
  <c r="R29" i="2346"/>
  <c r="R28" i="2346"/>
  <c r="L28" i="2346"/>
  <c r="D28" i="2346" s="1"/>
  <c r="R27" i="2346"/>
  <c r="L27" i="2346"/>
  <c r="D27" i="2346"/>
  <c r="R26" i="2346"/>
  <c r="L26" i="2346"/>
  <c r="D26" i="2346" s="1"/>
  <c r="R25" i="2346"/>
  <c r="L25" i="2346"/>
  <c r="D25" i="2346"/>
  <c r="R24" i="2346"/>
  <c r="L24" i="2346"/>
  <c r="D24" i="2346" s="1"/>
  <c r="R23" i="2346"/>
  <c r="L23" i="2346"/>
  <c r="D23" i="2346"/>
  <c r="R22" i="2346"/>
  <c r="L22" i="2346"/>
  <c r="D22" i="2346"/>
  <c r="R21" i="2346"/>
  <c r="D21" i="2346"/>
  <c r="R20" i="2346"/>
  <c r="L20" i="2346"/>
  <c r="D20" i="2346"/>
  <c r="R19" i="2346"/>
  <c r="L19" i="2346"/>
  <c r="D19" i="2346"/>
  <c r="R18" i="2346"/>
  <c r="L18" i="2346"/>
  <c r="D18" i="2346"/>
  <c r="R17" i="2346"/>
  <c r="L17" i="2346"/>
  <c r="D17" i="2346" s="1"/>
  <c r="R16" i="2346"/>
  <c r="L16" i="2346"/>
  <c r="D16" i="2346"/>
  <c r="R15" i="2346"/>
  <c r="L15" i="2346"/>
  <c r="D15" i="2346" s="1"/>
  <c r="R14" i="2346"/>
  <c r="D14" i="2346"/>
  <c r="R13" i="2346"/>
  <c r="D13" i="2346"/>
  <c r="R12" i="2346"/>
  <c r="L12" i="2346"/>
  <c r="D12" i="2346" s="1"/>
  <c r="R11" i="2346"/>
  <c r="L11" i="2346"/>
  <c r="D11" i="2346"/>
  <c r="L7" i="2346"/>
  <c r="D7" i="2346"/>
  <c r="R6" i="2346"/>
  <c r="R5" i="2346"/>
  <c r="R4" i="2346"/>
  <c r="R52" i="2345"/>
  <c r="R51" i="2345"/>
  <c r="D50" i="2345"/>
  <c r="R49" i="2345"/>
  <c r="D49" i="2345"/>
  <c r="R48" i="2345"/>
  <c r="D48" i="2345"/>
  <c r="D46" i="2345"/>
  <c r="D45" i="2345"/>
  <c r="R44" i="2345"/>
  <c r="D44" i="2345"/>
  <c r="R42" i="2345"/>
  <c r="L6" i="2345" s="1"/>
  <c r="D6" i="2345" s="1"/>
  <c r="D42" i="2345"/>
  <c r="R41" i="2345"/>
  <c r="D41" i="2345"/>
  <c r="R40" i="2345"/>
  <c r="D40" i="2345"/>
  <c r="R39" i="2345"/>
  <c r="H39" i="2345"/>
  <c r="D39" i="2345"/>
  <c r="R38" i="2345"/>
  <c r="L9" i="2345" s="1"/>
  <c r="D9" i="2345" s="1"/>
  <c r="H38" i="2345"/>
  <c r="D38" i="2345"/>
  <c r="R37" i="2345"/>
  <c r="H37" i="2345"/>
  <c r="D37" i="2345"/>
  <c r="R36" i="2345"/>
  <c r="H36" i="2345"/>
  <c r="D36" i="2345"/>
  <c r="R35" i="2345"/>
  <c r="H35" i="2345"/>
  <c r="D35" i="2345"/>
  <c r="R34" i="2345"/>
  <c r="H34" i="2345"/>
  <c r="D34" i="2345"/>
  <c r="R33" i="2345"/>
  <c r="R32" i="2345"/>
  <c r="R31" i="2345"/>
  <c r="R30" i="2345"/>
  <c r="R29" i="2345"/>
  <c r="R28" i="2345"/>
  <c r="L28" i="2345"/>
  <c r="D28" i="2345"/>
  <c r="R27" i="2345"/>
  <c r="L27" i="2345"/>
  <c r="D27" i="2345"/>
  <c r="R26" i="2345"/>
  <c r="L26" i="2345"/>
  <c r="D26" i="2345"/>
  <c r="R25" i="2345"/>
  <c r="L25" i="2345"/>
  <c r="D25" i="2345"/>
  <c r="R24" i="2345"/>
  <c r="L24" i="2345"/>
  <c r="D24" i="2345"/>
  <c r="R23" i="2345"/>
  <c r="L23" i="2345"/>
  <c r="D23" i="2345"/>
  <c r="R22" i="2345"/>
  <c r="L22" i="2345"/>
  <c r="D22" i="2345" s="1"/>
  <c r="R21" i="2345"/>
  <c r="D21" i="2345"/>
  <c r="R20" i="2345"/>
  <c r="L20" i="2345"/>
  <c r="D20" i="2345" s="1"/>
  <c r="R19" i="2345"/>
  <c r="L19" i="2345"/>
  <c r="D19" i="2345"/>
  <c r="R18" i="2345"/>
  <c r="L18" i="2345"/>
  <c r="D18" i="2345" s="1"/>
  <c r="R17" i="2345"/>
  <c r="L17" i="2345"/>
  <c r="D17" i="2345"/>
  <c r="R16" i="2345"/>
  <c r="R15" i="2345"/>
  <c r="R14" i="2345"/>
  <c r="L14" i="2345"/>
  <c r="D14" i="2345"/>
  <c r="R13" i="2345"/>
  <c r="D13" i="2345"/>
  <c r="R12" i="2345"/>
  <c r="L12" i="2345"/>
  <c r="D12" i="2345"/>
  <c r="R11" i="2345"/>
  <c r="L11" i="2345"/>
  <c r="D11" i="2345"/>
  <c r="L10" i="2345"/>
  <c r="D10" i="2345"/>
  <c r="L8" i="2345"/>
  <c r="D8" i="2345"/>
  <c r="L7" i="2345"/>
  <c r="D7" i="2345"/>
  <c r="R6" i="2345"/>
  <c r="L16" i="2345" s="1"/>
  <c r="D16" i="2345" s="1"/>
  <c r="R5" i="2345"/>
  <c r="R4" i="2345"/>
  <c r="L15" i="2345" s="1"/>
  <c r="D15" i="2345" s="1"/>
  <c r="V68" i="2344"/>
  <c r="R52" i="2344"/>
  <c r="R51" i="2344"/>
  <c r="D50" i="2344"/>
  <c r="R49" i="2344"/>
  <c r="D49" i="2344"/>
  <c r="R48" i="2344"/>
  <c r="D48" i="2344"/>
  <c r="D46" i="2344"/>
  <c r="D45" i="2344"/>
  <c r="R44" i="2344"/>
  <c r="L28" i="2344" s="1"/>
  <c r="D28" i="2344" s="1"/>
  <c r="D44" i="2344"/>
  <c r="R42" i="2344"/>
  <c r="D42" i="2344"/>
  <c r="R41" i="2344"/>
  <c r="D41" i="2344"/>
  <c r="R40" i="2344"/>
  <c r="L8" i="2344" s="1"/>
  <c r="D8" i="2344" s="1"/>
  <c r="D40" i="2344"/>
  <c r="R39" i="2344"/>
  <c r="H39" i="2344"/>
  <c r="D39" i="2344"/>
  <c r="R38" i="2344"/>
  <c r="L9" i="2344" s="1"/>
  <c r="D9" i="2344" s="1"/>
  <c r="H38" i="2344"/>
  <c r="D38" i="2344"/>
  <c r="R37" i="2344"/>
  <c r="H37" i="2344"/>
  <c r="D37" i="2344"/>
  <c r="R36" i="2344"/>
  <c r="H36" i="2344"/>
  <c r="D36" i="2344"/>
  <c r="R35" i="2344"/>
  <c r="H35" i="2344"/>
  <c r="D35" i="2344"/>
  <c r="R34" i="2344"/>
  <c r="L12" i="2344" s="1"/>
  <c r="D12" i="2344" s="1"/>
  <c r="H34" i="2344"/>
  <c r="D34" i="2344"/>
  <c r="R33" i="2344"/>
  <c r="R32" i="2344"/>
  <c r="R31" i="2344"/>
  <c r="R30" i="2344"/>
  <c r="R29" i="2344"/>
  <c r="R28" i="2344"/>
  <c r="R27" i="2344"/>
  <c r="L27" i="2344"/>
  <c r="D27" i="2344"/>
  <c r="R26" i="2344"/>
  <c r="L26" i="2344"/>
  <c r="D26" i="2344" s="1"/>
  <c r="R25" i="2344"/>
  <c r="L25" i="2344"/>
  <c r="D25" i="2344"/>
  <c r="R24" i="2344"/>
  <c r="L24" i="2344"/>
  <c r="D24" i="2344" s="1"/>
  <c r="R23" i="2344"/>
  <c r="L23" i="2344"/>
  <c r="D23" i="2344" s="1"/>
  <c r="R22" i="2344"/>
  <c r="L20" i="2344" s="1"/>
  <c r="D20" i="2344" s="1"/>
  <c r="L22" i="2344"/>
  <c r="D22" i="2344"/>
  <c r="R21" i="2344"/>
  <c r="L17" i="2344" s="1"/>
  <c r="D17" i="2344" s="1"/>
  <c r="L21" i="2344"/>
  <c r="D21" i="2344"/>
  <c r="R20" i="2344"/>
  <c r="R19" i="2344"/>
  <c r="L19" i="2344"/>
  <c r="D19" i="2344"/>
  <c r="R18" i="2344"/>
  <c r="L18" i="2344"/>
  <c r="D18" i="2344"/>
  <c r="R17" i="2344"/>
  <c r="R16" i="2344"/>
  <c r="L16" i="2344"/>
  <c r="D16" i="2344"/>
  <c r="R15" i="2344"/>
  <c r="R14" i="2344"/>
  <c r="D14" i="2344"/>
  <c r="R13" i="2344"/>
  <c r="D13" i="2344"/>
  <c r="R12" i="2344"/>
  <c r="R11" i="2344"/>
  <c r="L11" i="2344"/>
  <c r="D11" i="2344"/>
  <c r="L10" i="2344"/>
  <c r="D10" i="2344" s="1"/>
  <c r="L7" i="2344"/>
  <c r="D7" i="2344"/>
  <c r="R6" i="2344"/>
  <c r="L6" i="2344"/>
  <c r="D6" i="2344" s="1"/>
  <c r="R5" i="2344"/>
  <c r="R4" i="2344"/>
  <c r="L15" i="2344" s="1"/>
  <c r="D15" i="2344" s="1"/>
  <c r="R52" i="2341"/>
  <c r="R51" i="2341"/>
  <c r="D50" i="2341"/>
  <c r="R49" i="2341"/>
  <c r="G49" i="2341"/>
  <c r="D49" i="2341"/>
  <c r="R48" i="2341"/>
  <c r="D48" i="2341"/>
  <c r="D46" i="2341"/>
  <c r="D45" i="2341"/>
  <c r="D44" i="2341"/>
  <c r="R42" i="2341"/>
  <c r="D42" i="2341"/>
  <c r="R41" i="2341"/>
  <c r="L7" i="2341" s="1"/>
  <c r="D7" i="2341" s="1"/>
  <c r="D41" i="2341"/>
  <c r="R40" i="2341"/>
  <c r="L8" i="2341" s="1"/>
  <c r="D8" i="2341" s="1"/>
  <c r="D40" i="2341"/>
  <c r="R39" i="2341"/>
  <c r="D39" i="2341"/>
  <c r="R38" i="2341"/>
  <c r="L9" i="2341" s="1"/>
  <c r="D9" i="2341" s="1"/>
  <c r="D38" i="2341"/>
  <c r="R37" i="2341"/>
  <c r="D37" i="2341"/>
  <c r="R36" i="2341"/>
  <c r="D36" i="2341"/>
  <c r="R35" i="2341"/>
  <c r="D35" i="2341"/>
  <c r="R34" i="2341"/>
  <c r="D34" i="2341"/>
  <c r="D54" i="2341" s="1"/>
  <c r="H14" i="2341" s="1"/>
  <c r="R33" i="2341"/>
  <c r="L23" i="2341" s="1"/>
  <c r="D23" i="2341" s="1"/>
  <c r="R32" i="2341"/>
  <c r="R31" i="2341"/>
  <c r="R30" i="2341"/>
  <c r="R29" i="2341"/>
  <c r="R28" i="2341"/>
  <c r="D28" i="2341"/>
  <c r="R27" i="2341"/>
  <c r="D27" i="2341"/>
  <c r="R26" i="2341"/>
  <c r="L26" i="2341"/>
  <c r="D26" i="2341" s="1"/>
  <c r="R25" i="2341"/>
  <c r="L25" i="2341"/>
  <c r="D25" i="2341"/>
  <c r="R24" i="2341"/>
  <c r="D24" i="2341"/>
  <c r="R23" i="2341"/>
  <c r="R22" i="2341"/>
  <c r="L22" i="2341"/>
  <c r="D22" i="2341" s="1"/>
  <c r="R21" i="2341"/>
  <c r="D21" i="2341"/>
  <c r="R20" i="2341"/>
  <c r="L20" i="2341"/>
  <c r="D20" i="2341" s="1"/>
  <c r="R19" i="2341"/>
  <c r="L19" i="2341"/>
  <c r="D19" i="2341"/>
  <c r="R18" i="2341"/>
  <c r="D18" i="2341"/>
  <c r="R17" i="2341"/>
  <c r="D17" i="2341"/>
  <c r="R16" i="2341"/>
  <c r="L16" i="2341"/>
  <c r="D16" i="2341" s="1"/>
  <c r="S15" i="2341"/>
  <c r="R15" i="2341"/>
  <c r="D15" i="2341"/>
  <c r="S14" i="2341"/>
  <c r="R14" i="2341"/>
  <c r="D14" i="2341"/>
  <c r="R13" i="2341"/>
  <c r="D13" i="2341"/>
  <c r="R12" i="2341"/>
  <c r="L12" i="2341"/>
  <c r="D12" i="2341" s="1"/>
  <c r="R11" i="2341"/>
  <c r="L11" i="2341"/>
  <c r="D11" i="2341" s="1"/>
  <c r="L10" i="2341"/>
  <c r="D10" i="2341"/>
  <c r="R6" i="2341"/>
  <c r="L6" i="2341"/>
  <c r="D6" i="2341"/>
  <c r="R5" i="2341"/>
  <c r="R4" i="2341"/>
  <c r="G49" i="2345" l="1"/>
  <c r="G49" i="2344"/>
  <c r="D54" i="2344"/>
  <c r="H14" i="2344" s="1"/>
  <c r="D54" i="2345"/>
  <c r="H14" i="2345" s="1"/>
  <c r="G49" i="2346"/>
  <c r="D54" i="2346"/>
  <c r="H14" i="2346" s="1"/>
  <c r="D29" i="2346"/>
  <c r="H13" i="2346" s="1"/>
  <c r="D29" i="2345"/>
  <c r="H13" i="2345" s="1"/>
  <c r="D29" i="2344"/>
  <c r="H13" i="2344" s="1"/>
  <c r="D29" i="2341"/>
  <c r="H13" i="2341" s="1"/>
  <c r="H15" i="2341" s="1"/>
  <c r="H29" i="2341" s="1"/>
  <c r="G51" i="2341" s="1"/>
  <c r="R52" i="2340"/>
  <c r="R51" i="2340"/>
  <c r="D50" i="2340"/>
  <c r="R49" i="2340"/>
  <c r="D49" i="2340"/>
  <c r="R48" i="2340"/>
  <c r="D48" i="2340"/>
  <c r="D46" i="2340"/>
  <c r="D45" i="2340"/>
  <c r="R44" i="2340"/>
  <c r="L28" i="2340" s="1"/>
  <c r="D28" i="2340" s="1"/>
  <c r="D44" i="2340"/>
  <c r="R42" i="2340"/>
  <c r="D42" i="2340"/>
  <c r="R41" i="2340"/>
  <c r="L7" i="2340" s="1"/>
  <c r="D7" i="2340" s="1"/>
  <c r="D41" i="2340"/>
  <c r="R40" i="2340"/>
  <c r="D40" i="2340"/>
  <c r="R39" i="2340"/>
  <c r="H39" i="2340"/>
  <c r="D39" i="2340"/>
  <c r="R38" i="2340"/>
  <c r="H38" i="2340"/>
  <c r="D38" i="2340"/>
  <c r="R37" i="2340"/>
  <c r="H37" i="2340"/>
  <c r="D37" i="2340"/>
  <c r="R36" i="2340"/>
  <c r="H36" i="2340"/>
  <c r="D36" i="2340"/>
  <c r="R35" i="2340"/>
  <c r="L18" i="2340" s="1"/>
  <c r="D18" i="2340" s="1"/>
  <c r="H35" i="2340"/>
  <c r="D35" i="2340"/>
  <c r="R34" i="2340"/>
  <c r="H34" i="2340"/>
  <c r="D34" i="2340"/>
  <c r="R33" i="2340"/>
  <c r="R32" i="2340"/>
  <c r="R31" i="2340"/>
  <c r="R30" i="2340"/>
  <c r="R29" i="2340"/>
  <c r="R28" i="2340"/>
  <c r="R27" i="2340"/>
  <c r="L27" i="2340"/>
  <c r="D27" i="2340" s="1"/>
  <c r="R26" i="2340"/>
  <c r="L26" i="2340"/>
  <c r="D26" i="2340"/>
  <c r="R25" i="2340"/>
  <c r="L25" i="2340"/>
  <c r="D25" i="2340"/>
  <c r="R24" i="2340"/>
  <c r="L24" i="2340"/>
  <c r="D24" i="2340"/>
  <c r="R23" i="2340"/>
  <c r="L23" i="2340"/>
  <c r="D23" i="2340"/>
  <c r="R22" i="2340"/>
  <c r="L20" i="2340" s="1"/>
  <c r="D20" i="2340" s="1"/>
  <c r="L22" i="2340"/>
  <c r="D22" i="2340"/>
  <c r="R21" i="2340"/>
  <c r="D21" i="2340"/>
  <c r="R20" i="2340"/>
  <c r="R19" i="2340"/>
  <c r="L19" i="2340"/>
  <c r="D19" i="2340"/>
  <c r="R18" i="2340"/>
  <c r="R17" i="2340"/>
  <c r="L17" i="2340"/>
  <c r="D17" i="2340"/>
  <c r="R16" i="2340"/>
  <c r="L16" i="2340"/>
  <c r="D16" i="2340" s="1"/>
  <c r="R15" i="2340"/>
  <c r="R14" i="2340"/>
  <c r="D14" i="2340"/>
  <c r="R13" i="2340"/>
  <c r="D13" i="2340"/>
  <c r="R12" i="2340"/>
  <c r="L12" i="2340"/>
  <c r="D12" i="2340"/>
  <c r="R11" i="2340"/>
  <c r="L11" i="2340"/>
  <c r="D11" i="2340" s="1"/>
  <c r="L10" i="2340"/>
  <c r="D10" i="2340" s="1"/>
  <c r="L9" i="2340"/>
  <c r="D9" i="2340" s="1"/>
  <c r="L8" i="2340"/>
  <c r="D8" i="2340"/>
  <c r="R6" i="2340"/>
  <c r="L6" i="2340"/>
  <c r="D6" i="2340" s="1"/>
  <c r="R5" i="2340"/>
  <c r="R4" i="2340"/>
  <c r="L15" i="2340" s="1"/>
  <c r="D15" i="2340" s="1"/>
  <c r="V68" i="2339"/>
  <c r="R52" i="2339"/>
  <c r="R51" i="2339"/>
  <c r="D50" i="2339"/>
  <c r="R49" i="2339"/>
  <c r="D49" i="2339"/>
  <c r="R48" i="2339"/>
  <c r="D48" i="2339"/>
  <c r="D46" i="2339"/>
  <c r="D45" i="2339"/>
  <c r="R44" i="2339"/>
  <c r="D44" i="2339"/>
  <c r="R42" i="2339"/>
  <c r="L6" i="2339" s="1"/>
  <c r="D6" i="2339" s="1"/>
  <c r="D42" i="2339"/>
  <c r="R41" i="2339"/>
  <c r="L7" i="2339" s="1"/>
  <c r="D7" i="2339" s="1"/>
  <c r="D41" i="2339"/>
  <c r="R40" i="2339"/>
  <c r="D40" i="2339"/>
  <c r="R39" i="2339"/>
  <c r="H39" i="2339"/>
  <c r="D39" i="2339"/>
  <c r="R38" i="2339"/>
  <c r="L9" i="2339" s="1"/>
  <c r="D9" i="2339" s="1"/>
  <c r="H38" i="2339"/>
  <c r="D38" i="2339"/>
  <c r="R37" i="2339"/>
  <c r="H37" i="2339"/>
  <c r="D37" i="2339"/>
  <c r="R36" i="2339"/>
  <c r="L10" i="2339" s="1"/>
  <c r="D10" i="2339" s="1"/>
  <c r="H36" i="2339"/>
  <c r="D36" i="2339"/>
  <c r="R35" i="2339"/>
  <c r="L18" i="2339" s="1"/>
  <c r="D18" i="2339" s="1"/>
  <c r="H35" i="2339"/>
  <c r="D35" i="2339"/>
  <c r="R34" i="2339"/>
  <c r="H34" i="2339"/>
  <c r="D34" i="2339"/>
  <c r="R33" i="2339"/>
  <c r="R32" i="2339"/>
  <c r="L11" i="2339" s="1"/>
  <c r="D11" i="2339" s="1"/>
  <c r="R31" i="2339"/>
  <c r="R30" i="2339"/>
  <c r="R29" i="2339"/>
  <c r="R28" i="2339"/>
  <c r="L28" i="2339"/>
  <c r="D28" i="2339"/>
  <c r="R27" i="2339"/>
  <c r="L27" i="2339"/>
  <c r="D27" i="2339" s="1"/>
  <c r="R26" i="2339"/>
  <c r="L26" i="2339"/>
  <c r="D26" i="2339"/>
  <c r="R25" i="2339"/>
  <c r="L25" i="2339"/>
  <c r="D25" i="2339"/>
  <c r="R24" i="2339"/>
  <c r="L24" i="2339"/>
  <c r="D24" i="2339"/>
  <c r="R23" i="2339"/>
  <c r="L23" i="2339"/>
  <c r="D23" i="2339"/>
  <c r="R22" i="2339"/>
  <c r="L20" i="2339" s="1"/>
  <c r="D20" i="2339" s="1"/>
  <c r="L22" i="2339"/>
  <c r="D22" i="2339" s="1"/>
  <c r="R21" i="2339"/>
  <c r="L21" i="2339"/>
  <c r="D21" i="2339"/>
  <c r="R20" i="2339"/>
  <c r="R19" i="2339"/>
  <c r="L19" i="2339"/>
  <c r="D19" i="2339"/>
  <c r="R18" i="2339"/>
  <c r="R17" i="2339"/>
  <c r="L17" i="2339"/>
  <c r="D17" i="2339"/>
  <c r="R16" i="2339"/>
  <c r="R15" i="2339"/>
  <c r="R14" i="2339"/>
  <c r="D14" i="2339"/>
  <c r="R13" i="2339"/>
  <c r="D13" i="2339"/>
  <c r="R12" i="2339"/>
  <c r="L12" i="2339"/>
  <c r="D12" i="2339"/>
  <c r="R11" i="2339"/>
  <c r="L8" i="2339"/>
  <c r="D8" i="2339"/>
  <c r="R6" i="2339"/>
  <c r="L16" i="2339" s="1"/>
  <c r="D16" i="2339" s="1"/>
  <c r="R5" i="2339"/>
  <c r="R4" i="2339"/>
  <c r="L15" i="2339" s="1"/>
  <c r="D15" i="2339" s="1"/>
  <c r="H15" i="2346" l="1"/>
  <c r="H29" i="2346" s="1"/>
  <c r="H15" i="2345"/>
  <c r="H29" i="2345" s="1"/>
  <c r="G51" i="2345" s="1"/>
  <c r="H15" i="2344"/>
  <c r="H29" i="2344" s="1"/>
  <c r="F51" i="2344" s="1"/>
  <c r="F51" i="2346"/>
  <c r="G51" i="2346"/>
  <c r="G49" i="2340"/>
  <c r="D54" i="2340"/>
  <c r="H14" i="2340" s="1"/>
  <c r="D29" i="2340"/>
  <c r="H13" i="2340" s="1"/>
  <c r="G49" i="2339"/>
  <c r="D54" i="2339"/>
  <c r="H14" i="2339" s="1"/>
  <c r="D29" i="2339"/>
  <c r="H13" i="2339" s="1"/>
  <c r="V68" i="2337"/>
  <c r="R52" i="2337"/>
  <c r="R51" i="2337"/>
  <c r="D50" i="2337"/>
  <c r="R49" i="2337"/>
  <c r="D49" i="2337"/>
  <c r="R48" i="2337"/>
  <c r="D48" i="2337"/>
  <c r="D46" i="2337"/>
  <c r="D45" i="2337"/>
  <c r="R44" i="2337"/>
  <c r="D44" i="2337"/>
  <c r="R42" i="2337"/>
  <c r="L6" i="2337" s="1"/>
  <c r="D6" i="2337" s="1"/>
  <c r="D42" i="2337"/>
  <c r="R41" i="2337"/>
  <c r="D41" i="2337"/>
  <c r="R40" i="2337"/>
  <c r="D40" i="2337"/>
  <c r="R39" i="2337"/>
  <c r="H39" i="2337"/>
  <c r="D39" i="2337"/>
  <c r="R38" i="2337"/>
  <c r="L9" i="2337" s="1"/>
  <c r="D9" i="2337" s="1"/>
  <c r="H38" i="2337"/>
  <c r="D38" i="2337"/>
  <c r="R37" i="2337"/>
  <c r="H37" i="2337"/>
  <c r="D37" i="2337"/>
  <c r="R36" i="2337"/>
  <c r="L10" i="2337" s="1"/>
  <c r="D10" i="2337" s="1"/>
  <c r="H36" i="2337"/>
  <c r="D36" i="2337"/>
  <c r="R35" i="2337"/>
  <c r="H35" i="2337"/>
  <c r="D35" i="2337"/>
  <c r="R34" i="2337"/>
  <c r="L12" i="2337" s="1"/>
  <c r="D12" i="2337" s="1"/>
  <c r="H34" i="2337"/>
  <c r="D34" i="2337"/>
  <c r="R33" i="2337"/>
  <c r="R32" i="2337"/>
  <c r="L11" i="2337" s="1"/>
  <c r="D11" i="2337" s="1"/>
  <c r="R31" i="2337"/>
  <c r="R30" i="2337"/>
  <c r="R29" i="2337"/>
  <c r="R28" i="2337"/>
  <c r="L28" i="2337"/>
  <c r="D28" i="2337" s="1"/>
  <c r="R27" i="2337"/>
  <c r="L27" i="2337"/>
  <c r="D27" i="2337"/>
  <c r="R26" i="2337"/>
  <c r="L26" i="2337"/>
  <c r="D26" i="2337" s="1"/>
  <c r="R25" i="2337"/>
  <c r="L25" i="2337"/>
  <c r="D25" i="2337"/>
  <c r="R24" i="2337"/>
  <c r="L24" i="2337"/>
  <c r="D24" i="2337"/>
  <c r="R23" i="2337"/>
  <c r="L23" i="2337"/>
  <c r="D23" i="2337"/>
  <c r="R22" i="2337"/>
  <c r="L22" i="2337"/>
  <c r="D22" i="2337" s="1"/>
  <c r="R21" i="2337"/>
  <c r="L17" i="2337" s="1"/>
  <c r="D17" i="2337" s="1"/>
  <c r="L21" i="2337"/>
  <c r="D21" i="2337" s="1"/>
  <c r="R20" i="2337"/>
  <c r="L20" i="2337"/>
  <c r="D20" i="2337"/>
  <c r="R19" i="2337"/>
  <c r="L19" i="2337"/>
  <c r="D19" i="2337"/>
  <c r="R18" i="2337"/>
  <c r="L18" i="2337"/>
  <c r="D18" i="2337"/>
  <c r="R17" i="2337"/>
  <c r="R16" i="2337"/>
  <c r="R15" i="2337"/>
  <c r="L15" i="2337"/>
  <c r="D15" i="2337"/>
  <c r="R14" i="2337"/>
  <c r="D14" i="2337"/>
  <c r="R13" i="2337"/>
  <c r="D13" i="2337"/>
  <c r="R12" i="2337"/>
  <c r="R11" i="2337"/>
  <c r="L8" i="2337"/>
  <c r="D8" i="2337"/>
  <c r="L7" i="2337"/>
  <c r="D7" i="2337"/>
  <c r="R6" i="2337"/>
  <c r="L16" i="2337" s="1"/>
  <c r="D16" i="2337" s="1"/>
  <c r="R5" i="2337"/>
  <c r="R4" i="2337"/>
  <c r="R52" i="2336"/>
  <c r="R51" i="2336"/>
  <c r="D50" i="2336"/>
  <c r="R49" i="2336"/>
  <c r="G49" i="2336"/>
  <c r="D49" i="2336"/>
  <c r="R48" i="2336"/>
  <c r="D48" i="2336"/>
  <c r="D46" i="2336"/>
  <c r="D45" i="2336"/>
  <c r="D44" i="2336"/>
  <c r="R42" i="2336"/>
  <c r="L6" i="2336" s="1"/>
  <c r="D6" i="2336" s="1"/>
  <c r="D42" i="2336"/>
  <c r="R41" i="2336"/>
  <c r="L7" i="2336" s="1"/>
  <c r="D7" i="2336" s="1"/>
  <c r="D41" i="2336"/>
  <c r="R40" i="2336"/>
  <c r="D40" i="2336"/>
  <c r="R39" i="2336"/>
  <c r="D39" i="2336"/>
  <c r="R38" i="2336"/>
  <c r="D38" i="2336"/>
  <c r="R37" i="2336"/>
  <c r="D37" i="2336"/>
  <c r="R36" i="2336"/>
  <c r="L10" i="2336" s="1"/>
  <c r="D10" i="2336" s="1"/>
  <c r="D36" i="2336"/>
  <c r="R35" i="2336"/>
  <c r="D35" i="2336"/>
  <c r="R34" i="2336"/>
  <c r="L12" i="2336" s="1"/>
  <c r="D12" i="2336" s="1"/>
  <c r="D34" i="2336"/>
  <c r="D54" i="2336" s="1"/>
  <c r="H14" i="2336" s="1"/>
  <c r="R33" i="2336"/>
  <c r="L23" i="2336" s="1"/>
  <c r="D23" i="2336" s="1"/>
  <c r="R32" i="2336"/>
  <c r="R31" i="2336"/>
  <c r="R30" i="2336"/>
  <c r="R29" i="2336"/>
  <c r="R28" i="2336"/>
  <c r="L16" i="2336" s="1"/>
  <c r="D16" i="2336" s="1"/>
  <c r="D28" i="2336"/>
  <c r="R27" i="2336"/>
  <c r="D27" i="2336"/>
  <c r="R26" i="2336"/>
  <c r="L26" i="2336"/>
  <c r="D26" i="2336"/>
  <c r="R25" i="2336"/>
  <c r="L25" i="2336"/>
  <c r="D25" i="2336"/>
  <c r="R24" i="2336"/>
  <c r="D24" i="2336"/>
  <c r="R23" i="2336"/>
  <c r="R22" i="2336"/>
  <c r="L22" i="2336"/>
  <c r="D22" i="2336"/>
  <c r="R21" i="2336"/>
  <c r="D21" i="2336"/>
  <c r="R20" i="2336"/>
  <c r="L20" i="2336"/>
  <c r="D20" i="2336"/>
  <c r="R19" i="2336"/>
  <c r="L19" i="2336"/>
  <c r="D19" i="2336"/>
  <c r="R18" i="2336"/>
  <c r="D18" i="2336"/>
  <c r="R17" i="2336"/>
  <c r="D17" i="2336"/>
  <c r="R16" i="2336"/>
  <c r="S15" i="2336"/>
  <c r="R15" i="2336"/>
  <c r="D15" i="2336"/>
  <c r="S14" i="2336"/>
  <c r="R14" i="2336"/>
  <c r="D14" i="2336"/>
  <c r="R13" i="2336"/>
  <c r="D13" i="2336"/>
  <c r="R12" i="2336"/>
  <c r="R11" i="2336"/>
  <c r="L11" i="2336"/>
  <c r="D11" i="2336"/>
  <c r="L9" i="2336"/>
  <c r="D9" i="2336"/>
  <c r="L8" i="2336"/>
  <c r="D8" i="2336"/>
  <c r="R6" i="2336"/>
  <c r="R5" i="2336"/>
  <c r="R4" i="2336"/>
  <c r="F51" i="2345" l="1"/>
  <c r="G51" i="2344"/>
  <c r="H15" i="2340"/>
  <c r="H29" i="2340" s="1"/>
  <c r="H15" i="2339"/>
  <c r="H29" i="2339" s="1"/>
  <c r="G51" i="2339" s="1"/>
  <c r="G49" i="2337"/>
  <c r="D54" i="2337"/>
  <c r="H14" i="2337" s="1"/>
  <c r="D29" i="2337"/>
  <c r="H13" i="2337" s="1"/>
  <c r="H15" i="2337" s="1"/>
  <c r="H29" i="2337" s="1"/>
  <c r="D29" i="2336"/>
  <c r="H13" i="2336" s="1"/>
  <c r="H15" i="2336" s="1"/>
  <c r="H29" i="2336" s="1"/>
  <c r="G51" i="2336"/>
  <c r="R52" i="2335"/>
  <c r="R51" i="2335"/>
  <c r="D50" i="2335"/>
  <c r="R49" i="2335"/>
  <c r="D49" i="2335"/>
  <c r="R48" i="2335"/>
  <c r="D48" i="2335"/>
  <c r="D46" i="2335"/>
  <c r="D45" i="2335"/>
  <c r="R44" i="2335"/>
  <c r="D44" i="2335"/>
  <c r="R42" i="2335"/>
  <c r="L6" i="2335" s="1"/>
  <c r="D6" i="2335" s="1"/>
  <c r="D42" i="2335"/>
  <c r="R41" i="2335"/>
  <c r="D41" i="2335"/>
  <c r="R40" i="2335"/>
  <c r="D40" i="2335"/>
  <c r="R39" i="2335"/>
  <c r="H39" i="2335"/>
  <c r="D39" i="2335"/>
  <c r="R38" i="2335"/>
  <c r="H38" i="2335"/>
  <c r="D38" i="2335"/>
  <c r="R37" i="2335"/>
  <c r="H37" i="2335"/>
  <c r="D37" i="2335"/>
  <c r="R36" i="2335"/>
  <c r="H36" i="2335"/>
  <c r="D36" i="2335"/>
  <c r="R35" i="2335"/>
  <c r="H35" i="2335"/>
  <c r="D35" i="2335"/>
  <c r="R34" i="2335"/>
  <c r="L12" i="2335" s="1"/>
  <c r="D12" i="2335" s="1"/>
  <c r="H34" i="2335"/>
  <c r="D34" i="2335"/>
  <c r="R33" i="2335"/>
  <c r="R32" i="2335"/>
  <c r="R31" i="2335"/>
  <c r="R30" i="2335"/>
  <c r="R29" i="2335"/>
  <c r="R28" i="2335"/>
  <c r="L28" i="2335"/>
  <c r="D28" i="2335"/>
  <c r="R27" i="2335"/>
  <c r="L27" i="2335"/>
  <c r="D27" i="2335"/>
  <c r="R26" i="2335"/>
  <c r="L26" i="2335"/>
  <c r="D26" i="2335"/>
  <c r="R25" i="2335"/>
  <c r="L25" i="2335"/>
  <c r="D25" i="2335"/>
  <c r="R24" i="2335"/>
  <c r="L24" i="2335"/>
  <c r="D24" i="2335"/>
  <c r="R23" i="2335"/>
  <c r="L23" i="2335"/>
  <c r="D23" i="2335"/>
  <c r="R22" i="2335"/>
  <c r="L22" i="2335"/>
  <c r="D22" i="2335"/>
  <c r="R21" i="2335"/>
  <c r="L17" i="2335" s="1"/>
  <c r="D17" i="2335" s="1"/>
  <c r="D21" i="2335"/>
  <c r="R20" i="2335"/>
  <c r="L20" i="2335"/>
  <c r="D20" i="2335"/>
  <c r="R19" i="2335"/>
  <c r="L19" i="2335"/>
  <c r="D19" i="2335"/>
  <c r="R18" i="2335"/>
  <c r="L18" i="2335"/>
  <c r="D18" i="2335" s="1"/>
  <c r="R17" i="2335"/>
  <c r="R16" i="2335"/>
  <c r="R15" i="2335"/>
  <c r="L15" i="2335"/>
  <c r="D15" i="2335"/>
  <c r="R14" i="2335"/>
  <c r="D14" i="2335"/>
  <c r="R13" i="2335"/>
  <c r="D13" i="2335"/>
  <c r="R12" i="2335"/>
  <c r="R11" i="2335"/>
  <c r="L11" i="2335"/>
  <c r="D11" i="2335"/>
  <c r="L10" i="2335"/>
  <c r="D10" i="2335"/>
  <c r="L9" i="2335"/>
  <c r="D9" i="2335"/>
  <c r="L8" i="2335"/>
  <c r="D8" i="2335"/>
  <c r="L7" i="2335"/>
  <c r="D7" i="2335"/>
  <c r="R6" i="2335"/>
  <c r="L16" i="2335" s="1"/>
  <c r="D16" i="2335" s="1"/>
  <c r="R5" i="2335"/>
  <c r="R4" i="2335"/>
  <c r="R52" i="2334"/>
  <c r="R51" i="2334"/>
  <c r="D50" i="2334"/>
  <c r="R49" i="2334"/>
  <c r="D49" i="2334"/>
  <c r="R48" i="2334"/>
  <c r="D48" i="2334"/>
  <c r="D46" i="2334"/>
  <c r="D45" i="2334"/>
  <c r="R44" i="2334"/>
  <c r="D44" i="2334"/>
  <c r="R42" i="2334"/>
  <c r="L6" i="2334" s="1"/>
  <c r="D6" i="2334" s="1"/>
  <c r="D42" i="2334"/>
  <c r="R41" i="2334"/>
  <c r="D41" i="2334"/>
  <c r="R40" i="2334"/>
  <c r="D40" i="2334"/>
  <c r="R39" i="2334"/>
  <c r="H39" i="2334"/>
  <c r="D39" i="2334"/>
  <c r="R38" i="2334"/>
  <c r="H38" i="2334"/>
  <c r="D38" i="2334"/>
  <c r="R37" i="2334"/>
  <c r="H37" i="2334"/>
  <c r="D37" i="2334"/>
  <c r="R36" i="2334"/>
  <c r="L10" i="2334" s="1"/>
  <c r="D10" i="2334" s="1"/>
  <c r="H36" i="2334"/>
  <c r="D36" i="2334"/>
  <c r="R35" i="2334"/>
  <c r="H35" i="2334"/>
  <c r="D35" i="2334"/>
  <c r="R34" i="2334"/>
  <c r="L12" i="2334" s="1"/>
  <c r="D12" i="2334" s="1"/>
  <c r="H34" i="2334"/>
  <c r="D34" i="2334"/>
  <c r="R33" i="2334"/>
  <c r="L19" i="2334" s="1"/>
  <c r="D19" i="2334" s="1"/>
  <c r="R32" i="2334"/>
  <c r="R31" i="2334"/>
  <c r="R30" i="2334"/>
  <c r="R29" i="2334"/>
  <c r="R28" i="2334"/>
  <c r="L28" i="2334"/>
  <c r="D28" i="2334" s="1"/>
  <c r="R27" i="2334"/>
  <c r="L27" i="2334"/>
  <c r="D27" i="2334" s="1"/>
  <c r="R26" i="2334"/>
  <c r="L26" i="2334"/>
  <c r="D26" i="2334" s="1"/>
  <c r="R25" i="2334"/>
  <c r="L25" i="2334"/>
  <c r="D25" i="2334"/>
  <c r="R24" i="2334"/>
  <c r="L24" i="2334"/>
  <c r="D24" i="2334"/>
  <c r="R23" i="2334"/>
  <c r="L23" i="2334"/>
  <c r="D23" i="2334"/>
  <c r="R22" i="2334"/>
  <c r="L22" i="2334"/>
  <c r="D22" i="2334"/>
  <c r="R21" i="2334"/>
  <c r="D21" i="2334"/>
  <c r="R20" i="2334"/>
  <c r="L20" i="2334"/>
  <c r="D20" i="2334"/>
  <c r="R19" i="2334"/>
  <c r="R18" i="2334"/>
  <c r="L18" i="2334"/>
  <c r="D18" i="2334"/>
  <c r="R17" i="2334"/>
  <c r="L17" i="2334"/>
  <c r="D17" i="2334" s="1"/>
  <c r="R16" i="2334"/>
  <c r="R15" i="2334"/>
  <c r="R14" i="2334"/>
  <c r="L14" i="2334"/>
  <c r="D14" i="2334"/>
  <c r="R13" i="2334"/>
  <c r="D13" i="2334"/>
  <c r="R12" i="2334"/>
  <c r="R11" i="2334"/>
  <c r="L11" i="2334"/>
  <c r="D11" i="2334"/>
  <c r="L9" i="2334"/>
  <c r="D9" i="2334"/>
  <c r="L8" i="2334"/>
  <c r="D8" i="2334"/>
  <c r="L7" i="2334"/>
  <c r="D7" i="2334"/>
  <c r="R6" i="2334"/>
  <c r="L16" i="2334" s="1"/>
  <c r="R5" i="2334"/>
  <c r="R4" i="2334"/>
  <c r="L15" i="2334" s="1"/>
  <c r="D15" i="2334" s="1"/>
  <c r="V68" i="2333"/>
  <c r="R52" i="2333"/>
  <c r="R51" i="2333"/>
  <c r="D50" i="2333"/>
  <c r="R49" i="2333"/>
  <c r="D49" i="2333"/>
  <c r="R48" i="2333"/>
  <c r="D48" i="2333"/>
  <c r="D46" i="2333"/>
  <c r="D45" i="2333"/>
  <c r="R44" i="2333"/>
  <c r="D44" i="2333"/>
  <c r="R42" i="2333"/>
  <c r="L6" i="2333" s="1"/>
  <c r="D6" i="2333" s="1"/>
  <c r="D42" i="2333"/>
  <c r="R41" i="2333"/>
  <c r="L7" i="2333" s="1"/>
  <c r="D7" i="2333" s="1"/>
  <c r="D41" i="2333"/>
  <c r="R40" i="2333"/>
  <c r="L8" i="2333" s="1"/>
  <c r="D8" i="2333" s="1"/>
  <c r="D40" i="2333"/>
  <c r="R39" i="2333"/>
  <c r="H39" i="2333"/>
  <c r="D39" i="2333"/>
  <c r="R38" i="2333"/>
  <c r="L9" i="2333" s="1"/>
  <c r="D9" i="2333" s="1"/>
  <c r="H38" i="2333"/>
  <c r="D38" i="2333"/>
  <c r="R37" i="2333"/>
  <c r="H37" i="2333"/>
  <c r="D37" i="2333"/>
  <c r="R36" i="2333"/>
  <c r="H36" i="2333"/>
  <c r="D36" i="2333"/>
  <c r="R35" i="2333"/>
  <c r="L18" i="2333" s="1"/>
  <c r="D18" i="2333" s="1"/>
  <c r="H35" i="2333"/>
  <c r="D35" i="2333"/>
  <c r="R34" i="2333"/>
  <c r="L12" i="2333" s="1"/>
  <c r="D12" i="2333" s="1"/>
  <c r="H34" i="2333"/>
  <c r="D34" i="2333"/>
  <c r="R33" i="2333"/>
  <c r="R32" i="2333"/>
  <c r="R31" i="2333"/>
  <c r="R30" i="2333"/>
  <c r="R29" i="2333"/>
  <c r="R28" i="2333"/>
  <c r="L28" i="2333"/>
  <c r="D28" i="2333"/>
  <c r="R27" i="2333"/>
  <c r="L27" i="2333"/>
  <c r="D27" i="2333"/>
  <c r="R26" i="2333"/>
  <c r="L26" i="2333"/>
  <c r="D26" i="2333" s="1"/>
  <c r="R25" i="2333"/>
  <c r="L25" i="2333"/>
  <c r="D25" i="2333"/>
  <c r="R24" i="2333"/>
  <c r="L24" i="2333"/>
  <c r="D24" i="2333"/>
  <c r="R23" i="2333"/>
  <c r="L23" i="2333"/>
  <c r="D23" i="2333"/>
  <c r="R22" i="2333"/>
  <c r="L20" i="2333" s="1"/>
  <c r="D20" i="2333" s="1"/>
  <c r="L22" i="2333"/>
  <c r="D22" i="2333"/>
  <c r="R21" i="2333"/>
  <c r="L17" i="2333" s="1"/>
  <c r="D17" i="2333" s="1"/>
  <c r="L21" i="2333"/>
  <c r="D21" i="2333"/>
  <c r="R20" i="2333"/>
  <c r="R19" i="2333"/>
  <c r="L19" i="2333"/>
  <c r="D19" i="2333"/>
  <c r="R18" i="2333"/>
  <c r="R17" i="2333"/>
  <c r="R16" i="2333"/>
  <c r="L16" i="2333"/>
  <c r="D16" i="2333"/>
  <c r="R15" i="2333"/>
  <c r="R14" i="2333"/>
  <c r="D14" i="2333"/>
  <c r="R13" i="2333"/>
  <c r="D13" i="2333"/>
  <c r="R12" i="2333"/>
  <c r="R11" i="2333"/>
  <c r="L11" i="2333"/>
  <c r="D11" i="2333"/>
  <c r="L10" i="2333"/>
  <c r="D10" i="2333" s="1"/>
  <c r="R6" i="2333"/>
  <c r="R5" i="2333"/>
  <c r="R4" i="2333"/>
  <c r="L15" i="2333" s="1"/>
  <c r="D15" i="2333" s="1"/>
  <c r="R52" i="2332"/>
  <c r="R51" i="2332"/>
  <c r="D50" i="2332"/>
  <c r="R49" i="2332"/>
  <c r="G49" i="2332"/>
  <c r="D49" i="2332"/>
  <c r="R48" i="2332"/>
  <c r="D48" i="2332"/>
  <c r="D46" i="2332"/>
  <c r="D45" i="2332"/>
  <c r="D44" i="2332"/>
  <c r="R42" i="2332"/>
  <c r="L6" i="2332" s="1"/>
  <c r="D6" i="2332" s="1"/>
  <c r="D42" i="2332"/>
  <c r="R41" i="2332"/>
  <c r="L7" i="2332" s="1"/>
  <c r="D7" i="2332" s="1"/>
  <c r="D41" i="2332"/>
  <c r="R40" i="2332"/>
  <c r="D40" i="2332"/>
  <c r="R39" i="2332"/>
  <c r="D39" i="2332"/>
  <c r="R38" i="2332"/>
  <c r="L9" i="2332" s="1"/>
  <c r="D9" i="2332" s="1"/>
  <c r="D38" i="2332"/>
  <c r="R37" i="2332"/>
  <c r="D37" i="2332"/>
  <c r="R36" i="2332"/>
  <c r="L10" i="2332" s="1"/>
  <c r="D10" i="2332" s="1"/>
  <c r="D36" i="2332"/>
  <c r="R35" i="2332"/>
  <c r="D35" i="2332"/>
  <c r="R34" i="2332"/>
  <c r="D34" i="2332"/>
  <c r="D54" i="2332" s="1"/>
  <c r="H14" i="2332" s="1"/>
  <c r="R33" i="2332"/>
  <c r="L23" i="2332" s="1"/>
  <c r="D23" i="2332" s="1"/>
  <c r="R32" i="2332"/>
  <c r="R31" i="2332"/>
  <c r="R30" i="2332"/>
  <c r="R29" i="2332"/>
  <c r="R28" i="2332"/>
  <c r="L16" i="2332" s="1"/>
  <c r="D16" i="2332" s="1"/>
  <c r="D28" i="2332"/>
  <c r="R27" i="2332"/>
  <c r="D27" i="2332"/>
  <c r="R26" i="2332"/>
  <c r="L26" i="2332"/>
  <c r="D26" i="2332"/>
  <c r="R25" i="2332"/>
  <c r="L25" i="2332"/>
  <c r="D25" i="2332"/>
  <c r="R24" i="2332"/>
  <c r="D24" i="2332"/>
  <c r="R23" i="2332"/>
  <c r="R22" i="2332"/>
  <c r="L22" i="2332"/>
  <c r="D22" i="2332" s="1"/>
  <c r="R21" i="2332"/>
  <c r="D21" i="2332"/>
  <c r="R20" i="2332"/>
  <c r="L20" i="2332"/>
  <c r="D20" i="2332"/>
  <c r="R19" i="2332"/>
  <c r="L19" i="2332"/>
  <c r="D19" i="2332"/>
  <c r="R18" i="2332"/>
  <c r="D18" i="2332"/>
  <c r="R17" i="2332"/>
  <c r="D17" i="2332"/>
  <c r="R16" i="2332"/>
  <c r="S15" i="2332"/>
  <c r="R15" i="2332"/>
  <c r="D15" i="2332"/>
  <c r="S14" i="2332"/>
  <c r="R14" i="2332"/>
  <c r="D14" i="2332"/>
  <c r="R13" i="2332"/>
  <c r="D13" i="2332"/>
  <c r="R12" i="2332"/>
  <c r="L12" i="2332"/>
  <c r="D12" i="2332"/>
  <c r="R11" i="2332"/>
  <c r="L11" i="2332"/>
  <c r="D11" i="2332" s="1"/>
  <c r="L8" i="2332"/>
  <c r="D8" i="2332"/>
  <c r="R6" i="2332"/>
  <c r="R5" i="2332"/>
  <c r="R4" i="2332"/>
  <c r="F51" i="2340" l="1"/>
  <c r="G51" i="2340"/>
  <c r="F51" i="2339"/>
  <c r="F51" i="2337"/>
  <c r="G51" i="2337"/>
  <c r="G49" i="2333"/>
  <c r="D54" i="2333"/>
  <c r="H14" i="2333" s="1"/>
  <c r="G49" i="2334"/>
  <c r="D54" i="2334"/>
  <c r="H14" i="2334" s="1"/>
  <c r="G49" i="2335"/>
  <c r="D54" i="2335"/>
  <c r="H14" i="2335" s="1"/>
  <c r="D29" i="2335"/>
  <c r="H13" i="2335" s="1"/>
  <c r="D16" i="2334"/>
  <c r="D29" i="2334"/>
  <c r="H13" i="2334" s="1"/>
  <c r="D29" i="2333"/>
  <c r="H13" i="2333" s="1"/>
  <c r="D29" i="2332"/>
  <c r="H13" i="2332" s="1"/>
  <c r="H15" i="2332" s="1"/>
  <c r="H29" i="2332" s="1"/>
  <c r="G51" i="2332" s="1"/>
  <c r="C16" i="2330"/>
  <c r="R52" i="2331"/>
  <c r="R51" i="2331"/>
  <c r="D50" i="2331"/>
  <c r="R49" i="2331"/>
  <c r="D49" i="2331"/>
  <c r="R48" i="2331"/>
  <c r="D48" i="2331"/>
  <c r="D46" i="2331"/>
  <c r="D45" i="2331"/>
  <c r="R44" i="2331"/>
  <c r="L28" i="2331" s="1"/>
  <c r="D28" i="2331" s="1"/>
  <c r="D44" i="2331"/>
  <c r="R42" i="2331"/>
  <c r="D42" i="2331"/>
  <c r="R41" i="2331"/>
  <c r="L7" i="2331" s="1"/>
  <c r="D7" i="2331" s="1"/>
  <c r="D41" i="2331"/>
  <c r="R40" i="2331"/>
  <c r="L8" i="2331" s="1"/>
  <c r="D8" i="2331" s="1"/>
  <c r="D40" i="2331"/>
  <c r="R39" i="2331"/>
  <c r="H39" i="2331"/>
  <c r="D39" i="2331"/>
  <c r="R38" i="2331"/>
  <c r="H38" i="2331"/>
  <c r="D38" i="2331"/>
  <c r="R37" i="2331"/>
  <c r="H37" i="2331"/>
  <c r="D37" i="2331"/>
  <c r="R36" i="2331"/>
  <c r="H36" i="2331"/>
  <c r="G49" i="2331" s="1"/>
  <c r="D36" i="2331"/>
  <c r="R35" i="2331"/>
  <c r="L18" i="2331" s="1"/>
  <c r="D18" i="2331" s="1"/>
  <c r="H35" i="2331"/>
  <c r="D35" i="2331"/>
  <c r="R34" i="2331"/>
  <c r="H34" i="2331"/>
  <c r="D34" i="2331"/>
  <c r="R33" i="2331"/>
  <c r="L19" i="2331" s="1"/>
  <c r="D19" i="2331" s="1"/>
  <c r="R32" i="2331"/>
  <c r="L11" i="2331" s="1"/>
  <c r="D11" i="2331" s="1"/>
  <c r="R31" i="2331"/>
  <c r="R30" i="2331"/>
  <c r="R29" i="2331"/>
  <c r="R28" i="2331"/>
  <c r="R27" i="2331"/>
  <c r="L27" i="2331"/>
  <c r="D27" i="2331"/>
  <c r="R26" i="2331"/>
  <c r="L26" i="2331"/>
  <c r="D26" i="2331"/>
  <c r="R25" i="2331"/>
  <c r="L25" i="2331"/>
  <c r="D25" i="2331" s="1"/>
  <c r="R24" i="2331"/>
  <c r="L24" i="2331"/>
  <c r="D24" i="2331"/>
  <c r="R23" i="2331"/>
  <c r="L23" i="2331"/>
  <c r="D23" i="2331"/>
  <c r="R22" i="2331"/>
  <c r="L20" i="2331" s="1"/>
  <c r="D20" i="2331" s="1"/>
  <c r="L22" i="2331"/>
  <c r="D22" i="2331" s="1"/>
  <c r="R21" i="2331"/>
  <c r="D21" i="2331"/>
  <c r="R20" i="2331"/>
  <c r="R19" i="2331"/>
  <c r="R18" i="2331"/>
  <c r="R17" i="2331"/>
  <c r="L17" i="2331"/>
  <c r="D17" i="2331"/>
  <c r="R16" i="2331"/>
  <c r="R15" i="2331"/>
  <c r="R14" i="2331"/>
  <c r="D14" i="2331"/>
  <c r="R13" i="2331"/>
  <c r="D13" i="2331"/>
  <c r="R12" i="2331"/>
  <c r="L12" i="2331"/>
  <c r="D12" i="2331"/>
  <c r="R11" i="2331"/>
  <c r="L10" i="2331"/>
  <c r="D10" i="2331" s="1"/>
  <c r="L9" i="2331"/>
  <c r="D9" i="2331"/>
  <c r="R6" i="2331"/>
  <c r="L16" i="2331" s="1"/>
  <c r="D16" i="2331" s="1"/>
  <c r="L6" i="2331"/>
  <c r="D6" i="2331" s="1"/>
  <c r="R5" i="2331"/>
  <c r="R4" i="2331"/>
  <c r="L15" i="2331" s="1"/>
  <c r="D15" i="2331" s="1"/>
  <c r="R52" i="2330"/>
  <c r="R51" i="2330"/>
  <c r="D50" i="2330"/>
  <c r="R49" i="2330"/>
  <c r="D49" i="2330"/>
  <c r="R48" i="2330"/>
  <c r="D48" i="2330"/>
  <c r="D46" i="2330"/>
  <c r="D45" i="2330"/>
  <c r="R44" i="2330"/>
  <c r="L28" i="2330" s="1"/>
  <c r="D28" i="2330" s="1"/>
  <c r="D44" i="2330"/>
  <c r="R42" i="2330"/>
  <c r="L6" i="2330" s="1"/>
  <c r="D6" i="2330" s="1"/>
  <c r="D42" i="2330"/>
  <c r="R41" i="2330"/>
  <c r="D41" i="2330"/>
  <c r="R40" i="2330"/>
  <c r="D40" i="2330"/>
  <c r="R39" i="2330"/>
  <c r="H39" i="2330"/>
  <c r="D39" i="2330"/>
  <c r="R38" i="2330"/>
  <c r="L9" i="2330" s="1"/>
  <c r="D9" i="2330" s="1"/>
  <c r="H38" i="2330"/>
  <c r="D38" i="2330"/>
  <c r="R37" i="2330"/>
  <c r="H37" i="2330"/>
  <c r="D37" i="2330"/>
  <c r="R36" i="2330"/>
  <c r="L10" i="2330" s="1"/>
  <c r="D10" i="2330" s="1"/>
  <c r="H36" i="2330"/>
  <c r="D36" i="2330"/>
  <c r="R35" i="2330"/>
  <c r="H35" i="2330"/>
  <c r="D35" i="2330"/>
  <c r="R34" i="2330"/>
  <c r="H34" i="2330"/>
  <c r="G49" i="2330" s="1"/>
  <c r="D34" i="2330"/>
  <c r="R33" i="2330"/>
  <c r="R32" i="2330"/>
  <c r="R31" i="2330"/>
  <c r="R30" i="2330"/>
  <c r="R29" i="2330"/>
  <c r="R28" i="2330"/>
  <c r="R27" i="2330"/>
  <c r="L27" i="2330"/>
  <c r="D27" i="2330"/>
  <c r="R26" i="2330"/>
  <c r="L26" i="2330"/>
  <c r="D26" i="2330" s="1"/>
  <c r="R25" i="2330"/>
  <c r="L25" i="2330"/>
  <c r="D25" i="2330"/>
  <c r="R24" i="2330"/>
  <c r="L24" i="2330"/>
  <c r="D24" i="2330"/>
  <c r="R23" i="2330"/>
  <c r="L23" i="2330"/>
  <c r="D23" i="2330"/>
  <c r="R22" i="2330"/>
  <c r="L20" i="2330" s="1"/>
  <c r="D20" i="2330" s="1"/>
  <c r="L22" i="2330"/>
  <c r="D22" i="2330"/>
  <c r="R21" i="2330"/>
  <c r="D21" i="2330"/>
  <c r="R20" i="2330"/>
  <c r="R19" i="2330"/>
  <c r="L19" i="2330"/>
  <c r="D19" i="2330"/>
  <c r="R18" i="2330"/>
  <c r="L18" i="2330"/>
  <c r="D18" i="2330"/>
  <c r="R17" i="2330"/>
  <c r="L17" i="2330"/>
  <c r="D17" i="2330"/>
  <c r="R16" i="2330"/>
  <c r="R15" i="2330"/>
  <c r="L15" i="2330"/>
  <c r="D15" i="2330" s="1"/>
  <c r="R14" i="2330"/>
  <c r="L14" i="2330"/>
  <c r="D14" i="2330"/>
  <c r="R13" i="2330"/>
  <c r="D13" i="2330"/>
  <c r="R12" i="2330"/>
  <c r="L12" i="2330"/>
  <c r="D12" i="2330" s="1"/>
  <c r="R11" i="2330"/>
  <c r="L11" i="2330"/>
  <c r="D11" i="2330" s="1"/>
  <c r="L8" i="2330"/>
  <c r="D8" i="2330"/>
  <c r="L7" i="2330"/>
  <c r="D7" i="2330"/>
  <c r="R6" i="2330"/>
  <c r="L16" i="2330" s="1"/>
  <c r="D16" i="2330" s="1"/>
  <c r="R5" i="2330"/>
  <c r="R4" i="2330"/>
  <c r="V68" i="2329"/>
  <c r="R52" i="2329"/>
  <c r="R51" i="2329"/>
  <c r="D50" i="2329"/>
  <c r="R49" i="2329"/>
  <c r="D49" i="2329"/>
  <c r="R48" i="2329"/>
  <c r="D48" i="2329"/>
  <c r="D46" i="2329"/>
  <c r="D45" i="2329"/>
  <c r="R44" i="2329"/>
  <c r="D44" i="2329"/>
  <c r="R42" i="2329"/>
  <c r="L6" i="2329" s="1"/>
  <c r="D6" i="2329" s="1"/>
  <c r="D42" i="2329"/>
  <c r="R41" i="2329"/>
  <c r="D41" i="2329"/>
  <c r="R40" i="2329"/>
  <c r="L8" i="2329" s="1"/>
  <c r="D8" i="2329" s="1"/>
  <c r="D40" i="2329"/>
  <c r="R39" i="2329"/>
  <c r="H39" i="2329"/>
  <c r="D39" i="2329"/>
  <c r="R38" i="2329"/>
  <c r="H38" i="2329"/>
  <c r="D38" i="2329"/>
  <c r="R37" i="2329"/>
  <c r="H37" i="2329"/>
  <c r="D37" i="2329"/>
  <c r="R36" i="2329"/>
  <c r="L10" i="2329" s="1"/>
  <c r="D10" i="2329" s="1"/>
  <c r="H36" i="2329"/>
  <c r="D36" i="2329"/>
  <c r="R35" i="2329"/>
  <c r="H35" i="2329"/>
  <c r="D35" i="2329"/>
  <c r="R34" i="2329"/>
  <c r="L12" i="2329" s="1"/>
  <c r="D12" i="2329" s="1"/>
  <c r="H34" i="2329"/>
  <c r="D34" i="2329"/>
  <c r="R33" i="2329"/>
  <c r="R32" i="2329"/>
  <c r="R31" i="2329"/>
  <c r="R30" i="2329"/>
  <c r="R29" i="2329"/>
  <c r="R28" i="2329"/>
  <c r="L28" i="2329"/>
  <c r="D28" i="2329" s="1"/>
  <c r="R27" i="2329"/>
  <c r="L27" i="2329"/>
  <c r="D27" i="2329"/>
  <c r="R26" i="2329"/>
  <c r="L26" i="2329"/>
  <c r="D26" i="2329" s="1"/>
  <c r="R25" i="2329"/>
  <c r="L25" i="2329"/>
  <c r="D25" i="2329"/>
  <c r="R24" i="2329"/>
  <c r="L24" i="2329"/>
  <c r="D24" i="2329"/>
  <c r="R23" i="2329"/>
  <c r="L23" i="2329"/>
  <c r="D23" i="2329"/>
  <c r="R22" i="2329"/>
  <c r="L22" i="2329"/>
  <c r="D22" i="2329"/>
  <c r="R21" i="2329"/>
  <c r="L17" i="2329" s="1"/>
  <c r="D17" i="2329" s="1"/>
  <c r="L21" i="2329"/>
  <c r="D21" i="2329" s="1"/>
  <c r="R20" i="2329"/>
  <c r="L20" i="2329"/>
  <c r="D20" i="2329" s="1"/>
  <c r="R19" i="2329"/>
  <c r="L19" i="2329"/>
  <c r="D19" i="2329"/>
  <c r="R18" i="2329"/>
  <c r="L18" i="2329"/>
  <c r="D18" i="2329"/>
  <c r="R17" i="2329"/>
  <c r="R16" i="2329"/>
  <c r="R15" i="2329"/>
  <c r="R14" i="2329"/>
  <c r="D14" i="2329"/>
  <c r="R13" i="2329"/>
  <c r="D13" i="2329"/>
  <c r="R12" i="2329"/>
  <c r="R11" i="2329"/>
  <c r="L11" i="2329"/>
  <c r="D11" i="2329"/>
  <c r="L9" i="2329"/>
  <c r="D9" i="2329" s="1"/>
  <c r="L7" i="2329"/>
  <c r="D7" i="2329"/>
  <c r="R6" i="2329"/>
  <c r="L16" i="2329" s="1"/>
  <c r="D16" i="2329" s="1"/>
  <c r="R5" i="2329"/>
  <c r="R4" i="2329"/>
  <c r="L15" i="2329" s="1"/>
  <c r="D15" i="2329" s="1"/>
  <c r="R52" i="2328"/>
  <c r="R51" i="2328"/>
  <c r="D50" i="2328"/>
  <c r="R49" i="2328"/>
  <c r="G49" i="2328"/>
  <c r="D49" i="2328"/>
  <c r="R48" i="2328"/>
  <c r="D48" i="2328"/>
  <c r="D46" i="2328"/>
  <c r="D45" i="2328"/>
  <c r="D44" i="2328"/>
  <c r="R42" i="2328"/>
  <c r="L6" i="2328" s="1"/>
  <c r="D6" i="2328" s="1"/>
  <c r="D42" i="2328"/>
  <c r="R41" i="2328"/>
  <c r="L7" i="2328" s="1"/>
  <c r="D7" i="2328" s="1"/>
  <c r="D41" i="2328"/>
  <c r="R40" i="2328"/>
  <c r="D40" i="2328"/>
  <c r="R39" i="2328"/>
  <c r="D39" i="2328"/>
  <c r="R38" i="2328"/>
  <c r="D38" i="2328"/>
  <c r="R37" i="2328"/>
  <c r="D37" i="2328"/>
  <c r="R36" i="2328"/>
  <c r="L10" i="2328" s="1"/>
  <c r="D10" i="2328" s="1"/>
  <c r="D36" i="2328"/>
  <c r="R35" i="2328"/>
  <c r="D35" i="2328"/>
  <c r="R34" i="2328"/>
  <c r="L12" i="2328" s="1"/>
  <c r="D12" i="2328" s="1"/>
  <c r="D34" i="2328"/>
  <c r="D54" i="2328" s="1"/>
  <c r="H14" i="2328" s="1"/>
  <c r="R33" i="2328"/>
  <c r="L23" i="2328" s="1"/>
  <c r="D23" i="2328" s="1"/>
  <c r="R32" i="2328"/>
  <c r="R31" i="2328"/>
  <c r="R30" i="2328"/>
  <c r="R29" i="2328"/>
  <c r="R28" i="2328"/>
  <c r="L16" i="2328" s="1"/>
  <c r="D16" i="2328" s="1"/>
  <c r="D28" i="2328"/>
  <c r="R27" i="2328"/>
  <c r="D27" i="2328"/>
  <c r="R26" i="2328"/>
  <c r="L26" i="2328"/>
  <c r="D26" i="2328"/>
  <c r="R25" i="2328"/>
  <c r="L25" i="2328"/>
  <c r="D25" i="2328"/>
  <c r="R24" i="2328"/>
  <c r="D24" i="2328"/>
  <c r="R23" i="2328"/>
  <c r="R22" i="2328"/>
  <c r="L22" i="2328"/>
  <c r="D22" i="2328"/>
  <c r="R21" i="2328"/>
  <c r="D21" i="2328"/>
  <c r="R20" i="2328"/>
  <c r="L20" i="2328"/>
  <c r="D20" i="2328"/>
  <c r="R19" i="2328"/>
  <c r="L19" i="2328"/>
  <c r="D19" i="2328"/>
  <c r="R18" i="2328"/>
  <c r="D18" i="2328"/>
  <c r="R17" i="2328"/>
  <c r="D17" i="2328"/>
  <c r="R16" i="2328"/>
  <c r="S15" i="2328"/>
  <c r="R15" i="2328"/>
  <c r="D15" i="2328"/>
  <c r="S14" i="2328"/>
  <c r="R14" i="2328"/>
  <c r="D14" i="2328"/>
  <c r="R13" i="2328"/>
  <c r="D13" i="2328"/>
  <c r="R12" i="2328"/>
  <c r="R11" i="2328"/>
  <c r="L11" i="2328"/>
  <c r="D11" i="2328"/>
  <c r="L9" i="2328"/>
  <c r="D9" i="2328"/>
  <c r="L8" i="2328"/>
  <c r="D8" i="2328"/>
  <c r="R6" i="2328"/>
  <c r="R5" i="2328"/>
  <c r="R4" i="2328"/>
  <c r="H15" i="2335" l="1"/>
  <c r="H29" i="2335" s="1"/>
  <c r="G51" i="2335" s="1"/>
  <c r="H15" i="2334"/>
  <c r="H29" i="2334" s="1"/>
  <c r="F51" i="2334" s="1"/>
  <c r="H15" i="2333"/>
  <c r="H29" i="2333" s="1"/>
  <c r="F51" i="2333" s="1"/>
  <c r="D54" i="2331"/>
  <c r="H14" i="2331" s="1"/>
  <c r="D29" i="2331"/>
  <c r="H13" i="2331" s="1"/>
  <c r="D54" i="2330"/>
  <c r="H14" i="2330" s="1"/>
  <c r="D54" i="2329"/>
  <c r="H14" i="2329" s="1"/>
  <c r="G49" i="2329"/>
  <c r="D29" i="2330"/>
  <c r="H13" i="2330" s="1"/>
  <c r="D29" i="2329"/>
  <c r="H13" i="2329" s="1"/>
  <c r="D29" i="2328"/>
  <c r="H13" i="2328" s="1"/>
  <c r="H15" i="2328" s="1"/>
  <c r="H29" i="2328" s="1"/>
  <c r="G51" i="2328" s="1"/>
  <c r="R52" i="2316"/>
  <c r="R51" i="2316"/>
  <c r="D50" i="2316"/>
  <c r="R49" i="2316"/>
  <c r="D49" i="2316"/>
  <c r="R48" i="2316"/>
  <c r="D48" i="2316"/>
  <c r="D46" i="2316"/>
  <c r="D45" i="2316"/>
  <c r="R44" i="2316"/>
  <c r="L28" i="2316" s="1"/>
  <c r="D28" i="2316" s="1"/>
  <c r="D44" i="2316"/>
  <c r="R42" i="2316"/>
  <c r="D42" i="2316"/>
  <c r="R41" i="2316"/>
  <c r="D41" i="2316"/>
  <c r="R40" i="2316"/>
  <c r="L8" i="2316" s="1"/>
  <c r="D8" i="2316" s="1"/>
  <c r="D40" i="2316"/>
  <c r="R39" i="2316"/>
  <c r="H39" i="2316"/>
  <c r="D39" i="2316"/>
  <c r="R38" i="2316"/>
  <c r="L9" i="2316" s="1"/>
  <c r="D9" i="2316" s="1"/>
  <c r="H38" i="2316"/>
  <c r="D38" i="2316"/>
  <c r="R37" i="2316"/>
  <c r="H37" i="2316"/>
  <c r="D37" i="2316"/>
  <c r="R36" i="2316"/>
  <c r="H36" i="2316"/>
  <c r="D36" i="2316"/>
  <c r="R35" i="2316"/>
  <c r="H35" i="2316"/>
  <c r="D35" i="2316"/>
  <c r="R34" i="2316"/>
  <c r="L12" i="2316" s="1"/>
  <c r="D12" i="2316" s="1"/>
  <c r="H34" i="2316"/>
  <c r="D34" i="2316"/>
  <c r="R33" i="2316"/>
  <c r="R32" i="2316"/>
  <c r="R31" i="2316"/>
  <c r="R30" i="2316"/>
  <c r="R29" i="2316"/>
  <c r="R28" i="2316"/>
  <c r="R27" i="2316"/>
  <c r="L27" i="2316"/>
  <c r="D27" i="2316"/>
  <c r="R26" i="2316"/>
  <c r="L26" i="2316"/>
  <c r="D26" i="2316" s="1"/>
  <c r="R25" i="2316"/>
  <c r="L25" i="2316"/>
  <c r="D25" i="2316"/>
  <c r="R24" i="2316"/>
  <c r="L24" i="2316"/>
  <c r="D24" i="2316"/>
  <c r="R23" i="2316"/>
  <c r="L23" i="2316"/>
  <c r="D23" i="2316"/>
  <c r="R22" i="2316"/>
  <c r="L20" i="2316" s="1"/>
  <c r="D20" i="2316" s="1"/>
  <c r="L22" i="2316"/>
  <c r="D22" i="2316"/>
  <c r="R21" i="2316"/>
  <c r="L17" i="2316" s="1"/>
  <c r="D17" i="2316" s="1"/>
  <c r="D21" i="2316"/>
  <c r="R20" i="2316"/>
  <c r="R19" i="2316"/>
  <c r="L19" i="2316"/>
  <c r="D19" i="2316"/>
  <c r="R18" i="2316"/>
  <c r="L18" i="2316"/>
  <c r="D18" i="2316"/>
  <c r="R17" i="2316"/>
  <c r="R16" i="2316"/>
  <c r="R15" i="2316"/>
  <c r="L15" i="2316"/>
  <c r="D15" i="2316" s="1"/>
  <c r="R14" i="2316"/>
  <c r="D14" i="2316"/>
  <c r="R13" i="2316"/>
  <c r="D13" i="2316"/>
  <c r="R12" i="2316"/>
  <c r="R11" i="2316"/>
  <c r="L11" i="2316"/>
  <c r="D11" i="2316"/>
  <c r="L10" i="2316"/>
  <c r="D10" i="2316"/>
  <c r="L7" i="2316"/>
  <c r="D7" i="2316"/>
  <c r="R6" i="2316"/>
  <c r="L16" i="2316" s="1"/>
  <c r="D16" i="2316" s="1"/>
  <c r="L6" i="2316"/>
  <c r="D6" i="2316" s="1"/>
  <c r="R5" i="2316"/>
  <c r="R4" i="2316"/>
  <c r="R52" i="2315"/>
  <c r="R51" i="2315"/>
  <c r="D50" i="2315"/>
  <c r="R49" i="2315"/>
  <c r="D49" i="2315"/>
  <c r="R48" i="2315"/>
  <c r="D48" i="2315"/>
  <c r="D46" i="2315"/>
  <c r="D45" i="2315"/>
  <c r="R44" i="2315"/>
  <c r="L28" i="2315" s="1"/>
  <c r="D28" i="2315" s="1"/>
  <c r="D44" i="2315"/>
  <c r="R42" i="2315"/>
  <c r="L6" i="2315" s="1"/>
  <c r="D6" i="2315" s="1"/>
  <c r="D42" i="2315"/>
  <c r="R41" i="2315"/>
  <c r="L7" i="2315" s="1"/>
  <c r="D7" i="2315" s="1"/>
  <c r="D41" i="2315"/>
  <c r="R40" i="2315"/>
  <c r="L8" i="2315" s="1"/>
  <c r="D8" i="2315" s="1"/>
  <c r="D40" i="2315"/>
  <c r="R39" i="2315"/>
  <c r="H39" i="2315"/>
  <c r="D39" i="2315"/>
  <c r="R38" i="2315"/>
  <c r="H38" i="2315"/>
  <c r="D38" i="2315"/>
  <c r="R37" i="2315"/>
  <c r="H37" i="2315"/>
  <c r="D37" i="2315"/>
  <c r="R36" i="2315"/>
  <c r="H36" i="2315"/>
  <c r="D36" i="2315"/>
  <c r="R35" i="2315"/>
  <c r="L18" i="2315" s="1"/>
  <c r="D18" i="2315" s="1"/>
  <c r="H35" i="2315"/>
  <c r="D35" i="2315"/>
  <c r="D54" i="2315" s="1"/>
  <c r="H14" i="2315" s="1"/>
  <c r="R34" i="2315"/>
  <c r="L12" i="2315" s="1"/>
  <c r="D12" i="2315" s="1"/>
  <c r="H34" i="2315"/>
  <c r="D34" i="2315"/>
  <c r="R33" i="2315"/>
  <c r="L19" i="2315" s="1"/>
  <c r="D19" i="2315" s="1"/>
  <c r="R32" i="2315"/>
  <c r="R31" i="2315"/>
  <c r="R30" i="2315"/>
  <c r="R29" i="2315"/>
  <c r="R28" i="2315"/>
  <c r="R27" i="2315"/>
  <c r="L27" i="2315"/>
  <c r="D27" i="2315"/>
  <c r="R26" i="2315"/>
  <c r="L26" i="2315"/>
  <c r="D26" i="2315" s="1"/>
  <c r="R25" i="2315"/>
  <c r="L25" i="2315"/>
  <c r="D25" i="2315" s="1"/>
  <c r="R24" i="2315"/>
  <c r="L24" i="2315"/>
  <c r="D24" i="2315"/>
  <c r="R23" i="2315"/>
  <c r="L23" i="2315"/>
  <c r="D23" i="2315"/>
  <c r="R22" i="2315"/>
  <c r="L20" i="2315" s="1"/>
  <c r="D20" i="2315" s="1"/>
  <c r="L22" i="2315"/>
  <c r="D22" i="2315" s="1"/>
  <c r="R21" i="2315"/>
  <c r="L17" i="2315" s="1"/>
  <c r="D17" i="2315" s="1"/>
  <c r="D21" i="2315"/>
  <c r="R20" i="2315"/>
  <c r="R19" i="2315"/>
  <c r="R18" i="2315"/>
  <c r="R17" i="2315"/>
  <c r="R16" i="2315"/>
  <c r="R15" i="2315"/>
  <c r="R14" i="2315"/>
  <c r="L14" i="2315"/>
  <c r="D14" i="2315"/>
  <c r="R13" i="2315"/>
  <c r="D13" i="2315"/>
  <c r="R12" i="2315"/>
  <c r="R11" i="2315"/>
  <c r="L11" i="2315"/>
  <c r="D11" i="2315"/>
  <c r="L10" i="2315"/>
  <c r="D10" i="2315" s="1"/>
  <c r="L9" i="2315"/>
  <c r="D9" i="2315" s="1"/>
  <c r="R6" i="2315"/>
  <c r="L16" i="2315" s="1"/>
  <c r="D16" i="2315" s="1"/>
  <c r="R5" i="2315"/>
  <c r="R4" i="2315"/>
  <c r="L15" i="2315" s="1"/>
  <c r="D15" i="2315" s="1"/>
  <c r="V68" i="2314"/>
  <c r="R52" i="2314"/>
  <c r="R51" i="2314"/>
  <c r="D50" i="2314"/>
  <c r="R49" i="2314"/>
  <c r="D49" i="2314"/>
  <c r="R48" i="2314"/>
  <c r="D48" i="2314"/>
  <c r="D46" i="2314"/>
  <c r="D45" i="2314"/>
  <c r="R44" i="2314"/>
  <c r="L28" i="2314" s="1"/>
  <c r="D28" i="2314" s="1"/>
  <c r="D44" i="2314"/>
  <c r="R42" i="2314"/>
  <c r="D42" i="2314"/>
  <c r="R41" i="2314"/>
  <c r="D41" i="2314"/>
  <c r="R40" i="2314"/>
  <c r="D40" i="2314"/>
  <c r="R39" i="2314"/>
  <c r="H39" i="2314"/>
  <c r="D39" i="2314"/>
  <c r="R38" i="2314"/>
  <c r="L9" i="2314" s="1"/>
  <c r="D9" i="2314" s="1"/>
  <c r="H38" i="2314"/>
  <c r="D38" i="2314"/>
  <c r="R37" i="2314"/>
  <c r="H37" i="2314"/>
  <c r="D37" i="2314"/>
  <c r="R36" i="2314"/>
  <c r="L10" i="2314" s="1"/>
  <c r="D10" i="2314" s="1"/>
  <c r="H36" i="2314"/>
  <c r="D36" i="2314"/>
  <c r="R35" i="2314"/>
  <c r="H35" i="2314"/>
  <c r="D35" i="2314"/>
  <c r="R34" i="2314"/>
  <c r="L12" i="2314" s="1"/>
  <c r="D12" i="2314" s="1"/>
  <c r="H34" i="2314"/>
  <c r="D34" i="2314"/>
  <c r="D54" i="2314" s="1"/>
  <c r="H14" i="2314" s="1"/>
  <c r="R33" i="2314"/>
  <c r="R32" i="2314"/>
  <c r="L11" i="2314" s="1"/>
  <c r="D11" i="2314" s="1"/>
  <c r="R31" i="2314"/>
  <c r="R30" i="2314"/>
  <c r="R29" i="2314"/>
  <c r="R28" i="2314"/>
  <c r="R27" i="2314"/>
  <c r="L27" i="2314"/>
  <c r="D27" i="2314"/>
  <c r="R26" i="2314"/>
  <c r="L26" i="2314"/>
  <c r="D26" i="2314"/>
  <c r="R25" i="2314"/>
  <c r="L25" i="2314"/>
  <c r="D25" i="2314"/>
  <c r="R24" i="2314"/>
  <c r="L24" i="2314"/>
  <c r="D24" i="2314" s="1"/>
  <c r="R23" i="2314"/>
  <c r="L23" i="2314"/>
  <c r="D23" i="2314" s="1"/>
  <c r="R22" i="2314"/>
  <c r="L22" i="2314"/>
  <c r="D22" i="2314" s="1"/>
  <c r="R21" i="2314"/>
  <c r="L17" i="2314" s="1"/>
  <c r="D17" i="2314" s="1"/>
  <c r="L21" i="2314"/>
  <c r="D21" i="2314" s="1"/>
  <c r="R20" i="2314"/>
  <c r="L20" i="2314"/>
  <c r="D20" i="2314"/>
  <c r="R19" i="2314"/>
  <c r="L19" i="2314"/>
  <c r="D19" i="2314"/>
  <c r="R18" i="2314"/>
  <c r="L18" i="2314"/>
  <c r="D18" i="2314"/>
  <c r="R17" i="2314"/>
  <c r="R16" i="2314"/>
  <c r="R15" i="2314"/>
  <c r="R14" i="2314"/>
  <c r="D14" i="2314"/>
  <c r="R13" i="2314"/>
  <c r="D13" i="2314"/>
  <c r="R12" i="2314"/>
  <c r="R11" i="2314"/>
  <c r="L8" i="2314"/>
  <c r="D8" i="2314" s="1"/>
  <c r="L7" i="2314"/>
  <c r="D7" i="2314"/>
  <c r="R6" i="2314"/>
  <c r="L16" i="2314" s="1"/>
  <c r="D16" i="2314" s="1"/>
  <c r="L6" i="2314"/>
  <c r="D6" i="2314" s="1"/>
  <c r="R5" i="2314"/>
  <c r="R4" i="2314"/>
  <c r="L15" i="2314" s="1"/>
  <c r="D15" i="2314" s="1"/>
  <c r="R52" i="2313"/>
  <c r="R51" i="2313"/>
  <c r="D50" i="2313"/>
  <c r="R49" i="2313"/>
  <c r="G49" i="2313"/>
  <c r="D49" i="2313"/>
  <c r="R48" i="2313"/>
  <c r="D48" i="2313"/>
  <c r="D46" i="2313"/>
  <c r="D45" i="2313"/>
  <c r="D44" i="2313"/>
  <c r="R42" i="2313"/>
  <c r="D42" i="2313"/>
  <c r="R41" i="2313"/>
  <c r="L7" i="2313" s="1"/>
  <c r="D7" i="2313" s="1"/>
  <c r="D41" i="2313"/>
  <c r="R40" i="2313"/>
  <c r="D40" i="2313"/>
  <c r="R39" i="2313"/>
  <c r="D39" i="2313"/>
  <c r="R38" i="2313"/>
  <c r="D38" i="2313"/>
  <c r="R37" i="2313"/>
  <c r="D37" i="2313"/>
  <c r="R36" i="2313"/>
  <c r="D36" i="2313"/>
  <c r="R35" i="2313"/>
  <c r="D35" i="2313"/>
  <c r="R34" i="2313"/>
  <c r="D34" i="2313"/>
  <c r="D54" i="2313" s="1"/>
  <c r="H14" i="2313" s="1"/>
  <c r="R33" i="2313"/>
  <c r="R32" i="2313"/>
  <c r="R31" i="2313"/>
  <c r="R30" i="2313"/>
  <c r="R29" i="2313"/>
  <c r="R28" i="2313"/>
  <c r="L16" i="2313" s="1"/>
  <c r="D16" i="2313" s="1"/>
  <c r="D28" i="2313"/>
  <c r="R27" i="2313"/>
  <c r="D27" i="2313"/>
  <c r="R26" i="2313"/>
  <c r="L26" i="2313"/>
  <c r="D26" i="2313"/>
  <c r="R25" i="2313"/>
  <c r="L25" i="2313"/>
  <c r="D25" i="2313"/>
  <c r="R24" i="2313"/>
  <c r="D24" i="2313"/>
  <c r="R23" i="2313"/>
  <c r="L23" i="2313"/>
  <c r="D23" i="2313"/>
  <c r="R22" i="2313"/>
  <c r="L22" i="2313"/>
  <c r="D22" i="2313"/>
  <c r="R21" i="2313"/>
  <c r="D21" i="2313"/>
  <c r="R20" i="2313"/>
  <c r="L20" i="2313"/>
  <c r="D20" i="2313"/>
  <c r="R19" i="2313"/>
  <c r="L19" i="2313"/>
  <c r="D19" i="2313"/>
  <c r="R18" i="2313"/>
  <c r="D18" i="2313"/>
  <c r="R17" i="2313"/>
  <c r="D17" i="2313"/>
  <c r="R16" i="2313"/>
  <c r="S15" i="2313"/>
  <c r="R15" i="2313"/>
  <c r="D15" i="2313"/>
  <c r="S14" i="2313"/>
  <c r="R14" i="2313"/>
  <c r="D14" i="2313"/>
  <c r="R13" i="2313"/>
  <c r="D13" i="2313"/>
  <c r="R12" i="2313"/>
  <c r="L12" i="2313"/>
  <c r="D12" i="2313"/>
  <c r="R11" i="2313"/>
  <c r="L11" i="2313"/>
  <c r="D11" i="2313"/>
  <c r="L10" i="2313"/>
  <c r="D10" i="2313" s="1"/>
  <c r="L9" i="2313"/>
  <c r="D9" i="2313" s="1"/>
  <c r="L8" i="2313"/>
  <c r="D8" i="2313" s="1"/>
  <c r="R6" i="2313"/>
  <c r="L6" i="2313"/>
  <c r="D6" i="2313"/>
  <c r="R5" i="2313"/>
  <c r="R4" i="2313"/>
  <c r="F51" i="2335" l="1"/>
  <c r="G51" i="2334"/>
  <c r="G51" i="2333"/>
  <c r="H15" i="2331"/>
  <c r="H29" i="2331" s="1"/>
  <c r="F51" i="2331" s="1"/>
  <c r="H15" i="2330"/>
  <c r="H29" i="2330" s="1"/>
  <c r="F51" i="2330" s="1"/>
  <c r="H15" i="2329"/>
  <c r="H29" i="2329" s="1"/>
  <c r="F51" i="2329" s="1"/>
  <c r="G49" i="2316"/>
  <c r="D54" i="2316"/>
  <c r="H14" i="2316" s="1"/>
  <c r="G49" i="2315"/>
  <c r="G49" i="2314"/>
  <c r="D29" i="2316"/>
  <c r="H13" i="2316" s="1"/>
  <c r="D29" i="2315"/>
  <c r="H13" i="2315" s="1"/>
  <c r="H15" i="2315" s="1"/>
  <c r="H29" i="2315" s="1"/>
  <c r="D29" i="2314"/>
  <c r="H13" i="2314" s="1"/>
  <c r="H15" i="2314" s="1"/>
  <c r="H29" i="2314" s="1"/>
  <c r="D29" i="2313"/>
  <c r="H13" i="2313" s="1"/>
  <c r="H15" i="2313" s="1"/>
  <c r="H29" i="2313" s="1"/>
  <c r="G51" i="2313"/>
  <c r="C16" i="2306"/>
  <c r="G51" i="2331" l="1"/>
  <c r="G51" i="2330"/>
  <c r="G51" i="2329"/>
  <c r="H15" i="2316"/>
  <c r="H29" i="2316" s="1"/>
  <c r="F51" i="2315"/>
  <c r="G51" i="2315"/>
  <c r="F51" i="2314"/>
  <c r="G51" i="2314"/>
  <c r="C16" i="2302"/>
  <c r="C12" i="2302"/>
  <c r="F51" i="2316" l="1"/>
  <c r="G51" i="2316"/>
  <c r="G51" i="2294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<sst xmlns="http://schemas.openxmlformats.org/spreadsheetml/2006/main" count="12508" uniqueCount="227">
  <si>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</si>
  <si>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</si>
  <si>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</si>
  <si>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</si>
  <si>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</si>
  <si>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</si>
  <si>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</si>
  <si>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</si>
  <si>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</si>
  <si>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</si>
  <si>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</si>
  <si>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</si>
  <si>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</si>
  <si>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</si>
  <si>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</si>
  <si>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</si>
  <si>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</si>
  <si>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</si>
  <si>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</si>
  <si>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</si>
  <si>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</si>
  <si>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</si>
  <si>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</si>
  <si>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</si>
  <si>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</si>
  <si>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</si>
  <si>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</si>
  <si>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</si>
  <si>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</si>
  <si>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</si>
  <si>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</si>
  <si>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</si>
  <si>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</si>
  <si>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</si>
  <si>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</si>
  <si>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</si>
  <si>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</si>
  <si>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</si>
  <si>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</si>
  <si>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</si>
  <si>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</si>
  <si>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</si>
  <si>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</si>
  <si>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</si>
  <si>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</si>
  <si>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</si>
  <si>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</si>
  <si>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</si>
  <si>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</si>
  <si>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</si>
  <si>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</si>
  <si>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</si>
  <si>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</si>
  <si>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</si>
  <si>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</si>
  <si>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</si>
  <si>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</si>
  <si>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</si>
  <si>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</si>
  <si>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</si>
  <si>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</si>
  <si>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</si>
  <si>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</si>
  <si>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</si>
  <si>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</si>
  <si>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</si>
  <si>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</si>
  <si>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</si>
  <si>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</si>
  <si>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</si>
  <si>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</si>
  <si>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</si>
  <si>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</si>
  <si>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</si>
  <si>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</si>
  <si>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</si>
  <si>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</si>
  <si>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</si>
  <si>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</si>
  <si>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</si>
  <si>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</si>
  <si>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</si>
  <si>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</si>
  <si>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</si>
  <si>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</si>
  <si>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</si>
  <si>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</si>
  <si>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</si>
  <si>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</si>
  <si>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</si>
  <si>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</si>
  <si>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</si>
  <si>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</si>
  <si>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</si>
  <si>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</si>
  <si>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</si>
  <si>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</si>
  <si>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</si>
  <si>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</si>
  <si>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</si>
  <si>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</si>
  <si>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</si>
  <si>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</si>
  <si>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</si>
  <si>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</si>
  <si>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</si>
  <si>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</si>
  <si>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</si>
  <si>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</si>
  <si>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</si>
  <si>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</si>
  <si>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</si>
  <si>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</si>
  <si>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</si>
  <si>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</si>
  <si>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</si>
  <si>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</si>
  <si>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</si>
  <si>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</si>
  <si>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</si>
  <si>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</si>
  <si>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</si>
  <si>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</si>
  <si>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</si>
  <si>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</si>
  <si>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</si>
  <si>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</si>
  <si>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</si>
  <si>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</si>
  <si>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</si>
  <si>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</si>
  <si>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</si>
  <si>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</si>
  <si>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</si>
  <si>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</si>
  <si>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</si>
  <si>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</si>
  <si>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</si>
  <si>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</si>
  <si>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</si>
  <si>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</si>
  <si>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</si>
  <si>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</si>
  <si>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</si>
  <si>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</si>
  <si>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</si>
  <si>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</si>
  <si>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</si>
  <si>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</si>
  <si>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</si>
  <si>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</si>
  <si>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</si>
  <si>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</si>
  <si>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</si>
  <si>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</si>
  <si>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</si>
  <si>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</si>
  <si>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</si>
  <si>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</si>
  <si>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</si>
  <si>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</si>
  <si>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</si>
  <si>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</si>
  <si>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</si>
  <si>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</si>
  <si>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</si>
  <si>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</si>
  <si>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</si>
  <si>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</si>
  <si>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</si>
  <si>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</si>
  <si>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</si>
  <si>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</si>
  <si>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</si>
  <si>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</si>
  <si>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</si>
  <si>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</si>
  <si>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</si>
  <si>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</si>
  <si>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</si>
  <si>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</si>
  <si>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</si>
  <si>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</si>
  <si>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</si>
  <si>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</si>
  <si>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</si>
  <si>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</si>
  <si>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</si>
  <si>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</si>
  <si>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</si>
  <si>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</si>
  <si>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</si>
  <si>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</si>
  <si>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</si>
  <si>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</si>
  <si>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</si>
  <si>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</si>
  <si>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</si>
  <si>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</si>
  <si>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</si>
  <si>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</si>
  <si>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</si>
  <si>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</si>
  <si>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</si>
  <si>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</si>
  <si>
    <t>154198</t>
  </si>
  <si>
    <t>2130022010</t>
  </si>
  <si>
    <t>153358</t>
  </si>
  <si>
    <t>51229</t>
  </si>
  <si>
    <t>60788</t>
  </si>
  <si>
    <t>20000086036</t>
  </si>
  <si>
    <t xml:space="preserve">           BDO</t>
  </si>
  <si>
    <t>2000003352</t>
  </si>
  <si>
    <t>2000008605</t>
  </si>
  <si>
    <t>60791</t>
  </si>
  <si>
    <t>BALAMBAN STORE (PROMO)</t>
  </si>
  <si>
    <t>DANYEN STORE (PROMO)</t>
  </si>
  <si>
    <t>SMB(PROMO)</t>
  </si>
  <si>
    <t>SIRR NO.69536</t>
  </si>
  <si>
    <t>SIRR NO.69537</t>
  </si>
  <si>
    <t>5252219</t>
  </si>
  <si>
    <t>60794</t>
  </si>
  <si>
    <t>2000006324</t>
  </si>
  <si>
    <t>51233</t>
  </si>
  <si>
    <t>C. TAMPUS</t>
  </si>
  <si>
    <t>2000006327</t>
  </si>
  <si>
    <t>2000003362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</si>
</sst>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16" fillId="0" borderId="10" xfId="0" applyFont="1" applyBorder="1" applyAlignment="1">
      <alignment horizontal="center"/>
    </xf>
    <xf numFmtId="0" fontId="0" fillId="0" borderId="16" xfId="0" applyFont="1" applyBorder="1" applyAlignment="1">
      <alignment horizontal="right"/>
    </xf>
    <xf numFmtId="49" fontId="21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43" fontId="4" fillId="0" borderId="12" xfId="1" applyFont="1" applyBorder="1" applyAlignment="1">
      <alignment horizontal="right"/>
    </xf>
    <xf numFmtId="43" fontId="4" fillId="0" borderId="28" xfId="1" applyFont="1" applyBorder="1" applyAlignment="1">
      <alignment horizontal="right"/>
    </xf>
    <xf numFmtId="43" fontId="4" fillId="0" borderId="23" xfId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0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FA041C-0B8E-4570-8836-A3CA73BDC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4E5E1-B986-45B2-94BE-B58C38945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768A3-0650-4A04-BD0E-4FAD5EA4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CCDEFB-8C04-451E-92A1-EB91E40D9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7222FD-8903-4E3B-9356-0809C4EBD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341BB6-1CD1-45FC-8727-5C168DD7D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6DAF2-AA60-4746-BA4E-83BF24394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35504-1A73-46EE-BA79-28820FF4F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C5DE3C-2D02-4B5E-A158-1722C756A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634C0D-7F47-40DF-8651-039943113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5068E-B987-4E80-870E-77403DD91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FA2A5C-5F42-4D46-A870-CB51E6A7E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D1322-2227-4A24-B9D4-39D8698BD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40780-A545-48A9-96A7-5BEBD76D6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D61C73-8EBC-40F9-AD8E-7EB178115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08D74C-E297-4451-9A5B-1ED2E811D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E28680-D1E5-4A3E-A3A7-984B813D9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1C37A-E02F-415D-9C05-BD57A0C03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80D53-4E1A-4088-8352-ED7EDEA59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2250B7-A354-4DA3-96E9-746CBD567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8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1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46235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91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8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206" priority="4" operator="containsText" text="SHORT">
      <formula>NOT(ISERROR(SEARCH("SHORT",F51)))</formula>
    </cfRule>
    <cfRule type="containsText" dxfId="20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46235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38">
        <v>69862</v>
      </c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8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69862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8">
        <f>F34*G34</f>
        <v>53000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8">
        <f>F35*G35</f>
        <v>16500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12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69862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3" priority="1" operator="containsText" text="OVER">
      <formula>NOT(ISERROR(SEARCH("OVER",F51)))</formula>
    </cfRule>
    <cfRule type="containsText" dxfId="20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46235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113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8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>
        <f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62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0" priority="1" operator="containsText" text="OVER">
      <formula>NOT(ISERROR(SEARCH("OVER",F51)))</formula>
    </cfRule>
    <cfRule type="containsText" dxfId="19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97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46237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283</v>
      </c>
      <c r="D6" s="13">
        <f t="shared" ref="D6:D28" si="1">C6*L6</f>
        <v>215363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9</v>
      </c>
      <c r="D7" s="13">
        <f t="shared" si="1"/>
        <v>7029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32</v>
      </c>
      <c r="D9" s="13">
        <f t="shared" si="1"/>
        <v>23456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</v>
      </c>
      <c r="D13" s="48">
        <f t="shared" si="1"/>
        <v>614</v>
      </c>
      <c r="F13" s="292" t="s">
        <v>36</v>
      </c>
      <c r="G13" s="256"/>
      <c r="H13" s="247">
        <f>D29</f>
        <v>248162.33333333334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8</v>
      </c>
      <c r="D14" s="31">
        <f t="shared" si="1"/>
        <v>88.333333333333329</v>
      </c>
      <c r="F14" s="250" t="s">
        <v>38</v>
      </c>
      <c r="G14" s="251"/>
      <c r="H14" s="252">
        <f>D54</f>
        <v>36360.75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211801.58333333334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9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248162.33333333334</v>
      </c>
      <c r="F29" s="164" t="s">
        <v>54</v>
      </c>
      <c r="G29" s="226"/>
      <c r="H29" s="186">
        <f>H15-H16-H17-H18-H19-H20-H22-H23-H24+H26+H27+H28</f>
        <v>211801.58333333334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8">
        <f t="shared" ref="H34:H39" si="2">F34*G34</f>
        <v>111000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8">
        <f t="shared" si="2"/>
        <v>20500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8">
        <f t="shared" si="2"/>
        <v>1300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8">
        <f t="shared" si="2"/>
        <v>1050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8">
        <f t="shared" si="2"/>
        <v>40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8">
        <v>116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3">
        <v>62000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03">
        <v>16444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16</v>
      </c>
      <c r="D46" s="12">
        <f>C46*1.5</f>
        <v>24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2</v>
      </c>
      <c r="D49" s="12">
        <f>C49*42</f>
        <v>84</v>
      </c>
      <c r="F49" s="184" t="s">
        <v>85</v>
      </c>
      <c r="G49" s="186">
        <f>H34+H35+H36+H37+H38+H39+H40+H41+G42+H44+H45+H46+H47+H48</f>
        <v>212450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13</v>
      </c>
      <c r="D50" s="12">
        <f>C50*1.5</f>
        <v>19.5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648.41666666665697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97" priority="1" operator="containsText" text="OVER">
      <formula>NOT(ISERROR(SEARCH("OVER",F51)))</formula>
    </cfRule>
    <cfRule type="containsText" dxfId="19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46237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487</v>
      </c>
      <c r="D6" s="13">
        <f t="shared" ref="D6:D28" si="1">C6*L6</f>
        <v>370607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6</v>
      </c>
      <c r="D7" s="13">
        <f t="shared" si="1"/>
        <v>4686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168</v>
      </c>
      <c r="D9" s="13">
        <f t="shared" si="1"/>
        <v>123144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25</v>
      </c>
      <c r="D13" s="48">
        <f t="shared" si="1"/>
        <v>7675</v>
      </c>
      <c r="F13" s="292" t="s">
        <v>36</v>
      </c>
      <c r="G13" s="256"/>
      <c r="H13" s="247">
        <f>D29</f>
        <v>516071.33333333331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8</v>
      </c>
      <c r="D14" s="31">
        <f t="shared" si="1"/>
        <v>88.333333333333329</v>
      </c>
      <c r="F14" s="250" t="s">
        <v>38</v>
      </c>
      <c r="G14" s="251"/>
      <c r="H14" s="252">
        <f>D54</f>
        <v>76411.5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439659.83333333331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7">
        <v>3396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516071.33333333331</v>
      </c>
      <c r="F29" s="164" t="s">
        <v>54</v>
      </c>
      <c r="G29" s="226"/>
      <c r="H29" s="186">
        <f>H15-H16-H17-H18-H19-H20-H22-H23-H24+H26+H27</f>
        <v>436263.83333333331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8">
        <f>F34*G34</f>
        <v>47000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8">
        <f>F35*G35</f>
        <v>155000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8">
        <f t="shared" ref="H36:H39" si="2">F36*G36</f>
        <v>200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8">
        <f t="shared" si="2"/>
        <v>3200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83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03">
        <v>231443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8</v>
      </c>
      <c r="D49" s="12">
        <f>C49*42</f>
        <v>336</v>
      </c>
      <c r="F49" s="184" t="s">
        <v>85</v>
      </c>
      <c r="G49" s="186">
        <f>H34+H35+H36+H37+H38+H39+H40+H41+G42+H44+H45+H46+H47+H48</f>
        <v>436926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662.16666666668607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94" priority="1" operator="containsText" text="OVER">
      <formula>NOT(ISERROR(SEARCH("OVER",F51)))</formula>
    </cfRule>
    <cfRule type="containsText" dxfId="19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46237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428</v>
      </c>
      <c r="D6" s="13">
        <f t="shared" ref="D6:D28" si="1">C6*L6</f>
        <v>325708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14</v>
      </c>
      <c r="D7" s="13">
        <f t="shared" si="1"/>
        <v>10934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81</v>
      </c>
      <c r="D9" s="13">
        <f t="shared" si="1"/>
        <v>59373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2</v>
      </c>
      <c r="D10" s="13">
        <f t="shared" si="1"/>
        <v>2064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2+1</f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17</v>
      </c>
      <c r="D13" s="48">
        <f t="shared" si="1"/>
        <v>5219</v>
      </c>
      <c r="F13" s="292" t="s">
        <v>36</v>
      </c>
      <c r="G13" s="256"/>
      <c r="H13" s="247">
        <f>D29</f>
        <v>406307.125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3</v>
      </c>
      <c r="D14" s="31">
        <f t="shared" si="1"/>
        <v>33.125</v>
      </c>
      <c r="F14" s="250" t="s">
        <v>38</v>
      </c>
      <c r="G14" s="251"/>
      <c r="H14" s="252">
        <f>D54</f>
        <v>66713.25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339593.875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1602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406307.125</v>
      </c>
      <c r="F29" s="164" t="s">
        <v>54</v>
      </c>
      <c r="G29" s="226"/>
      <c r="H29" s="186">
        <f>H15-H16-H17-H18-H19-H20-H22-H23-H24+H26+H27</f>
        <v>337941.875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8">
        <f>F34*G34</f>
        <v>25000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8">
        <f>F35*G35</f>
        <v>1000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8">
        <f t="shared" si="2"/>
        <v>1400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8">
        <f t="shared" si="2"/>
        <v>150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03">
        <v>56443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03">
        <v>115712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03">
        <v>137865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11</v>
      </c>
      <c r="D49" s="12">
        <f>C49*42</f>
        <v>462</v>
      </c>
      <c r="F49" s="184" t="s">
        <v>85</v>
      </c>
      <c r="G49" s="186">
        <f>H34+H35+H36+H37+H38+H39+H40+H41+G42+H44+H45+H46+H47+H48</f>
        <v>337610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15</v>
      </c>
      <c r="D50" s="12">
        <f>C50*1.5</f>
        <v>22.5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-331.875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91" priority="1" operator="containsText" text="OVER">
      <formula>NOT(ISERROR(SEARCH("OVER",F51)))</formula>
    </cfRule>
    <cfRule type="containsText" dxfId="19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9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46238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9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88" priority="1" operator="containsText" text="OVER">
      <formula>NOT(ISERROR(SEARCH("OVER",F51)))</formula>
    </cfRule>
    <cfRule type="containsText" dxfId="18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46238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431</v>
      </c>
      <c r="D6" s="13">
        <f t="shared" ref="D6:D28" si="1">C6*L6</f>
        <v>327991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</v>
      </c>
      <c r="D7" s="13">
        <f t="shared" si="1"/>
        <v>1562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20</v>
      </c>
      <c r="D9" s="13">
        <f t="shared" si="1"/>
        <v>14660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347634.16666666669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4</v>
      </c>
      <c r="D14" s="31">
        <f t="shared" si="1"/>
        <v>44.166666666666664</v>
      </c>
      <c r="F14" s="250" t="s">
        <v>38</v>
      </c>
      <c r="G14" s="251"/>
      <c r="H14" s="252">
        <f>D54</f>
        <v>52755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294879.16666666669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2004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233">
        <v>5850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347634.16666666669</v>
      </c>
      <c r="F29" s="164" t="s">
        <v>54</v>
      </c>
      <c r="G29" s="226"/>
      <c r="H29" s="186">
        <f>H15-H16-H17-H18-H19-H20-H22-H23-H24+H26+H27</f>
        <v>287025.16666666669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8">
        <f>F34*G34</f>
        <v>120000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8">
        <f>F35*G35</f>
        <v>166500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8">
        <f t="shared" si="2"/>
        <v>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64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286814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5</v>
      </c>
      <c r="D50" s="12">
        <f>C50*1.5</f>
        <v>7.5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-211.16666666668607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85" priority="1" operator="containsText" text="OVER">
      <formula>NOT(ISERROR(SEARCH("OVER",F51)))</formula>
    </cfRule>
    <cfRule type="containsText" dxfId="18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46238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548</v>
      </c>
      <c r="D6" s="13">
        <f t="shared" ref="D6:D28" si="1">C6*L6</f>
        <v>417028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4</v>
      </c>
      <c r="D7" s="13">
        <f t="shared" si="1"/>
        <v>3124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55</v>
      </c>
      <c r="D9" s="13">
        <f t="shared" si="1"/>
        <v>40315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4</v>
      </c>
      <c r="D12" s="48">
        <f t="shared" si="1"/>
        <v>3968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17</v>
      </c>
      <c r="D13" s="48">
        <f t="shared" si="1"/>
        <v>5219</v>
      </c>
      <c r="F13" s="292" t="s">
        <v>36</v>
      </c>
      <c r="G13" s="256"/>
      <c r="H13" s="247">
        <f>D29</f>
        <v>472049.20833333331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71464.5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400584.70833333331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3366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9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472049.20833333331</v>
      </c>
      <c r="F29" s="164" t="s">
        <v>54</v>
      </c>
      <c r="G29" s="226"/>
      <c r="H29" s="186">
        <f>H15-H16-H17-H18-H19-H20-H22-H23-H24+H26+H27</f>
        <v>397218.70833333331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8">
        <f>F34*G34</f>
        <v>31000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0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1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63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9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03">
        <v>135285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03">
        <v>141116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03">
        <v>89177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397341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</v>
      </c>
      <c r="D50" s="12">
        <f>C50*1.5</f>
        <v>3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122.29166666668607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82" priority="1" operator="containsText" text="OVER">
      <formula>NOT(ISERROR(SEARCH("OVER",F51)))</formula>
    </cfRule>
    <cfRule type="containsText" dxfId="18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0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46239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236</v>
      </c>
      <c r="D6" s="13">
        <f t="shared" ref="D6:D28" si="1">C6*L6</f>
        <v>179596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15</v>
      </c>
      <c r="D7" s="13">
        <f t="shared" si="1"/>
        <v>11715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113</v>
      </c>
      <c r="D9" s="13">
        <f t="shared" si="1"/>
        <v>82829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8</v>
      </c>
      <c r="D13" s="48">
        <f t="shared" si="1"/>
        <v>2456</v>
      </c>
      <c r="F13" s="292" t="s">
        <v>36</v>
      </c>
      <c r="G13" s="256"/>
      <c r="H13" s="247">
        <f>D29</f>
        <v>276596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37282.5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239313.5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2034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276596</v>
      </c>
      <c r="F29" s="164" t="s">
        <v>54</v>
      </c>
      <c r="G29" s="226"/>
      <c r="H29" s="186">
        <f>H15-H16-H17-H18-H19-H20-H22-H23-H24+H26+H27+H28</f>
        <v>237279.5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8">
        <f t="shared" ref="H34:H39" si="2">F34*G34</f>
        <v>11000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8">
        <f t="shared" si="2"/>
        <v>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8">
        <f t="shared" si="2"/>
        <v>200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8">
        <f t="shared" si="2"/>
        <v>900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</v>
      </c>
      <c r="D42" s="12">
        <f>C42*2.25</f>
        <v>4.5</v>
      </c>
      <c r="F42" s="39" t="s">
        <v>78</v>
      </c>
      <c r="G42" s="208">
        <v>11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03">
        <v>223169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4</v>
      </c>
      <c r="D49" s="12">
        <f>C49*42</f>
        <v>168</v>
      </c>
      <c r="F49" s="184" t="s">
        <v>85</v>
      </c>
      <c r="G49" s="186">
        <f>H34+H35+H36+H37+H38+H39+H40+H41+G42+H44+H45+H46+H47+H48</f>
        <v>237280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</v>
      </c>
      <c r="D50" s="12">
        <f>C50*1.5</f>
        <v>1.5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0.5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9" priority="1" operator="containsText" text="OVER">
      <formula>NOT(ISERROR(SEARCH("OVER",F51)))</formula>
    </cfRule>
    <cfRule type="containsText" dxfId="17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46239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322</v>
      </c>
      <c r="D6" s="13">
        <f t="shared" ref="D6:D28" si="1">C6*L6</f>
        <v>245042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21</v>
      </c>
      <c r="D9" s="13">
        <f t="shared" si="1"/>
        <v>15393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271026.41666666669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10</v>
      </c>
      <c r="D14" s="31">
        <f t="shared" si="1"/>
        <v>110.41666666666666</v>
      </c>
      <c r="F14" s="250" t="s">
        <v>38</v>
      </c>
      <c r="G14" s="251"/>
      <c r="H14" s="252">
        <f>D54</f>
        <v>36957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234069.41666666669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7">
        <v>1818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271026.41666666669</v>
      </c>
      <c r="F29" s="164" t="s">
        <v>54</v>
      </c>
      <c r="G29" s="226"/>
      <c r="H29" s="186">
        <f>H15-H16-H17-H18-H19-H20-H22-H23-H24+H26+H27</f>
        <v>232251.41666666669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8">
        <f>F34*G34</f>
        <v>24000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8">
        <f>F35*G35</f>
        <v>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8">
        <f t="shared" si="2"/>
        <v>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24</v>
      </c>
      <c r="D42" s="12">
        <f>C42*2.25</f>
        <v>54</v>
      </c>
      <c r="F42" s="39" t="s">
        <v>78</v>
      </c>
      <c r="G42" s="208">
        <v>41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03">
        <v>70296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03">
        <v>136287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</v>
      </c>
      <c r="D46" s="12">
        <f>C46*1.5</f>
        <v>1.5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232724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472.58333333331393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6" priority="1" operator="containsText" text="OVER">
      <formula>NOT(ISERROR(SEARCH("OVER",F51)))</formula>
    </cfRule>
    <cfRule type="containsText" dxfId="17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46239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>
        <f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62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3" priority="1" operator="containsText" text="OVER">
      <formula>NOT(ISERROR(SEARCH("OVER",F51)))</formula>
    </cfRule>
    <cfRule type="containsText" dxfId="17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0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0" priority="1" operator="containsText" text="OVER">
      <formula>NOT(ISERROR(SEARCH("OVER",F51)))</formula>
    </cfRule>
    <cfRule type="containsText" dxfId="16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385</v>
      </c>
      <c r="D6" s="13">
        <f t="shared" ref="D6:D28" si="1">C6*L6</f>
        <v>292985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12</v>
      </c>
      <c r="D7" s="13">
        <f t="shared" si="1"/>
        <v>9372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67</v>
      </c>
      <c r="D8" s="13">
        <f t="shared" si="1"/>
        <v>73231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28</v>
      </c>
      <c r="D9" s="13">
        <f t="shared" si="1"/>
        <v>20524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3</v>
      </c>
      <c r="D10" s="13">
        <f t="shared" si="1"/>
        <v>3096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402717.5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12</v>
      </c>
      <c r="D14" s="31">
        <f t="shared" si="1"/>
        <v>132.5</v>
      </c>
      <c r="F14" s="250" t="s">
        <v>38</v>
      </c>
      <c r="G14" s="251"/>
      <c r="H14" s="252">
        <f>D54</f>
        <v>60681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342036.5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2178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233">
        <v>67927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303">
        <v>4550</v>
      </c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402717.5</v>
      </c>
      <c r="F29" s="164" t="s">
        <v>54</v>
      </c>
      <c r="G29" s="226"/>
      <c r="H29" s="186">
        <f>H15-H16-H17-H18-H19-H20-H22-H23-H24+H26+H27</f>
        <v>267331.5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8">
        <f>F34*G34</f>
        <v>66000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08">
        <f>F35*G35</f>
        <v>28500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08">
        <f t="shared" si="2"/>
        <v>6500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08">
        <f t="shared" si="2"/>
        <v>1800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03">
        <v>74658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03">
        <v>90788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268266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934.5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7" priority="1" operator="containsText" text="OVER">
      <formula>NOT(ISERROR(SEARCH("OVER",F51)))</formula>
    </cfRule>
    <cfRule type="containsText" dxfId="16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367</v>
      </c>
      <c r="D6" s="13">
        <f t="shared" ref="D6:D28" si="1">C6*L6</f>
        <v>279287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12</v>
      </c>
      <c r="D7" s="13">
        <f t="shared" si="1"/>
        <v>9372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20</v>
      </c>
      <c r="D8" s="13">
        <f t="shared" si="1"/>
        <v>21860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3</v>
      </c>
      <c r="D10" s="13">
        <f t="shared" si="1"/>
        <v>3096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318659.20833333331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45737.25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272921.95833333331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1896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233">
        <v>3250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318659.20833333331</v>
      </c>
      <c r="F29" s="164" t="s">
        <v>54</v>
      </c>
      <c r="G29" s="226"/>
      <c r="H29" s="186">
        <f>H15-H16-H17-H18-H19-H20-H22-H23-H24+H26+H27</f>
        <v>267775.95833333331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08">
        <f>F34*G34</f>
        <v>63000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08">
        <f>F35*G35</f>
        <v>29000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8">
        <f t="shared" ref="H36:H39" si="2">F36*G36</f>
        <v>200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08">
        <f t="shared" si="2"/>
        <v>1300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08">
        <f t="shared" si="2"/>
        <v>150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8">
        <v>75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03">
        <v>140936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03">
        <v>32838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2</v>
      </c>
      <c r="D46" s="12">
        <f>C46*1.5</f>
        <v>3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267499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8</v>
      </c>
      <c r="D50" s="12">
        <f>C50*1.5</f>
        <v>12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-276.95833333331393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4" priority="1" operator="containsText" text="OVER">
      <formula>NOT(ISERROR(SEARCH("OVER",F51)))</formula>
    </cfRule>
    <cfRule type="containsText" dxfId="16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0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482</v>
      </c>
      <c r="D6" s="13">
        <f t="shared" ref="D6:D28" si="1">C6*L6</f>
        <v>366802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15</v>
      </c>
      <c r="D7" s="13">
        <f t="shared" si="1"/>
        <v>11715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37</v>
      </c>
      <c r="D9" s="13">
        <f t="shared" si="1"/>
        <v>27121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2</v>
      </c>
      <c r="D10" s="13">
        <f t="shared" si="1"/>
        <v>2064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3</v>
      </c>
      <c r="D13" s="48">
        <f t="shared" si="1"/>
        <v>921</v>
      </c>
      <c r="F13" s="292" t="s">
        <v>36</v>
      </c>
      <c r="G13" s="256"/>
      <c r="H13" s="247">
        <f>D29</f>
        <v>408810.70833333331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17</v>
      </c>
      <c r="D14" s="31">
        <f t="shared" si="1"/>
        <v>187.70833333333331</v>
      </c>
      <c r="F14" s="250" t="s">
        <v>38</v>
      </c>
      <c r="G14" s="251"/>
      <c r="H14" s="252">
        <f>D54</f>
        <v>60101.25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348709.45833333331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408810.70833333331</v>
      </c>
      <c r="F29" s="164" t="s">
        <v>54</v>
      </c>
      <c r="G29" s="226"/>
      <c r="H29" s="186">
        <f>H15-H16-H17-H18-H19-H20-H22-H23-H24+H26+H27+H28</f>
        <v>348709.45833333331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08">
        <f t="shared" ref="H34:H39" si="2">F34*G34</f>
        <v>263000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08">
        <f t="shared" si="2"/>
        <v>47500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08">
        <f t="shared" si="2"/>
        <v>3300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08">
        <v>155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3">
        <v>34470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348425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15</v>
      </c>
      <c r="D50" s="12">
        <f>C50*1.5</f>
        <v>22.5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-284.45833333331393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1" priority="1" operator="containsText" text="OVER">
      <formula>NOT(ISERROR(SEARCH("OVER",F51)))</formula>
    </cfRule>
    <cfRule type="containsText" dxfId="16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373</v>
      </c>
      <c r="D6" s="13">
        <f t="shared" ref="D6:D28" si="1">C6*L6</f>
        <v>283853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12</v>
      </c>
      <c r="D7" s="13">
        <f t="shared" si="1"/>
        <v>9372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24</v>
      </c>
      <c r="D9" s="13">
        <f t="shared" si="1"/>
        <v>17592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314974.20833333331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51996.75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262977.45833333331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1224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314974.20833333331</v>
      </c>
      <c r="F29" s="164" t="s">
        <v>54</v>
      </c>
      <c r="G29" s="226"/>
      <c r="H29" s="186">
        <f>H15-H16-H17-H18-H19-H20-H22-H23-H24+H26+H27</f>
        <v>261753.45833333331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08">
        <f>F34*G34</f>
        <v>176000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08">
        <f>F35*G35</f>
        <v>9500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08">
        <f t="shared" si="2"/>
        <v>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8">
        <v>68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03">
        <v>76215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262183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8</v>
      </c>
      <c r="D50" s="12">
        <f>C50*1.5</f>
        <v>12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429.54166666668607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387</v>
      </c>
      <c r="D6" s="13">
        <f t="shared" ref="D6:D28" si="1">C6*L6</f>
        <v>294507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4</v>
      </c>
      <c r="D7" s="13">
        <f t="shared" si="1"/>
        <v>3124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</v>
      </c>
      <c r="D8" s="13">
        <f t="shared" si="1"/>
        <v>1093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108</v>
      </c>
      <c r="D9" s="13">
        <f t="shared" si="1"/>
        <v>79164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14</v>
      </c>
      <c r="D13" s="48">
        <f t="shared" si="1"/>
        <v>4298</v>
      </c>
      <c r="F13" s="292" t="s">
        <v>36</v>
      </c>
      <c r="G13" s="256"/>
      <c r="H13" s="247">
        <f>D29</f>
        <v>383530.16666666669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4</v>
      </c>
      <c r="D14" s="31">
        <f t="shared" si="1"/>
        <v>44.166666666666664</v>
      </c>
      <c r="F14" s="250" t="s">
        <v>38</v>
      </c>
      <c r="G14" s="251"/>
      <c r="H14" s="252">
        <f>D54</f>
        <v>57755.25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325774.91666666669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7">
        <v>2406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383530.16666666669</v>
      </c>
      <c r="F29" s="164" t="s">
        <v>54</v>
      </c>
      <c r="G29" s="226"/>
      <c r="H29" s="186">
        <f>H15-H16-H17-H18-H19-H20-H22-H23-H24+H26+H27</f>
        <v>323368.91666666669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08">
        <f>F34*G34</f>
        <v>59000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08">
        <f>F35*G35</f>
        <v>4000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08">
        <f t="shared" si="2"/>
        <v>500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8">
        <v>64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03">
        <v>87905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03">
        <v>171965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323534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165.08333333331393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0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273</v>
      </c>
      <c r="D6" s="13">
        <f t="shared" ref="D6:D28" si="1">C6*L6</f>
        <v>207753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9</v>
      </c>
      <c r="D7" s="13">
        <f t="shared" si="1"/>
        <v>7029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12</v>
      </c>
      <c r="D9" s="13">
        <f t="shared" si="1"/>
        <v>8796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226955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33465.75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193489.25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1350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38">
        <v>67927</v>
      </c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226955</v>
      </c>
      <c r="F29" s="164" t="s">
        <v>54</v>
      </c>
      <c r="G29" s="226"/>
      <c r="H29" s="186">
        <f>H15-H16-H17-H18-H19-H20-H22-H23-H24+H26+H27</f>
        <v>260066.25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08">
        <f>F34*G34</f>
        <v>100000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08">
        <f>F35*G35</f>
        <v>159500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08">
        <f t="shared" si="2"/>
        <v>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8">
        <v>52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13</v>
      </c>
      <c r="D49" s="12">
        <f>C49*42</f>
        <v>546</v>
      </c>
      <c r="F49" s="184" t="s">
        <v>85</v>
      </c>
      <c r="G49" s="186">
        <f>H34+H35+H36+H37+H38+H39+H40+H41+G42+H44+H45+H46+H47+H48</f>
        <v>259952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-114.25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280</v>
      </c>
      <c r="D6" s="13">
        <f t="shared" ref="D6:D28" si="1">C6*L6</f>
        <v>213080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6</v>
      </c>
      <c r="D7" s="13">
        <f t="shared" si="1"/>
        <v>4686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108</v>
      </c>
      <c r="D9" s="13">
        <f t="shared" si="1"/>
        <v>79164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2</v>
      </c>
      <c r="D10" s="13">
        <f t="shared" si="1"/>
        <v>2064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2</v>
      </c>
      <c r="D12" s="48">
        <f t="shared" si="1"/>
        <v>1984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7</v>
      </c>
      <c r="D13" s="48">
        <f t="shared" si="1"/>
        <v>2149</v>
      </c>
      <c r="F13" s="292" t="s">
        <v>36</v>
      </c>
      <c r="G13" s="256"/>
      <c r="H13" s="247">
        <f>D29</f>
        <v>303138.04166666669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</v>
      </c>
      <c r="D14" s="31">
        <f t="shared" si="1"/>
        <v>11.041666666666666</v>
      </c>
      <c r="F14" s="250" t="s">
        <v>38</v>
      </c>
      <c r="G14" s="251"/>
      <c r="H14" s="252">
        <f>D54</f>
        <v>26834.25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276303.79166666669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1944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303138.04166666669</v>
      </c>
      <c r="F29" s="164" t="s">
        <v>54</v>
      </c>
      <c r="G29" s="226"/>
      <c r="H29" s="186">
        <f>H15-H16-H17-H18-H19-H20-H22-H23-H24+H26+H27</f>
        <v>274359.79166666669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08">
        <f>F34*G34</f>
        <v>37000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08">
        <f>F35*G35</f>
        <v>12500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8">
        <v>15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03">
        <v>224164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/>
      <c r="G45" s="62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</v>
      </c>
      <c r="D46" s="12">
        <f>C46*1.5</f>
        <v>1.5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4</v>
      </c>
      <c r="D49" s="12">
        <f>C49*42</f>
        <v>168</v>
      </c>
      <c r="F49" s="184" t="s">
        <v>85</v>
      </c>
      <c r="G49" s="186">
        <f>H34+H35+H36+H37+H38+H39+H40+H41+G42+H44+H45+H46+H47+H48</f>
        <v>274329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3</v>
      </c>
      <c r="D50" s="12">
        <f>C50*1.5</f>
        <v>4.5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-30.791666666686069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03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323</v>
      </c>
      <c r="D6" s="13">
        <f t="shared" ref="D6:D28" si="1">C6*L6</f>
        <v>245803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</v>
      </c>
      <c r="D7" s="13">
        <f t="shared" si="1"/>
        <v>1562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8</v>
      </c>
      <c r="D9" s="13">
        <f t="shared" si="1"/>
        <v>5864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6</v>
      </c>
      <c r="D13" s="48">
        <f t="shared" si="1"/>
        <v>1842</v>
      </c>
      <c r="F13" s="292" t="s">
        <v>36</v>
      </c>
      <c r="G13" s="256"/>
      <c r="H13" s="247">
        <f>D29</f>
        <v>256140.29166666666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7</v>
      </c>
      <c r="D14" s="31">
        <f t="shared" si="1"/>
        <v>77.291666666666657</v>
      </c>
      <c r="F14" s="250" t="s">
        <v>38</v>
      </c>
      <c r="G14" s="251"/>
      <c r="H14" s="252">
        <f>D54</f>
        <v>49918.5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206221.79166666666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1296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256140.29166666666</v>
      </c>
      <c r="F29" s="164" t="s">
        <v>54</v>
      </c>
      <c r="G29" s="226"/>
      <c r="H29" s="186">
        <f>H15-H16-H17-H18-H19-H20-H22-H23-H24+H26+H27+H28</f>
        <v>204925.79166666666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08">
        <f t="shared" ref="H34:H39" si="2">F34*G34</f>
        <v>56000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08">
        <f t="shared" si="2"/>
        <v>10500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08">
        <f t="shared" si="2"/>
        <v>1700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48</v>
      </c>
      <c r="D42" s="12">
        <f>C42*2.25</f>
        <v>108</v>
      </c>
      <c r="F42" s="39" t="s">
        <v>78</v>
      </c>
      <c r="G42" s="208">
        <v>47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03">
        <v>131436.5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03">
        <v>5000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13</v>
      </c>
      <c r="D46" s="12">
        <f>C46*1.5</f>
        <v>19.5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204783.5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11</v>
      </c>
      <c r="D50" s="12">
        <f>C50*1.5</f>
        <v>16.5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-142.29166666665697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361</v>
      </c>
      <c r="D6" s="13">
        <f t="shared" ref="D6:D28" si="1">C6*L6</f>
        <v>274721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</v>
      </c>
      <c r="D7" s="13">
        <f t="shared" si="1"/>
        <v>1562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125</v>
      </c>
      <c r="D9" s="13">
        <f t="shared" si="1"/>
        <v>91625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6+1</f>
        <v>7</v>
      </c>
      <c r="D12" s="48">
        <f t="shared" si="1"/>
        <v>6944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16</v>
      </c>
      <c r="D13" s="48">
        <f t="shared" si="1"/>
        <v>4912</v>
      </c>
      <c r="F13" s="292" t="s">
        <v>36</v>
      </c>
      <c r="G13" s="256"/>
      <c r="H13" s="247">
        <f>D29</f>
        <v>380601.70833333331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17</v>
      </c>
      <c r="D14" s="31">
        <f t="shared" si="1"/>
        <v>187.70833333333331</v>
      </c>
      <c r="F14" s="250" t="s">
        <v>38</v>
      </c>
      <c r="G14" s="251"/>
      <c r="H14" s="252">
        <f>D54</f>
        <v>55885.5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324716.20833333331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>
        <v>1974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380601.70833333331</v>
      </c>
      <c r="F29" s="164" t="s">
        <v>54</v>
      </c>
      <c r="G29" s="226"/>
      <c r="H29" s="186">
        <f>H15-H16-H17-H18-H19-H20-H22-H23-H24+H26+H27</f>
        <v>322742.20833333331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08">
        <f>F34*G34</f>
        <v>86000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08">
        <f>F35*G35</f>
        <v>226500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08">
        <f t="shared" si="2"/>
        <v>9200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</v>
      </c>
      <c r="D42" s="12">
        <f>C42*2.25</f>
        <v>4.5</v>
      </c>
      <c r="F42" s="39" t="s">
        <v>78</v>
      </c>
      <c r="G42" s="208">
        <v>50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10</v>
      </c>
      <c r="D49" s="12">
        <f>C49*42</f>
        <v>420</v>
      </c>
      <c r="F49" s="184" t="s">
        <v>85</v>
      </c>
      <c r="G49" s="186">
        <f>H34+H35+H36+H37+H38+H39+H40+H41+G42+H44+H45+H46+H47+H48</f>
        <v>321800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13</v>
      </c>
      <c r="D50" s="12">
        <f>C50*1.5</f>
        <v>19.5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-942.20833333331393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484</v>
      </c>
      <c r="D6" s="13">
        <f t="shared" ref="D6:D28" si="1">C6*L6</f>
        <v>368324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26</v>
      </c>
      <c r="D7" s="13">
        <f t="shared" si="1"/>
        <v>20306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92</v>
      </c>
      <c r="D9" s="13">
        <f t="shared" si="1"/>
        <v>67436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12</v>
      </c>
      <c r="D13" s="48">
        <f t="shared" si="1"/>
        <v>3684</v>
      </c>
      <c r="F13" s="292" t="s">
        <v>36</v>
      </c>
      <c r="G13" s="256"/>
      <c r="H13" s="247">
        <f>D29</f>
        <v>459783.125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3</v>
      </c>
      <c r="D14" s="31">
        <f t="shared" si="1"/>
        <v>33.125</v>
      </c>
      <c r="F14" s="250" t="s">
        <v>38</v>
      </c>
      <c r="G14" s="251"/>
      <c r="H14" s="252">
        <f>D54</f>
        <v>76749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383034.125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3042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03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459783.125</v>
      </c>
      <c r="F29" s="164" t="s">
        <v>54</v>
      </c>
      <c r="G29" s="226"/>
      <c r="H29" s="186">
        <f>H15-H16-H17-H18-H19-H20-H22-H23-H24+H26+H27</f>
        <v>379942.125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08">
        <f>F34*G34</f>
        <v>127000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08">
        <f>F35*G35</f>
        <v>72000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08">
        <f t="shared" si="2"/>
        <v>1100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07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58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03">
        <v>98032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03">
        <v>81476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379916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-26.125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1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402</v>
      </c>
      <c r="D6" s="13">
        <f t="shared" ref="D6:D28" si="1">C6*L6</f>
        <v>305922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3</v>
      </c>
      <c r="D7" s="13">
        <f t="shared" si="1"/>
        <v>2343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2</v>
      </c>
      <c r="D8" s="13">
        <f t="shared" si="1"/>
        <v>2186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30</v>
      </c>
      <c r="D9" s="13">
        <f t="shared" si="1"/>
        <v>21990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4</v>
      </c>
      <c r="D10" s="13">
        <f t="shared" si="1"/>
        <v>4128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8</v>
      </c>
      <c r="D13" s="48">
        <f t="shared" si="1"/>
        <v>2456</v>
      </c>
      <c r="F13" s="292" t="s">
        <v>36</v>
      </c>
      <c r="G13" s="256"/>
      <c r="H13" s="247">
        <f>D29</f>
        <v>346704.58333333331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14</v>
      </c>
      <c r="D14" s="31">
        <f t="shared" si="1"/>
        <v>154.58333333333331</v>
      </c>
      <c r="F14" s="250" t="s">
        <v>38</v>
      </c>
      <c r="G14" s="251"/>
      <c r="H14" s="252">
        <f>D54</f>
        <v>49626.75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297077.83333333331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233">
        <v>97987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6</v>
      </c>
      <c r="D28" s="48">
        <f t="shared" si="1"/>
        <v>4866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346704.58333333331</v>
      </c>
      <c r="F29" s="164" t="s">
        <v>54</v>
      </c>
      <c r="G29" s="226"/>
      <c r="H29" s="186">
        <f>H15-H16-H17-H18-H19-H20-H22-H23-H24+H26+H27+H28</f>
        <v>199090.83333333331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08">
        <f t="shared" ref="H34:H39" si="2">F34*G34</f>
        <v>38000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08">
        <f t="shared" si="2"/>
        <v>6000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08">
        <v>22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03">
        <v>70887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135</v>
      </c>
      <c r="G45" s="87"/>
      <c r="H45" s="203">
        <v>11131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03">
        <v>71799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197839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6</v>
      </c>
      <c r="D50" s="12">
        <f>C50*1.5</f>
        <v>9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-1251.8333333333139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344</v>
      </c>
      <c r="D6" s="13">
        <f t="shared" ref="D6:D28" si="1">C6*L6</f>
        <v>261784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3</v>
      </c>
      <c r="D7" s="13">
        <f t="shared" si="1"/>
        <v>2343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23</v>
      </c>
      <c r="D9" s="13">
        <f t="shared" si="1"/>
        <v>16859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284254.75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18</v>
      </c>
      <c r="D14" s="31">
        <f t="shared" si="1"/>
        <v>198.75</v>
      </c>
      <c r="F14" s="250" t="s">
        <v>38</v>
      </c>
      <c r="G14" s="251"/>
      <c r="H14" s="252">
        <f>D54</f>
        <v>48858.75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235396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1806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284254.75</v>
      </c>
      <c r="F29" s="164" t="s">
        <v>54</v>
      </c>
      <c r="G29" s="226"/>
      <c r="H29" s="186">
        <f>H15-H16-H17-H18-H19-H20-H22-H23-H24+H26+H27</f>
        <v>233590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08">
        <f>F34*G34</f>
        <v>40000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08">
        <f>F35*G35</f>
        <v>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03">
        <v>124685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03">
        <v>70347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237352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19</v>
      </c>
      <c r="D50" s="12">
        <f>C50*1.5</f>
        <v>28.5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3762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418</v>
      </c>
      <c r="D6" s="13">
        <f t="shared" ref="D6:D28" si="1">C6*L6</f>
        <v>318098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30</v>
      </c>
      <c r="D9" s="13">
        <f t="shared" si="1"/>
        <v>21990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15</v>
      </c>
      <c r="D13" s="48">
        <f t="shared" si="1"/>
        <v>4605</v>
      </c>
      <c r="F13" s="292" t="s">
        <v>36</v>
      </c>
      <c r="G13" s="256"/>
      <c r="H13" s="247">
        <f>D29</f>
        <v>345718.125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3</v>
      </c>
      <c r="D14" s="31">
        <f t="shared" si="1"/>
        <v>33.125</v>
      </c>
      <c r="F14" s="250" t="s">
        <v>38</v>
      </c>
      <c r="G14" s="251"/>
      <c r="H14" s="252">
        <f>D54</f>
        <v>51191.25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294526.875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1296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345718.125</v>
      </c>
      <c r="F29" s="164" t="s">
        <v>54</v>
      </c>
      <c r="G29" s="226"/>
      <c r="H29" s="186">
        <f>H15-H16-H17-H18-H19-H20-H22-H23-H24+H26+H27</f>
        <v>293230.875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08">
        <f>F34*G34</f>
        <v>114000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08">
        <f>F35*G35</f>
        <v>35500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08">
        <f t="shared" si="2"/>
        <v>1100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8">
        <v>663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03">
        <v>141165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/>
      <c r="G45" s="62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2</v>
      </c>
      <c r="D49" s="12">
        <f>C49*42</f>
        <v>84</v>
      </c>
      <c r="F49" s="184" t="s">
        <v>85</v>
      </c>
      <c r="G49" s="186">
        <f>H34+H35+H36+H37+H38+H39+H40+H41+G42+H44+H45+H46+H47+H48</f>
        <v>292478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21</v>
      </c>
      <c r="D50" s="12">
        <f>C50*1.5</f>
        <v>31.5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-752.875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1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632</v>
      </c>
      <c r="D6" s="13">
        <f t="shared" ref="D6:D28" si="1">C6*L6</f>
        <v>480952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10</v>
      </c>
      <c r="D7" s="13">
        <f t="shared" si="1"/>
        <v>7810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32</v>
      </c>
      <c r="D9" s="13">
        <f t="shared" si="1"/>
        <v>23456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9</v>
      </c>
      <c r="D13" s="48">
        <f t="shared" si="1"/>
        <v>2763</v>
      </c>
      <c r="F13" s="292" t="s">
        <v>36</v>
      </c>
      <c r="G13" s="256"/>
      <c r="H13" s="247">
        <f>D29</f>
        <v>519146.41666666669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10</v>
      </c>
      <c r="D14" s="31">
        <f t="shared" si="1"/>
        <v>110.41666666666666</v>
      </c>
      <c r="F14" s="250" t="s">
        <v>38</v>
      </c>
      <c r="G14" s="251"/>
      <c r="H14" s="252">
        <f>D54</f>
        <v>77385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441761.41666666669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3402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03">
        <v>82890</v>
      </c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5</v>
      </c>
      <c r="D28" s="48">
        <f t="shared" si="1"/>
        <v>4055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519146.41666666669</v>
      </c>
      <c r="F29" s="164" t="s">
        <v>54</v>
      </c>
      <c r="G29" s="226"/>
      <c r="H29" s="186">
        <f>H15-H16-H17-H18-H19-H20-H22-H23-H24+H26+H27+H28</f>
        <v>521249.41666666669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08">
        <f t="shared" ref="H34:H39" si="2">F34*G34</f>
        <v>77000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08">
        <f t="shared" si="2"/>
        <v>350000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109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3">
        <v>11000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03">
        <v>82890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9</v>
      </c>
      <c r="D49" s="12">
        <f>C49*42</f>
        <v>378</v>
      </c>
      <c r="F49" s="184" t="s">
        <v>85</v>
      </c>
      <c r="G49" s="186">
        <f>H34+H35+H36+H37+H38+H39+H40+H41+G42+H44+H45+H46+H47+H48</f>
        <v>521119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13</v>
      </c>
      <c r="D50" s="12">
        <f>C50*1.5</f>
        <v>19.5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-130.41666666668607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362</v>
      </c>
      <c r="D6" s="13">
        <f t="shared" ref="D6:D28" si="1">C6*L6</f>
        <v>275482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</v>
      </c>
      <c r="D9" s="13">
        <f t="shared" si="1"/>
        <v>7330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286025.54166666669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13</v>
      </c>
      <c r="D14" s="31">
        <f t="shared" si="1"/>
        <v>143.54166666666666</v>
      </c>
      <c r="F14" s="250" t="s">
        <v>38</v>
      </c>
      <c r="G14" s="251"/>
      <c r="H14" s="252">
        <f>D54</f>
        <v>37234.5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248791.04166666669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1944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286025.54166666669</v>
      </c>
      <c r="F29" s="164" t="s">
        <v>54</v>
      </c>
      <c r="G29" s="226"/>
      <c r="H29" s="186">
        <f>H15-H16-H17-H18-H19-H20-H22-H23-H24+H26+H27</f>
        <v>246847.04166666669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08">
        <f>F34*G34</f>
        <v>127000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08">
        <f>F35*G35</f>
        <v>117500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08">
        <f t="shared" si="2"/>
        <v>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182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8</v>
      </c>
      <c r="D49" s="12">
        <f>C49*42</f>
        <v>336</v>
      </c>
      <c r="F49" s="184" t="s">
        <v>85</v>
      </c>
      <c r="G49" s="186">
        <f>H34+H35+H36+H37+H38+H39+H40+H41+G42+H44+H45+H46+H47+H48</f>
        <v>245052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13</v>
      </c>
      <c r="D50" s="12">
        <f>C50*1.5</f>
        <v>19.5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-1795.0416666666861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292</v>
      </c>
      <c r="D6" s="13">
        <f t="shared" ref="D6:D28" si="1">C6*L6</f>
        <v>222212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2</v>
      </c>
      <c r="D8" s="13">
        <f t="shared" si="1"/>
        <v>2186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51</v>
      </c>
      <c r="D9" s="13">
        <f t="shared" si="1"/>
        <v>37383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3+1+1</f>
        <v>5</v>
      </c>
      <c r="D12" s="48">
        <f t="shared" si="1"/>
        <v>4960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7</v>
      </c>
      <c r="D13" s="48">
        <f t="shared" si="1"/>
        <v>2149</v>
      </c>
      <c r="F13" s="292" t="s">
        <v>36</v>
      </c>
      <c r="G13" s="256"/>
      <c r="H13" s="247">
        <f>D29</f>
        <v>271982.5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12</v>
      </c>
      <c r="D14" s="31">
        <f t="shared" si="1"/>
        <v>132.5</v>
      </c>
      <c r="F14" s="250" t="s">
        <v>38</v>
      </c>
      <c r="G14" s="251"/>
      <c r="H14" s="252">
        <f>D54</f>
        <v>39660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232322.5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720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271982.5</v>
      </c>
      <c r="F29" s="164" t="s">
        <v>54</v>
      </c>
      <c r="G29" s="226"/>
      <c r="H29" s="186">
        <f>H15-H16-H17-H18-H19-H20-H22-H23-H24+H26+H27</f>
        <v>231602.5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08">
        <f>F34*G34</f>
        <v>177000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08">
        <f>F35*G35</f>
        <v>53500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08">
        <f t="shared" si="2"/>
        <v>150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291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10</v>
      </c>
      <c r="D44" s="12">
        <f>C44*120</f>
        <v>1200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62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3</v>
      </c>
      <c r="D49" s="12">
        <f>C49*42</f>
        <v>126</v>
      </c>
      <c r="F49" s="184" t="s">
        <v>85</v>
      </c>
      <c r="G49" s="186">
        <f>H34+H35+H36+H37+H38+H39+H40+H41+G42+H44+H45+H46+H47+H48</f>
        <v>230961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23</v>
      </c>
      <c r="D50" s="12">
        <f>C50*1.5</f>
        <v>34.5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-641.5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1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347</v>
      </c>
      <c r="D6" s="13">
        <f t="shared" ref="D6:D28" si="1">C6*L6</f>
        <v>264067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8</v>
      </c>
      <c r="D7" s="13">
        <f t="shared" si="1"/>
        <v>6248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55</v>
      </c>
      <c r="D8" s="13">
        <f t="shared" si="1"/>
        <v>60115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20</v>
      </c>
      <c r="D9" s="13">
        <f t="shared" si="1"/>
        <v>14660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3</v>
      </c>
      <c r="D10" s="13">
        <f t="shared" si="1"/>
        <v>3096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1+2</f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3</v>
      </c>
      <c r="D13" s="48">
        <f t="shared" si="1"/>
        <v>921</v>
      </c>
      <c r="F13" s="292" t="s">
        <v>36</v>
      </c>
      <c r="G13" s="256"/>
      <c r="H13" s="247">
        <f>D29</f>
        <v>354423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53400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301023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233">
        <v>62655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354423</v>
      </c>
      <c r="F29" s="164" t="s">
        <v>54</v>
      </c>
      <c r="G29" s="226"/>
      <c r="H29" s="186">
        <f>H15-H16-H17-H18-H19-H20-H22-H23-H24+H26+H27+H28</f>
        <v>238368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08">
        <f t="shared" ref="H34:H39" si="2">F34*G34</f>
        <v>111000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08">
        <f t="shared" si="2"/>
        <v>19000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8">
        <f t="shared" si="2"/>
        <v>200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08">
        <f t="shared" si="2"/>
        <v>2200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08">
        <f t="shared" si="2"/>
        <v>200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8</v>
      </c>
      <c r="D42" s="12">
        <f>C42*2.25</f>
        <v>18</v>
      </c>
      <c r="F42" s="39" t="s">
        <v>78</v>
      </c>
      <c r="G42" s="208">
        <v>72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03">
        <v>105758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42</v>
      </c>
      <c r="D45" s="12">
        <f>C45*84</f>
        <v>3528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</v>
      </c>
      <c r="D49" s="12">
        <f>C49*42</f>
        <v>42</v>
      </c>
      <c r="F49" s="184" t="s">
        <v>85</v>
      </c>
      <c r="G49" s="186">
        <f>H34+H35+H36+H37+H38+H39+H40+H41+G42+H44+H45+H46+H47+H48</f>
        <v>238430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3</v>
      </c>
      <c r="D50" s="12">
        <f>C50*1.5</f>
        <v>4.5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62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345</v>
      </c>
      <c r="D6" s="13">
        <f t="shared" ref="D6:D28" si="1">C6*L6</f>
        <v>262545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10</v>
      </c>
      <c r="D7" s="13">
        <f t="shared" si="1"/>
        <v>7810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26</v>
      </c>
      <c r="D9" s="13">
        <f t="shared" si="1"/>
        <v>19058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8</v>
      </c>
      <c r="D13" s="48">
        <f t="shared" si="1"/>
        <v>2456</v>
      </c>
      <c r="F13" s="292" t="s">
        <v>36</v>
      </c>
      <c r="G13" s="256"/>
      <c r="H13" s="247">
        <f>D29</f>
        <v>293011.41666666669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10</v>
      </c>
      <c r="D14" s="31">
        <f t="shared" si="1"/>
        <v>110.41666666666666</v>
      </c>
      <c r="F14" s="250" t="s">
        <v>38</v>
      </c>
      <c r="G14" s="251"/>
      <c r="H14" s="252">
        <f>D54</f>
        <v>43533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249478.41666666669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1470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293011.41666666669</v>
      </c>
      <c r="F29" s="164" t="s">
        <v>54</v>
      </c>
      <c r="G29" s="226"/>
      <c r="H29" s="186">
        <f>H15-H16-H17-H18-H19-H20-H22-H23-H24+H26+H27</f>
        <v>248008.41666666669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08">
        <f>F34*G34</f>
        <v>140000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08">
        <f>F35*G35</f>
        <v>35500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08">
        <f t="shared" ref="H36:H39" si="2">F36*G36</f>
        <v>600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08">
        <f t="shared" si="2"/>
        <v>1200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</v>
      </c>
      <c r="D42" s="12">
        <f>C42*2.25</f>
        <v>4.5</v>
      </c>
      <c r="F42" s="39" t="s">
        <v>78</v>
      </c>
      <c r="G42" s="208">
        <v>26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03">
        <v>70074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247450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2</v>
      </c>
      <c r="D50" s="12">
        <f>C50*1.5</f>
        <v>3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-558.41666666668607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46247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369</v>
      </c>
      <c r="D6" s="13">
        <f t="shared" ref="D6:D28" si="1">C6*L6</f>
        <v>280809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12</v>
      </c>
      <c r="D7" s="13">
        <f t="shared" si="1"/>
        <v>9372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108</v>
      </c>
      <c r="D9" s="13">
        <f t="shared" si="1"/>
        <v>79164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16</v>
      </c>
      <c r="D13" s="48">
        <f t="shared" si="1"/>
        <v>4912</v>
      </c>
      <c r="F13" s="292" t="s">
        <v>36</v>
      </c>
      <c r="G13" s="256"/>
      <c r="H13" s="247">
        <f>D29</f>
        <v>391216.08333333331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2</v>
      </c>
      <c r="D14" s="31">
        <f t="shared" si="1"/>
        <v>22.083333333333332</v>
      </c>
      <c r="F14" s="250" t="s">
        <v>38</v>
      </c>
      <c r="G14" s="251"/>
      <c r="H14" s="252">
        <f>D54</f>
        <v>54899.25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336316.83333333331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7">
        <v>2736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391216.08333333331</v>
      </c>
      <c r="F29" s="164" t="s">
        <v>54</v>
      </c>
      <c r="G29" s="226"/>
      <c r="H29" s="186">
        <f>H15-H16-H17-H18-H19-H20-H22-H23-H24+H26+H27</f>
        <v>333530.83333333331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08">
        <f>F34*G34</f>
        <v>18000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08">
        <f>F35*G35</f>
        <v>7000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08">
        <f t="shared" si="2"/>
        <v>3900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03">
        <v>219967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03">
        <v>82199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22</v>
      </c>
      <c r="D46" s="12">
        <f>C46*1.5</f>
        <v>33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4</v>
      </c>
      <c r="D49" s="12">
        <f>C49*42</f>
        <v>168</v>
      </c>
      <c r="F49" s="184" t="s">
        <v>85</v>
      </c>
      <c r="G49" s="186">
        <f>H34+H35+H36+H37+H38+H39+H40+H41+G42+H44+H45+H46+H47+H48</f>
        <v>331136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18</v>
      </c>
      <c r="D50" s="12">
        <f>C50*1.5</f>
        <v>27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-2394.8333333333139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1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412</v>
      </c>
      <c r="D6" s="13">
        <f t="shared" ref="D6:D28" si="1">C6*L6</f>
        <v>313532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10</v>
      </c>
      <c r="D7" s="13">
        <f t="shared" si="1"/>
        <v>7810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14</v>
      </c>
      <c r="D9" s="13">
        <f t="shared" si="1"/>
        <v>10262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</v>
      </c>
      <c r="D13" s="48">
        <f t="shared" si="1"/>
        <v>614</v>
      </c>
      <c r="F13" s="292" t="s">
        <v>36</v>
      </c>
      <c r="G13" s="256"/>
      <c r="H13" s="247">
        <f>D29</f>
        <v>340635.625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15</v>
      </c>
      <c r="D14" s="31">
        <f t="shared" si="1"/>
        <v>165.625</v>
      </c>
      <c r="F14" s="250" t="s">
        <v>38</v>
      </c>
      <c r="G14" s="251"/>
      <c r="H14" s="252">
        <f>D54</f>
        <v>45124.5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295511.125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7">
        <v>1326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>
        <v>126.93</v>
      </c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5</v>
      </c>
      <c r="D28" s="48">
        <f t="shared" si="1"/>
        <v>4055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340635.625</v>
      </c>
      <c r="F29" s="164" t="s">
        <v>54</v>
      </c>
      <c r="G29" s="226"/>
      <c r="H29" s="186">
        <f>H15-H16-H17-H18-H19-H20-H22-H23-H24+H26+H27+H28</f>
        <v>294058.19500000001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08">
        <f t="shared" ref="H34:H39" si="2">F34*G34</f>
        <v>95000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08">
        <f t="shared" si="2"/>
        <v>8500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08">
        <v>95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03">
        <v>146466.5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03">
        <v>32500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 t="s">
        <v>135</v>
      </c>
      <c r="G46" s="62"/>
      <c r="H46" s="203">
        <v>10000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18</v>
      </c>
      <c r="D49" s="12">
        <f>C49*42</f>
        <v>756</v>
      </c>
      <c r="F49" s="184" t="s">
        <v>85</v>
      </c>
      <c r="G49" s="186">
        <f>H34+H35+H36+H37+H38+H39+H40+H41+G42+H44+H45+H46+H47+H48</f>
        <v>293411.5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31</v>
      </c>
      <c r="D50" s="12">
        <f>C50*1.5</f>
        <v>46.5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-646.69500000000698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288</v>
      </c>
      <c r="D6" s="13">
        <f t="shared" ref="D6:D28" si="1">C6*L6</f>
        <v>219168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</v>
      </c>
      <c r="D7" s="13">
        <f t="shared" si="1"/>
        <v>1562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</v>
      </c>
      <c r="D9" s="13">
        <f t="shared" si="1"/>
        <v>7330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9</v>
      </c>
      <c r="D13" s="48">
        <f t="shared" si="1"/>
        <v>2763</v>
      </c>
      <c r="F13" s="292" t="s">
        <v>36</v>
      </c>
      <c r="G13" s="256"/>
      <c r="H13" s="247">
        <f>D29</f>
        <v>230845.08333333334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2</v>
      </c>
      <c r="D14" s="31">
        <f t="shared" si="1"/>
        <v>22.083333333333332</v>
      </c>
      <c r="F14" s="250" t="s">
        <v>38</v>
      </c>
      <c r="G14" s="251"/>
      <c r="H14" s="252">
        <f>D54</f>
        <v>30505.5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200339.58333333334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1248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230845.08333333334</v>
      </c>
      <c r="F29" s="164" t="s">
        <v>54</v>
      </c>
      <c r="G29" s="226"/>
      <c r="H29" s="186">
        <f>H15-H16-H17-H18-H19-H20-H22-H23-H24+H26+H27</f>
        <v>199091.58333333334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08">
        <f>F34*G34</f>
        <v>112000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08">
        <f>F35*G35</f>
        <v>11000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08">
        <f t="shared" si="2"/>
        <v>1400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4</v>
      </c>
      <c r="D42" s="12">
        <f>C42*2.25</f>
        <v>9</v>
      </c>
      <c r="F42" s="39" t="s">
        <v>78</v>
      </c>
      <c r="G42" s="208">
        <v>115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03">
        <v>69092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10</v>
      </c>
      <c r="D46" s="12">
        <f>C46*1.5</f>
        <v>15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3</v>
      </c>
      <c r="D49" s="12">
        <f>C49*42</f>
        <v>126</v>
      </c>
      <c r="F49" s="184" t="s">
        <v>85</v>
      </c>
      <c r="G49" s="186">
        <f>H34+H35+H36+H37+H38+H39+H40+H41+G42+H44+H45+H46+H47+H48</f>
        <v>193607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3</v>
      </c>
      <c r="D50" s="12">
        <f>C50*1.5</f>
        <v>4.5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-5484.583333333343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506</v>
      </c>
      <c r="D6" s="13">
        <f t="shared" ref="D6:D28" si="1">C6*L6</f>
        <v>385066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25</v>
      </c>
      <c r="D7" s="13">
        <f t="shared" si="1"/>
        <v>19525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</v>
      </c>
      <c r="D8" s="13">
        <f t="shared" si="1"/>
        <v>1093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80</v>
      </c>
      <c r="D9" s="13">
        <f t="shared" si="1"/>
        <v>58640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17</v>
      </c>
      <c r="D13" s="48">
        <f t="shared" si="1"/>
        <v>5219</v>
      </c>
      <c r="F13" s="292" t="s">
        <v>36</v>
      </c>
      <c r="G13" s="256"/>
      <c r="H13" s="247">
        <f>D29</f>
        <v>481855.20833333331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77481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404374.20833333331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>
        <v>3528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481855.20833333331</v>
      </c>
      <c r="F29" s="164" t="s">
        <v>54</v>
      </c>
      <c r="G29" s="226"/>
      <c r="H29" s="186">
        <f>H15-H16-H17-H18-H19-H20-H22-H23-H24+H26+H27</f>
        <v>400846.20833333331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08">
        <f>F34*G34</f>
        <v>76000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08">
        <f>F35*G35</f>
        <v>14500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8">
        <f t="shared" ref="H36:H39" si="2">F36*G36</f>
        <v>400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08">
        <f t="shared" si="2"/>
        <v>5900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08">
        <f t="shared" si="2"/>
        <v>60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73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03">
        <v>184406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03">
        <v>104588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4</v>
      </c>
      <c r="D46" s="12">
        <f>C46*1.5</f>
        <v>6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386177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</v>
      </c>
      <c r="D50" s="12">
        <f>C50*1.5</f>
        <v>1.5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-14669.208333333314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1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46249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03">
        <v>62655</v>
      </c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0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62655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08">
        <f t="shared" ref="H34:H39" si="2">F34*G34</f>
        <v>62000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08">
        <f t="shared" si="2"/>
        <v>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08">
        <f t="shared" si="2"/>
        <v>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62655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46249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>
        <f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13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46249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594</v>
      </c>
      <c r="D6" s="13">
        <f t="shared" ref="D6:D28" si="1">C6*L6</f>
        <v>452034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36</v>
      </c>
      <c r="D7" s="13">
        <f t="shared" si="1"/>
        <v>28116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9</v>
      </c>
      <c r="D9" s="13">
        <f t="shared" si="1"/>
        <v>6597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5</v>
      </c>
      <c r="D11" s="13">
        <f t="shared" si="1"/>
        <v>5850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2+1</f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20</v>
      </c>
      <c r="D13" s="48">
        <f t="shared" si="1"/>
        <v>6140</v>
      </c>
      <c r="F13" s="292" t="s">
        <v>36</v>
      </c>
      <c r="G13" s="256"/>
      <c r="H13" s="247">
        <f>D29</f>
        <v>502994.04166666669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</v>
      </c>
      <c r="D14" s="31">
        <f t="shared" si="1"/>
        <v>11.041666666666666</v>
      </c>
      <c r="F14" s="250" t="s">
        <v>38</v>
      </c>
      <c r="G14" s="251"/>
      <c r="H14" s="252">
        <f>D54</f>
        <v>47216.25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455777.79166666669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>
        <v>3108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502994.04166666669</v>
      </c>
      <c r="F29" s="164" t="s">
        <v>54</v>
      </c>
      <c r="G29" s="226"/>
      <c r="H29" s="186">
        <f>H15-H16-H17-H18-H19-H20-H22-H23-H24+H26+H27</f>
        <v>452669.79166666669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08">
        <f>F34*G34</f>
        <v>136000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08">
        <f>F35*G35</f>
        <v>4000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8">
        <v>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0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03">
        <v>140936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03">
        <v>187503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5</v>
      </c>
      <c r="D46" s="12">
        <f>C46*1.5</f>
        <v>7.5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8</v>
      </c>
      <c r="D49" s="12">
        <f>C49*42</f>
        <v>336</v>
      </c>
      <c r="F49" s="184" t="s">
        <v>85</v>
      </c>
      <c r="G49" s="186">
        <f>H34+H35+H36+H37+H38+H39+H40+H41+G42+H44+H45+H46+H47+H48</f>
        <v>469044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16374.208333333314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409</v>
      </c>
      <c r="D6" s="13">
        <f t="shared" ref="D6:D28" si="1">C6*L6</f>
        <v>311249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3</v>
      </c>
      <c r="D7" s="13">
        <f t="shared" si="1"/>
        <v>2343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5</v>
      </c>
      <c r="D8" s="13">
        <f t="shared" si="1"/>
        <v>5465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96</v>
      </c>
      <c r="D9" s="13">
        <f t="shared" si="1"/>
        <v>70368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5</v>
      </c>
      <c r="D10" s="13">
        <f t="shared" si="1"/>
        <v>5160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14</v>
      </c>
      <c r="D13" s="48">
        <f t="shared" si="1"/>
        <v>4298</v>
      </c>
      <c r="F13" s="292" t="s">
        <v>36</v>
      </c>
      <c r="G13" s="256"/>
      <c r="H13" s="247">
        <f>D29</f>
        <v>408615.20833333331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105507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5</v>
      </c>
      <c r="D15" s="31">
        <f t="shared" si="1"/>
        <v>3100</v>
      </c>
      <c r="F15" s="255" t="s">
        <v>39</v>
      </c>
      <c r="G15" s="256"/>
      <c r="H15" s="257">
        <f>H13-H14</f>
        <v>303108.20833333331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17">
        <f>1296+1380</f>
        <v>2676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1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408615.20833333331</v>
      </c>
      <c r="F29" s="164" t="s">
        <v>54</v>
      </c>
      <c r="G29" s="226"/>
      <c r="H29" s="186">
        <f>H15-H16-H17-H18-H19-H20-H22-H23-H24+H26+H27+H28</f>
        <v>300432.20833333331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08">
        <f t="shared" ref="H34:H39" si="2">F34*G34</f>
        <v>28000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08">
        <f t="shared" si="2"/>
        <v>6000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08">
        <f t="shared" si="2"/>
        <v>5000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08">
        <f t="shared" si="2"/>
        <v>750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61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/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03">
        <v>158716.5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03">
        <v>101490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14</v>
      </c>
      <c r="D49" s="12">
        <f>C49*42</f>
        <v>588</v>
      </c>
      <c r="F49" s="184" t="s">
        <v>85</v>
      </c>
      <c r="G49" s="186">
        <f>H34+H35+H36+H37+H38+H39+H40+H41+G42+H44+H45+H46+H47+H48</f>
        <v>300037.5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17</v>
      </c>
      <c r="D50" s="12">
        <f>C50*1.5</f>
        <v>25.5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-394.70833333331393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501</v>
      </c>
      <c r="D6" s="13">
        <f t="shared" ref="D6:D28" si="1">C6*L6</f>
        <v>381261</v>
      </c>
      <c r="F6" s="271" t="s">
        <v>16</v>
      </c>
      <c r="G6" s="273" t="s">
        <v>107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</v>
      </c>
      <c r="D7" s="13">
        <f t="shared" si="1"/>
        <v>1562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24</v>
      </c>
      <c r="D9" s="13">
        <f t="shared" si="1"/>
        <v>17592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1</v>
      </c>
      <c r="D11" s="13">
        <f t="shared" si="1"/>
        <v>1170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17</v>
      </c>
      <c r="D13" s="48">
        <f t="shared" si="1"/>
        <v>5219</v>
      </c>
      <c r="F13" s="292" t="s">
        <v>36</v>
      </c>
      <c r="G13" s="256"/>
      <c r="H13" s="247">
        <f>D29</f>
        <v>410326.75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18</v>
      </c>
      <c r="D14" s="31">
        <f t="shared" si="1"/>
        <v>198.75</v>
      </c>
      <c r="F14" s="250" t="s">
        <v>38</v>
      </c>
      <c r="G14" s="251"/>
      <c r="H14" s="252">
        <f>D54</f>
        <v>59854.5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350472.25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7">
        <v>2700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410326.75</v>
      </c>
      <c r="F29" s="164" t="s">
        <v>54</v>
      </c>
      <c r="G29" s="226"/>
      <c r="H29" s="186">
        <f>H15-H16-H17-H18-H19-H20-H22-H23-H24+H26+H27</f>
        <v>347772.25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08">
        <f>F34*G34</f>
        <v>117000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08">
        <f>F35*G35</f>
        <v>159500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6</v>
      </c>
      <c r="D42" s="12">
        <f>C42*2.25</f>
        <v>13.5</v>
      </c>
      <c r="F42" s="39" t="s">
        <v>78</v>
      </c>
      <c r="G42" s="208">
        <v>41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03">
        <v>70347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17</v>
      </c>
      <c r="D49" s="12">
        <f>C49*42</f>
        <v>714</v>
      </c>
      <c r="F49" s="184" t="s">
        <v>85</v>
      </c>
      <c r="G49" s="186">
        <f>H34+H35+H36+H37+H38+H39+H40+H41+G42+H44+H45+H46+H47+H48</f>
        <v>347588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27</v>
      </c>
      <c r="D50" s="12">
        <f>C50*1.5</f>
        <v>40.5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-184.25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520</v>
      </c>
      <c r="D6" s="13">
        <f t="shared" ref="D6:D28" si="1">C6*L6</f>
        <v>395720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12</v>
      </c>
      <c r="D7" s="13">
        <f t="shared" si="1"/>
        <v>9372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133</v>
      </c>
      <c r="D9" s="13">
        <f t="shared" si="1"/>
        <v>97489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12</v>
      </c>
      <c r="D13" s="48">
        <f t="shared" si="1"/>
        <v>3684</v>
      </c>
      <c r="F13" s="292" t="s">
        <v>36</v>
      </c>
      <c r="G13" s="256"/>
      <c r="H13" s="247">
        <f>D29</f>
        <v>507297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55524.75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451772.25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1776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>
        <v>50</v>
      </c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507297</v>
      </c>
      <c r="F29" s="164" t="s">
        <v>54</v>
      </c>
      <c r="G29" s="226"/>
      <c r="H29" s="186">
        <f>H15-H16-H17-H18-H19-H20-H22-H23-H24+H26+H27</f>
        <v>449946.25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08">
        <f>F34*G34</f>
        <v>26000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08">
        <f>F35*G35</f>
        <v>2500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08">
        <f t="shared" si="2"/>
        <v>700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08">
        <f t="shared" si="2"/>
        <v>200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03">
        <v>124435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03">
        <v>67654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03">
        <v>229183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450692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3</v>
      </c>
      <c r="D50" s="12">
        <f>C50*1.5</f>
        <v>4.5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745.75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673</v>
      </c>
      <c r="D6" s="13">
        <f t="shared" ref="D6:D28" si="1">C6*L6</f>
        <v>512153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7</v>
      </c>
      <c r="D7" s="13">
        <f t="shared" si="1"/>
        <v>5467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524789.16666666674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4</v>
      </c>
      <c r="D14" s="31">
        <f t="shared" si="1"/>
        <v>44.166666666666664</v>
      </c>
      <c r="F14" s="250" t="s">
        <v>38</v>
      </c>
      <c r="G14" s="251"/>
      <c r="H14" s="252">
        <f>D54</f>
        <v>76164.75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448624.41666666674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3312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1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5</v>
      </c>
      <c r="D28" s="48">
        <f t="shared" si="1"/>
        <v>4055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524789.16666666674</v>
      </c>
      <c r="F29" s="164" t="s">
        <v>54</v>
      </c>
      <c r="G29" s="226"/>
      <c r="H29" s="186">
        <f>H15-H16-H17-H18-H19-H20-H22-H23-H24+H26+H27+H28</f>
        <v>445312.41666666674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208">
        <f t="shared" ref="H34:H39" si="2">F34*G34</f>
        <v>324000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208">
        <f t="shared" si="2"/>
        <v>47500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208">
        <f t="shared" si="2"/>
        <v>2700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8">
        <v>18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203">
        <v>70977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445295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-17.416666666744277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259</v>
      </c>
      <c r="D6" s="13">
        <f t="shared" ref="D6:D28" si="1">C6*L6</f>
        <v>197099</v>
      </c>
      <c r="F6" s="271" t="s">
        <v>16</v>
      </c>
      <c r="G6" s="273" t="s">
        <v>193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8</v>
      </c>
      <c r="D7" s="13">
        <f t="shared" si="1"/>
        <v>6248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23</v>
      </c>
      <c r="D9" s="13">
        <f t="shared" si="1"/>
        <v>16859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7</v>
      </c>
      <c r="D13" s="48">
        <f t="shared" si="1"/>
        <v>2149</v>
      </c>
      <c r="F13" s="292" t="s">
        <v>36</v>
      </c>
      <c r="G13" s="256"/>
      <c r="H13" s="247">
        <f>D29</f>
        <v>226309.875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21</v>
      </c>
      <c r="D14" s="31">
        <f t="shared" si="1"/>
        <v>231.875</v>
      </c>
      <c r="F14" s="250" t="s">
        <v>38</v>
      </c>
      <c r="G14" s="251"/>
      <c r="H14" s="252">
        <f>D54</f>
        <v>34420.5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191889.375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7">
        <v>1116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1</v>
      </c>
      <c r="D28" s="48">
        <f t="shared" si="1"/>
        <v>811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226309.875</v>
      </c>
      <c r="F29" s="164" t="s">
        <v>54</v>
      </c>
      <c r="G29" s="226"/>
      <c r="H29" s="186">
        <f>H15-H16-H17-H18-H19-H20-H22-H23-H24+H26+H27</f>
        <v>190773.375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208">
        <f>F34*G34</f>
        <v>63000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208">
        <f>F35*G35</f>
        <v>6500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208">
        <f t="shared" si="2"/>
        <v>700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14</v>
      </c>
      <c r="D42" s="12">
        <f>C42*2.25</f>
        <v>31.5</v>
      </c>
      <c r="F42" s="39" t="s">
        <v>78</v>
      </c>
      <c r="G42" s="208">
        <v>19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203">
        <v>74066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203">
        <v>46582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4</v>
      </c>
      <c r="D46" s="12">
        <f>C46*1.5</f>
        <v>6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190917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20</v>
      </c>
      <c r="D50" s="12">
        <f>C50*1.5</f>
        <v>30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143.625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46252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274</v>
      </c>
      <c r="D6" s="13">
        <f t="shared" ref="D6:D28" si="1">C6*L6</f>
        <v>208514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</v>
      </c>
      <c r="D7" s="13">
        <f t="shared" si="1"/>
        <v>781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35</v>
      </c>
      <c r="D9" s="13">
        <f t="shared" si="1"/>
        <v>25655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9</v>
      </c>
      <c r="D13" s="48">
        <f t="shared" si="1"/>
        <v>2763</v>
      </c>
      <c r="F13" s="292" t="s">
        <v>36</v>
      </c>
      <c r="G13" s="256"/>
      <c r="H13" s="247">
        <f>D29</f>
        <v>239538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35656.5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203881.5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239538</v>
      </c>
      <c r="F29" s="164" t="s">
        <v>54</v>
      </c>
      <c r="G29" s="226"/>
      <c r="H29" s="186">
        <f>H15-H16-H17-H18-H19-H20-H22-H23-H24+H26+H27</f>
        <v>203881.5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208">
        <f>F34*G34</f>
        <v>182000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208">
        <f>F35*G35</f>
        <v>16500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208">
        <f t="shared" si="2"/>
        <v>4300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208">
        <f t="shared" si="2"/>
        <v>1000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102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</v>
      </c>
      <c r="D49" s="12">
        <f>C49*42</f>
        <v>42</v>
      </c>
      <c r="F49" s="184" t="s">
        <v>85</v>
      </c>
      <c r="G49" s="186">
        <f>H34+H35+H36+H37+H38+H39+H40+H41+G42+H44+H45+H46+H47+H48</f>
        <v>203902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17</v>
      </c>
      <c r="D50" s="12">
        <f>C50*1.5</f>
        <v>25.5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20.5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46253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368</v>
      </c>
      <c r="D6" s="13">
        <f t="shared" ref="D6:D28" si="1">C6*L6</f>
        <v>280048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10</v>
      </c>
      <c r="D7" s="13">
        <f t="shared" si="1"/>
        <v>7810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47</v>
      </c>
      <c r="D8" s="13">
        <f t="shared" si="1"/>
        <v>51371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62</v>
      </c>
      <c r="D9" s="13">
        <f t="shared" si="1"/>
        <v>45446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3</v>
      </c>
      <c r="D11" s="13">
        <f t="shared" si="1"/>
        <v>3510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f>1+2</f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</v>
      </c>
      <c r="D13" s="48">
        <f t="shared" si="1"/>
        <v>614</v>
      </c>
      <c r="F13" s="292" t="s">
        <v>36</v>
      </c>
      <c r="G13" s="256"/>
      <c r="H13" s="247">
        <f>D29</f>
        <v>400721.16666666669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4</v>
      </c>
      <c r="D14" s="31">
        <f t="shared" si="1"/>
        <v>44.166666666666664</v>
      </c>
      <c r="F14" s="250" t="s">
        <v>38</v>
      </c>
      <c r="G14" s="251"/>
      <c r="H14" s="252">
        <f>D54</f>
        <v>54865.5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345855.66666666669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233">
        <v>49577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1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400721.16666666669</v>
      </c>
      <c r="F29" s="164" t="s">
        <v>54</v>
      </c>
      <c r="G29" s="226"/>
      <c r="H29" s="186">
        <f>H15-H16-H17-H18-H19-H20-H22-H23-H24+H26+H27+H28</f>
        <v>296278.66666666669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08">
        <f t="shared" ref="H34:H39" si="2">F34*G34</f>
        <v>49000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208">
        <f t="shared" si="2"/>
        <v>11500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208">
        <f t="shared" si="2"/>
        <v>1100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35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203">
        <v>221544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203">
        <v>12944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14</v>
      </c>
      <c r="D46" s="12">
        <f>C46*1.5</f>
        <v>21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</v>
      </c>
      <c r="D49" s="12">
        <f>C49*42</f>
        <v>42</v>
      </c>
      <c r="F49" s="184" t="s">
        <v>85</v>
      </c>
      <c r="G49" s="186">
        <f>H34+H35+H36+H37+H38+H39+H40+H41+G42+H44+H45+H46+H47+H48</f>
        <v>296223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-55.666666666686069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46253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330</v>
      </c>
      <c r="D6" s="13">
        <f t="shared" ref="D6:D28" si="1">C6*L6</f>
        <v>251130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12</v>
      </c>
      <c r="D13" s="48">
        <f t="shared" si="1"/>
        <v>3684</v>
      </c>
      <c r="F13" s="292" t="s">
        <v>36</v>
      </c>
      <c r="G13" s="256"/>
      <c r="H13" s="247">
        <f>D29</f>
        <v>254847.125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3</v>
      </c>
      <c r="D14" s="31">
        <f t="shared" si="1"/>
        <v>33.125</v>
      </c>
      <c r="F14" s="250" t="s">
        <v>38</v>
      </c>
      <c r="G14" s="251"/>
      <c r="H14" s="252">
        <f>D54</f>
        <v>37689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217158.125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1944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254847.125</v>
      </c>
      <c r="F29" s="164" t="s">
        <v>54</v>
      </c>
      <c r="G29" s="226"/>
      <c r="H29" s="186">
        <f>H15-H16-H17-H18-H19-H20-H22-H23-H24+H26+H27</f>
        <v>215214.125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208">
        <f>F34*G34</f>
        <v>203000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208">
        <f>F35*G35</f>
        <v>12000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208">
        <f t="shared" si="2"/>
        <v>100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50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4</v>
      </c>
      <c r="D49" s="12">
        <f>C49*42</f>
        <v>168</v>
      </c>
      <c r="F49" s="184" t="s">
        <v>85</v>
      </c>
      <c r="G49" s="186">
        <f>H34+H35+H36+H37+H38+H39+H40+H41+G42+H44+H45+H46+H47+H48</f>
        <v>215200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6</v>
      </c>
      <c r="D50" s="12">
        <f>C50*1.5</f>
        <v>9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-14.125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46253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317</v>
      </c>
      <c r="D6" s="13">
        <f t="shared" ref="D6:D28" si="1">C6*L6</f>
        <v>241237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15</v>
      </c>
      <c r="D7" s="13">
        <f t="shared" si="1"/>
        <v>11715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64</v>
      </c>
      <c r="D9" s="13">
        <f t="shared" si="1"/>
        <v>46912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9</v>
      </c>
      <c r="D13" s="48">
        <f t="shared" si="1"/>
        <v>2763</v>
      </c>
      <c r="F13" s="292" t="s">
        <v>36</v>
      </c>
      <c r="G13" s="256"/>
      <c r="H13" s="247">
        <f>D29</f>
        <v>304334.20833333331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5</v>
      </c>
      <c r="D14" s="31">
        <f t="shared" si="1"/>
        <v>55.208333333333329</v>
      </c>
      <c r="F14" s="250" t="s">
        <v>38</v>
      </c>
      <c r="G14" s="251"/>
      <c r="H14" s="252">
        <f>D54</f>
        <v>42960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261374.20833333331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1656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304334.20833333331</v>
      </c>
      <c r="F29" s="164" t="s">
        <v>54</v>
      </c>
      <c r="G29" s="226"/>
      <c r="H29" s="186">
        <f>H15-H16-H17-H18-H19-H20-H22-H23-H24+H26+H27</f>
        <v>259718.20833333331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208">
        <f>F34*G34</f>
        <v>98000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208">
        <f>F35*G35</f>
        <v>37000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128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203">
        <v>124550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3</v>
      </c>
      <c r="D49" s="12">
        <f>C49*42</f>
        <v>126</v>
      </c>
      <c r="F49" s="184" t="s">
        <v>85</v>
      </c>
      <c r="G49" s="186">
        <f>H34+H35+H36+H37+H38+H39+H40+H41+G42+H44+H45+H46+H47+H48</f>
        <v>259678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-40.208333333313931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703</v>
      </c>
      <c r="D6" s="13">
        <f t="shared" ref="D6:D28" si="1">C6*L6</f>
        <v>534983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27</v>
      </c>
      <c r="D7" s="13">
        <f t="shared" si="1"/>
        <v>21087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</v>
      </c>
      <c r="D8" s="13">
        <f t="shared" si="1"/>
        <v>1093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48</v>
      </c>
      <c r="D9" s="13">
        <f t="shared" si="1"/>
        <v>35184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11</v>
      </c>
      <c r="D10" s="13">
        <f t="shared" si="1"/>
        <v>11352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14</v>
      </c>
      <c r="D12" s="48">
        <f t="shared" si="1"/>
        <v>13888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12</v>
      </c>
      <c r="D13" s="48">
        <f t="shared" si="1"/>
        <v>3684</v>
      </c>
      <c r="F13" s="292" t="s">
        <v>36</v>
      </c>
      <c r="G13" s="256"/>
      <c r="H13" s="247">
        <f>D29</f>
        <v>660045.41666666663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10</v>
      </c>
      <c r="D14" s="31">
        <f t="shared" si="1"/>
        <v>110.41666666666666</v>
      </c>
      <c r="F14" s="250" t="s">
        <v>38</v>
      </c>
      <c r="G14" s="251"/>
      <c r="H14" s="252">
        <f>D54</f>
        <v>84088.5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3</v>
      </c>
      <c r="D15" s="31">
        <f t="shared" si="1"/>
        <v>1860</v>
      </c>
      <c r="F15" s="255" t="s">
        <v>39</v>
      </c>
      <c r="G15" s="256"/>
      <c r="H15" s="257">
        <f>H13-H14</f>
        <v>575956.91666666663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217">
        <v>1296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233">
        <v>97893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203">
        <v>97987</v>
      </c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1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660045.41666666663</v>
      </c>
      <c r="F29" s="164" t="s">
        <v>54</v>
      </c>
      <c r="G29" s="226"/>
      <c r="H29" s="186">
        <f>H15-H16-H17-H18-H19-H20-H22-H23-H24+H26+H27+H28</f>
        <v>574754.91666666663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208">
        <f t="shared" ref="H34:H39" si="2">F34*G34</f>
        <v>202000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208">
        <f t="shared" si="2"/>
        <v>7000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208">
        <f t="shared" si="2"/>
        <v>1900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208">
        <f t="shared" si="2"/>
        <v>300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34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203">
        <v>264874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203">
        <v>97987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21</v>
      </c>
      <c r="D46" s="12">
        <f>C46*1.5</f>
        <v>31.5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2</v>
      </c>
      <c r="D49" s="12">
        <f>C49*42</f>
        <v>84</v>
      </c>
      <c r="F49" s="184" t="s">
        <v>85</v>
      </c>
      <c r="G49" s="186">
        <f>H34+H35+H36+H37+H38+H39+H40+H41+G42+H44+H45+H46+H47+H48</f>
        <v>574095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</v>
      </c>
      <c r="D50" s="12">
        <f>C50*1.5</f>
        <v>3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-659.91666666662786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71</v>
      </c>
      <c r="D6" s="13">
        <f t="shared" ref="D6:D28" si="1">C6*L6</f>
        <v>54031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6</v>
      </c>
      <c r="D7" s="13">
        <f t="shared" si="1"/>
        <v>4686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21</v>
      </c>
      <c r="D9" s="13">
        <f t="shared" si="1"/>
        <v>15393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2</v>
      </c>
      <c r="D10" s="13">
        <f t="shared" si="1"/>
        <v>2064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2</v>
      </c>
      <c r="D12" s="48">
        <f t="shared" si="1"/>
        <v>1984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3</v>
      </c>
      <c r="D13" s="48">
        <f t="shared" si="1"/>
        <v>921</v>
      </c>
      <c r="F13" s="292" t="s">
        <v>36</v>
      </c>
      <c r="G13" s="256"/>
      <c r="H13" s="247">
        <f>D29</f>
        <v>79145.25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6</v>
      </c>
      <c r="D14" s="31">
        <f t="shared" si="1"/>
        <v>66.25</v>
      </c>
      <c r="F14" s="250" t="s">
        <v>38</v>
      </c>
      <c r="G14" s="251"/>
      <c r="H14" s="252">
        <f>D54</f>
        <v>11838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67307.25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534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79145.25</v>
      </c>
      <c r="F29" s="164" t="s">
        <v>54</v>
      </c>
      <c r="G29" s="226"/>
      <c r="H29" s="186">
        <f>H15-H16-H17-H18-H19-H20-H22-H23-H24+H26+H27</f>
        <v>66773.25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208">
        <f>F34*G34</f>
        <v>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208">
        <f t="shared" si="2"/>
        <v>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55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203">
        <v>58583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2</v>
      </c>
      <c r="D49" s="12">
        <f>C49*42</f>
        <v>84</v>
      </c>
      <c r="F49" s="184" t="s">
        <v>85</v>
      </c>
      <c r="G49" s="186">
        <f>H34+H35+H36+H37+H38+H39+H40+H41+G42+H44+H45+H46+H47+H48</f>
        <v>66838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17</v>
      </c>
      <c r="D50" s="12">
        <f>C50*1.5</f>
        <v>25.5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64.75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46254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465</v>
      </c>
      <c r="D6" s="13">
        <f t="shared" ref="D6:D28" si="1">C6*L6</f>
        <v>353865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44</v>
      </c>
      <c r="D7" s="13">
        <f t="shared" si="1"/>
        <v>34364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2</v>
      </c>
      <c r="D8" s="13">
        <f t="shared" si="1"/>
        <v>2186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110</v>
      </c>
      <c r="D9" s="13">
        <f t="shared" si="1"/>
        <v>80630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2</v>
      </c>
      <c r="D11" s="13">
        <f t="shared" si="1"/>
        <v>2340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2</v>
      </c>
      <c r="D12" s="48">
        <f t="shared" si="1"/>
        <v>1984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19</v>
      </c>
      <c r="D13" s="48">
        <f t="shared" si="1"/>
        <v>5833</v>
      </c>
      <c r="F13" s="292" t="s">
        <v>36</v>
      </c>
      <c r="G13" s="256"/>
      <c r="H13" s="247">
        <f>D29</f>
        <v>481202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71605.5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409596.5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3732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481202</v>
      </c>
      <c r="F29" s="164" t="s">
        <v>54</v>
      </c>
      <c r="G29" s="226"/>
      <c r="H29" s="186">
        <f>H15-H16-H17-H18-H19-H20-H22-H23-H24+H26+H27</f>
        <v>405814.5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208">
        <f>F34*G34</f>
        <v>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208">
        <f>F35*G35</f>
        <v>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208">
        <f t="shared" si="2"/>
        <v>800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20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203">
        <v>334197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203">
        <v>69310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15</v>
      </c>
      <c r="D49" s="12">
        <f>C49*42</f>
        <v>630</v>
      </c>
      <c r="F49" s="184" t="s">
        <v>85</v>
      </c>
      <c r="G49" s="186">
        <f>H34+H35+H36+H37+H38+H39+H40+H41+G42+H44+H45+H46+H47+H48</f>
        <v>405877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12</v>
      </c>
      <c r="D50" s="12">
        <f>C50*1.5</f>
        <v>18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62.5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1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1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405</v>
      </c>
      <c r="D6" s="13">
        <f t="shared" ref="D6:D28" si="1">C6*L6</f>
        <v>308205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</v>
      </c>
      <c r="D8" s="13">
        <f t="shared" si="1"/>
        <v>1093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51</v>
      </c>
      <c r="D9" s="13">
        <f t="shared" si="1"/>
        <v>37383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5</v>
      </c>
      <c r="D10" s="13">
        <f t="shared" si="1"/>
        <v>5160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355218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60337.5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294880.5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2010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1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355218</v>
      </c>
      <c r="F29" s="164" t="s">
        <v>54</v>
      </c>
      <c r="G29" s="226"/>
      <c r="H29" s="186">
        <f>H15-H16-H17-H18-H19-H20-H22-H23-H24+H26+H27</f>
        <v>292870.5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208">
        <f>F34*G34</f>
        <v>142000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208">
        <f>F35*G35</f>
        <v>4500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208">
        <f t="shared" si="2"/>
        <v>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8</v>
      </c>
      <c r="D42" s="12">
        <f>C42*2.25</f>
        <v>18</v>
      </c>
      <c r="F42" s="39" t="s">
        <v>78</v>
      </c>
      <c r="G42" s="208">
        <v>22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203">
        <v>146044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12</v>
      </c>
      <c r="D49" s="12">
        <f>C49*42</f>
        <v>504</v>
      </c>
      <c r="F49" s="184" t="s">
        <v>85</v>
      </c>
      <c r="G49" s="186">
        <f>H34+H35+H36+H37+H38+H39+H40+H41+G42+H44+H45+H46+H47+H48</f>
        <v>292866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-4.5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opLeftCell="A28" zoomScaleNormal="100" zoomScaleSheetLayoutView="85" workbookViewId="0">
      <selection activeCell="N60" sqref="N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46255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353</v>
      </c>
      <c r="D6" s="13">
        <f t="shared" ref="D6:D28" si="1">C6*L6</f>
        <v>268633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35</v>
      </c>
      <c r="D7" s="13">
        <f t="shared" si="1"/>
        <v>27335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15</v>
      </c>
      <c r="D8" s="13">
        <f t="shared" si="1"/>
        <v>16395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50</v>
      </c>
      <c r="D9" s="13">
        <f t="shared" si="1"/>
        <v>36650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20</v>
      </c>
      <c r="D10" s="13">
        <f t="shared" si="1"/>
        <v>20640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10</v>
      </c>
      <c r="D11" s="13">
        <f t="shared" si="1"/>
        <v>11700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10</v>
      </c>
      <c r="D12" s="48">
        <f t="shared" si="1"/>
        <v>9920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421825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47832.75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6</v>
      </c>
      <c r="D15" s="31">
        <f t="shared" si="1"/>
        <v>3720</v>
      </c>
      <c r="F15" s="255" t="s">
        <v>39</v>
      </c>
      <c r="G15" s="256"/>
      <c r="H15" s="257">
        <f>H13-H14</f>
        <v>373992.25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217">
        <v>300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421825</v>
      </c>
      <c r="F29" s="164" t="s">
        <v>54</v>
      </c>
      <c r="G29" s="226"/>
      <c r="H29" s="186">
        <f>H15-H16-H17-H18-H19-H20-H22-H23-H24+H26+H27</f>
        <v>373692.25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208">
        <f>F34*G34</f>
        <v>30000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208">
        <f>F35*G35</f>
        <v>1500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08">
        <v>43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1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203">
        <v>342768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51</v>
      </c>
      <c r="D45" s="12">
        <f>C45*84</f>
        <v>4284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8</v>
      </c>
      <c r="D46" s="12">
        <f>C46*1.5</f>
        <v>12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374611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918.75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56C4F-FA79-45C9-9AEE-1A1167488D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27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9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0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25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8E16-997A-4A38-9E58-035E3F826ECD}">
  <dimension ref="A1:V68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 t="s">
        <v>132</v>
      </c>
      <c r="G26" s="65">
        <v>11943</v>
      </c>
      <c r="H26" s="203">
        <v>49577</v>
      </c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25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2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49577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08">
        <f t="shared" ref="H34:H39" si="2">F34*G34</f>
        <v>49000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9">
        <v>1</v>
      </c>
      <c r="H35" s="208">
        <f t="shared" si="2"/>
        <v>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0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27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2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49577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ED07392-848A-44E9-80B5-A0DB4A32CAA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366F-3AB8-4801-BABF-9212BF050E95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27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2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>
        <f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9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0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2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5C524F-502E-4C49-B53A-75FD7500494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49C0-E1EE-4452-B097-2E3154FA3977}">
  <dimension ref="A1:R59"/>
  <sheetViews>
    <sheetView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46256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27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>
        <f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29"/>
      <c r="H35" s="208">
        <f>F35*G35</f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0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25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87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7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3DB72BD-12F8-4ADF-83DB-B61C4C10C0B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ED2A-19D1-45D9-999E-BA8B9ED88F0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32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35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6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4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96CAE-D1D8-4B6C-B431-D60A6842D304}">
  <dimension ref="A1:V68"/>
  <sheetViews>
    <sheetView topLeftCell="A19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906</v>
      </c>
      <c r="D6" s="13">
        <f t="shared" ref="D6:D28" si="1">C6*L6</f>
        <v>689466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21</v>
      </c>
      <c r="D7" s="13">
        <f t="shared" si="1"/>
        <v>16401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29</v>
      </c>
      <c r="D9" s="13">
        <f t="shared" si="1"/>
        <v>21257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33</v>
      </c>
      <c r="D13" s="48">
        <f t="shared" si="1"/>
        <v>10131</v>
      </c>
      <c r="F13" s="292" t="s">
        <v>36</v>
      </c>
      <c r="G13" s="256"/>
      <c r="H13" s="247">
        <f>D29</f>
        <v>737255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69019.5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668235.5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5304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34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2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737255</v>
      </c>
      <c r="F29" s="164" t="s">
        <v>54</v>
      </c>
      <c r="G29" s="226"/>
      <c r="H29" s="186">
        <f>H15-H16-H17-H18-H19-H20-H22-H23-H24+H26+H27+H28</f>
        <v>662931.5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396</v>
      </c>
      <c r="H34" s="208">
        <f t="shared" ref="H34:H39" si="2">F34*G34</f>
        <v>396000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35">
        <v>249</v>
      </c>
      <c r="H35" s="208">
        <f t="shared" si="2"/>
        <v>124500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589</v>
      </c>
      <c r="D37" s="12">
        <f>C37*111</f>
        <v>65379</v>
      </c>
      <c r="F37" s="12">
        <v>100</v>
      </c>
      <c r="G37" s="39">
        <v>5</v>
      </c>
      <c r="H37" s="208">
        <f t="shared" si="2"/>
        <v>500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36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36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6</v>
      </c>
      <c r="D42" s="12">
        <f>C42*2.25</f>
        <v>13.5</v>
      </c>
      <c r="F42" s="39" t="s">
        <v>78</v>
      </c>
      <c r="G42" s="208">
        <v>91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4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6</v>
      </c>
      <c r="D44" s="12">
        <f>C44*120</f>
        <v>720</v>
      </c>
      <c r="F44" s="37" t="s">
        <v>136</v>
      </c>
      <c r="G44" s="87" t="s">
        <v>205</v>
      </c>
      <c r="H44" s="203">
        <v>138895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8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15</v>
      </c>
      <c r="D49" s="12">
        <f>C49*42</f>
        <v>630</v>
      </c>
      <c r="F49" s="184" t="s">
        <v>85</v>
      </c>
      <c r="G49" s="186">
        <f>H34+H35+H36+H37+H38+H39+H40+H41+G42+H44+H45+H46+H47+H48</f>
        <v>660086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5</v>
      </c>
      <c r="D50" s="12">
        <f>C50*1.5</f>
        <v>7.5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-2845.5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69019.5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B59F83D-1A06-4EFF-8284-8966E51A563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DFAD6-BA1C-4033-81E0-54533E50302B}">
  <dimension ref="A1:R59"/>
  <sheetViews>
    <sheetView topLeftCell="A27" zoomScaleNormal="100" zoomScaleSheetLayoutView="85" workbookViewId="0">
      <selection activeCell="L56" sqref="L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46258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371</v>
      </c>
      <c r="D6" s="13">
        <f t="shared" ref="D6:D28" si="1">C6*L6</f>
        <v>282331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15</v>
      </c>
      <c r="D9" s="13">
        <f t="shared" si="1"/>
        <v>10995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297905.79166666669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19</v>
      </c>
      <c r="D14" s="31">
        <f t="shared" si="1"/>
        <v>209.79166666666666</v>
      </c>
      <c r="F14" s="250" t="s">
        <v>38</v>
      </c>
      <c r="G14" s="251"/>
      <c r="H14" s="252">
        <f>D54</f>
        <v>42783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255122.79166666669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7">
        <v>2148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2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297905.79166666669</v>
      </c>
      <c r="F29" s="164" t="s">
        <v>54</v>
      </c>
      <c r="G29" s="226"/>
      <c r="H29" s="186">
        <f>H15-H16-H17-H18-H19-H20-H22-H23-H24+H26+H27</f>
        <v>252974.79166666669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33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08">
        <f>F34*G34</f>
        <v>18000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35">
        <v>4</v>
      </c>
      <c r="H35" s="208">
        <f>F35*G35</f>
        <v>2000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6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4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148</v>
      </c>
      <c r="G44" s="62" t="s">
        <v>206</v>
      </c>
      <c r="H44" s="203">
        <v>140622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75" t="s">
        <v>207</v>
      </c>
      <c r="H45" s="203">
        <v>92245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6</v>
      </c>
      <c r="D49" s="12">
        <f>C49*42</f>
        <v>252</v>
      </c>
      <c r="F49" s="184" t="s">
        <v>85</v>
      </c>
      <c r="G49" s="186">
        <f>H34+H35+H36+H37+H38+H39+H40+H41+G42+H44+H45+H46+H47+H48</f>
        <v>252872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-102.79166666668607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42783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B3C56F9-8422-44B3-B164-449B527944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3122-BB19-4498-8B49-11A8ABFE673C}">
  <dimension ref="A1:R59"/>
  <sheetViews>
    <sheetView topLeftCell="A19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46258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557</v>
      </c>
      <c r="D6" s="13">
        <f t="shared" ref="D6:D28" si="1">C6*L6</f>
        <v>423877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15</v>
      </c>
      <c r="D7" s="13">
        <f t="shared" si="1"/>
        <v>11715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107</v>
      </c>
      <c r="D9" s="13">
        <f t="shared" si="1"/>
        <v>78431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3</v>
      </c>
      <c r="D10" s="13">
        <f t="shared" si="1"/>
        <v>3096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15</v>
      </c>
      <c r="D13" s="48">
        <f t="shared" si="1"/>
        <v>4605</v>
      </c>
      <c r="F13" s="292" t="s">
        <v>36</v>
      </c>
      <c r="G13" s="256"/>
      <c r="H13" s="247">
        <f>D29</f>
        <v>522837.45833333331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11</v>
      </c>
      <c r="D14" s="31">
        <f t="shared" si="1"/>
        <v>121.45833333333333</v>
      </c>
      <c r="F14" s="250" t="s">
        <v>38</v>
      </c>
      <c r="G14" s="251"/>
      <c r="H14" s="252">
        <f>D54</f>
        <v>74484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448353.45833333331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3096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2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522837.45833333331</v>
      </c>
      <c r="F29" s="164" t="s">
        <v>54</v>
      </c>
      <c r="G29" s="226"/>
      <c r="H29" s="186">
        <f>H15-H16-H17-H18-H19-H20-H22-H23-H24+H26+H27</f>
        <v>445207.45833333331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119</v>
      </c>
      <c r="H34" s="208">
        <f>F34*G34</f>
        <v>119000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35">
        <v>42</v>
      </c>
      <c r="H35" s="208">
        <f>F35*G35</f>
        <v>21000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36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36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4</v>
      </c>
      <c r="D42" s="12">
        <f>C42*2.25</f>
        <v>9</v>
      </c>
      <c r="F42" s="39" t="s">
        <v>78</v>
      </c>
      <c r="G42" s="208">
        <v>78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4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208</v>
      </c>
      <c r="H44" s="203">
        <v>192763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1</v>
      </c>
      <c r="D45" s="12">
        <f>C45*84</f>
        <v>84</v>
      </c>
      <c r="F45" s="37" t="s">
        <v>136</v>
      </c>
      <c r="G45" s="87" t="s">
        <v>209</v>
      </c>
      <c r="H45" s="203">
        <v>41760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9</v>
      </c>
      <c r="D46" s="12">
        <f>C46*1.5</f>
        <v>13.5</v>
      </c>
      <c r="F46" s="37" t="s">
        <v>133</v>
      </c>
      <c r="G46" s="87" t="s">
        <v>210</v>
      </c>
      <c r="H46" s="203">
        <v>70468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</v>
      </c>
      <c r="D49" s="12">
        <f>C49*42</f>
        <v>42</v>
      </c>
      <c r="F49" s="184" t="s">
        <v>85</v>
      </c>
      <c r="G49" s="186">
        <f>H34+H35+H36+H37+H38+H39+H40+H41+G42+H44+H45+H46+H47+H48</f>
        <v>445069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21</v>
      </c>
      <c r="D50" s="12">
        <f>C50*1.5</f>
        <v>31.5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-138.45833333331393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74484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3745DDF-EFB1-4BCC-9C3F-9FE5F45B710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C59B-4206-4ABC-A569-272F15E430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3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1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42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42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7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9A7C5-CC5B-4E55-9367-F99E2B9FB99B}">
  <dimension ref="A1:V68"/>
  <sheetViews>
    <sheetView topLeftCell="A25" zoomScaleNormal="100" zoomScaleSheetLayoutView="85" workbookViewId="0">
      <selection activeCell="L55" sqref="L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46259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993</v>
      </c>
      <c r="D6" s="13">
        <f t="shared" ref="D6:D28" si="1">C6*L6</f>
        <v>755673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21</v>
      </c>
      <c r="D9" s="13">
        <f t="shared" si="1"/>
        <v>15393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30</v>
      </c>
      <c r="D13" s="48">
        <f t="shared" si="1"/>
        <v>9210</v>
      </c>
      <c r="F13" s="292" t="s">
        <v>36</v>
      </c>
      <c r="G13" s="256"/>
      <c r="H13" s="247">
        <f>D29</f>
        <v>780276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100740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679536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5172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74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37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780276</v>
      </c>
      <c r="F29" s="164" t="s">
        <v>54</v>
      </c>
      <c r="G29" s="226"/>
      <c r="H29" s="186">
        <f>H15-H16-H17-H18-H19-H20-H22-H23-H24+H26+H27+H28</f>
        <v>674364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</v>
      </c>
      <c r="H34" s="208">
        <f t="shared" ref="H34:H39" si="2">F34*G34</f>
        <v>32000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1">
        <v>16</v>
      </c>
      <c r="H35" s="208">
        <f t="shared" si="2"/>
        <v>8000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855</v>
      </c>
      <c r="D37" s="12">
        <f>C37*111</f>
        <v>94905</v>
      </c>
      <c r="F37" s="12">
        <v>100</v>
      </c>
      <c r="G37" s="39">
        <v>23</v>
      </c>
      <c r="H37" s="208">
        <f t="shared" si="2"/>
        <v>2300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142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4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3">
        <v>38860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135</v>
      </c>
      <c r="G45" s="87"/>
      <c r="H45" s="203">
        <v>16110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5</v>
      </c>
      <c r="D46" s="12">
        <f>C46*1.5</f>
        <v>7.5</v>
      </c>
      <c r="F46" s="37" t="s">
        <v>135</v>
      </c>
      <c r="G46" s="62"/>
      <c r="H46" s="203">
        <v>2000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 t="s">
        <v>211</v>
      </c>
      <c r="G47" s="59"/>
      <c r="H47" s="304">
        <v>575644</v>
      </c>
      <c r="I47" s="305"/>
      <c r="J47" s="306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675018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654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100740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250198F-8816-458A-BB0E-73CEF1E777C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D7336-8DD8-458D-B036-57ED81EA0BD9}">
  <dimension ref="A1:R59"/>
  <sheetViews>
    <sheetView topLeftCell="A17" zoomScaleNormal="100" zoomScaleSheetLayoutView="85" workbookViewId="0">
      <selection activeCell="M42" sqref="M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46259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755</v>
      </c>
      <c r="D6" s="13">
        <f t="shared" ref="D6:D28" si="1">C6*L6</f>
        <v>574555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6</v>
      </c>
      <c r="D7" s="13">
        <f t="shared" si="1"/>
        <v>4686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37</v>
      </c>
      <c r="D9" s="13">
        <f t="shared" si="1"/>
        <v>27121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8</v>
      </c>
      <c r="D10" s="13">
        <f t="shared" si="1"/>
        <v>8256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16</v>
      </c>
      <c r="D11" s="13">
        <f t="shared" si="1"/>
        <v>18720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18</v>
      </c>
      <c r="D12" s="48">
        <f t="shared" si="1"/>
        <v>17856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25</v>
      </c>
      <c r="D13" s="48">
        <f t="shared" si="1"/>
        <v>7675</v>
      </c>
      <c r="F13" s="292" t="s">
        <v>36</v>
      </c>
      <c r="G13" s="256"/>
      <c r="H13" s="247">
        <f>D29</f>
        <v>660175.25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6</v>
      </c>
      <c r="D14" s="31">
        <f t="shared" si="1"/>
        <v>66.25</v>
      </c>
      <c r="F14" s="250" t="s">
        <v>38</v>
      </c>
      <c r="G14" s="251"/>
      <c r="H14" s="252">
        <f>D54</f>
        <v>96339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2</v>
      </c>
      <c r="D15" s="31">
        <f t="shared" si="1"/>
        <v>1240</v>
      </c>
      <c r="F15" s="255" t="s">
        <v>39</v>
      </c>
      <c r="G15" s="256"/>
      <c r="H15" s="257">
        <f>H13-H14</f>
        <v>563836.25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3882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9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660175.25</v>
      </c>
      <c r="F29" s="164" t="s">
        <v>54</v>
      </c>
      <c r="G29" s="226"/>
      <c r="H29" s="186">
        <f>H15-H16-H17-H18-H19-H20-H22-H23-H24+H26+H27</f>
        <v>559954.25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3">
        <v>168</v>
      </c>
      <c r="H34" s="208">
        <f>F34*G34</f>
        <v>168000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1">
        <v>46</v>
      </c>
      <c r="H35" s="208">
        <f>F35*G35</f>
        <v>23000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781</v>
      </c>
      <c r="D37" s="12">
        <f>C37*111</f>
        <v>86691</v>
      </c>
      <c r="F37" s="12">
        <v>100</v>
      </c>
      <c r="G37" s="39">
        <v>58</v>
      </c>
      <c r="H37" s="208">
        <f t="shared" si="2"/>
        <v>5800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4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6</v>
      </c>
      <c r="D42" s="12">
        <f>C42*2.25</f>
        <v>13.5</v>
      </c>
      <c r="F42" s="39" t="s">
        <v>78</v>
      </c>
      <c r="G42" s="208">
        <v>87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35</v>
      </c>
      <c r="D44" s="12">
        <f>C44*120</f>
        <v>4200</v>
      </c>
      <c r="F44" s="37" t="s">
        <v>133</v>
      </c>
      <c r="G44" s="87" t="s">
        <v>212</v>
      </c>
      <c r="H44" s="203">
        <v>211644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133</v>
      </c>
      <c r="G45" s="87" t="s">
        <v>213</v>
      </c>
      <c r="H45" s="203">
        <v>70468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 t="s">
        <v>136</v>
      </c>
      <c r="G46" s="87" t="s">
        <v>214</v>
      </c>
      <c r="H46" s="203">
        <v>81652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20</v>
      </c>
      <c r="D48" s="12">
        <f>C48*78</f>
        <v>1560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3</v>
      </c>
      <c r="D49" s="12">
        <f>C49*42</f>
        <v>126</v>
      </c>
      <c r="F49" s="184" t="s">
        <v>85</v>
      </c>
      <c r="G49" s="186">
        <f>H34+H35+H36+H37+H38+H39+H40+H41+G42+H44+H45+H46+H47+H48</f>
        <v>560651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2</v>
      </c>
      <c r="D50" s="12">
        <f>C50*1.5</f>
        <v>3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696.75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96339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2F84FC4-8088-40B4-9AC8-74A2EABBCFA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1E1B-167F-4F03-BCB9-6BEBD406CDB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44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7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48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46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4F36-43F6-4B00-8E71-F3FEA2618838}">
  <dimension ref="A1:V68"/>
  <sheetViews>
    <sheetView topLeftCell="A19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46260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/>
      <c r="D6" s="13">
        <f t="shared" ref="D6:D28" si="1">C6*L6</f>
        <v>0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155" t="s">
        <v>215</v>
      </c>
      <c r="G26" s="65">
        <v>11493</v>
      </c>
      <c r="H26" s="203">
        <v>5850</v>
      </c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 t="s">
        <v>216</v>
      </c>
      <c r="G27" s="146">
        <v>11497</v>
      </c>
      <c r="H27" s="300">
        <v>10400</v>
      </c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44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H15-H16-H17-H18-H19-H20-H22-H23-H24+H26+H27+H28</f>
        <v>16250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7"/>
      <c r="H35" s="208">
        <f t="shared" si="2"/>
        <v>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48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46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156" t="s">
        <v>217</v>
      </c>
      <c r="G44" s="157" t="s">
        <v>218</v>
      </c>
      <c r="H44" s="203">
        <v>5850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156" t="s">
        <v>217</v>
      </c>
      <c r="G45" s="157" t="s">
        <v>219</v>
      </c>
      <c r="H45" s="203">
        <v>10400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304"/>
      <c r="I47" s="305"/>
      <c r="J47" s="306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16250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-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FE09DFB-4177-4A52-B9AA-0E5A003E281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DE56-E6D4-4A89-A785-9415BFD97137}">
  <dimension ref="A1:V68"/>
  <sheetViews>
    <sheetView topLeftCell="A2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46260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521</v>
      </c>
      <c r="D6" s="13">
        <f t="shared" ref="D6:D28" si="1">C6*L6</f>
        <v>396481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4</v>
      </c>
      <c r="D7" s="13">
        <f t="shared" si="1"/>
        <v>3124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44</v>
      </c>
      <c r="D9" s="13">
        <f t="shared" si="1"/>
        <v>32252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11</v>
      </c>
      <c r="D13" s="48">
        <f t="shared" si="1"/>
        <v>3377</v>
      </c>
      <c r="F13" s="292" t="s">
        <v>36</v>
      </c>
      <c r="G13" s="256"/>
      <c r="H13" s="247">
        <f>D29</f>
        <v>435322.33333333331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8</v>
      </c>
      <c r="D14" s="31">
        <f t="shared" si="1"/>
        <v>88.333333333333329</v>
      </c>
      <c r="F14" s="250" t="s">
        <v>38</v>
      </c>
      <c r="G14" s="251"/>
      <c r="H14" s="252">
        <f>D54</f>
        <v>71343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363979.33333333331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2772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/>
      <c r="G23" s="78"/>
      <c r="H23" s="298"/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155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49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51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435322.33333333331</v>
      </c>
      <c r="F29" s="164" t="s">
        <v>54</v>
      </c>
      <c r="G29" s="226"/>
      <c r="H29" s="186">
        <f>H15-H16-H17-H18-H19-H20-H22-H23-H24+H26+H27+H28</f>
        <v>361207.33333333331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271</v>
      </c>
      <c r="H34" s="208">
        <f t="shared" ref="H34:H39" si="2">F34*G34</f>
        <v>271000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53">
        <v>90</v>
      </c>
      <c r="H35" s="208">
        <f t="shared" si="2"/>
        <v>45000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14</v>
      </c>
      <c r="H37" s="208">
        <f t="shared" si="2"/>
        <v>1400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>
        <v>15</v>
      </c>
      <c r="H38" s="208">
        <f t="shared" si="2"/>
        <v>750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8">
        <f t="shared" si="2"/>
        <v>40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54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5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29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4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156" t="s">
        <v>133</v>
      </c>
      <c r="G44" s="108" t="s">
        <v>134</v>
      </c>
      <c r="H44" s="203">
        <v>40670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156"/>
      <c r="G45" s="15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304"/>
      <c r="I47" s="305"/>
      <c r="J47" s="306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H34+H35+H36+H37+H38+H39+H40+H41+G42+H44+H45+H46+H47+H48</f>
        <v>358889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-2318.3333333333139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71343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314FED6-2626-4BEA-95C2-FD03D565024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1AA5C-5906-4291-A1A5-8A16697E9E78}">
  <dimension ref="A1:R59"/>
  <sheetViews>
    <sheetView topLeftCell="A21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46260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273</v>
      </c>
      <c r="D6" s="13">
        <f t="shared" ref="D6:D28" si="1">C6*L6</f>
        <v>207753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7</v>
      </c>
      <c r="D7" s="13">
        <f t="shared" si="1"/>
        <v>5467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19</v>
      </c>
      <c r="D9" s="13">
        <f t="shared" si="1"/>
        <v>13927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2</v>
      </c>
      <c r="D12" s="48">
        <f t="shared" si="1"/>
        <v>1984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6</v>
      </c>
      <c r="D13" s="48">
        <f t="shared" si="1"/>
        <v>1842</v>
      </c>
      <c r="F13" s="292" t="s">
        <v>36</v>
      </c>
      <c r="G13" s="256"/>
      <c r="H13" s="247">
        <f>D29</f>
        <v>231766.54166666666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13</v>
      </c>
      <c r="D14" s="31">
        <f t="shared" si="1"/>
        <v>143.54166666666666</v>
      </c>
      <c r="F14" s="250" t="s">
        <v>38</v>
      </c>
      <c r="G14" s="251"/>
      <c r="H14" s="252">
        <f>D54</f>
        <v>32490.75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199275.79166666666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>
        <v>300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3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231766.54166666666</v>
      </c>
      <c r="F29" s="164" t="s">
        <v>54</v>
      </c>
      <c r="G29" s="226"/>
      <c r="H29" s="186">
        <f>H15-H16-H17-H18-H19-H20-H22-H23-H24+H26+H27</f>
        <v>198975.79166666666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4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08">
        <f>F34*G34</f>
        <v>170000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41">
        <v>54</v>
      </c>
      <c r="H35" s="208">
        <f>F35*G35</f>
        <v>27000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>
        <v>29</v>
      </c>
      <c r="H37" s="208">
        <f t="shared" si="2"/>
        <v>2900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08">
        <f t="shared" si="2"/>
        <v>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42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2</v>
      </c>
      <c r="D41" s="12">
        <f>C41*84</f>
        <v>168</v>
      </c>
      <c r="F41" s="12">
        <v>5</v>
      </c>
      <c r="G41" s="142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8">
        <v>23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37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>
        <v>2</v>
      </c>
      <c r="D45" s="12">
        <f>C45*84</f>
        <v>168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3</v>
      </c>
      <c r="D49" s="12">
        <f>C49*42</f>
        <v>126</v>
      </c>
      <c r="F49" s="184" t="s">
        <v>85</v>
      </c>
      <c r="G49" s="186">
        <f>H34+H35+H36+H37+H38+H39+H40+H41+G42+H44+H45+H46+H47+H48</f>
        <v>199923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13</v>
      </c>
      <c r="D50" s="12">
        <f>C50*1.5</f>
        <v>19.5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947.20833333334303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32490.75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4397920-BDE4-4353-80DD-29AFFAA0F13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E9DA-BDBB-47A9-9863-36782464AED9}">
  <dimension ref="A1:R59"/>
  <sheetViews>
    <sheetView topLeftCell="A49"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46260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647</v>
      </c>
      <c r="D6" s="13">
        <f t="shared" ref="D6:D28" si="1">C6*L6</f>
        <v>492367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11</v>
      </c>
      <c r="D7" s="13">
        <f t="shared" si="1"/>
        <v>8591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3</v>
      </c>
      <c r="D8" s="13">
        <f t="shared" si="1"/>
        <v>3279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53</v>
      </c>
      <c r="D9" s="13">
        <f t="shared" si="1"/>
        <v>38849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4</v>
      </c>
      <c r="D10" s="13">
        <f t="shared" si="1"/>
        <v>4128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5</v>
      </c>
      <c r="D12" s="48">
        <f t="shared" si="1"/>
        <v>4960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18</v>
      </c>
      <c r="D13" s="48">
        <f t="shared" si="1"/>
        <v>5526</v>
      </c>
      <c r="F13" s="292" t="s">
        <v>36</v>
      </c>
      <c r="G13" s="256"/>
      <c r="H13" s="247">
        <f>D29</f>
        <v>559694.16666666663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4</v>
      </c>
      <c r="D14" s="31">
        <f t="shared" si="1"/>
        <v>44.166666666666664</v>
      </c>
      <c r="F14" s="250" t="s">
        <v>38</v>
      </c>
      <c r="G14" s="251"/>
      <c r="H14" s="252">
        <f>D54</f>
        <v>74410.5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485283.66666666663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17">
        <v>2394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>
        <v>50</v>
      </c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51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559694.16666666663</v>
      </c>
      <c r="F29" s="164" t="s">
        <v>54</v>
      </c>
      <c r="G29" s="226"/>
      <c r="H29" s="186">
        <f>H15-H16-H17-H18-H19-H20-H22-H23-H24+H26+H27</f>
        <v>482839.66666666663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08">
        <f>F34*G34</f>
        <v>40000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53">
        <v>45</v>
      </c>
      <c r="H35" s="208">
        <f>F35*G35</f>
        <v>22500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630</v>
      </c>
      <c r="D37" s="12">
        <f>C37*111</f>
        <v>69930</v>
      </c>
      <c r="F37" s="12">
        <v>100</v>
      </c>
      <c r="G37" s="39">
        <v>5</v>
      </c>
      <c r="H37" s="208">
        <f t="shared" si="2"/>
        <v>500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3</v>
      </c>
      <c r="H38" s="208">
        <f t="shared" si="2"/>
        <v>150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54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4</v>
      </c>
      <c r="D41" s="12">
        <f>C41*84</f>
        <v>336</v>
      </c>
      <c r="F41" s="12">
        <v>5</v>
      </c>
      <c r="G41" s="154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8">
        <v>123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49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5</v>
      </c>
      <c r="D44" s="12">
        <f>C44*120</f>
        <v>600</v>
      </c>
      <c r="F44" s="37" t="s">
        <v>188</v>
      </c>
      <c r="G44" s="87" t="s">
        <v>220</v>
      </c>
      <c r="H44" s="203">
        <v>153833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136</v>
      </c>
      <c r="G45" s="87" t="s">
        <v>221</v>
      </c>
      <c r="H45" s="203">
        <v>50444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8</v>
      </c>
      <c r="D46" s="12">
        <f>C46*1.5</f>
        <v>12</v>
      </c>
      <c r="F46" s="37" t="s">
        <v>133</v>
      </c>
      <c r="G46" s="87" t="s">
        <v>222</v>
      </c>
      <c r="H46" s="203">
        <v>65316</v>
      </c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 t="s">
        <v>136</v>
      </c>
      <c r="G47" s="75" t="s">
        <v>223</v>
      </c>
      <c r="H47" s="203">
        <v>150691</v>
      </c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7</v>
      </c>
      <c r="D49" s="12">
        <f>C49*42</f>
        <v>294</v>
      </c>
      <c r="F49" s="184" t="s">
        <v>85</v>
      </c>
      <c r="G49" s="186">
        <f>H34+H35+H36+H37+H38+H39+H40+H41+G42+H44+H45+H46+H47+H48</f>
        <v>483557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12</v>
      </c>
      <c r="D50" s="12">
        <f>C50*1.5</f>
        <v>18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717.33333333337214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74410.5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451940F-43D5-47D0-9C65-FE1105C3772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3983-06DE-41CC-8108-618E80B86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60" t="s">
        <v>1</v>
      </c>
      <c r="O1" s="260"/>
      <c r="P1" s="158" t="s">
        <v>2</v>
      </c>
      <c r="Q1" s="15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11" t="s">
        <v>7</v>
      </c>
      <c r="B4" s="212"/>
      <c r="C4" s="212"/>
      <c r="D4" s="213"/>
      <c r="F4" s="261" t="s">
        <v>8</v>
      </c>
      <c r="G4" s="263"/>
      <c r="H4" s="265" t="s">
        <v>9</v>
      </c>
      <c r="I4" s="267"/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206"/>
      <c r="B6" s="16"/>
      <c r="C6" s="10"/>
      <c r="D6" s="13">
        <f t="shared" ref="D6:D28" si="1">C6*L6</f>
        <v>0</v>
      </c>
      <c r="F6" s="271" t="s">
        <v>16</v>
      </c>
      <c r="G6" s="273"/>
      <c r="H6" s="274"/>
      <c r="I6" s="274"/>
      <c r="J6" s="2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206"/>
      <c r="B7" s="16"/>
      <c r="C7" s="10"/>
      <c r="D7" s="13">
        <f t="shared" si="1"/>
        <v>0</v>
      </c>
      <c r="F7" s="272"/>
      <c r="G7" s="276"/>
      <c r="H7" s="277"/>
      <c r="I7" s="277"/>
      <c r="J7" s="2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206"/>
      <c r="B8" s="16"/>
      <c r="C8" s="10"/>
      <c r="D8" s="13">
        <f t="shared" si="1"/>
        <v>0</v>
      </c>
      <c r="F8" s="279" t="s">
        <v>21</v>
      </c>
      <c r="G8" s="280"/>
      <c r="H8" s="281"/>
      <c r="I8" s="281"/>
      <c r="J8" s="28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206"/>
      <c r="B9" s="16"/>
      <c r="C9" s="10"/>
      <c r="D9" s="13">
        <f t="shared" si="1"/>
        <v>0</v>
      </c>
      <c r="F9" s="272"/>
      <c r="G9" s="283"/>
      <c r="H9" s="284"/>
      <c r="I9" s="284"/>
      <c r="J9" s="28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206"/>
      <c r="C10" s="10"/>
      <c r="D10" s="13">
        <f t="shared" si="1"/>
        <v>0</v>
      </c>
      <c r="F10" s="271" t="s">
        <v>26</v>
      </c>
      <c r="G10" s="286"/>
      <c r="H10" s="287"/>
      <c r="I10" s="287"/>
      <c r="J10" s="288"/>
      <c r="K10" s="8"/>
      <c r="L10" s="6">
        <f>R36</f>
        <v>972</v>
      </c>
      <c r="P10" s="4"/>
      <c r="Q10" s="4"/>
      <c r="R10" s="5"/>
    </row>
    <row r="11" spans="1:19" ht="15.75" x14ac:dyDescent="0.25">
      <c r="A11" s="206"/>
      <c r="B11" s="17"/>
      <c r="C11" s="10"/>
      <c r="D11" s="13">
        <f t="shared" si="1"/>
        <v>0</v>
      </c>
      <c r="F11" s="272"/>
      <c r="G11" s="283"/>
      <c r="H11" s="284"/>
      <c r="I11" s="284"/>
      <c r="J11" s="28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206"/>
      <c r="B12" s="17"/>
      <c r="C12" s="10"/>
      <c r="D12" s="48">
        <f t="shared" si="1"/>
        <v>0</v>
      </c>
      <c r="F12" s="289" t="s">
        <v>33</v>
      </c>
      <c r="G12" s="290"/>
      <c r="H12" s="290"/>
      <c r="I12" s="290"/>
      <c r="J12" s="29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206"/>
      <c r="B13" s="17"/>
      <c r="C13" s="10"/>
      <c r="D13" s="48">
        <f t="shared" si="1"/>
        <v>0</v>
      </c>
      <c r="F13" s="292" t="s">
        <v>36</v>
      </c>
      <c r="G13" s="256"/>
      <c r="H13" s="247">
        <f>D29</f>
        <v>0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206"/>
      <c r="B14" s="14"/>
      <c r="C14" s="10"/>
      <c r="D14" s="31">
        <f t="shared" si="1"/>
        <v>0</v>
      </c>
      <c r="F14" s="250" t="s">
        <v>38</v>
      </c>
      <c r="G14" s="251"/>
      <c r="H14" s="252">
        <f>D54</f>
        <v>0</v>
      </c>
      <c r="I14" s="253"/>
      <c r="J14" s="2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206"/>
      <c r="B15" s="14"/>
      <c r="C15" s="10"/>
      <c r="D15" s="31">
        <f t="shared" si="1"/>
        <v>0</v>
      </c>
      <c r="F15" s="255" t="s">
        <v>39</v>
      </c>
      <c r="G15" s="256"/>
      <c r="H15" s="257">
        <f>H13-H14</f>
        <v>0</v>
      </c>
      <c r="I15" s="258"/>
      <c r="J15" s="25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20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7"/>
      <c r="I16" s="217"/>
      <c r="J16" s="21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19"/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14"/>
      <c r="C19" s="10"/>
      <c r="D19" s="48">
        <f t="shared" si="1"/>
        <v>0</v>
      </c>
      <c r="F19" s="56"/>
      <c r="G19" s="68" t="s">
        <v>49</v>
      </c>
      <c r="H19" s="229"/>
      <c r="I19" s="229"/>
      <c r="J19" s="22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206"/>
      <c r="B20" s="46"/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206"/>
      <c r="B22" s="46"/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/>
      <c r="C23" s="10"/>
      <c r="D23" s="48">
        <f t="shared" si="1"/>
        <v>0</v>
      </c>
      <c r="F23" s="77"/>
      <c r="G23" s="78"/>
      <c r="H23" s="234"/>
      <c r="I23" s="203"/>
      <c r="J23" s="20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/>
      <c r="C24" s="10"/>
      <c r="D24" s="48">
        <f t="shared" si="1"/>
        <v>0</v>
      </c>
      <c r="F24" s="38"/>
      <c r="G24" s="37"/>
      <c r="H24" s="234"/>
      <c r="I24" s="203"/>
      <c r="J24" s="20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/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206"/>
      <c r="B27" s="14"/>
      <c r="C27" s="10"/>
      <c r="D27" s="44">
        <f t="shared" si="1"/>
        <v>0</v>
      </c>
      <c r="F27" s="25"/>
      <c r="G27" s="79"/>
      <c r="H27" s="241"/>
      <c r="I27" s="242"/>
      <c r="J27" s="24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/>
      <c r="C28" s="10"/>
      <c r="D28" s="48">
        <f t="shared" si="1"/>
        <v>0</v>
      </c>
      <c r="F28" s="159"/>
      <c r="G28" s="61"/>
      <c r="H28" s="244"/>
      <c r="I28" s="245"/>
      <c r="J28" s="24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8" t="s">
        <v>36</v>
      </c>
      <c r="B29" s="219"/>
      <c r="C29" s="220"/>
      <c r="D29" s="224">
        <f>SUM(D6:D28)</f>
        <v>0</v>
      </c>
      <c r="F29" s="164" t="s">
        <v>54</v>
      </c>
      <c r="G29" s="226"/>
      <c r="H29" s="186">
        <f>H15-H16-H17-H18-H19-H20-H22-H23-H24+H26+H27</f>
        <v>0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8"/>
      <c r="I34" s="209"/>
      <c r="J34" s="21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62"/>
      <c r="H35" s="208"/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20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206"/>
      <c r="B38" s="29" t="s">
        <v>67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/>
      <c r="D40" s="12">
        <f>C40*111</f>
        <v>0</v>
      </c>
      <c r="F40" s="12">
        <v>10</v>
      </c>
      <c r="G40" s="163"/>
      <c r="H40" s="208"/>
      <c r="I40" s="209"/>
      <c r="J40" s="21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63"/>
      <c r="H41" s="208"/>
      <c r="I41" s="209"/>
      <c r="J41" s="21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/>
      <c r="H42" s="209"/>
      <c r="I42" s="209"/>
      <c r="J42" s="21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61" t="s">
        <v>82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79"/>
      <c r="B44" s="27" t="s">
        <v>65</v>
      </c>
      <c r="C44" s="10"/>
      <c r="D44" s="12">
        <f>C44*120</f>
        <v>0</v>
      </c>
      <c r="F44" s="37"/>
      <c r="G44" s="75"/>
      <c r="H44" s="203"/>
      <c r="I44" s="203"/>
      <c r="J44" s="203"/>
      <c r="K44" s="21"/>
      <c r="P44" s="4"/>
      <c r="Q44" s="4"/>
      <c r="R44" s="5"/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181"/>
      <c r="I47" s="182"/>
      <c r="J47" s="18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/>
      <c r="D48" s="12">
        <f>C48*78</f>
        <v>0</v>
      </c>
      <c r="F48" s="59"/>
      <c r="G48" s="59"/>
      <c r="H48" s="181"/>
      <c r="I48" s="182"/>
      <c r="J48" s="18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/>
      <c r="D49" s="12">
        <f>C49*42</f>
        <v>0</v>
      </c>
      <c r="F49" s="184" t="s">
        <v>85</v>
      </c>
      <c r="G49" s="186">
        <f>H34+H35+H36+H37+H38+H39+H40+H41+G42+H44+H45+H46</f>
        <v>0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/>
      <c r="D50" s="12">
        <f>C50*1.5</f>
        <v>0</v>
      </c>
      <c r="F50" s="185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179"/>
      <c r="B51" s="27"/>
      <c r="C51" s="10"/>
      <c r="D51" s="31"/>
      <c r="F51" s="192" t="s">
        <v>106</v>
      </c>
      <c r="G51" s="194">
        <f>G49-H29</f>
        <v>0</v>
      </c>
      <c r="H51" s="195"/>
      <c r="I51" s="195"/>
      <c r="J51" s="19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0</v>
      </c>
      <c r="F54" s="21"/>
      <c r="J54" s="34"/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7BCA3-0984-40CA-83A3-4B8331EDA3D8}">
  <dimension ref="A1:V68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3.140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1</v>
      </c>
      <c r="H4" s="265" t="s">
        <v>9</v>
      </c>
      <c r="I4" s="267">
        <v>46261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327</v>
      </c>
      <c r="D6" s="13">
        <f t="shared" ref="D6:D28" si="1">C6*L6</f>
        <v>248847</v>
      </c>
      <c r="F6" s="271" t="s">
        <v>16</v>
      </c>
      <c r="G6" s="273" t="s">
        <v>99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9</v>
      </c>
      <c r="D7" s="13">
        <f t="shared" si="1"/>
        <v>7029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44</v>
      </c>
      <c r="D8" s="13">
        <f t="shared" si="1"/>
        <v>48092</v>
      </c>
      <c r="F8" s="279" t="s">
        <v>21</v>
      </c>
      <c r="G8" s="280" t="s">
        <v>115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119</v>
      </c>
      <c r="D9" s="13">
        <f t="shared" si="1"/>
        <v>87227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>
        <v>1</v>
      </c>
      <c r="D10" s="13">
        <f t="shared" si="1"/>
        <v>1032</v>
      </c>
      <c r="F10" s="271" t="s">
        <v>26</v>
      </c>
      <c r="G10" s="286" t="s">
        <v>108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4</v>
      </c>
      <c r="D11" s="13">
        <f t="shared" si="1"/>
        <v>4680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1</v>
      </c>
      <c r="D12" s="48">
        <f t="shared" si="1"/>
        <v>992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6</v>
      </c>
      <c r="D13" s="48">
        <f t="shared" si="1"/>
        <v>1842</v>
      </c>
      <c r="F13" s="292" t="s">
        <v>36</v>
      </c>
      <c r="G13" s="256"/>
      <c r="H13" s="247">
        <f>D29</f>
        <v>399906.625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15</v>
      </c>
      <c r="D14" s="31">
        <f t="shared" si="1"/>
        <v>165.625</v>
      </c>
      <c r="F14" s="250" t="s">
        <v>38</v>
      </c>
      <c r="G14" s="251"/>
      <c r="H14" s="252">
        <f>D54</f>
        <v>38833.5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361073.125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1944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7"/>
      <c r="I19" s="217"/>
      <c r="J19" s="21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>
        <v>87.05</v>
      </c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 t="s">
        <v>224</v>
      </c>
      <c r="G22" s="72">
        <v>12073</v>
      </c>
      <c r="H22" s="233">
        <v>223901</v>
      </c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6" t="s">
        <v>132</v>
      </c>
      <c r="G23" s="78">
        <v>12072</v>
      </c>
      <c r="H23" s="298">
        <v>49474</v>
      </c>
      <c r="I23" s="299"/>
      <c r="J23" s="2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76"/>
      <c r="G24" s="78"/>
      <c r="H24" s="298"/>
      <c r="I24" s="299"/>
      <c r="J24" s="2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155"/>
      <c r="G26" s="65"/>
      <c r="H26" s="203"/>
      <c r="I26" s="203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71"/>
      <c r="G27" s="161"/>
      <c r="H27" s="300"/>
      <c r="I27" s="301"/>
      <c r="J27" s="30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5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399906.625</v>
      </c>
      <c r="F29" s="164" t="s">
        <v>54</v>
      </c>
      <c r="G29" s="226"/>
      <c r="H29" s="186">
        <f>H15-H16-H17-H18-H19-H20-H22-H23-H24+H26+H27+H28</f>
        <v>85667.075000000012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63</v>
      </c>
      <c r="H34" s="208">
        <f t="shared" ref="H34:H39" si="2">F34*G34</f>
        <v>63000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62">
        <v>15</v>
      </c>
      <c r="H35" s="208">
        <f t="shared" si="2"/>
        <v>7500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250</v>
      </c>
      <c r="D37" s="12">
        <f>C37*111</f>
        <v>27750</v>
      </c>
      <c r="F37" s="12">
        <v>100</v>
      </c>
      <c r="G37" s="39">
        <v>14</v>
      </c>
      <c r="H37" s="208">
        <f t="shared" si="2"/>
        <v>1400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40</v>
      </c>
      <c r="D38" s="12">
        <f>C38*84</f>
        <v>3360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>
        <v>8</v>
      </c>
      <c r="D39" s="31">
        <f>C39*4.5</f>
        <v>36</v>
      </c>
      <c r="F39" s="12">
        <v>20</v>
      </c>
      <c r="G39" s="37">
        <v>2</v>
      </c>
      <c r="H39" s="208">
        <f t="shared" si="2"/>
        <v>40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63"/>
      <c r="H40" s="296"/>
      <c r="I40" s="297"/>
      <c r="J40" s="23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1</v>
      </c>
      <c r="D41" s="12">
        <f>C41*84</f>
        <v>84</v>
      </c>
      <c r="F41" s="12">
        <v>5</v>
      </c>
      <c r="G41" s="163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8</v>
      </c>
      <c r="D42" s="12">
        <f>C42*2.25</f>
        <v>18</v>
      </c>
      <c r="F42" s="39" t="s">
        <v>78</v>
      </c>
      <c r="G42" s="208">
        <v>141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6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49</v>
      </c>
      <c r="D44" s="12">
        <f>C44*120</f>
        <v>5880</v>
      </c>
      <c r="F44" s="156" t="s">
        <v>135</v>
      </c>
      <c r="G44" s="108"/>
      <c r="H44" s="203">
        <v>13000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156"/>
      <c r="G45" s="157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5</v>
      </c>
      <c r="D46" s="12">
        <f>C46*1.5</f>
        <v>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304"/>
      <c r="I47" s="305"/>
      <c r="J47" s="306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2</v>
      </c>
      <c r="D49" s="12">
        <f>C49*42</f>
        <v>84</v>
      </c>
      <c r="F49" s="184" t="s">
        <v>85</v>
      </c>
      <c r="G49" s="186">
        <f>H34+H35+H36+H37+H38+H39+H40+H41+G42+H44+H45+H46+H47+H48</f>
        <v>85331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18</v>
      </c>
      <c r="D50" s="12">
        <f>C50*1.5</f>
        <v>27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-336.07500000001164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38833.5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0FC72CB-31DB-40FD-9C9B-0843B026B5F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043B-5AEA-47D1-88F7-E8888B2C1E7B}">
  <dimension ref="A1:R59"/>
  <sheetViews>
    <sheetView topLeftCell="A34" zoomScaleNormal="100" zoomScaleSheetLayoutView="85" workbookViewId="0">
      <selection activeCell="G44" sqref="G43:G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2</v>
      </c>
      <c r="H4" s="265" t="s">
        <v>9</v>
      </c>
      <c r="I4" s="267">
        <v>46261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320</v>
      </c>
      <c r="D6" s="13">
        <f t="shared" ref="D6:D28" si="1">C6*L6</f>
        <v>243520</v>
      </c>
      <c r="F6" s="271" t="s">
        <v>16</v>
      </c>
      <c r="G6" s="273" t="s">
        <v>194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8</v>
      </c>
      <c r="D7" s="13">
        <f t="shared" si="1"/>
        <v>6248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>
        <v>1</v>
      </c>
      <c r="D8" s="13">
        <f t="shared" si="1"/>
        <v>1093</v>
      </c>
      <c r="F8" s="279" t="s">
        <v>21</v>
      </c>
      <c r="G8" s="280" t="s">
        <v>100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15</v>
      </c>
      <c r="D9" s="13">
        <f t="shared" si="1"/>
        <v>10995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101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1</v>
      </c>
      <c r="D11" s="13">
        <f t="shared" si="1"/>
        <v>1170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10</v>
      </c>
      <c r="D13" s="48">
        <f t="shared" si="1"/>
        <v>3070</v>
      </c>
      <c r="F13" s="292" t="s">
        <v>36</v>
      </c>
      <c r="G13" s="256"/>
      <c r="H13" s="247">
        <f>D29</f>
        <v>270151.75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6</v>
      </c>
      <c r="D14" s="31">
        <f t="shared" si="1"/>
        <v>66.25</v>
      </c>
      <c r="F14" s="250" t="s">
        <v>38</v>
      </c>
      <c r="G14" s="251"/>
      <c r="H14" s="252">
        <f>D54</f>
        <v>40518</v>
      </c>
      <c r="I14" s="253"/>
      <c r="J14" s="25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/>
      <c r="D15" s="31">
        <f t="shared" si="1"/>
        <v>0</v>
      </c>
      <c r="F15" s="255" t="s">
        <v>39</v>
      </c>
      <c r="G15" s="256"/>
      <c r="H15" s="257">
        <f>H13-H14</f>
        <v>229633.75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7">
        <v>1356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59"/>
      <c r="G28" s="61"/>
      <c r="H28" s="244"/>
      <c r="I28" s="245"/>
      <c r="J28" s="24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270151.75</v>
      </c>
      <c r="F29" s="164" t="s">
        <v>54</v>
      </c>
      <c r="G29" s="226"/>
      <c r="H29" s="186">
        <f>H15-H16-H17-H18-H19-H20-H22-H23-H24+H26+H27</f>
        <v>228277.75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6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174</v>
      </c>
      <c r="H34" s="208">
        <f>F34*G34</f>
        <v>174000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62">
        <v>106</v>
      </c>
      <c r="H35" s="208">
        <f>F35*G35</f>
        <v>53000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5</v>
      </c>
      <c r="H37" s="208">
        <f t="shared" si="2"/>
        <v>500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08">
        <f t="shared" si="2"/>
        <v>250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63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/>
      <c r="D41" s="12">
        <f>C41*84</f>
        <v>0</v>
      </c>
      <c r="F41" s="12">
        <v>5</v>
      </c>
      <c r="G41" s="163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/>
      <c r="D42" s="12">
        <f>C42*2.25</f>
        <v>0</v>
      </c>
      <c r="F42" s="39" t="s">
        <v>78</v>
      </c>
      <c r="G42" s="208">
        <v>45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6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6</v>
      </c>
      <c r="D44" s="12">
        <f>C44*120</f>
        <v>720</v>
      </c>
      <c r="F44" s="37"/>
      <c r="G44" s="62"/>
      <c r="H44" s="203"/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/>
      <c r="G45" s="75"/>
      <c r="H45" s="203"/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59"/>
      <c r="G47" s="59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14</v>
      </c>
      <c r="D49" s="12">
        <f>C49*42</f>
        <v>588</v>
      </c>
      <c r="F49" s="184" t="s">
        <v>85</v>
      </c>
      <c r="G49" s="186">
        <f>H34+H35+H36+H37+H38+H39+H40+H41+G42+H44+H45+H46+H47+H48</f>
        <v>227795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80">
        <v>6</v>
      </c>
      <c r="D50" s="12">
        <f>C50*1.5</f>
        <v>9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SHORT</v>
      </c>
      <c r="G51" s="194">
        <f>G49-H29</f>
        <v>-482.75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40518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3BE9F0-5AC5-4933-862B-DDF609D4FD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0C8DE-409F-4734-A7F0-70E220608188}">
  <dimension ref="A1:R59"/>
  <sheetViews>
    <sheetView tabSelected="1" topLeftCell="A24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60" t="s">
        <v>1</v>
      </c>
      <c r="O1" s="26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11" t="s">
        <v>7</v>
      </c>
      <c r="B4" s="212"/>
      <c r="C4" s="212"/>
      <c r="D4" s="213"/>
      <c r="F4" s="261" t="s">
        <v>8</v>
      </c>
      <c r="G4" s="263">
        <v>3</v>
      </c>
      <c r="H4" s="265" t="s">
        <v>9</v>
      </c>
      <c r="I4" s="267">
        <v>46261</v>
      </c>
      <c r="J4" s="26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205" t="s">
        <v>7</v>
      </c>
      <c r="B5" s="15" t="s">
        <v>11</v>
      </c>
      <c r="C5" s="9" t="s">
        <v>12</v>
      </c>
      <c r="D5" s="25" t="s">
        <v>13</v>
      </c>
      <c r="F5" s="262"/>
      <c r="G5" s="264"/>
      <c r="H5" s="266"/>
      <c r="I5" s="269"/>
      <c r="J5" s="27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206"/>
      <c r="B6" s="16" t="s">
        <v>15</v>
      </c>
      <c r="C6" s="10">
        <v>457</v>
      </c>
      <c r="D6" s="13">
        <f t="shared" ref="D6:D28" si="1">C6*L6</f>
        <v>347777</v>
      </c>
      <c r="F6" s="271" t="s">
        <v>16</v>
      </c>
      <c r="G6" s="273" t="s">
        <v>142</v>
      </c>
      <c r="H6" s="274"/>
      <c r="I6" s="274"/>
      <c r="J6" s="2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206"/>
      <c r="B7" s="16" t="s">
        <v>18</v>
      </c>
      <c r="C7" s="10">
        <v>16</v>
      </c>
      <c r="D7" s="13">
        <f t="shared" si="1"/>
        <v>12496</v>
      </c>
      <c r="F7" s="272"/>
      <c r="G7" s="276"/>
      <c r="H7" s="277"/>
      <c r="I7" s="277"/>
      <c r="J7" s="2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206"/>
      <c r="B8" s="16" t="s">
        <v>20</v>
      </c>
      <c r="C8" s="10"/>
      <c r="D8" s="13">
        <f t="shared" si="1"/>
        <v>0</v>
      </c>
      <c r="F8" s="279" t="s">
        <v>21</v>
      </c>
      <c r="G8" s="280" t="s">
        <v>109</v>
      </c>
      <c r="H8" s="281"/>
      <c r="I8" s="281"/>
      <c r="J8" s="28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206"/>
      <c r="B9" s="16" t="s">
        <v>23</v>
      </c>
      <c r="C9" s="10">
        <v>7</v>
      </c>
      <c r="D9" s="13">
        <f t="shared" si="1"/>
        <v>5131</v>
      </c>
      <c r="F9" s="272"/>
      <c r="G9" s="283"/>
      <c r="H9" s="284"/>
      <c r="I9" s="284"/>
      <c r="J9" s="28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206"/>
      <c r="B10" t="s">
        <v>25</v>
      </c>
      <c r="C10" s="10"/>
      <c r="D10" s="13">
        <f t="shared" si="1"/>
        <v>0</v>
      </c>
      <c r="F10" s="271" t="s">
        <v>26</v>
      </c>
      <c r="G10" s="286" t="s">
        <v>119</v>
      </c>
      <c r="H10" s="287"/>
      <c r="I10" s="287"/>
      <c r="J10" s="288"/>
      <c r="K10" s="8"/>
      <c r="L10" s="6">
        <f>R36</f>
        <v>1032</v>
      </c>
      <c r="P10" s="4"/>
      <c r="Q10" s="4"/>
      <c r="R10" s="5"/>
    </row>
    <row r="11" spans="1:18" ht="15.75" x14ac:dyDescent="0.25">
      <c r="A11" s="206"/>
      <c r="B11" s="17" t="s">
        <v>28</v>
      </c>
      <c r="C11" s="10">
        <v>1</v>
      </c>
      <c r="D11" s="13">
        <f t="shared" si="1"/>
        <v>1170</v>
      </c>
      <c r="F11" s="272"/>
      <c r="G11" s="283"/>
      <c r="H11" s="284"/>
      <c r="I11" s="284"/>
      <c r="J11" s="28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206"/>
      <c r="B12" s="17" t="s">
        <v>30</v>
      </c>
      <c r="C12" s="10">
        <v>3</v>
      </c>
      <c r="D12" s="48">
        <f t="shared" si="1"/>
        <v>2976</v>
      </c>
      <c r="F12" s="289" t="s">
        <v>33</v>
      </c>
      <c r="G12" s="290"/>
      <c r="H12" s="290"/>
      <c r="I12" s="290"/>
      <c r="J12" s="29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206"/>
      <c r="B13" s="17" t="s">
        <v>32</v>
      </c>
      <c r="C13" s="10">
        <v>16</v>
      </c>
      <c r="D13" s="48">
        <f t="shared" si="1"/>
        <v>4912</v>
      </c>
      <c r="F13" s="292" t="s">
        <v>36</v>
      </c>
      <c r="G13" s="256"/>
      <c r="H13" s="247">
        <f>D29</f>
        <v>379815.125</v>
      </c>
      <c r="I13" s="248"/>
      <c r="J13" s="2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206"/>
      <c r="B14" s="14" t="s">
        <v>35</v>
      </c>
      <c r="C14" s="10">
        <v>3</v>
      </c>
      <c r="D14" s="31">
        <f t="shared" si="1"/>
        <v>33.125</v>
      </c>
      <c r="F14" s="250" t="s">
        <v>38</v>
      </c>
      <c r="G14" s="251"/>
      <c r="H14" s="252">
        <f>D54</f>
        <v>54587.25</v>
      </c>
      <c r="I14" s="253"/>
      <c r="J14" s="25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206"/>
      <c r="B15" s="14" t="s">
        <v>117</v>
      </c>
      <c r="C15" s="10">
        <v>1</v>
      </c>
      <c r="D15" s="31">
        <f t="shared" si="1"/>
        <v>620</v>
      </c>
      <c r="F15" s="255" t="s">
        <v>39</v>
      </c>
      <c r="G15" s="256"/>
      <c r="H15" s="257">
        <f>H13-H14</f>
        <v>325227.875</v>
      </c>
      <c r="I15" s="258"/>
      <c r="J15" s="25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20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7">
        <v>2262</v>
      </c>
      <c r="I16" s="217"/>
      <c r="J16" s="21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20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28"/>
      <c r="I17" s="228"/>
      <c r="J17" s="2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20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28"/>
      <c r="I18" s="228"/>
      <c r="J18" s="2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206"/>
      <c r="B19" s="86" t="s">
        <v>105</v>
      </c>
      <c r="C19" s="10">
        <f>2+2</f>
        <v>4</v>
      </c>
      <c r="D19" s="48">
        <f t="shared" si="1"/>
        <v>4700</v>
      </c>
      <c r="F19" s="56"/>
      <c r="G19" s="68" t="s">
        <v>49</v>
      </c>
      <c r="H19" s="302"/>
      <c r="I19" s="302"/>
      <c r="J19" s="30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20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7"/>
      <c r="I20" s="217"/>
      <c r="J20" s="21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206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0" t="s">
        <v>13</v>
      </c>
      <c r="I21" s="231"/>
      <c r="J21" s="232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206"/>
      <c r="B22" s="46" t="s">
        <v>103</v>
      </c>
      <c r="C22" s="10"/>
      <c r="D22" s="48">
        <f t="shared" si="1"/>
        <v>0</v>
      </c>
      <c r="F22" s="76"/>
      <c r="G22" s="72"/>
      <c r="H22" s="233"/>
      <c r="I22" s="233"/>
      <c r="J22" s="23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206"/>
      <c r="B23" s="14" t="s">
        <v>116</v>
      </c>
      <c r="C23" s="10"/>
      <c r="D23" s="48">
        <f t="shared" si="1"/>
        <v>0</v>
      </c>
      <c r="F23" s="77"/>
      <c r="G23" s="78"/>
      <c r="H23" s="303"/>
      <c r="I23" s="233"/>
      <c r="J23" s="233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206"/>
      <c r="B24" s="14" t="s">
        <v>123</v>
      </c>
      <c r="C24" s="10"/>
      <c r="D24" s="48">
        <f t="shared" si="1"/>
        <v>0</v>
      </c>
      <c r="F24" s="38"/>
      <c r="G24" s="37"/>
      <c r="H24" s="234"/>
      <c r="I24" s="203"/>
      <c r="J24" s="20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20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5" t="s">
        <v>13</v>
      </c>
      <c r="I25" s="236"/>
      <c r="J25" s="23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206"/>
      <c r="B26" s="14" t="s">
        <v>124</v>
      </c>
      <c r="C26" s="10"/>
      <c r="D26" s="48">
        <f t="shared" si="1"/>
        <v>0</v>
      </c>
      <c r="F26" s="64"/>
      <c r="G26" s="59"/>
      <c r="H26" s="238"/>
      <c r="I26" s="239"/>
      <c r="J26" s="2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206"/>
      <c r="B27" s="14" t="s">
        <v>125</v>
      </c>
      <c r="C27" s="10"/>
      <c r="D27" s="44">
        <f t="shared" si="1"/>
        <v>0</v>
      </c>
      <c r="F27" s="25"/>
      <c r="G27" s="79"/>
      <c r="H27" s="241"/>
      <c r="I27" s="242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207"/>
      <c r="B28" s="46" t="s">
        <v>92</v>
      </c>
      <c r="C28" s="10"/>
      <c r="D28" s="48">
        <f t="shared" si="1"/>
        <v>0</v>
      </c>
      <c r="F28" s="159"/>
      <c r="G28" s="61"/>
      <c r="H28" s="244"/>
      <c r="I28" s="245"/>
      <c r="J28" s="246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8" t="s">
        <v>36</v>
      </c>
      <c r="B29" s="219"/>
      <c r="C29" s="220"/>
      <c r="D29" s="224">
        <f>SUM(D6:D28)</f>
        <v>379815.125</v>
      </c>
      <c r="F29" s="164" t="s">
        <v>54</v>
      </c>
      <c r="G29" s="226"/>
      <c r="H29" s="186">
        <f>H15-H16-H17-H18-H19-H20-H22-H23-H24+H26+H27</f>
        <v>322965.875</v>
      </c>
      <c r="I29" s="187"/>
      <c r="J29" s="18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1"/>
      <c r="B30" s="222"/>
      <c r="C30" s="223"/>
      <c r="D30" s="225"/>
      <c r="F30" s="167"/>
      <c r="G30" s="227"/>
      <c r="H30" s="189"/>
      <c r="I30" s="190"/>
      <c r="J30" s="19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11" t="s">
        <v>57</v>
      </c>
      <c r="B32" s="212"/>
      <c r="C32" s="212"/>
      <c r="D32" s="213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20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8">
        <f>F34*G34</f>
        <v>66000</v>
      </c>
      <c r="I34" s="209"/>
      <c r="J34" s="21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206"/>
      <c r="B35" s="27" t="s">
        <v>67</v>
      </c>
      <c r="C35" s="52"/>
      <c r="D35" s="30">
        <f>C35*84</f>
        <v>0</v>
      </c>
      <c r="F35" s="58">
        <v>500</v>
      </c>
      <c r="G35" s="162">
        <v>18</v>
      </c>
      <c r="H35" s="208">
        <f>F35*G35</f>
        <v>9000</v>
      </c>
      <c r="I35" s="209"/>
      <c r="J35" s="21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207"/>
      <c r="B36" s="26" t="s">
        <v>69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205" t="s">
        <v>71</v>
      </c>
      <c r="B37" s="28" t="s">
        <v>65</v>
      </c>
      <c r="C37" s="53">
        <v>465</v>
      </c>
      <c r="D37" s="12">
        <f>C37*111</f>
        <v>51615</v>
      </c>
      <c r="F37" s="12">
        <v>100</v>
      </c>
      <c r="G37" s="39">
        <v>12</v>
      </c>
      <c r="H37" s="208">
        <f t="shared" si="2"/>
        <v>1200</v>
      </c>
      <c r="I37" s="209"/>
      <c r="J37" s="21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20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207"/>
      <c r="B39" s="29" t="s">
        <v>69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20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63"/>
      <c r="H40" s="208"/>
      <c r="I40" s="209"/>
      <c r="J40" s="21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206"/>
      <c r="B41" s="27" t="s">
        <v>67</v>
      </c>
      <c r="C41" s="10">
        <v>3</v>
      </c>
      <c r="D41" s="12">
        <f>C41*84</f>
        <v>252</v>
      </c>
      <c r="F41" s="12">
        <v>5</v>
      </c>
      <c r="G41" s="163"/>
      <c r="H41" s="208"/>
      <c r="I41" s="209"/>
      <c r="J41" s="21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20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8">
        <v>52</v>
      </c>
      <c r="H42" s="209"/>
      <c r="I42" s="209"/>
      <c r="J42" s="21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78" t="s">
        <v>80</v>
      </c>
      <c r="C43" s="11"/>
      <c r="D43" s="12"/>
      <c r="F43" s="59" t="s">
        <v>81</v>
      </c>
      <c r="G43" s="161" t="s">
        <v>82</v>
      </c>
      <c r="H43" s="200" t="s">
        <v>13</v>
      </c>
      <c r="I43" s="201"/>
      <c r="J43" s="20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79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225</v>
      </c>
      <c r="H44" s="203">
        <v>78394</v>
      </c>
      <c r="I44" s="203"/>
      <c r="J44" s="20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79"/>
      <c r="B45" s="27" t="s">
        <v>67</v>
      </c>
      <c r="C45" s="33"/>
      <c r="D45" s="12">
        <f>C45*84</f>
        <v>0</v>
      </c>
      <c r="F45" s="37" t="s">
        <v>133</v>
      </c>
      <c r="G45" s="87" t="s">
        <v>226</v>
      </c>
      <c r="H45" s="203">
        <v>169421</v>
      </c>
      <c r="I45" s="203"/>
      <c r="J45" s="203"/>
      <c r="K45" s="21"/>
      <c r="P45" s="4"/>
      <c r="Q45" s="4"/>
      <c r="R45" s="5"/>
    </row>
    <row r="46" spans="1:18" ht="15.75" x14ac:dyDescent="0.25">
      <c r="A46" s="179"/>
      <c r="B46" s="49" t="s">
        <v>69</v>
      </c>
      <c r="C46" s="80">
        <v>3</v>
      </c>
      <c r="D46" s="12">
        <f>C46*1.5</f>
        <v>4.5</v>
      </c>
      <c r="F46" s="37"/>
      <c r="G46" s="87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80"/>
      <c r="B47" s="27"/>
      <c r="C47" s="11"/>
      <c r="D47" s="12"/>
      <c r="F47" s="37"/>
      <c r="G47" s="75"/>
      <c r="H47" s="203"/>
      <c r="I47" s="203"/>
      <c r="J47" s="203"/>
      <c r="K47" s="21"/>
      <c r="P47" s="4"/>
      <c r="Q47" s="4"/>
      <c r="R47" s="5"/>
    </row>
    <row r="48" spans="1:18" ht="15" customHeight="1" x14ac:dyDescent="0.25">
      <c r="A48" s="17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79"/>
      <c r="B49" s="29" t="s">
        <v>67</v>
      </c>
      <c r="C49" s="33">
        <v>17</v>
      </c>
      <c r="D49" s="12">
        <f>C49*42</f>
        <v>714</v>
      </c>
      <c r="F49" s="184" t="s">
        <v>85</v>
      </c>
      <c r="G49" s="186">
        <f>H34+H35+H36+H37+H38+H39+H40+H41+G42+H44+H45+H46+H47+H48</f>
        <v>324167</v>
      </c>
      <c r="H49" s="187"/>
      <c r="I49" s="187"/>
      <c r="J49" s="18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79"/>
      <c r="B50" s="32" t="s">
        <v>69</v>
      </c>
      <c r="C50" s="11">
        <v>4</v>
      </c>
      <c r="D50" s="12">
        <f>C50*1.5</f>
        <v>6</v>
      </c>
      <c r="F50" s="185"/>
      <c r="G50" s="189"/>
      <c r="H50" s="190"/>
      <c r="I50" s="190"/>
      <c r="J50" s="191"/>
      <c r="O50" t="s">
        <v>112</v>
      </c>
      <c r="P50" s="4">
        <v>1204</v>
      </c>
      <c r="Q50" s="4"/>
      <c r="R50" s="5"/>
    </row>
    <row r="51" spans="1:18" ht="15" customHeight="1" x14ac:dyDescent="0.25">
      <c r="A51" s="179"/>
      <c r="B51" s="27"/>
      <c r="C51" s="10"/>
      <c r="D51" s="31"/>
      <c r="F51" s="192" t="str">
        <f>_xlfn.IFS(H29&gt;G49,"SHORT",H29&lt;G49,"OVER",H29&lt;=G49,"-")</f>
        <v>OVER</v>
      </c>
      <c r="G51" s="194">
        <f>G49-H29</f>
        <v>1201.125</v>
      </c>
      <c r="H51" s="195"/>
      <c r="I51" s="195"/>
      <c r="J51" s="19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79"/>
      <c r="B52" s="29"/>
      <c r="C52" s="33"/>
      <c r="D52" s="45"/>
      <c r="F52" s="193"/>
      <c r="G52" s="197"/>
      <c r="H52" s="198"/>
      <c r="I52" s="198"/>
      <c r="J52" s="19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165"/>
      <c r="C54" s="166"/>
      <c r="D54" s="170">
        <f>SUM(D34:D53)</f>
        <v>54587.25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7"/>
      <c r="B55" s="168"/>
      <c r="C55" s="169"/>
      <c r="D55" s="17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72" t="s">
        <v>90</v>
      </c>
      <c r="B58" s="173"/>
      <c r="C58" s="173"/>
      <c r="D58" s="174"/>
      <c r="F58" s="172" t="s">
        <v>91</v>
      </c>
      <c r="G58" s="173"/>
      <c r="H58" s="173"/>
      <c r="I58" s="173"/>
      <c r="J58" s="174"/>
    </row>
    <row r="59" spans="1:18" x14ac:dyDescent="0.25">
      <c r="A59" s="175"/>
      <c r="B59" s="176"/>
      <c r="C59" s="176"/>
      <c r="D59" s="177"/>
      <c r="F59" s="175"/>
      <c r="G59" s="176"/>
      <c r="H59" s="176"/>
      <c r="I59" s="176"/>
      <c r="J59" s="17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F4ABDA-5884-467D-B748-CEFCE16001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913E-C0B2-4380-85C3-70D4348A7F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92</vt:i4>
      </vt:variant>
    </vt:vector>
  </HeadingPairs>
  <TitlesOfParts>
    <vt:vector size="186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(22)</vt:lpstr>
      <vt:lpstr>08,22 R1 COLLECTION ONLY</vt:lpstr>
      <vt:lpstr>08,22 R2 NO TRIP</vt:lpstr>
      <vt:lpstr>08,22 R3 NO TRIP</vt:lpstr>
      <vt:lpstr>(24)</vt:lpstr>
      <vt:lpstr>08,24 R1</vt:lpstr>
      <vt:lpstr>08,24 R2</vt:lpstr>
      <vt:lpstr>08,24 R3</vt:lpstr>
      <vt:lpstr>(25)</vt:lpstr>
      <vt:lpstr>08,25 R1</vt:lpstr>
      <vt:lpstr>08,25 R3</vt:lpstr>
      <vt:lpstr>(26)</vt:lpstr>
      <vt:lpstr>08,25 R1 COLLECTION PROMO</vt:lpstr>
      <vt:lpstr>08,26 R1</vt:lpstr>
      <vt:lpstr>08,26 R2</vt:lpstr>
      <vt:lpstr>08,26 R3</vt:lpstr>
      <vt:lpstr>(27)</vt:lpstr>
      <vt:lpstr>08,27 R1 </vt:lpstr>
      <vt:lpstr>08,27 R2 </vt:lpstr>
      <vt:lpstr>08,27 R3 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  <vt:lpstr>'08,22 R1 COLLECTION ONLY'!Print_Area</vt:lpstr>
      <vt:lpstr>'08,22 R2 NO TRIP'!Print_Area</vt:lpstr>
      <vt:lpstr>'08,22 R3 NO TRIP'!Print_Area</vt:lpstr>
      <vt:lpstr>'08,24 R1'!Print_Area</vt:lpstr>
      <vt:lpstr>'08,24 R2'!Print_Area</vt:lpstr>
      <vt:lpstr>'08,24 R3'!Print_Area</vt:lpstr>
      <vt:lpstr>'08,25 R1'!Print_Area</vt:lpstr>
      <vt:lpstr>'08,25 R1 COLLECTION PROMO'!Print_Area</vt:lpstr>
      <vt:lpstr>'08,25 R3'!Print_Area</vt:lpstr>
      <vt:lpstr>'08,26 R1'!Print_Area</vt:lpstr>
      <vt:lpstr>'08,26 R2'!Print_Area</vt:lpstr>
      <vt:lpstr>'08,26 R3'!Print_Area</vt:lpstr>
      <vt:lpstr>'08,27 R1 '!Print_Area</vt:lpstr>
      <vt:lpstr>'08,27 R2 '!Print_Area</vt:lpstr>
      <vt:lpstr>'08,27 R3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2026-08-26T07:55:48Z</cp:lastPrinted>
  <dcterms:created xsi:type="dcterms:W3CDTF">2024-09-01T23:36:50Z</dcterms:created>
  <dcterms:modified xsi:type="dcterms:W3CDTF">2026-08-28T05:58:48Z</dcterms:modified>
</cp:coreProperties>
</file>