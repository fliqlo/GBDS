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comments4.xml" ContentType="application/vnd.openxmlformats-officedocument.spreadsheetml.comments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DAB148B2-C04D-480F-A4F4-0CB2B62B20D5}" xr6:coauthVersionLast="45" xr6:coauthVersionMax="47" xr10:uidLastSave="{00000000-0000-0000-0000-000000000000}"/>
  <bookViews>
    <workbookView xWindow="-120" yWindow="-120" windowWidth="29040" windowHeight="15840" firstSheet="51" activeTab="54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 NO TRIP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  <sheet name="(11)" sheetId="2273" r:id="rId34"/>
    <sheet name="08,11 R1" sheetId="2274" r:id="rId35"/>
    <sheet name="08,11 R2" sheetId="2275" r:id="rId36"/>
    <sheet name="08,11 R3" sheetId="2276" r:id="rId37"/>
    <sheet name="(12)" sheetId="2277" r:id="rId38"/>
    <sheet name="08,12 R1" sheetId="2278" r:id="rId39"/>
    <sheet name="08,12 R2" sheetId="2279" r:id="rId40"/>
    <sheet name="08,12 R3" sheetId="2280" r:id="rId41"/>
    <sheet name="(13)" sheetId="2281" r:id="rId42"/>
    <sheet name="08,13 R1" sheetId="2282" r:id="rId43"/>
    <sheet name="08,13 R2" sheetId="2283" r:id="rId44"/>
    <sheet name="08,13 R3" sheetId="2284" r:id="rId45"/>
    <sheet name="(14)" sheetId="2285" r:id="rId46"/>
    <sheet name="08,14 R1" sheetId="2286" r:id="rId47"/>
    <sheet name="08,14 R2" sheetId="2287" r:id="rId48"/>
    <sheet name="08,14 R3" sheetId="2288" r:id="rId49"/>
    <sheet name="(15)" sheetId="2289" r:id="rId50"/>
    <sheet name="08,15 R1 COLLECTION" sheetId="2290" r:id="rId51"/>
    <sheet name="08,15 R2" sheetId="2291" r:id="rId52"/>
    <sheet name="08,15 R3" sheetId="2292" r:id="rId53"/>
    <sheet name="(17)" sheetId="2293" r:id="rId54"/>
    <sheet name="08,17 R1" sheetId="2294" r:id="rId55"/>
    <sheet name="08,17 R2" sheetId="2295" r:id="rId56"/>
    <sheet name="08,17 R3" sheetId="2296" r:id="rId57"/>
    <sheet name="(18)" sheetId="2297" r:id="rId58"/>
    <sheet name="08,18 R1" sheetId="2298" r:id="rId59"/>
    <sheet name="08,18 R2" sheetId="2299" r:id="rId60"/>
    <sheet name="08,18 R3" sheetId="2300" r:id="rId61"/>
    <sheet name="(19)" sheetId="2301" r:id="rId62"/>
    <sheet name="08,19 R1" sheetId="2302" r:id="rId63"/>
    <sheet name="08,19 R2" sheetId="2303" r:id="rId64"/>
    <sheet name="08,19 R3" sheetId="2304" r:id="rId65"/>
    <sheet name="(20)" sheetId="2305" r:id="rId66"/>
    <sheet name="08,20 R1" sheetId="2306" r:id="rId67"/>
    <sheet name="08,20 R2" sheetId="2307" r:id="rId68"/>
    <sheet name="08,20 R3" sheetId="2308" r:id="rId69"/>
    <sheet name="(21)" sheetId="2309" r:id="rId70"/>
    <sheet name="08,21 R1" sheetId="2310" r:id="rId71"/>
    <sheet name="08,21 R2 " sheetId="2311" r:id="rId72"/>
    <sheet name="08,21 R3" sheetId="2312" r:id="rId73"/>
  </sheets>
  <definedNames>
    <definedName name="_xlnm.Print_Area" localSheetId="1">'(01)'!$A$1:$J$60</definedName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65">'(20)'!$A$1:$J$60</definedName>
    <definedName name="_xlnm.Print_Area" localSheetId="69">'(21)'!$A$1:$J$60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 NO TRIP'!$A$1:$J$60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  <definedName name="_xlnm.Print_Area" localSheetId="34">'08,11 R1'!$A$1:$J$60</definedName>
    <definedName name="_xlnm.Print_Area" localSheetId="35">'08,11 R2'!$A$1:$J$60</definedName>
    <definedName name="_xlnm.Print_Area" localSheetId="36">'08,11 R3'!$A$1:$J$60</definedName>
    <definedName name="_xlnm.Print_Area" localSheetId="38">'08,12 R1'!$A$1:$J$60</definedName>
    <definedName name="_xlnm.Print_Area" localSheetId="39">'08,12 R2'!$A$1:$J$60</definedName>
    <definedName name="_xlnm.Print_Area" localSheetId="40">'08,12 R3'!$A$1:$J$60</definedName>
    <definedName name="_xlnm.Print_Area" localSheetId="42">'08,13 R1'!$A$1:$J$60</definedName>
    <definedName name="_xlnm.Print_Area" localSheetId="43">'08,13 R2'!$A$1:$J$60</definedName>
    <definedName name="_xlnm.Print_Area" localSheetId="44">'08,13 R3'!$A$1:$J$60</definedName>
    <definedName name="_xlnm.Print_Area" localSheetId="46">'08,14 R1'!$A$1:$J$60</definedName>
    <definedName name="_xlnm.Print_Area" localSheetId="47">'08,14 R2'!$A$1:$J$60</definedName>
    <definedName name="_xlnm.Print_Area" localSheetId="48">'08,14 R3'!$A$1:$J$60</definedName>
    <definedName name="_xlnm.Print_Area" localSheetId="50">'08,15 R1 COLLECTION'!$A$1:$J$60</definedName>
    <definedName name="_xlnm.Print_Area" localSheetId="51">'08,15 R2'!$A$1:$J$60</definedName>
    <definedName name="_xlnm.Print_Area" localSheetId="52">'08,15 R3'!$A$1:$J$60</definedName>
    <definedName name="_xlnm.Print_Area" localSheetId="54">'08,17 R1'!$A$1:$J$60</definedName>
    <definedName name="_xlnm.Print_Area" localSheetId="55">'08,17 R2'!$A$1:$J$60</definedName>
    <definedName name="_xlnm.Print_Area" localSheetId="56">'08,17 R3'!$A$1:$J$60</definedName>
    <definedName name="_xlnm.Print_Area" localSheetId="58">'08,18 R1'!$A$1:$J$60</definedName>
    <definedName name="_xlnm.Print_Area" localSheetId="59">'08,18 R2'!$A$1:$J$60</definedName>
    <definedName name="_xlnm.Print_Area" localSheetId="60">'08,18 R3'!$A$1:$J$60</definedName>
    <definedName name="_xlnm.Print_Area" localSheetId="62">'08,19 R1'!$A$1:$J$60</definedName>
    <definedName name="_xlnm.Print_Area" localSheetId="63">'08,19 R2'!$A$1:$J$60</definedName>
    <definedName name="_xlnm.Print_Area" localSheetId="64">'08,19 R3'!$A$1:$J$60</definedName>
    <definedName name="_xlnm.Print_Area" localSheetId="66">'08,20 R1'!$A$1:$J$60</definedName>
    <definedName name="_xlnm.Print_Area" localSheetId="67">'08,20 R2'!$A$1:$J$60</definedName>
    <definedName name="_xlnm.Print_Area" localSheetId="68">'08,20 R3'!$A$1:$J$60</definedName>
    <definedName name="_xlnm.Print_Area" localSheetId="70">'08,21 R1'!$A$1:$J$60</definedName>
    <definedName name="_xlnm.Print_Area" localSheetId="71">'08,21 R2 '!$A$1:$J$60</definedName>
    <definedName name="_xlnm.Print_Area" localSheetId="72">'08,21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51" i="2294" l="1"/>
  <c r="C16" i="2295" l="1"/>
  <c r="H16" i="2294"/>
  <c r="C19" i="2294" l="1"/>
  <c r="R52" i="2312" l="1"/>
  <c r="R51" i="2312"/>
  <c r="D50" i="2312"/>
  <c r="R49" i="2312"/>
  <c r="D49" i="2312"/>
  <c r="R48" i="2312"/>
  <c r="D48" i="2312"/>
  <c r="D46" i="2312"/>
  <c r="D45" i="2312"/>
  <c r="R44" i="2312"/>
  <c r="D44" i="2312"/>
  <c r="R42" i="2312"/>
  <c r="L6" i="2312" s="1"/>
  <c r="D6" i="2312" s="1"/>
  <c r="D42" i="2312"/>
  <c r="R41" i="2312"/>
  <c r="D41" i="2312"/>
  <c r="R40" i="2312"/>
  <c r="D40" i="2312"/>
  <c r="R39" i="2312"/>
  <c r="H39" i="2312"/>
  <c r="D39" i="2312"/>
  <c r="R38" i="2312"/>
  <c r="H38" i="2312"/>
  <c r="D38" i="2312"/>
  <c r="R37" i="2312"/>
  <c r="H37" i="2312"/>
  <c r="D37" i="2312"/>
  <c r="R36" i="2312"/>
  <c r="H36" i="2312"/>
  <c r="D36" i="2312"/>
  <c r="R35" i="2312"/>
  <c r="H35" i="2312"/>
  <c r="D35" i="2312"/>
  <c r="R34" i="2312"/>
  <c r="L12" i="2312" s="1"/>
  <c r="D12" i="2312" s="1"/>
  <c r="H34" i="2312"/>
  <c r="G49" i="2312" s="1"/>
  <c r="D34" i="2312"/>
  <c r="D54" i="2312" s="1"/>
  <c r="H14" i="2312" s="1"/>
  <c r="R33" i="2312"/>
  <c r="L19" i="2312" s="1"/>
  <c r="D19" i="2312" s="1"/>
  <c r="R32" i="2312"/>
  <c r="R31" i="2312"/>
  <c r="R30" i="2312"/>
  <c r="R29" i="2312"/>
  <c r="R28" i="2312"/>
  <c r="L28" i="2312"/>
  <c r="D28" i="2312" s="1"/>
  <c r="R27" i="2312"/>
  <c r="L27" i="2312"/>
  <c r="D27" i="2312" s="1"/>
  <c r="R26" i="2312"/>
  <c r="L26" i="2312"/>
  <c r="D26" i="2312" s="1"/>
  <c r="R25" i="2312"/>
  <c r="L25" i="2312"/>
  <c r="D25" i="2312"/>
  <c r="R24" i="2312"/>
  <c r="L24" i="2312"/>
  <c r="D24" i="2312"/>
  <c r="R23" i="2312"/>
  <c r="L23" i="2312"/>
  <c r="D23" i="2312"/>
  <c r="R22" i="2312"/>
  <c r="L22" i="2312"/>
  <c r="D22" i="2312"/>
  <c r="R21" i="2312"/>
  <c r="L17" i="2312" s="1"/>
  <c r="D17" i="2312" s="1"/>
  <c r="L21" i="2312"/>
  <c r="D21" i="2312"/>
  <c r="R20" i="2312"/>
  <c r="L20" i="2312"/>
  <c r="D20" i="2312" s="1"/>
  <c r="R19" i="2312"/>
  <c r="R18" i="2312"/>
  <c r="L18" i="2312"/>
  <c r="D18" i="2312" s="1"/>
  <c r="R17" i="2312"/>
  <c r="R16" i="2312"/>
  <c r="R15" i="2312"/>
  <c r="R14" i="2312"/>
  <c r="D14" i="2312"/>
  <c r="R13" i="2312"/>
  <c r="D13" i="2312"/>
  <c r="R12" i="2312"/>
  <c r="R11" i="2312"/>
  <c r="L11" i="2312"/>
  <c r="D11" i="2312"/>
  <c r="L10" i="2312"/>
  <c r="D10" i="2312" s="1"/>
  <c r="L9" i="2312"/>
  <c r="D9" i="2312" s="1"/>
  <c r="L8" i="2312"/>
  <c r="D8" i="2312" s="1"/>
  <c r="L7" i="2312"/>
  <c r="D7" i="2312"/>
  <c r="R6" i="2312"/>
  <c r="L16" i="2312" s="1"/>
  <c r="D16" i="2312" s="1"/>
  <c r="R5" i="2312"/>
  <c r="R4" i="2312"/>
  <c r="L15" i="2312" s="1"/>
  <c r="D15" i="2312" s="1"/>
  <c r="R52" i="2311"/>
  <c r="R51" i="2311"/>
  <c r="D50" i="2311"/>
  <c r="R49" i="2311"/>
  <c r="D49" i="2311"/>
  <c r="R48" i="2311"/>
  <c r="D48" i="2311"/>
  <c r="D46" i="2311"/>
  <c r="D45" i="2311"/>
  <c r="R44" i="2311"/>
  <c r="L28" i="2311" s="1"/>
  <c r="D28" i="2311" s="1"/>
  <c r="D44" i="2311"/>
  <c r="R42" i="2311"/>
  <c r="L6" i="2311" s="1"/>
  <c r="D6" i="2311" s="1"/>
  <c r="D42" i="2311"/>
  <c r="R41" i="2311"/>
  <c r="D41" i="2311"/>
  <c r="R40" i="2311"/>
  <c r="D40" i="2311"/>
  <c r="R39" i="2311"/>
  <c r="H39" i="2311"/>
  <c r="D39" i="2311"/>
  <c r="R38" i="2311"/>
  <c r="L9" i="2311" s="1"/>
  <c r="D9" i="2311" s="1"/>
  <c r="H38" i="2311"/>
  <c r="D38" i="2311"/>
  <c r="R37" i="2311"/>
  <c r="H37" i="2311"/>
  <c r="D37" i="2311"/>
  <c r="R36" i="2311"/>
  <c r="H36" i="2311"/>
  <c r="D36" i="2311"/>
  <c r="D54" i="2311" s="1"/>
  <c r="H14" i="2311" s="1"/>
  <c r="R35" i="2311"/>
  <c r="H35" i="2311"/>
  <c r="D35" i="2311"/>
  <c r="R34" i="2311"/>
  <c r="L12" i="2311" s="1"/>
  <c r="D12" i="2311" s="1"/>
  <c r="H34" i="2311"/>
  <c r="G49" i="2311" s="1"/>
  <c r="D34" i="2311"/>
  <c r="R33" i="2311"/>
  <c r="R32" i="2311"/>
  <c r="L11" i="2311" s="1"/>
  <c r="D11" i="2311" s="1"/>
  <c r="R31" i="2311"/>
  <c r="R30" i="2311"/>
  <c r="R29" i="2311"/>
  <c r="R28" i="2311"/>
  <c r="R27" i="2311"/>
  <c r="L27" i="2311"/>
  <c r="D27" i="2311" s="1"/>
  <c r="R26" i="2311"/>
  <c r="L26" i="2311"/>
  <c r="D26" i="2311" s="1"/>
  <c r="R25" i="2311"/>
  <c r="L25" i="2311"/>
  <c r="D25" i="2311" s="1"/>
  <c r="R24" i="2311"/>
  <c r="L24" i="2311"/>
  <c r="D24" i="2311"/>
  <c r="R23" i="2311"/>
  <c r="L23" i="2311"/>
  <c r="D23" i="2311"/>
  <c r="R22" i="2311"/>
  <c r="L20" i="2311" s="1"/>
  <c r="D20" i="2311" s="1"/>
  <c r="L22" i="2311"/>
  <c r="D22" i="2311"/>
  <c r="R21" i="2311"/>
  <c r="D21" i="2311"/>
  <c r="R20" i="2311"/>
  <c r="R19" i="2311"/>
  <c r="L19" i="2311"/>
  <c r="D19" i="2311"/>
  <c r="R18" i="2311"/>
  <c r="L18" i="2311"/>
  <c r="D18" i="2311"/>
  <c r="R17" i="2311"/>
  <c r="L17" i="2311"/>
  <c r="D17" i="2311" s="1"/>
  <c r="R16" i="2311"/>
  <c r="R15" i="2311"/>
  <c r="L15" i="2311"/>
  <c r="D15" i="2311" s="1"/>
  <c r="R14" i="2311"/>
  <c r="L14" i="2311"/>
  <c r="D14" i="2311"/>
  <c r="R13" i="2311"/>
  <c r="D13" i="2311"/>
  <c r="R12" i="2311"/>
  <c r="R11" i="2311"/>
  <c r="L10" i="2311"/>
  <c r="D10" i="2311" s="1"/>
  <c r="L8" i="2311"/>
  <c r="D8" i="2311"/>
  <c r="L7" i="2311"/>
  <c r="D7" i="2311"/>
  <c r="R6" i="2311"/>
  <c r="L16" i="2311" s="1"/>
  <c r="D16" i="2311" s="1"/>
  <c r="R5" i="2311"/>
  <c r="R4" i="2311"/>
  <c r="V68" i="2310"/>
  <c r="R52" i="2310"/>
  <c r="R51" i="2310"/>
  <c r="D50" i="2310"/>
  <c r="R49" i="2310"/>
  <c r="D49" i="2310"/>
  <c r="R48" i="2310"/>
  <c r="D48" i="2310"/>
  <c r="D46" i="2310"/>
  <c r="D45" i="2310"/>
  <c r="R44" i="2310"/>
  <c r="L28" i="2310" s="1"/>
  <c r="D28" i="2310" s="1"/>
  <c r="D44" i="2310"/>
  <c r="R42" i="2310"/>
  <c r="D42" i="2310"/>
  <c r="R41" i="2310"/>
  <c r="D41" i="2310"/>
  <c r="R40" i="2310"/>
  <c r="D40" i="2310"/>
  <c r="R39" i="2310"/>
  <c r="H39" i="2310"/>
  <c r="D39" i="2310"/>
  <c r="R38" i="2310"/>
  <c r="H38" i="2310"/>
  <c r="D38" i="2310"/>
  <c r="R37" i="2310"/>
  <c r="H37" i="2310"/>
  <c r="G49" i="2310" s="1"/>
  <c r="D37" i="2310"/>
  <c r="R36" i="2310"/>
  <c r="L10" i="2310" s="1"/>
  <c r="D10" i="2310" s="1"/>
  <c r="H36" i="2310"/>
  <c r="D36" i="2310"/>
  <c r="R35" i="2310"/>
  <c r="L18" i="2310" s="1"/>
  <c r="D18" i="2310" s="1"/>
  <c r="H35" i="2310"/>
  <c r="D35" i="2310"/>
  <c r="R34" i="2310"/>
  <c r="L12" i="2310" s="1"/>
  <c r="D12" i="2310" s="1"/>
  <c r="H34" i="2310"/>
  <c r="D34" i="2310"/>
  <c r="D54" i="2310" s="1"/>
  <c r="H14" i="2310" s="1"/>
  <c r="R33" i="2310"/>
  <c r="R32" i="2310"/>
  <c r="R31" i="2310"/>
  <c r="R30" i="2310"/>
  <c r="R29" i="2310"/>
  <c r="R28" i="2310"/>
  <c r="R27" i="2310"/>
  <c r="L27" i="2310"/>
  <c r="D27" i="2310"/>
  <c r="R26" i="2310"/>
  <c r="L26" i="2310"/>
  <c r="D26" i="2310"/>
  <c r="R25" i="2310"/>
  <c r="L25" i="2310"/>
  <c r="D25" i="2310"/>
  <c r="R24" i="2310"/>
  <c r="L24" i="2310"/>
  <c r="D24" i="2310" s="1"/>
  <c r="R23" i="2310"/>
  <c r="L23" i="2310"/>
  <c r="D23" i="2310" s="1"/>
  <c r="R22" i="2310"/>
  <c r="L22" i="2310"/>
  <c r="D22" i="2310" s="1"/>
  <c r="R21" i="2310"/>
  <c r="L17" i="2310" s="1"/>
  <c r="D17" i="2310" s="1"/>
  <c r="L21" i="2310"/>
  <c r="D21" i="2310" s="1"/>
  <c r="R20" i="2310"/>
  <c r="L20" i="2310"/>
  <c r="D20" i="2310" s="1"/>
  <c r="R19" i="2310"/>
  <c r="L19" i="2310"/>
  <c r="D19" i="2310"/>
  <c r="R18" i="2310"/>
  <c r="R17" i="2310"/>
  <c r="R16" i="2310"/>
  <c r="R15" i="2310"/>
  <c r="R14" i="2310"/>
  <c r="D14" i="2310"/>
  <c r="R13" i="2310"/>
  <c r="D13" i="2310"/>
  <c r="R12" i="2310"/>
  <c r="R11" i="2310"/>
  <c r="L11" i="2310"/>
  <c r="D11" i="2310"/>
  <c r="L9" i="2310"/>
  <c r="D9" i="2310" s="1"/>
  <c r="L8" i="2310"/>
  <c r="D8" i="2310"/>
  <c r="L7" i="2310"/>
  <c r="D7" i="2310" s="1"/>
  <c r="R6" i="2310"/>
  <c r="L16" i="2310" s="1"/>
  <c r="D16" i="2310" s="1"/>
  <c r="L6" i="2310"/>
  <c r="D6" i="2310" s="1"/>
  <c r="R5" i="2310"/>
  <c r="R4" i="2310"/>
  <c r="L15" i="2310" s="1"/>
  <c r="D15" i="2310" s="1"/>
  <c r="R52" i="2309"/>
  <c r="R51" i="2309"/>
  <c r="D50" i="2309"/>
  <c r="R49" i="2309"/>
  <c r="G49" i="2309"/>
  <c r="D49" i="2309"/>
  <c r="R48" i="2309"/>
  <c r="D48" i="2309"/>
  <c r="D46" i="2309"/>
  <c r="D45" i="2309"/>
  <c r="D44" i="2309"/>
  <c r="R42" i="2309"/>
  <c r="L6" i="2309" s="1"/>
  <c r="D6" i="2309" s="1"/>
  <c r="D42" i="2309"/>
  <c r="R41" i="2309"/>
  <c r="L7" i="2309" s="1"/>
  <c r="D7" i="2309" s="1"/>
  <c r="D41" i="2309"/>
  <c r="R40" i="2309"/>
  <c r="D40" i="2309"/>
  <c r="R39" i="2309"/>
  <c r="D39" i="2309"/>
  <c r="R38" i="2309"/>
  <c r="L9" i="2309" s="1"/>
  <c r="D9" i="2309" s="1"/>
  <c r="D38" i="2309"/>
  <c r="R37" i="2309"/>
  <c r="D37" i="2309"/>
  <c r="R36" i="2309"/>
  <c r="L10" i="2309" s="1"/>
  <c r="D10" i="2309" s="1"/>
  <c r="D36" i="2309"/>
  <c r="R35" i="2309"/>
  <c r="D35" i="2309"/>
  <c r="R34" i="2309"/>
  <c r="D34" i="2309"/>
  <c r="D54" i="2309" s="1"/>
  <c r="H14" i="2309" s="1"/>
  <c r="R33" i="2309"/>
  <c r="R32" i="2309"/>
  <c r="R31" i="2309"/>
  <c r="R30" i="2309"/>
  <c r="R29" i="2309"/>
  <c r="R28" i="2309"/>
  <c r="D28" i="2309"/>
  <c r="R27" i="2309"/>
  <c r="D27" i="2309"/>
  <c r="R26" i="2309"/>
  <c r="L26" i="2309"/>
  <c r="D26" i="2309"/>
  <c r="R25" i="2309"/>
  <c r="L25" i="2309"/>
  <c r="D25" i="2309"/>
  <c r="R24" i="2309"/>
  <c r="D24" i="2309"/>
  <c r="R23" i="2309"/>
  <c r="L23" i="2309"/>
  <c r="D23" i="2309" s="1"/>
  <c r="R22" i="2309"/>
  <c r="L22" i="2309"/>
  <c r="D22" i="2309" s="1"/>
  <c r="R21" i="2309"/>
  <c r="D21" i="2309"/>
  <c r="R20" i="2309"/>
  <c r="L20" i="2309"/>
  <c r="D20" i="2309"/>
  <c r="R19" i="2309"/>
  <c r="L19" i="2309"/>
  <c r="D19" i="2309"/>
  <c r="R18" i="2309"/>
  <c r="D18" i="2309"/>
  <c r="R17" i="2309"/>
  <c r="D17" i="2309"/>
  <c r="R16" i="2309"/>
  <c r="L16" i="2309"/>
  <c r="D16" i="2309"/>
  <c r="S15" i="2309"/>
  <c r="R15" i="2309"/>
  <c r="D15" i="2309"/>
  <c r="S14" i="2309"/>
  <c r="R14" i="2309"/>
  <c r="D14" i="2309"/>
  <c r="R13" i="2309"/>
  <c r="D13" i="2309"/>
  <c r="R12" i="2309"/>
  <c r="L12" i="2309"/>
  <c r="D12" i="2309" s="1"/>
  <c r="R11" i="2309"/>
  <c r="L11" i="2309"/>
  <c r="D11" i="2309" s="1"/>
  <c r="L8" i="2309"/>
  <c r="D8" i="2309"/>
  <c r="R6" i="2309"/>
  <c r="R5" i="2309"/>
  <c r="R4" i="2309"/>
  <c r="R52" i="2308"/>
  <c r="R51" i="2308"/>
  <c r="D50" i="2308"/>
  <c r="R49" i="2308"/>
  <c r="D49" i="2308"/>
  <c r="R48" i="2308"/>
  <c r="D48" i="2308"/>
  <c r="D46" i="2308"/>
  <c r="D45" i="2308"/>
  <c r="R44" i="2308"/>
  <c r="L28" i="2308" s="1"/>
  <c r="D28" i="2308" s="1"/>
  <c r="D44" i="2308"/>
  <c r="R42" i="2308"/>
  <c r="L6" i="2308" s="1"/>
  <c r="D6" i="2308" s="1"/>
  <c r="D42" i="2308"/>
  <c r="R41" i="2308"/>
  <c r="L7" i="2308" s="1"/>
  <c r="D7" i="2308" s="1"/>
  <c r="D41" i="2308"/>
  <c r="R40" i="2308"/>
  <c r="D40" i="2308"/>
  <c r="R39" i="2308"/>
  <c r="H39" i="2308"/>
  <c r="D39" i="2308"/>
  <c r="R38" i="2308"/>
  <c r="H38" i="2308"/>
  <c r="D38" i="2308"/>
  <c r="R37" i="2308"/>
  <c r="H37" i="2308"/>
  <c r="D37" i="2308"/>
  <c r="R36" i="2308"/>
  <c r="H36" i="2308"/>
  <c r="D36" i="2308"/>
  <c r="R35" i="2308"/>
  <c r="H35" i="2308"/>
  <c r="D35" i="2308"/>
  <c r="R34" i="2308"/>
  <c r="L12" i="2308" s="1"/>
  <c r="D12" i="2308" s="1"/>
  <c r="H34" i="2308"/>
  <c r="G49" i="2308" s="1"/>
  <c r="D34" i="2308"/>
  <c r="D54" i="2308" s="1"/>
  <c r="H14" i="2308" s="1"/>
  <c r="R33" i="2308"/>
  <c r="L19" i="2308" s="1"/>
  <c r="D19" i="2308" s="1"/>
  <c r="R32" i="2308"/>
  <c r="R31" i="2308"/>
  <c r="R30" i="2308"/>
  <c r="R29" i="2308"/>
  <c r="R28" i="2308"/>
  <c r="R27" i="2308"/>
  <c r="L27" i="2308"/>
  <c r="D27" i="2308"/>
  <c r="R26" i="2308"/>
  <c r="L26" i="2308"/>
  <c r="D26" i="2308" s="1"/>
  <c r="R25" i="2308"/>
  <c r="L25" i="2308"/>
  <c r="D25" i="2308"/>
  <c r="R24" i="2308"/>
  <c r="L24" i="2308"/>
  <c r="D24" i="2308"/>
  <c r="R23" i="2308"/>
  <c r="L23" i="2308"/>
  <c r="D23" i="2308"/>
  <c r="R22" i="2308"/>
  <c r="L22" i="2308"/>
  <c r="D22" i="2308" s="1"/>
  <c r="R21" i="2308"/>
  <c r="L17" i="2308" s="1"/>
  <c r="D17" i="2308" s="1"/>
  <c r="L21" i="2308"/>
  <c r="D21" i="2308"/>
  <c r="R20" i="2308"/>
  <c r="L20" i="2308"/>
  <c r="D20" i="2308" s="1"/>
  <c r="R19" i="2308"/>
  <c r="R18" i="2308"/>
  <c r="L18" i="2308"/>
  <c r="D18" i="2308" s="1"/>
  <c r="R17" i="2308"/>
  <c r="R16" i="2308"/>
  <c r="R15" i="2308"/>
  <c r="L15" i="2308"/>
  <c r="D15" i="2308" s="1"/>
  <c r="R14" i="2308"/>
  <c r="D14" i="2308"/>
  <c r="R13" i="2308"/>
  <c r="D13" i="2308"/>
  <c r="R12" i="2308"/>
  <c r="R11" i="2308"/>
  <c r="L11" i="2308"/>
  <c r="D11" i="2308"/>
  <c r="L10" i="2308"/>
  <c r="D10" i="2308" s="1"/>
  <c r="L9" i="2308"/>
  <c r="D9" i="2308" s="1"/>
  <c r="L8" i="2308"/>
  <c r="D8" i="2308" s="1"/>
  <c r="R6" i="2308"/>
  <c r="L16" i="2308" s="1"/>
  <c r="D16" i="2308" s="1"/>
  <c r="R5" i="2308"/>
  <c r="R4" i="2308"/>
  <c r="R52" i="2307"/>
  <c r="R51" i="2307"/>
  <c r="D50" i="2307"/>
  <c r="R49" i="2307"/>
  <c r="D49" i="2307"/>
  <c r="R48" i="2307"/>
  <c r="D48" i="2307"/>
  <c r="D46" i="2307"/>
  <c r="D45" i="2307"/>
  <c r="R44" i="2307"/>
  <c r="D44" i="2307"/>
  <c r="R42" i="2307"/>
  <c r="L6" i="2307" s="1"/>
  <c r="D6" i="2307" s="1"/>
  <c r="D42" i="2307"/>
  <c r="R41" i="2307"/>
  <c r="L7" i="2307" s="1"/>
  <c r="D7" i="2307" s="1"/>
  <c r="D41" i="2307"/>
  <c r="R40" i="2307"/>
  <c r="L8" i="2307" s="1"/>
  <c r="D8" i="2307" s="1"/>
  <c r="D40" i="2307"/>
  <c r="R39" i="2307"/>
  <c r="H39" i="2307"/>
  <c r="D39" i="2307"/>
  <c r="R38" i="2307"/>
  <c r="H38" i="2307"/>
  <c r="D38" i="2307"/>
  <c r="R37" i="2307"/>
  <c r="H37" i="2307"/>
  <c r="D37" i="2307"/>
  <c r="R36" i="2307"/>
  <c r="H36" i="2307"/>
  <c r="D36" i="2307"/>
  <c r="R35" i="2307"/>
  <c r="H35" i="2307"/>
  <c r="D35" i="2307"/>
  <c r="R34" i="2307"/>
  <c r="H34" i="2307"/>
  <c r="G49" i="2307" s="1"/>
  <c r="D34" i="2307"/>
  <c r="D54" i="2307" s="1"/>
  <c r="H14" i="2307" s="1"/>
  <c r="R33" i="2307"/>
  <c r="R32" i="2307"/>
  <c r="R31" i="2307"/>
  <c r="R30" i="2307"/>
  <c r="R29" i="2307"/>
  <c r="R28" i="2307"/>
  <c r="L28" i="2307"/>
  <c r="D28" i="2307"/>
  <c r="R27" i="2307"/>
  <c r="L27" i="2307"/>
  <c r="D27" i="2307" s="1"/>
  <c r="R26" i="2307"/>
  <c r="L26" i="2307"/>
  <c r="D26" i="2307"/>
  <c r="R25" i="2307"/>
  <c r="L25" i="2307"/>
  <c r="D25" i="2307" s="1"/>
  <c r="R24" i="2307"/>
  <c r="L24" i="2307"/>
  <c r="D24" i="2307"/>
  <c r="R23" i="2307"/>
  <c r="L23" i="2307"/>
  <c r="D23" i="2307"/>
  <c r="R22" i="2307"/>
  <c r="L22" i="2307"/>
  <c r="D22" i="2307"/>
  <c r="R21" i="2307"/>
  <c r="L17" i="2307" s="1"/>
  <c r="D17" i="2307" s="1"/>
  <c r="D21" i="2307"/>
  <c r="R20" i="2307"/>
  <c r="L20" i="2307"/>
  <c r="D20" i="2307" s="1"/>
  <c r="R19" i="2307"/>
  <c r="L19" i="2307"/>
  <c r="D19" i="2307"/>
  <c r="R18" i="2307"/>
  <c r="L18" i="2307"/>
  <c r="D18" i="2307"/>
  <c r="R17" i="2307"/>
  <c r="R16" i="2307"/>
  <c r="L16" i="2307"/>
  <c r="D16" i="2307" s="1"/>
  <c r="R15" i="2307"/>
  <c r="R14" i="2307"/>
  <c r="L14" i="2307"/>
  <c r="D14" i="2307" s="1"/>
  <c r="R13" i="2307"/>
  <c r="D13" i="2307"/>
  <c r="R12" i="2307"/>
  <c r="L12" i="2307"/>
  <c r="D12" i="2307" s="1"/>
  <c r="R11" i="2307"/>
  <c r="L11" i="2307"/>
  <c r="D11" i="2307" s="1"/>
  <c r="L10" i="2307"/>
  <c r="D10" i="2307"/>
  <c r="L9" i="2307"/>
  <c r="D9" i="2307" s="1"/>
  <c r="R6" i="2307"/>
  <c r="R5" i="2307"/>
  <c r="R4" i="2307"/>
  <c r="L15" i="2307" s="1"/>
  <c r="D15" i="2307" s="1"/>
  <c r="V68" i="2306"/>
  <c r="R52" i="2306"/>
  <c r="R51" i="2306"/>
  <c r="D50" i="2306"/>
  <c r="R49" i="2306"/>
  <c r="G49" i="2306"/>
  <c r="D49" i="2306"/>
  <c r="R48" i="2306"/>
  <c r="D48" i="2306"/>
  <c r="D46" i="2306"/>
  <c r="D45" i="2306"/>
  <c r="R44" i="2306"/>
  <c r="D44" i="2306"/>
  <c r="R42" i="2306"/>
  <c r="D42" i="2306"/>
  <c r="R41" i="2306"/>
  <c r="D41" i="2306"/>
  <c r="R40" i="2306"/>
  <c r="D40" i="2306"/>
  <c r="R39" i="2306"/>
  <c r="H39" i="2306"/>
  <c r="D39" i="2306"/>
  <c r="R38" i="2306"/>
  <c r="H38" i="2306"/>
  <c r="D38" i="2306"/>
  <c r="R37" i="2306"/>
  <c r="H37" i="2306"/>
  <c r="D37" i="2306"/>
  <c r="R36" i="2306"/>
  <c r="L10" i="2306" s="1"/>
  <c r="D10" i="2306" s="1"/>
  <c r="H36" i="2306"/>
  <c r="D36" i="2306"/>
  <c r="R35" i="2306"/>
  <c r="L18" i="2306" s="1"/>
  <c r="D18" i="2306" s="1"/>
  <c r="H35" i="2306"/>
  <c r="D35" i="2306"/>
  <c r="D54" i="2306" s="1"/>
  <c r="H14" i="2306" s="1"/>
  <c r="R34" i="2306"/>
  <c r="H34" i="2306"/>
  <c r="D34" i="2306"/>
  <c r="R33" i="2306"/>
  <c r="L19" i="2306" s="1"/>
  <c r="D19" i="2306" s="1"/>
  <c r="R32" i="2306"/>
  <c r="R31" i="2306"/>
  <c r="R30" i="2306"/>
  <c r="R29" i="2306"/>
  <c r="R28" i="2306"/>
  <c r="L28" i="2306"/>
  <c r="D28" i="2306"/>
  <c r="R27" i="2306"/>
  <c r="L27" i="2306"/>
  <c r="D27" i="2306" s="1"/>
  <c r="R26" i="2306"/>
  <c r="L26" i="2306"/>
  <c r="D26" i="2306"/>
  <c r="R25" i="2306"/>
  <c r="L25" i="2306"/>
  <c r="D25" i="2306" s="1"/>
  <c r="R24" i="2306"/>
  <c r="L24" i="2306"/>
  <c r="D24" i="2306"/>
  <c r="R23" i="2306"/>
  <c r="L23" i="2306"/>
  <c r="D23" i="2306" s="1"/>
  <c r="R22" i="2306"/>
  <c r="L22" i="2306"/>
  <c r="D22" i="2306"/>
  <c r="R21" i="2306"/>
  <c r="L21" i="2306"/>
  <c r="D21" i="2306" s="1"/>
  <c r="R20" i="2306"/>
  <c r="L20" i="2306"/>
  <c r="D20" i="2306" s="1"/>
  <c r="R19" i="2306"/>
  <c r="R18" i="2306"/>
  <c r="R17" i="2306"/>
  <c r="L17" i="2306"/>
  <c r="D17" i="2306" s="1"/>
  <c r="R16" i="2306"/>
  <c r="L16" i="2306"/>
  <c r="D16" i="2306" s="1"/>
  <c r="R15" i="2306"/>
  <c r="R14" i="2306"/>
  <c r="D14" i="2306"/>
  <c r="R13" i="2306"/>
  <c r="D13" i="2306"/>
  <c r="R12" i="2306"/>
  <c r="L12" i="2306"/>
  <c r="D12" i="2306" s="1"/>
  <c r="R11" i="2306"/>
  <c r="L11" i="2306"/>
  <c r="D11" i="2306" s="1"/>
  <c r="L9" i="2306"/>
  <c r="D9" i="2306" s="1"/>
  <c r="L8" i="2306"/>
  <c r="D8" i="2306"/>
  <c r="L7" i="2306"/>
  <c r="D7" i="2306"/>
  <c r="R6" i="2306"/>
  <c r="L6" i="2306"/>
  <c r="D6" i="2306" s="1"/>
  <c r="D29" i="2306" s="1"/>
  <c r="H13" i="2306" s="1"/>
  <c r="H15" i="2306" s="1"/>
  <c r="H29" i="2306" s="1"/>
  <c r="F51" i="2306" s="1"/>
  <c r="R5" i="2306"/>
  <c r="R4" i="2306"/>
  <c r="L15" i="2306" s="1"/>
  <c r="D15" i="2306" s="1"/>
  <c r="R52" i="2305"/>
  <c r="R51" i="2305"/>
  <c r="D50" i="2305"/>
  <c r="R49" i="2305"/>
  <c r="G49" i="2305"/>
  <c r="D49" i="2305"/>
  <c r="R48" i="2305"/>
  <c r="D48" i="2305"/>
  <c r="D46" i="2305"/>
  <c r="D45" i="2305"/>
  <c r="D44" i="2305"/>
  <c r="R42" i="2305"/>
  <c r="L6" i="2305" s="1"/>
  <c r="D6" i="2305" s="1"/>
  <c r="D42" i="2305"/>
  <c r="R41" i="2305"/>
  <c r="L7" i="2305" s="1"/>
  <c r="D7" i="2305" s="1"/>
  <c r="D41" i="2305"/>
  <c r="R40" i="2305"/>
  <c r="L8" i="2305" s="1"/>
  <c r="D8" i="2305" s="1"/>
  <c r="D40" i="2305"/>
  <c r="R39" i="2305"/>
  <c r="D39" i="2305"/>
  <c r="R38" i="2305"/>
  <c r="L9" i="2305" s="1"/>
  <c r="D9" i="2305" s="1"/>
  <c r="D38" i="2305"/>
  <c r="R37" i="2305"/>
  <c r="D37" i="2305"/>
  <c r="R36" i="2305"/>
  <c r="L10" i="2305" s="1"/>
  <c r="D10" i="2305" s="1"/>
  <c r="D36" i="2305"/>
  <c r="R35" i="2305"/>
  <c r="D35" i="2305"/>
  <c r="R34" i="2305"/>
  <c r="D34" i="2305"/>
  <c r="D54" i="2305" s="1"/>
  <c r="H14" i="2305" s="1"/>
  <c r="R33" i="2305"/>
  <c r="L23" i="2305" s="1"/>
  <c r="D23" i="2305" s="1"/>
  <c r="R32" i="2305"/>
  <c r="R31" i="2305"/>
  <c r="R30" i="2305"/>
  <c r="R29" i="2305"/>
  <c r="R28" i="2305"/>
  <c r="L16" i="2305" s="1"/>
  <c r="D16" i="2305" s="1"/>
  <c r="D28" i="2305"/>
  <c r="R27" i="2305"/>
  <c r="D27" i="2305"/>
  <c r="R26" i="2305"/>
  <c r="L26" i="2305"/>
  <c r="D26" i="2305" s="1"/>
  <c r="R25" i="2305"/>
  <c r="L25" i="2305"/>
  <c r="D25" i="2305"/>
  <c r="R24" i="2305"/>
  <c r="D24" i="2305"/>
  <c r="R23" i="2305"/>
  <c r="R22" i="2305"/>
  <c r="L22" i="2305"/>
  <c r="D22" i="2305"/>
  <c r="R21" i="2305"/>
  <c r="D21" i="2305"/>
  <c r="R20" i="2305"/>
  <c r="L20" i="2305"/>
  <c r="D20" i="2305" s="1"/>
  <c r="R19" i="2305"/>
  <c r="L19" i="2305"/>
  <c r="D19" i="2305"/>
  <c r="R18" i="2305"/>
  <c r="D18" i="2305"/>
  <c r="R17" i="2305"/>
  <c r="D17" i="2305"/>
  <c r="R16" i="2305"/>
  <c r="S15" i="2305"/>
  <c r="R15" i="2305"/>
  <c r="D15" i="2305"/>
  <c r="S14" i="2305"/>
  <c r="R14" i="2305"/>
  <c r="D14" i="2305"/>
  <c r="R13" i="2305"/>
  <c r="D13" i="2305"/>
  <c r="R12" i="2305"/>
  <c r="L12" i="2305"/>
  <c r="D12" i="2305" s="1"/>
  <c r="R11" i="2305"/>
  <c r="L11" i="2305"/>
  <c r="D11" i="2305"/>
  <c r="R6" i="2305"/>
  <c r="R5" i="2305"/>
  <c r="R4" i="2305"/>
  <c r="R52" i="2304"/>
  <c r="R51" i="2304"/>
  <c r="D50" i="2304"/>
  <c r="R49" i="2304"/>
  <c r="D49" i="2304"/>
  <c r="R48" i="2304"/>
  <c r="D48" i="2304"/>
  <c r="D46" i="2304"/>
  <c r="D45" i="2304"/>
  <c r="R44" i="2304"/>
  <c r="L28" i="2304" s="1"/>
  <c r="D28" i="2304" s="1"/>
  <c r="D44" i="2304"/>
  <c r="R42" i="2304"/>
  <c r="L6" i="2304" s="1"/>
  <c r="D6" i="2304" s="1"/>
  <c r="D42" i="2304"/>
  <c r="R41" i="2304"/>
  <c r="D41" i="2304"/>
  <c r="R40" i="2304"/>
  <c r="L8" i="2304" s="1"/>
  <c r="D8" i="2304" s="1"/>
  <c r="D40" i="2304"/>
  <c r="R39" i="2304"/>
  <c r="H39" i="2304"/>
  <c r="D39" i="2304"/>
  <c r="R38" i="2304"/>
  <c r="H38" i="2304"/>
  <c r="D38" i="2304"/>
  <c r="R37" i="2304"/>
  <c r="H37" i="2304"/>
  <c r="D37" i="2304"/>
  <c r="R36" i="2304"/>
  <c r="H36" i="2304"/>
  <c r="D36" i="2304"/>
  <c r="R35" i="2304"/>
  <c r="H35" i="2304"/>
  <c r="D35" i="2304"/>
  <c r="R34" i="2304"/>
  <c r="L12" i="2304" s="1"/>
  <c r="D12" i="2304" s="1"/>
  <c r="H34" i="2304"/>
  <c r="G49" i="2304" s="1"/>
  <c r="D34" i="2304"/>
  <c r="D54" i="2304" s="1"/>
  <c r="H14" i="2304" s="1"/>
  <c r="R33" i="2304"/>
  <c r="L19" i="2304" s="1"/>
  <c r="D19" i="2304" s="1"/>
  <c r="R32" i="2304"/>
  <c r="R31" i="2304"/>
  <c r="R30" i="2304"/>
  <c r="R29" i="2304"/>
  <c r="R28" i="2304"/>
  <c r="R27" i="2304"/>
  <c r="L27" i="2304"/>
  <c r="D27" i="2304"/>
  <c r="R26" i="2304"/>
  <c r="L26" i="2304"/>
  <c r="D26" i="2304" s="1"/>
  <c r="R25" i="2304"/>
  <c r="L25" i="2304"/>
  <c r="D25" i="2304"/>
  <c r="R24" i="2304"/>
  <c r="L24" i="2304"/>
  <c r="D24" i="2304"/>
  <c r="R23" i="2304"/>
  <c r="L23" i="2304"/>
  <c r="D23" i="2304"/>
  <c r="R22" i="2304"/>
  <c r="L22" i="2304"/>
  <c r="D22" i="2304"/>
  <c r="R21" i="2304"/>
  <c r="L17" i="2304" s="1"/>
  <c r="D17" i="2304" s="1"/>
  <c r="L21" i="2304"/>
  <c r="D21" i="2304"/>
  <c r="R20" i="2304"/>
  <c r="L20" i="2304"/>
  <c r="D20" i="2304" s="1"/>
  <c r="R19" i="2304"/>
  <c r="R18" i="2304"/>
  <c r="L18" i="2304"/>
  <c r="D18" i="2304" s="1"/>
  <c r="R17" i="2304"/>
  <c r="R16" i="2304"/>
  <c r="R15" i="2304"/>
  <c r="L15" i="2304"/>
  <c r="D15" i="2304"/>
  <c r="R14" i="2304"/>
  <c r="D14" i="2304"/>
  <c r="R13" i="2304"/>
  <c r="D13" i="2304"/>
  <c r="R12" i="2304"/>
  <c r="R11" i="2304"/>
  <c r="L11" i="2304"/>
  <c r="D11" i="2304"/>
  <c r="L10" i="2304"/>
  <c r="D10" i="2304" s="1"/>
  <c r="L9" i="2304"/>
  <c r="D9" i="2304" s="1"/>
  <c r="L7" i="2304"/>
  <c r="D7" i="2304"/>
  <c r="R6" i="2304"/>
  <c r="L16" i="2304" s="1"/>
  <c r="D16" i="2304" s="1"/>
  <c r="R5" i="2304"/>
  <c r="R4" i="2304"/>
  <c r="R52" i="2303"/>
  <c r="R51" i="2303"/>
  <c r="D50" i="2303"/>
  <c r="R49" i="2303"/>
  <c r="D49" i="2303"/>
  <c r="R48" i="2303"/>
  <c r="D48" i="2303"/>
  <c r="D46" i="2303"/>
  <c r="D45" i="2303"/>
  <c r="R44" i="2303"/>
  <c r="L28" i="2303" s="1"/>
  <c r="D28" i="2303" s="1"/>
  <c r="D44" i="2303"/>
  <c r="R42" i="2303"/>
  <c r="L6" i="2303" s="1"/>
  <c r="D6" i="2303" s="1"/>
  <c r="D42" i="2303"/>
  <c r="R41" i="2303"/>
  <c r="L7" i="2303" s="1"/>
  <c r="D7" i="2303" s="1"/>
  <c r="D41" i="2303"/>
  <c r="R40" i="2303"/>
  <c r="D40" i="2303"/>
  <c r="R39" i="2303"/>
  <c r="H39" i="2303"/>
  <c r="D39" i="2303"/>
  <c r="R38" i="2303"/>
  <c r="L9" i="2303" s="1"/>
  <c r="D9" i="2303" s="1"/>
  <c r="H38" i="2303"/>
  <c r="D38" i="2303"/>
  <c r="R37" i="2303"/>
  <c r="H37" i="2303"/>
  <c r="D37" i="2303"/>
  <c r="R36" i="2303"/>
  <c r="H36" i="2303"/>
  <c r="D36" i="2303"/>
  <c r="D54" i="2303" s="1"/>
  <c r="H14" i="2303" s="1"/>
  <c r="R35" i="2303"/>
  <c r="H35" i="2303"/>
  <c r="D35" i="2303"/>
  <c r="R34" i="2303"/>
  <c r="H34" i="2303"/>
  <c r="G49" i="2303" s="1"/>
  <c r="D34" i="2303"/>
  <c r="R33" i="2303"/>
  <c r="R32" i="2303"/>
  <c r="L11" i="2303" s="1"/>
  <c r="D11" i="2303" s="1"/>
  <c r="R31" i="2303"/>
  <c r="R30" i="2303"/>
  <c r="R29" i="2303"/>
  <c r="R28" i="2303"/>
  <c r="R27" i="2303"/>
  <c r="L27" i="2303"/>
  <c r="D27" i="2303" s="1"/>
  <c r="R26" i="2303"/>
  <c r="L26" i="2303"/>
  <c r="D26" i="2303" s="1"/>
  <c r="R25" i="2303"/>
  <c r="L25" i="2303"/>
  <c r="D25" i="2303"/>
  <c r="R24" i="2303"/>
  <c r="L24" i="2303"/>
  <c r="D24" i="2303"/>
  <c r="R23" i="2303"/>
  <c r="L23" i="2303"/>
  <c r="D23" i="2303"/>
  <c r="R22" i="2303"/>
  <c r="L20" i="2303" s="1"/>
  <c r="D20" i="2303" s="1"/>
  <c r="L22" i="2303"/>
  <c r="D22" i="2303" s="1"/>
  <c r="R21" i="2303"/>
  <c r="D21" i="2303"/>
  <c r="R20" i="2303"/>
  <c r="R19" i="2303"/>
  <c r="L19" i="2303"/>
  <c r="D19" i="2303" s="1"/>
  <c r="R18" i="2303"/>
  <c r="L18" i="2303"/>
  <c r="D18" i="2303"/>
  <c r="R17" i="2303"/>
  <c r="L17" i="2303"/>
  <c r="D17" i="2303" s="1"/>
  <c r="R16" i="2303"/>
  <c r="R15" i="2303"/>
  <c r="L15" i="2303"/>
  <c r="D15" i="2303" s="1"/>
  <c r="R14" i="2303"/>
  <c r="L14" i="2303"/>
  <c r="D14" i="2303" s="1"/>
  <c r="R13" i="2303"/>
  <c r="D13" i="2303"/>
  <c r="R12" i="2303"/>
  <c r="L12" i="2303"/>
  <c r="D12" i="2303"/>
  <c r="R11" i="2303"/>
  <c r="L10" i="2303"/>
  <c r="D10" i="2303" s="1"/>
  <c r="L8" i="2303"/>
  <c r="D8" i="2303" s="1"/>
  <c r="R6" i="2303"/>
  <c r="L16" i="2303" s="1"/>
  <c r="D16" i="2303" s="1"/>
  <c r="R5" i="2303"/>
  <c r="R4" i="2303"/>
  <c r="V68" i="2302"/>
  <c r="D54" i="2302"/>
  <c r="H14" i="2302" s="1"/>
  <c r="R52" i="2302"/>
  <c r="R51" i="2302"/>
  <c r="D50" i="2302"/>
  <c r="R49" i="2302"/>
  <c r="D49" i="2302"/>
  <c r="R48" i="2302"/>
  <c r="D48" i="2302"/>
  <c r="D46" i="2302"/>
  <c r="D45" i="2302"/>
  <c r="R44" i="2302"/>
  <c r="D44" i="2302"/>
  <c r="R42" i="2302"/>
  <c r="L6" i="2302" s="1"/>
  <c r="D6" i="2302" s="1"/>
  <c r="D42" i="2302"/>
  <c r="R41" i="2302"/>
  <c r="D41" i="2302"/>
  <c r="R40" i="2302"/>
  <c r="L8" i="2302" s="1"/>
  <c r="D8" i="2302" s="1"/>
  <c r="D40" i="2302"/>
  <c r="R39" i="2302"/>
  <c r="H39" i="2302"/>
  <c r="D39" i="2302"/>
  <c r="R38" i="2302"/>
  <c r="L9" i="2302" s="1"/>
  <c r="D9" i="2302" s="1"/>
  <c r="H38" i="2302"/>
  <c r="D38" i="2302"/>
  <c r="R37" i="2302"/>
  <c r="H37" i="2302"/>
  <c r="D37" i="2302"/>
  <c r="R36" i="2302"/>
  <c r="L10" i="2302" s="1"/>
  <c r="D10" i="2302" s="1"/>
  <c r="H36" i="2302"/>
  <c r="G49" i="2302" s="1"/>
  <c r="D36" i="2302"/>
  <c r="R35" i="2302"/>
  <c r="H35" i="2302"/>
  <c r="D35" i="2302"/>
  <c r="R34" i="2302"/>
  <c r="H34" i="2302"/>
  <c r="D34" i="2302"/>
  <c r="R33" i="2302"/>
  <c r="L19" i="2302" s="1"/>
  <c r="D19" i="2302" s="1"/>
  <c r="R32" i="2302"/>
  <c r="L11" i="2302" s="1"/>
  <c r="D11" i="2302" s="1"/>
  <c r="R31" i="2302"/>
  <c r="R30" i="2302"/>
  <c r="R29" i="2302"/>
  <c r="R28" i="2302"/>
  <c r="L28" i="2302"/>
  <c r="D28" i="2302"/>
  <c r="R27" i="2302"/>
  <c r="L27" i="2302"/>
  <c r="D27" i="2302"/>
  <c r="R26" i="2302"/>
  <c r="L26" i="2302"/>
  <c r="D26" i="2302"/>
  <c r="R25" i="2302"/>
  <c r="L25" i="2302"/>
  <c r="D25" i="2302" s="1"/>
  <c r="R24" i="2302"/>
  <c r="L24" i="2302"/>
  <c r="D24" i="2302"/>
  <c r="R23" i="2302"/>
  <c r="L23" i="2302"/>
  <c r="D23" i="2302"/>
  <c r="R22" i="2302"/>
  <c r="L20" i="2302" s="1"/>
  <c r="D20" i="2302" s="1"/>
  <c r="L22" i="2302"/>
  <c r="D22" i="2302" s="1"/>
  <c r="R21" i="2302"/>
  <c r="L21" i="2302"/>
  <c r="D21" i="2302" s="1"/>
  <c r="R20" i="2302"/>
  <c r="R19" i="2302"/>
  <c r="R18" i="2302"/>
  <c r="L18" i="2302"/>
  <c r="D18" i="2302"/>
  <c r="R17" i="2302"/>
  <c r="L17" i="2302"/>
  <c r="D17" i="2302" s="1"/>
  <c r="R16" i="2302"/>
  <c r="R15" i="2302"/>
  <c r="L15" i="2302"/>
  <c r="D15" i="2302"/>
  <c r="R14" i="2302"/>
  <c r="D14" i="2302"/>
  <c r="R13" i="2302"/>
  <c r="D13" i="2302"/>
  <c r="R12" i="2302"/>
  <c r="L12" i="2302"/>
  <c r="D12" i="2302" s="1"/>
  <c r="R11" i="2302"/>
  <c r="L7" i="2302"/>
  <c r="D7" i="2302"/>
  <c r="R6" i="2302"/>
  <c r="L16" i="2302" s="1"/>
  <c r="D16" i="2302" s="1"/>
  <c r="R5" i="2302"/>
  <c r="R4" i="2302"/>
  <c r="R52" i="2301"/>
  <c r="R51" i="2301"/>
  <c r="D50" i="2301"/>
  <c r="R49" i="2301"/>
  <c r="G49" i="2301"/>
  <c r="D49" i="2301"/>
  <c r="R48" i="2301"/>
  <c r="D48" i="2301"/>
  <c r="D46" i="2301"/>
  <c r="D45" i="2301"/>
  <c r="D44" i="2301"/>
  <c r="R42" i="2301"/>
  <c r="D42" i="2301"/>
  <c r="R41" i="2301"/>
  <c r="L7" i="2301" s="1"/>
  <c r="D7" i="2301" s="1"/>
  <c r="D41" i="2301"/>
  <c r="R40" i="2301"/>
  <c r="L8" i="2301" s="1"/>
  <c r="D8" i="2301" s="1"/>
  <c r="D40" i="2301"/>
  <c r="R39" i="2301"/>
  <c r="D39" i="2301"/>
  <c r="D54" i="2301" s="1"/>
  <c r="H14" i="2301" s="1"/>
  <c r="R38" i="2301"/>
  <c r="L9" i="2301" s="1"/>
  <c r="D9" i="2301" s="1"/>
  <c r="D38" i="2301"/>
  <c r="R37" i="2301"/>
  <c r="D37" i="2301"/>
  <c r="R36" i="2301"/>
  <c r="L10" i="2301" s="1"/>
  <c r="D10" i="2301" s="1"/>
  <c r="D36" i="2301"/>
  <c r="R35" i="2301"/>
  <c r="L19" i="2301" s="1"/>
  <c r="D19" i="2301" s="1"/>
  <c r="D35" i="2301"/>
  <c r="R34" i="2301"/>
  <c r="D34" i="2301"/>
  <c r="R33" i="2301"/>
  <c r="R32" i="2301"/>
  <c r="L11" i="2301" s="1"/>
  <c r="D11" i="2301" s="1"/>
  <c r="R31" i="2301"/>
  <c r="R30" i="2301"/>
  <c r="R29" i="2301"/>
  <c r="R28" i="2301"/>
  <c r="D28" i="2301"/>
  <c r="R27" i="2301"/>
  <c r="D27" i="2301"/>
  <c r="R26" i="2301"/>
  <c r="L26" i="2301"/>
  <c r="D26" i="2301" s="1"/>
  <c r="R25" i="2301"/>
  <c r="L25" i="2301"/>
  <c r="D25" i="2301"/>
  <c r="R24" i="2301"/>
  <c r="D24" i="2301"/>
  <c r="R23" i="2301"/>
  <c r="L23" i="2301"/>
  <c r="D23" i="2301" s="1"/>
  <c r="R22" i="2301"/>
  <c r="L22" i="2301"/>
  <c r="D22" i="2301"/>
  <c r="R21" i="2301"/>
  <c r="D21" i="2301"/>
  <c r="R20" i="2301"/>
  <c r="L20" i="2301"/>
  <c r="D20" i="2301" s="1"/>
  <c r="R19" i="2301"/>
  <c r="R18" i="2301"/>
  <c r="D18" i="2301"/>
  <c r="R17" i="2301"/>
  <c r="D17" i="2301"/>
  <c r="R16" i="2301"/>
  <c r="L16" i="2301"/>
  <c r="D16" i="2301" s="1"/>
  <c r="S15" i="2301"/>
  <c r="R15" i="2301"/>
  <c r="D15" i="2301"/>
  <c r="S14" i="2301"/>
  <c r="R14" i="2301"/>
  <c r="D14" i="2301"/>
  <c r="R13" i="2301"/>
  <c r="D13" i="2301"/>
  <c r="R12" i="2301"/>
  <c r="L12" i="2301"/>
  <c r="D12" i="2301"/>
  <c r="R11" i="2301"/>
  <c r="R6" i="2301"/>
  <c r="L6" i="2301"/>
  <c r="D6" i="2301"/>
  <c r="R5" i="2301"/>
  <c r="R4" i="2301"/>
  <c r="R52" i="2300"/>
  <c r="R51" i="2300"/>
  <c r="D50" i="2300"/>
  <c r="R49" i="2300"/>
  <c r="D49" i="2300"/>
  <c r="R48" i="2300"/>
  <c r="D48" i="2300"/>
  <c r="D46" i="2300"/>
  <c r="D45" i="2300"/>
  <c r="R44" i="2300"/>
  <c r="L28" i="2300" s="1"/>
  <c r="D28" i="2300" s="1"/>
  <c r="D44" i="2300"/>
  <c r="R42" i="2300"/>
  <c r="L6" i="2300" s="1"/>
  <c r="D6" i="2300" s="1"/>
  <c r="D42" i="2300"/>
  <c r="R41" i="2300"/>
  <c r="L7" i="2300" s="1"/>
  <c r="D7" i="2300" s="1"/>
  <c r="D41" i="2300"/>
  <c r="R40" i="2300"/>
  <c r="D40" i="2300"/>
  <c r="R39" i="2300"/>
  <c r="H39" i="2300"/>
  <c r="D39" i="2300"/>
  <c r="R38" i="2300"/>
  <c r="L9" i="2300" s="1"/>
  <c r="D9" i="2300" s="1"/>
  <c r="H38" i="2300"/>
  <c r="D38" i="2300"/>
  <c r="R37" i="2300"/>
  <c r="H37" i="2300"/>
  <c r="D37" i="2300"/>
  <c r="R36" i="2300"/>
  <c r="H36" i="2300"/>
  <c r="D36" i="2300"/>
  <c r="D54" i="2300" s="1"/>
  <c r="H14" i="2300" s="1"/>
  <c r="R35" i="2300"/>
  <c r="L18" i="2300" s="1"/>
  <c r="D18" i="2300" s="1"/>
  <c r="H35" i="2300"/>
  <c r="D35" i="2300"/>
  <c r="R34" i="2300"/>
  <c r="H34" i="2300"/>
  <c r="G49" i="2300" s="1"/>
  <c r="D34" i="2300"/>
  <c r="R33" i="2300"/>
  <c r="L19" i="2300" s="1"/>
  <c r="D19" i="2300" s="1"/>
  <c r="R32" i="2300"/>
  <c r="L11" i="2300" s="1"/>
  <c r="D11" i="2300" s="1"/>
  <c r="R31" i="2300"/>
  <c r="R30" i="2300"/>
  <c r="R29" i="2300"/>
  <c r="R28" i="2300"/>
  <c r="R27" i="2300"/>
  <c r="L27" i="2300"/>
  <c r="D27" i="2300" s="1"/>
  <c r="R26" i="2300"/>
  <c r="L26" i="2300"/>
  <c r="D26" i="2300" s="1"/>
  <c r="R25" i="2300"/>
  <c r="L25" i="2300"/>
  <c r="D25" i="2300"/>
  <c r="R24" i="2300"/>
  <c r="L24" i="2300"/>
  <c r="D24" i="2300"/>
  <c r="R23" i="2300"/>
  <c r="L23" i="2300"/>
  <c r="D23" i="2300"/>
  <c r="R22" i="2300"/>
  <c r="L20" i="2300" s="1"/>
  <c r="D20" i="2300" s="1"/>
  <c r="L22" i="2300"/>
  <c r="D22" i="2300" s="1"/>
  <c r="R21" i="2300"/>
  <c r="L21" i="2300"/>
  <c r="D21" i="2300"/>
  <c r="R20" i="2300"/>
  <c r="R19" i="2300"/>
  <c r="R18" i="2300"/>
  <c r="R17" i="2300"/>
  <c r="L17" i="2300"/>
  <c r="D17" i="2300"/>
  <c r="R16" i="2300"/>
  <c r="R15" i="2300"/>
  <c r="R14" i="2300"/>
  <c r="D14" i="2300"/>
  <c r="R13" i="2300"/>
  <c r="D13" i="2300"/>
  <c r="R12" i="2300"/>
  <c r="L12" i="2300"/>
  <c r="D12" i="2300"/>
  <c r="R11" i="2300"/>
  <c r="L10" i="2300"/>
  <c r="D10" i="2300" s="1"/>
  <c r="L8" i="2300"/>
  <c r="D8" i="2300" s="1"/>
  <c r="R6" i="2300"/>
  <c r="L16" i="2300" s="1"/>
  <c r="D16" i="2300" s="1"/>
  <c r="R5" i="2300"/>
  <c r="R4" i="2300"/>
  <c r="L15" i="2300" s="1"/>
  <c r="D15" i="2300" s="1"/>
  <c r="D54" i="2299"/>
  <c r="H14" i="2299" s="1"/>
  <c r="R52" i="2299"/>
  <c r="R51" i="2299"/>
  <c r="D50" i="2299"/>
  <c r="R49" i="2299"/>
  <c r="D49" i="2299"/>
  <c r="R48" i="2299"/>
  <c r="D48" i="2299"/>
  <c r="D46" i="2299"/>
  <c r="D45" i="2299"/>
  <c r="R44" i="2299"/>
  <c r="L28" i="2299" s="1"/>
  <c r="D28" i="2299" s="1"/>
  <c r="D44" i="2299"/>
  <c r="R42" i="2299"/>
  <c r="L6" i="2299" s="1"/>
  <c r="D6" i="2299" s="1"/>
  <c r="D42" i="2299"/>
  <c r="R41" i="2299"/>
  <c r="D41" i="2299"/>
  <c r="R40" i="2299"/>
  <c r="D40" i="2299"/>
  <c r="R39" i="2299"/>
  <c r="H39" i="2299"/>
  <c r="D39" i="2299"/>
  <c r="R38" i="2299"/>
  <c r="L9" i="2299" s="1"/>
  <c r="D9" i="2299" s="1"/>
  <c r="H38" i="2299"/>
  <c r="D38" i="2299"/>
  <c r="R37" i="2299"/>
  <c r="H37" i="2299"/>
  <c r="D37" i="2299"/>
  <c r="R36" i="2299"/>
  <c r="H36" i="2299"/>
  <c r="D36" i="2299"/>
  <c r="R35" i="2299"/>
  <c r="H35" i="2299"/>
  <c r="D35" i="2299"/>
  <c r="R34" i="2299"/>
  <c r="H34" i="2299"/>
  <c r="G49" i="2299" s="1"/>
  <c r="D34" i="2299"/>
  <c r="R33" i="2299"/>
  <c r="R32" i="2299"/>
  <c r="L11" i="2299" s="1"/>
  <c r="D11" i="2299" s="1"/>
  <c r="R31" i="2299"/>
  <c r="R30" i="2299"/>
  <c r="R29" i="2299"/>
  <c r="R28" i="2299"/>
  <c r="R27" i="2299"/>
  <c r="L27" i="2299"/>
  <c r="D27" i="2299" s="1"/>
  <c r="R26" i="2299"/>
  <c r="L26" i="2299"/>
  <c r="D26" i="2299" s="1"/>
  <c r="R25" i="2299"/>
  <c r="L25" i="2299"/>
  <c r="D25" i="2299" s="1"/>
  <c r="R24" i="2299"/>
  <c r="L24" i="2299"/>
  <c r="D24" i="2299"/>
  <c r="R23" i="2299"/>
  <c r="L23" i="2299"/>
  <c r="D23" i="2299"/>
  <c r="R22" i="2299"/>
  <c r="L20" i="2299" s="1"/>
  <c r="D20" i="2299" s="1"/>
  <c r="L22" i="2299"/>
  <c r="D22" i="2299"/>
  <c r="R21" i="2299"/>
  <c r="D21" i="2299"/>
  <c r="R20" i="2299"/>
  <c r="R19" i="2299"/>
  <c r="L19" i="2299"/>
  <c r="D19" i="2299"/>
  <c r="R18" i="2299"/>
  <c r="L18" i="2299"/>
  <c r="D18" i="2299"/>
  <c r="R17" i="2299"/>
  <c r="L17" i="2299"/>
  <c r="D17" i="2299"/>
  <c r="R16" i="2299"/>
  <c r="R15" i="2299"/>
  <c r="L15" i="2299"/>
  <c r="D15" i="2299" s="1"/>
  <c r="R14" i="2299"/>
  <c r="L14" i="2299"/>
  <c r="D14" i="2299"/>
  <c r="R13" i="2299"/>
  <c r="D13" i="2299"/>
  <c r="R12" i="2299"/>
  <c r="L12" i="2299"/>
  <c r="D12" i="2299" s="1"/>
  <c r="R11" i="2299"/>
  <c r="L10" i="2299"/>
  <c r="D10" i="2299" s="1"/>
  <c r="L8" i="2299"/>
  <c r="D8" i="2299"/>
  <c r="L7" i="2299"/>
  <c r="D7" i="2299"/>
  <c r="R6" i="2299"/>
  <c r="L16" i="2299" s="1"/>
  <c r="D16" i="2299" s="1"/>
  <c r="R5" i="2299"/>
  <c r="R4" i="2299"/>
  <c r="V68" i="2298"/>
  <c r="R52" i="2298"/>
  <c r="R51" i="2298"/>
  <c r="D50" i="2298"/>
  <c r="R49" i="2298"/>
  <c r="D49" i="2298"/>
  <c r="R48" i="2298"/>
  <c r="D48" i="2298"/>
  <c r="D46" i="2298"/>
  <c r="D45" i="2298"/>
  <c r="R44" i="2298"/>
  <c r="D44" i="2298"/>
  <c r="R42" i="2298"/>
  <c r="L6" i="2298" s="1"/>
  <c r="D6" i="2298" s="1"/>
  <c r="D42" i="2298"/>
  <c r="R41" i="2298"/>
  <c r="D41" i="2298"/>
  <c r="R40" i="2298"/>
  <c r="L8" i="2298" s="1"/>
  <c r="D8" i="2298" s="1"/>
  <c r="D40" i="2298"/>
  <c r="R39" i="2298"/>
  <c r="H39" i="2298"/>
  <c r="D39" i="2298"/>
  <c r="R38" i="2298"/>
  <c r="H38" i="2298"/>
  <c r="D38" i="2298"/>
  <c r="R37" i="2298"/>
  <c r="H37" i="2298"/>
  <c r="D37" i="2298"/>
  <c r="R36" i="2298"/>
  <c r="H36" i="2298"/>
  <c r="D36" i="2298"/>
  <c r="R35" i="2298"/>
  <c r="H35" i="2298"/>
  <c r="D35" i="2298"/>
  <c r="R34" i="2298"/>
  <c r="L12" i="2298" s="1"/>
  <c r="D12" i="2298" s="1"/>
  <c r="H34" i="2298"/>
  <c r="G49" i="2298" s="1"/>
  <c r="D34" i="2298"/>
  <c r="D54" i="2298" s="1"/>
  <c r="H14" i="2298" s="1"/>
  <c r="R33" i="2298"/>
  <c r="R32" i="2298"/>
  <c r="R31" i="2298"/>
  <c r="R30" i="2298"/>
  <c r="R29" i="2298"/>
  <c r="R28" i="2298"/>
  <c r="L28" i="2298"/>
  <c r="D28" i="2298" s="1"/>
  <c r="R27" i="2298"/>
  <c r="L27" i="2298"/>
  <c r="D27" i="2298"/>
  <c r="R26" i="2298"/>
  <c r="L26" i="2298"/>
  <c r="D26" i="2298" s="1"/>
  <c r="R25" i="2298"/>
  <c r="L25" i="2298"/>
  <c r="D25" i="2298"/>
  <c r="R24" i="2298"/>
  <c r="L24" i="2298"/>
  <c r="D24" i="2298"/>
  <c r="R23" i="2298"/>
  <c r="L23" i="2298"/>
  <c r="D23" i="2298"/>
  <c r="R22" i="2298"/>
  <c r="L22" i="2298"/>
  <c r="D22" i="2298"/>
  <c r="R21" i="2298"/>
  <c r="L17" i="2298" s="1"/>
  <c r="D17" i="2298" s="1"/>
  <c r="L21" i="2298"/>
  <c r="D21" i="2298"/>
  <c r="R20" i="2298"/>
  <c r="L20" i="2298"/>
  <c r="D20" i="2298" s="1"/>
  <c r="R19" i="2298"/>
  <c r="L19" i="2298"/>
  <c r="D19" i="2298"/>
  <c r="R18" i="2298"/>
  <c r="L18" i="2298"/>
  <c r="D18" i="2298"/>
  <c r="R17" i="2298"/>
  <c r="R16" i="2298"/>
  <c r="L16" i="2298"/>
  <c r="D16" i="2298"/>
  <c r="R15" i="2298"/>
  <c r="R14" i="2298"/>
  <c r="D14" i="2298"/>
  <c r="R13" i="2298"/>
  <c r="D13" i="2298"/>
  <c r="R12" i="2298"/>
  <c r="R11" i="2298"/>
  <c r="L11" i="2298"/>
  <c r="D11" i="2298"/>
  <c r="L10" i="2298"/>
  <c r="D10" i="2298" s="1"/>
  <c r="L9" i="2298"/>
  <c r="D9" i="2298" s="1"/>
  <c r="L7" i="2298"/>
  <c r="D7" i="2298"/>
  <c r="R6" i="2298"/>
  <c r="R5" i="2298"/>
  <c r="R4" i="2298"/>
  <c r="L15" i="2298" s="1"/>
  <c r="D15" i="2298" s="1"/>
  <c r="R52" i="2297"/>
  <c r="R51" i="2297"/>
  <c r="D50" i="2297"/>
  <c r="R49" i="2297"/>
  <c r="G49" i="2297"/>
  <c r="D49" i="2297"/>
  <c r="R48" i="2297"/>
  <c r="D48" i="2297"/>
  <c r="D46" i="2297"/>
  <c r="D45" i="2297"/>
  <c r="D44" i="2297"/>
  <c r="R42" i="2297"/>
  <c r="L6" i="2297" s="1"/>
  <c r="D6" i="2297" s="1"/>
  <c r="D42" i="2297"/>
  <c r="R41" i="2297"/>
  <c r="L7" i="2297" s="1"/>
  <c r="D7" i="2297" s="1"/>
  <c r="D41" i="2297"/>
  <c r="R40" i="2297"/>
  <c r="D40" i="2297"/>
  <c r="R39" i="2297"/>
  <c r="D39" i="2297"/>
  <c r="R38" i="2297"/>
  <c r="D38" i="2297"/>
  <c r="R37" i="2297"/>
  <c r="D37" i="2297"/>
  <c r="R36" i="2297"/>
  <c r="L10" i="2297" s="1"/>
  <c r="D10" i="2297" s="1"/>
  <c r="D36" i="2297"/>
  <c r="R35" i="2297"/>
  <c r="D35" i="2297"/>
  <c r="R34" i="2297"/>
  <c r="L12" i="2297" s="1"/>
  <c r="D12" i="2297" s="1"/>
  <c r="D34" i="2297"/>
  <c r="D54" i="2297" s="1"/>
  <c r="H14" i="2297" s="1"/>
  <c r="R33" i="2297"/>
  <c r="L23" i="2297" s="1"/>
  <c r="D23" i="2297" s="1"/>
  <c r="R32" i="2297"/>
  <c r="L11" i="2297" s="1"/>
  <c r="D11" i="2297" s="1"/>
  <c r="R31" i="2297"/>
  <c r="R30" i="2297"/>
  <c r="R29" i="2297"/>
  <c r="R28" i="2297"/>
  <c r="D28" i="2297"/>
  <c r="R27" i="2297"/>
  <c r="D27" i="2297"/>
  <c r="R26" i="2297"/>
  <c r="L26" i="2297"/>
  <c r="D26" i="2297"/>
  <c r="R25" i="2297"/>
  <c r="L25" i="2297"/>
  <c r="D25" i="2297"/>
  <c r="R24" i="2297"/>
  <c r="D24" i="2297"/>
  <c r="R23" i="2297"/>
  <c r="R22" i="2297"/>
  <c r="L22" i="2297"/>
  <c r="D22" i="2297"/>
  <c r="R21" i="2297"/>
  <c r="D21" i="2297"/>
  <c r="R20" i="2297"/>
  <c r="L20" i="2297"/>
  <c r="D20" i="2297"/>
  <c r="R19" i="2297"/>
  <c r="L19" i="2297"/>
  <c r="D19" i="2297"/>
  <c r="R18" i="2297"/>
  <c r="D18" i="2297"/>
  <c r="R17" i="2297"/>
  <c r="D17" i="2297"/>
  <c r="R16" i="2297"/>
  <c r="L16" i="2297"/>
  <c r="D16" i="2297" s="1"/>
  <c r="S15" i="2297"/>
  <c r="R15" i="2297"/>
  <c r="D15" i="2297"/>
  <c r="S14" i="2297"/>
  <c r="R14" i="2297"/>
  <c r="D14" i="2297"/>
  <c r="R13" i="2297"/>
  <c r="D13" i="2297"/>
  <c r="R12" i="2297"/>
  <c r="R11" i="2297"/>
  <c r="L9" i="2297"/>
  <c r="D9" i="2297" s="1"/>
  <c r="L8" i="2297"/>
  <c r="D8" i="2297"/>
  <c r="R6" i="2297"/>
  <c r="R5" i="2297"/>
  <c r="R4" i="2297"/>
  <c r="R52" i="2296"/>
  <c r="R51" i="2296"/>
  <c r="D50" i="2296"/>
  <c r="R49" i="2296"/>
  <c r="D49" i="2296"/>
  <c r="R48" i="2296"/>
  <c r="D48" i="2296"/>
  <c r="D46" i="2296"/>
  <c r="D45" i="2296"/>
  <c r="R44" i="2296"/>
  <c r="L28" i="2296" s="1"/>
  <c r="D28" i="2296" s="1"/>
  <c r="D44" i="2296"/>
  <c r="R42" i="2296"/>
  <c r="D42" i="2296"/>
  <c r="R41" i="2296"/>
  <c r="L7" i="2296" s="1"/>
  <c r="D7" i="2296" s="1"/>
  <c r="D41" i="2296"/>
  <c r="R40" i="2296"/>
  <c r="D40" i="2296"/>
  <c r="R39" i="2296"/>
  <c r="H39" i="2296"/>
  <c r="D39" i="2296"/>
  <c r="R38" i="2296"/>
  <c r="H38" i="2296"/>
  <c r="D38" i="2296"/>
  <c r="R37" i="2296"/>
  <c r="H37" i="2296"/>
  <c r="D37" i="2296"/>
  <c r="R36" i="2296"/>
  <c r="L10" i="2296" s="1"/>
  <c r="D10" i="2296" s="1"/>
  <c r="H36" i="2296"/>
  <c r="D36" i="2296"/>
  <c r="R35" i="2296"/>
  <c r="L18" i="2296" s="1"/>
  <c r="D18" i="2296" s="1"/>
  <c r="H35" i="2296"/>
  <c r="D35" i="2296"/>
  <c r="R34" i="2296"/>
  <c r="H34" i="2296"/>
  <c r="D34" i="2296"/>
  <c r="R33" i="2296"/>
  <c r="R32" i="2296"/>
  <c r="L11" i="2296" s="1"/>
  <c r="D11" i="2296" s="1"/>
  <c r="R31" i="2296"/>
  <c r="R30" i="2296"/>
  <c r="R29" i="2296"/>
  <c r="R28" i="2296"/>
  <c r="R27" i="2296"/>
  <c r="L27" i="2296"/>
  <c r="D27" i="2296" s="1"/>
  <c r="R26" i="2296"/>
  <c r="L26" i="2296"/>
  <c r="D26" i="2296" s="1"/>
  <c r="R25" i="2296"/>
  <c r="L25" i="2296"/>
  <c r="D25" i="2296"/>
  <c r="R24" i="2296"/>
  <c r="L24" i="2296"/>
  <c r="D24" i="2296"/>
  <c r="R23" i="2296"/>
  <c r="L23" i="2296"/>
  <c r="D23" i="2296"/>
  <c r="R22" i="2296"/>
  <c r="L20" i="2296" s="1"/>
  <c r="D20" i="2296" s="1"/>
  <c r="L22" i="2296"/>
  <c r="D22" i="2296"/>
  <c r="R21" i="2296"/>
  <c r="L21" i="2296"/>
  <c r="D21" i="2296"/>
  <c r="R20" i="2296"/>
  <c r="R19" i="2296"/>
  <c r="L19" i="2296"/>
  <c r="D19" i="2296" s="1"/>
  <c r="R18" i="2296"/>
  <c r="R17" i="2296"/>
  <c r="L17" i="2296"/>
  <c r="D17" i="2296"/>
  <c r="R16" i="2296"/>
  <c r="R15" i="2296"/>
  <c r="R14" i="2296"/>
  <c r="D14" i="2296"/>
  <c r="R13" i="2296"/>
  <c r="D13" i="2296"/>
  <c r="R12" i="2296"/>
  <c r="L12" i="2296"/>
  <c r="D12" i="2296"/>
  <c r="R11" i="2296"/>
  <c r="L9" i="2296"/>
  <c r="D9" i="2296"/>
  <c r="L8" i="2296"/>
  <c r="D8" i="2296" s="1"/>
  <c r="R6" i="2296"/>
  <c r="L16" i="2296" s="1"/>
  <c r="D16" i="2296" s="1"/>
  <c r="L6" i="2296"/>
  <c r="D6" i="2296"/>
  <c r="R5" i="2296"/>
  <c r="R4" i="2296"/>
  <c r="L15" i="2296" s="1"/>
  <c r="D15" i="2296" s="1"/>
  <c r="R52" i="2295"/>
  <c r="R51" i="2295"/>
  <c r="D50" i="2295"/>
  <c r="R49" i="2295"/>
  <c r="D49" i="2295"/>
  <c r="R48" i="2295"/>
  <c r="D48" i="2295"/>
  <c r="D46" i="2295"/>
  <c r="D45" i="2295"/>
  <c r="R44" i="2295"/>
  <c r="L28" i="2295" s="1"/>
  <c r="D28" i="2295" s="1"/>
  <c r="D44" i="2295"/>
  <c r="R42" i="2295"/>
  <c r="L6" i="2295" s="1"/>
  <c r="D6" i="2295" s="1"/>
  <c r="D42" i="2295"/>
  <c r="R41" i="2295"/>
  <c r="D41" i="2295"/>
  <c r="R40" i="2295"/>
  <c r="L8" i="2295" s="1"/>
  <c r="D8" i="2295" s="1"/>
  <c r="D40" i="2295"/>
  <c r="R39" i="2295"/>
  <c r="H39" i="2295"/>
  <c r="D39" i="2295"/>
  <c r="R38" i="2295"/>
  <c r="L9" i="2295" s="1"/>
  <c r="D9" i="2295" s="1"/>
  <c r="H38" i="2295"/>
  <c r="D38" i="2295"/>
  <c r="R37" i="2295"/>
  <c r="H37" i="2295"/>
  <c r="D37" i="2295"/>
  <c r="R36" i="2295"/>
  <c r="H36" i="2295"/>
  <c r="D36" i="2295"/>
  <c r="R35" i="2295"/>
  <c r="H35" i="2295"/>
  <c r="D35" i="2295"/>
  <c r="R34" i="2295"/>
  <c r="L12" i="2295" s="1"/>
  <c r="D12" i="2295" s="1"/>
  <c r="H34" i="2295"/>
  <c r="D34" i="2295"/>
  <c r="R33" i="2295"/>
  <c r="R32" i="2295"/>
  <c r="R31" i="2295"/>
  <c r="R30" i="2295"/>
  <c r="R29" i="2295"/>
  <c r="R28" i="2295"/>
  <c r="R27" i="2295"/>
  <c r="L27" i="2295"/>
  <c r="D27" i="2295"/>
  <c r="R26" i="2295"/>
  <c r="L26" i="2295"/>
  <c r="D26" i="2295" s="1"/>
  <c r="R25" i="2295"/>
  <c r="L25" i="2295"/>
  <c r="D25" i="2295"/>
  <c r="R24" i="2295"/>
  <c r="L24" i="2295"/>
  <c r="D24" i="2295"/>
  <c r="R23" i="2295"/>
  <c r="L23" i="2295"/>
  <c r="D23" i="2295"/>
  <c r="R22" i="2295"/>
  <c r="L20" i="2295" s="1"/>
  <c r="D20" i="2295" s="1"/>
  <c r="L22" i="2295"/>
  <c r="D22" i="2295"/>
  <c r="R21" i="2295"/>
  <c r="L17" i="2295" s="1"/>
  <c r="D17" i="2295" s="1"/>
  <c r="D21" i="2295"/>
  <c r="R20" i="2295"/>
  <c r="R19" i="2295"/>
  <c r="L19" i="2295"/>
  <c r="D19" i="2295"/>
  <c r="R18" i="2295"/>
  <c r="L18" i="2295"/>
  <c r="D18" i="2295"/>
  <c r="R17" i="2295"/>
  <c r="R16" i="2295"/>
  <c r="R15" i="2295"/>
  <c r="L15" i="2295"/>
  <c r="D15" i="2295" s="1"/>
  <c r="R14" i="2295"/>
  <c r="L14" i="2295"/>
  <c r="D14" i="2295"/>
  <c r="R13" i="2295"/>
  <c r="D13" i="2295"/>
  <c r="R12" i="2295"/>
  <c r="R11" i="2295"/>
  <c r="L11" i="2295"/>
  <c r="D11" i="2295"/>
  <c r="L10" i="2295"/>
  <c r="D10" i="2295" s="1"/>
  <c r="L7" i="2295"/>
  <c r="D7" i="2295"/>
  <c r="R6" i="2295"/>
  <c r="L16" i="2295" s="1"/>
  <c r="D16" i="2295" s="1"/>
  <c r="R5" i="2295"/>
  <c r="R4" i="2295"/>
  <c r="V68" i="2294"/>
  <c r="R52" i="2294"/>
  <c r="R51" i="2294"/>
  <c r="D50" i="2294"/>
  <c r="R49" i="2294"/>
  <c r="D49" i="2294"/>
  <c r="R48" i="2294"/>
  <c r="D48" i="2294"/>
  <c r="D46" i="2294"/>
  <c r="D45" i="2294"/>
  <c r="R44" i="2294"/>
  <c r="D44" i="2294"/>
  <c r="R42" i="2294"/>
  <c r="L6" i="2294" s="1"/>
  <c r="D6" i="2294" s="1"/>
  <c r="D42" i="2294"/>
  <c r="R41" i="2294"/>
  <c r="D41" i="2294"/>
  <c r="R40" i="2294"/>
  <c r="D40" i="2294"/>
  <c r="R39" i="2294"/>
  <c r="H39" i="2294"/>
  <c r="D39" i="2294"/>
  <c r="R38" i="2294"/>
  <c r="L9" i="2294" s="1"/>
  <c r="D9" i="2294" s="1"/>
  <c r="H38" i="2294"/>
  <c r="D38" i="2294"/>
  <c r="R37" i="2294"/>
  <c r="H37" i="2294"/>
  <c r="D37" i="2294"/>
  <c r="R36" i="2294"/>
  <c r="L10" i="2294" s="1"/>
  <c r="D10" i="2294" s="1"/>
  <c r="H36" i="2294"/>
  <c r="D36" i="2294"/>
  <c r="R35" i="2294"/>
  <c r="H35" i="2294"/>
  <c r="D35" i="2294"/>
  <c r="R34" i="2294"/>
  <c r="H34" i="2294"/>
  <c r="D34" i="2294"/>
  <c r="R33" i="2294"/>
  <c r="R32" i="2294"/>
  <c r="R31" i="2294"/>
  <c r="R30" i="2294"/>
  <c r="R29" i="2294"/>
  <c r="R28" i="2294"/>
  <c r="L28" i="2294"/>
  <c r="D28" i="2294"/>
  <c r="R27" i="2294"/>
  <c r="L27" i="2294"/>
  <c r="D27" i="2294"/>
  <c r="R26" i="2294"/>
  <c r="L26" i="2294"/>
  <c r="D26" i="2294"/>
  <c r="R25" i="2294"/>
  <c r="L25" i="2294"/>
  <c r="D25" i="2294"/>
  <c r="R24" i="2294"/>
  <c r="L24" i="2294"/>
  <c r="D24" i="2294"/>
  <c r="R23" i="2294"/>
  <c r="L23" i="2294"/>
  <c r="D23" i="2294"/>
  <c r="R22" i="2294"/>
  <c r="L20" i="2294" s="1"/>
  <c r="D20" i="2294" s="1"/>
  <c r="L22" i="2294"/>
  <c r="D22" i="2294"/>
  <c r="R21" i="2294"/>
  <c r="L21" i="2294"/>
  <c r="D21" i="2294"/>
  <c r="R20" i="2294"/>
  <c r="R19" i="2294"/>
  <c r="L19" i="2294"/>
  <c r="D19" i="2294"/>
  <c r="R18" i="2294"/>
  <c r="L18" i="2294"/>
  <c r="D18" i="2294"/>
  <c r="R17" i="2294"/>
  <c r="L17" i="2294"/>
  <c r="D17" i="2294" s="1"/>
  <c r="R16" i="2294"/>
  <c r="R15" i="2294"/>
  <c r="L15" i="2294"/>
  <c r="D15" i="2294"/>
  <c r="R14" i="2294"/>
  <c r="D14" i="2294"/>
  <c r="R13" i="2294"/>
  <c r="D13" i="2294"/>
  <c r="R12" i="2294"/>
  <c r="L12" i="2294"/>
  <c r="D12" i="2294" s="1"/>
  <c r="R11" i="2294"/>
  <c r="L11" i="2294"/>
  <c r="D11" i="2294" s="1"/>
  <c r="L8" i="2294"/>
  <c r="D8" i="2294"/>
  <c r="L7" i="2294"/>
  <c r="D7" i="2294"/>
  <c r="R6" i="2294"/>
  <c r="L16" i="2294" s="1"/>
  <c r="D16" i="2294" s="1"/>
  <c r="R5" i="2294"/>
  <c r="R4" i="2294"/>
  <c r="R52" i="2293"/>
  <c r="R51" i="2293"/>
  <c r="D50" i="2293"/>
  <c r="R49" i="2293"/>
  <c r="G49" i="2293"/>
  <c r="D49" i="2293"/>
  <c r="R48" i="2293"/>
  <c r="D48" i="2293"/>
  <c r="D46" i="2293"/>
  <c r="D45" i="2293"/>
  <c r="D44" i="2293"/>
  <c r="R42" i="2293"/>
  <c r="L6" i="2293" s="1"/>
  <c r="D6" i="2293" s="1"/>
  <c r="D42" i="2293"/>
  <c r="R41" i="2293"/>
  <c r="L7" i="2293" s="1"/>
  <c r="D7" i="2293" s="1"/>
  <c r="D41" i="2293"/>
  <c r="R40" i="2293"/>
  <c r="D40" i="2293"/>
  <c r="R39" i="2293"/>
  <c r="D39" i="2293"/>
  <c r="R38" i="2293"/>
  <c r="D38" i="2293"/>
  <c r="R37" i="2293"/>
  <c r="D37" i="2293"/>
  <c r="R36" i="2293"/>
  <c r="L10" i="2293" s="1"/>
  <c r="D10" i="2293" s="1"/>
  <c r="D36" i="2293"/>
  <c r="R35" i="2293"/>
  <c r="D35" i="2293"/>
  <c r="R34" i="2293"/>
  <c r="L12" i="2293" s="1"/>
  <c r="D12" i="2293" s="1"/>
  <c r="D34" i="2293"/>
  <c r="D54" i="2293" s="1"/>
  <c r="H14" i="2293" s="1"/>
  <c r="R33" i="2293"/>
  <c r="L23" i="2293" s="1"/>
  <c r="D23" i="2293" s="1"/>
  <c r="R32" i="2293"/>
  <c r="R31" i="2293"/>
  <c r="R30" i="2293"/>
  <c r="R29" i="2293"/>
  <c r="R28" i="2293"/>
  <c r="D28" i="2293"/>
  <c r="R27" i="2293"/>
  <c r="D27" i="2293"/>
  <c r="R26" i="2293"/>
  <c r="L26" i="2293"/>
  <c r="D26" i="2293"/>
  <c r="R25" i="2293"/>
  <c r="L25" i="2293"/>
  <c r="D25" i="2293"/>
  <c r="R24" i="2293"/>
  <c r="D24" i="2293"/>
  <c r="R23" i="2293"/>
  <c r="R22" i="2293"/>
  <c r="L22" i="2293"/>
  <c r="D22" i="2293"/>
  <c r="R21" i="2293"/>
  <c r="D21" i="2293"/>
  <c r="R20" i="2293"/>
  <c r="L20" i="2293"/>
  <c r="D20" i="2293"/>
  <c r="R19" i="2293"/>
  <c r="L19" i="2293"/>
  <c r="D19" i="2293"/>
  <c r="R18" i="2293"/>
  <c r="D18" i="2293"/>
  <c r="R17" i="2293"/>
  <c r="D17" i="2293"/>
  <c r="R16" i="2293"/>
  <c r="L16" i="2293"/>
  <c r="D16" i="2293" s="1"/>
  <c r="S15" i="2293"/>
  <c r="R15" i="2293"/>
  <c r="D15" i="2293"/>
  <c r="S14" i="2293"/>
  <c r="R14" i="2293"/>
  <c r="D14" i="2293"/>
  <c r="R13" i="2293"/>
  <c r="D13" i="2293"/>
  <c r="R12" i="2293"/>
  <c r="R11" i="2293"/>
  <c r="L11" i="2293"/>
  <c r="D11" i="2293"/>
  <c r="L9" i="2293"/>
  <c r="D9" i="2293"/>
  <c r="L8" i="2293"/>
  <c r="D8" i="2293"/>
  <c r="R6" i="2293"/>
  <c r="R5" i="2293"/>
  <c r="R4" i="2293"/>
  <c r="D54" i="2295" l="1"/>
  <c r="H14" i="2295" s="1"/>
  <c r="G49" i="2295"/>
  <c r="D54" i="2294"/>
  <c r="H14" i="2294" s="1"/>
  <c r="D29" i="2294"/>
  <c r="H13" i="2294" s="1"/>
  <c r="D29" i="2312"/>
  <c r="H13" i="2312" s="1"/>
  <c r="H15" i="2312" s="1"/>
  <c r="H29" i="2312" s="1"/>
  <c r="F51" i="2312" s="1"/>
  <c r="G51" i="2312"/>
  <c r="G51" i="2311"/>
  <c r="D29" i="2311"/>
  <c r="H13" i="2311" s="1"/>
  <c r="H15" i="2311" s="1"/>
  <c r="H29" i="2311" s="1"/>
  <c r="F51" i="2311" s="1"/>
  <c r="D29" i="2310"/>
  <c r="H13" i="2310" s="1"/>
  <c r="H15" i="2310" s="1"/>
  <c r="H29" i="2310" s="1"/>
  <c r="F51" i="2310" s="1"/>
  <c r="D29" i="2309"/>
  <c r="H13" i="2309" s="1"/>
  <c r="H15" i="2309" s="1"/>
  <c r="H29" i="2309" s="1"/>
  <c r="G51" i="2309"/>
  <c r="D29" i="2308"/>
  <c r="H13" i="2308" s="1"/>
  <c r="H15" i="2308" s="1"/>
  <c r="H29" i="2308" s="1"/>
  <c r="F51" i="2308" s="1"/>
  <c r="G51" i="2308"/>
  <c r="D29" i="2307"/>
  <c r="H13" i="2307" s="1"/>
  <c r="H15" i="2307" s="1"/>
  <c r="H29" i="2307" s="1"/>
  <c r="F51" i="2307" s="1"/>
  <c r="G51" i="2306"/>
  <c r="D29" i="2305"/>
  <c r="H13" i="2305" s="1"/>
  <c r="H15" i="2305" s="1"/>
  <c r="H29" i="2305" s="1"/>
  <c r="G51" i="2305"/>
  <c r="D29" i="2304"/>
  <c r="H13" i="2304" s="1"/>
  <c r="H15" i="2304" s="1"/>
  <c r="H29" i="2304" s="1"/>
  <c r="F51" i="2304" s="1"/>
  <c r="G51" i="2304"/>
  <c r="D29" i="2303"/>
  <c r="H13" i="2303" s="1"/>
  <c r="H15" i="2303" s="1"/>
  <c r="H29" i="2303" s="1"/>
  <c r="F51" i="2303" s="1"/>
  <c r="D29" i="2302"/>
  <c r="H13" i="2302" s="1"/>
  <c r="H15" i="2302" s="1"/>
  <c r="H29" i="2302" s="1"/>
  <c r="F51" i="2302" s="1"/>
  <c r="D29" i="2301"/>
  <c r="H13" i="2301" s="1"/>
  <c r="H15" i="2301" s="1"/>
  <c r="H29" i="2301" s="1"/>
  <c r="G51" i="2301" s="1"/>
  <c r="D29" i="2300"/>
  <c r="H13" i="2300" s="1"/>
  <c r="H15" i="2300" s="1"/>
  <c r="H29" i="2300" s="1"/>
  <c r="F51" i="2300" s="1"/>
  <c r="D29" i="2299"/>
  <c r="H13" i="2299" s="1"/>
  <c r="H15" i="2299" s="1"/>
  <c r="H29" i="2299" s="1"/>
  <c r="F51" i="2299" s="1"/>
  <c r="D29" i="2298"/>
  <c r="H13" i="2298" s="1"/>
  <c r="H15" i="2298" s="1"/>
  <c r="H29" i="2298" s="1"/>
  <c r="F51" i="2298" s="1"/>
  <c r="D29" i="2297"/>
  <c r="H13" i="2297" s="1"/>
  <c r="H15" i="2297" s="1"/>
  <c r="H29" i="2297" s="1"/>
  <c r="G51" i="2297"/>
  <c r="G49" i="2296"/>
  <c r="D54" i="2296"/>
  <c r="H14" i="2296" s="1"/>
  <c r="G49" i="2294"/>
  <c r="D29" i="2296"/>
  <c r="H13" i="2296" s="1"/>
  <c r="D29" i="2295"/>
  <c r="H13" i="2295" s="1"/>
  <c r="H15" i="2295" s="1"/>
  <c r="H29" i="2295" s="1"/>
  <c r="D29" i="2293"/>
  <c r="H13" i="2293" s="1"/>
  <c r="H15" i="2293" s="1"/>
  <c r="H29" i="2293" s="1"/>
  <c r="G51" i="2293" s="1"/>
  <c r="C12" i="2292"/>
  <c r="H15" i="2296" l="1"/>
  <c r="H29" i="2296" s="1"/>
  <c r="F51" i="2296" s="1"/>
  <c r="G51" i="2295"/>
  <c r="F51" i="2295"/>
  <c r="H15" i="2294"/>
  <c r="H29" i="2294" s="1"/>
  <c r="F51" i="2294" s="1"/>
  <c r="G51" i="2310"/>
  <c r="G51" i="2307"/>
  <c r="G51" i="2303"/>
  <c r="G51" i="2302"/>
  <c r="G51" i="2300"/>
  <c r="G51" i="2299"/>
  <c r="G51" i="2298"/>
  <c r="C19" i="2288"/>
  <c r="G51" i="2296" l="1"/>
  <c r="C12" i="2282"/>
  <c r="L14" i="2278" l="1"/>
  <c r="C12" i="2280"/>
  <c r="L14" i="2274" l="1"/>
  <c r="L21" i="2274"/>
  <c r="L14" i="2270" l="1"/>
  <c r="C12" i="2271"/>
  <c r="R52" i="2292" l="1"/>
  <c r="R51" i="2292"/>
  <c r="D50" i="2292"/>
  <c r="R49" i="2292"/>
  <c r="D49" i="2292"/>
  <c r="R48" i="2292"/>
  <c r="D48" i="2292"/>
  <c r="D46" i="2292"/>
  <c r="D45" i="2292"/>
  <c r="R44" i="2292"/>
  <c r="D44" i="2292"/>
  <c r="R42" i="2292"/>
  <c r="L6" i="2292" s="1"/>
  <c r="D6" i="2292" s="1"/>
  <c r="D42" i="2292"/>
  <c r="R41" i="2292"/>
  <c r="D41" i="2292"/>
  <c r="R40" i="2292"/>
  <c r="D40" i="2292"/>
  <c r="R39" i="2292"/>
  <c r="H39" i="2292"/>
  <c r="D39" i="2292"/>
  <c r="R38" i="2292"/>
  <c r="L9" i="2292" s="1"/>
  <c r="D9" i="2292" s="1"/>
  <c r="H38" i="2292"/>
  <c r="D38" i="2292"/>
  <c r="R37" i="2292"/>
  <c r="H37" i="2292"/>
  <c r="D37" i="2292"/>
  <c r="R36" i="2292"/>
  <c r="L10" i="2292" s="1"/>
  <c r="D10" i="2292" s="1"/>
  <c r="H36" i="2292"/>
  <c r="D36" i="2292"/>
  <c r="R35" i="2292"/>
  <c r="H35" i="2292"/>
  <c r="D35" i="2292"/>
  <c r="R34" i="2292"/>
  <c r="H34" i="2292"/>
  <c r="D34" i="2292"/>
  <c r="R33" i="2292"/>
  <c r="R32" i="2292"/>
  <c r="L11" i="2292" s="1"/>
  <c r="D11" i="2292" s="1"/>
  <c r="R31" i="2292"/>
  <c r="R30" i="2292"/>
  <c r="R29" i="2292"/>
  <c r="R28" i="2292"/>
  <c r="L28" i="2292"/>
  <c r="D28" i="2292" s="1"/>
  <c r="R27" i="2292"/>
  <c r="L27" i="2292"/>
  <c r="D27" i="2292"/>
  <c r="R26" i="2292"/>
  <c r="L26" i="2292"/>
  <c r="D26" i="2292" s="1"/>
  <c r="R25" i="2292"/>
  <c r="L25" i="2292"/>
  <c r="D25" i="2292" s="1"/>
  <c r="R24" i="2292"/>
  <c r="L24" i="2292"/>
  <c r="D24" i="2292" s="1"/>
  <c r="R23" i="2292"/>
  <c r="L23" i="2292"/>
  <c r="D23" i="2292"/>
  <c r="R22" i="2292"/>
  <c r="L20" i="2292" s="1"/>
  <c r="D20" i="2292" s="1"/>
  <c r="L22" i="2292"/>
  <c r="D22" i="2292" s="1"/>
  <c r="R21" i="2292"/>
  <c r="L21" i="2292"/>
  <c r="D21" i="2292"/>
  <c r="R20" i="2292"/>
  <c r="R19" i="2292"/>
  <c r="L19" i="2292"/>
  <c r="D19" i="2292"/>
  <c r="R18" i="2292"/>
  <c r="L18" i="2292"/>
  <c r="D18" i="2292" s="1"/>
  <c r="R17" i="2292"/>
  <c r="L17" i="2292"/>
  <c r="D17" i="2292" s="1"/>
  <c r="R16" i="2292"/>
  <c r="R15" i="2292"/>
  <c r="R14" i="2292"/>
  <c r="D14" i="2292"/>
  <c r="R13" i="2292"/>
  <c r="D13" i="2292"/>
  <c r="R12" i="2292"/>
  <c r="L12" i="2292"/>
  <c r="D12" i="2292" s="1"/>
  <c r="R11" i="2292"/>
  <c r="L8" i="2292"/>
  <c r="D8" i="2292"/>
  <c r="L7" i="2292"/>
  <c r="D7" i="2292" s="1"/>
  <c r="R6" i="2292"/>
  <c r="L16" i="2292" s="1"/>
  <c r="D16" i="2292" s="1"/>
  <c r="R5" i="2292"/>
  <c r="R4" i="2292"/>
  <c r="L15" i="2292" s="1"/>
  <c r="D15" i="2292" s="1"/>
  <c r="R52" i="2291"/>
  <c r="R51" i="2291"/>
  <c r="D50" i="2291"/>
  <c r="R49" i="2291"/>
  <c r="D49" i="2291"/>
  <c r="R48" i="2291"/>
  <c r="D48" i="2291"/>
  <c r="D46" i="2291"/>
  <c r="D45" i="2291"/>
  <c r="R44" i="2291"/>
  <c r="D44" i="2291"/>
  <c r="R42" i="2291"/>
  <c r="L6" i="2291" s="1"/>
  <c r="D6" i="2291" s="1"/>
  <c r="D42" i="2291"/>
  <c r="R41" i="2291"/>
  <c r="L7" i="2291" s="1"/>
  <c r="D7" i="2291" s="1"/>
  <c r="D41" i="2291"/>
  <c r="R40" i="2291"/>
  <c r="L8" i="2291" s="1"/>
  <c r="D8" i="2291" s="1"/>
  <c r="D40" i="2291"/>
  <c r="R39" i="2291"/>
  <c r="H39" i="2291"/>
  <c r="D39" i="2291"/>
  <c r="R38" i="2291"/>
  <c r="H38" i="2291"/>
  <c r="D38" i="2291"/>
  <c r="R37" i="2291"/>
  <c r="H37" i="2291"/>
  <c r="D37" i="2291"/>
  <c r="R36" i="2291"/>
  <c r="L10" i="2291" s="1"/>
  <c r="D10" i="2291" s="1"/>
  <c r="H36" i="2291"/>
  <c r="G49" i="2291" s="1"/>
  <c r="D36" i="2291"/>
  <c r="R35" i="2291"/>
  <c r="H35" i="2291"/>
  <c r="D35" i="2291"/>
  <c r="R34" i="2291"/>
  <c r="L12" i="2291" s="1"/>
  <c r="D12" i="2291" s="1"/>
  <c r="H34" i="2291"/>
  <c r="D34" i="2291"/>
  <c r="D54" i="2291" s="1"/>
  <c r="H14" i="2291" s="1"/>
  <c r="R33" i="2291"/>
  <c r="L19" i="2291" s="1"/>
  <c r="D19" i="2291" s="1"/>
  <c r="R32" i="2291"/>
  <c r="R31" i="2291"/>
  <c r="R30" i="2291"/>
  <c r="R29" i="2291"/>
  <c r="R28" i="2291"/>
  <c r="L28" i="2291"/>
  <c r="D28" i="2291" s="1"/>
  <c r="R27" i="2291"/>
  <c r="L27" i="2291"/>
  <c r="D27" i="2291"/>
  <c r="R26" i="2291"/>
  <c r="L26" i="2291"/>
  <c r="D26" i="2291"/>
  <c r="R25" i="2291"/>
  <c r="L25" i="2291"/>
  <c r="D25" i="2291" s="1"/>
  <c r="R24" i="2291"/>
  <c r="L24" i="2291"/>
  <c r="D24" i="2291"/>
  <c r="R23" i="2291"/>
  <c r="L23" i="2291"/>
  <c r="D23" i="2291"/>
  <c r="R22" i="2291"/>
  <c r="L20" i="2291" s="1"/>
  <c r="D20" i="2291" s="1"/>
  <c r="L22" i="2291"/>
  <c r="D22" i="2291" s="1"/>
  <c r="R21" i="2291"/>
  <c r="D21" i="2291"/>
  <c r="R20" i="2291"/>
  <c r="R19" i="2291"/>
  <c r="R18" i="2291"/>
  <c r="L18" i="2291"/>
  <c r="D18" i="2291" s="1"/>
  <c r="R17" i="2291"/>
  <c r="L17" i="2291"/>
  <c r="D17" i="2291" s="1"/>
  <c r="R16" i="2291"/>
  <c r="R15" i="2291"/>
  <c r="R14" i="2291"/>
  <c r="L14" i="2291"/>
  <c r="D14" i="2291"/>
  <c r="R13" i="2291"/>
  <c r="D13" i="2291"/>
  <c r="R12" i="2291"/>
  <c r="R11" i="2291"/>
  <c r="L11" i="2291"/>
  <c r="D11" i="2291"/>
  <c r="L9" i="2291"/>
  <c r="D9" i="2291" s="1"/>
  <c r="R6" i="2291"/>
  <c r="L16" i="2291" s="1"/>
  <c r="D16" i="2291" s="1"/>
  <c r="R5" i="2291"/>
  <c r="R4" i="2291"/>
  <c r="L15" i="2291" s="1"/>
  <c r="D15" i="2291" s="1"/>
  <c r="V68" i="2290"/>
  <c r="R52" i="2290"/>
  <c r="R51" i="2290"/>
  <c r="D50" i="2290"/>
  <c r="R49" i="2290"/>
  <c r="D49" i="2290"/>
  <c r="R48" i="2290"/>
  <c r="D48" i="2290"/>
  <c r="D46" i="2290"/>
  <c r="D45" i="2290"/>
  <c r="R44" i="2290"/>
  <c r="L28" i="2290" s="1"/>
  <c r="D28" i="2290" s="1"/>
  <c r="D44" i="2290"/>
  <c r="R42" i="2290"/>
  <c r="D42" i="2290"/>
  <c r="R41" i="2290"/>
  <c r="L7" i="2290" s="1"/>
  <c r="D7" i="2290" s="1"/>
  <c r="D41" i="2290"/>
  <c r="R40" i="2290"/>
  <c r="D40" i="2290"/>
  <c r="R39" i="2290"/>
  <c r="H39" i="2290"/>
  <c r="D39" i="2290"/>
  <c r="R38" i="2290"/>
  <c r="L9" i="2290" s="1"/>
  <c r="D9" i="2290" s="1"/>
  <c r="H38" i="2290"/>
  <c r="D38" i="2290"/>
  <c r="R37" i="2290"/>
  <c r="H37" i="2290"/>
  <c r="D37" i="2290"/>
  <c r="R36" i="2290"/>
  <c r="L10" i="2290" s="1"/>
  <c r="D10" i="2290" s="1"/>
  <c r="H36" i="2290"/>
  <c r="D36" i="2290"/>
  <c r="R35" i="2290"/>
  <c r="H35" i="2290"/>
  <c r="D35" i="2290"/>
  <c r="R34" i="2290"/>
  <c r="L12" i="2290" s="1"/>
  <c r="D12" i="2290" s="1"/>
  <c r="H34" i="2290"/>
  <c r="D34" i="2290"/>
  <c r="D54" i="2290" s="1"/>
  <c r="H14" i="2290" s="1"/>
  <c r="R33" i="2290"/>
  <c r="R32" i="2290"/>
  <c r="L11" i="2290" s="1"/>
  <c r="D11" i="2290" s="1"/>
  <c r="R31" i="2290"/>
  <c r="R30" i="2290"/>
  <c r="R29" i="2290"/>
  <c r="R28" i="2290"/>
  <c r="R27" i="2290"/>
  <c r="L27" i="2290"/>
  <c r="D27" i="2290"/>
  <c r="R26" i="2290"/>
  <c r="L26" i="2290"/>
  <c r="D26" i="2290"/>
  <c r="R25" i="2290"/>
  <c r="L25" i="2290"/>
  <c r="D25" i="2290" s="1"/>
  <c r="R24" i="2290"/>
  <c r="L24" i="2290"/>
  <c r="D24" i="2290"/>
  <c r="R23" i="2290"/>
  <c r="L23" i="2290"/>
  <c r="D23" i="2290" s="1"/>
  <c r="R22" i="2290"/>
  <c r="L22" i="2290"/>
  <c r="D22" i="2290" s="1"/>
  <c r="R21" i="2290"/>
  <c r="L17" i="2290" s="1"/>
  <c r="D17" i="2290" s="1"/>
  <c r="L21" i="2290"/>
  <c r="D21" i="2290" s="1"/>
  <c r="R20" i="2290"/>
  <c r="L20" i="2290"/>
  <c r="D20" i="2290"/>
  <c r="R19" i="2290"/>
  <c r="L19" i="2290"/>
  <c r="D19" i="2290" s="1"/>
  <c r="R18" i="2290"/>
  <c r="L18" i="2290"/>
  <c r="D18" i="2290"/>
  <c r="R17" i="2290"/>
  <c r="R16" i="2290"/>
  <c r="R15" i="2290"/>
  <c r="R14" i="2290"/>
  <c r="D14" i="2290"/>
  <c r="R13" i="2290"/>
  <c r="D13" i="2290"/>
  <c r="R12" i="2290"/>
  <c r="R11" i="2290"/>
  <c r="L8" i="2290"/>
  <c r="D8" i="2290"/>
  <c r="R6" i="2290"/>
  <c r="L16" i="2290" s="1"/>
  <c r="D16" i="2290" s="1"/>
  <c r="L6" i="2290"/>
  <c r="D6" i="2290" s="1"/>
  <c r="R5" i="2290"/>
  <c r="R4" i="2290"/>
  <c r="L15" i="2290" s="1"/>
  <c r="D15" i="2290" s="1"/>
  <c r="R52" i="2289"/>
  <c r="R51" i="2289"/>
  <c r="D50" i="2289"/>
  <c r="R49" i="2289"/>
  <c r="G49" i="2289"/>
  <c r="D49" i="2289"/>
  <c r="R48" i="2289"/>
  <c r="D48" i="2289"/>
  <c r="D46" i="2289"/>
  <c r="D45" i="2289"/>
  <c r="D44" i="2289"/>
  <c r="R42" i="2289"/>
  <c r="L6" i="2289" s="1"/>
  <c r="D6" i="2289" s="1"/>
  <c r="D42" i="2289"/>
  <c r="R41" i="2289"/>
  <c r="L7" i="2289" s="1"/>
  <c r="D7" i="2289" s="1"/>
  <c r="D41" i="2289"/>
  <c r="R40" i="2289"/>
  <c r="D40" i="2289"/>
  <c r="R39" i="2289"/>
  <c r="D39" i="2289"/>
  <c r="R38" i="2289"/>
  <c r="D38" i="2289"/>
  <c r="R37" i="2289"/>
  <c r="D37" i="2289"/>
  <c r="R36" i="2289"/>
  <c r="D36" i="2289"/>
  <c r="R35" i="2289"/>
  <c r="D35" i="2289"/>
  <c r="R34" i="2289"/>
  <c r="L12" i="2289" s="1"/>
  <c r="D12" i="2289" s="1"/>
  <c r="D34" i="2289"/>
  <c r="D54" i="2289" s="1"/>
  <c r="H14" i="2289" s="1"/>
  <c r="R33" i="2289"/>
  <c r="L23" i="2289" s="1"/>
  <c r="D23" i="2289" s="1"/>
  <c r="R32" i="2289"/>
  <c r="L11" i="2289" s="1"/>
  <c r="D11" i="2289" s="1"/>
  <c r="R31" i="2289"/>
  <c r="R30" i="2289"/>
  <c r="R29" i="2289"/>
  <c r="R28" i="2289"/>
  <c r="L16" i="2289" s="1"/>
  <c r="D16" i="2289" s="1"/>
  <c r="D28" i="2289"/>
  <c r="R27" i="2289"/>
  <c r="D27" i="2289"/>
  <c r="R26" i="2289"/>
  <c r="L26" i="2289"/>
  <c r="D26" i="2289"/>
  <c r="R25" i="2289"/>
  <c r="L25" i="2289"/>
  <c r="D25" i="2289"/>
  <c r="R24" i="2289"/>
  <c r="D24" i="2289"/>
  <c r="R23" i="2289"/>
  <c r="R22" i="2289"/>
  <c r="L22" i="2289"/>
  <c r="D22" i="2289"/>
  <c r="R21" i="2289"/>
  <c r="D21" i="2289"/>
  <c r="R20" i="2289"/>
  <c r="L20" i="2289"/>
  <c r="D20" i="2289"/>
  <c r="R19" i="2289"/>
  <c r="L19" i="2289"/>
  <c r="D19" i="2289"/>
  <c r="R18" i="2289"/>
  <c r="D18" i="2289"/>
  <c r="R17" i="2289"/>
  <c r="D17" i="2289"/>
  <c r="R16" i="2289"/>
  <c r="S15" i="2289"/>
  <c r="R15" i="2289"/>
  <c r="D15" i="2289"/>
  <c r="S14" i="2289"/>
  <c r="R14" i="2289"/>
  <c r="D14" i="2289"/>
  <c r="R13" i="2289"/>
  <c r="D13" i="2289"/>
  <c r="R12" i="2289"/>
  <c r="R11" i="2289"/>
  <c r="L10" i="2289"/>
  <c r="D10" i="2289" s="1"/>
  <c r="L9" i="2289"/>
  <c r="D9" i="2289" s="1"/>
  <c r="L8" i="2289"/>
  <c r="D8" i="2289"/>
  <c r="R6" i="2289"/>
  <c r="R5" i="2289"/>
  <c r="R4" i="2289"/>
  <c r="R52" i="2288"/>
  <c r="R51" i="2288"/>
  <c r="D50" i="2288"/>
  <c r="R49" i="2288"/>
  <c r="D49" i="2288"/>
  <c r="R48" i="2288"/>
  <c r="D48" i="2288"/>
  <c r="D46" i="2288"/>
  <c r="D45" i="2288"/>
  <c r="R44" i="2288"/>
  <c r="D44" i="2288"/>
  <c r="R42" i="2288"/>
  <c r="L6" i="2288" s="1"/>
  <c r="D6" i="2288" s="1"/>
  <c r="D42" i="2288"/>
  <c r="R41" i="2288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R35" i="2288"/>
  <c r="L18" i="2288" s="1"/>
  <c r="D18" i="2288" s="1"/>
  <c r="H35" i="2288"/>
  <c r="D35" i="2288"/>
  <c r="R34" i="2288"/>
  <c r="L12" i="2288" s="1"/>
  <c r="D12" i="2288" s="1"/>
  <c r="H34" i="2288"/>
  <c r="D34" i="2288"/>
  <c r="R33" i="2288"/>
  <c r="L19" i="2288" s="1"/>
  <c r="D19" i="2288" s="1"/>
  <c r="R32" i="2288"/>
  <c r="R31" i="2288"/>
  <c r="R30" i="2288"/>
  <c r="R29" i="2288"/>
  <c r="R28" i="2288"/>
  <c r="L28" i="2288"/>
  <c r="D28" i="2288" s="1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 s="1"/>
  <c r="R23" i="2288"/>
  <c r="L23" i="2288"/>
  <c r="D23" i="2288"/>
  <c r="R22" i="2288"/>
  <c r="L22" i="2288"/>
  <c r="D22" i="2288"/>
  <c r="R21" i="2288"/>
  <c r="L17" i="2288" s="1"/>
  <c r="D17" i="2288" s="1"/>
  <c r="L21" i="2288"/>
  <c r="D21" i="2288"/>
  <c r="R20" i="2288"/>
  <c r="L20" i="2288"/>
  <c r="D20" i="2288" s="1"/>
  <c r="R19" i="2288"/>
  <c r="R18" i="2288"/>
  <c r="R17" i="2288"/>
  <c r="R16" i="2288"/>
  <c r="L16" i="2288"/>
  <c r="D16" i="2288"/>
  <c r="R15" i="2288"/>
  <c r="L15" i="2288"/>
  <c r="D15" i="2288" s="1"/>
  <c r="R14" i="2288"/>
  <c r="D14" i="2288"/>
  <c r="R13" i="2288"/>
  <c r="D13" i="2288"/>
  <c r="R12" i="2288"/>
  <c r="R11" i="2288"/>
  <c r="L11" i="2288"/>
  <c r="D11" i="2288"/>
  <c r="L9" i="2288"/>
  <c r="D9" i="2288" s="1"/>
  <c r="L8" i="2288"/>
  <c r="D8" i="2288" s="1"/>
  <c r="L7" i="2288"/>
  <c r="D7" i="2288" s="1"/>
  <c r="R6" i="2288"/>
  <c r="R5" i="2288"/>
  <c r="R4" i="2288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L9" i="2287" s="1"/>
  <c r="D9" i="2287" s="1"/>
  <c r="H38" i="2287"/>
  <c r="D38" i="2287"/>
  <c r="R37" i="2287"/>
  <c r="H37" i="2287"/>
  <c r="D37" i="2287"/>
  <c r="R36" i="2287"/>
  <c r="L10" i="2287" s="1"/>
  <c r="D10" i="2287" s="1"/>
  <c r="H36" i="2287"/>
  <c r="D36" i="2287"/>
  <c r="R35" i="2287"/>
  <c r="H35" i="2287"/>
  <c r="D35" i="2287"/>
  <c r="R34" i="2287"/>
  <c r="H34" i="2287"/>
  <c r="G49" i="2287" s="1"/>
  <c r="D34" i="2287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 s="1"/>
  <c r="R25" i="2287"/>
  <c r="L25" i="2287"/>
  <c r="D25" i="2287" s="1"/>
  <c r="R24" i="2287"/>
  <c r="L24" i="2287"/>
  <c r="D24" i="2287"/>
  <c r="R23" i="2287"/>
  <c r="L23" i="2287"/>
  <c r="D23" i="2287"/>
  <c r="R22" i="2287"/>
  <c r="L20" i="2287" s="1"/>
  <c r="D20" i="2287" s="1"/>
  <c r="L22" i="2287"/>
  <c r="D22" i="2287" s="1"/>
  <c r="R21" i="2287"/>
  <c r="L17" i="2287" s="1"/>
  <c r="D17" i="2287" s="1"/>
  <c r="D21" i="2287"/>
  <c r="R20" i="2287"/>
  <c r="R19" i="2287"/>
  <c r="L19" i="2287"/>
  <c r="D19" i="2287"/>
  <c r="R18" i="2287"/>
  <c r="L18" i="2287"/>
  <c r="D18" i="2287" s="1"/>
  <c r="R17" i="2287"/>
  <c r="R16" i="2287"/>
  <c r="R15" i="2287"/>
  <c r="R14" i="2287"/>
  <c r="L14" i="2287"/>
  <c r="D14" i="2287"/>
  <c r="R13" i="2287"/>
  <c r="D13" i="2287"/>
  <c r="R12" i="2287"/>
  <c r="L12" i="2287"/>
  <c r="D12" i="2287" s="1"/>
  <c r="R11" i="2287"/>
  <c r="L11" i="2287"/>
  <c r="D11" i="2287"/>
  <c r="L7" i="2287"/>
  <c r="D7" i="2287"/>
  <c r="R6" i="2287"/>
  <c r="L16" i="2287" s="1"/>
  <c r="D16" i="2287" s="1"/>
  <c r="R5" i="2287"/>
  <c r="R4" i="2287"/>
  <c r="L15" i="2287" s="1"/>
  <c r="D15" i="2287" s="1"/>
  <c r="V68" i="2286"/>
  <c r="R52" i="2286"/>
  <c r="R51" i="2286"/>
  <c r="D50" i="2286"/>
  <c r="R49" i="2286"/>
  <c r="D49" i="2286"/>
  <c r="R48" i="2286"/>
  <c r="D48" i="2286"/>
  <c r="D46" i="2286"/>
  <c r="D45" i="2286"/>
  <c r="R44" i="2286"/>
  <c r="L28" i="2286" s="1"/>
  <c r="D28" i="2286" s="1"/>
  <c r="D44" i="2286"/>
  <c r="R42" i="2286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R34" i="2286"/>
  <c r="H34" i="2286"/>
  <c r="D34" i="2286"/>
  <c r="R33" i="2286"/>
  <c r="R32" i="2286"/>
  <c r="R31" i="2286"/>
  <c r="R30" i="2286"/>
  <c r="R29" i="2286"/>
  <c r="R28" i="2286"/>
  <c r="R27" i="2286"/>
  <c r="L27" i="2286"/>
  <c r="D27" i="2286"/>
  <c r="R26" i="2286"/>
  <c r="L26" i="2286"/>
  <c r="D26" i="2286"/>
  <c r="R25" i="2286"/>
  <c r="L25" i="2286"/>
  <c r="D25" i="2286" s="1"/>
  <c r="R24" i="2286"/>
  <c r="L24" i="2286"/>
  <c r="D24" i="2286" s="1"/>
  <c r="R23" i="2286"/>
  <c r="L23" i="2286"/>
  <c r="D23" i="2286" s="1"/>
  <c r="R22" i="2286"/>
  <c r="L20" i="2286" s="1"/>
  <c r="D20" i="2286" s="1"/>
  <c r="L22" i="2286"/>
  <c r="D22" i="2286"/>
  <c r="R21" i="2286"/>
  <c r="L17" i="2286" s="1"/>
  <c r="D17" i="2286" s="1"/>
  <c r="L21" i="2286"/>
  <c r="D21" i="2286"/>
  <c r="R20" i="2286"/>
  <c r="R19" i="2286"/>
  <c r="L19" i="2286"/>
  <c r="D19" i="2286"/>
  <c r="R18" i="2286"/>
  <c r="L18" i="2286"/>
  <c r="D18" i="2286"/>
  <c r="R17" i="2286"/>
  <c r="R16" i="2286"/>
  <c r="L16" i="2286"/>
  <c r="D16" i="2286" s="1"/>
  <c r="R15" i="2286"/>
  <c r="L15" i="2286"/>
  <c r="D15" i="2286" s="1"/>
  <c r="R14" i="2286"/>
  <c r="D14" i="2286"/>
  <c r="R13" i="2286"/>
  <c r="D13" i="2286"/>
  <c r="R12" i="2286"/>
  <c r="L12" i="2286"/>
  <c r="D12" i="2286" s="1"/>
  <c r="R11" i="2286"/>
  <c r="L11" i="2286"/>
  <c r="D11" i="2286" s="1"/>
  <c r="L9" i="2286"/>
  <c r="D9" i="2286"/>
  <c r="L7" i="2286"/>
  <c r="D7" i="2286" s="1"/>
  <c r="R6" i="2286"/>
  <c r="L6" i="2286"/>
  <c r="D6" i="2286" s="1"/>
  <c r="R5" i="2286"/>
  <c r="R4" i="2286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L9" i="2285" s="1"/>
  <c r="D9" i="2285" s="1"/>
  <c r="D38" i="2285"/>
  <c r="R37" i="2285"/>
  <c r="D37" i="2285"/>
  <c r="R36" i="2285"/>
  <c r="L10" i="2285" s="1"/>
  <c r="D10" i="2285" s="1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R31" i="2285"/>
  <c r="R30" i="2285"/>
  <c r="R29" i="2285"/>
  <c r="R28" i="2285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L16" i="2285"/>
  <c r="D16" i="2285" s="1"/>
  <c r="S15" i="2285"/>
  <c r="R15" i="2285"/>
  <c r="D15" i="2285"/>
  <c r="S14" i="2285"/>
  <c r="R14" i="2285"/>
  <c r="D14" i="2285"/>
  <c r="R13" i="2285"/>
  <c r="D13" i="2285"/>
  <c r="R12" i="2285"/>
  <c r="R11" i="2285"/>
  <c r="L11" i="2285"/>
  <c r="D11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D44" i="2284"/>
  <c r="R42" i="2284"/>
  <c r="L6" i="2284" s="1"/>
  <c r="D6" i="2284" s="1"/>
  <c r="D42" i="2284"/>
  <c r="R41" i="2284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H35" i="2284"/>
  <c r="G49" i="2284" s="1"/>
  <c r="D35" i="2284"/>
  <c r="R34" i="2284"/>
  <c r="L12" i="2284" s="1"/>
  <c r="D12" i="2284" s="1"/>
  <c r="H34" i="2284"/>
  <c r="D34" i="2284"/>
  <c r="R33" i="2284"/>
  <c r="R32" i="2284"/>
  <c r="R31" i="2284"/>
  <c r="R30" i="2284"/>
  <c r="R29" i="2284"/>
  <c r="R28" i="2284"/>
  <c r="L28" i="2284"/>
  <c r="D28" i="2284" s="1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/>
  <c r="R22" i="2284"/>
  <c r="L22" i="2284"/>
  <c r="D22" i="2284"/>
  <c r="R21" i="2284"/>
  <c r="L17" i="2284" s="1"/>
  <c r="D17" i="2284" s="1"/>
  <c r="D21" i="2284"/>
  <c r="R20" i="2284"/>
  <c r="L20" i="2284"/>
  <c r="D20" i="2284"/>
  <c r="R19" i="2284"/>
  <c r="L19" i="2284"/>
  <c r="D19" i="2284"/>
  <c r="R18" i="2284"/>
  <c r="L18" i="2284"/>
  <c r="D18" i="2284" s="1"/>
  <c r="R17" i="2284"/>
  <c r="R16" i="2284"/>
  <c r="L16" i="2284"/>
  <c r="D16" i="2284" s="1"/>
  <c r="R15" i="2284"/>
  <c r="L15" i="2284"/>
  <c r="D15" i="2284" s="1"/>
  <c r="R14" i="2284"/>
  <c r="D14" i="2284"/>
  <c r="R13" i="2284"/>
  <c r="D13" i="2284"/>
  <c r="R12" i="2284"/>
  <c r="R11" i="2284"/>
  <c r="L11" i="2284"/>
  <c r="D11" i="2284" s="1"/>
  <c r="L9" i="2284"/>
  <c r="D9" i="2284"/>
  <c r="L7" i="2284"/>
  <c r="D7" i="2284" s="1"/>
  <c r="R6" i="2284"/>
  <c r="R5" i="2284"/>
  <c r="R4" i="2284"/>
  <c r="R52" i="2283"/>
  <c r="R51" i="2283"/>
  <c r="D50" i="2283"/>
  <c r="R49" i="2283"/>
  <c r="D49" i="2283"/>
  <c r="R48" i="2283"/>
  <c r="D48" i="2283"/>
  <c r="D46" i="2283"/>
  <c r="D45" i="2283"/>
  <c r="R44" i="2283"/>
  <c r="L28" i="2283" s="1"/>
  <c r="D28" i="2283" s="1"/>
  <c r="D44" i="2283"/>
  <c r="R42" i="2283"/>
  <c r="L6" i="2283" s="1"/>
  <c r="D6" i="2283" s="1"/>
  <c r="D42" i="2283"/>
  <c r="R41" i="2283"/>
  <c r="D41" i="2283"/>
  <c r="R40" i="2283"/>
  <c r="D40" i="2283"/>
  <c r="R39" i="2283"/>
  <c r="H39" i="2283"/>
  <c r="D39" i="2283"/>
  <c r="R38" i="2283"/>
  <c r="L9" i="2283" s="1"/>
  <c r="D9" i="2283" s="1"/>
  <c r="H38" i="2283"/>
  <c r="D38" i="2283"/>
  <c r="R37" i="2283"/>
  <c r="H37" i="2283"/>
  <c r="D37" i="2283"/>
  <c r="R36" i="2283"/>
  <c r="L10" i="2283" s="1"/>
  <c r="D10" i="2283" s="1"/>
  <c r="H36" i="2283"/>
  <c r="D36" i="2283"/>
  <c r="R35" i="2283"/>
  <c r="H35" i="2283"/>
  <c r="D35" i="2283"/>
  <c r="R34" i="2283"/>
  <c r="L12" i="2283" s="1"/>
  <c r="D12" i="2283" s="1"/>
  <c r="H34" i="2283"/>
  <c r="D34" i="2283"/>
  <c r="R33" i="2283"/>
  <c r="R32" i="2283"/>
  <c r="L11" i="2283" s="1"/>
  <c r="D11" i="2283" s="1"/>
  <c r="R31" i="2283"/>
  <c r="R30" i="2283"/>
  <c r="R29" i="2283"/>
  <c r="R28" i="2283"/>
  <c r="R27" i="2283"/>
  <c r="L27" i="2283"/>
  <c r="D27" i="2283" s="1"/>
  <c r="R26" i="2283"/>
  <c r="L26" i="2283"/>
  <c r="D26" i="2283" s="1"/>
  <c r="R25" i="2283"/>
  <c r="L25" i="2283"/>
  <c r="D25" i="2283"/>
  <c r="R24" i="2283"/>
  <c r="L24" i="2283"/>
  <c r="D24" i="2283"/>
  <c r="R23" i="2283"/>
  <c r="L23" i="2283"/>
  <c r="D23" i="2283"/>
  <c r="R22" i="2283"/>
  <c r="L22" i="2283"/>
  <c r="D22" i="2283"/>
  <c r="R21" i="2283"/>
  <c r="D21" i="2283"/>
  <c r="R20" i="2283"/>
  <c r="L20" i="2283"/>
  <c r="D20" i="2283" s="1"/>
  <c r="R19" i="2283"/>
  <c r="L19" i="2283"/>
  <c r="D19" i="2283" s="1"/>
  <c r="R18" i="2283"/>
  <c r="L18" i="2283"/>
  <c r="D18" i="2283"/>
  <c r="R17" i="2283"/>
  <c r="L17" i="2283"/>
  <c r="D17" i="2283" s="1"/>
  <c r="R16" i="2283"/>
  <c r="R15" i="2283"/>
  <c r="R14" i="2283"/>
  <c r="L14" i="2283"/>
  <c r="D14" i="2283" s="1"/>
  <c r="R13" i="2283"/>
  <c r="D13" i="2283"/>
  <c r="R12" i="2283"/>
  <c r="R11" i="2283"/>
  <c r="L8" i="2283"/>
  <c r="D8" i="2283" s="1"/>
  <c r="L7" i="2283"/>
  <c r="D7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L28" i="2282" s="1"/>
  <c r="D28" i="2282" s="1"/>
  <c r="D44" i="2282"/>
  <c r="R42" i="2282"/>
  <c r="D42" i="2282"/>
  <c r="R41" i="2282"/>
  <c r="D41" i="2282"/>
  <c r="R40" i="2282"/>
  <c r="D40" i="2282"/>
  <c r="R39" i="2282"/>
  <c r="H39" i="2282"/>
  <c r="D39" i="2282"/>
  <c r="R38" i="2282"/>
  <c r="H38" i="2282"/>
  <c r="D38" i="2282"/>
  <c r="R37" i="2282"/>
  <c r="H37" i="2282"/>
  <c r="D37" i="2282"/>
  <c r="R36" i="2282"/>
  <c r="L10" i="2282" s="1"/>
  <c r="D10" i="2282" s="1"/>
  <c r="H36" i="2282"/>
  <c r="D36" i="2282"/>
  <c r="R35" i="2282"/>
  <c r="H35" i="2282"/>
  <c r="D35" i="2282"/>
  <c r="R34" i="2282"/>
  <c r="L12" i="2282" s="1"/>
  <c r="D12" i="2282" s="1"/>
  <c r="H34" i="2282"/>
  <c r="D34" i="2282"/>
  <c r="R33" i="2282"/>
  <c r="L19" i="2282" s="1"/>
  <c r="D19" i="2282" s="1"/>
  <c r="R32" i="2282"/>
  <c r="L11" i="2282" s="1"/>
  <c r="D11" i="2282" s="1"/>
  <c r="R31" i="2282"/>
  <c r="R30" i="2282"/>
  <c r="R29" i="2282"/>
  <c r="R28" i="2282"/>
  <c r="R27" i="2282"/>
  <c r="L27" i="2282"/>
  <c r="D27" i="2282" s="1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 s="1"/>
  <c r="R22" i="2282"/>
  <c r="L22" i="2282"/>
  <c r="D22" i="2282" s="1"/>
  <c r="R21" i="2282"/>
  <c r="L17" i="2282" s="1"/>
  <c r="D17" i="2282" s="1"/>
  <c r="L21" i="2282"/>
  <c r="D21" i="2282"/>
  <c r="R20" i="2282"/>
  <c r="L20" i="2282"/>
  <c r="D20" i="2282" s="1"/>
  <c r="R19" i="2282"/>
  <c r="R18" i="2282"/>
  <c r="L18" i="2282"/>
  <c r="D18" i="2282"/>
  <c r="R17" i="2282"/>
  <c r="R16" i="2282"/>
  <c r="R15" i="2282"/>
  <c r="R14" i="2282"/>
  <c r="D14" i="2282"/>
  <c r="R13" i="2282"/>
  <c r="D13" i="2282"/>
  <c r="R12" i="2282"/>
  <c r="R11" i="2282"/>
  <c r="L9" i="2282"/>
  <c r="D9" i="2282" s="1"/>
  <c r="L8" i="2282"/>
  <c r="D8" i="2282" s="1"/>
  <c r="L7" i="2282"/>
  <c r="D7" i="2282"/>
  <c r="R6" i="2282"/>
  <c r="L16" i="2282" s="1"/>
  <c r="D16" i="2282" s="1"/>
  <c r="L6" i="2282"/>
  <c r="D6" i="2282" s="1"/>
  <c r="R5" i="2282"/>
  <c r="R4" i="2282"/>
  <c r="L15" i="2282" s="1"/>
  <c r="D15" i="2282" s="1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10" i="2281"/>
  <c r="D10" i="2281" s="1"/>
  <c r="L9" i="2281"/>
  <c r="D9" i="2281" s="1"/>
  <c r="L8" i="2281"/>
  <c r="D8" i="2281"/>
  <c r="R6" i="2281"/>
  <c r="R5" i="2281"/>
  <c r="R4" i="2281"/>
  <c r="R52" i="2280"/>
  <c r="R51" i="2280"/>
  <c r="D50" i="2280"/>
  <c r="R49" i="2280"/>
  <c r="D49" i="2280"/>
  <c r="R48" i="2280"/>
  <c r="D48" i="2280"/>
  <c r="D46" i="2280"/>
  <c r="D45" i="2280"/>
  <c r="R44" i="2280"/>
  <c r="L28" i="2280" s="1"/>
  <c r="D28" i="2280" s="1"/>
  <c r="D44" i="2280"/>
  <c r="R42" i="2280"/>
  <c r="L6" i="2280" s="1"/>
  <c r="D6" i="2280" s="1"/>
  <c r="D42" i="2280"/>
  <c r="R41" i="2280"/>
  <c r="D41" i="2280"/>
  <c r="R40" i="2280"/>
  <c r="D40" i="2280"/>
  <c r="R39" i="2280"/>
  <c r="H39" i="2280"/>
  <c r="D39" i="2280"/>
  <c r="R38" i="2280"/>
  <c r="L9" i="2280" s="1"/>
  <c r="D9" i="2280" s="1"/>
  <c r="H38" i="2280"/>
  <c r="D38" i="2280"/>
  <c r="R37" i="2280"/>
  <c r="H37" i="2280"/>
  <c r="D37" i="2280"/>
  <c r="R36" i="2280"/>
  <c r="L10" i="2280" s="1"/>
  <c r="D10" i="2280" s="1"/>
  <c r="H36" i="2280"/>
  <c r="D36" i="2280"/>
  <c r="R35" i="2280"/>
  <c r="H35" i="2280"/>
  <c r="D35" i="2280"/>
  <c r="R34" i="2280"/>
  <c r="H34" i="2280"/>
  <c r="D34" i="2280"/>
  <c r="R33" i="2280"/>
  <c r="R32" i="2280"/>
  <c r="L11" i="2280" s="1"/>
  <c r="D11" i="2280" s="1"/>
  <c r="R31" i="2280"/>
  <c r="R30" i="2280"/>
  <c r="R29" i="2280"/>
  <c r="R28" i="2280"/>
  <c r="R27" i="2280"/>
  <c r="L27" i="2280"/>
  <c r="D27" i="2280"/>
  <c r="R26" i="2280"/>
  <c r="L26" i="2280"/>
  <c r="D26" i="2280" s="1"/>
  <c r="R25" i="2280"/>
  <c r="L25" i="2280"/>
  <c r="D25" i="2280" s="1"/>
  <c r="R24" i="2280"/>
  <c r="L24" i="2280"/>
  <c r="D24" i="2280"/>
  <c r="R23" i="2280"/>
  <c r="L23" i="2280"/>
  <c r="D23" i="2280"/>
  <c r="R22" i="2280"/>
  <c r="L22" i="2280"/>
  <c r="D22" i="2280" s="1"/>
  <c r="R21" i="2280"/>
  <c r="L17" i="2280" s="1"/>
  <c r="D17" i="2280" s="1"/>
  <c r="L21" i="2280"/>
  <c r="D21" i="2280"/>
  <c r="R20" i="2280"/>
  <c r="L20" i="2280"/>
  <c r="D20" i="2280"/>
  <c r="R19" i="2280"/>
  <c r="L19" i="2280"/>
  <c r="D19" i="2280"/>
  <c r="R18" i="2280"/>
  <c r="L18" i="2280"/>
  <c r="D18" i="2280" s="1"/>
  <c r="R17" i="2280"/>
  <c r="R16" i="2280"/>
  <c r="R15" i="2280"/>
  <c r="R14" i="2280"/>
  <c r="D14" i="2280"/>
  <c r="R13" i="2280"/>
  <c r="D13" i="2280"/>
  <c r="R12" i="2280"/>
  <c r="L12" i="2280"/>
  <c r="D12" i="2280"/>
  <c r="R11" i="2280"/>
  <c r="L8" i="2280"/>
  <c r="D8" i="2280"/>
  <c r="L7" i="2280"/>
  <c r="D7" i="2280"/>
  <c r="R6" i="2280"/>
  <c r="L16" i="2280" s="1"/>
  <c r="D16" i="2280" s="1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D44" i="2279"/>
  <c r="R42" i="2279"/>
  <c r="L6" i="2279" s="1"/>
  <c r="D6" i="2279" s="1"/>
  <c r="D42" i="2279"/>
  <c r="R41" i="2279"/>
  <c r="D41" i="2279"/>
  <c r="R40" i="2279"/>
  <c r="D40" i="2279"/>
  <c r="R39" i="2279"/>
  <c r="H39" i="2279"/>
  <c r="D39" i="2279"/>
  <c r="R38" i="2279"/>
  <c r="H38" i="2279"/>
  <c r="D38" i="2279"/>
  <c r="R37" i="2279"/>
  <c r="H37" i="2279"/>
  <c r="D37" i="2279"/>
  <c r="R36" i="2279"/>
  <c r="L10" i="2279" s="1"/>
  <c r="D10" i="2279" s="1"/>
  <c r="H36" i="2279"/>
  <c r="G49" i="2279" s="1"/>
  <c r="D36" i="2279"/>
  <c r="R35" i="2279"/>
  <c r="H35" i="2279"/>
  <c r="D35" i="2279"/>
  <c r="R34" i="2279"/>
  <c r="L12" i="2279" s="1"/>
  <c r="D12" i="2279" s="1"/>
  <c r="H34" i="2279"/>
  <c r="D34" i="2279"/>
  <c r="R33" i="2279"/>
  <c r="R32" i="2279"/>
  <c r="L11" i="2279" s="1"/>
  <c r="D11" i="2279" s="1"/>
  <c r="R31" i="2279"/>
  <c r="R30" i="2279"/>
  <c r="R29" i="2279"/>
  <c r="R28" i="2279"/>
  <c r="L28" i="2279"/>
  <c r="D28" i="2279" s="1"/>
  <c r="R27" i="2279"/>
  <c r="L27" i="2279"/>
  <c r="D27" i="2279"/>
  <c r="R26" i="2279"/>
  <c r="L26" i="2279"/>
  <c r="D26" i="2279"/>
  <c r="R25" i="2279"/>
  <c r="L25" i="2279"/>
  <c r="D25" i="2279"/>
  <c r="R24" i="2279"/>
  <c r="L24" i="2279"/>
  <c r="D24" i="2279"/>
  <c r="R23" i="2279"/>
  <c r="L23" i="2279"/>
  <c r="D23" i="2279"/>
  <c r="R22" i="2279"/>
  <c r="L22" i="2279"/>
  <c r="D22" i="2279"/>
  <c r="R21" i="2279"/>
  <c r="D21" i="2279"/>
  <c r="R20" i="2279"/>
  <c r="L20" i="2279"/>
  <c r="D20" i="2279"/>
  <c r="R19" i="2279"/>
  <c r="L19" i="2279"/>
  <c r="D19" i="2279"/>
  <c r="R18" i="2279"/>
  <c r="L18" i="2279"/>
  <c r="D18" i="2279"/>
  <c r="R17" i="2279"/>
  <c r="L17" i="2279"/>
  <c r="D17" i="2279" s="1"/>
  <c r="R16" i="2279"/>
  <c r="R15" i="2279"/>
  <c r="L15" i="2279"/>
  <c r="D15" i="2279"/>
  <c r="R14" i="2279"/>
  <c r="L14" i="2279"/>
  <c r="D14" i="2279"/>
  <c r="R13" i="2279"/>
  <c r="D13" i="2279"/>
  <c r="R12" i="2279"/>
  <c r="R11" i="2279"/>
  <c r="L9" i="2279"/>
  <c r="D9" i="2279"/>
  <c r="L8" i="2279"/>
  <c r="D8" i="2279"/>
  <c r="L7" i="2279"/>
  <c r="D7" i="2279"/>
  <c r="R6" i="2279"/>
  <c r="L16" i="2279" s="1"/>
  <c r="D16" i="2279" s="1"/>
  <c r="R5" i="2279"/>
  <c r="R4" i="2279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D41" i="2278"/>
  <c r="R40" i="2278"/>
  <c r="D40" i="2278"/>
  <c r="R39" i="2278"/>
  <c r="H39" i="2278"/>
  <c r="D39" i="2278"/>
  <c r="R38" i="2278"/>
  <c r="H38" i="2278"/>
  <c r="D38" i="2278"/>
  <c r="R37" i="2278"/>
  <c r="H37" i="2278"/>
  <c r="D37" i="2278"/>
  <c r="R36" i="2278"/>
  <c r="L10" i="2278" s="1"/>
  <c r="D10" i="2278" s="1"/>
  <c r="H36" i="2278"/>
  <c r="D36" i="2278"/>
  <c r="R35" i="2278"/>
  <c r="H35" i="2278"/>
  <c r="D35" i="2278"/>
  <c r="R34" i="2278"/>
  <c r="L12" i="2278" s="1"/>
  <c r="D12" i="2278" s="1"/>
  <c r="H34" i="2278"/>
  <c r="D34" i="2278"/>
  <c r="R33" i="2278"/>
  <c r="R32" i="2278"/>
  <c r="L11" i="2278" s="1"/>
  <c r="D11" i="2278" s="1"/>
  <c r="R31" i="2278"/>
  <c r="R30" i="2278"/>
  <c r="R29" i="2278"/>
  <c r="R28" i="2278"/>
  <c r="R27" i="2278"/>
  <c r="L27" i="2278"/>
  <c r="D27" i="2278" s="1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 s="1"/>
  <c r="R22" i="2278"/>
  <c r="L22" i="2278"/>
  <c r="D22" i="2278"/>
  <c r="R21" i="2278"/>
  <c r="L17" i="2278" s="1"/>
  <c r="D17" i="2278" s="1"/>
  <c r="L21" i="2278"/>
  <c r="D21" i="2278"/>
  <c r="R20" i="2278"/>
  <c r="L20" i="2278"/>
  <c r="D20" i="2278" s="1"/>
  <c r="R19" i="2278"/>
  <c r="L19" i="2278"/>
  <c r="D19" i="2278" s="1"/>
  <c r="R18" i="2278"/>
  <c r="L18" i="2278"/>
  <c r="D18" i="2278"/>
  <c r="R17" i="2278"/>
  <c r="R16" i="2278"/>
  <c r="R15" i="2278"/>
  <c r="L15" i="2278"/>
  <c r="D15" i="2278" s="1"/>
  <c r="R14" i="2278"/>
  <c r="D14" i="2278"/>
  <c r="R13" i="2278"/>
  <c r="D13" i="2278"/>
  <c r="R12" i="2278"/>
  <c r="R11" i="2278"/>
  <c r="L9" i="2278"/>
  <c r="D9" i="2278" s="1"/>
  <c r="L8" i="2278"/>
  <c r="D8" i="2278"/>
  <c r="L7" i="2278"/>
  <c r="D7" i="2278"/>
  <c r="R6" i="2278"/>
  <c r="L16" i="2278" s="1"/>
  <c r="D16" i="2278" s="1"/>
  <c r="L6" i="2278"/>
  <c r="D6" i="2278" s="1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L7" i="2277" s="1"/>
  <c r="D7" i="2277" s="1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L19" i="2277" s="1"/>
  <c r="D19" i="2277" s="1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L11" i="2277" s="1"/>
  <c r="D11" i="2277" s="1"/>
  <c r="R31" i="2277"/>
  <c r="R30" i="2277"/>
  <c r="R29" i="2277"/>
  <c r="R28" i="2277"/>
  <c r="D28" i="2277"/>
  <c r="R27" i="2277"/>
  <c r="D27" i="2277"/>
  <c r="R26" i="2277"/>
  <c r="L26" i="2277"/>
  <c r="D26" i="2277" s="1"/>
  <c r="R25" i="2277"/>
  <c r="L25" i="2277"/>
  <c r="D25" i="2277"/>
  <c r="R24" i="2277"/>
  <c r="D24" i="2277"/>
  <c r="R23" i="2277"/>
  <c r="R22" i="2277"/>
  <c r="L22" i="2277"/>
  <c r="D22" i="2277"/>
  <c r="R21" i="2277"/>
  <c r="D21" i="2277"/>
  <c r="R20" i="2277"/>
  <c r="L20" i="2277"/>
  <c r="D20" i="2277" s="1"/>
  <c r="R19" i="2277"/>
  <c r="R18" i="2277"/>
  <c r="D18" i="2277"/>
  <c r="R17" i="2277"/>
  <c r="D17" i="2277"/>
  <c r="R16" i="2277"/>
  <c r="L16" i="2277"/>
  <c r="D16" i="2277" s="1"/>
  <c r="S15" i="2277"/>
  <c r="R15" i="2277"/>
  <c r="D15" i="2277"/>
  <c r="S14" i="2277"/>
  <c r="R14" i="2277"/>
  <c r="D14" i="2277"/>
  <c r="R13" i="2277"/>
  <c r="D13" i="2277"/>
  <c r="R12" i="2277"/>
  <c r="R11" i="2277"/>
  <c r="L9" i="2277"/>
  <c r="D9" i="2277"/>
  <c r="L8" i="2277"/>
  <c r="D8" i="2277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D44" i="2276"/>
  <c r="R42" i="2276"/>
  <c r="L6" i="2276" s="1"/>
  <c r="D6" i="2276" s="1"/>
  <c r="D42" i="2276"/>
  <c r="R41" i="2276"/>
  <c r="D41" i="2276"/>
  <c r="R40" i="2276"/>
  <c r="D40" i="2276"/>
  <c r="R39" i="2276"/>
  <c r="H39" i="2276"/>
  <c r="D39" i="2276"/>
  <c r="R38" i="2276"/>
  <c r="L9" i="2276" s="1"/>
  <c r="D9" i="2276" s="1"/>
  <c r="H38" i="2276"/>
  <c r="D38" i="2276"/>
  <c r="R37" i="2276"/>
  <c r="H37" i="2276"/>
  <c r="D37" i="2276"/>
  <c r="R36" i="2276"/>
  <c r="L10" i="2276" s="1"/>
  <c r="D10" i="2276" s="1"/>
  <c r="H36" i="2276"/>
  <c r="D36" i="2276"/>
  <c r="R35" i="2276"/>
  <c r="H35" i="2276"/>
  <c r="D35" i="2276"/>
  <c r="R34" i="2276"/>
  <c r="L12" i="2276" s="1"/>
  <c r="D12" i="2276" s="1"/>
  <c r="H34" i="2276"/>
  <c r="D34" i="2276"/>
  <c r="R33" i="2276"/>
  <c r="R32" i="2276"/>
  <c r="L11" i="2276" s="1"/>
  <c r="D11" i="2276" s="1"/>
  <c r="R31" i="2276"/>
  <c r="R30" i="2276"/>
  <c r="R29" i="2276"/>
  <c r="R28" i="2276"/>
  <c r="L28" i="2276"/>
  <c r="D28" i="2276" s="1"/>
  <c r="R27" i="2276"/>
  <c r="L27" i="2276"/>
  <c r="D27" i="2276" s="1"/>
  <c r="R26" i="2276"/>
  <c r="L26" i="2276"/>
  <c r="D26" i="2276"/>
  <c r="R25" i="2276"/>
  <c r="L25" i="2276"/>
  <c r="D25" i="2276"/>
  <c r="R24" i="2276"/>
  <c r="L24" i="2276"/>
  <c r="D24" i="2276"/>
  <c r="R23" i="2276"/>
  <c r="L23" i="2276"/>
  <c r="D23" i="2276"/>
  <c r="R22" i="2276"/>
  <c r="L22" i="2276"/>
  <c r="D22" i="2276"/>
  <c r="R21" i="2276"/>
  <c r="L17" i="2276" s="1"/>
  <c r="D17" i="2276" s="1"/>
  <c r="L21" i="2276"/>
  <c r="D21" i="2276"/>
  <c r="R20" i="2276"/>
  <c r="L20" i="2276"/>
  <c r="D20" i="2276"/>
  <c r="R19" i="2276"/>
  <c r="L19" i="2276"/>
  <c r="D19" i="2276"/>
  <c r="R18" i="2276"/>
  <c r="L18" i="2276"/>
  <c r="D18" i="2276"/>
  <c r="R17" i="2276"/>
  <c r="R16" i="2276"/>
  <c r="R15" i="2276"/>
  <c r="L15" i="2276"/>
  <c r="D15" i="2276"/>
  <c r="R14" i="2276"/>
  <c r="D14" i="2276"/>
  <c r="R13" i="2276"/>
  <c r="D13" i="2276"/>
  <c r="R12" i="2276"/>
  <c r="R11" i="2276"/>
  <c r="L8" i="2276"/>
  <c r="D8" i="2276"/>
  <c r="L7" i="2276"/>
  <c r="D7" i="2276"/>
  <c r="R6" i="2276"/>
  <c r="L16" i="2276" s="1"/>
  <c r="D16" i="2276" s="1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D35" i="2275"/>
  <c r="R34" i="2275"/>
  <c r="H34" i="2275"/>
  <c r="D34" i="2275"/>
  <c r="R33" i="2275"/>
  <c r="R32" i="2275"/>
  <c r="L11" i="2275" s="1"/>
  <c r="D11" i="2275" s="1"/>
  <c r="R31" i="2275"/>
  <c r="R30" i="2275"/>
  <c r="R29" i="2275"/>
  <c r="R28" i="2275"/>
  <c r="L28" i="2275"/>
  <c r="D28" i="2275" s="1"/>
  <c r="R27" i="2275"/>
  <c r="L27" i="2275"/>
  <c r="D27" i="2275" s="1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2" i="2275"/>
  <c r="D22" i="2275"/>
  <c r="R21" i="2275"/>
  <c r="D21" i="2275"/>
  <c r="R20" i="2275"/>
  <c r="L20" i="2275"/>
  <c r="D20" i="2275"/>
  <c r="R19" i="2275"/>
  <c r="L19" i="2275"/>
  <c r="D19" i="2275"/>
  <c r="R18" i="2275"/>
  <c r="L18" i="2275"/>
  <c r="D18" i="2275"/>
  <c r="R17" i="2275"/>
  <c r="L17" i="2275"/>
  <c r="D17" i="2275" s="1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9" i="2275"/>
  <c r="D9" i="2275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R44" i="2274"/>
  <c r="D44" i="2274"/>
  <c r="R42" i="2274"/>
  <c r="L6" i="2274" s="1"/>
  <c r="D6" i="2274" s="1"/>
  <c r="D42" i="2274"/>
  <c r="R41" i="2274"/>
  <c r="D41" i="2274"/>
  <c r="R40" i="2274"/>
  <c r="D40" i="2274"/>
  <c r="R39" i="2274"/>
  <c r="H39" i="2274"/>
  <c r="D39" i="2274"/>
  <c r="R38" i="2274"/>
  <c r="L9" i="2274" s="1"/>
  <c r="D9" i="2274" s="1"/>
  <c r="H38" i="2274"/>
  <c r="D38" i="2274"/>
  <c r="R37" i="2274"/>
  <c r="H37" i="2274"/>
  <c r="D37" i="2274"/>
  <c r="R36" i="2274"/>
  <c r="L10" i="2274" s="1"/>
  <c r="D10" i="2274" s="1"/>
  <c r="H36" i="2274"/>
  <c r="D36" i="2274"/>
  <c r="R35" i="2274"/>
  <c r="H35" i="2274"/>
  <c r="D35" i="2274"/>
  <c r="R34" i="2274"/>
  <c r="H34" i="2274"/>
  <c r="D34" i="2274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 s="1"/>
  <c r="R26" i="2274"/>
  <c r="L26" i="2274"/>
  <c r="D26" i="2274"/>
  <c r="R25" i="2274"/>
  <c r="L25" i="2274"/>
  <c r="D25" i="2274"/>
  <c r="R24" i="2274"/>
  <c r="L24" i="2274"/>
  <c r="D24" i="2274"/>
  <c r="R23" i="2274"/>
  <c r="L23" i="2274"/>
  <c r="D23" i="2274"/>
  <c r="R22" i="2274"/>
  <c r="L20" i="2274" s="1"/>
  <c r="D20" i="2274" s="1"/>
  <c r="L22" i="2274"/>
  <c r="D22" i="2274"/>
  <c r="R21" i="2274"/>
  <c r="D21" i="2274"/>
  <c r="R20" i="2274"/>
  <c r="R19" i="2274"/>
  <c r="L19" i="2274"/>
  <c r="D19" i="2274"/>
  <c r="R18" i="2274"/>
  <c r="L18" i="2274"/>
  <c r="D18" i="2274"/>
  <c r="R17" i="2274"/>
  <c r="L17" i="2274"/>
  <c r="D17" i="2274" s="1"/>
  <c r="R16" i="2274"/>
  <c r="R15" i="2274"/>
  <c r="L15" i="2274"/>
  <c r="D15" i="2274"/>
  <c r="R14" i="2274"/>
  <c r="D14" i="2274"/>
  <c r="R13" i="2274"/>
  <c r="D13" i="2274"/>
  <c r="R12" i="2274"/>
  <c r="L12" i="2274"/>
  <c r="D12" i="2274" s="1"/>
  <c r="R11" i="2274"/>
  <c r="L8" i="2274"/>
  <c r="D8" i="2274"/>
  <c r="L7" i="2274"/>
  <c r="D7" i="2274"/>
  <c r="R6" i="2274"/>
  <c r="L16" i="2274" s="1"/>
  <c r="D16" i="2274" s="1"/>
  <c r="R5" i="2274"/>
  <c r="R4" i="2274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 s="1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 s="1"/>
  <c r="L9" i="2273"/>
  <c r="D9" i="2273"/>
  <c r="L8" i="2273"/>
  <c r="D8" i="2273"/>
  <c r="R6" i="2273"/>
  <c r="R5" i="2273"/>
  <c r="R4" i="2273"/>
  <c r="D54" i="2292" l="1"/>
  <c r="H14" i="2292" s="1"/>
  <c r="G49" i="2292"/>
  <c r="G49" i="2290"/>
  <c r="D54" i="2288"/>
  <c r="H14" i="2288" s="1"/>
  <c r="G49" i="2288"/>
  <c r="D54" i="2287"/>
  <c r="H14" i="2287" s="1"/>
  <c r="G49" i="2286"/>
  <c r="D54" i="2286"/>
  <c r="H14" i="2286" s="1"/>
  <c r="G49" i="2283"/>
  <c r="G49" i="2282"/>
  <c r="D54" i="2284"/>
  <c r="H14" i="2284" s="1"/>
  <c r="D54" i="2282"/>
  <c r="H14" i="2282" s="1"/>
  <c r="D54" i="2283"/>
  <c r="H14" i="2283" s="1"/>
  <c r="G49" i="2278"/>
  <c r="G49" i="2280"/>
  <c r="D54" i="2278"/>
  <c r="H14" i="2278" s="1"/>
  <c r="D54" i="2279"/>
  <c r="H14" i="2279" s="1"/>
  <c r="D54" i="2280"/>
  <c r="H14" i="2280" s="1"/>
  <c r="G49" i="2275"/>
  <c r="G49" i="2274"/>
  <c r="G49" i="2276"/>
  <c r="D54" i="2274"/>
  <c r="H14" i="2274" s="1"/>
  <c r="D54" i="2275"/>
  <c r="H14" i="2275" s="1"/>
  <c r="D29" i="2275"/>
  <c r="H13" i="2275" s="1"/>
  <c r="D54" i="2276"/>
  <c r="H14" i="2276" s="1"/>
  <c r="D29" i="2276"/>
  <c r="H13" i="2276" s="1"/>
  <c r="D29" i="2292"/>
  <c r="H13" i="2292" s="1"/>
  <c r="D29" i="2291"/>
  <c r="H13" i="2291" s="1"/>
  <c r="H15" i="2291" s="1"/>
  <c r="H29" i="2291" s="1"/>
  <c r="F51" i="2291" s="1"/>
  <c r="D29" i="2290"/>
  <c r="H13" i="2290" s="1"/>
  <c r="H15" i="2290" s="1"/>
  <c r="H29" i="2290" s="1"/>
  <c r="D29" i="2289"/>
  <c r="H13" i="2289" s="1"/>
  <c r="H15" i="2289" s="1"/>
  <c r="H29" i="2289" s="1"/>
  <c r="G51" i="2289"/>
  <c r="D29" i="2288"/>
  <c r="H13" i="2288" s="1"/>
  <c r="D29" i="2287"/>
  <c r="H13" i="2287" s="1"/>
  <c r="D29" i="2286"/>
  <c r="H13" i="2286" s="1"/>
  <c r="D29" i="2285"/>
  <c r="H13" i="2285" s="1"/>
  <c r="H15" i="2285" s="1"/>
  <c r="H29" i="2285" s="1"/>
  <c r="G51" i="2285"/>
  <c r="D29" i="2284"/>
  <c r="H13" i="2284" s="1"/>
  <c r="D29" i="2283"/>
  <c r="H13" i="2283" s="1"/>
  <c r="D29" i="2282"/>
  <c r="H13" i="2282" s="1"/>
  <c r="D29" i="2281"/>
  <c r="H13" i="2281" s="1"/>
  <c r="H15" i="2281" s="1"/>
  <c r="H29" i="2281" s="1"/>
  <c r="G51" i="2281" s="1"/>
  <c r="D29" i="2280"/>
  <c r="H13" i="2280" s="1"/>
  <c r="D29" i="2279"/>
  <c r="H13" i="2279" s="1"/>
  <c r="D29" i="2278"/>
  <c r="H13" i="2278" s="1"/>
  <c r="D29" i="2277"/>
  <c r="H13" i="2277" s="1"/>
  <c r="H15" i="2277" s="1"/>
  <c r="H29" i="2277" s="1"/>
  <c r="G51" i="2277" s="1"/>
  <c r="D29" i="2274"/>
  <c r="H13" i="2274" s="1"/>
  <c r="D29" i="2273"/>
  <c r="H13" i="2273" s="1"/>
  <c r="H15" i="2273" s="1"/>
  <c r="H29" i="2273" s="1"/>
  <c r="G51" i="2273"/>
  <c r="L14" i="2262"/>
  <c r="C16" i="2264"/>
  <c r="H15" i="2292" l="1"/>
  <c r="H29" i="2292" s="1"/>
  <c r="F51" i="2292" s="1"/>
  <c r="G51" i="2290"/>
  <c r="F51" i="2290"/>
  <c r="H15" i="2288"/>
  <c r="H29" i="2288" s="1"/>
  <c r="F51" i="2288" s="1"/>
  <c r="H15" i="2287"/>
  <c r="H29" i="2287" s="1"/>
  <c r="F51" i="2287" s="1"/>
  <c r="H15" i="2286"/>
  <c r="H29" i="2286" s="1"/>
  <c r="F51" i="2286" s="1"/>
  <c r="H15" i="2284"/>
  <c r="H29" i="2284" s="1"/>
  <c r="F51" i="2284" s="1"/>
  <c r="H15" i="2282"/>
  <c r="H29" i="2282" s="1"/>
  <c r="F51" i="2282" s="1"/>
  <c r="H15" i="2283"/>
  <c r="H29" i="2283" s="1"/>
  <c r="F51" i="2283" s="1"/>
  <c r="H15" i="2278"/>
  <c r="H29" i="2278" s="1"/>
  <c r="F51" i="2278" s="1"/>
  <c r="H15" i="2279"/>
  <c r="H29" i="2279" s="1"/>
  <c r="F51" i="2279" s="1"/>
  <c r="H15" i="2280"/>
  <c r="H29" i="2280" s="1"/>
  <c r="F51" i="2280" s="1"/>
  <c r="H15" i="2274"/>
  <c r="H29" i="2274" s="1"/>
  <c r="F51" i="2274" s="1"/>
  <c r="H15" i="2275"/>
  <c r="H29" i="2275" s="1"/>
  <c r="F51" i="2275" s="1"/>
  <c r="H15" i="2276"/>
  <c r="H29" i="2276" s="1"/>
  <c r="F51" i="2276" s="1"/>
  <c r="G51" i="2291"/>
  <c r="G51" i="2292" l="1"/>
  <c r="G51" i="2288"/>
  <c r="G51" i="2287"/>
  <c r="G51" i="2286"/>
  <c r="G51" i="2283"/>
  <c r="G51" i="2284"/>
  <c r="G51" i="2282"/>
  <c r="G51" i="2278"/>
  <c r="G51" i="2279"/>
  <c r="G51" i="2280"/>
  <c r="G51" i="2274"/>
  <c r="G51" i="2275"/>
  <c r="G51" i="2276"/>
  <c r="C19" i="2255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D34" i="227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D34" i="2268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D34" i="2262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72" l="1"/>
  <c r="G49" i="2271"/>
  <c r="D54" i="2271"/>
  <c r="H14" i="2271" s="1"/>
  <c r="D54" i="2270"/>
  <c r="H14" i="2270" s="1"/>
  <c r="G49" i="2268"/>
  <c r="D54" i="2268"/>
  <c r="H14" i="2268" s="1"/>
  <c r="D54" i="2267"/>
  <c r="H14" i="2267" s="1"/>
  <c r="G49" i="2262"/>
  <c r="G49" i="2264"/>
  <c r="D54" i="2264"/>
  <c r="H14" i="2264" s="1"/>
  <c r="G49" i="2263"/>
  <c r="D54" i="2263"/>
  <c r="H14" i="2263" s="1"/>
  <c r="D54" i="2262"/>
  <c r="H14" i="2262" s="1"/>
  <c r="D54" i="2259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D29" i="2271"/>
  <c r="H13" i="2271" s="1"/>
  <c r="D29" i="2270"/>
  <c r="H13" i="2270" s="1"/>
  <c r="D29" i="2269"/>
  <c r="H13" i="2269" s="1"/>
  <c r="H15" i="2269" s="1"/>
  <c r="H29" i="2269" s="1"/>
  <c r="G51" i="2269"/>
  <c r="D29" i="2268"/>
  <c r="H13" i="2268" s="1"/>
  <c r="D29" i="2267"/>
  <c r="H13" i="2267" s="1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D29" i="2263"/>
  <c r="H13" i="2263" s="1"/>
  <c r="D29" i="2262"/>
  <c r="H13" i="2262" s="1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F51" i="2272" l="1"/>
  <c r="G51" i="2272"/>
  <c r="H15" i="2271"/>
  <c r="H29" i="2271" s="1"/>
  <c r="F51" i="2271" s="1"/>
  <c r="H15" i="2270"/>
  <c r="H29" i="2270" s="1"/>
  <c r="F51" i="2270" s="1"/>
  <c r="H15" i="2268"/>
  <c r="H29" i="2268" s="1"/>
  <c r="F51" i="2268" s="1"/>
  <c r="H15" i="2267"/>
  <c r="H29" i="2267" s="1"/>
  <c r="F51" i="2267" s="1"/>
  <c r="H15" i="2264"/>
  <c r="H29" i="2264" s="1"/>
  <c r="F51" i="2264" s="1"/>
  <c r="H15" i="2263"/>
  <c r="H29" i="2263" s="1"/>
  <c r="F51" i="2263" s="1"/>
  <c r="H15" i="2262"/>
  <c r="H29" i="2262" s="1"/>
  <c r="F51" i="2262" s="1"/>
  <c r="H15" i="2259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60" l="1"/>
  <c r="G51" i="2259"/>
  <c r="G51" i="2271"/>
  <c r="G51" i="2270"/>
  <c r="G51" i="2268"/>
  <c r="G51" i="2267"/>
  <c r="G51" i="2264"/>
  <c r="G51" i="2263"/>
  <c r="G51" i="2262"/>
  <c r="G51" i="2255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18A107F4-3A78-4150-9916-805D13629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 2307
</t>
        </r>
      </text>
    </comment>
  </commentList>
</comments>
</file>

<file path=xl/sharedStrings.xml><?xml version="1.0" encoding="utf-8"?>
<sst xmlns="http://schemas.openxmlformats.org/spreadsheetml/2006/main" count="9756" uniqueCount="190">
  <si>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</si>
  <si>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</si>
  <si>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</si>
  <si>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</si>
  <si>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</si>
  <si>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</si>
  <si>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</si>
  <si>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</si>
  <si>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</si>
  <si>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</si>
  <si>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</si>
  <si>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</si>
  <si>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</si>
  <si>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</si>
  <si>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</si>
  <si>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</si>
  <si>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</si>
  <si>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</si>
  <si>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</si>
  <si>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</si>
  <si>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</si>
  <si>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</si>
  <si>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</si>
  <si>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</si>
  <si>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</si>
  <si>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</si>
  <si>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</si>
  <si>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</si>
  <si>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</si>
  <si>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</si>
  <si>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</si>
  <si>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</si>
  <si>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</si>
  <si>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</si>
  <si>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</si>
  <si>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</si>
  <si>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</si>
  <si>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</si>
  <si>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</si>
  <si>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</si>
  <si>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</si>
  <si>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</si>
  <si>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</si>
  <si>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</si>
  <si>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</si>
  <si>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</si>
  <si>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</si>
  <si>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</si>
  <si>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</si>
  <si>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</si>
  <si>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</si>
  <si>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</si>
  <si>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</si>
  <si>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</si>
  <si>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</si>
  <si>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</si>
  <si>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</si>
  <si>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</si>
  <si>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</si>
  <si>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</si>
  <si>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</si>
  <si>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</si>
  <si>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</si>
  <si>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</si>
  <si>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</si>
  <si>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</si>
  <si>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</si>
  <si>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</si>
  <si>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</si>
  <si>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</si>
  <si>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</si>
  <si>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</si>
  <si>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</si>
  <si>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</si>
  <si>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</si>
  <si>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</si>
  <si>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</si>
  <si>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</si>
  <si>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</si>
  <si>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</si>
  <si>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</si>
  <si>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</si>
  <si>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</si>
  <si>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</si>
  <si>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</si>
  <si>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</si>
  <si>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</si>
  <si>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</si>
  <si>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</si>
  <si>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</si>
  <si>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</si>
  <si>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</si>
  <si>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</si>
  <si>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</si>
  <si>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</si>
  <si>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</si>
  <si>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</si>
  <si>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</si>
  <si>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</si>
  <si>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</si>
  <si>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</si>
  <si>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</si>
  <si>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</si>
  <si>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</si>
  <si>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</si>
  <si>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</si>
  <si>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</si>
  <si>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</si>
  <si>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</si>
  <si>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</si>
  <si>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</si>
  <si>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</si>
  <si>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</si>
  <si>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</si>
  <si>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</si>
  <si>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</si>
  <si>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</si>
  <si>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</si>
  <si>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</si>
  <si>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</si>
  <si>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</si>
  <si>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</si>
  <si>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</si>
  <si>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</si>
  <si>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</si>
  <si>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</si>
  <si>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</si>
  <si>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</si>
  <si>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</si>
  <si>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</si>
  <si>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</si>
  <si>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</si>
  <si>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</si>
  <si>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</si>
  <si>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</si>
  <si>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</si>
  <si>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</si>
  <si>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</si>
  <si>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</si>
  <si>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</si>
  <si>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</si>
  <si>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</si>
  <si>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</si>
  <si>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</si>
  <si>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</si>
  <si>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</si>
  <si>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</si>
  <si>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</si>
  <si>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</si>
  <si>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</si>
  <si>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</si>
  <si>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</si>
  <si>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</si>
  <si>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</si>
  <si>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</si>
  <si>
    <t>2130022085</t>
  </si>
  <si>
    <t>51208</t>
  </si>
  <si>
    <t>2000008766</t>
  </si>
  <si>
    <t>2000003304</t>
  </si>
  <si>
    <t>151305</t>
  </si>
  <si>
    <t>51210</t>
  </si>
  <si>
    <t>60756</t>
  </si>
  <si>
    <t>SML500C</t>
  </si>
  <si>
    <t>BALWARTE</t>
  </si>
  <si>
    <t>2000008771</t>
  </si>
  <si>
    <t>2120013249</t>
  </si>
  <si>
    <t xml:space="preserve">PNB </t>
  </si>
  <si>
    <t>153301</t>
  </si>
  <si>
    <t>2130022091</t>
  </si>
  <si>
    <t>SHIRMAY ANN STORE(Promo)</t>
  </si>
  <si>
    <t>TAGULOB STORE (Promo)</t>
  </si>
  <si>
    <t>JODI'S VARIETY STORE(Promo)</t>
  </si>
  <si>
    <t>SMFC</t>
  </si>
  <si>
    <t>2120013252</t>
  </si>
  <si>
    <t>2130022095</t>
  </si>
  <si>
    <t>51216</t>
  </si>
  <si>
    <t>2000006291</t>
  </si>
  <si>
    <t>154142</t>
  </si>
  <si>
    <t>153318</t>
  </si>
  <si>
    <t>2000003324</t>
  </si>
  <si>
    <t>2000008782</t>
  </si>
  <si>
    <t>2000003329</t>
  </si>
  <si>
    <t>2000008786</t>
  </si>
  <si>
    <t>154150</t>
  </si>
  <si>
    <t>153002</t>
  </si>
  <si>
    <t>2130022099</t>
  </si>
  <si>
    <t>51222</t>
  </si>
  <si>
    <t>60771</t>
  </si>
  <si>
    <t>1ST VB</t>
  </si>
  <si>
    <t>5252217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</si>
</sst>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4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162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4507E-7064-427E-96A8-E78F98F87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A2ABB9-D870-4C39-AF50-B5A9D38AC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7ED4E5-BEAD-4981-A3BD-67A86321B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B9ECDA-CB11-497D-B1E9-60539FEE6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354FBE-DA53-43BB-A69A-43230E24B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74DE5-7CA4-47CC-95A4-3ADC9EA74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27991-37F6-46D3-8222-A4BBCE959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1BBFB-35BC-4121-9663-7D337DE5F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D0E80-0FE0-41AD-A201-9334EF762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860FF5-D621-4417-A229-C58FA8640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E4921-ED28-4E08-819C-CF93C01DA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01E924-B3B3-4202-A0B3-7BB02BF5C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F106B-BDB6-42A6-8FA1-A8B0FB5BF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DB7DA-5B94-475A-B2B4-C75304CE8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244578-D99B-4C4B-A5CE-5BC133BF6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1AA897-8B03-4830-B066-91EAAF118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D9389-BB39-4706-8A5C-4E05239C8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C5F1A9-9D4B-478B-AC25-1B9379233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D3D66-6D43-404C-8774-8F67EDF68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DB900-7B69-4845-8D66-9AF7A1987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0A96B-E668-458C-99E5-BEF7E1C2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66C37-ADE0-4965-BB58-8F4B365300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F27F5-5B76-4303-BD0A-76CA4D5F7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80445C-89C9-4568-B510-AAAFFA5EB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CB2ABB-A1D4-4F55-8BE6-D20150EC2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460217-223C-4BE3-843B-35D7205A4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600EDC-2553-4729-875C-D8DFF2FFF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E90E15-0F25-41C5-B79F-F64AE0D93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602B73-C972-41FC-9CF0-E4030ECB9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83032-42A8-4B49-98EE-2083CED65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206642-3788-4E2B-B2FA-C1C86992B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0823D-1A9A-4B03-8B2E-BFFBB4C0FA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84F36-BB3B-46F7-84DB-D4D92902E0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9D1DFD-C521-4541-8DE1-E60B00A61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C2B3F6-CCA3-41B3-B733-DE7D2A236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EB3BD-D9F3-4B08-AE34-3B61E35FDD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141F43-2A6A-4F11-8B0B-C7A7B18C81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7CE598-2B20-4A60-96BF-43C69E9B4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3A714E-7AE3-4AB6-8B43-756E79055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F68750-6489-4147-9A4C-2B8237DDD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Relationship Id="rId4" Type="http://schemas.openxmlformats.org/officeDocument/2006/relationships/comments" Target="../comments4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1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46235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91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8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1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honeticPr fontId="16" type="noConversion"/>
  <conditionalFormatting sqref="F51:F52">
    <cfRule type="containsText" dxfId="161" priority="4" operator="containsText" text="SHORT">
      <formula>NOT(ISERROR(SEARCH("SHORT",F51)))</formula>
    </cfRule>
    <cfRule type="containsText" dxfId="160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46235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205">
        <v>69862</v>
      </c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8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69862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217">
        <f>F34*G34</f>
        <v>53000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17">
        <f>F35*G35</f>
        <v>16500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17">
        <f t="shared" si="2"/>
        <v>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12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1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69862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58" priority="1" operator="containsText" text="OVER">
      <formula>NOT(ISERROR(SEARCH("OVER",F51)))</formula>
    </cfRule>
    <cfRule type="containsText" dxfId="15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46235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113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8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1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62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55" priority="1" operator="containsText" text="OVER">
      <formula>NOT(ISERROR(SEARCH("OVER",F51)))</formula>
    </cfRule>
    <cfRule type="containsText" dxfId="15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7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46237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283</v>
      </c>
      <c r="D6" s="13">
        <f t="shared" ref="D6:D28" si="1">C6*L6</f>
        <v>215363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9</v>
      </c>
      <c r="D7" s="13">
        <f t="shared" si="1"/>
        <v>7029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32</v>
      </c>
      <c r="D9" s="13">
        <f t="shared" si="1"/>
        <v>23456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</v>
      </c>
      <c r="D13" s="48">
        <f t="shared" si="1"/>
        <v>614</v>
      </c>
      <c r="F13" s="162" t="s">
        <v>36</v>
      </c>
      <c r="G13" s="163"/>
      <c r="H13" s="164">
        <f>D29</f>
        <v>248162.33333333334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8</v>
      </c>
      <c r="D14" s="31">
        <f t="shared" si="1"/>
        <v>88.333333333333329</v>
      </c>
      <c r="F14" s="167" t="s">
        <v>38</v>
      </c>
      <c r="G14" s="168"/>
      <c r="H14" s="169">
        <f>D54</f>
        <v>36360.75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211801.58333333334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9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248162.33333333334</v>
      </c>
      <c r="F29" s="185" t="s">
        <v>54</v>
      </c>
      <c r="G29" s="186"/>
      <c r="H29" s="189">
        <f>H15-H16-H17-H18-H19-H20-H22-H23-H24+H26+H27+H28</f>
        <v>211801.58333333334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17">
        <f t="shared" ref="H34:H39" si="2">F34*G34</f>
        <v>111000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217">
        <f t="shared" si="2"/>
        <v>20500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217">
        <f t="shared" si="2"/>
        <v>1300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217">
        <f t="shared" si="2"/>
        <v>1050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17">
        <f t="shared" si="2"/>
        <v>40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7">
        <v>116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201">
        <v>62000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201">
        <v>16444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16</v>
      </c>
      <c r="D46" s="12">
        <f>C46*1.5</f>
        <v>24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2</v>
      </c>
      <c r="D49" s="12">
        <f>C49*42</f>
        <v>84</v>
      </c>
      <c r="F49" s="242" t="s">
        <v>85</v>
      </c>
      <c r="G49" s="189">
        <f>H34+H35+H36+H37+H38+H39+H40+H41+G42+H44+H45+H46+H47+H48</f>
        <v>212450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13</v>
      </c>
      <c r="D50" s="12">
        <f>C50*1.5</f>
        <v>19.5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648.41666666665697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52" priority="1" operator="containsText" text="OVER">
      <formula>NOT(ISERROR(SEARCH("OVER",F51)))</formula>
    </cfRule>
    <cfRule type="containsText" dxfId="15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46237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487</v>
      </c>
      <c r="D6" s="13">
        <f t="shared" ref="D6:D28" si="1">C6*L6</f>
        <v>370607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6</v>
      </c>
      <c r="D7" s="13">
        <f t="shared" si="1"/>
        <v>4686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168</v>
      </c>
      <c r="D9" s="13">
        <f t="shared" si="1"/>
        <v>123144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25</v>
      </c>
      <c r="D13" s="48">
        <f t="shared" si="1"/>
        <v>7675</v>
      </c>
      <c r="F13" s="162" t="s">
        <v>36</v>
      </c>
      <c r="G13" s="163"/>
      <c r="H13" s="164">
        <f>D29</f>
        <v>516071.33333333331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8</v>
      </c>
      <c r="D14" s="31">
        <f t="shared" si="1"/>
        <v>88.333333333333329</v>
      </c>
      <c r="F14" s="167" t="s">
        <v>38</v>
      </c>
      <c r="G14" s="168"/>
      <c r="H14" s="169">
        <f>D54</f>
        <v>76411.5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439659.83333333331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6">
        <v>3396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516071.33333333331</v>
      </c>
      <c r="F29" s="185" t="s">
        <v>54</v>
      </c>
      <c r="G29" s="186"/>
      <c r="H29" s="189">
        <f>H15-H16-H17-H18-H19-H20-H22-H23-H24+H26+H27</f>
        <v>436263.83333333331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217">
        <f>F34*G34</f>
        <v>47000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217">
        <f>F35*G35</f>
        <v>155000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7">
        <f t="shared" ref="H36:H39" si="2">F36*G36</f>
        <v>200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217">
        <f t="shared" si="2"/>
        <v>3200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7">
        <v>83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201">
        <v>231443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8</v>
      </c>
      <c r="D49" s="12">
        <f>C49*42</f>
        <v>336</v>
      </c>
      <c r="F49" s="242" t="s">
        <v>85</v>
      </c>
      <c r="G49" s="189">
        <f>H34+H35+H36+H37+H38+H39+H40+H41+G42+H44+H45+H46+H47+H48</f>
        <v>436926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4</v>
      </c>
      <c r="D50" s="12">
        <f>C50*1.5</f>
        <v>6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662.16666666668607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9" priority="1" operator="containsText" text="OVER">
      <formula>NOT(ISERROR(SEARCH("OVER",F51)))</formula>
    </cfRule>
    <cfRule type="containsText" dxfId="14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46237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428</v>
      </c>
      <c r="D6" s="13">
        <f t="shared" ref="D6:D28" si="1">C6*L6</f>
        <v>325708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14</v>
      </c>
      <c r="D7" s="13">
        <f t="shared" si="1"/>
        <v>10934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81</v>
      </c>
      <c r="D9" s="13">
        <f t="shared" si="1"/>
        <v>59373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2</v>
      </c>
      <c r="D10" s="13">
        <f t="shared" si="1"/>
        <v>2064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2+1</f>
        <v>3</v>
      </c>
      <c r="D12" s="48">
        <f t="shared" si="1"/>
        <v>2976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17</v>
      </c>
      <c r="D13" s="48">
        <f t="shared" si="1"/>
        <v>5219</v>
      </c>
      <c r="F13" s="162" t="s">
        <v>36</v>
      </c>
      <c r="G13" s="163"/>
      <c r="H13" s="164">
        <f>D29</f>
        <v>406307.125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3</v>
      </c>
      <c r="D14" s="31">
        <f t="shared" si="1"/>
        <v>33.125</v>
      </c>
      <c r="F14" s="167" t="s">
        <v>38</v>
      </c>
      <c r="G14" s="168"/>
      <c r="H14" s="169">
        <f>D54</f>
        <v>66713.25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339593.875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1602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406307.125</v>
      </c>
      <c r="F29" s="185" t="s">
        <v>54</v>
      </c>
      <c r="G29" s="186"/>
      <c r="H29" s="189">
        <f>H15-H16-H17-H18-H19-H20-H22-H23-H24+H26+H27</f>
        <v>337941.875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17">
        <f>F34*G34</f>
        <v>25000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217">
        <f>F35*G35</f>
        <v>1000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217">
        <f t="shared" si="2"/>
        <v>1400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17">
        <f t="shared" si="2"/>
        <v>150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17">
        <f t="shared" si="2"/>
        <v>20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3</v>
      </c>
      <c r="D42" s="12">
        <f>C42*2.25</f>
        <v>6.75</v>
      </c>
      <c r="F42" s="39" t="s">
        <v>78</v>
      </c>
      <c r="G42" s="217">
        <v>20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201">
        <v>56443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201">
        <v>115712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201">
        <v>137865</v>
      </c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11</v>
      </c>
      <c r="D49" s="12">
        <f>C49*42</f>
        <v>462</v>
      </c>
      <c r="F49" s="242" t="s">
        <v>85</v>
      </c>
      <c r="G49" s="189">
        <f>H34+H35+H36+H37+H38+H39+H40+H41+G42+H44+H45+H46+H47+H48</f>
        <v>337610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15</v>
      </c>
      <c r="D50" s="12">
        <f>C50*1.5</f>
        <v>22.5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-331.875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6" priority="1" operator="containsText" text="OVER">
      <formula>NOT(ISERROR(SEARCH("OVER",F51)))</formula>
    </cfRule>
    <cfRule type="containsText" dxfId="14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46238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9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3" priority="1" operator="containsText" text="OVER">
      <formula>NOT(ISERROR(SEARCH("OVER",F51)))</formula>
    </cfRule>
    <cfRule type="containsText" dxfId="14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H20" sqref="H20:J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46238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431</v>
      </c>
      <c r="D6" s="13">
        <f t="shared" ref="D6:D28" si="1">C6*L6</f>
        <v>327991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20</v>
      </c>
      <c r="D9" s="13">
        <f t="shared" si="1"/>
        <v>14660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11</v>
      </c>
      <c r="D13" s="48">
        <f t="shared" si="1"/>
        <v>3377</v>
      </c>
      <c r="F13" s="162" t="s">
        <v>36</v>
      </c>
      <c r="G13" s="163"/>
      <c r="H13" s="164">
        <f>D29</f>
        <v>347634.16666666669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4</v>
      </c>
      <c r="D14" s="31">
        <f t="shared" si="1"/>
        <v>44.166666666666664</v>
      </c>
      <c r="F14" s="167" t="s">
        <v>38</v>
      </c>
      <c r="G14" s="168"/>
      <c r="H14" s="169">
        <f>D54</f>
        <v>52755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294879.16666666669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2004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116" t="s">
        <v>169</v>
      </c>
      <c r="G22" s="72">
        <v>11701</v>
      </c>
      <c r="H22" s="199">
        <v>5850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347634.16666666669</v>
      </c>
      <c r="F29" s="185" t="s">
        <v>54</v>
      </c>
      <c r="G29" s="186"/>
      <c r="H29" s="189">
        <f>H15-H16-H17-H18-H19-H20-H22-H23-H24+H26+H27</f>
        <v>287025.16666666669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217">
        <f>F34*G34</f>
        <v>120000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217">
        <f>F35*G35</f>
        <v>166500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217">
        <f t="shared" si="2"/>
        <v>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64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286814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5</v>
      </c>
      <c r="D50" s="12">
        <f>C50*1.5</f>
        <v>7.5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-211.16666666668607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0" priority="1" operator="containsText" text="OVER">
      <formula>NOT(ISERROR(SEARCH("OVER",F51)))</formula>
    </cfRule>
    <cfRule type="containsText" dxfId="13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46238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548</v>
      </c>
      <c r="D6" s="13">
        <f t="shared" ref="D6:D28" si="1">C6*L6</f>
        <v>417028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4</v>
      </c>
      <c r="D7" s="13">
        <f t="shared" si="1"/>
        <v>3124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55</v>
      </c>
      <c r="D9" s="13">
        <f t="shared" si="1"/>
        <v>40315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2</v>
      </c>
      <c r="D11" s="13">
        <f t="shared" si="1"/>
        <v>2340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4</v>
      </c>
      <c r="D12" s="48">
        <f t="shared" si="1"/>
        <v>3968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17</v>
      </c>
      <c r="D13" s="48">
        <f t="shared" si="1"/>
        <v>5219</v>
      </c>
      <c r="F13" s="162" t="s">
        <v>36</v>
      </c>
      <c r="G13" s="163"/>
      <c r="H13" s="164">
        <f>D29</f>
        <v>472049.20833333331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71464.5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400584.70833333331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3366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7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472049.20833333331</v>
      </c>
      <c r="F29" s="185" t="s">
        <v>54</v>
      </c>
      <c r="G29" s="186"/>
      <c r="H29" s="189">
        <f>H15-H16-H17-H18-H19-H20-H22-H23-H24+H26+H27</f>
        <v>397218.70833333331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217">
        <f>F34*G34</f>
        <v>31000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0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217">
        <f t="shared" si="2"/>
        <v>600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1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63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9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201">
        <v>135285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201">
        <v>141116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201">
        <v>89177</v>
      </c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397341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2</v>
      </c>
      <c r="D50" s="12">
        <f>C50*1.5</f>
        <v>3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122.29166666668607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37" priority="1" operator="containsText" text="OVER">
      <formula>NOT(ISERROR(SEARCH("OVER",F51)))</formula>
    </cfRule>
    <cfRule type="containsText" dxfId="13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0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46239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236</v>
      </c>
      <c r="D6" s="13">
        <f t="shared" ref="D6:D28" si="1">C6*L6</f>
        <v>179596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15</v>
      </c>
      <c r="D7" s="13">
        <f t="shared" si="1"/>
        <v>11715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113</v>
      </c>
      <c r="D9" s="13">
        <f t="shared" si="1"/>
        <v>82829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8</v>
      </c>
      <c r="D13" s="48">
        <f t="shared" si="1"/>
        <v>2456</v>
      </c>
      <c r="F13" s="162" t="s">
        <v>36</v>
      </c>
      <c r="G13" s="163"/>
      <c r="H13" s="164">
        <f>D29</f>
        <v>276596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37282.5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239313.5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2034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5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276596</v>
      </c>
      <c r="F29" s="185" t="s">
        <v>54</v>
      </c>
      <c r="G29" s="186"/>
      <c r="H29" s="189">
        <f>H15-H16-H17-H18-H19-H20-H22-H23-H24+H26+H27+H28</f>
        <v>237279.5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217">
        <f t="shared" ref="H34:H39" si="2">F34*G34</f>
        <v>11000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217">
        <f t="shared" si="2"/>
        <v>2000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7">
        <f t="shared" si="2"/>
        <v>200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217">
        <f t="shared" si="2"/>
        <v>900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</v>
      </c>
      <c r="D42" s="12">
        <f>C42*2.25</f>
        <v>4.5</v>
      </c>
      <c r="F42" s="39" t="s">
        <v>78</v>
      </c>
      <c r="G42" s="217">
        <v>11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201">
        <v>223169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4</v>
      </c>
      <c r="D49" s="12">
        <f>C49*42</f>
        <v>168</v>
      </c>
      <c r="F49" s="242" t="s">
        <v>85</v>
      </c>
      <c r="G49" s="189">
        <f>H34+H35+H36+H37+H38+H39+H40+H41+G42+H44+H45+H46+H47+H48</f>
        <v>237280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</v>
      </c>
      <c r="D50" s="12">
        <f>C50*1.5</f>
        <v>1.5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0.5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34" priority="1" operator="containsText" text="OVER">
      <formula>NOT(ISERROR(SEARCH("OVER",F51)))</formula>
    </cfRule>
    <cfRule type="containsText" dxfId="13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46239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322</v>
      </c>
      <c r="D6" s="13">
        <f t="shared" ref="D6:D28" si="1">C6*L6</f>
        <v>245042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21</v>
      </c>
      <c r="D9" s="13">
        <f t="shared" si="1"/>
        <v>15393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162" t="s">
        <v>36</v>
      </c>
      <c r="G13" s="163"/>
      <c r="H13" s="164">
        <f>D29</f>
        <v>271026.41666666669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10</v>
      </c>
      <c r="D14" s="31">
        <f t="shared" si="1"/>
        <v>110.41666666666666</v>
      </c>
      <c r="F14" s="167" t="s">
        <v>38</v>
      </c>
      <c r="G14" s="168"/>
      <c r="H14" s="169">
        <f>D54</f>
        <v>36957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234069.41666666669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1818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271026.41666666669</v>
      </c>
      <c r="F29" s="185" t="s">
        <v>54</v>
      </c>
      <c r="G29" s="186"/>
      <c r="H29" s="189">
        <f>H15-H16-H17-H18-H19-H20-H22-H23-H24+H26+H27</f>
        <v>232251.41666666669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17">
        <f>F34*G34</f>
        <v>24000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217">
        <f>F35*G35</f>
        <v>2000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217">
        <f t="shared" si="2"/>
        <v>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24</v>
      </c>
      <c r="D42" s="12">
        <f>C42*2.25</f>
        <v>54</v>
      </c>
      <c r="F42" s="39" t="s">
        <v>78</v>
      </c>
      <c r="G42" s="217">
        <v>41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201">
        <v>70296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201">
        <v>136287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</v>
      </c>
      <c r="D46" s="12">
        <f>C46*1.5</f>
        <v>1.5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6</v>
      </c>
      <c r="D49" s="12">
        <f>C49*42</f>
        <v>252</v>
      </c>
      <c r="F49" s="242" t="s">
        <v>85</v>
      </c>
      <c r="G49" s="189">
        <f>H34+H35+H36+H37+H38+H39+H40+H41+G42+H44+H45+H46+H47+H48</f>
        <v>232724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472.58333333331393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31" priority="1" operator="containsText" text="OVER">
      <formula>NOT(ISERROR(SEARCH("OVER",F51)))</formula>
    </cfRule>
    <cfRule type="containsText" dxfId="13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46239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62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28" priority="1" operator="containsText" text="OVER">
      <formula>NOT(ISERROR(SEARCH("OVER",F51)))</formula>
    </cfRule>
    <cfRule type="containsText" dxfId="12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0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46240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5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25" priority="1" operator="containsText" text="OVER">
      <formula>NOT(ISERROR(SEARCH("OVER",F51)))</formula>
    </cfRule>
    <cfRule type="containsText" dxfId="12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F23" sqref="F2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0.4257812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46240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385</v>
      </c>
      <c r="D6" s="13">
        <f t="shared" ref="D6:D28" si="1">C6*L6</f>
        <v>292985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67</v>
      </c>
      <c r="D8" s="13">
        <f t="shared" si="1"/>
        <v>73231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28</v>
      </c>
      <c r="D9" s="13">
        <f t="shared" si="1"/>
        <v>20524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3</v>
      </c>
      <c r="D10" s="13">
        <f t="shared" si="1"/>
        <v>3096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11</v>
      </c>
      <c r="D13" s="48">
        <f t="shared" si="1"/>
        <v>3377</v>
      </c>
      <c r="F13" s="162" t="s">
        <v>36</v>
      </c>
      <c r="G13" s="163"/>
      <c r="H13" s="164">
        <f>D29</f>
        <v>402717.5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12</v>
      </c>
      <c r="D14" s="31">
        <f t="shared" si="1"/>
        <v>132.5</v>
      </c>
      <c r="F14" s="167" t="s">
        <v>38</v>
      </c>
      <c r="G14" s="168"/>
      <c r="H14" s="169">
        <f>D54</f>
        <v>60681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342036.5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2178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199">
        <v>67927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 t="s">
        <v>170</v>
      </c>
      <c r="G23" s="78">
        <v>11718</v>
      </c>
      <c r="H23" s="262">
        <v>4550</v>
      </c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402717.5</v>
      </c>
      <c r="F29" s="185" t="s">
        <v>54</v>
      </c>
      <c r="G29" s="186"/>
      <c r="H29" s="189">
        <f>H15-H16-H17-H18-H19-H20-H22-H23-H24+H26+H27</f>
        <v>267331.5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217">
        <f>F34*G34</f>
        <v>66000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217">
        <f>F35*G35</f>
        <v>28500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217">
        <f t="shared" si="2"/>
        <v>6500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217">
        <f t="shared" si="2"/>
        <v>1800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20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201">
        <v>74658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201">
        <v>90788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6</v>
      </c>
      <c r="D49" s="12">
        <f>C49*42</f>
        <v>252</v>
      </c>
      <c r="F49" s="242" t="s">
        <v>85</v>
      </c>
      <c r="G49" s="189">
        <f>H34+H35+H36+H37+H38+H39+H40+H41+G42+H44+H45+H46+H47+H48</f>
        <v>268266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934.5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22" priority="1" operator="containsText" text="OVER">
      <formula>NOT(ISERROR(SEARCH("OVER",F51)))</formula>
    </cfRule>
    <cfRule type="containsText" dxfId="12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F22" sqref="F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3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46240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367</v>
      </c>
      <c r="D6" s="13">
        <f t="shared" ref="D6:D28" si="1">C6*L6</f>
        <v>279287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20</v>
      </c>
      <c r="D8" s="13">
        <f t="shared" si="1"/>
        <v>21860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3</v>
      </c>
      <c r="D10" s="13">
        <f t="shared" si="1"/>
        <v>3096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11</v>
      </c>
      <c r="D13" s="48">
        <f t="shared" si="1"/>
        <v>3377</v>
      </c>
      <c r="F13" s="162" t="s">
        <v>36</v>
      </c>
      <c r="G13" s="163"/>
      <c r="H13" s="164">
        <f>D29</f>
        <v>318659.20833333331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45737.25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272921.95833333331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1896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115" t="s">
        <v>171</v>
      </c>
      <c r="G22" s="72">
        <v>11764</v>
      </c>
      <c r="H22" s="199">
        <v>3250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318659.20833333331</v>
      </c>
      <c r="F29" s="185" t="s">
        <v>54</v>
      </c>
      <c r="G29" s="186"/>
      <c r="H29" s="189">
        <f>H15-H16-H17-H18-H19-H20-H22-H23-H24+H26+H27</f>
        <v>267775.95833333331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217">
        <f>F34*G34</f>
        <v>63000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217">
        <f>F35*G35</f>
        <v>29000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7">
        <f t="shared" ref="H36:H39" si="2">F36*G36</f>
        <v>200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217">
        <f t="shared" si="2"/>
        <v>1300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217">
        <f t="shared" si="2"/>
        <v>150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7">
        <v>75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201">
        <v>140936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201">
        <v>32838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2</v>
      </c>
      <c r="D46" s="12">
        <f>C46*1.5</f>
        <v>3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6</v>
      </c>
      <c r="D49" s="12">
        <f>C49*42</f>
        <v>252</v>
      </c>
      <c r="F49" s="242" t="s">
        <v>85</v>
      </c>
      <c r="G49" s="189">
        <f>H34+H35+H36+H37+H38+H39+H40+H41+G42+H44+H45+H46+H47+H48</f>
        <v>267499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8</v>
      </c>
      <c r="D50" s="12">
        <f>C50*1.5</f>
        <v>12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-276.95833333331393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9" priority="1" operator="containsText" text="OVER">
      <formula>NOT(ISERROR(SEARCH("OVER",F51)))</formula>
    </cfRule>
    <cfRule type="containsText" dxfId="11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0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482</v>
      </c>
      <c r="D6" s="13">
        <f t="shared" ref="D6:D28" si="1">C6*L6</f>
        <v>366802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15</v>
      </c>
      <c r="D7" s="13">
        <f t="shared" si="1"/>
        <v>11715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37</v>
      </c>
      <c r="D9" s="13">
        <f t="shared" si="1"/>
        <v>27121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2</v>
      </c>
      <c r="D10" s="13">
        <f t="shared" si="1"/>
        <v>2064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3</v>
      </c>
      <c r="D13" s="48">
        <f t="shared" si="1"/>
        <v>921</v>
      </c>
      <c r="F13" s="162" t="s">
        <v>36</v>
      </c>
      <c r="G13" s="163"/>
      <c r="H13" s="164">
        <f>D29</f>
        <v>408810.70833333331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17</v>
      </c>
      <c r="D14" s="31">
        <f t="shared" si="1"/>
        <v>187.70833333333331</v>
      </c>
      <c r="F14" s="167" t="s">
        <v>38</v>
      </c>
      <c r="G14" s="168"/>
      <c r="H14" s="169">
        <f>D54</f>
        <v>60101.25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348709.45833333331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5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408810.70833333331</v>
      </c>
      <c r="F29" s="185" t="s">
        <v>54</v>
      </c>
      <c r="G29" s="186"/>
      <c r="H29" s="189">
        <f>H15-H16-H17-H18-H19-H20-H22-H23-H24+H26+H27+H28</f>
        <v>348709.45833333331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263</v>
      </c>
      <c r="H34" s="217">
        <f t="shared" ref="H34:H39" si="2">F34*G34</f>
        <v>263000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95</v>
      </c>
      <c r="H35" s="217">
        <f t="shared" si="2"/>
        <v>47500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528</v>
      </c>
      <c r="D37" s="12">
        <f>C37*111</f>
        <v>58608</v>
      </c>
      <c r="F37" s="12">
        <v>100</v>
      </c>
      <c r="G37" s="39">
        <v>33</v>
      </c>
      <c r="H37" s="217">
        <f t="shared" si="2"/>
        <v>3300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07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15</v>
      </c>
      <c r="D42" s="12">
        <f>C42*2.25</f>
        <v>33.75</v>
      </c>
      <c r="F42" s="39" t="s">
        <v>78</v>
      </c>
      <c r="G42" s="217">
        <v>155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201">
        <v>34470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348425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15</v>
      </c>
      <c r="D50" s="12">
        <f>C50*1.5</f>
        <v>22.5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-284.45833333331393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60101.25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6" priority="1" operator="containsText" text="OVER">
      <formula>NOT(ISERROR(SEARCH("OVER",F51)))</formula>
    </cfRule>
    <cfRule type="containsText" dxfId="11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373</v>
      </c>
      <c r="D6" s="13">
        <f t="shared" ref="D6:D28" si="1">C6*L6</f>
        <v>283853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24</v>
      </c>
      <c r="D9" s="13">
        <f t="shared" si="1"/>
        <v>17592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162" t="s">
        <v>36</v>
      </c>
      <c r="G13" s="163"/>
      <c r="H13" s="164">
        <f>D29</f>
        <v>314974.20833333331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51996.75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262977.45833333331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1224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314974.20833333331</v>
      </c>
      <c r="F29" s="185" t="s">
        <v>54</v>
      </c>
      <c r="G29" s="186"/>
      <c r="H29" s="189">
        <f>H15-H16-H17-H18-H19-H20-H22-H23-H24+H26+H27</f>
        <v>261753.45833333331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176</v>
      </c>
      <c r="H34" s="217">
        <f>F34*G34</f>
        <v>176000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19</v>
      </c>
      <c r="H35" s="217">
        <f>F35*G35</f>
        <v>9500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448</v>
      </c>
      <c r="D37" s="12">
        <f>C37*111</f>
        <v>49728</v>
      </c>
      <c r="F37" s="12">
        <v>100</v>
      </c>
      <c r="G37" s="39">
        <v>4</v>
      </c>
      <c r="H37" s="217">
        <f t="shared" si="2"/>
        <v>400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7">
        <v>68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148</v>
      </c>
      <c r="G44" s="87" t="s">
        <v>155</v>
      </c>
      <c r="H44" s="201">
        <v>76215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262183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8</v>
      </c>
      <c r="D50" s="12">
        <f>C50*1.5</f>
        <v>12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429.54166666668607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51996.75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3" priority="1" operator="containsText" text="OVER">
      <formula>NOT(ISERROR(SEARCH("OVER",F51)))</formula>
    </cfRule>
    <cfRule type="containsText" dxfId="11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387</v>
      </c>
      <c r="D6" s="13">
        <f t="shared" ref="D6:D28" si="1">C6*L6</f>
        <v>294507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4</v>
      </c>
      <c r="D7" s="13">
        <f t="shared" si="1"/>
        <v>3124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1</v>
      </c>
      <c r="D8" s="13">
        <f t="shared" si="1"/>
        <v>1093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108</v>
      </c>
      <c r="D9" s="13">
        <f t="shared" si="1"/>
        <v>79164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14</v>
      </c>
      <c r="D13" s="48">
        <f t="shared" si="1"/>
        <v>4298</v>
      </c>
      <c r="F13" s="162" t="s">
        <v>36</v>
      </c>
      <c r="G13" s="163"/>
      <c r="H13" s="164">
        <f>D29</f>
        <v>383530.16666666669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4</v>
      </c>
      <c r="D14" s="31">
        <f t="shared" si="1"/>
        <v>44.166666666666664</v>
      </c>
      <c r="F14" s="167" t="s">
        <v>38</v>
      </c>
      <c r="G14" s="168"/>
      <c r="H14" s="169">
        <f>D54</f>
        <v>57755.25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325774.91666666669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6">
        <v>2406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383530.16666666669</v>
      </c>
      <c r="F29" s="185" t="s">
        <v>54</v>
      </c>
      <c r="G29" s="186"/>
      <c r="H29" s="189">
        <f>H15-H16-H17-H18-H19-H20-H22-H23-H24+H26+H27</f>
        <v>323368.91666666669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217">
        <f>F34*G34</f>
        <v>59000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8</v>
      </c>
      <c r="H35" s="217">
        <f>F35*G35</f>
        <v>4000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481</v>
      </c>
      <c r="D37" s="12">
        <f>C37*111</f>
        <v>53391</v>
      </c>
      <c r="F37" s="12">
        <v>100</v>
      </c>
      <c r="G37" s="39">
        <v>5</v>
      </c>
      <c r="H37" s="217">
        <f t="shared" si="2"/>
        <v>500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7">
        <v>64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136</v>
      </c>
      <c r="G44" s="62" t="s">
        <v>156</v>
      </c>
      <c r="H44" s="201">
        <v>87905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133</v>
      </c>
      <c r="G45" s="87" t="s">
        <v>157</v>
      </c>
      <c r="H45" s="201">
        <v>171965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323534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4</v>
      </c>
      <c r="D50" s="12">
        <f>C50*1.5</f>
        <v>6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165.08333333331393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57755.25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0" priority="1" operator="containsText" text="OVER">
      <formula>NOT(ISERROR(SEARCH("OVER",F51)))</formula>
    </cfRule>
    <cfRule type="containsText" dxfId="10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0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5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7" priority="1" operator="containsText" text="OVER">
      <formula>NOT(ISERROR(SEARCH("OVER",F51)))</formula>
    </cfRule>
    <cfRule type="containsText" dxfId="10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273</v>
      </c>
      <c r="D6" s="13">
        <f t="shared" ref="D6:D28" si="1">C6*L6</f>
        <v>207753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9</v>
      </c>
      <c r="D7" s="13">
        <f t="shared" si="1"/>
        <v>7029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12</v>
      </c>
      <c r="D9" s="13">
        <f t="shared" si="1"/>
        <v>8796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11</v>
      </c>
      <c r="D13" s="48">
        <f t="shared" si="1"/>
        <v>3377</v>
      </c>
      <c r="F13" s="162" t="s">
        <v>36</v>
      </c>
      <c r="G13" s="163"/>
      <c r="H13" s="164">
        <f>D29</f>
        <v>226955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33465.75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193489.25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1350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 t="s">
        <v>132</v>
      </c>
      <c r="G26" s="59">
        <v>11720</v>
      </c>
      <c r="H26" s="205">
        <v>67927</v>
      </c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226955</v>
      </c>
      <c r="F29" s="185" t="s">
        <v>54</v>
      </c>
      <c r="G29" s="186"/>
      <c r="H29" s="189">
        <f>H15-H16-H17-H18-H19-H20-H22-H23-H24+H26+H27</f>
        <v>260066.25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100</v>
      </c>
      <c r="H34" s="217">
        <f>F34*G34</f>
        <v>100000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319</v>
      </c>
      <c r="H35" s="217">
        <f>F35*G35</f>
        <v>159500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4</v>
      </c>
      <c r="H37" s="217">
        <f t="shared" si="2"/>
        <v>400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3</v>
      </c>
      <c r="D42" s="12">
        <f>C42*2.25</f>
        <v>6.75</v>
      </c>
      <c r="F42" s="39" t="s">
        <v>78</v>
      </c>
      <c r="G42" s="217">
        <v>52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13</v>
      </c>
      <c r="D49" s="12">
        <f>C49*42</f>
        <v>546</v>
      </c>
      <c r="F49" s="242" t="s">
        <v>85</v>
      </c>
      <c r="G49" s="189">
        <f>H34+H35+H36+H37+H38+H39+H40+H41+G42+H44+H45+H46+H47+H48</f>
        <v>259952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4</v>
      </c>
      <c r="D50" s="12">
        <f>C50*1.5</f>
        <v>6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-114.25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33465.75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4" priority="1" operator="containsText" text="OVER">
      <formula>NOT(ISERROR(SEARCH("OVER",F51)))</formula>
    </cfRule>
    <cfRule type="containsText" dxfId="10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280</v>
      </c>
      <c r="D6" s="13">
        <f t="shared" ref="D6:D28" si="1">C6*L6</f>
        <v>213080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6</v>
      </c>
      <c r="D7" s="13">
        <f t="shared" si="1"/>
        <v>4686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108</v>
      </c>
      <c r="D9" s="13">
        <f t="shared" si="1"/>
        <v>79164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2</v>
      </c>
      <c r="D10" s="13">
        <f t="shared" si="1"/>
        <v>2064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2</v>
      </c>
      <c r="D12" s="48">
        <f t="shared" si="1"/>
        <v>1984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7</v>
      </c>
      <c r="D13" s="48">
        <f t="shared" si="1"/>
        <v>2149</v>
      </c>
      <c r="F13" s="162" t="s">
        <v>36</v>
      </c>
      <c r="G13" s="163"/>
      <c r="H13" s="164">
        <f>D29</f>
        <v>303138.04166666669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</v>
      </c>
      <c r="D14" s="31">
        <f t="shared" si="1"/>
        <v>11.041666666666666</v>
      </c>
      <c r="F14" s="167" t="s">
        <v>38</v>
      </c>
      <c r="G14" s="168"/>
      <c r="H14" s="169">
        <f>D54</f>
        <v>26834.25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276303.79166666669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1944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303138.04166666669</v>
      </c>
      <c r="F29" s="185" t="s">
        <v>54</v>
      </c>
      <c r="G29" s="186"/>
      <c r="H29" s="189">
        <f>H15-H16-H17-H18-H19-H20-H22-H23-H24+H26+H27</f>
        <v>274359.79166666669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37</v>
      </c>
      <c r="H34" s="217">
        <f>F34*G34</f>
        <v>37000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25</v>
      </c>
      <c r="H35" s="217">
        <f>F35*G35</f>
        <v>12500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224</v>
      </c>
      <c r="D37" s="12">
        <f>C37*111</f>
        <v>24864</v>
      </c>
      <c r="F37" s="12">
        <v>100</v>
      </c>
      <c r="G37" s="39">
        <v>6</v>
      </c>
      <c r="H37" s="217">
        <f t="shared" si="2"/>
        <v>600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</v>
      </c>
      <c r="D42" s="12">
        <f>C42*2.25</f>
        <v>2.25</v>
      </c>
      <c r="F42" s="39" t="s">
        <v>78</v>
      </c>
      <c r="G42" s="217">
        <v>15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158</v>
      </c>
      <c r="H44" s="201">
        <v>224164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/>
      <c r="G45" s="62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</v>
      </c>
      <c r="D46" s="12">
        <f>C46*1.5</f>
        <v>1.5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4</v>
      </c>
      <c r="D49" s="12">
        <f>C49*42</f>
        <v>168</v>
      </c>
      <c r="F49" s="242" t="s">
        <v>85</v>
      </c>
      <c r="G49" s="189">
        <f>H34+H35+H36+H37+H38+H39+H40+H41+G42+H44+H45+H46+H47+H48</f>
        <v>274329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3</v>
      </c>
      <c r="D50" s="12">
        <f>C50*1.5</f>
        <v>4.5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-30.791666666686069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26834.25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01" priority="1" operator="containsText" text="OVER">
      <formula>NOT(ISERROR(SEARCH("OVER",F51)))</formula>
    </cfRule>
    <cfRule type="containsText" dxfId="10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03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323</v>
      </c>
      <c r="D6" s="13">
        <f t="shared" ref="D6:D28" si="1">C6*L6</f>
        <v>245803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8</v>
      </c>
      <c r="D9" s="13">
        <f t="shared" si="1"/>
        <v>5864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6</v>
      </c>
      <c r="D13" s="48">
        <f t="shared" si="1"/>
        <v>1842</v>
      </c>
      <c r="F13" s="162" t="s">
        <v>36</v>
      </c>
      <c r="G13" s="163"/>
      <c r="H13" s="164">
        <f>D29</f>
        <v>256140.29166666666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7</v>
      </c>
      <c r="D14" s="31">
        <f t="shared" si="1"/>
        <v>77.291666666666657</v>
      </c>
      <c r="F14" s="167" t="s">
        <v>38</v>
      </c>
      <c r="G14" s="168"/>
      <c r="H14" s="169">
        <f>D54</f>
        <v>49918.5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206221.79166666666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5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256140.29166666666</v>
      </c>
      <c r="F29" s="185" t="s">
        <v>54</v>
      </c>
      <c r="G29" s="186"/>
      <c r="H29" s="189">
        <f>H15-H16-H17-H18-H19-H20-H22-H23-H24+H26+H27+H28</f>
        <v>204925.79166666666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56</v>
      </c>
      <c r="H34" s="217">
        <f t="shared" ref="H34:H39" si="2">F34*G34</f>
        <v>56000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21</v>
      </c>
      <c r="H35" s="217">
        <f t="shared" si="2"/>
        <v>10500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418</v>
      </c>
      <c r="D37" s="12">
        <f>C37*111</f>
        <v>46398</v>
      </c>
      <c r="F37" s="12">
        <v>100</v>
      </c>
      <c r="G37" s="39">
        <v>17</v>
      </c>
      <c r="H37" s="217">
        <f t="shared" si="2"/>
        <v>1700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7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48</v>
      </c>
      <c r="D42" s="12">
        <f>C42*2.25</f>
        <v>108</v>
      </c>
      <c r="F42" s="39" t="s">
        <v>78</v>
      </c>
      <c r="G42" s="217">
        <v>47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159</v>
      </c>
      <c r="H44" s="201">
        <v>131436.5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2</v>
      </c>
      <c r="D45" s="12">
        <f>C45*84</f>
        <v>168</v>
      </c>
      <c r="F45" s="37" t="s">
        <v>133</v>
      </c>
      <c r="G45" s="108" t="s">
        <v>134</v>
      </c>
      <c r="H45" s="201">
        <v>5000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13</v>
      </c>
      <c r="D46" s="12">
        <f>C46*1.5</f>
        <v>19.5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204783.5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11</v>
      </c>
      <c r="D50" s="12">
        <f>C50*1.5</f>
        <v>16.5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-142.29166666665697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49918.5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8" priority="1" operator="containsText" text="OVER">
      <formula>NOT(ISERROR(SEARCH("OVER",F51)))</formula>
    </cfRule>
    <cfRule type="containsText" dxfId="9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361</v>
      </c>
      <c r="D6" s="13">
        <f t="shared" ref="D6:D28" si="1">C6*L6</f>
        <v>274721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125</v>
      </c>
      <c r="D9" s="13">
        <f t="shared" si="1"/>
        <v>91625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6+1</f>
        <v>7</v>
      </c>
      <c r="D12" s="48">
        <f t="shared" si="1"/>
        <v>6944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16</v>
      </c>
      <c r="D13" s="48">
        <f t="shared" si="1"/>
        <v>4912</v>
      </c>
      <c r="F13" s="162" t="s">
        <v>36</v>
      </c>
      <c r="G13" s="163"/>
      <c r="H13" s="164">
        <f>D29</f>
        <v>380601.70833333331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17</v>
      </c>
      <c r="D14" s="31">
        <f t="shared" si="1"/>
        <v>187.70833333333331</v>
      </c>
      <c r="F14" s="167" t="s">
        <v>38</v>
      </c>
      <c r="G14" s="168"/>
      <c r="H14" s="169">
        <f>D54</f>
        <v>55885.5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324716.20833333331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>
        <v>1974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380601.70833333331</v>
      </c>
      <c r="F29" s="185" t="s">
        <v>54</v>
      </c>
      <c r="G29" s="186"/>
      <c r="H29" s="189">
        <f>H15-H16-H17-H18-H19-H20-H22-H23-H24+H26+H27</f>
        <v>322742.20833333331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86</v>
      </c>
      <c r="H34" s="217">
        <f>F34*G34</f>
        <v>86000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453</v>
      </c>
      <c r="H35" s="217">
        <f>F35*G35</f>
        <v>226500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493</v>
      </c>
      <c r="D37" s="12">
        <f>C37*111</f>
        <v>54723</v>
      </c>
      <c r="F37" s="12">
        <v>100</v>
      </c>
      <c r="G37" s="39">
        <v>92</v>
      </c>
      <c r="H37" s="217">
        <f t="shared" si="2"/>
        <v>9200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</v>
      </c>
      <c r="D42" s="12">
        <f>C42*2.25</f>
        <v>4.5</v>
      </c>
      <c r="F42" s="39" t="s">
        <v>78</v>
      </c>
      <c r="G42" s="217">
        <v>50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10</v>
      </c>
      <c r="D49" s="12">
        <f>C49*42</f>
        <v>420</v>
      </c>
      <c r="F49" s="242" t="s">
        <v>85</v>
      </c>
      <c r="G49" s="189">
        <f>H34+H35+H36+H37+H38+H39+H40+H41+G42+H44+H45+H46+H47+H48</f>
        <v>321800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13</v>
      </c>
      <c r="D50" s="12">
        <f>C50*1.5</f>
        <v>19.5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-942.20833333331393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55885.5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5" priority="1" operator="containsText" text="OVER">
      <formula>NOT(ISERROR(SEARCH("OVER",F51)))</formula>
    </cfRule>
    <cfRule type="containsText" dxfId="9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484</v>
      </c>
      <c r="D6" s="13">
        <f t="shared" ref="D6:D28" si="1">C6*L6</f>
        <v>368324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26</v>
      </c>
      <c r="D7" s="13">
        <f t="shared" si="1"/>
        <v>20306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92</v>
      </c>
      <c r="D9" s="13">
        <f t="shared" si="1"/>
        <v>67436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12</v>
      </c>
      <c r="D13" s="48">
        <f t="shared" si="1"/>
        <v>3684</v>
      </c>
      <c r="F13" s="162" t="s">
        <v>36</v>
      </c>
      <c r="G13" s="163"/>
      <c r="H13" s="164">
        <f>D29</f>
        <v>459783.125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3</v>
      </c>
      <c r="D14" s="31">
        <f t="shared" si="1"/>
        <v>33.125</v>
      </c>
      <c r="F14" s="167" t="s">
        <v>38</v>
      </c>
      <c r="G14" s="168"/>
      <c r="H14" s="169">
        <f>D54</f>
        <v>76749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383034.125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3042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03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459783.125</v>
      </c>
      <c r="F29" s="185" t="s">
        <v>54</v>
      </c>
      <c r="G29" s="186"/>
      <c r="H29" s="189">
        <f>H15-H16-H17-H18-H19-H20-H22-H23-H24+H26+H27</f>
        <v>379942.125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217">
        <f>F34*G34</f>
        <v>127000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06">
        <v>144</v>
      </c>
      <c r="H35" s="217">
        <f>F35*G35</f>
        <v>72000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671</v>
      </c>
      <c r="D37" s="12">
        <f>C37*111</f>
        <v>74481</v>
      </c>
      <c r="F37" s="12">
        <v>100</v>
      </c>
      <c r="G37" s="39">
        <v>11</v>
      </c>
      <c r="H37" s="217">
        <f t="shared" si="2"/>
        <v>1100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17">
        <f t="shared" si="2"/>
        <v>250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07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07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58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5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136</v>
      </c>
      <c r="G44" s="62" t="s">
        <v>160</v>
      </c>
      <c r="H44" s="201">
        <v>98032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136</v>
      </c>
      <c r="G45" s="62" t="s">
        <v>161</v>
      </c>
      <c r="H45" s="201">
        <v>81476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379916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-26.125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76749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92" priority="1" operator="containsText" text="OVER">
      <formula>NOT(ISERROR(SEARCH("OVER",F51)))</formula>
    </cfRule>
    <cfRule type="containsText" dxfId="9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D746-7BF3-450E-8581-85A1E2681AC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1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AD60B-431B-42DE-A34B-D8282DF457CD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402</v>
      </c>
      <c r="D6" s="13">
        <f t="shared" ref="D6:D28" si="1">C6*L6</f>
        <v>305922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3</v>
      </c>
      <c r="D7" s="13">
        <f t="shared" si="1"/>
        <v>2343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2</v>
      </c>
      <c r="D8" s="13">
        <f t="shared" si="1"/>
        <v>2186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30</v>
      </c>
      <c r="D9" s="13">
        <f t="shared" si="1"/>
        <v>21990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4</v>
      </c>
      <c r="D10" s="13">
        <f t="shared" si="1"/>
        <v>4128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8</v>
      </c>
      <c r="D13" s="48">
        <f t="shared" si="1"/>
        <v>2456</v>
      </c>
      <c r="F13" s="162" t="s">
        <v>36</v>
      </c>
      <c r="G13" s="163"/>
      <c r="H13" s="164">
        <f>D29</f>
        <v>346704.58333333331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14</v>
      </c>
      <c r="D14" s="31">
        <f t="shared" si="1"/>
        <v>154.58333333333331</v>
      </c>
      <c r="F14" s="167" t="s">
        <v>38</v>
      </c>
      <c r="G14" s="168"/>
      <c r="H14" s="169">
        <f>D54</f>
        <v>49626.75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297077.83333333331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1667</f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 t="s">
        <v>163</v>
      </c>
      <c r="G22" s="72">
        <v>11698</v>
      </c>
      <c r="H22" s="199">
        <v>97987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>
        <v>6</v>
      </c>
      <c r="D28" s="48">
        <f t="shared" si="1"/>
        <v>4866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346704.58333333331</v>
      </c>
      <c r="F29" s="185" t="s">
        <v>54</v>
      </c>
      <c r="G29" s="186"/>
      <c r="H29" s="189">
        <f>H15-H16-H17-H18-H19-H20-H22-H23-H24+H26+H27+H28</f>
        <v>199090.83333333331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38</v>
      </c>
      <c r="H34" s="217">
        <f t="shared" ref="H34:H39" si="2">F34*G34</f>
        <v>38000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12</v>
      </c>
      <c r="H35" s="217">
        <f t="shared" si="2"/>
        <v>6000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419</v>
      </c>
      <c r="D37" s="12">
        <f>C37*111</f>
        <v>46509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16</v>
      </c>
      <c r="D38" s="12">
        <f>C38*84</f>
        <v>1344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25</v>
      </c>
      <c r="D42" s="12">
        <f>C42*2.25</f>
        <v>56.25</v>
      </c>
      <c r="F42" s="39" t="s">
        <v>78</v>
      </c>
      <c r="G42" s="217">
        <v>22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4</v>
      </c>
      <c r="D44" s="12">
        <f>C44*120</f>
        <v>480</v>
      </c>
      <c r="F44" s="37" t="s">
        <v>148</v>
      </c>
      <c r="G44" s="87" t="s">
        <v>165</v>
      </c>
      <c r="H44" s="201">
        <v>70887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135</v>
      </c>
      <c r="G45" s="87"/>
      <c r="H45" s="201">
        <v>11131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 t="s">
        <v>166</v>
      </c>
      <c r="G46" s="108" t="s">
        <v>134</v>
      </c>
      <c r="H46" s="201">
        <v>71799</v>
      </c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197839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6</v>
      </c>
      <c r="D50" s="12">
        <f>C50*1.5</f>
        <v>9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-1251.8333333333139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49626.75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9" priority="1" operator="containsText" text="OVER">
      <formula>NOT(ISERROR(SEARCH("OVER",F51)))</formula>
    </cfRule>
    <cfRule type="containsText" dxfId="8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B10421A-234D-4F60-9A3B-E0C182FB63F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D0AC-98C3-48E3-BBE0-FFD2A28BF8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344</v>
      </c>
      <c r="D6" s="13">
        <f t="shared" ref="D6:D28" si="1">C6*L6</f>
        <v>261784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3</v>
      </c>
      <c r="D7" s="13">
        <f t="shared" si="1"/>
        <v>2343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23</v>
      </c>
      <c r="D9" s="13">
        <f t="shared" si="1"/>
        <v>16859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162" t="s">
        <v>36</v>
      </c>
      <c r="G13" s="163"/>
      <c r="H13" s="164">
        <f>D29</f>
        <v>284254.75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18</v>
      </c>
      <c r="D14" s="31">
        <f t="shared" si="1"/>
        <v>198.75</v>
      </c>
      <c r="F14" s="167" t="s">
        <v>38</v>
      </c>
      <c r="G14" s="168"/>
      <c r="H14" s="169">
        <f>D54</f>
        <v>48858.75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235396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1806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284254.75</v>
      </c>
      <c r="F29" s="185" t="s">
        <v>54</v>
      </c>
      <c r="G29" s="186"/>
      <c r="H29" s="189">
        <f>H15-H16-H17-H18-H19-H20-H22-H23-H24+H26+H27</f>
        <v>233590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40</v>
      </c>
      <c r="H34" s="217">
        <f>F34*G34</f>
        <v>40000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4</v>
      </c>
      <c r="H35" s="217">
        <f>F35*G35</f>
        <v>2000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426</v>
      </c>
      <c r="D37" s="12">
        <f>C37*111</f>
        <v>47286</v>
      </c>
      <c r="F37" s="12">
        <v>100</v>
      </c>
      <c r="G37" s="39">
        <v>3</v>
      </c>
      <c r="H37" s="217">
        <f t="shared" si="2"/>
        <v>300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3</v>
      </c>
      <c r="D42" s="12">
        <f>C42*2.25</f>
        <v>6.75</v>
      </c>
      <c r="F42" s="39" t="s">
        <v>78</v>
      </c>
      <c r="G42" s="217">
        <v>20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136</v>
      </c>
      <c r="G44" s="62" t="s">
        <v>167</v>
      </c>
      <c r="H44" s="201">
        <v>124685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148</v>
      </c>
      <c r="G45" s="75" t="s">
        <v>168</v>
      </c>
      <c r="H45" s="201">
        <v>70347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237352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19</v>
      </c>
      <c r="D50" s="12">
        <f>C50*1.5</f>
        <v>28.5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3762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48858.75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6" priority="1" operator="containsText" text="OVER">
      <formula>NOT(ISERROR(SEARCH("OVER",F51)))</formula>
    </cfRule>
    <cfRule type="containsText" dxfId="8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76BF7B7-7A92-4C20-8F2D-BD2CB4160C9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001AF-F76F-4A1E-A85B-A153CB8FAC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418</v>
      </c>
      <c r="D6" s="13">
        <f t="shared" ref="D6:D28" si="1">C6*L6</f>
        <v>318098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30</v>
      </c>
      <c r="D9" s="13">
        <f t="shared" si="1"/>
        <v>21990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15</v>
      </c>
      <c r="D13" s="48">
        <f t="shared" si="1"/>
        <v>4605</v>
      </c>
      <c r="F13" s="162" t="s">
        <v>36</v>
      </c>
      <c r="G13" s="163"/>
      <c r="H13" s="164">
        <f>D29</f>
        <v>345718.125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3</v>
      </c>
      <c r="D14" s="31">
        <f t="shared" si="1"/>
        <v>33.125</v>
      </c>
      <c r="F14" s="167" t="s">
        <v>38</v>
      </c>
      <c r="G14" s="168"/>
      <c r="H14" s="169">
        <f>D54</f>
        <v>51191.25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294526.875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345718.125</v>
      </c>
      <c r="F29" s="185" t="s">
        <v>54</v>
      </c>
      <c r="G29" s="186"/>
      <c r="H29" s="189">
        <f>H15-H16-H17-H18-H19-H20-H22-H23-H24+H26+H27</f>
        <v>293230.875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114</v>
      </c>
      <c r="H34" s="217">
        <f>F34*G34</f>
        <v>114000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217">
        <f>F35*G35</f>
        <v>35500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434</v>
      </c>
      <c r="D37" s="12">
        <f>C37*111</f>
        <v>48174</v>
      </c>
      <c r="F37" s="12">
        <v>100</v>
      </c>
      <c r="G37" s="39">
        <v>11</v>
      </c>
      <c r="H37" s="217">
        <f t="shared" si="2"/>
        <v>1100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7">
        <v>663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2</v>
      </c>
      <c r="D44" s="12">
        <f>C44*120</f>
        <v>240</v>
      </c>
      <c r="F44" s="37" t="s">
        <v>133</v>
      </c>
      <c r="G44" s="87" t="s">
        <v>164</v>
      </c>
      <c r="H44" s="201">
        <v>141165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/>
      <c r="G45" s="62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2</v>
      </c>
      <c r="D49" s="12">
        <f>C49*42</f>
        <v>84</v>
      </c>
      <c r="F49" s="242" t="s">
        <v>85</v>
      </c>
      <c r="G49" s="189">
        <f>H34+H35+H36+H37+H38+H39+H40+H41+G42+H44+H45+H46+H47+H48</f>
        <v>292478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21</v>
      </c>
      <c r="D50" s="12">
        <f>C50*1.5</f>
        <v>31.5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-752.875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51191.25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3" priority="1" operator="containsText" text="OVER">
      <formula>NOT(ISERROR(SEARCH("OVER",F51)))</formula>
    </cfRule>
    <cfRule type="containsText" dxfId="8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EE3343-CB81-4237-B89E-0830872B407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9F79-17B0-44EE-9C7D-DE5282A14E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1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C8B3-5A1A-4332-9FAC-CBD26C75FB0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46246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632</v>
      </c>
      <c r="D6" s="13">
        <f t="shared" ref="D6:D28" si="1">C6*L6</f>
        <v>480952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10</v>
      </c>
      <c r="D7" s="13">
        <f t="shared" si="1"/>
        <v>7810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32</v>
      </c>
      <c r="D9" s="13">
        <f t="shared" si="1"/>
        <v>23456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9</v>
      </c>
      <c r="D13" s="48">
        <f t="shared" si="1"/>
        <v>2763</v>
      </c>
      <c r="F13" s="162" t="s">
        <v>36</v>
      </c>
      <c r="G13" s="163"/>
      <c r="H13" s="164">
        <f>D29</f>
        <v>519146.41666666669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10</v>
      </c>
      <c r="D14" s="31">
        <f t="shared" si="1"/>
        <v>110.41666666666666</v>
      </c>
      <c r="F14" s="167" t="s">
        <v>38</v>
      </c>
      <c r="G14" s="168"/>
      <c r="H14" s="169">
        <f>D54</f>
        <v>77385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441761.41666666669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3402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 t="s">
        <v>163</v>
      </c>
      <c r="G26" s="65">
        <v>11426</v>
      </c>
      <c r="H26" s="201">
        <v>82890</v>
      </c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>
        <v>5</v>
      </c>
      <c r="D28" s="48">
        <f t="shared" si="1"/>
        <v>4055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519146.41666666669</v>
      </c>
      <c r="F29" s="185" t="s">
        <v>54</v>
      </c>
      <c r="G29" s="186"/>
      <c r="H29" s="189">
        <f>H15-H16-H17-H18-H19-H20-H22-H23-H24+H26+H27+H28</f>
        <v>521249.41666666669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77</v>
      </c>
      <c r="H34" s="217">
        <f t="shared" ref="H34:H39" si="2">F34*G34</f>
        <v>77000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700</v>
      </c>
      <c r="H35" s="217">
        <f t="shared" si="2"/>
        <v>350000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684</v>
      </c>
      <c r="D37" s="12">
        <f>C37*111</f>
        <v>75924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1</v>
      </c>
      <c r="H39" s="217">
        <f t="shared" si="2"/>
        <v>20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7">
        <v>109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201">
        <v>11000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166</v>
      </c>
      <c r="G45" s="108" t="s">
        <v>134</v>
      </c>
      <c r="H45" s="201">
        <v>82890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9</v>
      </c>
      <c r="D49" s="12">
        <f>C49*42</f>
        <v>378</v>
      </c>
      <c r="F49" s="242" t="s">
        <v>85</v>
      </c>
      <c r="G49" s="189">
        <f>H34+H35+H36+H37+H38+H39+H40+H41+G42+H44+H45+H46+H47+H48</f>
        <v>521119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13</v>
      </c>
      <c r="D50" s="12">
        <f>C50*1.5</f>
        <v>19.5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-130.41666666668607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77385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0" priority="1" operator="containsText" text="OVER">
      <formula>NOT(ISERROR(SEARCH("OVER",F51)))</formula>
    </cfRule>
    <cfRule type="containsText" dxfId="7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4DE323F-8145-4FEA-89C1-D86E7E08F8F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2C4B4-E238-4EA6-89A1-2B6431166D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46246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362</v>
      </c>
      <c r="D6" s="13">
        <f t="shared" ref="D6:D28" si="1">C6*L6</f>
        <v>275482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</v>
      </c>
      <c r="D9" s="13">
        <f t="shared" si="1"/>
        <v>7330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10</v>
      </c>
      <c r="D13" s="48">
        <f t="shared" si="1"/>
        <v>3070</v>
      </c>
      <c r="F13" s="162" t="s">
        <v>36</v>
      </c>
      <c r="G13" s="163"/>
      <c r="H13" s="164">
        <f>D29</f>
        <v>286025.54166666669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13</v>
      </c>
      <c r="D14" s="31">
        <f t="shared" si="1"/>
        <v>143.54166666666666</v>
      </c>
      <c r="F14" s="167" t="s">
        <v>38</v>
      </c>
      <c r="G14" s="168"/>
      <c r="H14" s="169">
        <f>D54</f>
        <v>37234.5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248791.04166666669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1944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286025.54166666669</v>
      </c>
      <c r="F29" s="185" t="s">
        <v>54</v>
      </c>
      <c r="G29" s="186"/>
      <c r="H29" s="189">
        <f>H15-H16-H17-H18-H19-H20-H22-H23-H24+H26+H27</f>
        <v>246847.04166666669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217">
        <f>F34*G34</f>
        <v>127000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235</v>
      </c>
      <c r="H35" s="217">
        <f>F35*G35</f>
        <v>117500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1</v>
      </c>
      <c r="H37" s="217">
        <f t="shared" si="2"/>
        <v>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48</v>
      </c>
      <c r="D38" s="12">
        <f>C38*84</f>
        <v>4032</v>
      </c>
      <c r="F38" s="30">
        <v>50</v>
      </c>
      <c r="G38" s="39">
        <v>5</v>
      </c>
      <c r="H38" s="217">
        <f t="shared" si="2"/>
        <v>250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17">
        <f t="shared" si="2"/>
        <v>20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182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8</v>
      </c>
      <c r="D49" s="12">
        <f>C49*42</f>
        <v>336</v>
      </c>
      <c r="F49" s="242" t="s">
        <v>85</v>
      </c>
      <c r="G49" s="189">
        <f>H34+H35+H36+H37+H38+H39+H40+H41+G42+H44+H45+H46+H47+H48</f>
        <v>245052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13</v>
      </c>
      <c r="D50" s="12">
        <f>C50*1.5</f>
        <v>19.5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-1795.0416666666861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37234.5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7" priority="1" operator="containsText" text="OVER">
      <formula>NOT(ISERROR(SEARCH("OVER",F51)))</formula>
    </cfRule>
    <cfRule type="containsText" dxfId="7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AF692F1-0953-4FFA-AE22-5D2EBF8CB6C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92D5-7934-4E4D-8E6A-7C77F069F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46246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292</v>
      </c>
      <c r="D6" s="13">
        <f t="shared" ref="D6:D28" si="1">C6*L6</f>
        <v>222212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2</v>
      </c>
      <c r="D8" s="13">
        <f t="shared" si="1"/>
        <v>2186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51</v>
      </c>
      <c r="D9" s="13">
        <f t="shared" si="1"/>
        <v>37383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2</v>
      </c>
      <c r="D11" s="13">
        <f t="shared" si="1"/>
        <v>2340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3+1+1</f>
        <v>5</v>
      </c>
      <c r="D12" s="48">
        <f t="shared" si="1"/>
        <v>4960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7</v>
      </c>
      <c r="D13" s="48">
        <f t="shared" si="1"/>
        <v>2149</v>
      </c>
      <c r="F13" s="162" t="s">
        <v>36</v>
      </c>
      <c r="G13" s="163"/>
      <c r="H13" s="164">
        <f>D29</f>
        <v>271982.5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12</v>
      </c>
      <c r="D14" s="31">
        <f t="shared" si="1"/>
        <v>132.5</v>
      </c>
      <c r="F14" s="167" t="s">
        <v>38</v>
      </c>
      <c r="G14" s="168"/>
      <c r="H14" s="169">
        <f>D54</f>
        <v>39660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232322.5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720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271982.5</v>
      </c>
      <c r="F29" s="185" t="s">
        <v>54</v>
      </c>
      <c r="G29" s="186"/>
      <c r="H29" s="189">
        <f>H15-H16-H17-H18-H19-H20-H22-H23-H24+H26+H27</f>
        <v>231602.5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177</v>
      </c>
      <c r="H34" s="217">
        <f>F34*G34</f>
        <v>177000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107</v>
      </c>
      <c r="H35" s="217">
        <f>F35*G35</f>
        <v>53500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</v>
      </c>
      <c r="H38" s="217">
        <f t="shared" si="2"/>
        <v>150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17">
        <f t="shared" si="2"/>
        <v>20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7">
        <v>291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10</v>
      </c>
      <c r="D44" s="12">
        <f>C44*120</f>
        <v>1200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62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3</v>
      </c>
      <c r="D49" s="12">
        <f>C49*42</f>
        <v>126</v>
      </c>
      <c r="F49" s="242" t="s">
        <v>85</v>
      </c>
      <c r="G49" s="189">
        <f>H34+H35+H36+H37+H38+H39+H40+H41+G42+H44+H45+H46+H47+H48</f>
        <v>230961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23</v>
      </c>
      <c r="D50" s="12">
        <f>C50*1.5</f>
        <v>34.5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-641.5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39660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4" priority="1" operator="containsText" text="OVER">
      <formula>NOT(ISERROR(SEARCH("OVER",F51)))</formula>
    </cfRule>
    <cfRule type="containsText" dxfId="7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FA0E39-9486-48A8-8C04-8C0FBC3EA3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3A5B-BCBF-4D1C-9ABA-159C3E1168A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1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A67ED-BC64-46A8-861C-F296B5DB5A5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347</v>
      </c>
      <c r="D6" s="13">
        <f t="shared" ref="D6:D28" si="1">C6*L6</f>
        <v>264067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8</v>
      </c>
      <c r="D7" s="13">
        <f t="shared" si="1"/>
        <v>6248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55</v>
      </c>
      <c r="D8" s="13">
        <f t="shared" si="1"/>
        <v>60115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20</v>
      </c>
      <c r="D9" s="13">
        <f t="shared" si="1"/>
        <v>14660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3</v>
      </c>
      <c r="D10" s="13">
        <f t="shared" si="1"/>
        <v>3096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2</v>
      </c>
      <c r="D11" s="13">
        <f t="shared" si="1"/>
        <v>2340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1+2</f>
        <v>3</v>
      </c>
      <c r="D12" s="48">
        <f t="shared" si="1"/>
        <v>2976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3</v>
      </c>
      <c r="D13" s="48">
        <f t="shared" si="1"/>
        <v>921</v>
      </c>
      <c r="F13" s="162" t="s">
        <v>36</v>
      </c>
      <c r="G13" s="163"/>
      <c r="H13" s="164">
        <f>D29</f>
        <v>354423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53400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301023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 t="s">
        <v>132</v>
      </c>
      <c r="G22" s="72">
        <v>11915</v>
      </c>
      <c r="H22" s="199">
        <v>62655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354423</v>
      </c>
      <c r="F29" s="185" t="s">
        <v>54</v>
      </c>
      <c r="G29" s="186"/>
      <c r="H29" s="189">
        <f>H15-H16-H17-H18-H19-H20-H22-H23-H24+H26+H27+H28</f>
        <v>238368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111</v>
      </c>
      <c r="H34" s="217">
        <f t="shared" ref="H34:H39" si="2">F34*G34</f>
        <v>111000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38</v>
      </c>
      <c r="H35" s="217">
        <f t="shared" si="2"/>
        <v>19000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7">
        <f t="shared" si="2"/>
        <v>200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22</v>
      </c>
      <c r="H37" s="217">
        <f t="shared" si="2"/>
        <v>2200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</v>
      </c>
      <c r="H38" s="217">
        <f t="shared" si="2"/>
        <v>200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14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6</v>
      </c>
      <c r="D41" s="12">
        <f>C41*84</f>
        <v>504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8</v>
      </c>
      <c r="D42" s="12">
        <f>C42*2.25</f>
        <v>18</v>
      </c>
      <c r="F42" s="39" t="s">
        <v>78</v>
      </c>
      <c r="G42" s="217">
        <v>72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62</v>
      </c>
      <c r="D44" s="12">
        <f>C44*120</f>
        <v>7440</v>
      </c>
      <c r="F44" s="37" t="s">
        <v>148</v>
      </c>
      <c r="G44" s="87" t="s">
        <v>173</v>
      </c>
      <c r="H44" s="201">
        <v>105758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42</v>
      </c>
      <c r="D45" s="12">
        <f>C45*84</f>
        <v>3528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</v>
      </c>
      <c r="D49" s="12">
        <f>C49*42</f>
        <v>42</v>
      </c>
      <c r="F49" s="242" t="s">
        <v>85</v>
      </c>
      <c r="G49" s="189">
        <f>H34+H35+H36+H37+H38+H39+H40+H41+G42+H44+H45+H46+H47+H48</f>
        <v>238430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3</v>
      </c>
      <c r="D50" s="12">
        <f>C50*1.5</f>
        <v>4.5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62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53400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1" priority="1" operator="containsText" text="OVER">
      <formula>NOT(ISERROR(SEARCH("OVER",F51)))</formula>
    </cfRule>
    <cfRule type="containsText" dxfId="7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2D16560-F2E0-4EB2-8A22-A584ACDB16A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4F587-2C9A-4B69-A0EF-518BCC701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345</v>
      </c>
      <c r="D6" s="13">
        <f t="shared" ref="D6:D28" si="1">C6*L6</f>
        <v>262545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10</v>
      </c>
      <c r="D7" s="13">
        <f t="shared" si="1"/>
        <v>7810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26</v>
      </c>
      <c r="D9" s="13">
        <f t="shared" si="1"/>
        <v>19058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8</v>
      </c>
      <c r="D13" s="48">
        <f t="shared" si="1"/>
        <v>2456</v>
      </c>
      <c r="F13" s="162" t="s">
        <v>36</v>
      </c>
      <c r="G13" s="163"/>
      <c r="H13" s="164">
        <f>D29</f>
        <v>293011.41666666669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10</v>
      </c>
      <c r="D14" s="31">
        <f t="shared" si="1"/>
        <v>110.41666666666666</v>
      </c>
      <c r="F14" s="167" t="s">
        <v>38</v>
      </c>
      <c r="G14" s="168"/>
      <c r="H14" s="169">
        <f>D54</f>
        <v>43533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249478.41666666669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1470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293011.41666666669</v>
      </c>
      <c r="F29" s="185" t="s">
        <v>54</v>
      </c>
      <c r="G29" s="186"/>
      <c r="H29" s="189">
        <f>H15-H16-H17-H18-H19-H20-H22-H23-H24+H26+H27</f>
        <v>248008.41666666669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140</v>
      </c>
      <c r="H34" s="217">
        <f>F34*G34</f>
        <v>140000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217">
        <f>F35*G35</f>
        <v>35500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17">
        <f t="shared" ref="H36:H39" si="2">F36*G36</f>
        <v>600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377</v>
      </c>
      <c r="D37" s="12">
        <f>C37*111</f>
        <v>41847</v>
      </c>
      <c r="F37" s="12">
        <v>100</v>
      </c>
      <c r="G37" s="39">
        <v>12</v>
      </c>
      <c r="H37" s="217">
        <f t="shared" si="2"/>
        <v>1200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</v>
      </c>
      <c r="D42" s="12">
        <f>C42*2.25</f>
        <v>4.5</v>
      </c>
      <c r="F42" s="39" t="s">
        <v>78</v>
      </c>
      <c r="G42" s="217">
        <v>26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148</v>
      </c>
      <c r="G44" s="87" t="s">
        <v>174</v>
      </c>
      <c r="H44" s="201">
        <v>70074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6</v>
      </c>
      <c r="D49" s="12">
        <f>C49*42</f>
        <v>252</v>
      </c>
      <c r="F49" s="242" t="s">
        <v>85</v>
      </c>
      <c r="G49" s="189">
        <f>H34+H35+H36+H37+H38+H39+H40+H41+G42+H44+H45+H46+H47+H48</f>
        <v>247450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2</v>
      </c>
      <c r="D50" s="12">
        <f>C50*1.5</f>
        <v>3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-558.41666666668607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43533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9E47FBB-B205-4F19-BB52-7EE4A27CA7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E7D97-2F30-471E-9BCB-2C5D32ACAC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46247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369</v>
      </c>
      <c r="D6" s="13">
        <f t="shared" ref="D6:D28" si="1">C6*L6</f>
        <v>280809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108</v>
      </c>
      <c r="D9" s="13">
        <f t="shared" si="1"/>
        <v>79164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2</v>
      </c>
      <c r="D11" s="13">
        <f t="shared" si="1"/>
        <v>2340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16</v>
      </c>
      <c r="D13" s="48">
        <f t="shared" si="1"/>
        <v>4912</v>
      </c>
      <c r="F13" s="162" t="s">
        <v>36</v>
      </c>
      <c r="G13" s="163"/>
      <c r="H13" s="164">
        <f>D29</f>
        <v>391216.08333333331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2</v>
      </c>
      <c r="D14" s="31">
        <f t="shared" si="1"/>
        <v>22.083333333333332</v>
      </c>
      <c r="F14" s="167" t="s">
        <v>38</v>
      </c>
      <c r="G14" s="168"/>
      <c r="H14" s="169">
        <f>D54</f>
        <v>54899.25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336316.83333333331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2736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172</v>
      </c>
      <c r="C21" s="10">
        <v>10</v>
      </c>
      <c r="D21" s="48">
        <f t="shared" si="1"/>
        <v>11020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1102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391216.08333333331</v>
      </c>
      <c r="F29" s="185" t="s">
        <v>54</v>
      </c>
      <c r="G29" s="186"/>
      <c r="H29" s="189">
        <f>H15-H16-H17-H18-H19-H20-H22-H23-H24+H26+H27</f>
        <v>333530.83333333331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</v>
      </c>
      <c r="H34" s="217">
        <f>F34*G34</f>
        <v>18000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14</v>
      </c>
      <c r="H35" s="217">
        <f>F35*G35</f>
        <v>7000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461</v>
      </c>
      <c r="D37" s="12">
        <f>C37*111</f>
        <v>51171</v>
      </c>
      <c r="F37" s="12">
        <v>100</v>
      </c>
      <c r="G37" s="39">
        <v>39</v>
      </c>
      <c r="H37" s="217">
        <f t="shared" si="2"/>
        <v>3900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</v>
      </c>
      <c r="D42" s="12">
        <f>C42*2.25</f>
        <v>2.25</v>
      </c>
      <c r="F42" s="39" t="s">
        <v>78</v>
      </c>
      <c r="G42" s="217">
        <v>20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175</v>
      </c>
      <c r="H44" s="201">
        <v>219967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176</v>
      </c>
      <c r="H45" s="201">
        <v>82199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22</v>
      </c>
      <c r="D46" s="12">
        <f>C46*1.5</f>
        <v>33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4</v>
      </c>
      <c r="D49" s="12">
        <f>C49*42</f>
        <v>168</v>
      </c>
      <c r="F49" s="242" t="s">
        <v>85</v>
      </c>
      <c r="G49" s="189">
        <f>H34+H35+H36+H37+H38+H39+H40+H41+G42+H44+H45+H46+H47+H48</f>
        <v>331136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18</v>
      </c>
      <c r="D50" s="12">
        <f>C50*1.5</f>
        <v>27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-2394.8333333333139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54899.25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3D9881F-7534-49BF-9BFD-902D0BE8A6C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31AF-3E14-4A45-BE1C-06D454771C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1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00D9-CAC6-42FD-A74B-F32EB719DCEA}">
  <dimension ref="A1:V68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412</v>
      </c>
      <c r="D6" s="13">
        <f t="shared" ref="D6:D28" si="1">C6*L6</f>
        <v>313532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10</v>
      </c>
      <c r="D7" s="13">
        <f t="shared" si="1"/>
        <v>7810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14</v>
      </c>
      <c r="D9" s="13">
        <f t="shared" si="1"/>
        <v>10262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</v>
      </c>
      <c r="D13" s="48">
        <f t="shared" si="1"/>
        <v>614</v>
      </c>
      <c r="F13" s="162" t="s">
        <v>36</v>
      </c>
      <c r="G13" s="163"/>
      <c r="H13" s="164">
        <f>D29</f>
        <v>340635.625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15</v>
      </c>
      <c r="D14" s="31">
        <f t="shared" si="1"/>
        <v>165.625</v>
      </c>
      <c r="F14" s="167" t="s">
        <v>38</v>
      </c>
      <c r="G14" s="168"/>
      <c r="H14" s="169">
        <f>D54</f>
        <v>45124.5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295511.125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1326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>
        <v>126.93</v>
      </c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>
        <v>5</v>
      </c>
      <c r="D28" s="48">
        <f t="shared" si="1"/>
        <v>4055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340635.625</v>
      </c>
      <c r="F29" s="185" t="s">
        <v>54</v>
      </c>
      <c r="G29" s="186"/>
      <c r="H29" s="189">
        <f>H15-H16-H17-H18-H19-H20-H22-H23-H24+H26+H27+H28</f>
        <v>294058.19500000001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95</v>
      </c>
      <c r="H34" s="217">
        <f t="shared" ref="H34:H39" si="2">F34*G34</f>
        <v>95000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17</v>
      </c>
      <c r="H35" s="217">
        <f t="shared" si="2"/>
        <v>8500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367</v>
      </c>
      <c r="D37" s="12">
        <f>C37*111</f>
        <v>40737</v>
      </c>
      <c r="F37" s="12">
        <v>100</v>
      </c>
      <c r="G37" s="39">
        <v>6</v>
      </c>
      <c r="H37" s="217">
        <f t="shared" si="2"/>
        <v>600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5</v>
      </c>
      <c r="H38" s="217">
        <f t="shared" si="2"/>
        <v>250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14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3</v>
      </c>
      <c r="D41" s="12">
        <f>C41*84</f>
        <v>252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22</v>
      </c>
      <c r="D42" s="12">
        <f>C42*2.25</f>
        <v>49.5</v>
      </c>
      <c r="F42" s="39" t="s">
        <v>78</v>
      </c>
      <c r="G42" s="217">
        <v>95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136</v>
      </c>
      <c r="G44" s="87" t="s">
        <v>177</v>
      </c>
      <c r="H44" s="201">
        <v>146466.5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133</v>
      </c>
      <c r="G45" s="108" t="s">
        <v>134</v>
      </c>
      <c r="H45" s="201">
        <v>32500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 t="s">
        <v>135</v>
      </c>
      <c r="G46" s="62"/>
      <c r="H46" s="201">
        <v>10000</v>
      </c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18</v>
      </c>
      <c r="D49" s="12">
        <f>C49*42</f>
        <v>756</v>
      </c>
      <c r="F49" s="242" t="s">
        <v>85</v>
      </c>
      <c r="G49" s="189">
        <f>H34+H35+H36+H37+H38+H39+H40+H41+G42+H44+H45+H46+H47+H48</f>
        <v>293411.5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31</v>
      </c>
      <c r="D50" s="12">
        <f>C50*1.5</f>
        <v>46.5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-646.69500000000698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45124.5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4655724-70BE-4296-B156-BE6A5C025B4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3000-1A67-4BA5-AA00-70EB39D67C2A}">
  <dimension ref="A1:R59"/>
  <sheetViews>
    <sheetView topLeftCell="A19" zoomScaleNormal="100" zoomScaleSheetLayoutView="85" workbookViewId="0">
      <selection activeCell="A54" sqref="A54:C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288</v>
      </c>
      <c r="D6" s="13">
        <f t="shared" ref="D6:D28" si="1">C6*L6</f>
        <v>219168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10</v>
      </c>
      <c r="D9" s="13">
        <f t="shared" si="1"/>
        <v>7330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9</v>
      </c>
      <c r="D13" s="48">
        <f t="shared" si="1"/>
        <v>2763</v>
      </c>
      <c r="F13" s="162" t="s">
        <v>36</v>
      </c>
      <c r="G13" s="163"/>
      <c r="H13" s="164">
        <f>D29</f>
        <v>230845.08333333334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2</v>
      </c>
      <c r="D14" s="31">
        <f t="shared" si="1"/>
        <v>22.083333333333332</v>
      </c>
      <c r="F14" s="167" t="s">
        <v>38</v>
      </c>
      <c r="G14" s="168"/>
      <c r="H14" s="169">
        <f>D54</f>
        <v>30505.5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200339.58333333334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1248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230845.08333333334</v>
      </c>
      <c r="F29" s="185" t="s">
        <v>54</v>
      </c>
      <c r="G29" s="186"/>
      <c r="H29" s="189">
        <f>H15-H16-H17-H18-H19-H20-H22-H23-H24+H26+H27</f>
        <v>199091.58333333334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112</v>
      </c>
      <c r="H34" s="217">
        <f>F34*G34</f>
        <v>112000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22</v>
      </c>
      <c r="H35" s="217">
        <f>F35*G35</f>
        <v>11000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258</v>
      </c>
      <c r="D37" s="12">
        <f>C37*111</f>
        <v>28638</v>
      </c>
      <c r="F37" s="12">
        <v>100</v>
      </c>
      <c r="G37" s="39">
        <v>14</v>
      </c>
      <c r="H37" s="217">
        <f t="shared" si="2"/>
        <v>1400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4</v>
      </c>
      <c r="D42" s="12">
        <f>C42*2.25</f>
        <v>9</v>
      </c>
      <c r="F42" s="39" t="s">
        <v>78</v>
      </c>
      <c r="G42" s="217">
        <v>115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136</v>
      </c>
      <c r="G44" s="62" t="s">
        <v>178</v>
      </c>
      <c r="H44" s="201">
        <v>69092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1</v>
      </c>
      <c r="D45" s="12">
        <f>C45*84</f>
        <v>84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10</v>
      </c>
      <c r="D46" s="12">
        <f>C46*1.5</f>
        <v>15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3</v>
      </c>
      <c r="D49" s="12">
        <f>C49*42</f>
        <v>126</v>
      </c>
      <c r="F49" s="242" t="s">
        <v>85</v>
      </c>
      <c r="G49" s="189">
        <f>H34+H35+H36+H37+H38+H39+H40+H41+G42+H44+H45+H46+H47+H48</f>
        <v>193607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3</v>
      </c>
      <c r="D50" s="12">
        <f>C50*1.5</f>
        <v>4.5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-5484.583333333343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30505.5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AD6BEAB-338E-4811-AE81-24A6ECE5E4D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CCC8-E792-4B8E-AB4B-314522F17E80}">
  <dimension ref="A1:R59"/>
  <sheetViews>
    <sheetView topLeftCell="A28" zoomScaleNormal="100" zoomScaleSheetLayoutView="85" workbookViewId="0">
      <selection activeCell="L45" sqref="L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46248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506</v>
      </c>
      <c r="D6" s="13">
        <f t="shared" ref="D6:D28" si="1">C6*L6</f>
        <v>385066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25</v>
      </c>
      <c r="D7" s="13">
        <f t="shared" si="1"/>
        <v>19525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1</v>
      </c>
      <c r="D8" s="13">
        <f t="shared" si="1"/>
        <v>1093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80</v>
      </c>
      <c r="D9" s="13">
        <f t="shared" si="1"/>
        <v>58640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17</v>
      </c>
      <c r="D13" s="48">
        <f t="shared" si="1"/>
        <v>5219</v>
      </c>
      <c r="F13" s="162" t="s">
        <v>36</v>
      </c>
      <c r="G13" s="163"/>
      <c r="H13" s="164">
        <f>D29</f>
        <v>481855.20833333331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77481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404374.20833333331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>
        <v>3528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>
        <f>3+3+3</f>
        <v>9</v>
      </c>
      <c r="D19" s="48">
        <f t="shared" si="1"/>
        <v>10575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481855.20833333331</v>
      </c>
      <c r="F29" s="185" t="s">
        <v>54</v>
      </c>
      <c r="G29" s="186"/>
      <c r="H29" s="189">
        <f>H15-H16-H17-H18-H19-H20-H22-H23-H24+H26+H27</f>
        <v>400846.20833333331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76</v>
      </c>
      <c r="H34" s="217">
        <f>F34*G34</f>
        <v>76000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29</v>
      </c>
      <c r="H35" s="217">
        <f>F35*G35</f>
        <v>14500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17">
        <f t="shared" ref="H36:H39" si="2">F36*G36</f>
        <v>400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631</v>
      </c>
      <c r="D37" s="12">
        <f>C37*111</f>
        <v>70041</v>
      </c>
      <c r="F37" s="12">
        <v>100</v>
      </c>
      <c r="G37" s="39">
        <v>59</v>
      </c>
      <c r="H37" s="217">
        <f t="shared" si="2"/>
        <v>5900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17">
        <f t="shared" si="2"/>
        <v>250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217">
        <f t="shared" si="2"/>
        <v>60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46</v>
      </c>
      <c r="D40" s="12">
        <f>C40*111</f>
        <v>5106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8</v>
      </c>
      <c r="D41" s="12">
        <f>C41*84</f>
        <v>672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73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179</v>
      </c>
      <c r="H44" s="201">
        <v>184406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133</v>
      </c>
      <c r="G45" s="87" t="s">
        <v>180</v>
      </c>
      <c r="H45" s="201">
        <v>104588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4</v>
      </c>
      <c r="D46" s="12">
        <f>C46*1.5</f>
        <v>6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386177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</v>
      </c>
      <c r="D50" s="12">
        <f>C50*1.5</f>
        <v>1.5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-14669.208333333314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77481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6B60642-038B-4C98-BE1B-F9DCAC2EEC16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465B-9D6A-4C2C-A2FF-6BC1A548AD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1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981E-C45F-4CFB-83E3-B4146B48D89F}">
  <dimension ref="A1:V68"/>
  <sheetViews>
    <sheetView topLeftCell="A34" zoomScaleNormal="100" zoomScaleSheetLayoutView="85" workbookViewId="0">
      <selection activeCell="H1" sqref="H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46249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 t="s">
        <v>132</v>
      </c>
      <c r="G26" s="65">
        <v>11915</v>
      </c>
      <c r="H26" s="201">
        <v>62655</v>
      </c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0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62655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17">
        <f t="shared" ref="H34:H39" si="2">F34*G34</f>
        <v>62000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>
        <v>1</v>
      </c>
      <c r="H35" s="217">
        <f t="shared" si="2"/>
        <v>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17">
        <f t="shared" si="2"/>
        <v>100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7">
        <f t="shared" si="2"/>
        <v>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62655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40CAA50-FC2B-414B-8E82-E58EA8CF8BE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846AE-FE25-4504-8124-E7E499F63E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46249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13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050A0E4-16A7-421B-A0B3-DF5FABF6CF5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B646-1D1F-43EE-AE13-6B5F5E2ACE98}">
  <dimension ref="A1:R59"/>
  <sheetViews>
    <sheetView topLeftCell="A16"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46249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594</v>
      </c>
      <c r="D6" s="13">
        <f t="shared" ref="D6:D28" si="1">C6*L6</f>
        <v>452034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36</v>
      </c>
      <c r="D7" s="13">
        <f t="shared" si="1"/>
        <v>28116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9</v>
      </c>
      <c r="D9" s="13">
        <f t="shared" si="1"/>
        <v>6597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5</v>
      </c>
      <c r="D11" s="13">
        <f t="shared" si="1"/>
        <v>5850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f>2+1</f>
        <v>3</v>
      </c>
      <c r="D12" s="48">
        <f t="shared" si="1"/>
        <v>2976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20</v>
      </c>
      <c r="D13" s="48">
        <f t="shared" si="1"/>
        <v>6140</v>
      </c>
      <c r="F13" s="162" t="s">
        <v>36</v>
      </c>
      <c r="G13" s="163"/>
      <c r="H13" s="164">
        <f>D29</f>
        <v>502994.04166666669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</v>
      </c>
      <c r="D14" s="31">
        <f t="shared" si="1"/>
        <v>11.041666666666666</v>
      </c>
      <c r="F14" s="167" t="s">
        <v>38</v>
      </c>
      <c r="G14" s="168"/>
      <c r="H14" s="169">
        <f>D54</f>
        <v>47216.25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1</v>
      </c>
      <c r="D15" s="31">
        <f t="shared" si="1"/>
        <v>620</v>
      </c>
      <c r="F15" s="172" t="s">
        <v>39</v>
      </c>
      <c r="G15" s="163"/>
      <c r="H15" s="173">
        <f>H13-H14</f>
        <v>455777.79166666669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>
        <v>3108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1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502994.04166666669</v>
      </c>
      <c r="F29" s="185" t="s">
        <v>54</v>
      </c>
      <c r="G29" s="186"/>
      <c r="H29" s="189">
        <f>H15-H16-H17-H18-H19-H20-H22-H23-H24+H26+H27</f>
        <v>452669.79166666669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136</v>
      </c>
      <c r="H34" s="217">
        <f>F34*G34</f>
        <v>136000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>
        <v>1</v>
      </c>
      <c r="D35" s="30">
        <f>C35*84</f>
        <v>84</v>
      </c>
      <c r="F35" s="58">
        <v>500</v>
      </c>
      <c r="G35" s="113">
        <v>8</v>
      </c>
      <c r="H35" s="217">
        <f>F35*G35</f>
        <v>4000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385</v>
      </c>
      <c r="D37" s="12">
        <f>C37*111</f>
        <v>42735</v>
      </c>
      <c r="F37" s="12">
        <v>100</v>
      </c>
      <c r="G37" s="39">
        <v>6</v>
      </c>
      <c r="H37" s="217">
        <f t="shared" si="2"/>
        <v>600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14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2</v>
      </c>
      <c r="D41" s="12">
        <f>C41*84</f>
        <v>168</v>
      </c>
      <c r="F41" s="12">
        <v>5</v>
      </c>
      <c r="G41" s="114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7">
        <v>5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09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5</v>
      </c>
      <c r="D44" s="12">
        <f>C44*120</f>
        <v>600</v>
      </c>
      <c r="F44" s="37" t="s">
        <v>133</v>
      </c>
      <c r="G44" s="87" t="s">
        <v>181</v>
      </c>
      <c r="H44" s="201">
        <v>140936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>
        <v>2</v>
      </c>
      <c r="D45" s="12">
        <f>C45*84</f>
        <v>168</v>
      </c>
      <c r="F45" s="37" t="s">
        <v>133</v>
      </c>
      <c r="G45" s="87" t="s">
        <v>182</v>
      </c>
      <c r="H45" s="201">
        <v>187503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5</v>
      </c>
      <c r="D46" s="12">
        <f>C46*1.5</f>
        <v>7.5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8</v>
      </c>
      <c r="D49" s="12">
        <f>C49*42</f>
        <v>336</v>
      </c>
      <c r="F49" s="242" t="s">
        <v>85</v>
      </c>
      <c r="G49" s="189">
        <f>H34+H35+H36+H37+H38+H39+H40+H41+G42+H44+H45+H46+H47+H48</f>
        <v>469044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16374.208333333314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47216.25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1C8AF4B-9159-4FC4-933B-73209D572BE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C7E1E-18B0-4B4B-A46E-694AB8C1AF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A01B6-93AF-4C17-BDF7-D62F2A2CBB86}">
  <dimension ref="A1:V68"/>
  <sheetViews>
    <sheetView tabSelected="1" topLeftCell="A19" zoomScaleNormal="100" zoomScaleSheetLayoutView="85" workbookViewId="0">
      <selection activeCell="O44" sqref="O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46251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409</v>
      </c>
      <c r="D6" s="13">
        <f t="shared" ref="D6:D28" si="1">C6*L6</f>
        <v>311249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3</v>
      </c>
      <c r="D7" s="13">
        <f t="shared" si="1"/>
        <v>2343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5</v>
      </c>
      <c r="D8" s="13">
        <f t="shared" si="1"/>
        <v>5465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96</v>
      </c>
      <c r="D9" s="13">
        <f t="shared" si="1"/>
        <v>70368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5</v>
      </c>
      <c r="D10" s="13">
        <f t="shared" si="1"/>
        <v>5160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14</v>
      </c>
      <c r="D13" s="48">
        <f t="shared" si="1"/>
        <v>4298</v>
      </c>
      <c r="F13" s="162" t="s">
        <v>36</v>
      </c>
      <c r="G13" s="163"/>
      <c r="H13" s="164">
        <f>D29</f>
        <v>408615.20833333331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55.208333333333329</v>
      </c>
      <c r="F14" s="167" t="s">
        <v>38</v>
      </c>
      <c r="G14" s="168"/>
      <c r="H14" s="169">
        <f>D54</f>
        <v>105507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>
        <v>5</v>
      </c>
      <c r="D15" s="31">
        <f t="shared" si="1"/>
        <v>3100</v>
      </c>
      <c r="F15" s="172" t="s">
        <v>39</v>
      </c>
      <c r="G15" s="163"/>
      <c r="H15" s="173">
        <f>H13-H14</f>
        <v>303108.20833333331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76">
        <f>1296+1380</f>
        <v>2676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17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408615.20833333331</v>
      </c>
      <c r="F29" s="185" t="s">
        <v>54</v>
      </c>
      <c r="G29" s="186"/>
      <c r="H29" s="189">
        <f>H15-H16-H17-H18-H19-H20-H22-H23-H24+H26+H27+H28</f>
        <v>300432.20833333331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28</v>
      </c>
      <c r="H34" s="217">
        <f t="shared" ref="H34:H39" si="2">F34*G34</f>
        <v>28000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12</v>
      </c>
      <c r="H35" s="217">
        <f t="shared" si="2"/>
        <v>6000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911</v>
      </c>
      <c r="D37" s="12">
        <f>C37*111</f>
        <v>101121</v>
      </c>
      <c r="F37" s="12">
        <v>100</v>
      </c>
      <c r="G37" s="39">
        <v>50</v>
      </c>
      <c r="H37" s="217">
        <f t="shared" si="2"/>
        <v>5000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15</v>
      </c>
      <c r="H38" s="217">
        <f t="shared" si="2"/>
        <v>750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17">
        <f t="shared" si="2"/>
        <v>20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2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>
        <v>61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/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4</v>
      </c>
      <c r="D44" s="12">
        <f>C44*120</f>
        <v>480</v>
      </c>
      <c r="F44" s="37" t="s">
        <v>136</v>
      </c>
      <c r="G44" s="87" t="s">
        <v>183</v>
      </c>
      <c r="H44" s="201">
        <v>158716.5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136</v>
      </c>
      <c r="G45" s="87" t="s">
        <v>184</v>
      </c>
      <c r="H45" s="201">
        <v>101490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14</v>
      </c>
      <c r="D49" s="12">
        <f>C49*42</f>
        <v>588</v>
      </c>
      <c r="F49" s="242" t="s">
        <v>85</v>
      </c>
      <c r="G49" s="189">
        <f>H34+H35+H36+H37+H38+H39+H40+H41+G42+H44+H45+H46+H47+H48</f>
        <v>300037.5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17</v>
      </c>
      <c r="D50" s="12">
        <f>C50*1.5</f>
        <v>25.5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-394.70833333331393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105507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E74B77C-7EF0-465E-B46F-09A38C9102B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74B4-DED7-4A60-B590-D910567B59D4}">
  <dimension ref="A1:R59"/>
  <sheetViews>
    <sheetView topLeftCell="A4" zoomScaleNormal="100" zoomScaleSheetLayoutView="85" workbookViewId="0">
      <selection activeCell="L36" sqref="L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46251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501</v>
      </c>
      <c r="D6" s="13">
        <f t="shared" ref="D6:D28" si="1">C6*L6</f>
        <v>381261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24</v>
      </c>
      <c r="D9" s="13">
        <f t="shared" si="1"/>
        <v>17592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>
        <v>1</v>
      </c>
      <c r="D11" s="13">
        <f t="shared" si="1"/>
        <v>1170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1</v>
      </c>
      <c r="D12" s="48">
        <f t="shared" si="1"/>
        <v>992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17</v>
      </c>
      <c r="D13" s="48">
        <f t="shared" si="1"/>
        <v>5219</v>
      </c>
      <c r="F13" s="162" t="s">
        <v>36</v>
      </c>
      <c r="G13" s="163"/>
      <c r="H13" s="164">
        <f>D29</f>
        <v>410326.75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18</v>
      </c>
      <c r="D14" s="31">
        <f t="shared" si="1"/>
        <v>198.75</v>
      </c>
      <c r="F14" s="167" t="s">
        <v>38</v>
      </c>
      <c r="G14" s="168"/>
      <c r="H14" s="169">
        <f>D54</f>
        <v>59854.5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350472.25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6">
        <v>2700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410326.75</v>
      </c>
      <c r="F29" s="185" t="s">
        <v>54</v>
      </c>
      <c r="G29" s="186"/>
      <c r="H29" s="189">
        <f>H15-H16-H17-H18-H19-H20-H22-H23-H24+H26+H27</f>
        <v>347772.25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117</v>
      </c>
      <c r="H34" s="217">
        <f>F34*G34</f>
        <v>117000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319</v>
      </c>
      <c r="H35" s="217">
        <f>F35*G35</f>
        <v>159500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515</v>
      </c>
      <c r="D37" s="12">
        <f>C37*111</f>
        <v>57165</v>
      </c>
      <c r="F37" s="12">
        <v>100</v>
      </c>
      <c r="G37" s="39">
        <v>6</v>
      </c>
      <c r="H37" s="217">
        <f t="shared" si="2"/>
        <v>600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17">
        <f t="shared" si="2"/>
        <v>100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>
        <v>1</v>
      </c>
      <c r="D41" s="12">
        <f>C41*84</f>
        <v>84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6</v>
      </c>
      <c r="D42" s="12">
        <f>C42*2.25</f>
        <v>13.5</v>
      </c>
      <c r="F42" s="39" t="s">
        <v>78</v>
      </c>
      <c r="G42" s="217">
        <v>41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>
        <v>2</v>
      </c>
      <c r="D44" s="12">
        <f>C44*120</f>
        <v>240</v>
      </c>
      <c r="F44" s="37" t="s">
        <v>148</v>
      </c>
      <c r="G44" s="87" t="s">
        <v>185</v>
      </c>
      <c r="H44" s="201">
        <v>70347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>
        <v>17</v>
      </c>
      <c r="D49" s="12">
        <f>C49*42</f>
        <v>714</v>
      </c>
      <c r="F49" s="242" t="s">
        <v>85</v>
      </c>
      <c r="G49" s="189">
        <f>H34+H35+H36+H37+H38+H39+H40+H41+G42+H44+H45+H46+H47+H48</f>
        <v>347588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>
        <v>27</v>
      </c>
      <c r="D50" s="12">
        <f>C50*1.5</f>
        <v>40.5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SHORT</v>
      </c>
      <c r="G51" s="246">
        <f>G49-H29</f>
        <v>-184.25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59854.5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3C1723A-8812-46F6-A46F-1ED05A1237A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B7A-E60B-40E1-BAF8-F195E3197D5E}">
  <dimension ref="A1:R59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46251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520</v>
      </c>
      <c r="D6" s="13">
        <f t="shared" ref="D6:D28" si="1">C6*L6</f>
        <v>395720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12</v>
      </c>
      <c r="D7" s="13">
        <f t="shared" si="1"/>
        <v>9372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133</v>
      </c>
      <c r="D9" s="13">
        <f t="shared" si="1"/>
        <v>97489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12</v>
      </c>
      <c r="D13" s="48">
        <f t="shared" si="1"/>
        <v>3684</v>
      </c>
      <c r="F13" s="162" t="s">
        <v>36</v>
      </c>
      <c r="G13" s="163"/>
      <c r="H13" s="164">
        <f>D29</f>
        <v>507297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55524.75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451772.25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1776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>
        <v>50</v>
      </c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507297</v>
      </c>
      <c r="F29" s="185" t="s">
        <v>54</v>
      </c>
      <c r="G29" s="186"/>
      <c r="H29" s="189">
        <f>H15-H16-H17-H18-H19-H20-H22-H23-H24+H26+H27</f>
        <v>449946.25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26</v>
      </c>
      <c r="H34" s="217">
        <f>F34*G34</f>
        <v>26000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>
        <v>5</v>
      </c>
      <c r="H35" s="217">
        <f>F35*G35</f>
        <v>2500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>
        <v>456</v>
      </c>
      <c r="D37" s="12">
        <f>C37*111</f>
        <v>50616</v>
      </c>
      <c r="F37" s="12">
        <v>100</v>
      </c>
      <c r="G37" s="39">
        <v>7</v>
      </c>
      <c r="H37" s="217">
        <f t="shared" si="2"/>
        <v>700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>
        <v>26</v>
      </c>
      <c r="D38" s="12">
        <f>C38*84</f>
        <v>2184</v>
      </c>
      <c r="F38" s="30">
        <v>50</v>
      </c>
      <c r="G38" s="39">
        <v>4</v>
      </c>
      <c r="H38" s="217">
        <f t="shared" si="2"/>
        <v>200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>
        <v>1</v>
      </c>
      <c r="D42" s="12">
        <f>C42*2.25</f>
        <v>2.25</v>
      </c>
      <c r="F42" s="39" t="s">
        <v>78</v>
      </c>
      <c r="G42" s="217">
        <v>20</v>
      </c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 t="s">
        <v>136</v>
      </c>
      <c r="G44" s="87" t="s">
        <v>186</v>
      </c>
      <c r="H44" s="201">
        <v>124435</v>
      </c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 t="s">
        <v>136</v>
      </c>
      <c r="G45" s="87" t="s">
        <v>187</v>
      </c>
      <c r="H45" s="201">
        <v>67654</v>
      </c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>
        <v>4</v>
      </c>
      <c r="D46" s="12">
        <f>C46*1.5</f>
        <v>6</v>
      </c>
      <c r="F46" s="37" t="s">
        <v>188</v>
      </c>
      <c r="G46" s="75" t="s">
        <v>189</v>
      </c>
      <c r="H46" s="201">
        <v>229183</v>
      </c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>
        <v>19</v>
      </c>
      <c r="D48" s="12">
        <f>C48*78</f>
        <v>1482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450692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>
        <v>3</v>
      </c>
      <c r="D50" s="12">
        <f>C50*1.5</f>
        <v>4.5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OVER</v>
      </c>
      <c r="G51" s="246">
        <f>G49-H29</f>
        <v>745.75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55524.75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079AE59-F945-4433-9E82-EAF291E75ED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81656-85A4-4501-B627-91E95E4BEC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296EF-49E6-40BC-80B5-DFE1BD5D8A74}">
  <dimension ref="A1:V68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46253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17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EF80C36-3E61-4A85-B2BC-06C4A9D92FF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9098E-C45B-485B-83C1-84A301833C47}">
  <dimension ref="A1:R59"/>
  <sheetViews>
    <sheetView zoomScaleNormal="100" zoomScaleSheetLayoutView="85" workbookViewId="0">
      <selection activeCell="L35" sqref="L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46252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19DE70F-14E3-48BC-8C95-03EF54BCF82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AF1E9-3A4F-43C5-8CEC-87C20D62A7F9}">
  <dimension ref="A1:R59"/>
  <sheetViews>
    <sheetView zoomScaleNormal="100" zoomScaleSheetLayoutView="85" workbookViewId="0">
      <selection activeCell="L36" sqref="L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46252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2E9A4E-6AD3-4F57-815D-191C337321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A753F-53EA-4EF2-ACD9-D5465F7BEA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180F-BD4E-440F-9B30-98B5BC0EE14D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46253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17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15BDA91-61F6-49B3-9F99-A45A022EAFC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01F7-43BF-47E5-AC72-0F4DD066CA82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46253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EC014EA-7A43-49E5-A4DE-F4774B49809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56E-3BC5-4267-9747-DE9CCA42B4B7}">
  <dimension ref="A1:R59"/>
  <sheetViews>
    <sheetView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46253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1AB186-3916-43D4-8DF1-9D1B8FD6FBA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14391-6F23-4DF0-8BE8-5C37E5B276E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DA999-F346-41B9-B113-BEA8FFF8BC29}">
  <dimension ref="A1:V68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46254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17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4050AD-C94A-4356-A7D7-ABAEE6DF8EA1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66FEC-3334-4158-9375-FA6D1D099799}">
  <dimension ref="A1:R59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46254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BEAE7E9-3601-4D92-A13A-9EAEE146358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6BBE4-8B0E-4788-B23B-551F95D9E4DF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46254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B442134-15CE-4920-AEE2-BAEFE5C82A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7CE38-E453-4A8E-8C5B-89D01DB1051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4" t="s">
        <v>7</v>
      </c>
      <c r="B4" s="125"/>
      <c r="C4" s="125"/>
      <c r="D4" s="126"/>
      <c r="F4" s="127" t="s">
        <v>8</v>
      </c>
      <c r="G4" s="129"/>
      <c r="H4" s="131" t="s">
        <v>9</v>
      </c>
      <c r="I4" s="133"/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140" t="s">
        <v>16</v>
      </c>
      <c r="G6" s="142"/>
      <c r="H6" s="143"/>
      <c r="I6" s="143"/>
      <c r="J6" s="14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148" t="s">
        <v>21</v>
      </c>
      <c r="G8" s="150"/>
      <c r="H8" s="151"/>
      <c r="I8" s="151"/>
      <c r="J8" s="15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140" t="s">
        <v>26</v>
      </c>
      <c r="G10" s="156"/>
      <c r="H10" s="157"/>
      <c r="I10" s="157"/>
      <c r="J10" s="158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7"/>
      <c r="G23" s="78"/>
      <c r="H23" s="200"/>
      <c r="I23" s="201"/>
      <c r="J23" s="20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200"/>
      <c r="I24" s="201"/>
      <c r="J24" s="20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79"/>
      <c r="H27" s="208"/>
      <c r="I27" s="209"/>
      <c r="J27" s="21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119"/>
      <c r="G28" s="61"/>
      <c r="H28" s="211"/>
      <c r="I28" s="212"/>
      <c r="J28" s="21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/>
      <c r="I34" s="218"/>
      <c r="J34" s="21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/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/>
      <c r="I36" s="218"/>
      <c r="J36" s="21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/>
      <c r="I37" s="218"/>
      <c r="J37" s="21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/>
      <c r="I38" s="218"/>
      <c r="J38" s="21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/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P43" s="4"/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75"/>
      <c r="H44" s="201"/>
      <c r="I44" s="201"/>
      <c r="J44" s="201"/>
      <c r="K44" s="21"/>
      <c r="P44" s="4"/>
      <c r="Q44" s="4"/>
      <c r="R44" s="5"/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26"/>
      <c r="I46" s="226"/>
      <c r="J46" s="226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27"/>
      <c r="I47" s="228"/>
      <c r="J47" s="229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27"/>
      <c r="I48" s="228"/>
      <c r="J48" s="22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P50" s="4"/>
      <c r="Q50" s="4"/>
      <c r="R50" s="5"/>
    </row>
    <row r="51" spans="1:18" ht="15" customHeight="1" x14ac:dyDescent="0.25">
      <c r="A51" s="221"/>
      <c r="B51" s="27"/>
      <c r="C51" s="10"/>
      <c r="D51" s="31"/>
      <c r="F51" s="244" t="s">
        <v>106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B1077-ED03-4EFC-96D3-095E60C816E2}">
  <dimension ref="A1:V68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1</v>
      </c>
      <c r="H4" s="131" t="s">
        <v>9</v>
      </c>
      <c r="I4" s="133">
        <v>46255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99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115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108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74"/>
      <c r="G26" s="65"/>
      <c r="H26" s="201"/>
      <c r="I26" s="201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71"/>
      <c r="G27" s="117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H15-H16-H17-H18-H19-H20-H22-H23-H24+H26+H27+H28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7">
        <f t="shared" ref="H34:H39" si="2"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 t="shared" si="2"/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si="2"/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56"/>
      <c r="I40" s="257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58"/>
      <c r="I47" s="259"/>
      <c r="J47" s="260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0078201-B05F-4C11-AB05-13C76DA3175C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59B08-F6AE-406A-84D9-2B41F09E5188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2</v>
      </c>
      <c r="H4" s="131" t="s">
        <v>9</v>
      </c>
      <c r="I4" s="133">
        <v>46255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107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100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101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62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75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59"/>
      <c r="G47" s="59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80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78F65-8059-482F-AF52-298BF72FFD7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7538-60DB-4ADD-9E1B-A065932539C6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3" t="s">
        <v>1</v>
      </c>
      <c r="O1" s="1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4" t="s">
        <v>7</v>
      </c>
      <c r="B4" s="125"/>
      <c r="C4" s="125"/>
      <c r="D4" s="126"/>
      <c r="F4" s="127" t="s">
        <v>8</v>
      </c>
      <c r="G4" s="129">
        <v>3</v>
      </c>
      <c r="H4" s="131" t="s">
        <v>9</v>
      </c>
      <c r="I4" s="133">
        <v>46255</v>
      </c>
      <c r="J4" s="1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28"/>
      <c r="G5" s="130"/>
      <c r="H5" s="132"/>
      <c r="I5" s="135"/>
      <c r="J5" s="1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140" t="s">
        <v>16</v>
      </c>
      <c r="G6" s="142" t="s">
        <v>142</v>
      </c>
      <c r="H6" s="143"/>
      <c r="I6" s="143"/>
      <c r="J6" s="14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141"/>
      <c r="G7" s="145"/>
      <c r="H7" s="146"/>
      <c r="I7" s="146"/>
      <c r="J7" s="14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148" t="s">
        <v>21</v>
      </c>
      <c r="G8" s="150" t="s">
        <v>109</v>
      </c>
      <c r="H8" s="151"/>
      <c r="I8" s="151"/>
      <c r="J8" s="15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141"/>
      <c r="G9" s="153"/>
      <c r="H9" s="154"/>
      <c r="I9" s="154"/>
      <c r="J9" s="15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140" t="s">
        <v>26</v>
      </c>
      <c r="G10" s="156" t="s">
        <v>119</v>
      </c>
      <c r="H10" s="157"/>
      <c r="I10" s="157"/>
      <c r="J10" s="158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141"/>
      <c r="G11" s="153"/>
      <c r="H11" s="154"/>
      <c r="I11" s="154"/>
      <c r="J11" s="15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159" t="s">
        <v>33</v>
      </c>
      <c r="G12" s="160"/>
      <c r="H12" s="160"/>
      <c r="I12" s="160"/>
      <c r="J12" s="16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162" t="s">
        <v>36</v>
      </c>
      <c r="G13" s="163"/>
      <c r="H13" s="164">
        <f>D29</f>
        <v>0</v>
      </c>
      <c r="I13" s="165"/>
      <c r="J13" s="16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67" t="s">
        <v>38</v>
      </c>
      <c r="G14" s="168"/>
      <c r="H14" s="169">
        <f>D54</f>
        <v>0</v>
      </c>
      <c r="I14" s="170"/>
      <c r="J14" s="171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117</v>
      </c>
      <c r="C15" s="10"/>
      <c r="D15" s="31">
        <f t="shared" si="1"/>
        <v>0</v>
      </c>
      <c r="F15" s="172" t="s">
        <v>39</v>
      </c>
      <c r="G15" s="163"/>
      <c r="H15" s="173">
        <f>H13-H14</f>
        <v>0</v>
      </c>
      <c r="I15" s="174"/>
      <c r="J15" s="17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9"/>
      <c r="I17" s="149"/>
      <c r="J17" s="14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9"/>
      <c r="I18" s="149"/>
      <c r="J18" s="14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116</v>
      </c>
      <c r="C23" s="10"/>
      <c r="D23" s="48">
        <f t="shared" si="1"/>
        <v>0</v>
      </c>
      <c r="F23" s="77"/>
      <c r="G23" s="78"/>
      <c r="H23" s="262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123</v>
      </c>
      <c r="C24" s="10"/>
      <c r="D24" s="48">
        <f t="shared" si="1"/>
        <v>0</v>
      </c>
      <c r="F24" s="38"/>
      <c r="G24" s="37"/>
      <c r="H24" s="200"/>
      <c r="I24" s="201"/>
      <c r="J24" s="20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2" t="s">
        <v>13</v>
      </c>
      <c r="I25" s="203"/>
      <c r="J25" s="20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124</v>
      </c>
      <c r="C26" s="10"/>
      <c r="D26" s="48">
        <f t="shared" si="1"/>
        <v>0</v>
      </c>
      <c r="F26" s="64"/>
      <c r="G26" s="59"/>
      <c r="H26" s="205"/>
      <c r="I26" s="206"/>
      <c r="J26" s="20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125</v>
      </c>
      <c r="C27" s="10"/>
      <c r="D27" s="44">
        <f t="shared" si="1"/>
        <v>0</v>
      </c>
      <c r="F27" s="25"/>
      <c r="G27" s="79"/>
      <c r="H27" s="208"/>
      <c r="I27" s="209"/>
      <c r="J27" s="21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119"/>
      <c r="G28" s="61"/>
      <c r="H28" s="211"/>
      <c r="I28" s="212"/>
      <c r="J28" s="21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85" t="s">
        <v>54</v>
      </c>
      <c r="G29" s="186"/>
      <c r="H29" s="189">
        <f>H15-H16-H17-H18-H19-H20-H22-H23-H24+H26+H27</f>
        <v>0</v>
      </c>
      <c r="I29" s="190"/>
      <c r="J29" s="19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87"/>
      <c r="G30" s="188"/>
      <c r="H30" s="192"/>
      <c r="I30" s="193"/>
      <c r="J30" s="19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4" t="s">
        <v>57</v>
      </c>
      <c r="B32" s="125"/>
      <c r="C32" s="125"/>
      <c r="D32" s="126"/>
      <c r="F32" s="214" t="s">
        <v>58</v>
      </c>
      <c r="G32" s="215"/>
      <c r="H32" s="215"/>
      <c r="I32" s="215"/>
      <c r="J32" s="21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4" t="s">
        <v>13</v>
      </c>
      <c r="I33" s="215"/>
      <c r="J33" s="21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7">
        <f>F34*G34</f>
        <v>0</v>
      </c>
      <c r="I34" s="218"/>
      <c r="J34" s="21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121"/>
      <c r="H35" s="217">
        <f>F35*G35</f>
        <v>0</v>
      </c>
      <c r="I35" s="218"/>
      <c r="J35" s="21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217">
        <f t="shared" ref="H36:H39" si="2">F36*G36</f>
        <v>0</v>
      </c>
      <c r="I36" s="218"/>
      <c r="J36" s="21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7">
        <f t="shared" si="2"/>
        <v>0</v>
      </c>
      <c r="I37" s="218"/>
      <c r="J37" s="21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217">
        <f t="shared" si="2"/>
        <v>0</v>
      </c>
      <c r="I38" s="218"/>
      <c r="J38" s="21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217">
        <f t="shared" si="2"/>
        <v>0</v>
      </c>
      <c r="I39" s="218"/>
      <c r="J39" s="21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122"/>
      <c r="H40" s="217"/>
      <c r="I40" s="218"/>
      <c r="J40" s="21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122"/>
      <c r="H41" s="217"/>
      <c r="I41" s="218"/>
      <c r="J41" s="21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217"/>
      <c r="H42" s="218"/>
      <c r="I42" s="218"/>
      <c r="J42" s="21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0" t="s">
        <v>80</v>
      </c>
      <c r="C43" s="11"/>
      <c r="D43" s="12"/>
      <c r="F43" s="59" t="s">
        <v>81</v>
      </c>
      <c r="G43" s="117" t="s">
        <v>82</v>
      </c>
      <c r="H43" s="223" t="s">
        <v>13</v>
      </c>
      <c r="I43" s="224"/>
      <c r="J43" s="22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1"/>
      <c r="B44" s="27" t="s">
        <v>65</v>
      </c>
      <c r="C44" s="10"/>
      <c r="D44" s="12">
        <f>C44*120</f>
        <v>0</v>
      </c>
      <c r="F44" s="37"/>
      <c r="G44" s="87"/>
      <c r="H44" s="201"/>
      <c r="I44" s="201"/>
      <c r="J44" s="20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1"/>
      <c r="B45" s="27" t="s">
        <v>67</v>
      </c>
      <c r="C45" s="33"/>
      <c r="D45" s="12">
        <f>C45*84</f>
        <v>0</v>
      </c>
      <c r="F45" s="37"/>
      <c r="G45" s="87"/>
      <c r="H45" s="201"/>
      <c r="I45" s="201"/>
      <c r="J45" s="201"/>
      <c r="K45" s="21"/>
      <c r="P45" s="4"/>
      <c r="Q45" s="4"/>
      <c r="R45" s="5"/>
    </row>
    <row r="46" spans="1:18" ht="15.75" x14ac:dyDescent="0.25">
      <c r="A46" s="221"/>
      <c r="B46" s="49" t="s">
        <v>69</v>
      </c>
      <c r="C46" s="80"/>
      <c r="D46" s="12">
        <f>C46*1.5</f>
        <v>0</v>
      </c>
      <c r="F46" s="37"/>
      <c r="G46" s="75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222"/>
      <c r="B47" s="27"/>
      <c r="C47" s="11"/>
      <c r="D47" s="12"/>
      <c r="F47" s="37"/>
      <c r="G47" s="75"/>
      <c r="H47" s="201"/>
      <c r="I47" s="201"/>
      <c r="J47" s="201"/>
      <c r="K47" s="21"/>
      <c r="P47" s="4"/>
      <c r="Q47" s="4"/>
      <c r="R47" s="5"/>
    </row>
    <row r="48" spans="1:18" ht="15" customHeight="1" x14ac:dyDescent="0.25">
      <c r="A48" s="220" t="s">
        <v>32</v>
      </c>
      <c r="B48" s="27" t="s">
        <v>65</v>
      </c>
      <c r="C48" s="10"/>
      <c r="D48" s="12">
        <f>C48*78</f>
        <v>0</v>
      </c>
      <c r="F48" s="59"/>
      <c r="G48" s="59"/>
      <c r="H48" s="258"/>
      <c r="I48" s="259"/>
      <c r="J48" s="26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1"/>
      <c r="B49" s="29" t="s">
        <v>67</v>
      </c>
      <c r="C49" s="33"/>
      <c r="D49" s="12">
        <f>C49*42</f>
        <v>0</v>
      </c>
      <c r="F49" s="242" t="s">
        <v>85</v>
      </c>
      <c r="G49" s="189">
        <f>H34+H35+H36+H37+H38+H39+H40+H41+G42+H44+H45+H46+H47+H48</f>
        <v>0</v>
      </c>
      <c r="H49" s="190"/>
      <c r="I49" s="190"/>
      <c r="J49" s="19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1"/>
      <c r="B50" s="32" t="s">
        <v>69</v>
      </c>
      <c r="C50" s="11"/>
      <c r="D50" s="12">
        <f>C50*1.5</f>
        <v>0</v>
      </c>
      <c r="F50" s="243"/>
      <c r="G50" s="192"/>
      <c r="H50" s="193"/>
      <c r="I50" s="193"/>
      <c r="J50" s="194"/>
      <c r="O50" t="s">
        <v>112</v>
      </c>
      <c r="P50" s="4">
        <v>1204</v>
      </c>
      <c r="Q50" s="4"/>
      <c r="R50" s="5"/>
    </row>
    <row r="51" spans="1:18" ht="15" customHeight="1" x14ac:dyDescent="0.25">
      <c r="A51" s="221"/>
      <c r="B51" s="27"/>
      <c r="C51" s="10"/>
      <c r="D51" s="31"/>
      <c r="F51" s="244" t="str">
        <f>_xlfn.IFS(H29&gt;G49,"SHORT",H29&lt;G49,"OVER",H29&lt;=G49,"-")</f>
        <v>-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21"/>
      <c r="B52" s="29"/>
      <c r="C52" s="33"/>
      <c r="D52" s="45"/>
      <c r="F52" s="245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5" t="s">
        <v>89</v>
      </c>
      <c r="B54" s="230"/>
      <c r="C54" s="231"/>
      <c r="D54" s="2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7"/>
      <c r="B55" s="232"/>
      <c r="C55" s="233"/>
      <c r="D55" s="2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6" t="s">
        <v>90</v>
      </c>
      <c r="B58" s="237"/>
      <c r="C58" s="237"/>
      <c r="D58" s="238"/>
      <c r="F58" s="236" t="s">
        <v>91</v>
      </c>
      <c r="G58" s="237"/>
      <c r="H58" s="237"/>
      <c r="I58" s="237"/>
      <c r="J58" s="238"/>
    </row>
    <row r="59" spans="1:18" x14ac:dyDescent="0.25">
      <c r="A59" s="239"/>
      <c r="B59" s="240"/>
      <c r="C59" s="240"/>
      <c r="D59" s="241"/>
      <c r="F59" s="239"/>
      <c r="G59" s="240"/>
      <c r="H59" s="240"/>
      <c r="I59" s="240"/>
      <c r="J59" s="2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3F23BA1-2563-4376-BEB5-9FA46EF9ED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73</vt:i4>
      </vt:variant>
      <vt:variant>
        <vt:lpstr>Named Ranges</vt:lpstr>
      </vt:variant>
      <vt:variant>
        <vt:i4>72</vt:i4>
      </vt:variant>
    </vt:vector>
  </HeadingPairs>
  <TitlesOfParts>
    <vt:vector size="145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 NO TRIP</vt:lpstr>
      <vt:lpstr>08,08 R2</vt:lpstr>
      <vt:lpstr>08,08 R3</vt:lpstr>
      <vt:lpstr>(10)</vt:lpstr>
      <vt:lpstr>08,10 R1</vt:lpstr>
      <vt:lpstr>08,10 R2</vt:lpstr>
      <vt:lpstr>08,10 R3</vt:lpstr>
      <vt:lpstr>(11)</vt:lpstr>
      <vt:lpstr>08,11 R1</vt:lpstr>
      <vt:lpstr>08,11 R2</vt:lpstr>
      <vt:lpstr>08,11 R3</vt:lpstr>
      <vt:lpstr>(12)</vt:lpstr>
      <vt:lpstr>08,12 R1</vt:lpstr>
      <vt:lpstr>08,12 R2</vt:lpstr>
      <vt:lpstr>08,12 R3</vt:lpstr>
      <vt:lpstr>(13)</vt:lpstr>
      <vt:lpstr>08,13 R1</vt:lpstr>
      <vt:lpstr>08,13 R2</vt:lpstr>
      <vt:lpstr>08,13 R3</vt:lpstr>
      <vt:lpstr>(14)</vt:lpstr>
      <vt:lpstr>08,14 R1</vt:lpstr>
      <vt:lpstr>08,14 R2</vt:lpstr>
      <vt:lpstr>08,14 R3</vt:lpstr>
      <vt:lpstr>(15)</vt:lpstr>
      <vt:lpstr>08,15 R1 COLLECTION</vt:lpstr>
      <vt:lpstr>08,15 R2</vt:lpstr>
      <vt:lpstr>08,15 R3</vt:lpstr>
      <vt:lpstr>(17)</vt:lpstr>
      <vt:lpstr>08,17 R1</vt:lpstr>
      <vt:lpstr>08,17 R2</vt:lpstr>
      <vt:lpstr>08,17 R3</vt:lpstr>
      <vt:lpstr>(18)</vt:lpstr>
      <vt:lpstr>08,18 R1</vt:lpstr>
      <vt:lpstr>08,18 R2</vt:lpstr>
      <vt:lpstr>08,18 R3</vt:lpstr>
      <vt:lpstr>(19)</vt:lpstr>
      <vt:lpstr>08,19 R1</vt:lpstr>
      <vt:lpstr>08,19 R2</vt:lpstr>
      <vt:lpstr>08,19 R3</vt:lpstr>
      <vt:lpstr>(20)</vt:lpstr>
      <vt:lpstr>08,20 R1</vt:lpstr>
      <vt:lpstr>08,20 R2</vt:lpstr>
      <vt:lpstr>08,20 R3</vt:lpstr>
      <vt:lpstr>(21)</vt:lpstr>
      <vt:lpstr>08,21 R1</vt:lpstr>
      <vt:lpstr>08,21 R2 </vt:lpstr>
      <vt:lpstr>08,21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 NO TRIP'!Print_Area</vt:lpstr>
      <vt:lpstr>'08,08 R2'!Print_Area</vt:lpstr>
      <vt:lpstr>'08,08 R3'!Print_Area</vt:lpstr>
      <vt:lpstr>'08,10 R1'!Print_Area</vt:lpstr>
      <vt:lpstr>'08,10 R2'!Print_Area</vt:lpstr>
      <vt:lpstr>'08,10 R3'!Print_Area</vt:lpstr>
      <vt:lpstr>'08,11 R1'!Print_Area</vt:lpstr>
      <vt:lpstr>'08,11 R2'!Print_Area</vt:lpstr>
      <vt:lpstr>'08,11 R3'!Print_Area</vt:lpstr>
      <vt:lpstr>'08,12 R1'!Print_Area</vt:lpstr>
      <vt:lpstr>'08,12 R2'!Print_Area</vt:lpstr>
      <vt:lpstr>'08,12 R3'!Print_Area</vt:lpstr>
      <vt:lpstr>'08,13 R1'!Print_Area</vt:lpstr>
      <vt:lpstr>'08,13 R2'!Print_Area</vt:lpstr>
      <vt:lpstr>'08,13 R3'!Print_Area</vt:lpstr>
      <vt:lpstr>'08,14 R1'!Print_Area</vt:lpstr>
      <vt:lpstr>'08,14 R2'!Print_Area</vt:lpstr>
      <vt:lpstr>'08,14 R3'!Print_Area</vt:lpstr>
      <vt:lpstr>'08,15 R1 COLLECTION'!Print_Area</vt:lpstr>
      <vt:lpstr>'08,15 R2'!Print_Area</vt:lpstr>
      <vt:lpstr>'08,15 R3'!Print_Area</vt:lpstr>
      <vt:lpstr>'08,17 R1'!Print_Area</vt:lpstr>
      <vt:lpstr>'08,17 R2'!Print_Area</vt:lpstr>
      <vt:lpstr>'08,17 R3'!Print_Area</vt:lpstr>
      <vt:lpstr>'08,18 R1'!Print_Area</vt:lpstr>
      <vt:lpstr>'08,18 R2'!Print_Area</vt:lpstr>
      <vt:lpstr>'08,18 R3'!Print_Area</vt:lpstr>
      <vt:lpstr>'08,19 R1'!Print_Area</vt:lpstr>
      <vt:lpstr>'08,19 R2'!Print_Area</vt:lpstr>
      <vt:lpstr>'08,19 R3'!Print_Area</vt:lpstr>
      <vt:lpstr>'08,20 R1'!Print_Area</vt:lpstr>
      <vt:lpstr>'08,20 R2'!Print_Area</vt:lpstr>
      <vt:lpstr>'08,20 R3'!Print_Area</vt:lpstr>
      <vt:lpstr>'08,21 R1'!Print_Area</vt:lpstr>
      <vt:lpstr>'08,21 R2 '!Print_Area</vt:lpstr>
      <vt:lpstr>'08,21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2026-08-18T01:17:36Z</cp:lastPrinted>
  <dcterms:created xsi:type="dcterms:W3CDTF">2024-09-01T23:36:50Z</dcterms:created>
  <dcterms:modified xsi:type="dcterms:W3CDTF">2026-08-18T01:17:52Z</dcterms:modified>
</cp:coreProperties>
</file>