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8001_{8EDE568A-BF34-4988-9A94-A8B32CDE8EE3}" xr6:coauthVersionLast="45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2)" sheetId="2245" r:id="rId6"/>
    <sheet name="08,01 R1 (2)" sheetId="2246" r:id="rId7"/>
    <sheet name="08,01 R2 (2)" sheetId="2247" r:id="rId8"/>
    <sheet name="08,01 R3 (2)" sheetId="2248" r:id="rId9"/>
    <sheet name="(3)" sheetId="2249" r:id="rId10"/>
    <sheet name="08,01 R1 (3)" sheetId="2250" r:id="rId11"/>
    <sheet name="08,01 R2 (3)" sheetId="2251" r:id="rId12"/>
    <sheet name="08,01 R3 (3)" sheetId="2252" r:id="rId13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6">'08,01 R1 (2)'!$A$1:$J$60</definedName>
    <definedName name="_xlnm.Print_Area" localSheetId="10">'08,01 R1 (3)'!$A$1:$J$60</definedName>
    <definedName name="_xlnm.Print_Area" localSheetId="2">'08,01 R1 NO TRIP'!$A$1:$J$60</definedName>
    <definedName name="_xlnm.Print_Area" localSheetId="7">'08,01 R2 (2)'!$A$1:$J$60</definedName>
    <definedName name="_xlnm.Print_Area" localSheetId="11">'08,01 R2 (3)'!$A$1:$J$60</definedName>
    <definedName name="_xlnm.Print_Area" localSheetId="3">'08,01 R2 COLLECTION'!$A$1:$J$60</definedName>
    <definedName name="_xlnm.Print_Area" localSheetId="8">'08,01 R3 (2)'!$A$1:$J$60</definedName>
    <definedName name="_xlnm.Print_Area" localSheetId="12">'08,01 R3 (3)'!$A$1:$J$60</definedName>
    <definedName name="_xlnm.Print_Area" localSheetId="4">'08,01 R3 NO TRIP'!$A$1:$J$60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52" l="1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G49" i="2252" s="1"/>
  <c r="D36" i="2252"/>
  <c r="R35" i="2252"/>
  <c r="H35" i="2252"/>
  <c r="D35" i="2252"/>
  <c r="R34" i="2252"/>
  <c r="H34" i="2252"/>
  <c r="D34" i="2252"/>
  <c r="D54" i="2252" s="1"/>
  <c r="H14" i="2252" s="1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D54" i="2251" s="1"/>
  <c r="H14" i="2251" s="1"/>
  <c r="R35" i="2251"/>
  <c r="L18" i="2251" s="1"/>
  <c r="D18" i="2251" s="1"/>
  <c r="H35" i="2251"/>
  <c r="D35" i="2251"/>
  <c r="R34" i="2251"/>
  <c r="H34" i="2251"/>
  <c r="G49" i="2251" s="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G49" i="2250" s="1"/>
  <c r="D34" i="2250"/>
  <c r="D54" i="2250" s="1"/>
  <c r="H14" i="2250" s="1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G49" i="2248" s="1"/>
  <c r="D34" i="2248"/>
  <c r="D54" i="2248" s="1"/>
  <c r="H14" i="2248" s="1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G49" i="2247" s="1"/>
  <c r="D34" i="2247"/>
  <c r="D54" i="2247" s="1"/>
  <c r="H14" i="2247" s="1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D29" i="2252" l="1"/>
  <c r="H13" i="2252" s="1"/>
  <c r="H15" i="2252" s="1"/>
  <c r="H29" i="2252" s="1"/>
  <c r="F51" i="2252" s="1"/>
  <c r="G51" i="2252"/>
  <c r="D29" i="2251"/>
  <c r="H13" i="2251" s="1"/>
  <c r="H15" i="2251" s="1"/>
  <c r="H29" i="2251" s="1"/>
  <c r="F51" i="2251" s="1"/>
  <c r="G51" i="2251"/>
  <c r="D29" i="2250"/>
  <c r="H13" i="2250" s="1"/>
  <c r="H15" i="2250" s="1"/>
  <c r="H29" i="2250" s="1"/>
  <c r="F51" i="2250" s="1"/>
  <c r="G51" i="2250"/>
  <c r="D29" i="2249"/>
  <c r="H13" i="2249" s="1"/>
  <c r="H15" i="2249" s="1"/>
  <c r="H29" i="2249" s="1"/>
  <c r="G51" i="2249" s="1"/>
  <c r="D29" i="2248"/>
  <c r="H13" i="2248" s="1"/>
  <c r="H15" i="2248" s="1"/>
  <c r="H29" i="2248" s="1"/>
  <c r="F51" i="2248" s="1"/>
  <c r="D29" i="2247"/>
  <c r="H13" i="2247" s="1"/>
  <c r="H15" i="2247" s="1"/>
  <c r="H29" i="2247" s="1"/>
  <c r="F51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48" l="1"/>
  <c r="G51" i="2247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49" i="2244" l="1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sharedStrings.xml><?xml version="1.0" encoding="utf-8"?>
<sst xmlns="http://schemas.openxmlformats.org/spreadsheetml/2006/main" count="1609" uniqueCount="133">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</sst>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7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FCE633-8899-410C-A49A-E384DBAC1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6C775A-C450-4837-87CE-8BE815FB11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2" t="s">
        <v>1</v>
      </c>
      <c r="O1" s="102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3" t="s">
        <v>7</v>
      </c>
      <c r="B4" s="104"/>
      <c r="C4" s="104"/>
      <c r="D4" s="105"/>
      <c r="F4" s="106" t="s">
        <v>8</v>
      </c>
      <c r="G4" s="108"/>
      <c r="H4" s="110" t="s">
        <v>9</v>
      </c>
      <c r="I4" s="112"/>
      <c r="J4" s="1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6" t="s">
        <v>7</v>
      </c>
      <c r="B5" s="15" t="s">
        <v>11</v>
      </c>
      <c r="C5" s="9" t="s">
        <v>12</v>
      </c>
      <c r="D5" s="25" t="s">
        <v>13</v>
      </c>
      <c r="F5" s="107"/>
      <c r="G5" s="109"/>
      <c r="H5" s="111"/>
      <c r="I5" s="114"/>
      <c r="J5" s="1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7"/>
      <c r="B6" s="16"/>
      <c r="C6" s="10"/>
      <c r="D6" s="13">
        <f t="shared" ref="D6:D28" si="1">C6*L6</f>
        <v>0</v>
      </c>
      <c r="F6" s="119" t="s">
        <v>16</v>
      </c>
      <c r="G6" s="121"/>
      <c r="H6" s="122"/>
      <c r="I6" s="122"/>
      <c r="J6" s="12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7"/>
      <c r="B7" s="16"/>
      <c r="C7" s="10"/>
      <c r="D7" s="13">
        <f t="shared" si="1"/>
        <v>0</v>
      </c>
      <c r="F7" s="120"/>
      <c r="G7" s="124"/>
      <c r="H7" s="125"/>
      <c r="I7" s="125"/>
      <c r="J7" s="12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7"/>
      <c r="B8" s="16"/>
      <c r="C8" s="10"/>
      <c r="D8" s="13">
        <f t="shared" si="1"/>
        <v>0</v>
      </c>
      <c r="F8" s="127" t="s">
        <v>21</v>
      </c>
      <c r="G8" s="129"/>
      <c r="H8" s="130"/>
      <c r="I8" s="130"/>
      <c r="J8" s="1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7"/>
      <c r="B9" s="16"/>
      <c r="C9" s="10"/>
      <c r="D9" s="13">
        <f t="shared" si="1"/>
        <v>0</v>
      </c>
      <c r="F9" s="120"/>
      <c r="G9" s="132"/>
      <c r="H9" s="133"/>
      <c r="I9" s="133"/>
      <c r="J9" s="1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7"/>
      <c r="C10" s="10"/>
      <c r="D10" s="13">
        <f t="shared" si="1"/>
        <v>0</v>
      </c>
      <c r="F10" s="119" t="s">
        <v>26</v>
      </c>
      <c r="G10" s="135"/>
      <c r="H10" s="136"/>
      <c r="I10" s="136"/>
      <c r="J10" s="137"/>
      <c r="K10" s="8"/>
      <c r="L10" s="6">
        <f>R36</f>
        <v>972</v>
      </c>
      <c r="P10" s="4"/>
      <c r="Q10" s="4"/>
      <c r="R10" s="5"/>
    </row>
    <row r="11" spans="1:19" ht="15.75" x14ac:dyDescent="0.25">
      <c r="A11" s="117"/>
      <c r="B11" s="17"/>
      <c r="C11" s="10"/>
      <c r="D11" s="13">
        <f t="shared" si="1"/>
        <v>0</v>
      </c>
      <c r="F11" s="120"/>
      <c r="G11" s="132"/>
      <c r="H11" s="133"/>
      <c r="I11" s="133"/>
      <c r="J11" s="1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7"/>
      <c r="B12" s="17"/>
      <c r="C12" s="10"/>
      <c r="D12" s="48">
        <f t="shared" si="1"/>
        <v>0</v>
      </c>
      <c r="F12" s="138" t="s">
        <v>33</v>
      </c>
      <c r="G12" s="139"/>
      <c r="H12" s="139"/>
      <c r="I12" s="139"/>
      <c r="J12" s="1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7"/>
      <c r="B13" s="17"/>
      <c r="C13" s="10"/>
      <c r="D13" s="48">
        <f t="shared" si="1"/>
        <v>0</v>
      </c>
      <c r="F13" s="141" t="s">
        <v>36</v>
      </c>
      <c r="G13" s="142"/>
      <c r="H13" s="143">
        <f>D29</f>
        <v>0</v>
      </c>
      <c r="I13" s="144"/>
      <c r="J13" s="14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7"/>
      <c r="B14" s="14"/>
      <c r="C14" s="10"/>
      <c r="D14" s="31">
        <f t="shared" si="1"/>
        <v>0</v>
      </c>
      <c r="F14" s="146" t="s">
        <v>38</v>
      </c>
      <c r="G14" s="147"/>
      <c r="H14" s="148">
        <f>D54</f>
        <v>0</v>
      </c>
      <c r="I14" s="149"/>
      <c r="J14" s="15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7"/>
      <c r="B15" s="14"/>
      <c r="C15" s="10"/>
      <c r="D15" s="31">
        <f t="shared" si="1"/>
        <v>0</v>
      </c>
      <c r="F15" s="151" t="s">
        <v>39</v>
      </c>
      <c r="G15" s="142"/>
      <c r="H15" s="152">
        <f>H13-H14</f>
        <v>0</v>
      </c>
      <c r="I15" s="153"/>
      <c r="J15" s="15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7"/>
      <c r="C17" s="10"/>
      <c r="D17" s="48">
        <f t="shared" si="1"/>
        <v>0</v>
      </c>
      <c r="F17" s="56"/>
      <c r="G17" s="66" t="s">
        <v>44</v>
      </c>
      <c r="H17" s="128"/>
      <c r="I17" s="128"/>
      <c r="J17" s="1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7"/>
      <c r="B18" s="19"/>
      <c r="C18" s="10"/>
      <c r="D18" s="48">
        <f t="shared" si="1"/>
        <v>0</v>
      </c>
      <c r="F18" s="56"/>
      <c r="G18" s="66" t="s">
        <v>46</v>
      </c>
      <c r="H18" s="128"/>
      <c r="I18" s="128"/>
      <c r="J18" s="1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7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7"/>
      <c r="B20" s="46"/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7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7"/>
      <c r="B23" s="14"/>
      <c r="C23" s="10"/>
      <c r="D23" s="48">
        <f t="shared" si="1"/>
        <v>0</v>
      </c>
      <c r="F23" s="77"/>
      <c r="G23" s="78"/>
      <c r="H23" s="179"/>
      <c r="I23" s="180"/>
      <c r="J23" s="18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7"/>
      <c r="B24" s="14"/>
      <c r="C24" s="10"/>
      <c r="D24" s="48">
        <f t="shared" si="1"/>
        <v>0</v>
      </c>
      <c r="F24" s="38"/>
      <c r="G24" s="37"/>
      <c r="H24" s="179"/>
      <c r="I24" s="180"/>
      <c r="J24" s="18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1" t="s">
        <v>13</v>
      </c>
      <c r="I25" s="182"/>
      <c r="J25" s="18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7"/>
      <c r="B26" s="14"/>
      <c r="C26" s="10"/>
      <c r="D26" s="48">
        <f t="shared" si="1"/>
        <v>0</v>
      </c>
      <c r="F26" s="64"/>
      <c r="G26" s="59"/>
      <c r="H26" s="184"/>
      <c r="I26" s="185"/>
      <c r="J26" s="18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7"/>
      <c r="B27" s="14"/>
      <c r="C27" s="10"/>
      <c r="D27" s="44">
        <f t="shared" si="1"/>
        <v>0</v>
      </c>
      <c r="F27" s="25"/>
      <c r="G27" s="79"/>
      <c r="H27" s="187"/>
      <c r="I27" s="188"/>
      <c r="J27" s="18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8"/>
      <c r="B28" s="46"/>
      <c r="C28" s="10"/>
      <c r="D28" s="48">
        <f t="shared" si="1"/>
        <v>0</v>
      </c>
      <c r="F28" s="89"/>
      <c r="G28" s="61"/>
      <c r="H28" s="190"/>
      <c r="I28" s="191"/>
      <c r="J28" s="19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64" t="s">
        <v>54</v>
      </c>
      <c r="G29" s="165"/>
      <c r="H29" s="168">
        <f>H15-H16-H17-H18-H19-H20-H22-H23-H24+H26+H27</f>
        <v>0</v>
      </c>
      <c r="I29" s="169"/>
      <c r="J29" s="17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66"/>
      <c r="G30" s="167"/>
      <c r="H30" s="171"/>
      <c r="I30" s="172"/>
      <c r="J30" s="17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3" t="s">
        <v>57</v>
      </c>
      <c r="B32" s="104"/>
      <c r="C32" s="104"/>
      <c r="D32" s="105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7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8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7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8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7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8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9" t="s">
        <v>80</v>
      </c>
      <c r="C43" s="11"/>
      <c r="D43" s="12"/>
      <c r="F43" s="59" t="s">
        <v>81</v>
      </c>
      <c r="G43" s="91" t="s">
        <v>82</v>
      </c>
      <c r="H43" s="202" t="s">
        <v>13</v>
      </c>
      <c r="I43" s="203"/>
      <c r="J43" s="204"/>
      <c r="K43" s="21"/>
      <c r="P43" s="4"/>
      <c r="Q43" s="4"/>
      <c r="R43" s="5"/>
    </row>
    <row r="44" spans="1:18" ht="15.75" x14ac:dyDescent="0.25">
      <c r="A44" s="200"/>
      <c r="B44" s="27" t="s">
        <v>65</v>
      </c>
      <c r="C44" s="10"/>
      <c r="D44" s="12">
        <f>C44*120</f>
        <v>0</v>
      </c>
      <c r="F44" s="37"/>
      <c r="G44" s="75"/>
      <c r="H44" s="180"/>
      <c r="I44" s="180"/>
      <c r="J44" s="180"/>
      <c r="K44" s="21"/>
      <c r="P44" s="4"/>
      <c r="Q44" s="4"/>
      <c r="R44" s="5"/>
    </row>
    <row r="45" spans="1:18" ht="15.75" x14ac:dyDescent="0.25">
      <c r="A45" s="200"/>
      <c r="B45" s="27" t="s">
        <v>67</v>
      </c>
      <c r="C45" s="33"/>
      <c r="D45" s="12">
        <f>C45*84</f>
        <v>0</v>
      </c>
      <c r="F45" s="37"/>
      <c r="G45" s="75"/>
      <c r="H45" s="180"/>
      <c r="I45" s="180"/>
      <c r="J45" s="180"/>
      <c r="K45" s="21"/>
      <c r="P45" s="4"/>
      <c r="Q45" s="4"/>
      <c r="R45" s="5"/>
    </row>
    <row r="46" spans="1:18" ht="15.75" x14ac:dyDescent="0.25">
      <c r="A46" s="200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01"/>
      <c r="B47" s="27"/>
      <c r="C47" s="11"/>
      <c r="D47" s="12"/>
      <c r="F47" s="59"/>
      <c r="G47" s="59"/>
      <c r="H47" s="206"/>
      <c r="I47" s="207"/>
      <c r="J47" s="208"/>
      <c r="K47" s="21"/>
      <c r="P47" s="4"/>
      <c r="Q47" s="4"/>
      <c r="R47" s="5"/>
    </row>
    <row r="48" spans="1:18" ht="15" customHeight="1" x14ac:dyDescent="0.25">
      <c r="A48" s="199" t="s">
        <v>32</v>
      </c>
      <c r="B48" s="27" t="s">
        <v>65</v>
      </c>
      <c r="C48" s="10"/>
      <c r="D48" s="12">
        <f>C48*78</f>
        <v>0</v>
      </c>
      <c r="F48" s="59"/>
      <c r="G48" s="59"/>
      <c r="H48" s="206"/>
      <c r="I48" s="207"/>
      <c r="J48" s="20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0"/>
      <c r="B49" s="29" t="s">
        <v>67</v>
      </c>
      <c r="C49" s="33"/>
      <c r="D49" s="12">
        <f>C49*42</f>
        <v>0</v>
      </c>
      <c r="F49" s="221" t="s">
        <v>85</v>
      </c>
      <c r="G49" s="168">
        <f>H34+H35+H36+H37+H38+H39+H40+H41+G42+H44+H45+H46</f>
        <v>0</v>
      </c>
      <c r="H49" s="169"/>
      <c r="I49" s="169"/>
      <c r="J49" s="17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0"/>
      <c r="B50" s="32" t="s">
        <v>69</v>
      </c>
      <c r="C50" s="11"/>
      <c r="D50" s="12">
        <f>C50*1.5</f>
        <v>0</v>
      </c>
      <c r="F50" s="222"/>
      <c r="G50" s="171"/>
      <c r="H50" s="172"/>
      <c r="I50" s="172"/>
      <c r="J50" s="173"/>
      <c r="P50" s="4"/>
      <c r="Q50" s="4"/>
      <c r="R50" s="5"/>
    </row>
    <row r="51" spans="1:18" ht="15" customHeight="1" x14ac:dyDescent="0.25">
      <c r="A51" s="200"/>
      <c r="B51" s="27"/>
      <c r="C51" s="10"/>
      <c r="D51" s="31"/>
      <c r="F51" s="223" t="s">
        <v>106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0"/>
      <c r="B52" s="29"/>
      <c r="C52" s="33"/>
      <c r="D52" s="45"/>
      <c r="F52" s="224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209"/>
      <c r="C54" s="210"/>
      <c r="D54" s="213">
        <f>SUM(D34:D53)</f>
        <v>0</v>
      </c>
      <c r="F54" s="21"/>
      <c r="J54" s="34"/>
    </row>
    <row r="55" spans="1:18" x14ac:dyDescent="0.25">
      <c r="A55" s="166"/>
      <c r="B55" s="211"/>
      <c r="C55" s="212"/>
      <c r="D55" s="2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5" t="s">
        <v>90</v>
      </c>
      <c r="B58" s="216"/>
      <c r="C58" s="216"/>
      <c r="D58" s="217"/>
      <c r="F58" s="215" t="s">
        <v>91</v>
      </c>
      <c r="G58" s="216"/>
      <c r="H58" s="216"/>
      <c r="I58" s="216"/>
      <c r="J58" s="217"/>
    </row>
    <row r="59" spans="1:18" x14ac:dyDescent="0.25">
      <c r="A59" s="218"/>
      <c r="B59" s="219"/>
      <c r="C59" s="219"/>
      <c r="D59" s="220"/>
      <c r="F59" s="218"/>
      <c r="G59" s="219"/>
      <c r="H59" s="219"/>
      <c r="I59" s="219"/>
      <c r="J59" s="2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2" t="s">
        <v>1</v>
      </c>
      <c r="O1" s="10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3" t="s">
        <v>7</v>
      </c>
      <c r="B4" s="104"/>
      <c r="C4" s="104"/>
      <c r="D4" s="105"/>
      <c r="F4" s="106" t="s">
        <v>8</v>
      </c>
      <c r="G4" s="108">
        <v>1</v>
      </c>
      <c r="H4" s="110" t="s">
        <v>9</v>
      </c>
      <c r="I4" s="112">
        <v>46235</v>
      </c>
      <c r="J4" s="1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6" t="s">
        <v>7</v>
      </c>
      <c r="B5" s="15" t="s">
        <v>11</v>
      </c>
      <c r="C5" s="9" t="s">
        <v>12</v>
      </c>
      <c r="D5" s="25" t="s">
        <v>13</v>
      </c>
      <c r="F5" s="107"/>
      <c r="G5" s="109"/>
      <c r="H5" s="111"/>
      <c r="I5" s="114"/>
      <c r="J5" s="1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7"/>
      <c r="B6" s="16" t="s">
        <v>15</v>
      </c>
      <c r="C6" s="10"/>
      <c r="D6" s="13">
        <f t="shared" ref="D6:D28" si="1">C6*L6</f>
        <v>0</v>
      </c>
      <c r="F6" s="119" t="s">
        <v>16</v>
      </c>
      <c r="G6" s="121" t="s">
        <v>99</v>
      </c>
      <c r="H6" s="122"/>
      <c r="I6" s="122"/>
      <c r="J6" s="12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7"/>
      <c r="B7" s="16" t="s">
        <v>18</v>
      </c>
      <c r="C7" s="10"/>
      <c r="D7" s="13">
        <f t="shared" si="1"/>
        <v>0</v>
      </c>
      <c r="F7" s="120"/>
      <c r="G7" s="124"/>
      <c r="H7" s="125"/>
      <c r="I7" s="125"/>
      <c r="J7" s="12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7"/>
      <c r="B8" s="16" t="s">
        <v>20</v>
      </c>
      <c r="C8" s="10"/>
      <c r="D8" s="13">
        <f t="shared" si="1"/>
        <v>0</v>
      </c>
      <c r="F8" s="127" t="s">
        <v>21</v>
      </c>
      <c r="G8" s="129" t="s">
        <v>115</v>
      </c>
      <c r="H8" s="130"/>
      <c r="I8" s="130"/>
      <c r="J8" s="1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7"/>
      <c r="B9" s="16" t="s">
        <v>23</v>
      </c>
      <c r="C9" s="10"/>
      <c r="D9" s="13">
        <f t="shared" si="1"/>
        <v>0</v>
      </c>
      <c r="F9" s="120"/>
      <c r="G9" s="132"/>
      <c r="H9" s="133"/>
      <c r="I9" s="133"/>
      <c r="J9" s="1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7"/>
      <c r="B10" t="s">
        <v>25</v>
      </c>
      <c r="C10" s="10"/>
      <c r="D10" s="13">
        <f t="shared" si="1"/>
        <v>0</v>
      </c>
      <c r="F10" s="119" t="s">
        <v>26</v>
      </c>
      <c r="G10" s="135" t="s">
        <v>108</v>
      </c>
      <c r="H10" s="136"/>
      <c r="I10" s="136"/>
      <c r="J10" s="137"/>
      <c r="K10" s="8"/>
      <c r="L10" s="6">
        <f>R36</f>
        <v>1032</v>
      </c>
      <c r="P10" s="4"/>
      <c r="Q10" s="4"/>
      <c r="R10" s="5"/>
    </row>
    <row r="11" spans="1:18" ht="15.75" x14ac:dyDescent="0.25">
      <c r="A11" s="117"/>
      <c r="B11" s="17" t="s">
        <v>28</v>
      </c>
      <c r="C11" s="10"/>
      <c r="D11" s="13">
        <f t="shared" si="1"/>
        <v>0</v>
      </c>
      <c r="F11" s="120"/>
      <c r="G11" s="132"/>
      <c r="H11" s="133"/>
      <c r="I11" s="133"/>
      <c r="J11" s="1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7"/>
      <c r="B12" s="17" t="s">
        <v>30</v>
      </c>
      <c r="C12" s="10"/>
      <c r="D12" s="48">
        <f t="shared" si="1"/>
        <v>0</v>
      </c>
      <c r="F12" s="138" t="s">
        <v>33</v>
      </c>
      <c r="G12" s="139"/>
      <c r="H12" s="139"/>
      <c r="I12" s="139"/>
      <c r="J12" s="1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7"/>
      <c r="B13" s="17" t="s">
        <v>32</v>
      </c>
      <c r="C13" s="10"/>
      <c r="D13" s="48">
        <f t="shared" si="1"/>
        <v>0</v>
      </c>
      <c r="F13" s="141" t="s">
        <v>36</v>
      </c>
      <c r="G13" s="142"/>
      <c r="H13" s="143">
        <f>D29</f>
        <v>0</v>
      </c>
      <c r="I13" s="144"/>
      <c r="J13" s="14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7"/>
      <c r="B14" s="14" t="s">
        <v>35</v>
      </c>
      <c r="C14" s="10"/>
      <c r="D14" s="31">
        <f t="shared" si="1"/>
        <v>0</v>
      </c>
      <c r="F14" s="146" t="s">
        <v>38</v>
      </c>
      <c r="G14" s="147"/>
      <c r="H14" s="148">
        <f>D54</f>
        <v>0</v>
      </c>
      <c r="I14" s="149"/>
      <c r="J14" s="15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7"/>
      <c r="B15" s="14" t="s">
        <v>117</v>
      </c>
      <c r="C15" s="10"/>
      <c r="D15" s="31">
        <f t="shared" si="1"/>
        <v>0</v>
      </c>
      <c r="F15" s="151" t="s">
        <v>39</v>
      </c>
      <c r="G15" s="142"/>
      <c r="H15" s="152">
        <f>H13-H14</f>
        <v>0</v>
      </c>
      <c r="I15" s="153"/>
      <c r="J15" s="15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28"/>
      <c r="I17" s="128"/>
      <c r="J17" s="1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28"/>
      <c r="I18" s="128"/>
      <c r="J18" s="1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5"/>
      <c r="I19" s="155"/>
      <c r="J19" s="1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7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7"/>
      <c r="B23" s="14" t="s">
        <v>116</v>
      </c>
      <c r="C23" s="10"/>
      <c r="D23" s="48">
        <f t="shared" si="1"/>
        <v>0</v>
      </c>
      <c r="F23" s="76"/>
      <c r="G23" s="78"/>
      <c r="H23" s="231"/>
      <c r="I23" s="232"/>
      <c r="J23" s="23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7"/>
      <c r="B24" s="14" t="s">
        <v>123</v>
      </c>
      <c r="C24" s="10"/>
      <c r="D24" s="48">
        <f t="shared" si="1"/>
        <v>0</v>
      </c>
      <c r="F24" s="76"/>
      <c r="G24" s="78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1" t="s">
        <v>13</v>
      </c>
      <c r="I25" s="182"/>
      <c r="J25" s="18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7"/>
      <c r="B26" s="14" t="s">
        <v>124</v>
      </c>
      <c r="C26" s="10"/>
      <c r="D26" s="48">
        <f t="shared" si="1"/>
        <v>0</v>
      </c>
      <c r="F26" s="74"/>
      <c r="G26" s="65"/>
      <c r="H26" s="180"/>
      <c r="I26" s="180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7"/>
      <c r="B27" s="14" t="s">
        <v>125</v>
      </c>
      <c r="C27" s="10"/>
      <c r="D27" s="44">
        <f t="shared" si="1"/>
        <v>0</v>
      </c>
      <c r="F27" s="71"/>
      <c r="G27" s="91"/>
      <c r="H27" s="233"/>
      <c r="I27" s="234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8"/>
      <c r="B28" s="46" t="s">
        <v>92</v>
      </c>
      <c r="C28" s="10"/>
      <c r="D28" s="48">
        <f t="shared" si="1"/>
        <v>0</v>
      </c>
      <c r="F28" s="89"/>
      <c r="G28" s="61"/>
      <c r="H28" s="190"/>
      <c r="I28" s="191"/>
      <c r="J28" s="19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64" t="s">
        <v>54</v>
      </c>
      <c r="G29" s="165"/>
      <c r="H29" s="168">
        <f>H15-H16-H17-H18-H19-H20-H22-H23-H24+H26+H27+H28</f>
        <v>0</v>
      </c>
      <c r="I29" s="169"/>
      <c r="J29" s="17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66"/>
      <c r="G30" s="167"/>
      <c r="H30" s="171"/>
      <c r="I30" s="172"/>
      <c r="J30" s="17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3" t="s">
        <v>57</v>
      </c>
      <c r="B32" s="104"/>
      <c r="C32" s="104"/>
      <c r="D32" s="105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6">
        <f t="shared" ref="H34:H39" si="2"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7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 t="shared" si="2"/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8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7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8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5"/>
      <c r="I40" s="236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7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8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9" t="s">
        <v>80</v>
      </c>
      <c r="C43" s="11"/>
      <c r="D43" s="12"/>
      <c r="F43" s="59" t="s">
        <v>81</v>
      </c>
      <c r="G43" s="91" t="s">
        <v>82</v>
      </c>
      <c r="H43" s="202" t="s">
        <v>13</v>
      </c>
      <c r="I43" s="203"/>
      <c r="J43" s="20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0"/>
      <c r="B44" s="27" t="s">
        <v>65</v>
      </c>
      <c r="C44" s="10"/>
      <c r="D44" s="12">
        <f>C44*120</f>
        <v>0</v>
      </c>
      <c r="F44" s="37"/>
      <c r="G44" s="87"/>
      <c r="H44" s="180"/>
      <c r="I44" s="180"/>
      <c r="J44" s="18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0"/>
      <c r="B45" s="27" t="s">
        <v>67</v>
      </c>
      <c r="C45" s="33"/>
      <c r="D45" s="12">
        <f>C45*84</f>
        <v>0</v>
      </c>
      <c r="F45" s="37"/>
      <c r="G45" s="87"/>
      <c r="H45" s="180"/>
      <c r="I45" s="180"/>
      <c r="J45" s="180"/>
      <c r="K45" s="21"/>
      <c r="P45" s="4"/>
      <c r="Q45" s="4"/>
      <c r="R45" s="5"/>
    </row>
    <row r="46" spans="1:18" ht="15.75" x14ac:dyDescent="0.25">
      <c r="A46" s="200"/>
      <c r="B46" s="49" t="s">
        <v>69</v>
      </c>
      <c r="C46" s="80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201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199" t="s">
        <v>32</v>
      </c>
      <c r="B48" s="27" t="s">
        <v>65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0"/>
      <c r="B49" s="29" t="s">
        <v>67</v>
      </c>
      <c r="C49" s="33"/>
      <c r="D49" s="12">
        <f>C49*42</f>
        <v>0</v>
      </c>
      <c r="F49" s="221" t="s">
        <v>85</v>
      </c>
      <c r="G49" s="168">
        <f>H34+H35+H36+H37+H38+H39+H40+H41+G42+H44+H45+H46+H47+H48</f>
        <v>0</v>
      </c>
      <c r="H49" s="169"/>
      <c r="I49" s="169"/>
      <c r="J49" s="17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0"/>
      <c r="B50" s="32" t="s">
        <v>69</v>
      </c>
      <c r="C50" s="11"/>
      <c r="D50" s="12">
        <f>C50*1.5</f>
        <v>0</v>
      </c>
      <c r="F50" s="222"/>
      <c r="G50" s="171"/>
      <c r="H50" s="172"/>
      <c r="I50" s="172"/>
      <c r="J50" s="173"/>
      <c r="O50" t="s">
        <v>112</v>
      </c>
      <c r="P50" s="4">
        <v>1204</v>
      </c>
      <c r="Q50" s="4"/>
      <c r="R50" s="5"/>
    </row>
    <row r="51" spans="1:18" ht="15" customHeight="1" x14ac:dyDescent="0.25">
      <c r="A51" s="200"/>
      <c r="B51" s="27"/>
      <c r="C51" s="10"/>
      <c r="D51" s="31"/>
      <c r="F51" s="223" t="str">
        <f>_xlfn.IFS(H29&gt;G49,"SHORT",H29&lt;G49,"OVER",H29&lt;=G49,"-")</f>
        <v>-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0"/>
      <c r="B52" s="29"/>
      <c r="C52" s="33"/>
      <c r="D52" s="45"/>
      <c r="F52" s="224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209"/>
      <c r="C54" s="210"/>
      <c r="D54" s="2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6"/>
      <c r="B55" s="211"/>
      <c r="C55" s="212"/>
      <c r="D55" s="2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15" t="s">
        <v>90</v>
      </c>
      <c r="B58" s="216"/>
      <c r="C58" s="216"/>
      <c r="D58" s="217"/>
      <c r="F58" s="215" t="s">
        <v>91</v>
      </c>
      <c r="G58" s="216"/>
      <c r="H58" s="216"/>
      <c r="I58" s="216"/>
      <c r="J58" s="217"/>
    </row>
    <row r="59" spans="1:18" x14ac:dyDescent="0.25">
      <c r="A59" s="218"/>
      <c r="B59" s="219"/>
      <c r="C59" s="219"/>
      <c r="D59" s="220"/>
      <c r="F59" s="218"/>
      <c r="G59" s="219"/>
      <c r="H59" s="219"/>
      <c r="I59" s="219"/>
      <c r="J59" s="22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26" priority="4" operator="containsText" text="SHORT">
      <formula>NOT(ISERROR(SEARCH("SHORT",F51)))</formula>
    </cfRule>
    <cfRule type="containsText" dxfId="25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2" t="s">
        <v>1</v>
      </c>
      <c r="O1" s="10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3" t="s">
        <v>7</v>
      </c>
      <c r="B4" s="104"/>
      <c r="C4" s="104"/>
      <c r="D4" s="105"/>
      <c r="F4" s="106" t="s">
        <v>8</v>
      </c>
      <c r="G4" s="108">
        <v>2</v>
      </c>
      <c r="H4" s="110" t="s">
        <v>9</v>
      </c>
      <c r="I4" s="112">
        <v>46235</v>
      </c>
      <c r="J4" s="1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6" t="s">
        <v>7</v>
      </c>
      <c r="B5" s="15" t="s">
        <v>11</v>
      </c>
      <c r="C5" s="9" t="s">
        <v>12</v>
      </c>
      <c r="D5" s="25" t="s">
        <v>13</v>
      </c>
      <c r="F5" s="107"/>
      <c r="G5" s="109"/>
      <c r="H5" s="111"/>
      <c r="I5" s="114"/>
      <c r="J5" s="1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7"/>
      <c r="B6" s="16" t="s">
        <v>15</v>
      </c>
      <c r="C6" s="10"/>
      <c r="D6" s="13">
        <f t="shared" ref="D6:D28" si="1">C6*L6</f>
        <v>0</v>
      </c>
      <c r="F6" s="119" t="s">
        <v>16</v>
      </c>
      <c r="G6" s="121" t="s">
        <v>107</v>
      </c>
      <c r="H6" s="122"/>
      <c r="I6" s="122"/>
      <c r="J6" s="12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7"/>
      <c r="B7" s="16" t="s">
        <v>18</v>
      </c>
      <c r="C7" s="10"/>
      <c r="D7" s="13">
        <f t="shared" si="1"/>
        <v>0</v>
      </c>
      <c r="F7" s="120"/>
      <c r="G7" s="124"/>
      <c r="H7" s="125"/>
      <c r="I7" s="125"/>
      <c r="J7" s="12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7"/>
      <c r="B8" s="16" t="s">
        <v>20</v>
      </c>
      <c r="C8" s="10"/>
      <c r="D8" s="13">
        <f t="shared" si="1"/>
        <v>0</v>
      </c>
      <c r="F8" s="127" t="s">
        <v>21</v>
      </c>
      <c r="G8" s="129" t="s">
        <v>100</v>
      </c>
      <c r="H8" s="130"/>
      <c r="I8" s="130"/>
      <c r="J8" s="1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7"/>
      <c r="B9" s="16" t="s">
        <v>23</v>
      </c>
      <c r="C9" s="10"/>
      <c r="D9" s="13">
        <f t="shared" si="1"/>
        <v>0</v>
      </c>
      <c r="F9" s="120"/>
      <c r="G9" s="132"/>
      <c r="H9" s="133"/>
      <c r="I9" s="133"/>
      <c r="J9" s="1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7"/>
      <c r="B10" t="s">
        <v>25</v>
      </c>
      <c r="C10" s="10"/>
      <c r="D10" s="13">
        <f t="shared" si="1"/>
        <v>0</v>
      </c>
      <c r="F10" s="119" t="s">
        <v>26</v>
      </c>
      <c r="G10" s="135" t="s">
        <v>101</v>
      </c>
      <c r="H10" s="136"/>
      <c r="I10" s="136"/>
      <c r="J10" s="137"/>
      <c r="K10" s="8"/>
      <c r="L10" s="6">
        <f>R36</f>
        <v>1032</v>
      </c>
      <c r="P10" s="4"/>
      <c r="Q10" s="4"/>
      <c r="R10" s="5"/>
    </row>
    <row r="11" spans="1:18" ht="15.75" x14ac:dyDescent="0.25">
      <c r="A11" s="117"/>
      <c r="B11" s="17" t="s">
        <v>28</v>
      </c>
      <c r="C11" s="10"/>
      <c r="D11" s="13">
        <f t="shared" si="1"/>
        <v>0</v>
      </c>
      <c r="F11" s="120"/>
      <c r="G11" s="132"/>
      <c r="H11" s="133"/>
      <c r="I11" s="133"/>
      <c r="J11" s="1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7"/>
      <c r="B12" s="17" t="s">
        <v>30</v>
      </c>
      <c r="C12" s="10"/>
      <c r="D12" s="48">
        <f t="shared" si="1"/>
        <v>0</v>
      </c>
      <c r="F12" s="138" t="s">
        <v>33</v>
      </c>
      <c r="G12" s="139"/>
      <c r="H12" s="139"/>
      <c r="I12" s="139"/>
      <c r="J12" s="1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7"/>
      <c r="B13" s="17" t="s">
        <v>32</v>
      </c>
      <c r="C13" s="10"/>
      <c r="D13" s="48">
        <f t="shared" si="1"/>
        <v>0</v>
      </c>
      <c r="F13" s="141" t="s">
        <v>36</v>
      </c>
      <c r="G13" s="142"/>
      <c r="H13" s="143">
        <f>D29</f>
        <v>0</v>
      </c>
      <c r="I13" s="144"/>
      <c r="J13" s="14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7"/>
      <c r="B14" s="14" t="s">
        <v>35</v>
      </c>
      <c r="C14" s="10"/>
      <c r="D14" s="31">
        <f t="shared" si="1"/>
        <v>0</v>
      </c>
      <c r="F14" s="146" t="s">
        <v>38</v>
      </c>
      <c r="G14" s="147"/>
      <c r="H14" s="148">
        <f>D54</f>
        <v>0</v>
      </c>
      <c r="I14" s="149"/>
      <c r="J14" s="15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7"/>
      <c r="B15" s="14" t="s">
        <v>117</v>
      </c>
      <c r="C15" s="10"/>
      <c r="D15" s="31">
        <f t="shared" si="1"/>
        <v>0</v>
      </c>
      <c r="F15" s="151" t="s">
        <v>39</v>
      </c>
      <c r="G15" s="142"/>
      <c r="H15" s="152">
        <f>H13-H14</f>
        <v>0</v>
      </c>
      <c r="I15" s="153"/>
      <c r="J15" s="15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28"/>
      <c r="I17" s="128"/>
      <c r="J17" s="1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28"/>
      <c r="I18" s="128"/>
      <c r="J18" s="1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0"/>
      <c r="I19" s="240"/>
      <c r="J19" s="24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7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7"/>
      <c r="B23" s="14" t="s">
        <v>116</v>
      </c>
      <c r="C23" s="10"/>
      <c r="D23" s="48">
        <f t="shared" si="1"/>
        <v>0</v>
      </c>
      <c r="F23" s="77"/>
      <c r="G23" s="78"/>
      <c r="H23" s="241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7"/>
      <c r="B24" s="14" t="s">
        <v>123</v>
      </c>
      <c r="C24" s="10"/>
      <c r="D24" s="48">
        <f t="shared" si="1"/>
        <v>0</v>
      </c>
      <c r="F24" s="38"/>
      <c r="G24" s="37"/>
      <c r="H24" s="179"/>
      <c r="I24" s="180"/>
      <c r="J24" s="1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1" t="s">
        <v>13</v>
      </c>
      <c r="I25" s="182"/>
      <c r="J25" s="18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7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84">
        <v>69862</v>
      </c>
      <c r="I26" s="185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7"/>
      <c r="B27" s="14" t="s">
        <v>125</v>
      </c>
      <c r="C27" s="10"/>
      <c r="D27" s="44">
        <f t="shared" si="1"/>
        <v>0</v>
      </c>
      <c r="F27" s="25"/>
      <c r="G27" s="79"/>
      <c r="H27" s="187"/>
      <c r="I27" s="188"/>
      <c r="J27" s="1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8"/>
      <c r="B28" s="46" t="s">
        <v>92</v>
      </c>
      <c r="C28" s="10"/>
      <c r="D28" s="48">
        <f t="shared" si="1"/>
        <v>0</v>
      </c>
      <c r="F28" s="89"/>
      <c r="G28" s="61"/>
      <c r="H28" s="190"/>
      <c r="I28" s="191"/>
      <c r="J28" s="19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64" t="s">
        <v>54</v>
      </c>
      <c r="G29" s="165"/>
      <c r="H29" s="168">
        <f>H15-H16-H17-H18-H19-H20-H22-H23-H24+H26+H27</f>
        <v>69862</v>
      </c>
      <c r="I29" s="169"/>
      <c r="J29" s="17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66"/>
      <c r="G30" s="167"/>
      <c r="H30" s="171"/>
      <c r="I30" s="172"/>
      <c r="J30" s="17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3" t="s">
        <v>57</v>
      </c>
      <c r="B32" s="104"/>
      <c r="C32" s="104"/>
      <c r="D32" s="105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196">
        <f>F34*G34</f>
        <v>53000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7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96">
        <f>F35*G35</f>
        <v>16500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8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96">
        <f t="shared" si="2"/>
        <v>300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6">
        <f t="shared" si="2"/>
        <v>50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8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7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8"/>
      <c r="B42" s="27" t="s">
        <v>69</v>
      </c>
      <c r="C42" s="11"/>
      <c r="D42" s="12">
        <f>C42*2.25</f>
        <v>0</v>
      </c>
      <c r="F42" s="39" t="s">
        <v>78</v>
      </c>
      <c r="G42" s="196">
        <v>12</v>
      </c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9" t="s">
        <v>80</v>
      </c>
      <c r="C43" s="11"/>
      <c r="D43" s="12"/>
      <c r="F43" s="59" t="s">
        <v>81</v>
      </c>
      <c r="G43" s="91" t="s">
        <v>82</v>
      </c>
      <c r="H43" s="202" t="s">
        <v>13</v>
      </c>
      <c r="I43" s="203"/>
      <c r="J43" s="20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0"/>
      <c r="B44" s="27" t="s">
        <v>65</v>
      </c>
      <c r="C44" s="10"/>
      <c r="D44" s="12">
        <f>C44*120</f>
        <v>0</v>
      </c>
      <c r="F44" s="37"/>
      <c r="G44" s="62"/>
      <c r="H44" s="180"/>
      <c r="I44" s="180"/>
      <c r="J44" s="18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0"/>
      <c r="B45" s="27" t="s">
        <v>67</v>
      </c>
      <c r="C45" s="33"/>
      <c r="D45" s="12">
        <f>C45*84</f>
        <v>0</v>
      </c>
      <c r="F45" s="37"/>
      <c r="G45" s="75"/>
      <c r="H45" s="180"/>
      <c r="I45" s="180"/>
      <c r="J45" s="180"/>
      <c r="K45" s="21"/>
      <c r="P45" s="4"/>
      <c r="Q45" s="4"/>
      <c r="R45" s="5"/>
    </row>
    <row r="46" spans="1:18" ht="15.75" x14ac:dyDescent="0.25">
      <c r="A46" s="200"/>
      <c r="B46" s="49" t="s">
        <v>69</v>
      </c>
      <c r="C46" s="80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201"/>
      <c r="B47" s="27"/>
      <c r="C47" s="11"/>
      <c r="D47" s="12"/>
      <c r="F47" s="59"/>
      <c r="G47" s="59"/>
      <c r="H47" s="180"/>
      <c r="I47" s="180"/>
      <c r="J47" s="180"/>
      <c r="K47" s="21"/>
      <c r="P47" s="4"/>
      <c r="Q47" s="4"/>
      <c r="R47" s="5"/>
    </row>
    <row r="48" spans="1:18" ht="15" customHeight="1" x14ac:dyDescent="0.25">
      <c r="A48" s="199" t="s">
        <v>32</v>
      </c>
      <c r="B48" s="27" t="s">
        <v>65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0"/>
      <c r="B49" s="29" t="s">
        <v>67</v>
      </c>
      <c r="C49" s="33"/>
      <c r="D49" s="12">
        <f>C49*42</f>
        <v>0</v>
      </c>
      <c r="F49" s="221" t="s">
        <v>85</v>
      </c>
      <c r="G49" s="168">
        <f>H34+H35+H36+H37+H38+H39+H40+H41+G42+H44+H45+H46+H47+H48</f>
        <v>69862</v>
      </c>
      <c r="H49" s="169"/>
      <c r="I49" s="169"/>
      <c r="J49" s="17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0"/>
      <c r="B50" s="32" t="s">
        <v>69</v>
      </c>
      <c r="C50" s="80"/>
      <c r="D50" s="12">
        <f>C50*1.5</f>
        <v>0</v>
      </c>
      <c r="F50" s="222"/>
      <c r="G50" s="171"/>
      <c r="H50" s="172"/>
      <c r="I50" s="172"/>
      <c r="J50" s="173"/>
      <c r="O50" t="s">
        <v>112</v>
      </c>
      <c r="P50" s="4">
        <v>1204</v>
      </c>
      <c r="Q50" s="4"/>
      <c r="R50" s="5"/>
    </row>
    <row r="51" spans="1:18" ht="15" customHeight="1" x14ac:dyDescent="0.25">
      <c r="A51" s="200"/>
      <c r="B51" s="27"/>
      <c r="C51" s="10"/>
      <c r="D51" s="31"/>
      <c r="F51" s="223" t="str">
        <f>_xlfn.IFS(H29&gt;G49,"SHORT",H29&lt;G49,"OVER",H29&lt;=G49,"-")</f>
        <v>-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0"/>
      <c r="B52" s="29"/>
      <c r="C52" s="33"/>
      <c r="D52" s="45"/>
      <c r="F52" s="224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209"/>
      <c r="C54" s="210"/>
      <c r="D54" s="2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6"/>
      <c r="B55" s="211"/>
      <c r="C55" s="212"/>
      <c r="D55" s="2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15" t="s">
        <v>90</v>
      </c>
      <c r="B58" s="216"/>
      <c r="C58" s="216"/>
      <c r="D58" s="217"/>
      <c r="F58" s="215" t="s">
        <v>91</v>
      </c>
      <c r="G58" s="216"/>
      <c r="H58" s="216"/>
      <c r="I58" s="216"/>
      <c r="J58" s="217"/>
    </row>
    <row r="59" spans="1:18" x14ac:dyDescent="0.25">
      <c r="A59" s="218"/>
      <c r="B59" s="219"/>
      <c r="C59" s="219"/>
      <c r="D59" s="220"/>
      <c r="F59" s="218"/>
      <c r="G59" s="219"/>
      <c r="H59" s="219"/>
      <c r="I59" s="219"/>
      <c r="J59" s="2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2" t="s">
        <v>1</v>
      </c>
      <c r="O1" s="10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3" t="s">
        <v>7</v>
      </c>
      <c r="B4" s="104"/>
      <c r="C4" s="104"/>
      <c r="D4" s="105"/>
      <c r="F4" s="106" t="s">
        <v>8</v>
      </c>
      <c r="G4" s="108">
        <v>3</v>
      </c>
      <c r="H4" s="110" t="s">
        <v>9</v>
      </c>
      <c r="I4" s="112">
        <v>46235</v>
      </c>
      <c r="J4" s="1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6" t="s">
        <v>7</v>
      </c>
      <c r="B5" s="15" t="s">
        <v>11</v>
      </c>
      <c r="C5" s="9" t="s">
        <v>12</v>
      </c>
      <c r="D5" s="25" t="s">
        <v>13</v>
      </c>
      <c r="F5" s="107"/>
      <c r="G5" s="109"/>
      <c r="H5" s="111"/>
      <c r="I5" s="114"/>
      <c r="J5" s="1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7"/>
      <c r="B6" s="16" t="s">
        <v>15</v>
      </c>
      <c r="C6" s="10"/>
      <c r="D6" s="13">
        <f t="shared" ref="D6:D28" si="1">C6*L6</f>
        <v>0</v>
      </c>
      <c r="F6" s="119" t="s">
        <v>16</v>
      </c>
      <c r="G6" s="121" t="s">
        <v>113</v>
      </c>
      <c r="H6" s="122"/>
      <c r="I6" s="122"/>
      <c r="J6" s="12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7"/>
      <c r="B7" s="16" t="s">
        <v>18</v>
      </c>
      <c r="C7" s="10"/>
      <c r="D7" s="13">
        <f t="shared" si="1"/>
        <v>0</v>
      </c>
      <c r="F7" s="120"/>
      <c r="G7" s="124"/>
      <c r="H7" s="125"/>
      <c r="I7" s="125"/>
      <c r="J7" s="12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7"/>
      <c r="B8" s="16" t="s">
        <v>20</v>
      </c>
      <c r="C8" s="10"/>
      <c r="D8" s="13">
        <f t="shared" si="1"/>
        <v>0</v>
      </c>
      <c r="F8" s="127" t="s">
        <v>21</v>
      </c>
      <c r="G8" s="129" t="s">
        <v>109</v>
      </c>
      <c r="H8" s="130"/>
      <c r="I8" s="130"/>
      <c r="J8" s="1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7"/>
      <c r="B9" s="16" t="s">
        <v>23</v>
      </c>
      <c r="C9" s="10"/>
      <c r="D9" s="13">
        <f t="shared" si="1"/>
        <v>0</v>
      </c>
      <c r="F9" s="120"/>
      <c r="G9" s="132"/>
      <c r="H9" s="133"/>
      <c r="I9" s="133"/>
      <c r="J9" s="1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7"/>
      <c r="B10" t="s">
        <v>25</v>
      </c>
      <c r="C10" s="10"/>
      <c r="D10" s="13">
        <f t="shared" si="1"/>
        <v>0</v>
      </c>
      <c r="F10" s="119" t="s">
        <v>26</v>
      </c>
      <c r="G10" s="135" t="s">
        <v>119</v>
      </c>
      <c r="H10" s="136"/>
      <c r="I10" s="136"/>
      <c r="J10" s="137"/>
      <c r="K10" s="8"/>
      <c r="L10" s="6">
        <f>R36</f>
        <v>1032</v>
      </c>
      <c r="P10" s="4"/>
      <c r="Q10" s="4"/>
      <c r="R10" s="5"/>
    </row>
    <row r="11" spans="1:18" ht="15.75" x14ac:dyDescent="0.25">
      <c r="A11" s="117"/>
      <c r="B11" s="17" t="s">
        <v>28</v>
      </c>
      <c r="C11" s="10"/>
      <c r="D11" s="13">
        <f t="shared" si="1"/>
        <v>0</v>
      </c>
      <c r="F11" s="120"/>
      <c r="G11" s="132"/>
      <c r="H11" s="133"/>
      <c r="I11" s="133"/>
      <c r="J11" s="1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7"/>
      <c r="B12" s="17" t="s">
        <v>30</v>
      </c>
      <c r="C12" s="10"/>
      <c r="D12" s="48">
        <f t="shared" si="1"/>
        <v>0</v>
      </c>
      <c r="F12" s="138" t="s">
        <v>33</v>
      </c>
      <c r="G12" s="139"/>
      <c r="H12" s="139"/>
      <c r="I12" s="139"/>
      <c r="J12" s="1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7"/>
      <c r="B13" s="17" t="s">
        <v>32</v>
      </c>
      <c r="C13" s="10"/>
      <c r="D13" s="48">
        <f t="shared" si="1"/>
        <v>0</v>
      </c>
      <c r="F13" s="141" t="s">
        <v>36</v>
      </c>
      <c r="G13" s="142"/>
      <c r="H13" s="143">
        <f>D29</f>
        <v>0</v>
      </c>
      <c r="I13" s="144"/>
      <c r="J13" s="14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7"/>
      <c r="B14" s="14" t="s">
        <v>35</v>
      </c>
      <c r="C14" s="10"/>
      <c r="D14" s="31">
        <f t="shared" si="1"/>
        <v>0</v>
      </c>
      <c r="F14" s="146" t="s">
        <v>38</v>
      </c>
      <c r="G14" s="147"/>
      <c r="H14" s="148">
        <f>D54</f>
        <v>0</v>
      </c>
      <c r="I14" s="149"/>
      <c r="J14" s="15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7"/>
      <c r="B15" s="14" t="s">
        <v>117</v>
      </c>
      <c r="C15" s="10"/>
      <c r="D15" s="31">
        <f t="shared" si="1"/>
        <v>0</v>
      </c>
      <c r="F15" s="151" t="s">
        <v>39</v>
      </c>
      <c r="G15" s="142"/>
      <c r="H15" s="152">
        <f>H13-H14</f>
        <v>0</v>
      </c>
      <c r="I15" s="153"/>
      <c r="J15" s="15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28"/>
      <c r="I17" s="128"/>
      <c r="J17" s="1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28"/>
      <c r="I18" s="128"/>
      <c r="J18" s="1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0"/>
      <c r="I19" s="240"/>
      <c r="J19" s="24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7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7"/>
      <c r="B23" s="14" t="s">
        <v>116</v>
      </c>
      <c r="C23" s="10"/>
      <c r="D23" s="48">
        <f t="shared" si="1"/>
        <v>0</v>
      </c>
      <c r="F23" s="77"/>
      <c r="G23" s="78"/>
      <c r="H23" s="241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7"/>
      <c r="B24" s="14" t="s">
        <v>123</v>
      </c>
      <c r="C24" s="10"/>
      <c r="D24" s="48">
        <f t="shared" si="1"/>
        <v>0</v>
      </c>
      <c r="F24" s="38"/>
      <c r="G24" s="37"/>
      <c r="H24" s="179"/>
      <c r="I24" s="180"/>
      <c r="J24" s="1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1" t="s">
        <v>13</v>
      </c>
      <c r="I25" s="182"/>
      <c r="J25" s="18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7"/>
      <c r="B26" s="14" t="s">
        <v>124</v>
      </c>
      <c r="C26" s="10"/>
      <c r="D26" s="48">
        <f t="shared" si="1"/>
        <v>0</v>
      </c>
      <c r="F26" s="64"/>
      <c r="G26" s="59"/>
      <c r="H26" s="184"/>
      <c r="I26" s="185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7"/>
      <c r="B27" s="14" t="s">
        <v>125</v>
      </c>
      <c r="C27" s="10"/>
      <c r="D27" s="44">
        <f t="shared" si="1"/>
        <v>0</v>
      </c>
      <c r="F27" s="25"/>
      <c r="G27" s="79"/>
      <c r="H27" s="187"/>
      <c r="I27" s="188"/>
      <c r="J27" s="1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8"/>
      <c r="B28" s="46" t="s">
        <v>92</v>
      </c>
      <c r="C28" s="10"/>
      <c r="D28" s="48">
        <f t="shared" si="1"/>
        <v>0</v>
      </c>
      <c r="F28" s="89"/>
      <c r="G28" s="61"/>
      <c r="H28" s="190"/>
      <c r="I28" s="191"/>
      <c r="J28" s="19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64" t="s">
        <v>54</v>
      </c>
      <c r="G29" s="165"/>
      <c r="H29" s="168">
        <f>H15-H16-H17-H18-H19-H20-H22-H23-H24+H26+H27</f>
        <v>0</v>
      </c>
      <c r="I29" s="169"/>
      <c r="J29" s="17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66"/>
      <c r="G30" s="167"/>
      <c r="H30" s="171"/>
      <c r="I30" s="172"/>
      <c r="J30" s="17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3" t="s">
        <v>57</v>
      </c>
      <c r="B32" s="104"/>
      <c r="C32" s="104"/>
      <c r="D32" s="105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7"/>
      <c r="B35" s="27" t="s">
        <v>67</v>
      </c>
      <c r="C35" s="52"/>
      <c r="D35" s="30">
        <f>C35*84</f>
        <v>0</v>
      </c>
      <c r="F35" s="58">
        <v>500</v>
      </c>
      <c r="G35" s="41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8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7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8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7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8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9" t="s">
        <v>80</v>
      </c>
      <c r="C43" s="11"/>
      <c r="D43" s="12"/>
      <c r="F43" s="59" t="s">
        <v>81</v>
      </c>
      <c r="G43" s="91" t="s">
        <v>82</v>
      </c>
      <c r="H43" s="202" t="s">
        <v>13</v>
      </c>
      <c r="I43" s="203"/>
      <c r="J43" s="20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0"/>
      <c r="B44" s="27" t="s">
        <v>65</v>
      </c>
      <c r="C44" s="10"/>
      <c r="D44" s="12">
        <f>C44*120</f>
        <v>0</v>
      </c>
      <c r="F44" s="37"/>
      <c r="G44" s="62"/>
      <c r="H44" s="180"/>
      <c r="I44" s="180"/>
      <c r="J44" s="18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0"/>
      <c r="B45" s="27" t="s">
        <v>67</v>
      </c>
      <c r="C45" s="33"/>
      <c r="D45" s="12">
        <f>C45*84</f>
        <v>0</v>
      </c>
      <c r="F45" s="37"/>
      <c r="G45" s="62"/>
      <c r="H45" s="180"/>
      <c r="I45" s="180"/>
      <c r="J45" s="180"/>
      <c r="K45" s="21"/>
      <c r="P45" s="4"/>
      <c r="Q45" s="4"/>
      <c r="R45" s="5"/>
    </row>
    <row r="46" spans="1:18" ht="15.75" x14ac:dyDescent="0.25">
      <c r="A46" s="200"/>
      <c r="B46" s="49" t="s">
        <v>69</v>
      </c>
      <c r="C46" s="80"/>
      <c r="D46" s="12">
        <f>C46*1.5</f>
        <v>0</v>
      </c>
      <c r="F46" s="37"/>
      <c r="G46" s="75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201"/>
      <c r="B47" s="27"/>
      <c r="C47" s="11"/>
      <c r="D47" s="12"/>
      <c r="F47" s="37"/>
      <c r="G47" s="75"/>
      <c r="H47" s="180"/>
      <c r="I47" s="180"/>
      <c r="J47" s="180"/>
      <c r="K47" s="21"/>
      <c r="P47" s="4"/>
      <c r="Q47" s="4"/>
      <c r="R47" s="5"/>
    </row>
    <row r="48" spans="1:18" ht="15" customHeight="1" x14ac:dyDescent="0.25">
      <c r="A48" s="199" t="s">
        <v>32</v>
      </c>
      <c r="B48" s="27" t="s">
        <v>65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0"/>
      <c r="B49" s="29" t="s">
        <v>67</v>
      </c>
      <c r="C49" s="33"/>
      <c r="D49" s="12">
        <f>C49*42</f>
        <v>0</v>
      </c>
      <c r="F49" s="221" t="s">
        <v>85</v>
      </c>
      <c r="G49" s="168">
        <f>H34+H35+H36+H37+H38+H39+H40+H41+G42+H44+H45+H46+H47+H48</f>
        <v>0</v>
      </c>
      <c r="H49" s="169"/>
      <c r="I49" s="169"/>
      <c r="J49" s="17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0"/>
      <c r="B50" s="32" t="s">
        <v>69</v>
      </c>
      <c r="C50" s="11"/>
      <c r="D50" s="12">
        <f>C50*1.5</f>
        <v>0</v>
      </c>
      <c r="F50" s="222"/>
      <c r="G50" s="171"/>
      <c r="H50" s="172"/>
      <c r="I50" s="172"/>
      <c r="J50" s="173"/>
      <c r="O50" t="s">
        <v>112</v>
      </c>
      <c r="P50" s="4">
        <v>1204</v>
      </c>
      <c r="Q50" s="4"/>
      <c r="R50" s="5"/>
    </row>
    <row r="51" spans="1:18" ht="15" customHeight="1" x14ac:dyDescent="0.25">
      <c r="A51" s="200"/>
      <c r="B51" s="27"/>
      <c r="C51" s="10"/>
      <c r="D51" s="31"/>
      <c r="F51" s="223" t="str">
        <f>_xlfn.IFS(H29&gt;G49,"SHORT",H29&lt;G49,"OVER",H29&lt;=G49,"-")</f>
        <v>-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0"/>
      <c r="B52" s="29"/>
      <c r="C52" s="33"/>
      <c r="D52" s="45"/>
      <c r="F52" s="224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209"/>
      <c r="C54" s="210"/>
      <c r="D54" s="2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6"/>
      <c r="B55" s="211"/>
      <c r="C55" s="212"/>
      <c r="D55" s="2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15" t="s">
        <v>90</v>
      </c>
      <c r="B58" s="216"/>
      <c r="C58" s="216"/>
      <c r="D58" s="217"/>
      <c r="F58" s="215" t="s">
        <v>91</v>
      </c>
      <c r="G58" s="216"/>
      <c r="H58" s="216"/>
      <c r="I58" s="216"/>
      <c r="J58" s="217"/>
    </row>
    <row r="59" spans="1:18" x14ac:dyDescent="0.25">
      <c r="A59" s="218"/>
      <c r="B59" s="219"/>
      <c r="C59" s="219"/>
      <c r="D59" s="220"/>
      <c r="F59" s="218"/>
      <c r="G59" s="219"/>
      <c r="H59" s="219"/>
      <c r="I59" s="219"/>
      <c r="J59" s="2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2" t="s">
        <v>1</v>
      </c>
      <c r="O1" s="1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3" t="s">
        <v>7</v>
      </c>
      <c r="B4" s="104"/>
      <c r="C4" s="104"/>
      <c r="D4" s="105"/>
      <c r="F4" s="106" t="s">
        <v>8</v>
      </c>
      <c r="G4" s="108"/>
      <c r="H4" s="110" t="s">
        <v>9</v>
      </c>
      <c r="I4" s="112"/>
      <c r="J4" s="1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6" t="s">
        <v>7</v>
      </c>
      <c r="B5" s="15" t="s">
        <v>11</v>
      </c>
      <c r="C5" s="9" t="s">
        <v>12</v>
      </c>
      <c r="D5" s="25" t="s">
        <v>13</v>
      </c>
      <c r="F5" s="107"/>
      <c r="G5" s="109"/>
      <c r="H5" s="111"/>
      <c r="I5" s="114"/>
      <c r="J5" s="1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7"/>
      <c r="B6" s="16"/>
      <c r="C6" s="10"/>
      <c r="D6" s="13">
        <f t="shared" ref="D6:D28" si="1">C6*L6</f>
        <v>0</v>
      </c>
      <c r="F6" s="119" t="s">
        <v>16</v>
      </c>
      <c r="G6" s="121"/>
      <c r="H6" s="122"/>
      <c r="I6" s="122"/>
      <c r="J6" s="12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7"/>
      <c r="B7" s="16"/>
      <c r="C7" s="10"/>
      <c r="D7" s="13">
        <f t="shared" si="1"/>
        <v>0</v>
      </c>
      <c r="F7" s="120"/>
      <c r="G7" s="124"/>
      <c r="H7" s="125"/>
      <c r="I7" s="125"/>
      <c r="J7" s="12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7"/>
      <c r="B8" s="16"/>
      <c r="C8" s="10"/>
      <c r="D8" s="13">
        <f t="shared" si="1"/>
        <v>0</v>
      </c>
      <c r="F8" s="127" t="s">
        <v>21</v>
      </c>
      <c r="G8" s="129"/>
      <c r="H8" s="130"/>
      <c r="I8" s="130"/>
      <c r="J8" s="1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7"/>
      <c r="B9" s="16"/>
      <c r="C9" s="10"/>
      <c r="D9" s="13">
        <f t="shared" si="1"/>
        <v>0</v>
      </c>
      <c r="F9" s="120"/>
      <c r="G9" s="132"/>
      <c r="H9" s="133"/>
      <c r="I9" s="133"/>
      <c r="J9" s="1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7"/>
      <c r="C10" s="10"/>
      <c r="D10" s="13">
        <f t="shared" si="1"/>
        <v>0</v>
      </c>
      <c r="F10" s="119" t="s">
        <v>26</v>
      </c>
      <c r="G10" s="135"/>
      <c r="H10" s="136"/>
      <c r="I10" s="136"/>
      <c r="J10" s="137"/>
      <c r="K10" s="8"/>
      <c r="L10" s="6">
        <f>R36</f>
        <v>972</v>
      </c>
      <c r="P10" s="4"/>
      <c r="Q10" s="4"/>
      <c r="R10" s="5"/>
    </row>
    <row r="11" spans="1:19" ht="15.75" x14ac:dyDescent="0.25">
      <c r="A11" s="117"/>
      <c r="B11" s="17"/>
      <c r="C11" s="10"/>
      <c r="D11" s="13">
        <f t="shared" si="1"/>
        <v>0</v>
      </c>
      <c r="F11" s="120"/>
      <c r="G11" s="132"/>
      <c r="H11" s="133"/>
      <c r="I11" s="133"/>
      <c r="J11" s="1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7"/>
      <c r="B12" s="17"/>
      <c r="C12" s="10"/>
      <c r="D12" s="48">
        <f t="shared" si="1"/>
        <v>0</v>
      </c>
      <c r="F12" s="138" t="s">
        <v>33</v>
      </c>
      <c r="G12" s="139"/>
      <c r="H12" s="139"/>
      <c r="I12" s="139"/>
      <c r="J12" s="1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7"/>
      <c r="B13" s="17"/>
      <c r="C13" s="10"/>
      <c r="D13" s="48">
        <f t="shared" si="1"/>
        <v>0</v>
      </c>
      <c r="F13" s="141" t="s">
        <v>36</v>
      </c>
      <c r="G13" s="142"/>
      <c r="H13" s="143">
        <f>D29</f>
        <v>0</v>
      </c>
      <c r="I13" s="144"/>
      <c r="J13" s="14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7"/>
      <c r="B14" s="14"/>
      <c r="C14" s="10"/>
      <c r="D14" s="31">
        <f t="shared" si="1"/>
        <v>0</v>
      </c>
      <c r="F14" s="146" t="s">
        <v>38</v>
      </c>
      <c r="G14" s="147"/>
      <c r="H14" s="148">
        <f>D54</f>
        <v>0</v>
      </c>
      <c r="I14" s="149"/>
      <c r="J14" s="15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7"/>
      <c r="B15" s="14"/>
      <c r="C15" s="10"/>
      <c r="D15" s="31">
        <f t="shared" si="1"/>
        <v>0</v>
      </c>
      <c r="F15" s="151" t="s">
        <v>39</v>
      </c>
      <c r="G15" s="142"/>
      <c r="H15" s="152">
        <f>H13-H14</f>
        <v>0</v>
      </c>
      <c r="I15" s="153"/>
      <c r="J15" s="15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7"/>
      <c r="C17" s="10"/>
      <c r="D17" s="48">
        <f t="shared" si="1"/>
        <v>0</v>
      </c>
      <c r="F17" s="56"/>
      <c r="G17" s="66" t="s">
        <v>44</v>
      </c>
      <c r="H17" s="128"/>
      <c r="I17" s="128"/>
      <c r="J17" s="1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7"/>
      <c r="B18" s="19"/>
      <c r="C18" s="10"/>
      <c r="D18" s="48">
        <f t="shared" si="1"/>
        <v>0</v>
      </c>
      <c r="F18" s="56"/>
      <c r="G18" s="66" t="s">
        <v>46</v>
      </c>
      <c r="H18" s="128"/>
      <c r="I18" s="128"/>
      <c r="J18" s="1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7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7"/>
      <c r="B20" s="46"/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7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7"/>
      <c r="B23" s="14"/>
      <c r="C23" s="10"/>
      <c r="D23" s="48">
        <f t="shared" si="1"/>
        <v>0</v>
      </c>
      <c r="F23" s="77"/>
      <c r="G23" s="78"/>
      <c r="H23" s="179"/>
      <c r="I23" s="180"/>
      <c r="J23" s="18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7"/>
      <c r="B24" s="14"/>
      <c r="C24" s="10"/>
      <c r="D24" s="48">
        <f t="shared" si="1"/>
        <v>0</v>
      </c>
      <c r="F24" s="38"/>
      <c r="G24" s="37"/>
      <c r="H24" s="179"/>
      <c r="I24" s="180"/>
      <c r="J24" s="18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1" t="s">
        <v>13</v>
      </c>
      <c r="I25" s="182"/>
      <c r="J25" s="18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7"/>
      <c r="B26" s="14"/>
      <c r="C26" s="10"/>
      <c r="D26" s="48">
        <f t="shared" si="1"/>
        <v>0</v>
      </c>
      <c r="F26" s="64"/>
      <c r="G26" s="59"/>
      <c r="H26" s="184"/>
      <c r="I26" s="185"/>
      <c r="J26" s="18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7"/>
      <c r="B27" s="14"/>
      <c r="C27" s="10"/>
      <c r="D27" s="44">
        <f t="shared" si="1"/>
        <v>0</v>
      </c>
      <c r="F27" s="25"/>
      <c r="G27" s="79"/>
      <c r="H27" s="187"/>
      <c r="I27" s="188"/>
      <c r="J27" s="18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8"/>
      <c r="B28" s="46"/>
      <c r="C28" s="10"/>
      <c r="D28" s="48">
        <f t="shared" si="1"/>
        <v>0</v>
      </c>
      <c r="F28" s="93"/>
      <c r="G28" s="61"/>
      <c r="H28" s="190"/>
      <c r="I28" s="191"/>
      <c r="J28" s="19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64" t="s">
        <v>54</v>
      </c>
      <c r="G29" s="165"/>
      <c r="H29" s="168">
        <f>H15-H16-H17-H18-H19-H20-H22-H23-H24+H26+H27</f>
        <v>0</v>
      </c>
      <c r="I29" s="169"/>
      <c r="J29" s="17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66"/>
      <c r="G30" s="167"/>
      <c r="H30" s="171"/>
      <c r="I30" s="172"/>
      <c r="J30" s="17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3" t="s">
        <v>57</v>
      </c>
      <c r="B32" s="104"/>
      <c r="C32" s="104"/>
      <c r="D32" s="105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7"/>
      <c r="B35" s="27" t="s">
        <v>67</v>
      </c>
      <c r="C35" s="52"/>
      <c r="D35" s="30">
        <f>C35*84</f>
        <v>0</v>
      </c>
      <c r="F35" s="58">
        <v>500</v>
      </c>
      <c r="G35" s="41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8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7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8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7"/>
      <c r="B41" s="27" t="s">
        <v>67</v>
      </c>
      <c r="C41" s="10"/>
      <c r="D41" s="12">
        <f>C41*84</f>
        <v>0</v>
      </c>
      <c r="F41" s="12">
        <v>5</v>
      </c>
      <c r="G41" s="42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8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9" t="s">
        <v>80</v>
      </c>
      <c r="C43" s="11"/>
      <c r="D43" s="12"/>
      <c r="F43" s="59" t="s">
        <v>81</v>
      </c>
      <c r="G43" s="95" t="s">
        <v>82</v>
      </c>
      <c r="H43" s="202" t="s">
        <v>13</v>
      </c>
      <c r="I43" s="203"/>
      <c r="J43" s="204"/>
      <c r="K43" s="21"/>
      <c r="P43" s="4"/>
      <c r="Q43" s="4"/>
      <c r="R43" s="5"/>
    </row>
    <row r="44" spans="1:18" ht="15.75" x14ac:dyDescent="0.25">
      <c r="A44" s="200"/>
      <c r="B44" s="27" t="s">
        <v>65</v>
      </c>
      <c r="C44" s="10"/>
      <c r="D44" s="12">
        <f>C44*120</f>
        <v>0</v>
      </c>
      <c r="F44" s="37"/>
      <c r="G44" s="75"/>
      <c r="H44" s="180"/>
      <c r="I44" s="180"/>
      <c r="J44" s="180"/>
      <c r="K44" s="21"/>
      <c r="P44" s="4"/>
      <c r="Q44" s="4"/>
      <c r="R44" s="5"/>
    </row>
    <row r="45" spans="1:18" ht="15.75" x14ac:dyDescent="0.25">
      <c r="A45" s="200"/>
      <c r="B45" s="27" t="s">
        <v>67</v>
      </c>
      <c r="C45" s="33"/>
      <c r="D45" s="12">
        <f>C45*84</f>
        <v>0</v>
      </c>
      <c r="F45" s="37"/>
      <c r="G45" s="75"/>
      <c r="H45" s="180"/>
      <c r="I45" s="180"/>
      <c r="J45" s="180"/>
      <c r="K45" s="21"/>
      <c r="P45" s="4"/>
      <c r="Q45" s="4"/>
      <c r="R45" s="5"/>
    </row>
    <row r="46" spans="1:18" ht="15.75" x14ac:dyDescent="0.25">
      <c r="A46" s="200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01"/>
      <c r="B47" s="27"/>
      <c r="C47" s="11"/>
      <c r="D47" s="12"/>
      <c r="F47" s="59"/>
      <c r="G47" s="59"/>
      <c r="H47" s="206"/>
      <c r="I47" s="207"/>
      <c r="J47" s="208"/>
      <c r="K47" s="21"/>
      <c r="P47" s="4"/>
      <c r="Q47" s="4"/>
      <c r="R47" s="5"/>
    </row>
    <row r="48" spans="1:18" ht="15" customHeight="1" x14ac:dyDescent="0.25">
      <c r="A48" s="199" t="s">
        <v>32</v>
      </c>
      <c r="B48" s="27" t="s">
        <v>65</v>
      </c>
      <c r="C48" s="10"/>
      <c r="D48" s="12">
        <f>C48*78</f>
        <v>0</v>
      </c>
      <c r="F48" s="59"/>
      <c r="G48" s="59"/>
      <c r="H48" s="206"/>
      <c r="I48" s="207"/>
      <c r="J48" s="20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0"/>
      <c r="B49" s="29" t="s">
        <v>67</v>
      </c>
      <c r="C49" s="33"/>
      <c r="D49" s="12">
        <f>C49*42</f>
        <v>0</v>
      </c>
      <c r="F49" s="221" t="s">
        <v>85</v>
      </c>
      <c r="G49" s="168">
        <f>H34+H35+H36+H37+H38+H39+H40+H41+G42+H44+H45+H46</f>
        <v>0</v>
      </c>
      <c r="H49" s="169"/>
      <c r="I49" s="169"/>
      <c r="J49" s="17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0"/>
      <c r="B50" s="32" t="s">
        <v>69</v>
      </c>
      <c r="C50" s="11"/>
      <c r="D50" s="12">
        <f>C50*1.5</f>
        <v>0</v>
      </c>
      <c r="F50" s="222"/>
      <c r="G50" s="171"/>
      <c r="H50" s="172"/>
      <c r="I50" s="172"/>
      <c r="J50" s="173"/>
      <c r="P50" s="4"/>
      <c r="Q50" s="4"/>
      <c r="R50" s="5"/>
    </row>
    <row r="51" spans="1:18" ht="15" customHeight="1" x14ac:dyDescent="0.25">
      <c r="A51" s="200"/>
      <c r="B51" s="27"/>
      <c r="C51" s="10"/>
      <c r="D51" s="31"/>
      <c r="F51" s="223" t="s">
        <v>106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0"/>
      <c r="B52" s="29"/>
      <c r="C52" s="33"/>
      <c r="D52" s="45"/>
      <c r="F52" s="224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209"/>
      <c r="C54" s="210"/>
      <c r="D54" s="213">
        <f>SUM(D34:D53)</f>
        <v>0</v>
      </c>
      <c r="F54" s="21"/>
      <c r="J54" s="34"/>
    </row>
    <row r="55" spans="1:18" x14ac:dyDescent="0.25">
      <c r="A55" s="166"/>
      <c r="B55" s="211"/>
      <c r="C55" s="212"/>
      <c r="D55" s="2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5" t="s">
        <v>90</v>
      </c>
      <c r="B58" s="216"/>
      <c r="C58" s="216"/>
      <c r="D58" s="217"/>
      <c r="F58" s="215" t="s">
        <v>91</v>
      </c>
      <c r="G58" s="216"/>
      <c r="H58" s="216"/>
      <c r="I58" s="216"/>
      <c r="J58" s="217"/>
    </row>
    <row r="59" spans="1:18" x14ac:dyDescent="0.25">
      <c r="A59" s="218"/>
      <c r="B59" s="219"/>
      <c r="C59" s="219"/>
      <c r="D59" s="220"/>
      <c r="F59" s="218"/>
      <c r="G59" s="219"/>
      <c r="H59" s="219"/>
      <c r="I59" s="219"/>
      <c r="J59" s="2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2" t="s">
        <v>1</v>
      </c>
      <c r="O1" s="10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3" t="s">
        <v>7</v>
      </c>
      <c r="B4" s="104"/>
      <c r="C4" s="104"/>
      <c r="D4" s="105"/>
      <c r="F4" s="106" t="s">
        <v>8</v>
      </c>
      <c r="G4" s="108">
        <v>1</v>
      </c>
      <c r="H4" s="110" t="s">
        <v>9</v>
      </c>
      <c r="I4" s="112">
        <v>46235</v>
      </c>
      <c r="J4" s="1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6" t="s">
        <v>7</v>
      </c>
      <c r="B5" s="15" t="s">
        <v>11</v>
      </c>
      <c r="C5" s="9" t="s">
        <v>12</v>
      </c>
      <c r="D5" s="25" t="s">
        <v>13</v>
      </c>
      <c r="F5" s="107"/>
      <c r="G5" s="109"/>
      <c r="H5" s="111"/>
      <c r="I5" s="114"/>
      <c r="J5" s="1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7"/>
      <c r="B6" s="16" t="s">
        <v>15</v>
      </c>
      <c r="C6" s="10"/>
      <c r="D6" s="13">
        <f t="shared" ref="D6:D28" si="1">C6*L6</f>
        <v>0</v>
      </c>
      <c r="F6" s="119" t="s">
        <v>16</v>
      </c>
      <c r="G6" s="121" t="s">
        <v>99</v>
      </c>
      <c r="H6" s="122"/>
      <c r="I6" s="122"/>
      <c r="J6" s="12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7"/>
      <c r="B7" s="16" t="s">
        <v>18</v>
      </c>
      <c r="C7" s="10"/>
      <c r="D7" s="13">
        <f t="shared" si="1"/>
        <v>0</v>
      </c>
      <c r="F7" s="120"/>
      <c r="G7" s="124"/>
      <c r="H7" s="125"/>
      <c r="I7" s="125"/>
      <c r="J7" s="12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7"/>
      <c r="B8" s="16" t="s">
        <v>20</v>
      </c>
      <c r="C8" s="10"/>
      <c r="D8" s="13">
        <f t="shared" si="1"/>
        <v>0</v>
      </c>
      <c r="F8" s="127" t="s">
        <v>21</v>
      </c>
      <c r="G8" s="129" t="s">
        <v>115</v>
      </c>
      <c r="H8" s="130"/>
      <c r="I8" s="130"/>
      <c r="J8" s="1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7"/>
      <c r="B9" s="16" t="s">
        <v>23</v>
      </c>
      <c r="C9" s="10"/>
      <c r="D9" s="13">
        <f t="shared" si="1"/>
        <v>0</v>
      </c>
      <c r="F9" s="120"/>
      <c r="G9" s="132"/>
      <c r="H9" s="133"/>
      <c r="I9" s="133"/>
      <c r="J9" s="1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7"/>
      <c r="B10" t="s">
        <v>25</v>
      </c>
      <c r="C10" s="10"/>
      <c r="D10" s="13">
        <f t="shared" si="1"/>
        <v>0</v>
      </c>
      <c r="F10" s="119" t="s">
        <v>26</v>
      </c>
      <c r="G10" s="135" t="s">
        <v>108</v>
      </c>
      <c r="H10" s="136"/>
      <c r="I10" s="136"/>
      <c r="J10" s="137"/>
      <c r="K10" s="8"/>
      <c r="L10" s="6">
        <f>R36</f>
        <v>1032</v>
      </c>
      <c r="P10" s="4"/>
      <c r="Q10" s="4"/>
      <c r="R10" s="5"/>
    </row>
    <row r="11" spans="1:18" ht="15.75" x14ac:dyDescent="0.25">
      <c r="A11" s="117"/>
      <c r="B11" s="17" t="s">
        <v>28</v>
      </c>
      <c r="C11" s="10"/>
      <c r="D11" s="13">
        <f t="shared" si="1"/>
        <v>0</v>
      </c>
      <c r="F11" s="120"/>
      <c r="G11" s="132"/>
      <c r="H11" s="133"/>
      <c r="I11" s="133"/>
      <c r="J11" s="1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7"/>
      <c r="B12" s="17" t="s">
        <v>30</v>
      </c>
      <c r="C12" s="10"/>
      <c r="D12" s="48">
        <f t="shared" si="1"/>
        <v>0</v>
      </c>
      <c r="F12" s="138" t="s">
        <v>33</v>
      </c>
      <c r="G12" s="139"/>
      <c r="H12" s="139"/>
      <c r="I12" s="139"/>
      <c r="J12" s="1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7"/>
      <c r="B13" s="17" t="s">
        <v>32</v>
      </c>
      <c r="C13" s="10"/>
      <c r="D13" s="48">
        <f t="shared" si="1"/>
        <v>0</v>
      </c>
      <c r="F13" s="141" t="s">
        <v>36</v>
      </c>
      <c r="G13" s="142"/>
      <c r="H13" s="143">
        <f>D29</f>
        <v>0</v>
      </c>
      <c r="I13" s="144"/>
      <c r="J13" s="14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7"/>
      <c r="B14" s="14" t="s">
        <v>35</v>
      </c>
      <c r="C14" s="10"/>
      <c r="D14" s="31">
        <f t="shared" si="1"/>
        <v>0</v>
      </c>
      <c r="F14" s="146" t="s">
        <v>38</v>
      </c>
      <c r="G14" s="147"/>
      <c r="H14" s="148">
        <f>D54</f>
        <v>0</v>
      </c>
      <c r="I14" s="149"/>
      <c r="J14" s="15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7"/>
      <c r="B15" s="14" t="s">
        <v>117</v>
      </c>
      <c r="C15" s="10"/>
      <c r="D15" s="31">
        <f t="shared" si="1"/>
        <v>0</v>
      </c>
      <c r="F15" s="151" t="s">
        <v>39</v>
      </c>
      <c r="G15" s="142"/>
      <c r="H15" s="152">
        <f>H13-H14</f>
        <v>0</v>
      </c>
      <c r="I15" s="153"/>
      <c r="J15" s="15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28"/>
      <c r="I17" s="128"/>
      <c r="J17" s="1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28"/>
      <c r="I18" s="128"/>
      <c r="J18" s="1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5"/>
      <c r="I19" s="155"/>
      <c r="J19" s="1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7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7"/>
      <c r="B23" s="14" t="s">
        <v>116</v>
      </c>
      <c r="C23" s="10"/>
      <c r="D23" s="48">
        <f t="shared" si="1"/>
        <v>0</v>
      </c>
      <c r="F23" s="76"/>
      <c r="G23" s="78"/>
      <c r="H23" s="231"/>
      <c r="I23" s="232"/>
      <c r="J23" s="23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7"/>
      <c r="B24" s="14" t="s">
        <v>123</v>
      </c>
      <c r="C24" s="10"/>
      <c r="D24" s="48">
        <f t="shared" si="1"/>
        <v>0</v>
      </c>
      <c r="F24" s="76"/>
      <c r="G24" s="78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1" t="s">
        <v>13</v>
      </c>
      <c r="I25" s="182"/>
      <c r="J25" s="18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7"/>
      <c r="B26" s="14" t="s">
        <v>124</v>
      </c>
      <c r="C26" s="10"/>
      <c r="D26" s="48">
        <f t="shared" si="1"/>
        <v>0</v>
      </c>
      <c r="F26" s="74"/>
      <c r="G26" s="65"/>
      <c r="H26" s="180"/>
      <c r="I26" s="180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7"/>
      <c r="B27" s="14" t="s">
        <v>125</v>
      </c>
      <c r="C27" s="10"/>
      <c r="D27" s="44">
        <f t="shared" si="1"/>
        <v>0</v>
      </c>
      <c r="F27" s="71"/>
      <c r="G27" s="99"/>
      <c r="H27" s="233"/>
      <c r="I27" s="234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8"/>
      <c r="B28" s="46" t="s">
        <v>92</v>
      </c>
      <c r="C28" s="10"/>
      <c r="D28" s="48">
        <f t="shared" si="1"/>
        <v>0</v>
      </c>
      <c r="F28" s="97"/>
      <c r="G28" s="61"/>
      <c r="H28" s="190"/>
      <c r="I28" s="191"/>
      <c r="J28" s="19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64" t="s">
        <v>54</v>
      </c>
      <c r="G29" s="165"/>
      <c r="H29" s="168">
        <f>H15-H16-H17-H18-H19-H20-H22-H23-H24+H26+H27+H28</f>
        <v>0</v>
      </c>
      <c r="I29" s="169"/>
      <c r="J29" s="17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66"/>
      <c r="G30" s="167"/>
      <c r="H30" s="171"/>
      <c r="I30" s="172"/>
      <c r="J30" s="17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3" t="s">
        <v>57</v>
      </c>
      <c r="B32" s="104"/>
      <c r="C32" s="104"/>
      <c r="D32" s="105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6">
        <f t="shared" ref="H34:H39" si="2"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7"/>
      <c r="B35" s="27" t="s">
        <v>67</v>
      </c>
      <c r="C35" s="52"/>
      <c r="D35" s="30">
        <f>C35*84</f>
        <v>0</v>
      </c>
      <c r="F35" s="58">
        <v>500</v>
      </c>
      <c r="G35" s="100"/>
      <c r="H35" s="196">
        <f t="shared" si="2"/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8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7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8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6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35"/>
      <c r="I40" s="236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7"/>
      <c r="B41" s="27" t="s">
        <v>67</v>
      </c>
      <c r="C41" s="10"/>
      <c r="D41" s="12">
        <f>C41*84</f>
        <v>0</v>
      </c>
      <c r="F41" s="12">
        <v>5</v>
      </c>
      <c r="G41" s="101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8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9" t="s">
        <v>80</v>
      </c>
      <c r="C43" s="11"/>
      <c r="D43" s="12"/>
      <c r="F43" s="59" t="s">
        <v>81</v>
      </c>
      <c r="G43" s="99" t="s">
        <v>82</v>
      </c>
      <c r="H43" s="202" t="s">
        <v>13</v>
      </c>
      <c r="I43" s="203"/>
      <c r="J43" s="20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0"/>
      <c r="B44" s="27" t="s">
        <v>65</v>
      </c>
      <c r="C44" s="10"/>
      <c r="D44" s="12">
        <f>C44*120</f>
        <v>0</v>
      </c>
      <c r="F44" s="37"/>
      <c r="G44" s="87"/>
      <c r="H44" s="180"/>
      <c r="I44" s="180"/>
      <c r="J44" s="18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0"/>
      <c r="B45" s="27" t="s">
        <v>67</v>
      </c>
      <c r="C45" s="33"/>
      <c r="D45" s="12">
        <f>C45*84</f>
        <v>0</v>
      </c>
      <c r="F45" s="37"/>
      <c r="G45" s="87"/>
      <c r="H45" s="180"/>
      <c r="I45" s="180"/>
      <c r="J45" s="180"/>
      <c r="K45" s="21"/>
      <c r="P45" s="4"/>
      <c r="Q45" s="4"/>
      <c r="R45" s="5"/>
    </row>
    <row r="46" spans="1:18" ht="15.75" x14ac:dyDescent="0.25">
      <c r="A46" s="200"/>
      <c r="B46" s="49" t="s">
        <v>69</v>
      </c>
      <c r="C46" s="80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201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199" t="s">
        <v>32</v>
      </c>
      <c r="B48" s="27" t="s">
        <v>65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0"/>
      <c r="B49" s="29" t="s">
        <v>67</v>
      </c>
      <c r="C49" s="33"/>
      <c r="D49" s="12">
        <f>C49*42</f>
        <v>0</v>
      </c>
      <c r="F49" s="221" t="s">
        <v>85</v>
      </c>
      <c r="G49" s="168">
        <f>H34+H35+H36+H37+H38+H39+H40+H41+G42+H44+H45+H46+H47+H48</f>
        <v>0</v>
      </c>
      <c r="H49" s="169"/>
      <c r="I49" s="169"/>
      <c r="J49" s="17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0"/>
      <c r="B50" s="32" t="s">
        <v>69</v>
      </c>
      <c r="C50" s="11"/>
      <c r="D50" s="12">
        <f>C50*1.5</f>
        <v>0</v>
      </c>
      <c r="F50" s="222"/>
      <c r="G50" s="171"/>
      <c r="H50" s="172"/>
      <c r="I50" s="172"/>
      <c r="J50" s="173"/>
      <c r="O50" t="s">
        <v>112</v>
      </c>
      <c r="P50" s="4">
        <v>1204</v>
      </c>
      <c r="Q50" s="4"/>
      <c r="R50" s="5"/>
    </row>
    <row r="51" spans="1:18" ht="15" customHeight="1" x14ac:dyDescent="0.25">
      <c r="A51" s="200"/>
      <c r="B51" s="27"/>
      <c r="C51" s="10"/>
      <c r="D51" s="31"/>
      <c r="F51" s="223" t="str">
        <f>_xlfn.IFS(H29&gt;G49,"SHORT",H29&lt;G49,"OVER",H29&lt;=G49,"-")</f>
        <v>-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0"/>
      <c r="B52" s="29"/>
      <c r="C52" s="33"/>
      <c r="D52" s="45"/>
      <c r="F52" s="224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209"/>
      <c r="C54" s="210"/>
      <c r="D54" s="2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6"/>
      <c r="B55" s="211"/>
      <c r="C55" s="212"/>
      <c r="D55" s="2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15" t="s">
        <v>90</v>
      </c>
      <c r="B58" s="216"/>
      <c r="C58" s="216"/>
      <c r="D58" s="217"/>
      <c r="F58" s="215" t="s">
        <v>91</v>
      </c>
      <c r="G58" s="216"/>
      <c r="H58" s="216"/>
      <c r="I58" s="216"/>
      <c r="J58" s="217"/>
    </row>
    <row r="59" spans="1:18" x14ac:dyDescent="0.25">
      <c r="A59" s="218"/>
      <c r="B59" s="219"/>
      <c r="C59" s="219"/>
      <c r="D59" s="220"/>
      <c r="F59" s="218"/>
      <c r="G59" s="219"/>
      <c r="H59" s="219"/>
      <c r="I59" s="219"/>
      <c r="J59" s="22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2" t="s">
        <v>1</v>
      </c>
      <c r="O1" s="10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3" t="s">
        <v>7</v>
      </c>
      <c r="B4" s="104"/>
      <c r="C4" s="104"/>
      <c r="D4" s="105"/>
      <c r="F4" s="106" t="s">
        <v>8</v>
      </c>
      <c r="G4" s="108">
        <v>2</v>
      </c>
      <c r="H4" s="110" t="s">
        <v>9</v>
      </c>
      <c r="I4" s="112">
        <v>46235</v>
      </c>
      <c r="J4" s="1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6" t="s">
        <v>7</v>
      </c>
      <c r="B5" s="15" t="s">
        <v>11</v>
      </c>
      <c r="C5" s="9" t="s">
        <v>12</v>
      </c>
      <c r="D5" s="25" t="s">
        <v>13</v>
      </c>
      <c r="F5" s="107"/>
      <c r="G5" s="109"/>
      <c r="H5" s="111"/>
      <c r="I5" s="114"/>
      <c r="J5" s="1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7"/>
      <c r="B6" s="16" t="s">
        <v>15</v>
      </c>
      <c r="C6" s="10"/>
      <c r="D6" s="13">
        <f t="shared" ref="D6:D28" si="1">C6*L6</f>
        <v>0</v>
      </c>
      <c r="F6" s="119" t="s">
        <v>16</v>
      </c>
      <c r="G6" s="121" t="s">
        <v>107</v>
      </c>
      <c r="H6" s="122"/>
      <c r="I6" s="122"/>
      <c r="J6" s="12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7"/>
      <c r="B7" s="16" t="s">
        <v>18</v>
      </c>
      <c r="C7" s="10"/>
      <c r="D7" s="13">
        <f t="shared" si="1"/>
        <v>0</v>
      </c>
      <c r="F7" s="120"/>
      <c r="G7" s="124"/>
      <c r="H7" s="125"/>
      <c r="I7" s="125"/>
      <c r="J7" s="12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7"/>
      <c r="B8" s="16" t="s">
        <v>20</v>
      </c>
      <c r="C8" s="10"/>
      <c r="D8" s="13">
        <f t="shared" si="1"/>
        <v>0</v>
      </c>
      <c r="F8" s="127" t="s">
        <v>21</v>
      </c>
      <c r="G8" s="129" t="s">
        <v>100</v>
      </c>
      <c r="H8" s="130"/>
      <c r="I8" s="130"/>
      <c r="J8" s="1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7"/>
      <c r="B9" s="16" t="s">
        <v>23</v>
      </c>
      <c r="C9" s="10"/>
      <c r="D9" s="13">
        <f t="shared" si="1"/>
        <v>0</v>
      </c>
      <c r="F9" s="120"/>
      <c r="G9" s="132"/>
      <c r="H9" s="133"/>
      <c r="I9" s="133"/>
      <c r="J9" s="1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7"/>
      <c r="B10" t="s">
        <v>25</v>
      </c>
      <c r="C10" s="10"/>
      <c r="D10" s="13">
        <f t="shared" si="1"/>
        <v>0</v>
      </c>
      <c r="F10" s="119" t="s">
        <v>26</v>
      </c>
      <c r="G10" s="135" t="s">
        <v>101</v>
      </c>
      <c r="H10" s="136"/>
      <c r="I10" s="136"/>
      <c r="J10" s="137"/>
      <c r="K10" s="8"/>
      <c r="L10" s="6">
        <f>R36</f>
        <v>1032</v>
      </c>
      <c r="P10" s="4"/>
      <c r="Q10" s="4"/>
      <c r="R10" s="5"/>
    </row>
    <row r="11" spans="1:18" ht="15.75" x14ac:dyDescent="0.25">
      <c r="A11" s="117"/>
      <c r="B11" s="17" t="s">
        <v>28</v>
      </c>
      <c r="C11" s="10"/>
      <c r="D11" s="13">
        <f t="shared" si="1"/>
        <v>0</v>
      </c>
      <c r="F11" s="120"/>
      <c r="G11" s="132"/>
      <c r="H11" s="133"/>
      <c r="I11" s="133"/>
      <c r="J11" s="1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7"/>
      <c r="B12" s="17" t="s">
        <v>30</v>
      </c>
      <c r="C12" s="10"/>
      <c r="D12" s="48">
        <f t="shared" si="1"/>
        <v>0</v>
      </c>
      <c r="F12" s="138" t="s">
        <v>33</v>
      </c>
      <c r="G12" s="139"/>
      <c r="H12" s="139"/>
      <c r="I12" s="139"/>
      <c r="J12" s="1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7"/>
      <c r="B13" s="17" t="s">
        <v>32</v>
      </c>
      <c r="C13" s="10"/>
      <c r="D13" s="48">
        <f t="shared" si="1"/>
        <v>0</v>
      </c>
      <c r="F13" s="141" t="s">
        <v>36</v>
      </c>
      <c r="G13" s="142"/>
      <c r="H13" s="143">
        <f>D29</f>
        <v>0</v>
      </c>
      <c r="I13" s="144"/>
      <c r="J13" s="14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7"/>
      <c r="B14" s="14" t="s">
        <v>35</v>
      </c>
      <c r="C14" s="10"/>
      <c r="D14" s="31">
        <f t="shared" si="1"/>
        <v>0</v>
      </c>
      <c r="F14" s="146" t="s">
        <v>38</v>
      </c>
      <c r="G14" s="147"/>
      <c r="H14" s="148">
        <f>D54</f>
        <v>0</v>
      </c>
      <c r="I14" s="149"/>
      <c r="J14" s="15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7"/>
      <c r="B15" s="14" t="s">
        <v>117</v>
      </c>
      <c r="C15" s="10"/>
      <c r="D15" s="31">
        <f t="shared" si="1"/>
        <v>0</v>
      </c>
      <c r="F15" s="151" t="s">
        <v>39</v>
      </c>
      <c r="G15" s="142"/>
      <c r="H15" s="152">
        <f>H13-H14</f>
        <v>0</v>
      </c>
      <c r="I15" s="153"/>
      <c r="J15" s="15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28"/>
      <c r="I17" s="128"/>
      <c r="J17" s="1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28"/>
      <c r="I18" s="128"/>
      <c r="J18" s="1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0"/>
      <c r="I19" s="240"/>
      <c r="J19" s="24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7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7"/>
      <c r="B23" s="14" t="s">
        <v>116</v>
      </c>
      <c r="C23" s="10"/>
      <c r="D23" s="48">
        <f t="shared" si="1"/>
        <v>0</v>
      </c>
      <c r="F23" s="77"/>
      <c r="G23" s="78"/>
      <c r="H23" s="241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7"/>
      <c r="B24" s="14" t="s">
        <v>123</v>
      </c>
      <c r="C24" s="10"/>
      <c r="D24" s="48">
        <f t="shared" si="1"/>
        <v>0</v>
      </c>
      <c r="F24" s="38"/>
      <c r="G24" s="37"/>
      <c r="H24" s="179"/>
      <c r="I24" s="180"/>
      <c r="J24" s="1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1" t="s">
        <v>13</v>
      </c>
      <c r="I25" s="182"/>
      <c r="J25" s="18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7"/>
      <c r="B26" s="14" t="s">
        <v>124</v>
      </c>
      <c r="C26" s="10"/>
      <c r="D26" s="48">
        <f t="shared" si="1"/>
        <v>0</v>
      </c>
      <c r="F26" s="64"/>
      <c r="G26" s="59"/>
      <c r="H26" s="184"/>
      <c r="I26" s="185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7"/>
      <c r="B27" s="14" t="s">
        <v>125</v>
      </c>
      <c r="C27" s="10"/>
      <c r="D27" s="44">
        <f t="shared" si="1"/>
        <v>0</v>
      </c>
      <c r="F27" s="25"/>
      <c r="G27" s="79"/>
      <c r="H27" s="187"/>
      <c r="I27" s="188"/>
      <c r="J27" s="1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8"/>
      <c r="B28" s="46" t="s">
        <v>92</v>
      </c>
      <c r="C28" s="10"/>
      <c r="D28" s="48">
        <f t="shared" si="1"/>
        <v>0</v>
      </c>
      <c r="F28" s="97"/>
      <c r="G28" s="61"/>
      <c r="H28" s="190"/>
      <c r="I28" s="191"/>
      <c r="J28" s="19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64" t="s">
        <v>54</v>
      </c>
      <c r="G29" s="165"/>
      <c r="H29" s="168">
        <f>H15-H16-H17-H18-H19-H20-H22-H23-H24+H26+H27</f>
        <v>0</v>
      </c>
      <c r="I29" s="169"/>
      <c r="J29" s="17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66"/>
      <c r="G30" s="167"/>
      <c r="H30" s="171"/>
      <c r="I30" s="172"/>
      <c r="J30" s="17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3" t="s">
        <v>57</v>
      </c>
      <c r="B32" s="104"/>
      <c r="C32" s="104"/>
      <c r="D32" s="105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7"/>
      <c r="B35" s="27" t="s">
        <v>67</v>
      </c>
      <c r="C35" s="52"/>
      <c r="D35" s="30">
        <f>C35*84</f>
        <v>0</v>
      </c>
      <c r="F35" s="58">
        <v>500</v>
      </c>
      <c r="G35" s="100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8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7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8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6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7"/>
      <c r="B41" s="27" t="s">
        <v>67</v>
      </c>
      <c r="C41" s="10"/>
      <c r="D41" s="12">
        <f>C41*84</f>
        <v>0</v>
      </c>
      <c r="F41" s="12">
        <v>5</v>
      </c>
      <c r="G41" s="101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8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9" t="s">
        <v>80</v>
      </c>
      <c r="C43" s="11"/>
      <c r="D43" s="12"/>
      <c r="F43" s="59" t="s">
        <v>81</v>
      </c>
      <c r="G43" s="99" t="s">
        <v>82</v>
      </c>
      <c r="H43" s="202" t="s">
        <v>13</v>
      </c>
      <c r="I43" s="203"/>
      <c r="J43" s="20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0"/>
      <c r="B44" s="27" t="s">
        <v>65</v>
      </c>
      <c r="C44" s="10"/>
      <c r="D44" s="12">
        <f>C44*120</f>
        <v>0</v>
      </c>
      <c r="F44" s="37"/>
      <c r="G44" s="62"/>
      <c r="H44" s="180"/>
      <c r="I44" s="180"/>
      <c r="J44" s="18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0"/>
      <c r="B45" s="27" t="s">
        <v>67</v>
      </c>
      <c r="C45" s="33"/>
      <c r="D45" s="12">
        <f>C45*84</f>
        <v>0</v>
      </c>
      <c r="F45" s="37"/>
      <c r="G45" s="75"/>
      <c r="H45" s="180"/>
      <c r="I45" s="180"/>
      <c r="J45" s="180"/>
      <c r="K45" s="21"/>
      <c r="P45" s="4"/>
      <c r="Q45" s="4"/>
      <c r="R45" s="5"/>
    </row>
    <row r="46" spans="1:18" ht="15.75" x14ac:dyDescent="0.25">
      <c r="A46" s="200"/>
      <c r="B46" s="49" t="s">
        <v>69</v>
      </c>
      <c r="C46" s="80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201"/>
      <c r="B47" s="27"/>
      <c r="C47" s="11"/>
      <c r="D47" s="12"/>
      <c r="F47" s="59"/>
      <c r="G47" s="59"/>
      <c r="H47" s="180"/>
      <c r="I47" s="180"/>
      <c r="J47" s="180"/>
      <c r="K47" s="21"/>
      <c r="P47" s="4"/>
      <c r="Q47" s="4"/>
      <c r="R47" s="5"/>
    </row>
    <row r="48" spans="1:18" ht="15" customHeight="1" x14ac:dyDescent="0.25">
      <c r="A48" s="199" t="s">
        <v>32</v>
      </c>
      <c r="B48" s="27" t="s">
        <v>65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0"/>
      <c r="B49" s="29" t="s">
        <v>67</v>
      </c>
      <c r="C49" s="33"/>
      <c r="D49" s="12">
        <f>C49*42</f>
        <v>0</v>
      </c>
      <c r="F49" s="221" t="s">
        <v>85</v>
      </c>
      <c r="G49" s="168">
        <f>H34+H35+H36+H37+H38+H39+H40+H41+G42+H44+H45+H46+H47+H48</f>
        <v>0</v>
      </c>
      <c r="H49" s="169"/>
      <c r="I49" s="169"/>
      <c r="J49" s="17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0"/>
      <c r="B50" s="32" t="s">
        <v>69</v>
      </c>
      <c r="C50" s="80"/>
      <c r="D50" s="12">
        <f>C50*1.5</f>
        <v>0</v>
      </c>
      <c r="F50" s="222"/>
      <c r="G50" s="171"/>
      <c r="H50" s="172"/>
      <c r="I50" s="172"/>
      <c r="J50" s="173"/>
      <c r="O50" t="s">
        <v>112</v>
      </c>
      <c r="P50" s="4">
        <v>1204</v>
      </c>
      <c r="Q50" s="4"/>
      <c r="R50" s="5"/>
    </row>
    <row r="51" spans="1:18" ht="15" customHeight="1" x14ac:dyDescent="0.25">
      <c r="A51" s="200"/>
      <c r="B51" s="27"/>
      <c r="C51" s="10"/>
      <c r="D51" s="31"/>
      <c r="F51" s="223" t="str">
        <f>_xlfn.IFS(H29&gt;G49,"SHORT",H29&lt;G49,"OVER",H29&lt;=G49,"-")</f>
        <v>-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0"/>
      <c r="B52" s="29"/>
      <c r="C52" s="33"/>
      <c r="D52" s="45"/>
      <c r="F52" s="224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209"/>
      <c r="C54" s="210"/>
      <c r="D54" s="2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6"/>
      <c r="B55" s="211"/>
      <c r="C55" s="212"/>
      <c r="D55" s="2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15" t="s">
        <v>90</v>
      </c>
      <c r="B58" s="216"/>
      <c r="C58" s="216"/>
      <c r="D58" s="217"/>
      <c r="F58" s="215" t="s">
        <v>91</v>
      </c>
      <c r="G58" s="216"/>
      <c r="H58" s="216"/>
      <c r="I58" s="216"/>
      <c r="J58" s="217"/>
    </row>
    <row r="59" spans="1:18" x14ac:dyDescent="0.25">
      <c r="A59" s="218"/>
      <c r="B59" s="219"/>
      <c r="C59" s="219"/>
      <c r="D59" s="220"/>
      <c r="F59" s="218"/>
      <c r="G59" s="219"/>
      <c r="H59" s="219"/>
      <c r="I59" s="219"/>
      <c r="J59" s="2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2" t="s">
        <v>1</v>
      </c>
      <c r="O1" s="10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3" t="s">
        <v>7</v>
      </c>
      <c r="B4" s="104"/>
      <c r="C4" s="104"/>
      <c r="D4" s="105"/>
      <c r="F4" s="106" t="s">
        <v>8</v>
      </c>
      <c r="G4" s="108">
        <v>3</v>
      </c>
      <c r="H4" s="110" t="s">
        <v>9</v>
      </c>
      <c r="I4" s="112">
        <v>46235</v>
      </c>
      <c r="J4" s="1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6" t="s">
        <v>7</v>
      </c>
      <c r="B5" s="15" t="s">
        <v>11</v>
      </c>
      <c r="C5" s="9" t="s">
        <v>12</v>
      </c>
      <c r="D5" s="25" t="s">
        <v>13</v>
      </c>
      <c r="F5" s="107"/>
      <c r="G5" s="109"/>
      <c r="H5" s="111"/>
      <c r="I5" s="114"/>
      <c r="J5" s="1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7"/>
      <c r="B6" s="16" t="s">
        <v>15</v>
      </c>
      <c r="C6" s="10"/>
      <c r="D6" s="13">
        <f t="shared" ref="D6:D28" si="1">C6*L6</f>
        <v>0</v>
      </c>
      <c r="F6" s="119" t="s">
        <v>16</v>
      </c>
      <c r="G6" s="121" t="s">
        <v>113</v>
      </c>
      <c r="H6" s="122"/>
      <c r="I6" s="122"/>
      <c r="J6" s="12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7"/>
      <c r="B7" s="16" t="s">
        <v>18</v>
      </c>
      <c r="C7" s="10"/>
      <c r="D7" s="13">
        <f t="shared" si="1"/>
        <v>0</v>
      </c>
      <c r="F7" s="120"/>
      <c r="G7" s="124"/>
      <c r="H7" s="125"/>
      <c r="I7" s="125"/>
      <c r="J7" s="12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7"/>
      <c r="B8" s="16" t="s">
        <v>20</v>
      </c>
      <c r="C8" s="10"/>
      <c r="D8" s="13">
        <f t="shared" si="1"/>
        <v>0</v>
      </c>
      <c r="F8" s="127" t="s">
        <v>21</v>
      </c>
      <c r="G8" s="129" t="s">
        <v>109</v>
      </c>
      <c r="H8" s="130"/>
      <c r="I8" s="130"/>
      <c r="J8" s="1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7"/>
      <c r="B9" s="16" t="s">
        <v>23</v>
      </c>
      <c r="C9" s="10"/>
      <c r="D9" s="13">
        <f t="shared" si="1"/>
        <v>0</v>
      </c>
      <c r="F9" s="120"/>
      <c r="G9" s="132"/>
      <c r="H9" s="133"/>
      <c r="I9" s="133"/>
      <c r="J9" s="1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7"/>
      <c r="B10" t="s">
        <v>25</v>
      </c>
      <c r="C10" s="10"/>
      <c r="D10" s="13">
        <f t="shared" si="1"/>
        <v>0</v>
      </c>
      <c r="F10" s="119" t="s">
        <v>26</v>
      </c>
      <c r="G10" s="135" t="s">
        <v>119</v>
      </c>
      <c r="H10" s="136"/>
      <c r="I10" s="136"/>
      <c r="J10" s="137"/>
      <c r="K10" s="8"/>
      <c r="L10" s="6">
        <f>R36</f>
        <v>1032</v>
      </c>
      <c r="P10" s="4"/>
      <c r="Q10" s="4"/>
      <c r="R10" s="5"/>
    </row>
    <row r="11" spans="1:18" ht="15.75" x14ac:dyDescent="0.25">
      <c r="A11" s="117"/>
      <c r="B11" s="17" t="s">
        <v>28</v>
      </c>
      <c r="C11" s="10"/>
      <c r="D11" s="13">
        <f t="shared" si="1"/>
        <v>0</v>
      </c>
      <c r="F11" s="120"/>
      <c r="G11" s="132"/>
      <c r="H11" s="133"/>
      <c r="I11" s="133"/>
      <c r="J11" s="1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7"/>
      <c r="B12" s="17" t="s">
        <v>30</v>
      </c>
      <c r="C12" s="10"/>
      <c r="D12" s="48">
        <f t="shared" si="1"/>
        <v>0</v>
      </c>
      <c r="F12" s="138" t="s">
        <v>33</v>
      </c>
      <c r="G12" s="139"/>
      <c r="H12" s="139"/>
      <c r="I12" s="139"/>
      <c r="J12" s="1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7"/>
      <c r="B13" s="17" t="s">
        <v>32</v>
      </c>
      <c r="C13" s="10"/>
      <c r="D13" s="48">
        <f t="shared" si="1"/>
        <v>0</v>
      </c>
      <c r="F13" s="141" t="s">
        <v>36</v>
      </c>
      <c r="G13" s="142"/>
      <c r="H13" s="143">
        <f>D29</f>
        <v>0</v>
      </c>
      <c r="I13" s="144"/>
      <c r="J13" s="14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7"/>
      <c r="B14" s="14" t="s">
        <v>35</v>
      </c>
      <c r="C14" s="10"/>
      <c r="D14" s="31">
        <f t="shared" si="1"/>
        <v>0</v>
      </c>
      <c r="F14" s="146" t="s">
        <v>38</v>
      </c>
      <c r="G14" s="147"/>
      <c r="H14" s="148">
        <f>D54</f>
        <v>0</v>
      </c>
      <c r="I14" s="149"/>
      <c r="J14" s="15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7"/>
      <c r="B15" s="14" t="s">
        <v>117</v>
      </c>
      <c r="C15" s="10"/>
      <c r="D15" s="31">
        <f t="shared" si="1"/>
        <v>0</v>
      </c>
      <c r="F15" s="151" t="s">
        <v>39</v>
      </c>
      <c r="G15" s="142"/>
      <c r="H15" s="152">
        <f>H13-H14</f>
        <v>0</v>
      </c>
      <c r="I15" s="153"/>
      <c r="J15" s="15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28"/>
      <c r="I17" s="128"/>
      <c r="J17" s="1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28"/>
      <c r="I18" s="128"/>
      <c r="J18" s="1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0"/>
      <c r="I19" s="240"/>
      <c r="J19" s="24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7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7"/>
      <c r="B23" s="14" t="s">
        <v>116</v>
      </c>
      <c r="C23" s="10"/>
      <c r="D23" s="48">
        <f t="shared" si="1"/>
        <v>0</v>
      </c>
      <c r="F23" s="77"/>
      <c r="G23" s="78"/>
      <c r="H23" s="241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7"/>
      <c r="B24" s="14" t="s">
        <v>123</v>
      </c>
      <c r="C24" s="10"/>
      <c r="D24" s="48">
        <f t="shared" si="1"/>
        <v>0</v>
      </c>
      <c r="F24" s="38"/>
      <c r="G24" s="37"/>
      <c r="H24" s="179"/>
      <c r="I24" s="180"/>
      <c r="J24" s="1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1" t="s">
        <v>13</v>
      </c>
      <c r="I25" s="182"/>
      <c r="J25" s="18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7"/>
      <c r="B26" s="14" t="s">
        <v>124</v>
      </c>
      <c r="C26" s="10"/>
      <c r="D26" s="48">
        <f t="shared" si="1"/>
        <v>0</v>
      </c>
      <c r="F26" s="64"/>
      <c r="G26" s="59"/>
      <c r="H26" s="184"/>
      <c r="I26" s="185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7"/>
      <c r="B27" s="14" t="s">
        <v>125</v>
      </c>
      <c r="C27" s="10"/>
      <c r="D27" s="44">
        <f t="shared" si="1"/>
        <v>0</v>
      </c>
      <c r="F27" s="25"/>
      <c r="G27" s="79"/>
      <c r="H27" s="187"/>
      <c r="I27" s="188"/>
      <c r="J27" s="1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8"/>
      <c r="B28" s="46" t="s">
        <v>92</v>
      </c>
      <c r="C28" s="10"/>
      <c r="D28" s="48">
        <f t="shared" si="1"/>
        <v>0</v>
      </c>
      <c r="F28" s="97"/>
      <c r="G28" s="61"/>
      <c r="H28" s="190"/>
      <c r="I28" s="191"/>
      <c r="J28" s="19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64" t="s">
        <v>54</v>
      </c>
      <c r="G29" s="165"/>
      <c r="H29" s="168">
        <f>H15-H16-H17-H18-H19-H20-H22-H23-H24+H26+H27</f>
        <v>0</v>
      </c>
      <c r="I29" s="169"/>
      <c r="J29" s="17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66"/>
      <c r="G30" s="167"/>
      <c r="H30" s="171"/>
      <c r="I30" s="172"/>
      <c r="J30" s="17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3" t="s">
        <v>57</v>
      </c>
      <c r="B32" s="104"/>
      <c r="C32" s="104"/>
      <c r="D32" s="105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7"/>
      <c r="B35" s="27" t="s">
        <v>67</v>
      </c>
      <c r="C35" s="52"/>
      <c r="D35" s="30">
        <f>C35*84</f>
        <v>0</v>
      </c>
      <c r="F35" s="58">
        <v>500</v>
      </c>
      <c r="G35" s="100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8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7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8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6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7"/>
      <c r="B41" s="27" t="s">
        <v>67</v>
      </c>
      <c r="C41" s="10"/>
      <c r="D41" s="12">
        <f>C41*84</f>
        <v>0</v>
      </c>
      <c r="F41" s="12">
        <v>5</v>
      </c>
      <c r="G41" s="101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8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9" t="s">
        <v>80</v>
      </c>
      <c r="C43" s="11"/>
      <c r="D43" s="12"/>
      <c r="F43" s="59" t="s">
        <v>81</v>
      </c>
      <c r="G43" s="99" t="s">
        <v>82</v>
      </c>
      <c r="H43" s="202" t="s">
        <v>13</v>
      </c>
      <c r="I43" s="203"/>
      <c r="J43" s="20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0"/>
      <c r="B44" s="27" t="s">
        <v>65</v>
      </c>
      <c r="C44" s="10"/>
      <c r="D44" s="12">
        <f>C44*120</f>
        <v>0</v>
      </c>
      <c r="F44" s="37"/>
      <c r="G44" s="62"/>
      <c r="H44" s="180"/>
      <c r="I44" s="180"/>
      <c r="J44" s="18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0"/>
      <c r="B45" s="27" t="s">
        <v>67</v>
      </c>
      <c r="C45" s="33"/>
      <c r="D45" s="12">
        <f>C45*84</f>
        <v>0</v>
      </c>
      <c r="F45" s="37"/>
      <c r="G45" s="62"/>
      <c r="H45" s="180"/>
      <c r="I45" s="180"/>
      <c r="J45" s="180"/>
      <c r="K45" s="21"/>
      <c r="P45" s="4"/>
      <c r="Q45" s="4"/>
      <c r="R45" s="5"/>
    </row>
    <row r="46" spans="1:18" ht="15.75" x14ac:dyDescent="0.25">
      <c r="A46" s="200"/>
      <c r="B46" s="49" t="s">
        <v>69</v>
      </c>
      <c r="C46" s="80"/>
      <c r="D46" s="12">
        <f>C46*1.5</f>
        <v>0</v>
      </c>
      <c r="F46" s="37"/>
      <c r="G46" s="75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201"/>
      <c r="B47" s="27"/>
      <c r="C47" s="11"/>
      <c r="D47" s="12"/>
      <c r="F47" s="37"/>
      <c r="G47" s="75"/>
      <c r="H47" s="180"/>
      <c r="I47" s="180"/>
      <c r="J47" s="180"/>
      <c r="K47" s="21"/>
      <c r="P47" s="4"/>
      <c r="Q47" s="4"/>
      <c r="R47" s="5"/>
    </row>
    <row r="48" spans="1:18" ht="15" customHeight="1" x14ac:dyDescent="0.25">
      <c r="A48" s="199" t="s">
        <v>32</v>
      </c>
      <c r="B48" s="27" t="s">
        <v>65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0"/>
      <c r="B49" s="29" t="s">
        <v>67</v>
      </c>
      <c r="C49" s="33"/>
      <c r="D49" s="12">
        <f>C49*42</f>
        <v>0</v>
      </c>
      <c r="F49" s="221" t="s">
        <v>85</v>
      </c>
      <c r="G49" s="168">
        <f>H34+H35+H36+H37+H38+H39+H40+H41+G42+H44+H45+H46+H47+H48</f>
        <v>0</v>
      </c>
      <c r="H49" s="169"/>
      <c r="I49" s="169"/>
      <c r="J49" s="17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0"/>
      <c r="B50" s="32" t="s">
        <v>69</v>
      </c>
      <c r="C50" s="11"/>
      <c r="D50" s="12">
        <f>C50*1.5</f>
        <v>0</v>
      </c>
      <c r="F50" s="222"/>
      <c r="G50" s="171"/>
      <c r="H50" s="172"/>
      <c r="I50" s="172"/>
      <c r="J50" s="173"/>
      <c r="O50" t="s">
        <v>112</v>
      </c>
      <c r="P50" s="4">
        <v>1204</v>
      </c>
      <c r="Q50" s="4"/>
      <c r="R50" s="5"/>
    </row>
    <row r="51" spans="1:18" ht="15" customHeight="1" x14ac:dyDescent="0.25">
      <c r="A51" s="200"/>
      <c r="B51" s="27"/>
      <c r="C51" s="10"/>
      <c r="D51" s="31"/>
      <c r="F51" s="223" t="str">
        <f>_xlfn.IFS(H29&gt;G49,"SHORT",H29&lt;G49,"OVER",H29&lt;=G49,"-")</f>
        <v>-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0"/>
      <c r="B52" s="29"/>
      <c r="C52" s="33"/>
      <c r="D52" s="45"/>
      <c r="F52" s="224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209"/>
      <c r="C54" s="210"/>
      <c r="D54" s="2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6"/>
      <c r="B55" s="211"/>
      <c r="C55" s="212"/>
      <c r="D55" s="2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15" t="s">
        <v>90</v>
      </c>
      <c r="B58" s="216"/>
      <c r="C58" s="216"/>
      <c r="D58" s="217"/>
      <c r="F58" s="215" t="s">
        <v>91</v>
      </c>
      <c r="G58" s="216"/>
      <c r="H58" s="216"/>
      <c r="I58" s="216"/>
      <c r="J58" s="217"/>
    </row>
    <row r="59" spans="1:18" x14ac:dyDescent="0.25">
      <c r="A59" s="218"/>
      <c r="B59" s="219"/>
      <c r="C59" s="219"/>
      <c r="D59" s="220"/>
      <c r="F59" s="218"/>
      <c r="G59" s="219"/>
      <c r="H59" s="219"/>
      <c r="I59" s="219"/>
      <c r="J59" s="2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2" t="s">
        <v>1</v>
      </c>
      <c r="O1" s="102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3" t="s">
        <v>7</v>
      </c>
      <c r="B4" s="104"/>
      <c r="C4" s="104"/>
      <c r="D4" s="105"/>
      <c r="F4" s="106" t="s">
        <v>8</v>
      </c>
      <c r="G4" s="108"/>
      <c r="H4" s="110" t="s">
        <v>9</v>
      </c>
      <c r="I4" s="112"/>
      <c r="J4" s="1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6" t="s">
        <v>7</v>
      </c>
      <c r="B5" s="15" t="s">
        <v>11</v>
      </c>
      <c r="C5" s="9" t="s">
        <v>12</v>
      </c>
      <c r="D5" s="25" t="s">
        <v>13</v>
      </c>
      <c r="F5" s="107"/>
      <c r="G5" s="109"/>
      <c r="H5" s="111"/>
      <c r="I5" s="114"/>
      <c r="J5" s="1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7"/>
      <c r="B6" s="16"/>
      <c r="C6" s="10"/>
      <c r="D6" s="13">
        <f t="shared" ref="D6:D28" si="1">C6*L6</f>
        <v>0</v>
      </c>
      <c r="F6" s="119" t="s">
        <v>16</v>
      </c>
      <c r="G6" s="121"/>
      <c r="H6" s="122"/>
      <c r="I6" s="122"/>
      <c r="J6" s="12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7"/>
      <c r="B7" s="16"/>
      <c r="C7" s="10"/>
      <c r="D7" s="13">
        <f t="shared" si="1"/>
        <v>0</v>
      </c>
      <c r="F7" s="120"/>
      <c r="G7" s="124"/>
      <c r="H7" s="125"/>
      <c r="I7" s="125"/>
      <c r="J7" s="12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7"/>
      <c r="B8" s="16"/>
      <c r="C8" s="10"/>
      <c r="D8" s="13">
        <f t="shared" si="1"/>
        <v>0</v>
      </c>
      <c r="F8" s="127" t="s">
        <v>21</v>
      </c>
      <c r="G8" s="129"/>
      <c r="H8" s="130"/>
      <c r="I8" s="130"/>
      <c r="J8" s="1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7"/>
      <c r="B9" s="16"/>
      <c r="C9" s="10"/>
      <c r="D9" s="13">
        <f t="shared" si="1"/>
        <v>0</v>
      </c>
      <c r="F9" s="120"/>
      <c r="G9" s="132"/>
      <c r="H9" s="133"/>
      <c r="I9" s="133"/>
      <c r="J9" s="1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7"/>
      <c r="C10" s="10"/>
      <c r="D10" s="13">
        <f t="shared" si="1"/>
        <v>0</v>
      </c>
      <c r="F10" s="119" t="s">
        <v>26</v>
      </c>
      <c r="G10" s="135"/>
      <c r="H10" s="136"/>
      <c r="I10" s="136"/>
      <c r="J10" s="137"/>
      <c r="K10" s="8"/>
      <c r="L10" s="6">
        <f>R36</f>
        <v>972</v>
      </c>
      <c r="P10" s="4"/>
      <c r="Q10" s="4"/>
      <c r="R10" s="5"/>
    </row>
    <row r="11" spans="1:19" ht="15.75" x14ac:dyDescent="0.25">
      <c r="A11" s="117"/>
      <c r="B11" s="17"/>
      <c r="C11" s="10"/>
      <c r="D11" s="13">
        <f t="shared" si="1"/>
        <v>0</v>
      </c>
      <c r="F11" s="120"/>
      <c r="G11" s="132"/>
      <c r="H11" s="133"/>
      <c r="I11" s="133"/>
      <c r="J11" s="1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7"/>
      <c r="B12" s="17"/>
      <c r="C12" s="10"/>
      <c r="D12" s="48">
        <f t="shared" si="1"/>
        <v>0</v>
      </c>
      <c r="F12" s="138" t="s">
        <v>33</v>
      </c>
      <c r="G12" s="139"/>
      <c r="H12" s="139"/>
      <c r="I12" s="139"/>
      <c r="J12" s="1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7"/>
      <c r="B13" s="17"/>
      <c r="C13" s="10"/>
      <c r="D13" s="48">
        <f t="shared" si="1"/>
        <v>0</v>
      </c>
      <c r="F13" s="141" t="s">
        <v>36</v>
      </c>
      <c r="G13" s="142"/>
      <c r="H13" s="143">
        <f>D29</f>
        <v>0</v>
      </c>
      <c r="I13" s="144"/>
      <c r="J13" s="14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7"/>
      <c r="B14" s="14"/>
      <c r="C14" s="10"/>
      <c r="D14" s="31">
        <f t="shared" si="1"/>
        <v>0</v>
      </c>
      <c r="F14" s="146" t="s">
        <v>38</v>
      </c>
      <c r="G14" s="147"/>
      <c r="H14" s="148">
        <f>D54</f>
        <v>0</v>
      </c>
      <c r="I14" s="149"/>
      <c r="J14" s="15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7"/>
      <c r="B15" s="14"/>
      <c r="C15" s="10"/>
      <c r="D15" s="31">
        <f t="shared" si="1"/>
        <v>0</v>
      </c>
      <c r="F15" s="151" t="s">
        <v>39</v>
      </c>
      <c r="G15" s="142"/>
      <c r="H15" s="152">
        <f>H13-H14</f>
        <v>0</v>
      </c>
      <c r="I15" s="153"/>
      <c r="J15" s="15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7"/>
      <c r="C17" s="10"/>
      <c r="D17" s="48">
        <f t="shared" si="1"/>
        <v>0</v>
      </c>
      <c r="F17" s="56"/>
      <c r="G17" s="66" t="s">
        <v>44</v>
      </c>
      <c r="H17" s="128"/>
      <c r="I17" s="128"/>
      <c r="J17" s="12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7"/>
      <c r="B18" s="19"/>
      <c r="C18" s="10"/>
      <c r="D18" s="48">
        <f t="shared" si="1"/>
        <v>0</v>
      </c>
      <c r="F18" s="56"/>
      <c r="G18" s="66" t="s">
        <v>46</v>
      </c>
      <c r="H18" s="128"/>
      <c r="I18" s="128"/>
      <c r="J18" s="12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7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7"/>
      <c r="B20" s="46"/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7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7"/>
      <c r="B23" s="14"/>
      <c r="C23" s="10"/>
      <c r="D23" s="48">
        <f t="shared" si="1"/>
        <v>0</v>
      </c>
      <c r="F23" s="77"/>
      <c r="G23" s="78"/>
      <c r="H23" s="179"/>
      <c r="I23" s="180"/>
      <c r="J23" s="18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7"/>
      <c r="B24" s="14"/>
      <c r="C24" s="10"/>
      <c r="D24" s="48">
        <f t="shared" si="1"/>
        <v>0</v>
      </c>
      <c r="F24" s="38"/>
      <c r="G24" s="37"/>
      <c r="H24" s="179"/>
      <c r="I24" s="180"/>
      <c r="J24" s="18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1" t="s">
        <v>13</v>
      </c>
      <c r="I25" s="182"/>
      <c r="J25" s="18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7"/>
      <c r="B26" s="14"/>
      <c r="C26" s="10"/>
      <c r="D26" s="48">
        <f t="shared" si="1"/>
        <v>0</v>
      </c>
      <c r="F26" s="64"/>
      <c r="G26" s="59"/>
      <c r="H26" s="184"/>
      <c r="I26" s="185"/>
      <c r="J26" s="18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7"/>
      <c r="B27" s="14"/>
      <c r="C27" s="10"/>
      <c r="D27" s="44">
        <f t="shared" si="1"/>
        <v>0</v>
      </c>
      <c r="F27" s="25"/>
      <c r="G27" s="79"/>
      <c r="H27" s="187"/>
      <c r="I27" s="188"/>
      <c r="J27" s="18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8"/>
      <c r="B28" s="46"/>
      <c r="C28" s="10"/>
      <c r="D28" s="48">
        <f t="shared" si="1"/>
        <v>0</v>
      </c>
      <c r="F28" s="97"/>
      <c r="G28" s="61"/>
      <c r="H28" s="190"/>
      <c r="I28" s="191"/>
      <c r="J28" s="19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64" t="s">
        <v>54</v>
      </c>
      <c r="G29" s="165"/>
      <c r="H29" s="168">
        <f>H15-H16-H17-H18-H19-H20-H22-H23-H24+H26+H27</f>
        <v>0</v>
      </c>
      <c r="I29" s="169"/>
      <c r="J29" s="17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66"/>
      <c r="G30" s="167"/>
      <c r="H30" s="171"/>
      <c r="I30" s="172"/>
      <c r="J30" s="17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3" t="s">
        <v>57</v>
      </c>
      <c r="B32" s="104"/>
      <c r="C32" s="104"/>
      <c r="D32" s="105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/>
      <c r="I34" s="197"/>
      <c r="J34" s="19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7"/>
      <c r="B35" s="27" t="s">
        <v>67</v>
      </c>
      <c r="C35" s="52"/>
      <c r="D35" s="30">
        <f>C35*84</f>
        <v>0</v>
      </c>
      <c r="F35" s="58">
        <v>500</v>
      </c>
      <c r="G35" s="100"/>
      <c r="H35" s="196"/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8"/>
      <c r="B36" s="26" t="s">
        <v>69</v>
      </c>
      <c r="C36" s="10"/>
      <c r="D36" s="12">
        <f>C36*1.5</f>
        <v>0</v>
      </c>
      <c r="F36" s="12">
        <v>200</v>
      </c>
      <c r="G36" s="37"/>
      <c r="H36" s="196"/>
      <c r="I36" s="197"/>
      <c r="J36" s="19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/>
      <c r="I37" s="197"/>
      <c r="J37" s="19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7"/>
      <c r="B38" s="29" t="s">
        <v>67</v>
      </c>
      <c r="C38" s="54"/>
      <c r="D38" s="12">
        <f>C38*84</f>
        <v>0</v>
      </c>
      <c r="F38" s="30">
        <v>50</v>
      </c>
      <c r="G38" s="39"/>
      <c r="H38" s="196"/>
      <c r="I38" s="197"/>
      <c r="J38" s="19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8"/>
      <c r="B39" s="29" t="s">
        <v>69</v>
      </c>
      <c r="C39" s="52"/>
      <c r="D39" s="31">
        <f>C39*4.5</f>
        <v>0</v>
      </c>
      <c r="F39" s="12">
        <v>20</v>
      </c>
      <c r="G39" s="37"/>
      <c r="H39" s="196"/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6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96"/>
      <c r="I40" s="197"/>
      <c r="J40" s="19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7"/>
      <c r="B41" s="27" t="s">
        <v>67</v>
      </c>
      <c r="C41" s="10"/>
      <c r="D41" s="12">
        <f>C41*84</f>
        <v>0</v>
      </c>
      <c r="F41" s="12">
        <v>5</v>
      </c>
      <c r="G41" s="101"/>
      <c r="H41" s="196"/>
      <c r="I41" s="197"/>
      <c r="J41" s="19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8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9" t="s">
        <v>80</v>
      </c>
      <c r="C43" s="11"/>
      <c r="D43" s="12"/>
      <c r="F43" s="59" t="s">
        <v>81</v>
      </c>
      <c r="G43" s="99" t="s">
        <v>82</v>
      </c>
      <c r="H43" s="202" t="s">
        <v>13</v>
      </c>
      <c r="I43" s="203"/>
      <c r="J43" s="204"/>
      <c r="K43" s="21"/>
      <c r="P43" s="4"/>
      <c r="Q43" s="4"/>
      <c r="R43" s="5"/>
    </row>
    <row r="44" spans="1:18" ht="15.75" x14ac:dyDescent="0.25">
      <c r="A44" s="200"/>
      <c r="B44" s="27" t="s">
        <v>65</v>
      </c>
      <c r="C44" s="10"/>
      <c r="D44" s="12">
        <f>C44*120</f>
        <v>0</v>
      </c>
      <c r="F44" s="37"/>
      <c r="G44" s="75"/>
      <c r="H44" s="180"/>
      <c r="I44" s="180"/>
      <c r="J44" s="180"/>
      <c r="K44" s="21"/>
      <c r="P44" s="4"/>
      <c r="Q44" s="4"/>
      <c r="R44" s="5"/>
    </row>
    <row r="45" spans="1:18" ht="15.75" x14ac:dyDescent="0.25">
      <c r="A45" s="200"/>
      <c r="B45" s="27" t="s">
        <v>67</v>
      </c>
      <c r="C45" s="33"/>
      <c r="D45" s="12">
        <f>C45*84</f>
        <v>0</v>
      </c>
      <c r="F45" s="37"/>
      <c r="G45" s="75"/>
      <c r="H45" s="180"/>
      <c r="I45" s="180"/>
      <c r="J45" s="180"/>
      <c r="K45" s="21"/>
      <c r="P45" s="4"/>
      <c r="Q45" s="4"/>
      <c r="R45" s="5"/>
    </row>
    <row r="46" spans="1:18" ht="15.75" x14ac:dyDescent="0.25">
      <c r="A46" s="200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01"/>
      <c r="B47" s="27"/>
      <c r="C47" s="11"/>
      <c r="D47" s="12"/>
      <c r="F47" s="59"/>
      <c r="G47" s="59"/>
      <c r="H47" s="206"/>
      <c r="I47" s="207"/>
      <c r="J47" s="208"/>
      <c r="K47" s="21"/>
      <c r="P47" s="4"/>
      <c r="Q47" s="4"/>
      <c r="R47" s="5"/>
    </row>
    <row r="48" spans="1:18" ht="15" customHeight="1" x14ac:dyDescent="0.25">
      <c r="A48" s="199" t="s">
        <v>32</v>
      </c>
      <c r="B48" s="27" t="s">
        <v>65</v>
      </c>
      <c r="C48" s="10"/>
      <c r="D48" s="12">
        <f>C48*78</f>
        <v>0</v>
      </c>
      <c r="F48" s="59"/>
      <c r="G48" s="59"/>
      <c r="H48" s="206"/>
      <c r="I48" s="207"/>
      <c r="J48" s="20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0"/>
      <c r="B49" s="29" t="s">
        <v>67</v>
      </c>
      <c r="C49" s="33"/>
      <c r="D49" s="12">
        <f>C49*42</f>
        <v>0</v>
      </c>
      <c r="F49" s="221" t="s">
        <v>85</v>
      </c>
      <c r="G49" s="168">
        <f>H34+H35+H36+H37+H38+H39+H40+H41+G42+H44+H45+H46</f>
        <v>0</v>
      </c>
      <c r="H49" s="169"/>
      <c r="I49" s="169"/>
      <c r="J49" s="17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0"/>
      <c r="B50" s="32" t="s">
        <v>69</v>
      </c>
      <c r="C50" s="11"/>
      <c r="D50" s="12">
        <f>C50*1.5</f>
        <v>0</v>
      </c>
      <c r="F50" s="222"/>
      <c r="G50" s="171"/>
      <c r="H50" s="172"/>
      <c r="I50" s="172"/>
      <c r="J50" s="173"/>
      <c r="P50" s="4"/>
      <c r="Q50" s="4"/>
      <c r="R50" s="5"/>
    </row>
    <row r="51" spans="1:18" ht="15" customHeight="1" x14ac:dyDescent="0.25">
      <c r="A51" s="200"/>
      <c r="B51" s="27"/>
      <c r="C51" s="10"/>
      <c r="D51" s="31"/>
      <c r="F51" s="223" t="s">
        <v>106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0"/>
      <c r="B52" s="29"/>
      <c r="C52" s="33"/>
      <c r="D52" s="45"/>
      <c r="F52" s="224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209"/>
      <c r="C54" s="210"/>
      <c r="D54" s="213">
        <f>SUM(D34:D53)</f>
        <v>0</v>
      </c>
      <c r="F54" s="21"/>
      <c r="J54" s="34"/>
    </row>
    <row r="55" spans="1:18" x14ac:dyDescent="0.25">
      <c r="A55" s="166"/>
      <c r="B55" s="211"/>
      <c r="C55" s="212"/>
      <c r="D55" s="2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5" t="s">
        <v>90</v>
      </c>
      <c r="B58" s="216"/>
      <c r="C58" s="216"/>
      <c r="D58" s="217"/>
      <c r="F58" s="215" t="s">
        <v>91</v>
      </c>
      <c r="G58" s="216"/>
      <c r="H58" s="216"/>
      <c r="I58" s="216"/>
      <c r="J58" s="217"/>
    </row>
    <row r="59" spans="1:18" x14ac:dyDescent="0.25">
      <c r="A59" s="218"/>
      <c r="B59" s="219"/>
      <c r="C59" s="219"/>
      <c r="D59" s="220"/>
      <c r="F59" s="218"/>
      <c r="G59" s="219"/>
      <c r="H59" s="219"/>
      <c r="I59" s="219"/>
      <c r="J59" s="2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topLeftCell="A28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2" t="s">
        <v>1</v>
      </c>
      <c r="O1" s="10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3" t="s">
        <v>7</v>
      </c>
      <c r="B4" s="104"/>
      <c r="C4" s="104"/>
      <c r="D4" s="105"/>
      <c r="F4" s="106" t="s">
        <v>8</v>
      </c>
      <c r="G4" s="108">
        <v>1</v>
      </c>
      <c r="H4" s="110" t="s">
        <v>9</v>
      </c>
      <c r="I4" s="112">
        <v>46235</v>
      </c>
      <c r="J4" s="1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6" t="s">
        <v>7</v>
      </c>
      <c r="B5" s="15" t="s">
        <v>11</v>
      </c>
      <c r="C5" s="9" t="s">
        <v>12</v>
      </c>
      <c r="D5" s="25" t="s">
        <v>13</v>
      </c>
      <c r="F5" s="107"/>
      <c r="G5" s="109"/>
      <c r="H5" s="111"/>
      <c r="I5" s="114"/>
      <c r="J5" s="1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7"/>
      <c r="B6" s="16" t="s">
        <v>15</v>
      </c>
      <c r="C6" s="10"/>
      <c r="D6" s="13">
        <f t="shared" ref="D6:D28" si="1">C6*L6</f>
        <v>0</v>
      </c>
      <c r="F6" s="119" t="s">
        <v>16</v>
      </c>
      <c r="G6" s="121" t="s">
        <v>99</v>
      </c>
      <c r="H6" s="122"/>
      <c r="I6" s="122"/>
      <c r="J6" s="12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7"/>
      <c r="B7" s="16" t="s">
        <v>18</v>
      </c>
      <c r="C7" s="10"/>
      <c r="D7" s="13">
        <f t="shared" si="1"/>
        <v>0</v>
      </c>
      <c r="F7" s="120"/>
      <c r="G7" s="124"/>
      <c r="H7" s="125"/>
      <c r="I7" s="125"/>
      <c r="J7" s="12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7"/>
      <c r="B8" s="16" t="s">
        <v>20</v>
      </c>
      <c r="C8" s="10"/>
      <c r="D8" s="13">
        <f t="shared" si="1"/>
        <v>0</v>
      </c>
      <c r="F8" s="127" t="s">
        <v>21</v>
      </c>
      <c r="G8" s="129" t="s">
        <v>115</v>
      </c>
      <c r="H8" s="130"/>
      <c r="I8" s="130"/>
      <c r="J8" s="1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7"/>
      <c r="B9" s="16" t="s">
        <v>23</v>
      </c>
      <c r="C9" s="10"/>
      <c r="D9" s="13">
        <f t="shared" si="1"/>
        <v>0</v>
      </c>
      <c r="F9" s="120"/>
      <c r="G9" s="132"/>
      <c r="H9" s="133"/>
      <c r="I9" s="133"/>
      <c r="J9" s="1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7"/>
      <c r="B10" t="s">
        <v>25</v>
      </c>
      <c r="C10" s="10"/>
      <c r="D10" s="13">
        <f t="shared" si="1"/>
        <v>0</v>
      </c>
      <c r="F10" s="119" t="s">
        <v>26</v>
      </c>
      <c r="G10" s="135" t="s">
        <v>108</v>
      </c>
      <c r="H10" s="136"/>
      <c r="I10" s="136"/>
      <c r="J10" s="137"/>
      <c r="K10" s="8"/>
      <c r="L10" s="6">
        <f>R36</f>
        <v>1032</v>
      </c>
      <c r="P10" s="4"/>
      <c r="Q10" s="4"/>
      <c r="R10" s="5"/>
    </row>
    <row r="11" spans="1:18" ht="15.75" x14ac:dyDescent="0.25">
      <c r="A11" s="117"/>
      <c r="B11" s="17" t="s">
        <v>28</v>
      </c>
      <c r="C11" s="10"/>
      <c r="D11" s="13">
        <f t="shared" si="1"/>
        <v>0</v>
      </c>
      <c r="F11" s="120"/>
      <c r="G11" s="132"/>
      <c r="H11" s="133"/>
      <c r="I11" s="133"/>
      <c r="J11" s="1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7"/>
      <c r="B12" s="17" t="s">
        <v>30</v>
      </c>
      <c r="C12" s="10"/>
      <c r="D12" s="48">
        <f t="shared" si="1"/>
        <v>0</v>
      </c>
      <c r="F12" s="138" t="s">
        <v>33</v>
      </c>
      <c r="G12" s="139"/>
      <c r="H12" s="139"/>
      <c r="I12" s="139"/>
      <c r="J12" s="1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7"/>
      <c r="B13" s="17" t="s">
        <v>32</v>
      </c>
      <c r="C13" s="10"/>
      <c r="D13" s="48">
        <f t="shared" si="1"/>
        <v>0</v>
      </c>
      <c r="F13" s="141" t="s">
        <v>36</v>
      </c>
      <c r="G13" s="142"/>
      <c r="H13" s="143">
        <f>D29</f>
        <v>0</v>
      </c>
      <c r="I13" s="144"/>
      <c r="J13" s="14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7"/>
      <c r="B14" s="14" t="s">
        <v>35</v>
      </c>
      <c r="C14" s="10"/>
      <c r="D14" s="31">
        <f t="shared" si="1"/>
        <v>0</v>
      </c>
      <c r="F14" s="146" t="s">
        <v>38</v>
      </c>
      <c r="G14" s="147"/>
      <c r="H14" s="148">
        <f>D54</f>
        <v>0</v>
      </c>
      <c r="I14" s="149"/>
      <c r="J14" s="15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7"/>
      <c r="B15" s="14" t="s">
        <v>117</v>
      </c>
      <c r="C15" s="10"/>
      <c r="D15" s="31">
        <f t="shared" si="1"/>
        <v>0</v>
      </c>
      <c r="F15" s="151" t="s">
        <v>39</v>
      </c>
      <c r="G15" s="142"/>
      <c r="H15" s="152">
        <f>H13-H14</f>
        <v>0</v>
      </c>
      <c r="I15" s="153"/>
      <c r="J15" s="15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28"/>
      <c r="I17" s="128"/>
      <c r="J17" s="1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28"/>
      <c r="I18" s="128"/>
      <c r="J18" s="1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5"/>
      <c r="I19" s="155"/>
      <c r="J19" s="1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7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7"/>
      <c r="B23" s="14" t="s">
        <v>116</v>
      </c>
      <c r="C23" s="10"/>
      <c r="D23" s="48">
        <f t="shared" si="1"/>
        <v>0</v>
      </c>
      <c r="F23" s="76"/>
      <c r="G23" s="78"/>
      <c r="H23" s="231"/>
      <c r="I23" s="232"/>
      <c r="J23" s="23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7"/>
      <c r="B24" s="14" t="s">
        <v>123</v>
      </c>
      <c r="C24" s="10"/>
      <c r="D24" s="48">
        <f t="shared" si="1"/>
        <v>0</v>
      </c>
      <c r="F24" s="76"/>
      <c r="G24" s="78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1" t="s">
        <v>13</v>
      </c>
      <c r="I25" s="182"/>
      <c r="J25" s="18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7"/>
      <c r="B26" s="14" t="s">
        <v>124</v>
      </c>
      <c r="C26" s="10"/>
      <c r="D26" s="48">
        <f t="shared" si="1"/>
        <v>0</v>
      </c>
      <c r="F26" s="74"/>
      <c r="G26" s="65"/>
      <c r="H26" s="180"/>
      <c r="I26" s="180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7"/>
      <c r="B27" s="14" t="s">
        <v>125</v>
      </c>
      <c r="C27" s="10"/>
      <c r="D27" s="44">
        <f t="shared" si="1"/>
        <v>0</v>
      </c>
      <c r="F27" s="71"/>
      <c r="G27" s="99"/>
      <c r="H27" s="233"/>
      <c r="I27" s="234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8"/>
      <c r="B28" s="46" t="s">
        <v>92</v>
      </c>
      <c r="C28" s="10"/>
      <c r="D28" s="48">
        <f t="shared" si="1"/>
        <v>0</v>
      </c>
      <c r="F28" s="97"/>
      <c r="G28" s="61"/>
      <c r="H28" s="190"/>
      <c r="I28" s="191"/>
      <c r="J28" s="19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64" t="s">
        <v>54</v>
      </c>
      <c r="G29" s="165"/>
      <c r="H29" s="168">
        <f>H15-H16-H17-H18-H19-H20-H22-H23-H24+H26+H27+H28</f>
        <v>0</v>
      </c>
      <c r="I29" s="169"/>
      <c r="J29" s="17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66"/>
      <c r="G30" s="167"/>
      <c r="H30" s="171"/>
      <c r="I30" s="172"/>
      <c r="J30" s="17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3" t="s">
        <v>57</v>
      </c>
      <c r="B32" s="104"/>
      <c r="C32" s="104"/>
      <c r="D32" s="105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6">
        <f t="shared" ref="H34:H39" si="2"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7"/>
      <c r="B35" s="27" t="s">
        <v>67</v>
      </c>
      <c r="C35" s="52"/>
      <c r="D35" s="30">
        <f>C35*84</f>
        <v>0</v>
      </c>
      <c r="F35" s="58">
        <v>500</v>
      </c>
      <c r="G35" s="100"/>
      <c r="H35" s="196">
        <f t="shared" si="2"/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8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si="2"/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7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8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6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35"/>
      <c r="I40" s="236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7"/>
      <c r="B41" s="27" t="s">
        <v>67</v>
      </c>
      <c r="C41" s="10"/>
      <c r="D41" s="12">
        <f>C41*84</f>
        <v>0</v>
      </c>
      <c r="F41" s="12">
        <v>5</v>
      </c>
      <c r="G41" s="101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8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9" t="s">
        <v>80</v>
      </c>
      <c r="C43" s="11"/>
      <c r="D43" s="12"/>
      <c r="F43" s="59" t="s">
        <v>81</v>
      </c>
      <c r="G43" s="99" t="s">
        <v>82</v>
      </c>
      <c r="H43" s="202" t="s">
        <v>13</v>
      </c>
      <c r="I43" s="203"/>
      <c r="J43" s="20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0"/>
      <c r="B44" s="27" t="s">
        <v>65</v>
      </c>
      <c r="C44" s="10"/>
      <c r="D44" s="12">
        <f>C44*120</f>
        <v>0</v>
      </c>
      <c r="F44" s="37"/>
      <c r="G44" s="87"/>
      <c r="H44" s="180"/>
      <c r="I44" s="180"/>
      <c r="J44" s="18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0"/>
      <c r="B45" s="27" t="s">
        <v>67</v>
      </c>
      <c r="C45" s="33"/>
      <c r="D45" s="12">
        <f>C45*84</f>
        <v>0</v>
      </c>
      <c r="F45" s="37"/>
      <c r="G45" s="87"/>
      <c r="H45" s="180"/>
      <c r="I45" s="180"/>
      <c r="J45" s="180"/>
      <c r="K45" s="21"/>
      <c r="P45" s="4"/>
      <c r="Q45" s="4"/>
      <c r="R45" s="5"/>
    </row>
    <row r="46" spans="1:18" ht="15.75" x14ac:dyDescent="0.25">
      <c r="A46" s="200"/>
      <c r="B46" s="49" t="s">
        <v>69</v>
      </c>
      <c r="C46" s="80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201"/>
      <c r="B47" s="27"/>
      <c r="C47" s="11"/>
      <c r="D47" s="12"/>
      <c r="F47" s="59"/>
      <c r="G47" s="59"/>
      <c r="H47" s="237"/>
      <c r="I47" s="238"/>
      <c r="J47" s="239"/>
      <c r="K47" s="21"/>
      <c r="P47" s="4"/>
      <c r="Q47" s="4"/>
      <c r="R47" s="5"/>
    </row>
    <row r="48" spans="1:18" ht="15" customHeight="1" x14ac:dyDescent="0.25">
      <c r="A48" s="199" t="s">
        <v>32</v>
      </c>
      <c r="B48" s="27" t="s">
        <v>65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0"/>
      <c r="B49" s="29" t="s">
        <v>67</v>
      </c>
      <c r="C49" s="33"/>
      <c r="D49" s="12">
        <f>C49*42</f>
        <v>0</v>
      </c>
      <c r="F49" s="221" t="s">
        <v>85</v>
      </c>
      <c r="G49" s="168">
        <f>H34+H35+H36+H37+H38+H39+H40+H41+G42+H44+H45+H46+H47+H48</f>
        <v>0</v>
      </c>
      <c r="H49" s="169"/>
      <c r="I49" s="169"/>
      <c r="J49" s="17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0"/>
      <c r="B50" s="32" t="s">
        <v>69</v>
      </c>
      <c r="C50" s="11"/>
      <c r="D50" s="12">
        <f>C50*1.5</f>
        <v>0</v>
      </c>
      <c r="F50" s="222"/>
      <c r="G50" s="171"/>
      <c r="H50" s="172"/>
      <c r="I50" s="172"/>
      <c r="J50" s="173"/>
      <c r="O50" t="s">
        <v>112</v>
      </c>
      <c r="P50" s="4">
        <v>1204</v>
      </c>
      <c r="Q50" s="4"/>
      <c r="R50" s="5"/>
    </row>
    <row r="51" spans="1:18" ht="15" customHeight="1" x14ac:dyDescent="0.25">
      <c r="A51" s="200"/>
      <c r="B51" s="27"/>
      <c r="C51" s="10"/>
      <c r="D51" s="31"/>
      <c r="F51" s="223" t="str">
        <f>_xlfn.IFS(H29&gt;G49,"SHORT",H29&lt;G49,"OVER",H29&lt;=G49,"-")</f>
        <v>-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0"/>
      <c r="B52" s="29"/>
      <c r="C52" s="33"/>
      <c r="D52" s="45"/>
      <c r="F52" s="224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209"/>
      <c r="C54" s="210"/>
      <c r="D54" s="2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6"/>
      <c r="B55" s="211"/>
      <c r="C55" s="212"/>
      <c r="D55" s="2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15" t="s">
        <v>90</v>
      </c>
      <c r="B58" s="216"/>
      <c r="C58" s="216"/>
      <c r="D58" s="217"/>
      <c r="F58" s="215" t="s">
        <v>91</v>
      </c>
      <c r="G58" s="216"/>
      <c r="H58" s="216"/>
      <c r="I58" s="216"/>
      <c r="J58" s="217"/>
    </row>
    <row r="59" spans="1:18" x14ac:dyDescent="0.25">
      <c r="A59" s="218"/>
      <c r="B59" s="219"/>
      <c r="C59" s="219"/>
      <c r="D59" s="220"/>
      <c r="F59" s="218"/>
      <c r="G59" s="219"/>
      <c r="H59" s="219"/>
      <c r="I59" s="219"/>
      <c r="J59" s="22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2" t="s">
        <v>1</v>
      </c>
      <c r="O1" s="10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3" t="s">
        <v>7</v>
      </c>
      <c r="B4" s="104"/>
      <c r="C4" s="104"/>
      <c r="D4" s="105"/>
      <c r="F4" s="106" t="s">
        <v>8</v>
      </c>
      <c r="G4" s="108">
        <v>2</v>
      </c>
      <c r="H4" s="110" t="s">
        <v>9</v>
      </c>
      <c r="I4" s="112">
        <v>46235</v>
      </c>
      <c r="J4" s="1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6" t="s">
        <v>7</v>
      </c>
      <c r="B5" s="15" t="s">
        <v>11</v>
      </c>
      <c r="C5" s="9" t="s">
        <v>12</v>
      </c>
      <c r="D5" s="25" t="s">
        <v>13</v>
      </c>
      <c r="F5" s="107"/>
      <c r="G5" s="109"/>
      <c r="H5" s="111"/>
      <c r="I5" s="114"/>
      <c r="J5" s="1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7"/>
      <c r="B6" s="16" t="s">
        <v>15</v>
      </c>
      <c r="C6" s="10"/>
      <c r="D6" s="13">
        <f t="shared" ref="D6:D28" si="1">C6*L6</f>
        <v>0</v>
      </c>
      <c r="F6" s="119" t="s">
        <v>16</v>
      </c>
      <c r="G6" s="121" t="s">
        <v>107</v>
      </c>
      <c r="H6" s="122"/>
      <c r="I6" s="122"/>
      <c r="J6" s="12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7"/>
      <c r="B7" s="16" t="s">
        <v>18</v>
      </c>
      <c r="C7" s="10"/>
      <c r="D7" s="13">
        <f t="shared" si="1"/>
        <v>0</v>
      </c>
      <c r="F7" s="120"/>
      <c r="G7" s="124"/>
      <c r="H7" s="125"/>
      <c r="I7" s="125"/>
      <c r="J7" s="12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7"/>
      <c r="B8" s="16" t="s">
        <v>20</v>
      </c>
      <c r="C8" s="10"/>
      <c r="D8" s="13">
        <f t="shared" si="1"/>
        <v>0</v>
      </c>
      <c r="F8" s="127" t="s">
        <v>21</v>
      </c>
      <c r="G8" s="129" t="s">
        <v>100</v>
      </c>
      <c r="H8" s="130"/>
      <c r="I8" s="130"/>
      <c r="J8" s="1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7"/>
      <c r="B9" s="16" t="s">
        <v>23</v>
      </c>
      <c r="C9" s="10"/>
      <c r="D9" s="13">
        <f t="shared" si="1"/>
        <v>0</v>
      </c>
      <c r="F9" s="120"/>
      <c r="G9" s="132"/>
      <c r="H9" s="133"/>
      <c r="I9" s="133"/>
      <c r="J9" s="1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7"/>
      <c r="B10" t="s">
        <v>25</v>
      </c>
      <c r="C10" s="10"/>
      <c r="D10" s="13">
        <f t="shared" si="1"/>
        <v>0</v>
      </c>
      <c r="F10" s="119" t="s">
        <v>26</v>
      </c>
      <c r="G10" s="135" t="s">
        <v>101</v>
      </c>
      <c r="H10" s="136"/>
      <c r="I10" s="136"/>
      <c r="J10" s="137"/>
      <c r="K10" s="8"/>
      <c r="L10" s="6">
        <f>R36</f>
        <v>1032</v>
      </c>
      <c r="P10" s="4"/>
      <c r="Q10" s="4"/>
      <c r="R10" s="5"/>
    </row>
    <row r="11" spans="1:18" ht="15.75" x14ac:dyDescent="0.25">
      <c r="A11" s="117"/>
      <c r="B11" s="17" t="s">
        <v>28</v>
      </c>
      <c r="C11" s="10"/>
      <c r="D11" s="13">
        <f t="shared" si="1"/>
        <v>0</v>
      </c>
      <c r="F11" s="120"/>
      <c r="G11" s="132"/>
      <c r="H11" s="133"/>
      <c r="I11" s="133"/>
      <c r="J11" s="1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7"/>
      <c r="B12" s="17" t="s">
        <v>30</v>
      </c>
      <c r="C12" s="10"/>
      <c r="D12" s="48">
        <f t="shared" si="1"/>
        <v>0</v>
      </c>
      <c r="F12" s="138" t="s">
        <v>33</v>
      </c>
      <c r="G12" s="139"/>
      <c r="H12" s="139"/>
      <c r="I12" s="139"/>
      <c r="J12" s="1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7"/>
      <c r="B13" s="17" t="s">
        <v>32</v>
      </c>
      <c r="C13" s="10"/>
      <c r="D13" s="48">
        <f t="shared" si="1"/>
        <v>0</v>
      </c>
      <c r="F13" s="141" t="s">
        <v>36</v>
      </c>
      <c r="G13" s="142"/>
      <c r="H13" s="143">
        <f>D29</f>
        <v>0</v>
      </c>
      <c r="I13" s="144"/>
      <c r="J13" s="14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7"/>
      <c r="B14" s="14" t="s">
        <v>35</v>
      </c>
      <c r="C14" s="10"/>
      <c r="D14" s="31">
        <f t="shared" si="1"/>
        <v>0</v>
      </c>
      <c r="F14" s="146" t="s">
        <v>38</v>
      </c>
      <c r="G14" s="147"/>
      <c r="H14" s="148">
        <f>D54</f>
        <v>0</v>
      </c>
      <c r="I14" s="149"/>
      <c r="J14" s="15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7"/>
      <c r="B15" s="14" t="s">
        <v>117</v>
      </c>
      <c r="C15" s="10"/>
      <c r="D15" s="31">
        <f t="shared" si="1"/>
        <v>0</v>
      </c>
      <c r="F15" s="151" t="s">
        <v>39</v>
      </c>
      <c r="G15" s="142"/>
      <c r="H15" s="152">
        <f>H13-H14</f>
        <v>0</v>
      </c>
      <c r="I15" s="153"/>
      <c r="J15" s="15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28"/>
      <c r="I17" s="128"/>
      <c r="J17" s="1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28"/>
      <c r="I18" s="128"/>
      <c r="J18" s="1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0"/>
      <c r="I19" s="240"/>
      <c r="J19" s="24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7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7"/>
      <c r="B23" s="14" t="s">
        <v>116</v>
      </c>
      <c r="C23" s="10"/>
      <c r="D23" s="48">
        <f t="shared" si="1"/>
        <v>0</v>
      </c>
      <c r="F23" s="77"/>
      <c r="G23" s="78"/>
      <c r="H23" s="241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7"/>
      <c r="B24" s="14" t="s">
        <v>123</v>
      </c>
      <c r="C24" s="10"/>
      <c r="D24" s="48">
        <f t="shared" si="1"/>
        <v>0</v>
      </c>
      <c r="F24" s="38"/>
      <c r="G24" s="37"/>
      <c r="H24" s="179"/>
      <c r="I24" s="180"/>
      <c r="J24" s="1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1" t="s">
        <v>13</v>
      </c>
      <c r="I25" s="182"/>
      <c r="J25" s="18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7"/>
      <c r="B26" s="14" t="s">
        <v>124</v>
      </c>
      <c r="C26" s="10"/>
      <c r="D26" s="48">
        <f t="shared" si="1"/>
        <v>0</v>
      </c>
      <c r="F26" s="64"/>
      <c r="G26" s="59"/>
      <c r="H26" s="184"/>
      <c r="I26" s="185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7"/>
      <c r="B27" s="14" t="s">
        <v>125</v>
      </c>
      <c r="C27" s="10"/>
      <c r="D27" s="44">
        <f t="shared" si="1"/>
        <v>0</v>
      </c>
      <c r="F27" s="25"/>
      <c r="G27" s="79"/>
      <c r="H27" s="187"/>
      <c r="I27" s="188"/>
      <c r="J27" s="1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8"/>
      <c r="B28" s="46" t="s">
        <v>92</v>
      </c>
      <c r="C28" s="10"/>
      <c r="D28" s="48">
        <f t="shared" si="1"/>
        <v>0</v>
      </c>
      <c r="F28" s="97"/>
      <c r="G28" s="61"/>
      <c r="H28" s="190"/>
      <c r="I28" s="191"/>
      <c r="J28" s="19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64" t="s">
        <v>54</v>
      </c>
      <c r="G29" s="165"/>
      <c r="H29" s="168">
        <f>H15-H16-H17-H18-H19-H20-H22-H23-H24+H26+H27</f>
        <v>0</v>
      </c>
      <c r="I29" s="169"/>
      <c r="J29" s="17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66"/>
      <c r="G30" s="167"/>
      <c r="H30" s="171"/>
      <c r="I30" s="172"/>
      <c r="J30" s="17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3" t="s">
        <v>57</v>
      </c>
      <c r="B32" s="104"/>
      <c r="C32" s="104"/>
      <c r="D32" s="105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7"/>
      <c r="B35" s="27" t="s">
        <v>67</v>
      </c>
      <c r="C35" s="52"/>
      <c r="D35" s="30">
        <f>C35*84</f>
        <v>0</v>
      </c>
      <c r="F35" s="58">
        <v>500</v>
      </c>
      <c r="G35" s="100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8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7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8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6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7"/>
      <c r="B41" s="27" t="s">
        <v>67</v>
      </c>
      <c r="C41" s="10"/>
      <c r="D41" s="12">
        <f>C41*84</f>
        <v>0</v>
      </c>
      <c r="F41" s="12">
        <v>5</v>
      </c>
      <c r="G41" s="101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8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9" t="s">
        <v>80</v>
      </c>
      <c r="C43" s="11"/>
      <c r="D43" s="12"/>
      <c r="F43" s="59" t="s">
        <v>81</v>
      </c>
      <c r="G43" s="99" t="s">
        <v>82</v>
      </c>
      <c r="H43" s="202" t="s">
        <v>13</v>
      </c>
      <c r="I43" s="203"/>
      <c r="J43" s="20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0"/>
      <c r="B44" s="27" t="s">
        <v>65</v>
      </c>
      <c r="C44" s="10"/>
      <c r="D44" s="12">
        <f>C44*120</f>
        <v>0</v>
      </c>
      <c r="F44" s="37"/>
      <c r="G44" s="62"/>
      <c r="H44" s="180"/>
      <c r="I44" s="180"/>
      <c r="J44" s="18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0"/>
      <c r="B45" s="27" t="s">
        <v>67</v>
      </c>
      <c r="C45" s="33"/>
      <c r="D45" s="12">
        <f>C45*84</f>
        <v>0</v>
      </c>
      <c r="F45" s="37"/>
      <c r="G45" s="75"/>
      <c r="H45" s="180"/>
      <c r="I45" s="180"/>
      <c r="J45" s="180"/>
      <c r="K45" s="21"/>
      <c r="P45" s="4"/>
      <c r="Q45" s="4"/>
      <c r="R45" s="5"/>
    </row>
    <row r="46" spans="1:18" ht="15.75" x14ac:dyDescent="0.25">
      <c r="A46" s="200"/>
      <c r="B46" s="49" t="s">
        <v>69</v>
      </c>
      <c r="C46" s="80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201"/>
      <c r="B47" s="27"/>
      <c r="C47" s="11"/>
      <c r="D47" s="12"/>
      <c r="F47" s="59"/>
      <c r="G47" s="59"/>
      <c r="H47" s="180"/>
      <c r="I47" s="180"/>
      <c r="J47" s="180"/>
      <c r="K47" s="21"/>
      <c r="P47" s="4"/>
      <c r="Q47" s="4"/>
      <c r="R47" s="5"/>
    </row>
    <row r="48" spans="1:18" ht="15" customHeight="1" x14ac:dyDescent="0.25">
      <c r="A48" s="199" t="s">
        <v>32</v>
      </c>
      <c r="B48" s="27" t="s">
        <v>65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0"/>
      <c r="B49" s="29" t="s">
        <v>67</v>
      </c>
      <c r="C49" s="33"/>
      <c r="D49" s="12">
        <f>C49*42</f>
        <v>0</v>
      </c>
      <c r="F49" s="221" t="s">
        <v>85</v>
      </c>
      <c r="G49" s="168">
        <f>H34+H35+H36+H37+H38+H39+H40+H41+G42+H44+H45+H46+H47+H48</f>
        <v>0</v>
      </c>
      <c r="H49" s="169"/>
      <c r="I49" s="169"/>
      <c r="J49" s="17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0"/>
      <c r="B50" s="32" t="s">
        <v>69</v>
      </c>
      <c r="C50" s="80"/>
      <c r="D50" s="12">
        <f>C50*1.5</f>
        <v>0</v>
      </c>
      <c r="F50" s="222"/>
      <c r="G50" s="171"/>
      <c r="H50" s="172"/>
      <c r="I50" s="172"/>
      <c r="J50" s="173"/>
      <c r="O50" t="s">
        <v>112</v>
      </c>
      <c r="P50" s="4">
        <v>1204</v>
      </c>
      <c r="Q50" s="4"/>
      <c r="R50" s="5"/>
    </row>
    <row r="51" spans="1:18" ht="15" customHeight="1" x14ac:dyDescent="0.25">
      <c r="A51" s="200"/>
      <c r="B51" s="27"/>
      <c r="C51" s="10"/>
      <c r="D51" s="31"/>
      <c r="F51" s="223" t="str">
        <f>_xlfn.IFS(H29&gt;G49,"SHORT",H29&lt;G49,"OVER",H29&lt;=G49,"-")</f>
        <v>-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0"/>
      <c r="B52" s="29"/>
      <c r="C52" s="33"/>
      <c r="D52" s="45"/>
      <c r="F52" s="224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209"/>
      <c r="C54" s="210"/>
      <c r="D54" s="2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6"/>
      <c r="B55" s="211"/>
      <c r="C55" s="212"/>
      <c r="D55" s="2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15" t="s">
        <v>90</v>
      </c>
      <c r="B58" s="216"/>
      <c r="C58" s="216"/>
      <c r="D58" s="217"/>
      <c r="F58" s="215" t="s">
        <v>91</v>
      </c>
      <c r="G58" s="216"/>
      <c r="H58" s="216"/>
      <c r="I58" s="216"/>
      <c r="J58" s="217"/>
    </row>
    <row r="59" spans="1:18" x14ac:dyDescent="0.25">
      <c r="A59" s="218"/>
      <c r="B59" s="219"/>
      <c r="C59" s="219"/>
      <c r="D59" s="220"/>
      <c r="F59" s="218"/>
      <c r="G59" s="219"/>
      <c r="H59" s="219"/>
      <c r="I59" s="219"/>
      <c r="J59" s="2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2" t="s">
        <v>1</v>
      </c>
      <c r="O1" s="10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3" t="s">
        <v>7</v>
      </c>
      <c r="B4" s="104"/>
      <c r="C4" s="104"/>
      <c r="D4" s="105"/>
      <c r="F4" s="106" t="s">
        <v>8</v>
      </c>
      <c r="G4" s="108">
        <v>3</v>
      </c>
      <c r="H4" s="110" t="s">
        <v>9</v>
      </c>
      <c r="I4" s="112">
        <v>46235</v>
      </c>
      <c r="J4" s="1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6" t="s">
        <v>7</v>
      </c>
      <c r="B5" s="15" t="s">
        <v>11</v>
      </c>
      <c r="C5" s="9" t="s">
        <v>12</v>
      </c>
      <c r="D5" s="25" t="s">
        <v>13</v>
      </c>
      <c r="F5" s="107"/>
      <c r="G5" s="109"/>
      <c r="H5" s="111"/>
      <c r="I5" s="114"/>
      <c r="J5" s="1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7"/>
      <c r="B6" s="16" t="s">
        <v>15</v>
      </c>
      <c r="C6" s="10"/>
      <c r="D6" s="13">
        <f t="shared" ref="D6:D28" si="1">C6*L6</f>
        <v>0</v>
      </c>
      <c r="F6" s="119" t="s">
        <v>16</v>
      </c>
      <c r="G6" s="121" t="s">
        <v>113</v>
      </c>
      <c r="H6" s="122"/>
      <c r="I6" s="122"/>
      <c r="J6" s="12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7"/>
      <c r="B7" s="16" t="s">
        <v>18</v>
      </c>
      <c r="C7" s="10"/>
      <c r="D7" s="13">
        <f t="shared" si="1"/>
        <v>0</v>
      </c>
      <c r="F7" s="120"/>
      <c r="G7" s="124"/>
      <c r="H7" s="125"/>
      <c r="I7" s="125"/>
      <c r="J7" s="12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7"/>
      <c r="B8" s="16" t="s">
        <v>20</v>
      </c>
      <c r="C8" s="10"/>
      <c r="D8" s="13">
        <f t="shared" si="1"/>
        <v>0</v>
      </c>
      <c r="F8" s="127" t="s">
        <v>21</v>
      </c>
      <c r="G8" s="129" t="s">
        <v>109</v>
      </c>
      <c r="H8" s="130"/>
      <c r="I8" s="130"/>
      <c r="J8" s="1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7"/>
      <c r="B9" s="16" t="s">
        <v>23</v>
      </c>
      <c r="C9" s="10"/>
      <c r="D9" s="13">
        <f t="shared" si="1"/>
        <v>0</v>
      </c>
      <c r="F9" s="120"/>
      <c r="G9" s="132"/>
      <c r="H9" s="133"/>
      <c r="I9" s="133"/>
      <c r="J9" s="1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7"/>
      <c r="B10" t="s">
        <v>25</v>
      </c>
      <c r="C10" s="10"/>
      <c r="D10" s="13">
        <f t="shared" si="1"/>
        <v>0</v>
      </c>
      <c r="F10" s="119" t="s">
        <v>26</v>
      </c>
      <c r="G10" s="135" t="s">
        <v>119</v>
      </c>
      <c r="H10" s="136"/>
      <c r="I10" s="136"/>
      <c r="J10" s="137"/>
      <c r="K10" s="8"/>
      <c r="L10" s="6">
        <f>R36</f>
        <v>1032</v>
      </c>
      <c r="P10" s="4"/>
      <c r="Q10" s="4"/>
      <c r="R10" s="5"/>
    </row>
    <row r="11" spans="1:18" ht="15.75" x14ac:dyDescent="0.25">
      <c r="A11" s="117"/>
      <c r="B11" s="17" t="s">
        <v>28</v>
      </c>
      <c r="C11" s="10"/>
      <c r="D11" s="13">
        <f t="shared" si="1"/>
        <v>0</v>
      </c>
      <c r="F11" s="120"/>
      <c r="G11" s="132"/>
      <c r="H11" s="133"/>
      <c r="I11" s="133"/>
      <c r="J11" s="1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7"/>
      <c r="B12" s="17" t="s">
        <v>30</v>
      </c>
      <c r="C12" s="10"/>
      <c r="D12" s="48">
        <f t="shared" si="1"/>
        <v>0</v>
      </c>
      <c r="F12" s="138" t="s">
        <v>33</v>
      </c>
      <c r="G12" s="139"/>
      <c r="H12" s="139"/>
      <c r="I12" s="139"/>
      <c r="J12" s="1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7"/>
      <c r="B13" s="17" t="s">
        <v>32</v>
      </c>
      <c r="C13" s="10"/>
      <c r="D13" s="48">
        <f t="shared" si="1"/>
        <v>0</v>
      </c>
      <c r="F13" s="141" t="s">
        <v>36</v>
      </c>
      <c r="G13" s="142"/>
      <c r="H13" s="143">
        <f>D29</f>
        <v>0</v>
      </c>
      <c r="I13" s="144"/>
      <c r="J13" s="14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7"/>
      <c r="B14" s="14" t="s">
        <v>35</v>
      </c>
      <c r="C14" s="10"/>
      <c r="D14" s="31">
        <f t="shared" si="1"/>
        <v>0</v>
      </c>
      <c r="F14" s="146" t="s">
        <v>38</v>
      </c>
      <c r="G14" s="147"/>
      <c r="H14" s="148">
        <f>D54</f>
        <v>0</v>
      </c>
      <c r="I14" s="149"/>
      <c r="J14" s="15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7"/>
      <c r="B15" s="14" t="s">
        <v>117</v>
      </c>
      <c r="C15" s="10"/>
      <c r="D15" s="31">
        <f t="shared" si="1"/>
        <v>0</v>
      </c>
      <c r="F15" s="151" t="s">
        <v>39</v>
      </c>
      <c r="G15" s="142"/>
      <c r="H15" s="152">
        <f>H13-H14</f>
        <v>0</v>
      </c>
      <c r="I15" s="153"/>
      <c r="J15" s="15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28"/>
      <c r="I17" s="128"/>
      <c r="J17" s="12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28"/>
      <c r="I18" s="128"/>
      <c r="J18" s="12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0"/>
      <c r="I19" s="240"/>
      <c r="J19" s="24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7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7"/>
      <c r="B23" s="14" t="s">
        <v>116</v>
      </c>
      <c r="C23" s="10"/>
      <c r="D23" s="48">
        <f t="shared" si="1"/>
        <v>0</v>
      </c>
      <c r="F23" s="77"/>
      <c r="G23" s="78"/>
      <c r="H23" s="241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7"/>
      <c r="B24" s="14" t="s">
        <v>123</v>
      </c>
      <c r="C24" s="10"/>
      <c r="D24" s="48">
        <f t="shared" si="1"/>
        <v>0</v>
      </c>
      <c r="F24" s="38"/>
      <c r="G24" s="37"/>
      <c r="H24" s="179"/>
      <c r="I24" s="180"/>
      <c r="J24" s="1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1" t="s">
        <v>13</v>
      </c>
      <c r="I25" s="182"/>
      <c r="J25" s="18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7"/>
      <c r="B26" s="14" t="s">
        <v>124</v>
      </c>
      <c r="C26" s="10"/>
      <c r="D26" s="48">
        <f t="shared" si="1"/>
        <v>0</v>
      </c>
      <c r="F26" s="64"/>
      <c r="G26" s="59"/>
      <c r="H26" s="184"/>
      <c r="I26" s="185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7"/>
      <c r="B27" s="14" t="s">
        <v>125</v>
      </c>
      <c r="C27" s="10"/>
      <c r="D27" s="44">
        <f t="shared" si="1"/>
        <v>0</v>
      </c>
      <c r="F27" s="25"/>
      <c r="G27" s="79"/>
      <c r="H27" s="187"/>
      <c r="I27" s="188"/>
      <c r="J27" s="1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8"/>
      <c r="B28" s="46" t="s">
        <v>92</v>
      </c>
      <c r="C28" s="10"/>
      <c r="D28" s="48">
        <f t="shared" si="1"/>
        <v>0</v>
      </c>
      <c r="F28" s="97"/>
      <c r="G28" s="61"/>
      <c r="H28" s="190"/>
      <c r="I28" s="191"/>
      <c r="J28" s="19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64" t="s">
        <v>54</v>
      </c>
      <c r="G29" s="165"/>
      <c r="H29" s="168">
        <f>H15-H16-H17-H18-H19-H20-H22-H23-H24+H26+H27</f>
        <v>0</v>
      </c>
      <c r="I29" s="169"/>
      <c r="J29" s="17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66"/>
      <c r="G30" s="167"/>
      <c r="H30" s="171"/>
      <c r="I30" s="172"/>
      <c r="J30" s="17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3" t="s">
        <v>57</v>
      </c>
      <c r="B32" s="104"/>
      <c r="C32" s="104"/>
      <c r="D32" s="105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6">
        <f>F34*G34</f>
        <v>0</v>
      </c>
      <c r="I34" s="197"/>
      <c r="J34" s="19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7"/>
      <c r="B35" s="27" t="s">
        <v>67</v>
      </c>
      <c r="C35" s="52"/>
      <c r="D35" s="30">
        <f>C35*84</f>
        <v>0</v>
      </c>
      <c r="F35" s="58">
        <v>500</v>
      </c>
      <c r="G35" s="100"/>
      <c r="H35" s="196">
        <f>F35*G35</f>
        <v>0</v>
      </c>
      <c r="I35" s="197"/>
      <c r="J35" s="19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8"/>
      <c r="B36" s="26" t="s">
        <v>69</v>
      </c>
      <c r="C36" s="10"/>
      <c r="D36" s="12">
        <f>C36*1.5</f>
        <v>0</v>
      </c>
      <c r="F36" s="12">
        <v>200</v>
      </c>
      <c r="G36" s="37"/>
      <c r="H36" s="196">
        <f t="shared" ref="H36:H39" si="2">F36*G36</f>
        <v>0</v>
      </c>
      <c r="I36" s="197"/>
      <c r="J36" s="19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6">
        <f t="shared" si="2"/>
        <v>0</v>
      </c>
      <c r="I37" s="197"/>
      <c r="J37" s="19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7"/>
      <c r="B38" s="29" t="s">
        <v>67</v>
      </c>
      <c r="C38" s="54"/>
      <c r="D38" s="12">
        <f>C38*84</f>
        <v>0</v>
      </c>
      <c r="F38" s="30">
        <v>50</v>
      </c>
      <c r="G38" s="39"/>
      <c r="H38" s="196">
        <f t="shared" si="2"/>
        <v>0</v>
      </c>
      <c r="I38" s="197"/>
      <c r="J38" s="19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8"/>
      <c r="B39" s="29" t="s">
        <v>69</v>
      </c>
      <c r="C39" s="52"/>
      <c r="D39" s="31">
        <f>C39*4.5</f>
        <v>0</v>
      </c>
      <c r="F39" s="12">
        <v>20</v>
      </c>
      <c r="G39" s="37"/>
      <c r="H39" s="196">
        <f t="shared" si="2"/>
        <v>0</v>
      </c>
      <c r="I39" s="197"/>
      <c r="J39" s="19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6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96"/>
      <c r="I40" s="197"/>
      <c r="J40" s="19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7"/>
      <c r="B41" s="27" t="s">
        <v>67</v>
      </c>
      <c r="C41" s="10"/>
      <c r="D41" s="12">
        <f>C41*84</f>
        <v>0</v>
      </c>
      <c r="F41" s="12">
        <v>5</v>
      </c>
      <c r="G41" s="101"/>
      <c r="H41" s="196"/>
      <c r="I41" s="197"/>
      <c r="J41" s="19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8"/>
      <c r="B42" s="27" t="s">
        <v>69</v>
      </c>
      <c r="C42" s="11"/>
      <c r="D42" s="12">
        <f>C42*2.25</f>
        <v>0</v>
      </c>
      <c r="F42" s="39" t="s">
        <v>78</v>
      </c>
      <c r="G42" s="196"/>
      <c r="H42" s="197"/>
      <c r="I42" s="197"/>
      <c r="J42" s="19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9" t="s">
        <v>80</v>
      </c>
      <c r="C43" s="11"/>
      <c r="D43" s="12"/>
      <c r="F43" s="59" t="s">
        <v>81</v>
      </c>
      <c r="G43" s="99" t="s">
        <v>82</v>
      </c>
      <c r="H43" s="202" t="s">
        <v>13</v>
      </c>
      <c r="I43" s="203"/>
      <c r="J43" s="20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0"/>
      <c r="B44" s="27" t="s">
        <v>65</v>
      </c>
      <c r="C44" s="10"/>
      <c r="D44" s="12">
        <f>C44*120</f>
        <v>0</v>
      </c>
      <c r="F44" s="37"/>
      <c r="G44" s="62"/>
      <c r="H44" s="180"/>
      <c r="I44" s="180"/>
      <c r="J44" s="18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0"/>
      <c r="B45" s="27" t="s">
        <v>67</v>
      </c>
      <c r="C45" s="33"/>
      <c r="D45" s="12">
        <f>C45*84</f>
        <v>0</v>
      </c>
      <c r="F45" s="37"/>
      <c r="G45" s="62"/>
      <c r="H45" s="180"/>
      <c r="I45" s="180"/>
      <c r="J45" s="180"/>
      <c r="K45" s="21"/>
      <c r="P45" s="4"/>
      <c r="Q45" s="4"/>
      <c r="R45" s="5"/>
    </row>
    <row r="46" spans="1:18" ht="15.75" x14ac:dyDescent="0.25">
      <c r="A46" s="200"/>
      <c r="B46" s="49" t="s">
        <v>69</v>
      </c>
      <c r="C46" s="80"/>
      <c r="D46" s="12">
        <f>C46*1.5</f>
        <v>0</v>
      </c>
      <c r="F46" s="37"/>
      <c r="G46" s="75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201"/>
      <c r="B47" s="27"/>
      <c r="C47" s="11"/>
      <c r="D47" s="12"/>
      <c r="F47" s="37"/>
      <c r="G47" s="75"/>
      <c r="H47" s="180"/>
      <c r="I47" s="180"/>
      <c r="J47" s="180"/>
      <c r="K47" s="21"/>
      <c r="P47" s="4"/>
      <c r="Q47" s="4"/>
      <c r="R47" s="5"/>
    </row>
    <row r="48" spans="1:18" ht="15" customHeight="1" x14ac:dyDescent="0.25">
      <c r="A48" s="199" t="s">
        <v>32</v>
      </c>
      <c r="B48" s="27" t="s">
        <v>65</v>
      </c>
      <c r="C48" s="10"/>
      <c r="D48" s="12">
        <f>C48*78</f>
        <v>0</v>
      </c>
      <c r="F48" s="59"/>
      <c r="G48" s="59"/>
      <c r="H48" s="237"/>
      <c r="I48" s="238"/>
      <c r="J48" s="23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0"/>
      <c r="B49" s="29" t="s">
        <v>67</v>
      </c>
      <c r="C49" s="33"/>
      <c r="D49" s="12">
        <f>C49*42</f>
        <v>0</v>
      </c>
      <c r="F49" s="221" t="s">
        <v>85</v>
      </c>
      <c r="G49" s="168">
        <f>H34+H35+H36+H37+H38+H39+H40+H41+G42+H44+H45+H46+H47+H48</f>
        <v>0</v>
      </c>
      <c r="H49" s="169"/>
      <c r="I49" s="169"/>
      <c r="J49" s="17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0"/>
      <c r="B50" s="32" t="s">
        <v>69</v>
      </c>
      <c r="C50" s="11"/>
      <c r="D50" s="12">
        <f>C50*1.5</f>
        <v>0</v>
      </c>
      <c r="F50" s="222"/>
      <c r="G50" s="171"/>
      <c r="H50" s="172"/>
      <c r="I50" s="172"/>
      <c r="J50" s="173"/>
      <c r="O50" t="s">
        <v>112</v>
      </c>
      <c r="P50" s="4">
        <v>1204</v>
      </c>
      <c r="Q50" s="4"/>
      <c r="R50" s="5"/>
    </row>
    <row r="51" spans="1:18" ht="15" customHeight="1" x14ac:dyDescent="0.25">
      <c r="A51" s="200"/>
      <c r="B51" s="27"/>
      <c r="C51" s="10"/>
      <c r="D51" s="31"/>
      <c r="F51" s="223" t="str">
        <f>_xlfn.IFS(H29&gt;G49,"SHORT",H29&lt;G49,"OVER",H29&lt;=G49,"-")</f>
        <v>-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0"/>
      <c r="B52" s="29"/>
      <c r="C52" s="33"/>
      <c r="D52" s="45"/>
      <c r="F52" s="224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4" t="s">
        <v>89</v>
      </c>
      <c r="B54" s="209"/>
      <c r="C54" s="210"/>
      <c r="D54" s="21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6"/>
      <c r="B55" s="211"/>
      <c r="C55" s="212"/>
      <c r="D55" s="2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15" t="s">
        <v>90</v>
      </c>
      <c r="B58" s="216"/>
      <c r="C58" s="216"/>
      <c r="D58" s="217"/>
      <c r="F58" s="215" t="s">
        <v>91</v>
      </c>
      <c r="G58" s="216"/>
      <c r="H58" s="216"/>
      <c r="I58" s="216"/>
      <c r="J58" s="217"/>
    </row>
    <row r="59" spans="1:18" x14ac:dyDescent="0.25">
      <c r="A59" s="218"/>
      <c r="B59" s="219"/>
      <c r="C59" s="219"/>
      <c r="D59" s="220"/>
      <c r="F59" s="218"/>
      <c r="G59" s="219"/>
      <c r="H59" s="219"/>
      <c r="I59" s="219"/>
      <c r="J59" s="2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12</vt:i4>
      </vt:variant>
    </vt:vector>
  </HeadingPairs>
  <TitlesOfParts>
    <vt:vector size="25" baseType="lpstr">
      <vt:lpstr>(AUGUST 2026)</vt:lpstr>
      <vt:lpstr>(01)</vt:lpstr>
      <vt:lpstr>08,01 R1 NO TRIP</vt:lpstr>
      <vt:lpstr>08,01 R2 COLLECTION</vt:lpstr>
      <vt:lpstr>08,01 R3 NO TRIP</vt:lpstr>
      <vt:lpstr>(2)</vt:lpstr>
      <vt:lpstr>08,01 R1 (2)</vt:lpstr>
      <vt:lpstr>08,01 R2 (2)</vt:lpstr>
      <vt:lpstr>08,01 R3 (2)</vt:lpstr>
      <vt:lpstr>(3)</vt:lpstr>
      <vt:lpstr>08,01 R1 (3)</vt:lpstr>
      <vt:lpstr>08,01 R2 (3)</vt:lpstr>
      <vt:lpstr>08,01 R3 (3)</vt:lpstr>
      <vt:lpstr>'(01)'!Print_Area</vt:lpstr>
      <vt:lpstr>'(2)'!Print_Area</vt:lpstr>
      <vt:lpstr>'(3)'!Print_Area</vt:lpstr>
      <vt:lpstr>'08,01 R1 (2)'!Print_Area</vt:lpstr>
      <vt:lpstr>'08,01 R1 (3)'!Print_Area</vt:lpstr>
      <vt:lpstr>'08,01 R1 NO TRIP'!Print_Area</vt:lpstr>
      <vt:lpstr>'08,01 R2 (2)'!Print_Area</vt:lpstr>
      <vt:lpstr>'08,01 R2 (3)'!Print_Area</vt:lpstr>
      <vt:lpstr>'08,01 R2 COLLECTION'!Print_Area</vt:lpstr>
      <vt:lpstr>'08,01 R3 (2)'!Print_Area</vt:lpstr>
      <vt:lpstr>'08,01 R3 (3)'!Print_Area</vt:lpstr>
      <vt:lpstr>'08,01 R3 NO TRIP'!Print_Area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2026-08-02T23:41:43Z</cp:lastPrinted>
  <dcterms:created xsi:type="dcterms:W3CDTF">2024-09-01T23:36:50Z</dcterms:created>
  <dcterms:modified xsi:type="dcterms:W3CDTF">2026-08-03T02:02:02Z</dcterms:modified>
</cp:coreProperties>
</file>