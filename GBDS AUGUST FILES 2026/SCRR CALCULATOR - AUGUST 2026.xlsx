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99F3214-4E7E-4D7D-BF8B-7439708423EF}" xr6:coauthVersionLast="45" xr6:coauthVersionMax="47" xr10:uidLastSave="{00000000-0000-0000-0000-000000000000}"/>
  <bookViews>
    <workbookView xWindow="-120" yWindow="-120" windowWidth="29040" windowHeight="15840" firstSheet="11" activeTab="20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" sheetId="2290" r:id="rId51"/>
    <sheet name="08,15 R2" sheetId="2291" r:id="rId52"/>
    <sheet name="08,15 R3" sheetId="2292" r:id="rId5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R1'!$A$1:$J$60</definedName>
    <definedName name="_xlnm.Print_Area" localSheetId="51">'08,15 R2'!$A$1:$J$60</definedName>
    <definedName name="_xlnm.Print_Area" localSheetId="52">'08,15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G49" i="2292" s="1"/>
  <c r="D36" i="2292"/>
  <c r="D54" i="2292" s="1"/>
  <c r="H14" i="2292" s="1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G49" i="2290" s="1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G49" i="2288" s="1"/>
  <c r="D34" i="2288"/>
  <c r="D54" i="2288" s="1"/>
  <c r="H14" i="2288" s="1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D54" i="2287" s="1"/>
  <c r="H14" i="2287" s="1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G49" i="2286" s="1"/>
  <c r="D34" i="2286"/>
  <c r="D54" i="2286" s="1"/>
  <c r="H14" i="2286" s="1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D54" i="2284" s="1"/>
  <c r="H14" i="2284" s="1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L21" i="2284"/>
  <c r="D21" i="2284" s="1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G49" i="2283" s="1"/>
  <c r="D34" i="2283"/>
  <c r="D54" i="2283" s="1"/>
  <c r="H14" i="2283" s="1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G49" i="2280" s="1"/>
  <c r="D36" i="2280"/>
  <c r="R35" i="2280"/>
  <c r="H35" i="2280"/>
  <c r="D35" i="2280"/>
  <c r="R34" i="2280"/>
  <c r="H34" i="2280"/>
  <c r="D34" i="2280"/>
  <c r="D54" i="2280" s="1"/>
  <c r="H14" i="2280" s="1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D54" i="2279" s="1"/>
  <c r="H14" i="2279" s="1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G49" i="2278" s="1"/>
  <c r="D34" i="2278"/>
  <c r="D54" i="2278" s="1"/>
  <c r="H14" i="2278" s="1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G49" i="2275" l="1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H15" i="2292" s="1"/>
  <c r="H29" i="2292" s="1"/>
  <c r="F51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F51" i="2290" s="1"/>
  <c r="G51" i="2290"/>
  <c r="D29" i="2289"/>
  <c r="H13" i="2289" s="1"/>
  <c r="H15" i="2289" s="1"/>
  <c r="H29" i="2289" s="1"/>
  <c r="G51" i="2289"/>
  <c r="D29" i="2288"/>
  <c r="H13" i="2288" s="1"/>
  <c r="H15" i="2288" s="1"/>
  <c r="H29" i="2288" s="1"/>
  <c r="F51" i="2288" s="1"/>
  <c r="D29" i="2287"/>
  <c r="H13" i="2287" s="1"/>
  <c r="H15" i="2287" s="1"/>
  <c r="H29" i="2287" s="1"/>
  <c r="F51" i="2287" s="1"/>
  <c r="G51" i="2287"/>
  <c r="D29" i="2286"/>
  <c r="H13" i="2286" s="1"/>
  <c r="H15" i="2286" s="1"/>
  <c r="H29" i="2286" s="1"/>
  <c r="F51" i="2286" s="1"/>
  <c r="G51" i="2286"/>
  <c r="D29" i="2285"/>
  <c r="H13" i="2285" s="1"/>
  <c r="H15" i="2285" s="1"/>
  <c r="H29" i="2285" s="1"/>
  <c r="G51" i="2285"/>
  <c r="D29" i="2284"/>
  <c r="H13" i="2284" s="1"/>
  <c r="H15" i="2284" s="1"/>
  <c r="H29" i="2284" s="1"/>
  <c r="F51" i="2284" s="1"/>
  <c r="D29" i="2283"/>
  <c r="H13" i="2283" s="1"/>
  <c r="H15" i="2283" s="1"/>
  <c r="H29" i="2283" s="1"/>
  <c r="F51" i="2283" s="1"/>
  <c r="D29" i="2282"/>
  <c r="H13" i="2282" s="1"/>
  <c r="H15" i="2282" s="1"/>
  <c r="H29" i="2282" s="1"/>
  <c r="F51" i="2282" s="1"/>
  <c r="D29" i="2281"/>
  <c r="H13" i="2281" s="1"/>
  <c r="H15" i="2281" s="1"/>
  <c r="H29" i="2281" s="1"/>
  <c r="G51" i="2281" s="1"/>
  <c r="D29" i="2280"/>
  <c r="H13" i="2280" s="1"/>
  <c r="H15" i="2280" s="1"/>
  <c r="H29" i="2280" s="1"/>
  <c r="F51" i="2280" s="1"/>
  <c r="D29" i="2279"/>
  <c r="H13" i="2279" s="1"/>
  <c r="H15" i="2279" s="1"/>
  <c r="H29" i="2279" s="1"/>
  <c r="F51" i="2279" s="1"/>
  <c r="D29" i="2278"/>
  <c r="H13" i="2278" s="1"/>
  <c r="H15" i="2278" s="1"/>
  <c r="H29" i="2278" s="1"/>
  <c r="F51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74" l="1"/>
  <c r="H29" i="2274" s="1"/>
  <c r="F51" i="2274" s="1"/>
  <c r="H15" i="2275"/>
  <c r="H29" i="2275" s="1"/>
  <c r="F51" i="2275" s="1"/>
  <c r="H15" i="2276"/>
  <c r="H29" i="2276" s="1"/>
  <c r="F51" i="2276" s="1"/>
  <c r="G51" i="2292"/>
  <c r="G51" i="2291"/>
  <c r="G51" i="2288"/>
  <c r="G51" i="2284"/>
  <c r="G51" i="2283"/>
  <c r="G51" i="2282"/>
  <c r="G51" i="2280"/>
  <c r="G51" i="2279"/>
  <c r="G51" i="2278"/>
  <c r="G51" i="2274" l="1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<sst xmlns="http://schemas.openxmlformats.org/spreadsheetml/2006/main" count="7035" uniqueCount="172">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</sst>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1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8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1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16" priority="4" operator="containsText" text="SHORT">
      <formula>NOT(ISERROR(SEARCH("SHORT",F51)))</formula>
    </cfRule>
    <cfRule type="containsText" dxfId="11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7">
        <v>69862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69862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9">
        <f>F34*G34</f>
        <v>53000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9">
        <f>F35*G35</f>
        <v>16500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12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69862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113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7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283</v>
      </c>
      <c r="D6" s="13">
        <f t="shared" ref="D6:D28" si="1">C6*L6</f>
        <v>215363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32</v>
      </c>
      <c r="D9" s="13">
        <f t="shared" si="1"/>
        <v>23456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</v>
      </c>
      <c r="D13" s="48">
        <f t="shared" si="1"/>
        <v>614</v>
      </c>
      <c r="F13" s="154" t="s">
        <v>36</v>
      </c>
      <c r="G13" s="155"/>
      <c r="H13" s="156">
        <f>D29</f>
        <v>248162.33333333334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88.333333333333329</v>
      </c>
      <c r="F14" s="159" t="s">
        <v>38</v>
      </c>
      <c r="G14" s="160"/>
      <c r="H14" s="161">
        <f>D54</f>
        <v>36360.75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211801.58333333334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248162.33333333334</v>
      </c>
      <c r="F29" s="177" t="s">
        <v>54</v>
      </c>
      <c r="G29" s="178"/>
      <c r="H29" s="181">
        <f>H15-H16-H17-H18-H19-H20-H22-H23-H24+H26+H27+H28</f>
        <v>211801.58333333334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9">
        <f t="shared" ref="H34:H39" si="2">F34*G34</f>
        <v>111000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9">
        <f t="shared" si="2"/>
        <v>20500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9">
        <f t="shared" si="2"/>
        <v>1300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9">
        <f t="shared" si="2"/>
        <v>1050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116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3">
        <v>62000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93">
        <v>16444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16</v>
      </c>
      <c r="D46" s="12">
        <f>C46*1.5</f>
        <v>24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2</v>
      </c>
      <c r="D49" s="12">
        <f>C49*42</f>
        <v>84</v>
      </c>
      <c r="F49" s="234" t="s">
        <v>85</v>
      </c>
      <c r="G49" s="181">
        <f>H34+H35+H36+H37+H38+H39+H40+H41+G42+H44+H45+H46+H47+H48</f>
        <v>212450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13</v>
      </c>
      <c r="D50" s="12">
        <f>C50*1.5</f>
        <v>19.5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648.41666666665697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487</v>
      </c>
      <c r="D6" s="13">
        <f t="shared" ref="D6:D28" si="1">C6*L6</f>
        <v>370607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168</v>
      </c>
      <c r="D9" s="13">
        <f t="shared" si="1"/>
        <v>123144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25</v>
      </c>
      <c r="D13" s="48">
        <f t="shared" si="1"/>
        <v>7675</v>
      </c>
      <c r="F13" s="154" t="s">
        <v>36</v>
      </c>
      <c r="G13" s="155"/>
      <c r="H13" s="156">
        <f>D29</f>
        <v>516071.33333333331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88.333333333333329</v>
      </c>
      <c r="F14" s="159" t="s">
        <v>38</v>
      </c>
      <c r="G14" s="160"/>
      <c r="H14" s="161">
        <f>D54</f>
        <v>76411.5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439659.83333333331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3396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516071.33333333331</v>
      </c>
      <c r="F29" s="177" t="s">
        <v>54</v>
      </c>
      <c r="G29" s="178"/>
      <c r="H29" s="181">
        <f>H15-H16-H17-H18-H19-H20-H22-H23-H24+H26+H27</f>
        <v>436263.83333333331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9">
        <f>F34*G34</f>
        <v>47000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9">
        <f>F35*G35</f>
        <v>155000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9">
        <f t="shared" si="2"/>
        <v>3200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9">
        <v>83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93">
        <v>231443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8</v>
      </c>
      <c r="D49" s="12">
        <f>C49*42</f>
        <v>336</v>
      </c>
      <c r="F49" s="234" t="s">
        <v>85</v>
      </c>
      <c r="G49" s="181">
        <f>H34+H35+H36+H37+H38+H39+H40+H41+G42+H44+H45+H46+H47+H48</f>
        <v>436926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662.16666666668607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428</v>
      </c>
      <c r="D6" s="13">
        <f t="shared" ref="D6:D28" si="1">C6*L6</f>
        <v>325708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14</v>
      </c>
      <c r="D7" s="13">
        <f t="shared" si="1"/>
        <v>10934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81</v>
      </c>
      <c r="D9" s="13">
        <f t="shared" si="1"/>
        <v>59373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2+1</f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406307.125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33.125</v>
      </c>
      <c r="F14" s="159" t="s">
        <v>38</v>
      </c>
      <c r="G14" s="160"/>
      <c r="H14" s="161">
        <f>D54</f>
        <v>66713.25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339593.875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1602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406307.125</v>
      </c>
      <c r="F29" s="177" t="s">
        <v>54</v>
      </c>
      <c r="G29" s="178"/>
      <c r="H29" s="181">
        <f>H15-H16-H17-H18-H19-H20-H22-H23-H24+H26+H27</f>
        <v>337941.875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9">
        <f>F34*G34</f>
        <v>25000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9">
        <f>F35*G35</f>
        <v>1000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9">
        <f t="shared" si="2"/>
        <v>1400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93">
        <v>56443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93">
        <v>115712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93">
        <v>137865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11</v>
      </c>
      <c r="D49" s="12">
        <f>C49*42</f>
        <v>462</v>
      </c>
      <c r="F49" s="234" t="s">
        <v>85</v>
      </c>
      <c r="G49" s="181">
        <f>H34+H35+H36+H37+H38+H39+H40+H41+G42+H44+H45+H46+H47+H48</f>
        <v>337610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-331.875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431</v>
      </c>
      <c r="D6" s="13">
        <f t="shared" ref="D6:D28" si="1">C6*L6</f>
        <v>327991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347634.16666666669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44.166666666666664</v>
      </c>
      <c r="F14" s="159" t="s">
        <v>38</v>
      </c>
      <c r="G14" s="160"/>
      <c r="H14" s="161">
        <f>D54</f>
        <v>52755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294879.16666666669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2004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256" t="s">
        <v>169</v>
      </c>
      <c r="G22" s="72">
        <v>11701</v>
      </c>
      <c r="H22" s="191">
        <v>5850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347634.16666666669</v>
      </c>
      <c r="F29" s="177" t="s">
        <v>54</v>
      </c>
      <c r="G29" s="178"/>
      <c r="H29" s="181">
        <f>H15-H16-H17-H18-H19-H20-H22-H23-H24+H26+H27</f>
        <v>287025.16666666669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9">
        <f>F34*G34</f>
        <v>120000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9">
        <f>F35*G35</f>
        <v>166500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286814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5</v>
      </c>
      <c r="D50" s="12">
        <f>C50*1.5</f>
        <v>7.5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-211.16666666668607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548</v>
      </c>
      <c r="D6" s="13">
        <f t="shared" ref="D6:D28" si="1">C6*L6</f>
        <v>417028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55</v>
      </c>
      <c r="D9" s="13">
        <f t="shared" si="1"/>
        <v>40315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472049.20833333331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71464.5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400584.70833333331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3366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472049.20833333331</v>
      </c>
      <c r="F29" s="177" t="s">
        <v>54</v>
      </c>
      <c r="G29" s="178"/>
      <c r="H29" s="181">
        <f>H15-H16-H17-H18-H19-H20-H22-H23-H24+H26+H27</f>
        <v>397218.70833333331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9">
        <f>F34*G34</f>
        <v>31000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93">
        <v>135285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93">
        <v>141116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93">
        <v>89177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397341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2</v>
      </c>
      <c r="D50" s="12">
        <f>C50*1.5</f>
        <v>3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122.29166666668607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236</v>
      </c>
      <c r="D6" s="13">
        <f t="shared" ref="D6:D28" si="1">C6*L6</f>
        <v>179596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113</v>
      </c>
      <c r="D9" s="13">
        <f t="shared" si="1"/>
        <v>82829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8</v>
      </c>
      <c r="D13" s="48">
        <f t="shared" si="1"/>
        <v>2456</v>
      </c>
      <c r="F13" s="154" t="s">
        <v>36</v>
      </c>
      <c r="G13" s="155"/>
      <c r="H13" s="156">
        <f>D29</f>
        <v>276596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37282.5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239313.5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2034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276596</v>
      </c>
      <c r="F29" s="177" t="s">
        <v>54</v>
      </c>
      <c r="G29" s="178"/>
      <c r="H29" s="181">
        <f>H15-H16-H17-H18-H19-H20-H22-H23-H24+H26+H27+H28</f>
        <v>237279.5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09">
        <f t="shared" ref="H34:H39" si="2">F34*G34</f>
        <v>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09">
        <f t="shared" si="2"/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si="2"/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09">
        <f t="shared" si="2"/>
        <v>900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</v>
      </c>
      <c r="D42" s="12">
        <f>C42*2.25</f>
        <v>4.5</v>
      </c>
      <c r="F42" s="39" t="s">
        <v>78</v>
      </c>
      <c r="G42" s="209">
        <v>11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93">
        <v>223169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H34+H35+H36+H37+H38+H39+H40+H41+G42+H44+H45+H46+H47+H48</f>
        <v>237280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0.5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322</v>
      </c>
      <c r="D6" s="13">
        <f t="shared" ref="D6:D28" si="1">C6*L6</f>
        <v>245042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21</v>
      </c>
      <c r="D9" s="13">
        <f t="shared" si="1"/>
        <v>15393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271026.41666666669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10</v>
      </c>
      <c r="D14" s="31">
        <f t="shared" si="1"/>
        <v>110.41666666666666</v>
      </c>
      <c r="F14" s="159" t="s">
        <v>38</v>
      </c>
      <c r="G14" s="160"/>
      <c r="H14" s="161">
        <f>D54</f>
        <v>36957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234069.41666666669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8">
        <v>1818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271026.41666666669</v>
      </c>
      <c r="F29" s="177" t="s">
        <v>54</v>
      </c>
      <c r="G29" s="178"/>
      <c r="H29" s="181">
        <f>H15-H16-H17-H18-H19-H20-H22-H23-H24+H26+H27</f>
        <v>232251.41666666669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9">
        <f>F34*G34</f>
        <v>24000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09">
        <f>F35*G35</f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24</v>
      </c>
      <c r="D42" s="12">
        <f>C42*2.25</f>
        <v>54</v>
      </c>
      <c r="F42" s="39" t="s">
        <v>78</v>
      </c>
      <c r="G42" s="209">
        <v>41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93">
        <v>70296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93">
        <v>136287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</v>
      </c>
      <c r="D46" s="12">
        <f>C46*1.5</f>
        <v>1.5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232724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472.58333333331393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385</v>
      </c>
      <c r="D6" s="13">
        <f t="shared" ref="D6:D28" si="1">C6*L6</f>
        <v>292985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67</v>
      </c>
      <c r="D8" s="13">
        <f t="shared" si="1"/>
        <v>73231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28</v>
      </c>
      <c r="D9" s="13">
        <f t="shared" si="1"/>
        <v>20524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402717.5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132.5</v>
      </c>
      <c r="F14" s="159" t="s">
        <v>38</v>
      </c>
      <c r="G14" s="160"/>
      <c r="H14" s="161">
        <f>D54</f>
        <v>60681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342036.5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2178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1">
        <v>67927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54">
        <v>4550</v>
      </c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402717.5</v>
      </c>
      <c r="F29" s="177" t="s">
        <v>54</v>
      </c>
      <c r="G29" s="178"/>
      <c r="H29" s="181">
        <f>H15-H16-H17-H18-H19-H20-H22-H23-H24+H26+H27</f>
        <v>267331.5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09">
        <f>F34*G34</f>
        <v>66000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09">
        <f>F35*G35</f>
        <v>28500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09">
        <f t="shared" si="2"/>
        <v>6500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09">
        <f t="shared" si="2"/>
        <v>1800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93">
        <v>74658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93">
        <v>90788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268266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934.5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tabSelected="1"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367</v>
      </c>
      <c r="D6" s="13">
        <f t="shared" ref="D6:D28" si="1">C6*L6</f>
        <v>279287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20</v>
      </c>
      <c r="D8" s="13">
        <f t="shared" si="1"/>
        <v>21860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318659.20833333331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45737.25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272921.95833333331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1896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255" t="s">
        <v>171</v>
      </c>
      <c r="G22" s="72">
        <v>11764</v>
      </c>
      <c r="H22" s="191">
        <v>3250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318659.20833333331</v>
      </c>
      <c r="F29" s="177" t="s">
        <v>54</v>
      </c>
      <c r="G29" s="178"/>
      <c r="H29" s="181">
        <f>H15-H16-H17-H18-H19-H20-H22-H23-H24+H26+H27</f>
        <v>267775.95833333331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09">
        <f>F34*G34</f>
        <v>63000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09">
        <f>F35*G35</f>
        <v>29000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09">
        <f t="shared" si="2"/>
        <v>1300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9">
        <v>75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93">
        <v>140936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93">
        <v>32838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2</v>
      </c>
      <c r="D46" s="12">
        <f>C46*1.5</f>
        <v>3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267499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-276.95833333331393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482</v>
      </c>
      <c r="D6" s="13">
        <f t="shared" ref="D6:D28" si="1">C6*L6</f>
        <v>366802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3</v>
      </c>
      <c r="D13" s="48">
        <f t="shared" si="1"/>
        <v>921</v>
      </c>
      <c r="F13" s="154" t="s">
        <v>36</v>
      </c>
      <c r="G13" s="155"/>
      <c r="H13" s="156">
        <f>D29</f>
        <v>408810.70833333331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17</v>
      </c>
      <c r="D14" s="31">
        <f t="shared" si="1"/>
        <v>187.70833333333331</v>
      </c>
      <c r="F14" s="159" t="s">
        <v>38</v>
      </c>
      <c r="G14" s="160"/>
      <c r="H14" s="161">
        <f>D54</f>
        <v>60101.25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348709.45833333331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408810.70833333331</v>
      </c>
      <c r="F29" s="177" t="s">
        <v>54</v>
      </c>
      <c r="G29" s="178"/>
      <c r="H29" s="181">
        <f>H15-H16-H17-H18-H19-H20-H22-H23-H24+H26+H27+H28</f>
        <v>348709.45833333331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09">
        <f t="shared" ref="H34:H39" si="2">F34*G34</f>
        <v>263000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09">
        <f t="shared" si="2"/>
        <v>47500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09">
        <f t="shared" si="2"/>
        <v>3300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09">
        <v>155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93">
        <v>34470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348425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-284.45833333331393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373</v>
      </c>
      <c r="D6" s="13">
        <f t="shared" ref="D6:D28" si="1">C6*L6</f>
        <v>283853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24</v>
      </c>
      <c r="D9" s="13">
        <f t="shared" si="1"/>
        <v>17592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314974.20833333331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51996.75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262977.45833333331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1224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314974.20833333331</v>
      </c>
      <c r="F29" s="177" t="s">
        <v>54</v>
      </c>
      <c r="G29" s="178"/>
      <c r="H29" s="181">
        <f>H15-H16-H17-H18-H19-H20-H22-H23-H24+H26+H27</f>
        <v>261753.45833333331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09">
        <f>F34*G34</f>
        <v>176000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09">
        <f>F35*G35</f>
        <v>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09">
        <f t="shared" si="2"/>
        <v>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9">
        <v>68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93">
        <v>76215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262183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429.54166666668607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387</v>
      </c>
      <c r="D6" s="13">
        <f t="shared" ref="D6:D28" si="1">C6*L6</f>
        <v>294507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1</v>
      </c>
      <c r="D8" s="13">
        <f t="shared" si="1"/>
        <v>1093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14</v>
      </c>
      <c r="D13" s="48">
        <f t="shared" si="1"/>
        <v>4298</v>
      </c>
      <c r="F13" s="154" t="s">
        <v>36</v>
      </c>
      <c r="G13" s="155"/>
      <c r="H13" s="156">
        <f>D29</f>
        <v>383530.16666666669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44.166666666666664</v>
      </c>
      <c r="F14" s="159" t="s">
        <v>38</v>
      </c>
      <c r="G14" s="160"/>
      <c r="H14" s="161">
        <f>D54</f>
        <v>57755.25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325774.91666666669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2406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383530.16666666669</v>
      </c>
      <c r="F29" s="177" t="s">
        <v>54</v>
      </c>
      <c r="G29" s="178"/>
      <c r="H29" s="181">
        <f>H15-H16-H17-H18-H19-H20-H22-H23-H24+H26+H27</f>
        <v>323368.91666666669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09">
        <f>F34*G34</f>
        <v>59000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09">
        <f>F35*G35</f>
        <v>4000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09">
        <f t="shared" si="2"/>
        <v>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64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93">
        <v>87905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93">
        <v>171965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323534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165.08333333331393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273</v>
      </c>
      <c r="D6" s="13">
        <f t="shared" ref="D6:D28" si="1">C6*L6</f>
        <v>207753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12</v>
      </c>
      <c r="D9" s="13">
        <f t="shared" si="1"/>
        <v>8796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226955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33465.75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193489.25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1350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7">
        <v>67927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226955</v>
      </c>
      <c r="F29" s="177" t="s">
        <v>54</v>
      </c>
      <c r="G29" s="178"/>
      <c r="H29" s="181">
        <f>H15-H16-H17-H18-H19-H20-H22-H23-H24+H26+H27</f>
        <v>260066.25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09">
        <f>F34*G34</f>
        <v>100000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09">
        <f>F35*G35</f>
        <v>159500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09">
        <f t="shared" si="2"/>
        <v>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52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13</v>
      </c>
      <c r="D49" s="12">
        <f>C49*42</f>
        <v>546</v>
      </c>
      <c r="F49" s="234" t="s">
        <v>85</v>
      </c>
      <c r="G49" s="181">
        <f>H34+H35+H36+H37+H38+H39+H40+H41+G42+H44+H45+H46+H47+H48</f>
        <v>259952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-114.25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280</v>
      </c>
      <c r="D6" s="13">
        <f t="shared" ref="D6:D28" si="1">C6*L6</f>
        <v>213080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303138.04166666669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</v>
      </c>
      <c r="D14" s="31">
        <f t="shared" si="1"/>
        <v>11.041666666666666</v>
      </c>
      <c r="F14" s="159" t="s">
        <v>38</v>
      </c>
      <c r="G14" s="160"/>
      <c r="H14" s="161">
        <f>D54</f>
        <v>26834.25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276303.79166666669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1944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303138.04166666669</v>
      </c>
      <c r="F29" s="177" t="s">
        <v>54</v>
      </c>
      <c r="G29" s="178"/>
      <c r="H29" s="181">
        <f>H15-H16-H17-H18-H19-H20-H22-H23-H24+H26+H27</f>
        <v>274359.79166666669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09">
        <f>F34*G34</f>
        <v>37000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09">
        <f>F35*G35</f>
        <v>12500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</v>
      </c>
      <c r="D42" s="12">
        <f>C42*2.25</f>
        <v>2.25</v>
      </c>
      <c r="F42" s="39" t="s">
        <v>78</v>
      </c>
      <c r="G42" s="209">
        <v>15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93">
        <v>224164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</v>
      </c>
      <c r="D46" s="12">
        <f>C46*1.5</f>
        <v>1.5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H34+H35+H36+H37+H38+H39+H40+H41+G42+H44+H45+H46+H47+H48</f>
        <v>274329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3</v>
      </c>
      <c r="D50" s="12">
        <f>C50*1.5</f>
        <v>4.5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-30.791666666686069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323</v>
      </c>
      <c r="D6" s="13">
        <f t="shared" ref="D6:D28" si="1">C6*L6</f>
        <v>245803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</v>
      </c>
      <c r="D9" s="13">
        <f t="shared" si="1"/>
        <v>5864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6</v>
      </c>
      <c r="D13" s="48">
        <f t="shared" si="1"/>
        <v>1842</v>
      </c>
      <c r="F13" s="154" t="s">
        <v>36</v>
      </c>
      <c r="G13" s="155"/>
      <c r="H13" s="156">
        <f>D29</f>
        <v>256140.29166666666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7</v>
      </c>
      <c r="D14" s="31">
        <f t="shared" si="1"/>
        <v>77.291666666666657</v>
      </c>
      <c r="F14" s="159" t="s">
        <v>38</v>
      </c>
      <c r="G14" s="160"/>
      <c r="H14" s="161">
        <f>D54</f>
        <v>49918.5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206221.79166666666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256140.29166666666</v>
      </c>
      <c r="F29" s="177" t="s">
        <v>54</v>
      </c>
      <c r="G29" s="178"/>
      <c r="H29" s="181">
        <f>H15-H16-H17-H18-H19-H20-H22-H23-H24+H26+H27+H28</f>
        <v>204925.79166666666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09">
        <f t="shared" ref="H34:H39" si="2">F34*G34</f>
        <v>56000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09">
        <f t="shared" si="2"/>
        <v>10500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09">
        <f t="shared" si="2"/>
        <v>1700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48</v>
      </c>
      <c r="D42" s="12">
        <f>C42*2.25</f>
        <v>108</v>
      </c>
      <c r="F42" s="39" t="s">
        <v>78</v>
      </c>
      <c r="G42" s="209">
        <v>47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93">
        <v>131436.5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93">
        <v>5000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13</v>
      </c>
      <c r="D46" s="12">
        <f>C46*1.5</f>
        <v>19.5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204783.5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11</v>
      </c>
      <c r="D50" s="12">
        <f>C50*1.5</f>
        <v>16.5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-142.29166666665697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361</v>
      </c>
      <c r="D6" s="13">
        <f t="shared" ref="D6:D28" si="1">C6*L6</f>
        <v>274721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125</v>
      </c>
      <c r="D9" s="13">
        <f t="shared" si="1"/>
        <v>91625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6+1</f>
        <v>7</v>
      </c>
      <c r="D12" s="48">
        <f t="shared" si="1"/>
        <v>6944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16</v>
      </c>
      <c r="D13" s="48">
        <f t="shared" si="1"/>
        <v>4912</v>
      </c>
      <c r="F13" s="154" t="s">
        <v>36</v>
      </c>
      <c r="G13" s="155"/>
      <c r="H13" s="156">
        <f>D29</f>
        <v>380601.70833333331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17</v>
      </c>
      <c r="D14" s="31">
        <f t="shared" si="1"/>
        <v>187.70833333333331</v>
      </c>
      <c r="F14" s="159" t="s">
        <v>38</v>
      </c>
      <c r="G14" s="160"/>
      <c r="H14" s="161">
        <f>D54</f>
        <v>55885.5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324716.20833333331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8">
        <v>1974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380601.70833333331</v>
      </c>
      <c r="F29" s="177" t="s">
        <v>54</v>
      </c>
      <c r="G29" s="178"/>
      <c r="H29" s="181">
        <f>H15-H16-H17-H18-H19-H20-H22-H23-H24+H26+H27</f>
        <v>322742.20833333331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09">
        <f>F34*G34</f>
        <v>86000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09">
        <f>F35*G35</f>
        <v>226500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09">
        <f t="shared" si="2"/>
        <v>9200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</v>
      </c>
      <c r="D42" s="12">
        <f>C42*2.25</f>
        <v>4.5</v>
      </c>
      <c r="F42" s="39" t="s">
        <v>78</v>
      </c>
      <c r="G42" s="209">
        <v>50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10</v>
      </c>
      <c r="D49" s="12">
        <f>C49*42</f>
        <v>420</v>
      </c>
      <c r="F49" s="234" t="s">
        <v>85</v>
      </c>
      <c r="G49" s="181">
        <f>H34+H35+H36+H37+H38+H39+H40+H41+G42+H44+H45+H46+H47+H48</f>
        <v>321800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13</v>
      </c>
      <c r="D50" s="12">
        <f>C50*1.5</f>
        <v>19.5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-942.20833333331393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484</v>
      </c>
      <c r="D6" s="13">
        <f t="shared" ref="D6:D28" si="1">C6*L6</f>
        <v>368324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26</v>
      </c>
      <c r="D7" s="13">
        <f t="shared" si="1"/>
        <v>20306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92</v>
      </c>
      <c r="D9" s="13">
        <f t="shared" si="1"/>
        <v>67436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12</v>
      </c>
      <c r="D13" s="48">
        <f t="shared" si="1"/>
        <v>3684</v>
      </c>
      <c r="F13" s="154" t="s">
        <v>36</v>
      </c>
      <c r="G13" s="155"/>
      <c r="H13" s="156">
        <f>D29</f>
        <v>459783.125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33.125</v>
      </c>
      <c r="F14" s="159" t="s">
        <v>38</v>
      </c>
      <c r="G14" s="160"/>
      <c r="H14" s="161">
        <f>D54</f>
        <v>76749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383034.125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3042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459783.125</v>
      </c>
      <c r="F29" s="177" t="s">
        <v>54</v>
      </c>
      <c r="G29" s="178"/>
      <c r="H29" s="181">
        <f>H15-H16-H17-H18-H19-H20-H22-H23-H24+H26+H27</f>
        <v>379942.125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09">
        <f>F34*G34</f>
        <v>127000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09">
        <f>F35*G35</f>
        <v>72000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09">
        <f t="shared" si="2"/>
        <v>1100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09">
        <f t="shared" si="2"/>
        <v>250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58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93">
        <v>98032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93">
        <v>81476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379916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-26.125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402</v>
      </c>
      <c r="D6" s="13">
        <f t="shared" ref="D6:D28" si="1">C6*L6</f>
        <v>305922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30</v>
      </c>
      <c r="D9" s="13">
        <f t="shared" si="1"/>
        <v>21990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4</v>
      </c>
      <c r="D10" s="13">
        <f t="shared" si="1"/>
        <v>4128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8</v>
      </c>
      <c r="D13" s="48">
        <f t="shared" si="1"/>
        <v>2456</v>
      </c>
      <c r="F13" s="154" t="s">
        <v>36</v>
      </c>
      <c r="G13" s="155"/>
      <c r="H13" s="156">
        <f>D29</f>
        <v>346704.58333333331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14</v>
      </c>
      <c r="D14" s="31">
        <f t="shared" si="1"/>
        <v>154.58333333333331</v>
      </c>
      <c r="F14" s="159" t="s">
        <v>38</v>
      </c>
      <c r="G14" s="160"/>
      <c r="H14" s="161">
        <f>D54</f>
        <v>49626.75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297077.83333333331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1">
        <v>97987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>
        <v>6</v>
      </c>
      <c r="D28" s="48">
        <f t="shared" si="1"/>
        <v>4866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346704.58333333331</v>
      </c>
      <c r="F29" s="177" t="s">
        <v>54</v>
      </c>
      <c r="G29" s="178"/>
      <c r="H29" s="181">
        <f>H15-H16-H17-H18-H19-H20-H22-H23-H24+H26+H27+H28</f>
        <v>199090.83333333331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09">
        <f t="shared" ref="H34:H39" si="2">F34*G34</f>
        <v>38000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09">
        <f t="shared" si="2"/>
        <v>6000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09">
        <v>22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93">
        <v>70887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135</v>
      </c>
      <c r="G45" s="87"/>
      <c r="H45" s="193">
        <v>11131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93">
        <v>71799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197839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6</v>
      </c>
      <c r="D50" s="12">
        <f>C50*1.5</f>
        <v>9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-1251.8333333333139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344</v>
      </c>
      <c r="D6" s="13">
        <f t="shared" ref="D6:D28" si="1">C6*L6</f>
        <v>261784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23</v>
      </c>
      <c r="D9" s="13">
        <f t="shared" si="1"/>
        <v>16859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284254.75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18</v>
      </c>
      <c r="D14" s="31">
        <f t="shared" si="1"/>
        <v>198.75</v>
      </c>
      <c r="F14" s="159" t="s">
        <v>38</v>
      </c>
      <c r="G14" s="160"/>
      <c r="H14" s="161">
        <f>D54</f>
        <v>48858.75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235396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1806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284254.75</v>
      </c>
      <c r="F29" s="177" t="s">
        <v>54</v>
      </c>
      <c r="G29" s="178"/>
      <c r="H29" s="181">
        <f>H15-H16-H17-H18-H19-H20-H22-H23-H24+H26+H27</f>
        <v>233590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09">
        <f>F34*G34</f>
        <v>40000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09">
        <f>F35*G35</f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93">
        <v>124685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93">
        <v>70347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237352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19</v>
      </c>
      <c r="D50" s="12">
        <f>C50*1.5</f>
        <v>28.5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3762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418</v>
      </c>
      <c r="D6" s="13">
        <f t="shared" ref="D6:D28" si="1">C6*L6</f>
        <v>318098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30</v>
      </c>
      <c r="D9" s="13">
        <f t="shared" si="1"/>
        <v>21990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15</v>
      </c>
      <c r="D13" s="48">
        <f t="shared" si="1"/>
        <v>4605</v>
      </c>
      <c r="F13" s="154" t="s">
        <v>36</v>
      </c>
      <c r="G13" s="155"/>
      <c r="H13" s="156">
        <f>D29</f>
        <v>345718.125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33.125</v>
      </c>
      <c r="F14" s="159" t="s">
        <v>38</v>
      </c>
      <c r="G14" s="160"/>
      <c r="H14" s="161">
        <f>D54</f>
        <v>51191.25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294526.875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345718.125</v>
      </c>
      <c r="F29" s="177" t="s">
        <v>54</v>
      </c>
      <c r="G29" s="178"/>
      <c r="H29" s="181">
        <f>H15-H16-H17-H18-H19-H20-H22-H23-H24+H26+H27</f>
        <v>293230.875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09">
        <f>F34*G34</f>
        <v>114000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09">
        <f>F35*G35</f>
        <v>35500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09">
        <f t="shared" si="2"/>
        <v>1100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9">
        <v>663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93">
        <v>141165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2</v>
      </c>
      <c r="D49" s="12">
        <f>C49*42</f>
        <v>84</v>
      </c>
      <c r="F49" s="234" t="s">
        <v>85</v>
      </c>
      <c r="G49" s="181">
        <f>H34+H35+H36+H37+H38+H39+H40+H41+G42+H44+H45+H46+H47+H48</f>
        <v>292478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21</v>
      </c>
      <c r="D50" s="12">
        <f>C50*1.5</f>
        <v>31.5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-752.875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</vt:lpstr>
      <vt:lpstr>08,15 R2</vt:lpstr>
      <vt:lpstr>08,15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R1'!Print_Area</vt:lpstr>
      <vt:lpstr>'08,15 R2'!Print_Area</vt:lpstr>
      <vt:lpstr>'08,15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2026-08-12T06:08:22Z</cp:lastPrinted>
  <dcterms:created xsi:type="dcterms:W3CDTF">2024-09-01T23:36:50Z</dcterms:created>
  <dcterms:modified xsi:type="dcterms:W3CDTF">2026-08-12T06:09:44Z</dcterms:modified>
</cp:coreProperties>
</file>