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60366DD9-D59E-40E8-A025-998B891A95D9}" xr6:coauthVersionLast="45" xr6:coauthVersionMax="47" xr10:uidLastSave="{00000000-0000-0000-0000-000000000000}"/>
  <bookViews>
    <workbookView xWindow="-120" yWindow="-120" windowWidth="29040" windowHeight="15840" firstSheet="13" activeTab="2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62" l="1"/>
  <c r="C16" i="2264"/>
  <c r="H20" i="2260" l="1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G49" i="2268" s="1"/>
  <c r="D34" i="2268"/>
  <c r="D54" i="2268" s="1"/>
  <c r="H14" i="2268" s="1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D54" i="2267" s="1"/>
  <c r="H14" i="2267" s="1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62" l="1"/>
  <c r="G49" i="2264"/>
  <c r="D54" i="2264"/>
  <c r="H14" i="2264" s="1"/>
  <c r="G49" i="2263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H15" i="2268" s="1"/>
  <c r="H29" i="2268" s="1"/>
  <c r="F51" i="2268" s="1"/>
  <c r="G51" i="2268"/>
  <c r="D29" i="2267"/>
  <c r="H13" i="2267" s="1"/>
  <c r="H15" i="2267" s="1"/>
  <c r="H29" i="2267" s="1"/>
  <c r="F51" i="2267" s="1"/>
  <c r="G51" i="2267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64" l="1"/>
  <c r="H29" i="2264" s="1"/>
  <c r="F51" i="2264" s="1"/>
  <c r="H15" i="2263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4" l="1"/>
  <c r="G51" i="2263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<sst xmlns="http://schemas.openxmlformats.org/spreadsheetml/2006/main" count="4329" uniqueCount="158">
  <si>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</si>
  <si>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</si>
  <si>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</si>
  <si>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</si>
  <si>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</si>
  <si>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</si>
  <si>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</si>
  <si>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</si>
  <si>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</si>
  <si>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</si>
  <si>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</si>
  <si>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</si>
  <si>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</si>
  <si>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</si>
  <si>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</si>
  <si>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</si>
  <si>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</si>
  <si>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</si>
  <si>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</si>
  <si>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</si>
  <si>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</si>
  <si>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</si>
  <si>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</si>
  <si>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</si>
  <si>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</si>
  <si>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</si>
  <si>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</si>
  <si>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</si>
  <si>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</si>
  <si>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</si>
  <si>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</si>
  <si>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</si>
  <si>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</si>
  <si>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</si>
  <si>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</si>
  <si>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</si>
  <si>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</si>
  <si>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</si>
  <si>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</si>
  <si>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</si>
  <si>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</si>
  <si>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</si>
  <si>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</si>
  <si>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</si>
  <si>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</si>
  <si>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</si>
  <si>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</si>
  <si>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</si>
  <si>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</si>
  <si>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</si>
  <si>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</si>
  <si>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</si>
  <si>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</si>
  <si>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</si>
  <si>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</si>
  <si>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</si>
  <si>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</si>
  <si>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</si>
  <si>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</si>
  <si>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</si>
  <si>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</si>
  <si>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</si>
  <si>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</si>
  <si>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</si>
  <si>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</si>
  <si>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</si>
  <si>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</si>
  <si>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</si>
  <si>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</si>
  <si>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</si>
  <si>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</si>
  <si>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</si>
  <si>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</si>
  <si>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</si>
  <si>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</si>
  <si>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</si>
  <si>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</si>
  <si>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</si>
  <si>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</si>
  <si>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</si>
  <si>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</si>
  <si>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</si>
  <si>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</si>
  <si>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</si>
  <si>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</si>
  <si>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</si>
  <si>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</si>
  <si>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</si>
  <si>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</si>
  <si>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</si>
  <si>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</si>
  <si>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</si>
  <si>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</si>
  <si>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</si>
  <si>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</si>
  <si>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</si>
  <si>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</si>
  <si>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</si>
  <si>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</si>
  <si>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</si>
  <si>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</si>
  <si>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</si>
  <si>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</si>
  <si>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</si>
  <si>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</si>
  <si>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</si>
  <si>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</si>
  <si>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</si>
  <si>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</si>
  <si>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</si>
  <si>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</si>
  <si>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</si>
  <si>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</si>
  <si>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</si>
  <si>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</si>
  <si>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</si>
  <si>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</si>
  <si>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</si>
  <si>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</si>
  <si>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</si>
  <si>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</si>
  <si>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</si>
  <si>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</si>
  <si>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</si>
  <si>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</si>
  <si>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</si>
  <si>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</si>
  <si>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</si>
  <si>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</si>
  <si>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</si>
  <si>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</si>
  <si>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</si>
  <si>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</si>
  <si>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</si>
  <si>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</si>
  <si>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</si>
  <si>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</si>
  <si>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</si>
  <si>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</si>
  <si>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</si>
  <si>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</si>
  <si>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</si>
  <si>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</si>
  <si>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</si>
  <si>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</si>
  <si>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</si>
  <si>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</si>
  <si>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</si>
  <si>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</si>
  <si>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</si>
  <si>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</si>
  <si>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</si>
  <si>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</si>
  <si>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</si>
  <si>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</si>
  <si>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</si>
  <si>
    <t>51208</t>
  </si>
  <si>
    <t>2000008766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</si>
</sst>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89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1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83">
        <v>69862</v>
      </c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69862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153">
        <f>F34*G34</f>
        <v>53000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53">
        <f>F35*G35</f>
        <v>16500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53">
        <f t="shared" si="2"/>
        <v>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12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69862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46235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113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89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1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7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283</v>
      </c>
      <c r="D6" s="13">
        <f t="shared" ref="D6:D28" si="1">C6*L6</f>
        <v>215363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9</v>
      </c>
      <c r="D7" s="13">
        <f t="shared" si="1"/>
        <v>7029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32</v>
      </c>
      <c r="D9" s="13">
        <f t="shared" si="1"/>
        <v>23456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</v>
      </c>
      <c r="D13" s="48">
        <f t="shared" si="1"/>
        <v>614</v>
      </c>
      <c r="F13" s="237" t="s">
        <v>36</v>
      </c>
      <c r="G13" s="201"/>
      <c r="H13" s="192">
        <f>D29</f>
        <v>248162.33333333334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36360.75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211801.58333333334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09" t="s">
        <v>54</v>
      </c>
      <c r="G29" s="171"/>
      <c r="H29" s="131">
        <f>H15-H16-H17-H18-H19-H20-H22-H23-H24+H26+H27+H28</f>
        <v>211801.58333333334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53">
        <f t="shared" ref="H34:H39" si="2">F34*G34</f>
        <v>111000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153">
        <f t="shared" si="2"/>
        <v>20500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153">
        <f t="shared" si="2"/>
        <v>1050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3">
        <f t="shared" si="2"/>
        <v>40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3">
        <v>116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48">
        <v>62000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48">
        <v>16444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16</v>
      </c>
      <c r="D46" s="12">
        <f>C46*1.5</f>
        <v>24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2</v>
      </c>
      <c r="D49" s="12">
        <f>C49*42</f>
        <v>84</v>
      </c>
      <c r="F49" s="129" t="s">
        <v>85</v>
      </c>
      <c r="G49" s="131">
        <f>H34+H35+H36+H37+H38+H39+H40+H41+G42+H44+H45+H46+H47+H48</f>
        <v>212450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13</v>
      </c>
      <c r="D50" s="12">
        <f>C50*1.5</f>
        <v>19.5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648.41666666665697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487</v>
      </c>
      <c r="D6" s="13">
        <f t="shared" ref="D6:D28" si="1">C6*L6</f>
        <v>370607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6</v>
      </c>
      <c r="D7" s="13">
        <f t="shared" si="1"/>
        <v>4686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168</v>
      </c>
      <c r="D9" s="13">
        <f t="shared" si="1"/>
        <v>123144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25</v>
      </c>
      <c r="D13" s="48">
        <f t="shared" si="1"/>
        <v>7675</v>
      </c>
      <c r="F13" s="237" t="s">
        <v>36</v>
      </c>
      <c r="G13" s="201"/>
      <c r="H13" s="192">
        <f>D29</f>
        <v>516071.33333333331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8</v>
      </c>
      <c r="D14" s="31">
        <f t="shared" si="1"/>
        <v>88.333333333333329</v>
      </c>
      <c r="F14" s="195" t="s">
        <v>38</v>
      </c>
      <c r="G14" s="196"/>
      <c r="H14" s="197">
        <f>D54</f>
        <v>76411.5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439659.83333333331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09" t="s">
        <v>54</v>
      </c>
      <c r="G29" s="171"/>
      <c r="H29" s="131">
        <f>H15-H16-H17-H18-H19-H20-H22-H23-H24+H26+H27</f>
        <v>436263.83333333331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153">
        <f>F34*G34</f>
        <v>47000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153">
        <f>F35*G35</f>
        <v>155000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153">
        <f t="shared" si="2"/>
        <v>3200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3">
        <v>83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48">
        <v>231443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8</v>
      </c>
      <c r="D49" s="12">
        <f>C49*42</f>
        <v>336</v>
      </c>
      <c r="F49" s="129" t="s">
        <v>85</v>
      </c>
      <c r="G49" s="131">
        <f>H34+H35+H36+H37+H38+H39+H40+H41+G42+H44+H45+H46+H47+H48</f>
        <v>436926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662.16666666668607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46237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428</v>
      </c>
      <c r="D6" s="13">
        <f t="shared" ref="D6:D28" si="1">C6*L6</f>
        <v>325708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14</v>
      </c>
      <c r="D7" s="13">
        <f t="shared" si="1"/>
        <v>10934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81</v>
      </c>
      <c r="D9" s="13">
        <f t="shared" si="1"/>
        <v>59373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f>2+1</f>
        <v>3</v>
      </c>
      <c r="D12" s="48">
        <f t="shared" si="1"/>
        <v>2976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406307.125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3</v>
      </c>
      <c r="D14" s="31">
        <f t="shared" si="1"/>
        <v>33.125</v>
      </c>
      <c r="F14" s="195" t="s">
        <v>38</v>
      </c>
      <c r="G14" s="196"/>
      <c r="H14" s="197">
        <f>D54</f>
        <v>66713.25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339593.875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09" t="s">
        <v>54</v>
      </c>
      <c r="G29" s="171"/>
      <c r="H29" s="131">
        <f>H15-H16-H17-H18-H19-H20-H22-H23-H24+H26+H27</f>
        <v>337941.875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53">
        <f>F34*G34</f>
        <v>25000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153">
        <f>F35*G35</f>
        <v>1000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153">
        <f t="shared" si="2"/>
        <v>1400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53">
        <f t="shared" si="2"/>
        <v>20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3</v>
      </c>
      <c r="D42" s="12">
        <f>C42*2.25</f>
        <v>6.75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48">
        <v>56443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48">
        <v>115712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48">
        <v>137865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11</v>
      </c>
      <c r="D49" s="12">
        <f>C49*42</f>
        <v>462</v>
      </c>
      <c r="F49" s="129" t="s">
        <v>85</v>
      </c>
      <c r="G49" s="131">
        <f>H34+H35+H36+H37+H38+H39+H40+H41+G42+H44+H45+H46+H47+H48</f>
        <v>337610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15</v>
      </c>
      <c r="D50" s="12">
        <f>C50*1.5</f>
        <v>22.5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-331.875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9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41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42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99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431</v>
      </c>
      <c r="D6" s="13">
        <f t="shared" ref="D6:D28" si="1">C6*L6</f>
        <v>327991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2</v>
      </c>
      <c r="D7" s="13">
        <f t="shared" si="1"/>
        <v>1562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20</v>
      </c>
      <c r="D9" s="13">
        <f t="shared" si="1"/>
        <v>14660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347634.16666666669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4</v>
      </c>
      <c r="D14" s="31">
        <f t="shared" si="1"/>
        <v>44.166666666666664</v>
      </c>
      <c r="F14" s="195" t="s">
        <v>38</v>
      </c>
      <c r="G14" s="196"/>
      <c r="H14" s="197">
        <f>D54</f>
        <v>52755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294879.16666666669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09" t="s">
        <v>54</v>
      </c>
      <c r="G29" s="171"/>
      <c r="H29" s="131">
        <f>H15-H16-H17-H18-H19-H20-H22-H23-H24+H26+H27</f>
        <v>287025.16666666669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153">
        <f>F34*G34</f>
        <v>120000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153">
        <f>F35*G35</f>
        <v>166500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153">
        <f t="shared" si="2"/>
        <v>200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53">
        <f t="shared" si="2"/>
        <v>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286814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5</v>
      </c>
      <c r="D50" s="12">
        <f>C50*1.5</f>
        <v>7.5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-211.16666666668607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46238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548</v>
      </c>
      <c r="D6" s="13">
        <f t="shared" ref="D6:D28" si="1">C6*L6</f>
        <v>417028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4</v>
      </c>
      <c r="D7" s="13">
        <f t="shared" si="1"/>
        <v>3124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55</v>
      </c>
      <c r="D9" s="13">
        <f t="shared" si="1"/>
        <v>40315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>
        <v>2</v>
      </c>
      <c r="D11" s="13">
        <f t="shared" si="1"/>
        <v>2340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4</v>
      </c>
      <c r="D12" s="48">
        <f t="shared" si="1"/>
        <v>3968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17</v>
      </c>
      <c r="D13" s="48">
        <f t="shared" si="1"/>
        <v>5219</v>
      </c>
      <c r="F13" s="237" t="s">
        <v>36</v>
      </c>
      <c r="G13" s="201"/>
      <c r="H13" s="192">
        <f>D29</f>
        <v>472049.20833333331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71464.5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400584.70833333331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97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09" t="s">
        <v>54</v>
      </c>
      <c r="G29" s="171"/>
      <c r="H29" s="131">
        <f>H15-H16-H17-H18-H19-H20-H22-H23-H24+H26+H27</f>
        <v>397218.70833333331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153">
        <f>F34*G34</f>
        <v>31000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0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153">
        <f t="shared" si="2"/>
        <v>600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1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63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99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48">
        <v>135285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48">
        <v>141116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48">
        <v>89177</v>
      </c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397341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2</v>
      </c>
      <c r="D50" s="12">
        <f>C50*1.5</f>
        <v>3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122.29166666668607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236</v>
      </c>
      <c r="D6" s="13">
        <f t="shared" ref="D6:D28" si="1">C6*L6</f>
        <v>179596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15</v>
      </c>
      <c r="D7" s="13">
        <f t="shared" si="1"/>
        <v>11715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113</v>
      </c>
      <c r="D9" s="13">
        <f t="shared" si="1"/>
        <v>82829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8</v>
      </c>
      <c r="D13" s="48">
        <f t="shared" si="1"/>
        <v>2456</v>
      </c>
      <c r="F13" s="237" t="s">
        <v>36</v>
      </c>
      <c r="G13" s="201"/>
      <c r="H13" s="192">
        <f>D29</f>
        <v>276596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37282.5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239313.5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2034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276596</v>
      </c>
      <c r="F29" s="109" t="s">
        <v>54</v>
      </c>
      <c r="G29" s="171"/>
      <c r="H29" s="131">
        <f>H15-H16-H17-H18-H19-H20-H22-H23-H24+H26+H27+H28</f>
        <v>237279.5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153">
        <f t="shared" ref="H34:H39" si="2">F34*G34</f>
        <v>11000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153">
        <f t="shared" si="2"/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si="2"/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153">
        <f t="shared" si="2"/>
        <v>900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</v>
      </c>
      <c r="D42" s="12">
        <f>C42*2.25</f>
        <v>4.5</v>
      </c>
      <c r="F42" s="39" t="s">
        <v>78</v>
      </c>
      <c r="G42" s="153">
        <v>11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48">
        <v>223169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4</v>
      </c>
      <c r="D49" s="12">
        <f>C49*42</f>
        <v>168</v>
      </c>
      <c r="F49" s="129" t="s">
        <v>85</v>
      </c>
      <c r="G49" s="131">
        <f>H34+H35+H36+H37+H38+H39+H40+H41+G42+H44+H45+H46+H47+H48</f>
        <v>237280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</v>
      </c>
      <c r="D50" s="12">
        <f>C50*1.5</f>
        <v>1.5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0.5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322</v>
      </c>
      <c r="D6" s="13">
        <f t="shared" ref="D6:D28" si="1">C6*L6</f>
        <v>245042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21</v>
      </c>
      <c r="D9" s="13">
        <f t="shared" si="1"/>
        <v>15393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271026.41666666669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10</v>
      </c>
      <c r="D14" s="31">
        <f t="shared" si="1"/>
        <v>110.41666666666666</v>
      </c>
      <c r="F14" s="195" t="s">
        <v>38</v>
      </c>
      <c r="G14" s="196"/>
      <c r="H14" s="197">
        <f>D54</f>
        <v>36957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234069.41666666669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1818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271026.41666666669</v>
      </c>
      <c r="F29" s="109" t="s">
        <v>54</v>
      </c>
      <c r="G29" s="171"/>
      <c r="H29" s="131">
        <f>H15-H16-H17-H18-H19-H20-H22-H23-H24+H26+H27</f>
        <v>232251.41666666669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53">
        <f>F34*G34</f>
        <v>24000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153">
        <f>F35*G35</f>
        <v>2000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153">
        <f t="shared" si="2"/>
        <v>100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24</v>
      </c>
      <c r="D42" s="12">
        <f>C42*2.25</f>
        <v>54</v>
      </c>
      <c r="F42" s="39" t="s">
        <v>78</v>
      </c>
      <c r="G42" s="153">
        <v>41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48">
        <v>70296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48">
        <v>136287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1</v>
      </c>
      <c r="D46" s="12">
        <f>C46*1.5</f>
        <v>1.5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232724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472.58333333331393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46239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385</v>
      </c>
      <c r="D6" s="13">
        <f t="shared" ref="D6:D28" si="1">C6*L6</f>
        <v>292985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67</v>
      </c>
      <c r="D8" s="13">
        <f t="shared" si="1"/>
        <v>73231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28</v>
      </c>
      <c r="D9" s="13">
        <f t="shared" si="1"/>
        <v>20524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402717.5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12</v>
      </c>
      <c r="D14" s="31">
        <f t="shared" si="1"/>
        <v>132.5</v>
      </c>
      <c r="F14" s="195" t="s">
        <v>38</v>
      </c>
      <c r="G14" s="196"/>
      <c r="H14" s="197">
        <f>D54</f>
        <v>60681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342036.5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2178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650*7</f>
        <v>4550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78">
        <v>67927</v>
      </c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402717.5</v>
      </c>
      <c r="F29" s="109" t="s">
        <v>54</v>
      </c>
      <c r="G29" s="171"/>
      <c r="H29" s="131">
        <f>H15-H16-H17-H18-H19-H20-H22-H23-H24+H26+H27</f>
        <v>267331.5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153">
        <f>F34*G34</f>
        <v>66000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153">
        <f>F35*G35</f>
        <v>28500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153">
        <f t="shared" si="2"/>
        <v>6500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153">
        <f t="shared" si="2"/>
        <v>1800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>
        <v>20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48">
        <v>74658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48">
        <v>90788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268266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934.5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46240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367</v>
      </c>
      <c r="D6" s="13">
        <f t="shared" ref="D6:D28" si="1">C6*L6</f>
        <v>279287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20</v>
      </c>
      <c r="D8" s="13">
        <f t="shared" si="1"/>
        <v>21860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3</v>
      </c>
      <c r="D10" s="13">
        <f t="shared" si="1"/>
        <v>3096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>
        <v>1</v>
      </c>
      <c r="D12" s="48">
        <f t="shared" si="1"/>
        <v>992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11</v>
      </c>
      <c r="D13" s="48">
        <f t="shared" si="1"/>
        <v>3377</v>
      </c>
      <c r="F13" s="237" t="s">
        <v>36</v>
      </c>
      <c r="G13" s="201"/>
      <c r="H13" s="192">
        <f>D29</f>
        <v>318659.20833333331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45737.25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>
        <v>1</v>
      </c>
      <c r="D15" s="31">
        <f t="shared" si="1"/>
        <v>620</v>
      </c>
      <c r="F15" s="200" t="s">
        <v>39</v>
      </c>
      <c r="G15" s="201"/>
      <c r="H15" s="202">
        <f>H13-H14</f>
        <v>272921.95833333331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1896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650*5</f>
        <v>3250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318659.20833333331</v>
      </c>
      <c r="F29" s="109" t="s">
        <v>54</v>
      </c>
      <c r="G29" s="171"/>
      <c r="H29" s="131">
        <f>H15-H16-H17-H18-H19-H20-H22-H23-H24+H26+H27</f>
        <v>267775.95833333331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153">
        <f>F34*G34</f>
        <v>63000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153">
        <f>F35*G35</f>
        <v>29000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3">
        <f t="shared" ref="H36:H39" si="2">F36*G36</f>
        <v>200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153">
        <f t="shared" si="2"/>
        <v>1300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153">
        <f t="shared" si="2"/>
        <v>150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3">
        <v>75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48">
        <v>140936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48">
        <v>32838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>
        <v>2</v>
      </c>
      <c r="D46" s="12">
        <f>C46*1.5</f>
        <v>3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6</v>
      </c>
      <c r="D49" s="12">
        <f>C49*42</f>
        <v>252</v>
      </c>
      <c r="F49" s="129" t="s">
        <v>85</v>
      </c>
      <c r="G49" s="131">
        <f>H34+H35+H36+H37+H38+H39+H40+H41+G42+H44+H45+H46+H47+H48</f>
        <v>267499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8</v>
      </c>
      <c r="D50" s="12">
        <f>C50*1.5</f>
        <v>12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-276.95833333331393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482</v>
      </c>
      <c r="D6" s="13">
        <f t="shared" ref="D6:D28" si="1">C6*L6</f>
        <v>366802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15</v>
      </c>
      <c r="D7" s="13">
        <f t="shared" si="1"/>
        <v>11715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37</v>
      </c>
      <c r="D9" s="13">
        <f t="shared" si="1"/>
        <v>27121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2</v>
      </c>
      <c r="D10" s="13">
        <f t="shared" si="1"/>
        <v>2064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3</v>
      </c>
      <c r="D13" s="48">
        <f t="shared" si="1"/>
        <v>921</v>
      </c>
      <c r="F13" s="237" t="s">
        <v>36</v>
      </c>
      <c r="G13" s="201"/>
      <c r="H13" s="192">
        <f>D29</f>
        <v>408810.70833333331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17</v>
      </c>
      <c r="D14" s="31">
        <f t="shared" si="1"/>
        <v>187.70833333333331</v>
      </c>
      <c r="F14" s="195" t="s">
        <v>38</v>
      </c>
      <c r="G14" s="196"/>
      <c r="H14" s="197">
        <f>D54</f>
        <v>60101.25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348709.45833333331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408810.70833333331</v>
      </c>
      <c r="F29" s="109" t="s">
        <v>54</v>
      </c>
      <c r="G29" s="171"/>
      <c r="H29" s="131">
        <f>H15-H16-H17-H18-H19-H20-H22-H23-H24+H26+H27+H28</f>
        <v>348709.45833333331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263</v>
      </c>
      <c r="H34" s="153">
        <f t="shared" ref="H34:H39" si="2">F34*G34</f>
        <v>263000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95</v>
      </c>
      <c r="H35" s="153">
        <f t="shared" si="2"/>
        <v>47500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528</v>
      </c>
      <c r="D37" s="12">
        <f>C37*111</f>
        <v>58608</v>
      </c>
      <c r="F37" s="12">
        <v>100</v>
      </c>
      <c r="G37" s="39">
        <v>33</v>
      </c>
      <c r="H37" s="153">
        <f t="shared" si="2"/>
        <v>3300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2</v>
      </c>
      <c r="D41" s="12">
        <f>C41*84</f>
        <v>168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53">
        <v>155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133</v>
      </c>
      <c r="G44" s="108" t="s">
        <v>134</v>
      </c>
      <c r="H44" s="148">
        <v>34470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348425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15</v>
      </c>
      <c r="D50" s="12">
        <f>C50*1.5</f>
        <v>22.5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SHORT</v>
      </c>
      <c r="G51" s="139">
        <f>G49-H29</f>
        <v>-284.45833333331393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60101.25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373</v>
      </c>
      <c r="D6" s="13">
        <f t="shared" ref="D6:D28" si="1">C6*L6</f>
        <v>283853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12</v>
      </c>
      <c r="D7" s="13">
        <f t="shared" si="1"/>
        <v>9372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24</v>
      </c>
      <c r="D9" s="13">
        <f t="shared" si="1"/>
        <v>17592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>
        <v>1</v>
      </c>
      <c r="D10" s="13">
        <f t="shared" si="1"/>
        <v>1032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10</v>
      </c>
      <c r="D13" s="48">
        <f t="shared" si="1"/>
        <v>3070</v>
      </c>
      <c r="F13" s="237" t="s">
        <v>36</v>
      </c>
      <c r="G13" s="201"/>
      <c r="H13" s="192">
        <f>D29</f>
        <v>314974.20833333331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5</v>
      </c>
      <c r="D14" s="31">
        <f t="shared" si="1"/>
        <v>55.208333333333329</v>
      </c>
      <c r="F14" s="195" t="s">
        <v>38</v>
      </c>
      <c r="G14" s="196"/>
      <c r="H14" s="197">
        <f>D54</f>
        <v>51996.75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262977.45833333331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1224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314974.20833333331</v>
      </c>
      <c r="F29" s="109" t="s">
        <v>54</v>
      </c>
      <c r="G29" s="171"/>
      <c r="H29" s="131">
        <f>H15-H16-H17-H18-H19-H20-H22-H23-H24+H26+H27</f>
        <v>261753.45833333331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153">
        <f>F34*G34</f>
        <v>176000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153">
        <f>F35*G35</f>
        <v>9500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153">
        <f t="shared" si="2"/>
        <v>400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3">
        <v>68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48">
        <v>76215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>
        <v>9</v>
      </c>
      <c r="D49" s="12">
        <f>C49*42</f>
        <v>378</v>
      </c>
      <c r="F49" s="129" t="s">
        <v>85</v>
      </c>
      <c r="G49" s="131">
        <f>H34+H35+H36+H37+H38+H39+H40+H41+G42+H44+H45+H46+H47+H48</f>
        <v>262183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>
        <v>8</v>
      </c>
      <c r="D50" s="12">
        <f>C50*1.5</f>
        <v>12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429.54166666668607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46241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>
        <v>387</v>
      </c>
      <c r="D6" s="13">
        <f t="shared" ref="D6:D28" si="1">C6*L6</f>
        <v>294507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>
        <v>4</v>
      </c>
      <c r="D7" s="13">
        <f t="shared" si="1"/>
        <v>3124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>
        <v>1</v>
      </c>
      <c r="D8" s="13">
        <f t="shared" si="1"/>
        <v>1093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>
        <v>108</v>
      </c>
      <c r="D9" s="13">
        <f t="shared" si="1"/>
        <v>79164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>
        <v>14</v>
      </c>
      <c r="D13" s="48">
        <f t="shared" si="1"/>
        <v>4298</v>
      </c>
      <c r="F13" s="237" t="s">
        <v>36</v>
      </c>
      <c r="G13" s="201"/>
      <c r="H13" s="192">
        <f>D29</f>
        <v>383530.16666666669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>
        <v>4</v>
      </c>
      <c r="D14" s="31">
        <f t="shared" si="1"/>
        <v>44.166666666666664</v>
      </c>
      <c r="F14" s="195" t="s">
        <v>38</v>
      </c>
      <c r="G14" s="196"/>
      <c r="H14" s="197">
        <f>D54</f>
        <v>57755.25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325774.91666666669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2406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383530.16666666669</v>
      </c>
      <c r="F29" s="109" t="s">
        <v>54</v>
      </c>
      <c r="G29" s="171"/>
      <c r="H29" s="131">
        <f>H15-H16-H17-H18-H19-H20-H22-H23-H24+H26+H27</f>
        <v>323368.91666666669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53">
        <f>F34*G34</f>
        <v>59000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>
        <v>8</v>
      </c>
      <c r="H35" s="153">
        <f>F35*G35</f>
        <v>4000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>
        <v>481</v>
      </c>
      <c r="D37" s="12">
        <f>C37*111</f>
        <v>53391</v>
      </c>
      <c r="F37" s="12">
        <v>100</v>
      </c>
      <c r="G37" s="39">
        <v>5</v>
      </c>
      <c r="H37" s="153">
        <f t="shared" si="2"/>
        <v>500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153">
        <f t="shared" si="2"/>
        <v>100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53">
        <v>64</v>
      </c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 t="s">
        <v>136</v>
      </c>
      <c r="G44" s="62" t="s">
        <v>156</v>
      </c>
      <c r="H44" s="148">
        <v>87905</v>
      </c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 t="s">
        <v>133</v>
      </c>
      <c r="G45" s="87" t="s">
        <v>157</v>
      </c>
      <c r="H45" s="148">
        <v>171965</v>
      </c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323534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>
        <v>4</v>
      </c>
      <c r="D50" s="12">
        <f>C50*1.5</f>
        <v>6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OVER</v>
      </c>
      <c r="G51" s="139">
        <f>G49-H29</f>
        <v>165.08333333331393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57755.25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46242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6" t="s">
        <v>7</v>
      </c>
      <c r="B4" s="157"/>
      <c r="C4" s="157"/>
      <c r="D4" s="158"/>
      <c r="F4" s="206" t="s">
        <v>8</v>
      </c>
      <c r="G4" s="208"/>
      <c r="H4" s="210" t="s">
        <v>9</v>
      </c>
      <c r="I4" s="212"/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1"/>
      <c r="B6" s="16"/>
      <c r="C6" s="10"/>
      <c r="D6" s="13">
        <f t="shared" ref="D6:D28" si="1">C6*L6</f>
        <v>0</v>
      </c>
      <c r="F6" s="216" t="s">
        <v>16</v>
      </c>
      <c r="G6" s="218"/>
      <c r="H6" s="219"/>
      <c r="I6" s="219"/>
      <c r="J6" s="22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1"/>
      <c r="B7" s="16"/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1"/>
      <c r="B8" s="16"/>
      <c r="C8" s="10"/>
      <c r="D8" s="13">
        <f t="shared" si="1"/>
        <v>0</v>
      </c>
      <c r="F8" s="224" t="s">
        <v>21</v>
      </c>
      <c r="G8" s="225"/>
      <c r="H8" s="226"/>
      <c r="I8" s="226"/>
      <c r="J8" s="22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1"/>
      <c r="B9" s="16"/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1"/>
      <c r="C10" s="10"/>
      <c r="D10" s="13">
        <f t="shared" si="1"/>
        <v>0</v>
      </c>
      <c r="F10" s="216" t="s">
        <v>26</v>
      </c>
      <c r="G10" s="231"/>
      <c r="H10" s="232"/>
      <c r="I10" s="232"/>
      <c r="J10" s="233"/>
      <c r="K10" s="8"/>
      <c r="L10" s="6">
        <f>R36</f>
        <v>972</v>
      </c>
      <c r="P10" s="4"/>
      <c r="Q10" s="4"/>
      <c r="R10" s="5"/>
    </row>
    <row r="11" spans="1:19" ht="15.75" x14ac:dyDescent="0.25">
      <c r="A11" s="151"/>
      <c r="B11" s="17"/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1"/>
      <c r="B12" s="17"/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1"/>
      <c r="B13" s="17"/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1"/>
      <c r="B14" s="14"/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1"/>
      <c r="B15" s="14"/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19"/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14"/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1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1"/>
      <c r="B22" s="46"/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/>
      <c r="C23" s="10"/>
      <c r="D23" s="48">
        <f t="shared" si="1"/>
        <v>0</v>
      </c>
      <c r="F23" s="77"/>
      <c r="G23" s="78"/>
      <c r="H23" s="179"/>
      <c r="I23" s="148"/>
      <c r="J23" s="14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/>
      <c r="C24" s="10"/>
      <c r="D24" s="48">
        <f t="shared" si="1"/>
        <v>0</v>
      </c>
      <c r="F24" s="38"/>
      <c r="G24" s="37"/>
      <c r="H24" s="179"/>
      <c r="I24" s="148"/>
      <c r="J24" s="14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/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1"/>
      <c r="B27" s="14"/>
      <c r="C27" s="10"/>
      <c r="D27" s="44">
        <f t="shared" si="1"/>
        <v>0</v>
      </c>
      <c r="F27" s="25"/>
      <c r="G27" s="79"/>
      <c r="H27" s="186"/>
      <c r="I27" s="187"/>
      <c r="J27" s="18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/>
      <c r="C28" s="10"/>
      <c r="D28" s="48">
        <f t="shared" si="1"/>
        <v>0</v>
      </c>
      <c r="F28" s="103"/>
      <c r="G28" s="61"/>
      <c r="H28" s="189"/>
      <c r="I28" s="190"/>
      <c r="J28" s="19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/>
      <c r="I34" s="154"/>
      <c r="J34" s="15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/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/>
      <c r="I36" s="154"/>
      <c r="J36" s="15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/>
      <c r="I37" s="154"/>
      <c r="J37" s="15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/>
      <c r="I38" s="154"/>
      <c r="J38" s="15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/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P43" s="4"/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75"/>
      <c r="H44" s="148"/>
      <c r="I44" s="148"/>
      <c r="J44" s="148"/>
      <c r="K44" s="21"/>
      <c r="P44" s="4"/>
      <c r="Q44" s="4"/>
      <c r="R44" s="5"/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9"/>
      <c r="I46" s="149"/>
      <c r="J46" s="149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26"/>
      <c r="I47" s="127"/>
      <c r="J47" s="12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126"/>
      <c r="I48" s="127"/>
      <c r="J48" s="12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P50" s="4"/>
      <c r="Q50" s="4"/>
      <c r="R50" s="5"/>
    </row>
    <row r="51" spans="1:18" ht="15" customHeight="1" x14ac:dyDescent="0.25">
      <c r="A51" s="124"/>
      <c r="B51" s="27"/>
      <c r="C51" s="10"/>
      <c r="D51" s="31"/>
      <c r="F51" s="137" t="s">
        <v>106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1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99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115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108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6"/>
      <c r="G23" s="78"/>
      <c r="H23" s="243"/>
      <c r="I23" s="244"/>
      <c r="J23" s="24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76"/>
      <c r="G24" s="78"/>
      <c r="H24" s="243"/>
      <c r="I24" s="244"/>
      <c r="J24" s="24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74"/>
      <c r="G26" s="65"/>
      <c r="H26" s="148"/>
      <c r="I26" s="148"/>
      <c r="J26" s="14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71"/>
      <c r="G27" s="105"/>
      <c r="H27" s="245"/>
      <c r="I27" s="246"/>
      <c r="J27" s="24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H15-H16-H17-H18-H19-H20-H22-H23-H24+H26+H27+H28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3">
        <f t="shared" ref="H34:H39" si="2"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 t="shared" si="2"/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si="2"/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1"/>
      <c r="I40" s="242"/>
      <c r="J40" s="17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87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87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238"/>
      <c r="I47" s="239"/>
      <c r="J47" s="240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2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107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100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101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75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62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59"/>
      <c r="G47" s="59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80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5" t="s">
        <v>1</v>
      </c>
      <c r="O1" s="205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6" t="s">
        <v>7</v>
      </c>
      <c r="B4" s="157"/>
      <c r="C4" s="157"/>
      <c r="D4" s="158"/>
      <c r="F4" s="206" t="s">
        <v>8</v>
      </c>
      <c r="G4" s="208">
        <v>3</v>
      </c>
      <c r="H4" s="210" t="s">
        <v>9</v>
      </c>
      <c r="I4" s="212">
        <v>46244</v>
      </c>
      <c r="J4" s="21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0" t="s">
        <v>7</v>
      </c>
      <c r="B5" s="15" t="s">
        <v>11</v>
      </c>
      <c r="C5" s="9" t="s">
        <v>12</v>
      </c>
      <c r="D5" s="25" t="s">
        <v>13</v>
      </c>
      <c r="F5" s="207"/>
      <c r="G5" s="209"/>
      <c r="H5" s="211"/>
      <c r="I5" s="214"/>
      <c r="J5" s="21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1"/>
      <c r="B6" s="16" t="s">
        <v>15</v>
      </c>
      <c r="C6" s="10"/>
      <c r="D6" s="13">
        <f t="shared" ref="D6:D28" si="1">C6*L6</f>
        <v>0</v>
      </c>
      <c r="F6" s="216" t="s">
        <v>16</v>
      </c>
      <c r="G6" s="218" t="s">
        <v>142</v>
      </c>
      <c r="H6" s="219"/>
      <c r="I6" s="219"/>
      <c r="J6" s="22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1"/>
      <c r="B7" s="16" t="s">
        <v>18</v>
      </c>
      <c r="C7" s="10"/>
      <c r="D7" s="13">
        <f t="shared" si="1"/>
        <v>0</v>
      </c>
      <c r="F7" s="217"/>
      <c r="G7" s="221"/>
      <c r="H7" s="222"/>
      <c r="I7" s="222"/>
      <c r="J7" s="22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1"/>
      <c r="B8" s="16" t="s">
        <v>20</v>
      </c>
      <c r="C8" s="10"/>
      <c r="D8" s="13">
        <f t="shared" si="1"/>
        <v>0</v>
      </c>
      <c r="F8" s="224" t="s">
        <v>21</v>
      </c>
      <c r="G8" s="225" t="s">
        <v>109</v>
      </c>
      <c r="H8" s="226"/>
      <c r="I8" s="226"/>
      <c r="J8" s="22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1"/>
      <c r="B9" s="16" t="s">
        <v>23</v>
      </c>
      <c r="C9" s="10"/>
      <c r="D9" s="13">
        <f t="shared" si="1"/>
        <v>0</v>
      </c>
      <c r="F9" s="217"/>
      <c r="G9" s="228"/>
      <c r="H9" s="229"/>
      <c r="I9" s="229"/>
      <c r="J9" s="23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1"/>
      <c r="B10" t="s">
        <v>25</v>
      </c>
      <c r="C10" s="10"/>
      <c r="D10" s="13">
        <f t="shared" si="1"/>
        <v>0</v>
      </c>
      <c r="F10" s="216" t="s">
        <v>26</v>
      </c>
      <c r="G10" s="231" t="s">
        <v>119</v>
      </c>
      <c r="H10" s="232"/>
      <c r="I10" s="232"/>
      <c r="J10" s="233"/>
      <c r="K10" s="8"/>
      <c r="L10" s="6">
        <f>R36</f>
        <v>1032</v>
      </c>
      <c r="P10" s="4"/>
      <c r="Q10" s="4"/>
      <c r="R10" s="5"/>
    </row>
    <row r="11" spans="1:18" ht="15.75" x14ac:dyDescent="0.25">
      <c r="A11" s="151"/>
      <c r="B11" s="17" t="s">
        <v>28</v>
      </c>
      <c r="C11" s="10"/>
      <c r="D11" s="13">
        <f t="shared" si="1"/>
        <v>0</v>
      </c>
      <c r="F11" s="217"/>
      <c r="G11" s="228"/>
      <c r="H11" s="229"/>
      <c r="I11" s="229"/>
      <c r="J11" s="23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1"/>
      <c r="B12" s="17" t="s">
        <v>30</v>
      </c>
      <c r="C12" s="10"/>
      <c r="D12" s="48">
        <f t="shared" si="1"/>
        <v>0</v>
      </c>
      <c r="F12" s="234" t="s">
        <v>33</v>
      </c>
      <c r="G12" s="235"/>
      <c r="H12" s="235"/>
      <c r="I12" s="235"/>
      <c r="J12" s="23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1"/>
      <c r="B13" s="17" t="s">
        <v>32</v>
      </c>
      <c r="C13" s="10"/>
      <c r="D13" s="48">
        <f t="shared" si="1"/>
        <v>0</v>
      </c>
      <c r="F13" s="237" t="s">
        <v>36</v>
      </c>
      <c r="G13" s="201"/>
      <c r="H13" s="192">
        <f>D29</f>
        <v>0</v>
      </c>
      <c r="I13" s="193"/>
      <c r="J13" s="19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1"/>
      <c r="B14" s="14" t="s">
        <v>35</v>
      </c>
      <c r="C14" s="10"/>
      <c r="D14" s="31">
        <f t="shared" si="1"/>
        <v>0</v>
      </c>
      <c r="F14" s="195" t="s">
        <v>38</v>
      </c>
      <c r="G14" s="196"/>
      <c r="H14" s="197">
        <f>D54</f>
        <v>0</v>
      </c>
      <c r="I14" s="198"/>
      <c r="J14" s="199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1"/>
      <c r="B15" s="14" t="s">
        <v>117</v>
      </c>
      <c r="C15" s="10"/>
      <c r="D15" s="31">
        <f t="shared" si="1"/>
        <v>0</v>
      </c>
      <c r="F15" s="200" t="s">
        <v>39</v>
      </c>
      <c r="G15" s="201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1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73"/>
      <c r="I17" s="173"/>
      <c r="J17" s="17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1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73"/>
      <c r="I18" s="173"/>
      <c r="J18" s="17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1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1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75" t="s">
        <v>13</v>
      </c>
      <c r="I21" s="176"/>
      <c r="J21" s="17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1"/>
      <c r="B22" s="46" t="s">
        <v>103</v>
      </c>
      <c r="C22" s="10"/>
      <c r="D22" s="48">
        <f t="shared" si="1"/>
        <v>0</v>
      </c>
      <c r="F22" s="76"/>
      <c r="G22" s="72"/>
      <c r="H22" s="178"/>
      <c r="I22" s="178"/>
      <c r="J22" s="17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1"/>
      <c r="B23" s="14" t="s">
        <v>116</v>
      </c>
      <c r="C23" s="10"/>
      <c r="D23" s="48">
        <f t="shared" si="1"/>
        <v>0</v>
      </c>
      <c r="F23" s="77"/>
      <c r="G23" s="78"/>
      <c r="H23" s="248"/>
      <c r="I23" s="178"/>
      <c r="J23" s="17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1"/>
      <c r="B24" s="14" t="s">
        <v>123</v>
      </c>
      <c r="C24" s="10"/>
      <c r="D24" s="48">
        <f t="shared" si="1"/>
        <v>0</v>
      </c>
      <c r="F24" s="38"/>
      <c r="G24" s="37"/>
      <c r="H24" s="179"/>
      <c r="I24" s="148"/>
      <c r="J24" s="14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0" t="s">
        <v>13</v>
      </c>
      <c r="I25" s="181"/>
      <c r="J25" s="18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1"/>
      <c r="B26" s="14" t="s">
        <v>124</v>
      </c>
      <c r="C26" s="10"/>
      <c r="D26" s="48">
        <f t="shared" si="1"/>
        <v>0</v>
      </c>
      <c r="F26" s="64"/>
      <c r="G26" s="59"/>
      <c r="H26" s="183"/>
      <c r="I26" s="184"/>
      <c r="J26" s="18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1"/>
      <c r="B27" s="14" t="s">
        <v>125</v>
      </c>
      <c r="C27" s="10"/>
      <c r="D27" s="44">
        <f t="shared" si="1"/>
        <v>0</v>
      </c>
      <c r="F27" s="25"/>
      <c r="G27" s="79"/>
      <c r="H27" s="186"/>
      <c r="I27" s="187"/>
      <c r="J27" s="18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2"/>
      <c r="B28" s="46" t="s">
        <v>92</v>
      </c>
      <c r="C28" s="10"/>
      <c r="D28" s="48">
        <f t="shared" si="1"/>
        <v>0</v>
      </c>
      <c r="F28" s="103"/>
      <c r="G28" s="61"/>
      <c r="H28" s="189"/>
      <c r="I28" s="190"/>
      <c r="J28" s="19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09" t="s">
        <v>54</v>
      </c>
      <c r="G29" s="171"/>
      <c r="H29" s="131">
        <f>H15-H16-H17-H18-H19-H20-H22-H23-H24+H26+H27</f>
        <v>0</v>
      </c>
      <c r="I29" s="132"/>
      <c r="J29" s="13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12"/>
      <c r="G30" s="172"/>
      <c r="H30" s="134"/>
      <c r="I30" s="135"/>
      <c r="J30" s="13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6" t="s">
        <v>57</v>
      </c>
      <c r="B32" s="157"/>
      <c r="C32" s="157"/>
      <c r="D32" s="158"/>
      <c r="F32" s="159" t="s">
        <v>58</v>
      </c>
      <c r="G32" s="160"/>
      <c r="H32" s="160"/>
      <c r="I32" s="160"/>
      <c r="J32" s="16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59" t="s">
        <v>13</v>
      </c>
      <c r="I33" s="160"/>
      <c r="J33" s="16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3">
        <f>F34*G34</f>
        <v>0</v>
      </c>
      <c r="I34" s="154"/>
      <c r="J34" s="15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1"/>
      <c r="B35" s="27" t="s">
        <v>67</v>
      </c>
      <c r="C35" s="52"/>
      <c r="D35" s="30">
        <f>C35*84</f>
        <v>0</v>
      </c>
      <c r="F35" s="58">
        <v>500</v>
      </c>
      <c r="G35" s="106"/>
      <c r="H35" s="153">
        <f>F35*G35</f>
        <v>0</v>
      </c>
      <c r="I35" s="154"/>
      <c r="J35" s="15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2"/>
      <c r="B36" s="26" t="s">
        <v>69</v>
      </c>
      <c r="C36" s="10"/>
      <c r="D36" s="12">
        <f>C36*1.5</f>
        <v>0</v>
      </c>
      <c r="F36" s="12">
        <v>200</v>
      </c>
      <c r="G36" s="37"/>
      <c r="H36" s="153">
        <f t="shared" ref="H36:H39" si="2">F36*G36</f>
        <v>0</v>
      </c>
      <c r="I36" s="154"/>
      <c r="J36" s="15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3">
        <f t="shared" si="2"/>
        <v>0</v>
      </c>
      <c r="I37" s="154"/>
      <c r="J37" s="15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1"/>
      <c r="B38" s="29" t="s">
        <v>67</v>
      </c>
      <c r="C38" s="54"/>
      <c r="D38" s="12">
        <f>C38*84</f>
        <v>0</v>
      </c>
      <c r="F38" s="30">
        <v>50</v>
      </c>
      <c r="G38" s="39"/>
      <c r="H38" s="153">
        <f t="shared" si="2"/>
        <v>0</v>
      </c>
      <c r="I38" s="154"/>
      <c r="J38" s="15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2"/>
      <c r="B39" s="29" t="s">
        <v>69</v>
      </c>
      <c r="C39" s="52"/>
      <c r="D39" s="31">
        <f>C39*4.5</f>
        <v>0</v>
      </c>
      <c r="F39" s="12">
        <v>20</v>
      </c>
      <c r="G39" s="37"/>
      <c r="H39" s="153">
        <f t="shared" si="2"/>
        <v>0</v>
      </c>
      <c r="I39" s="154"/>
      <c r="J39" s="15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0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153"/>
      <c r="I40" s="154"/>
      <c r="J40" s="15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1"/>
      <c r="B41" s="27" t="s">
        <v>67</v>
      </c>
      <c r="C41" s="10"/>
      <c r="D41" s="12">
        <f>C41*84</f>
        <v>0</v>
      </c>
      <c r="F41" s="12">
        <v>5</v>
      </c>
      <c r="G41" s="107"/>
      <c r="H41" s="153"/>
      <c r="I41" s="154"/>
      <c r="J41" s="15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2"/>
      <c r="B42" s="27" t="s">
        <v>69</v>
      </c>
      <c r="C42" s="11"/>
      <c r="D42" s="12">
        <f>C42*2.25</f>
        <v>0</v>
      </c>
      <c r="F42" s="39" t="s">
        <v>78</v>
      </c>
      <c r="G42" s="153"/>
      <c r="H42" s="154"/>
      <c r="I42" s="154"/>
      <c r="J42" s="15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3" t="s">
        <v>80</v>
      </c>
      <c r="C43" s="11"/>
      <c r="D43" s="12"/>
      <c r="F43" s="59" t="s">
        <v>81</v>
      </c>
      <c r="G43" s="105" t="s">
        <v>82</v>
      </c>
      <c r="H43" s="145" t="s">
        <v>13</v>
      </c>
      <c r="I43" s="146"/>
      <c r="J43" s="14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4"/>
      <c r="B44" s="27" t="s">
        <v>65</v>
      </c>
      <c r="C44" s="10"/>
      <c r="D44" s="12">
        <f>C44*120</f>
        <v>0</v>
      </c>
      <c r="F44" s="37"/>
      <c r="G44" s="62"/>
      <c r="H44" s="148"/>
      <c r="I44" s="148"/>
      <c r="J44" s="14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4"/>
      <c r="B45" s="27" t="s">
        <v>67</v>
      </c>
      <c r="C45" s="33"/>
      <c r="D45" s="12">
        <f>C45*84</f>
        <v>0</v>
      </c>
      <c r="F45" s="37"/>
      <c r="G45" s="62"/>
      <c r="H45" s="148"/>
      <c r="I45" s="148"/>
      <c r="J45" s="148"/>
      <c r="K45" s="21"/>
      <c r="P45" s="4"/>
      <c r="Q45" s="4"/>
      <c r="R45" s="5"/>
    </row>
    <row r="46" spans="1:18" ht="15.75" x14ac:dyDescent="0.25">
      <c r="A46" s="124"/>
      <c r="B46" s="49" t="s">
        <v>69</v>
      </c>
      <c r="C46" s="80"/>
      <c r="D46" s="12">
        <f>C46*1.5</f>
        <v>0</v>
      </c>
      <c r="F46" s="37"/>
      <c r="G46" s="75"/>
      <c r="H46" s="148"/>
      <c r="I46" s="148"/>
      <c r="J46" s="148"/>
      <c r="K46" s="21"/>
      <c r="P46" s="4"/>
      <c r="Q46" s="4"/>
      <c r="R46" s="5"/>
    </row>
    <row r="47" spans="1:18" ht="15.75" x14ac:dyDescent="0.25">
      <c r="A47" s="125"/>
      <c r="B47" s="27"/>
      <c r="C47" s="11"/>
      <c r="D47" s="12"/>
      <c r="F47" s="37"/>
      <c r="G47" s="75"/>
      <c r="H47" s="148"/>
      <c r="I47" s="148"/>
      <c r="J47" s="148"/>
      <c r="K47" s="21"/>
      <c r="P47" s="4"/>
      <c r="Q47" s="4"/>
      <c r="R47" s="5"/>
    </row>
    <row r="48" spans="1:18" ht="15" customHeight="1" x14ac:dyDescent="0.25">
      <c r="A48" s="123" t="s">
        <v>32</v>
      </c>
      <c r="B48" s="27" t="s">
        <v>65</v>
      </c>
      <c r="C48" s="10"/>
      <c r="D48" s="12">
        <f>C48*78</f>
        <v>0</v>
      </c>
      <c r="F48" s="59"/>
      <c r="G48" s="59"/>
      <c r="H48" s="238"/>
      <c r="I48" s="239"/>
      <c r="J48" s="2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4"/>
      <c r="B49" s="29" t="s">
        <v>67</v>
      </c>
      <c r="C49" s="33"/>
      <c r="D49" s="12">
        <f>C49*42</f>
        <v>0</v>
      </c>
      <c r="F49" s="129" t="s">
        <v>85</v>
      </c>
      <c r="G49" s="131">
        <f>H34+H35+H36+H37+H38+H39+H40+H41+G42+H44+H45+H46+H47+H48</f>
        <v>0</v>
      </c>
      <c r="H49" s="132"/>
      <c r="I49" s="132"/>
      <c r="J49" s="13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4"/>
      <c r="B50" s="32" t="s">
        <v>69</v>
      </c>
      <c r="C50" s="11"/>
      <c r="D50" s="12">
        <f>C50*1.5</f>
        <v>0</v>
      </c>
      <c r="F50" s="130"/>
      <c r="G50" s="134"/>
      <c r="H50" s="135"/>
      <c r="I50" s="135"/>
      <c r="J50" s="136"/>
      <c r="O50" t="s">
        <v>112</v>
      </c>
      <c r="P50" s="4">
        <v>1204</v>
      </c>
      <c r="Q50" s="4"/>
      <c r="R50" s="5"/>
    </row>
    <row r="51" spans="1:18" ht="15" customHeight="1" x14ac:dyDescent="0.25">
      <c r="A51" s="124"/>
      <c r="B51" s="27"/>
      <c r="C51" s="10"/>
      <c r="D51" s="31"/>
      <c r="F51" s="137" t="str">
        <f>_xlfn.IFS(H29&gt;G49,"SHORT",H29&lt;G49,"OVER",H29&lt;=G49,"-")</f>
        <v>-</v>
      </c>
      <c r="G51" s="139">
        <f>G49-H29</f>
        <v>0</v>
      </c>
      <c r="H51" s="140"/>
      <c r="I51" s="140"/>
      <c r="J51" s="1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124"/>
      <c r="B52" s="29"/>
      <c r="C52" s="33"/>
      <c r="D52" s="45"/>
      <c r="F52" s="138"/>
      <c r="G52" s="142"/>
      <c r="H52" s="143"/>
      <c r="I52" s="143"/>
      <c r="J52" s="1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9" t="s">
        <v>89</v>
      </c>
      <c r="B54" s="110"/>
      <c r="C54" s="111"/>
      <c r="D54" s="11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2"/>
      <c r="B55" s="113"/>
      <c r="C55" s="114"/>
      <c r="D55" s="11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7" t="s">
        <v>90</v>
      </c>
      <c r="B58" s="118"/>
      <c r="C58" s="118"/>
      <c r="D58" s="119"/>
      <c r="F58" s="117" t="s">
        <v>91</v>
      </c>
      <c r="G58" s="118"/>
      <c r="H58" s="118"/>
      <c r="I58" s="118"/>
      <c r="J58" s="119"/>
    </row>
    <row r="59" spans="1:18" x14ac:dyDescent="0.25">
      <c r="A59" s="120"/>
      <c r="B59" s="121"/>
      <c r="C59" s="121"/>
      <c r="D59" s="122"/>
      <c r="F59" s="120"/>
      <c r="G59" s="121"/>
      <c r="H59" s="121"/>
      <c r="I59" s="121"/>
      <c r="J59" s="12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2026-08-08T00:25:35Z</cp:lastPrinted>
  <dcterms:created xsi:type="dcterms:W3CDTF">2024-09-01T23:36:50Z</dcterms:created>
  <dcterms:modified xsi:type="dcterms:W3CDTF">2026-08-08T00:26:05Z</dcterms:modified>
</cp:coreProperties>
</file>