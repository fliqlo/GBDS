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comments4.xml" ContentType="application/vnd.openxmlformats-officedocument.spreadsheetml.comments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317CF69-92CB-4833-94EA-31F5E416222E}" xr6:coauthVersionLast="45" xr6:coauthVersionMax="47" xr10:uidLastSave="{00000000-0000-0000-0000-000000000000}"/>
  <bookViews>
    <workbookView xWindow="-120" yWindow="-120" windowWidth="29040" windowHeight="15840" firstSheet="75" activeTab="80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 COLLECTION" sheetId="2290" r:id="rId51"/>
    <sheet name="08,15 R2" sheetId="2291" r:id="rId52"/>
    <sheet name="08,15 R3" sheetId="2292" r:id="rId53"/>
    <sheet name="(17)" sheetId="2293" r:id="rId54"/>
    <sheet name="08,17 R1" sheetId="2294" r:id="rId55"/>
    <sheet name="08,17 R2" sheetId="2295" r:id="rId56"/>
    <sheet name="08,17 R3" sheetId="2296" r:id="rId57"/>
    <sheet name="(18)" sheetId="2297" r:id="rId58"/>
    <sheet name="08,18 R1" sheetId="2298" r:id="rId59"/>
    <sheet name="08,18 R2" sheetId="2299" r:id="rId60"/>
    <sheet name="08,18 R3" sheetId="2300" r:id="rId61"/>
    <sheet name="(19)" sheetId="2301" r:id="rId62"/>
    <sheet name="08,19 R1" sheetId="2302" r:id="rId63"/>
    <sheet name="08,19 R2" sheetId="2303" r:id="rId64"/>
    <sheet name="08,19 R3" sheetId="2304" r:id="rId65"/>
    <sheet name="(20)" sheetId="2305" r:id="rId66"/>
    <sheet name="08,20 R1" sheetId="2306" r:id="rId67"/>
    <sheet name="08,20 R2" sheetId="2307" r:id="rId68"/>
    <sheet name="08,20 R3" sheetId="2308" r:id="rId69"/>
    <sheet name="(21)" sheetId="2309" r:id="rId70"/>
    <sheet name="08,21 R1 NO TRIP" sheetId="2310" r:id="rId71"/>
    <sheet name="08,21 R2 " sheetId="2311" r:id="rId72"/>
    <sheet name="08,21 R3" sheetId="2312" r:id="rId73"/>
    <sheet name="(22)" sheetId="2313" r:id="rId74"/>
    <sheet name="08,22 R1 COLLECTION ONLY" sheetId="2314" r:id="rId75"/>
    <sheet name="08,22 R2 NO TRIP" sheetId="2315" r:id="rId76"/>
    <sheet name="08,22 R3 NO TRIP" sheetId="2316" r:id="rId77"/>
    <sheet name="(24)" sheetId="2328" r:id="rId78"/>
    <sheet name="08,24 R1" sheetId="2329" r:id="rId79"/>
    <sheet name="08,24 R2" sheetId="2330" r:id="rId80"/>
    <sheet name="08,24 R3" sheetId="2331" r:id="rId81"/>
    <sheet name="Sheet1" sheetId="2317" r:id="rId82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65">'(20)'!$A$1:$J$60</definedName>
    <definedName name="_xlnm.Print_Area" localSheetId="69">'(21)'!$A$1:$J$60</definedName>
    <definedName name="_xlnm.Print_Area" localSheetId="73">'(22)'!$A$1:$J$60</definedName>
    <definedName name="_xlnm.Print_Area" localSheetId="77">'(24)'!$A$1:$J$60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 COLLECTION'!$A$1:$J$60</definedName>
    <definedName name="_xlnm.Print_Area" localSheetId="51">'08,15 R2'!$A$1:$J$60</definedName>
    <definedName name="_xlnm.Print_Area" localSheetId="52">'08,15 R3'!$A$1:$J$60</definedName>
    <definedName name="_xlnm.Print_Area" localSheetId="54">'08,17 R1'!$A$1:$J$60</definedName>
    <definedName name="_xlnm.Print_Area" localSheetId="55">'08,17 R2'!$A$1:$J$60</definedName>
    <definedName name="_xlnm.Print_Area" localSheetId="56">'08,17 R3'!$A$1:$J$60</definedName>
    <definedName name="_xlnm.Print_Area" localSheetId="58">'08,18 R1'!$A$1:$J$60</definedName>
    <definedName name="_xlnm.Print_Area" localSheetId="59">'08,18 R2'!$A$1:$J$60</definedName>
    <definedName name="_xlnm.Print_Area" localSheetId="60">'08,18 R3'!$A$1:$J$60</definedName>
    <definedName name="_xlnm.Print_Area" localSheetId="62">'08,19 R1'!$A$1:$J$60</definedName>
    <definedName name="_xlnm.Print_Area" localSheetId="63">'08,19 R2'!$A$1:$J$60</definedName>
    <definedName name="_xlnm.Print_Area" localSheetId="64">'08,19 R3'!$A$1:$J$60</definedName>
    <definedName name="_xlnm.Print_Area" localSheetId="66">'08,20 R1'!$A$1:$J$60</definedName>
    <definedName name="_xlnm.Print_Area" localSheetId="67">'08,20 R2'!$A$1:$J$60</definedName>
    <definedName name="_xlnm.Print_Area" localSheetId="68">'08,20 R3'!$A$1:$J$60</definedName>
    <definedName name="_xlnm.Print_Area" localSheetId="70">'08,21 R1 NO TRIP'!$A$1:$J$60</definedName>
    <definedName name="_xlnm.Print_Area" localSheetId="71">'08,21 R2 '!$A$1:$J$60</definedName>
    <definedName name="_xlnm.Print_Area" localSheetId="72">'08,21 R3'!$A$1:$J$60</definedName>
    <definedName name="_xlnm.Print_Area" localSheetId="74">'08,22 R1 COLLECTION ONLY'!$A$1:$J$60</definedName>
    <definedName name="_xlnm.Print_Area" localSheetId="75">'08,22 R2 NO TRIP'!$A$1:$J$60</definedName>
    <definedName name="_xlnm.Print_Area" localSheetId="76">'08,22 R3 NO TRIP'!$A$1:$J$60</definedName>
    <definedName name="_xlnm.Print_Area" localSheetId="78">'08,24 R1'!$A$1:$J$60</definedName>
    <definedName name="_xlnm.Print_Area" localSheetId="79">'08,24 R2'!$A$1:$J$60</definedName>
    <definedName name="_xlnm.Print_Area" localSheetId="80">'08,24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330" l="1"/>
  <c r="R52" i="2331"/>
  <c r="R51" i="2331"/>
  <c r="D50" i="2331"/>
  <c r="R49" i="2331"/>
  <c r="D49" i="2331"/>
  <c r="R48" i="2331"/>
  <c r="D48" i="2331"/>
  <c r="D46" i="2331"/>
  <c r="D45" i="2331"/>
  <c r="R44" i="2331"/>
  <c r="L28" i="2331" s="1"/>
  <c r="D28" i="2331" s="1"/>
  <c r="D44" i="2331"/>
  <c r="R42" i="2331"/>
  <c r="D42" i="2331"/>
  <c r="R41" i="2331"/>
  <c r="L7" i="2331" s="1"/>
  <c r="D7" i="2331" s="1"/>
  <c r="D41" i="2331"/>
  <c r="R40" i="2331"/>
  <c r="L8" i="2331" s="1"/>
  <c r="D8" i="2331" s="1"/>
  <c r="D40" i="2331"/>
  <c r="R39" i="2331"/>
  <c r="H39" i="2331"/>
  <c r="D39" i="2331"/>
  <c r="R38" i="2331"/>
  <c r="H38" i="2331"/>
  <c r="D38" i="2331"/>
  <c r="R37" i="2331"/>
  <c r="H37" i="2331"/>
  <c r="D37" i="2331"/>
  <c r="R36" i="2331"/>
  <c r="H36" i="2331"/>
  <c r="G49" i="2331" s="1"/>
  <c r="D36" i="2331"/>
  <c r="R35" i="2331"/>
  <c r="L18" i="2331" s="1"/>
  <c r="D18" i="2331" s="1"/>
  <c r="H35" i="2331"/>
  <c r="D35" i="2331"/>
  <c r="R34" i="2331"/>
  <c r="H34" i="2331"/>
  <c r="D34" i="2331"/>
  <c r="R33" i="2331"/>
  <c r="L19" i="2331" s="1"/>
  <c r="D19" i="2331" s="1"/>
  <c r="R32" i="2331"/>
  <c r="L11" i="2331" s="1"/>
  <c r="D11" i="2331" s="1"/>
  <c r="R31" i="2331"/>
  <c r="R30" i="2331"/>
  <c r="R29" i="2331"/>
  <c r="R28" i="2331"/>
  <c r="R27" i="2331"/>
  <c r="L27" i="2331"/>
  <c r="D27" i="2331"/>
  <c r="R26" i="2331"/>
  <c r="L26" i="2331"/>
  <c r="D26" i="2331"/>
  <c r="R25" i="2331"/>
  <c r="L25" i="2331"/>
  <c r="D25" i="2331" s="1"/>
  <c r="R24" i="2331"/>
  <c r="L24" i="2331"/>
  <c r="D24" i="2331"/>
  <c r="R23" i="2331"/>
  <c r="L23" i="2331"/>
  <c r="D23" i="2331"/>
  <c r="R22" i="2331"/>
  <c r="L20" i="2331" s="1"/>
  <c r="D20" i="2331" s="1"/>
  <c r="L22" i="2331"/>
  <c r="D22" i="2331" s="1"/>
  <c r="R21" i="2331"/>
  <c r="D21" i="2331"/>
  <c r="R20" i="2331"/>
  <c r="R19" i="2331"/>
  <c r="R18" i="2331"/>
  <c r="R17" i="2331"/>
  <c r="L17" i="2331"/>
  <c r="D17" i="2331"/>
  <c r="R16" i="2331"/>
  <c r="R15" i="2331"/>
  <c r="R14" i="2331"/>
  <c r="D14" i="2331"/>
  <c r="R13" i="2331"/>
  <c r="D13" i="2331"/>
  <c r="R12" i="2331"/>
  <c r="L12" i="2331"/>
  <c r="D12" i="2331"/>
  <c r="R11" i="2331"/>
  <c r="L10" i="2331"/>
  <c r="D10" i="2331" s="1"/>
  <c r="L9" i="2331"/>
  <c r="D9" i="2331"/>
  <c r="R6" i="2331"/>
  <c r="L16" i="2331" s="1"/>
  <c r="D16" i="2331" s="1"/>
  <c r="L6" i="2331"/>
  <c r="D6" i="2331" s="1"/>
  <c r="R5" i="2331"/>
  <c r="R4" i="2331"/>
  <c r="L15" i="2331" s="1"/>
  <c r="D15" i="2331" s="1"/>
  <c r="R52" i="2330"/>
  <c r="R51" i="2330"/>
  <c r="D50" i="2330"/>
  <c r="R49" i="2330"/>
  <c r="D49" i="2330"/>
  <c r="R48" i="2330"/>
  <c r="D48" i="2330"/>
  <c r="D46" i="2330"/>
  <c r="D45" i="2330"/>
  <c r="R44" i="2330"/>
  <c r="L28" i="2330" s="1"/>
  <c r="D28" i="2330" s="1"/>
  <c r="D44" i="2330"/>
  <c r="R42" i="2330"/>
  <c r="L6" i="2330" s="1"/>
  <c r="D6" i="2330" s="1"/>
  <c r="D42" i="2330"/>
  <c r="R41" i="2330"/>
  <c r="D41" i="2330"/>
  <c r="R40" i="2330"/>
  <c r="D40" i="2330"/>
  <c r="R39" i="2330"/>
  <c r="H39" i="2330"/>
  <c r="D39" i="2330"/>
  <c r="R38" i="2330"/>
  <c r="L9" i="2330" s="1"/>
  <c r="D9" i="2330" s="1"/>
  <c r="H38" i="2330"/>
  <c r="D38" i="2330"/>
  <c r="R37" i="2330"/>
  <c r="H37" i="2330"/>
  <c r="D37" i="2330"/>
  <c r="R36" i="2330"/>
  <c r="L10" i="2330" s="1"/>
  <c r="D10" i="2330" s="1"/>
  <c r="H36" i="2330"/>
  <c r="D36" i="2330"/>
  <c r="R35" i="2330"/>
  <c r="H35" i="2330"/>
  <c r="D35" i="2330"/>
  <c r="R34" i="2330"/>
  <c r="H34" i="2330"/>
  <c r="G49" i="2330" s="1"/>
  <c r="D34" i="2330"/>
  <c r="R33" i="2330"/>
  <c r="R32" i="2330"/>
  <c r="R31" i="2330"/>
  <c r="R30" i="2330"/>
  <c r="R29" i="2330"/>
  <c r="R28" i="2330"/>
  <c r="R27" i="2330"/>
  <c r="L27" i="2330"/>
  <c r="D27" i="2330"/>
  <c r="R26" i="2330"/>
  <c r="L26" i="2330"/>
  <c r="D26" i="2330" s="1"/>
  <c r="R25" i="2330"/>
  <c r="L25" i="2330"/>
  <c r="D25" i="2330"/>
  <c r="R24" i="2330"/>
  <c r="L24" i="2330"/>
  <c r="D24" i="2330"/>
  <c r="R23" i="2330"/>
  <c r="L23" i="2330"/>
  <c r="D23" i="2330"/>
  <c r="R22" i="2330"/>
  <c r="L20" i="2330" s="1"/>
  <c r="D20" i="2330" s="1"/>
  <c r="L22" i="2330"/>
  <c r="D22" i="2330"/>
  <c r="R21" i="2330"/>
  <c r="D21" i="2330"/>
  <c r="R20" i="2330"/>
  <c r="R19" i="2330"/>
  <c r="L19" i="2330"/>
  <c r="D19" i="2330"/>
  <c r="R18" i="2330"/>
  <c r="L18" i="2330"/>
  <c r="D18" i="2330"/>
  <c r="R17" i="2330"/>
  <c r="L17" i="2330"/>
  <c r="D17" i="2330"/>
  <c r="R16" i="2330"/>
  <c r="R15" i="2330"/>
  <c r="L15" i="2330"/>
  <c r="D15" i="2330" s="1"/>
  <c r="R14" i="2330"/>
  <c r="L14" i="2330"/>
  <c r="D14" i="2330"/>
  <c r="R13" i="2330"/>
  <c r="D13" i="2330"/>
  <c r="R12" i="2330"/>
  <c r="L12" i="2330"/>
  <c r="D12" i="2330" s="1"/>
  <c r="R11" i="2330"/>
  <c r="L11" i="2330"/>
  <c r="D11" i="2330" s="1"/>
  <c r="L8" i="2330"/>
  <c r="D8" i="2330"/>
  <c r="L7" i="2330"/>
  <c r="D7" i="2330"/>
  <c r="R6" i="2330"/>
  <c r="L16" i="2330" s="1"/>
  <c r="D16" i="2330" s="1"/>
  <c r="R5" i="2330"/>
  <c r="R4" i="2330"/>
  <c r="V68" i="2329"/>
  <c r="R52" i="2329"/>
  <c r="R51" i="2329"/>
  <c r="D50" i="2329"/>
  <c r="R49" i="2329"/>
  <c r="D49" i="2329"/>
  <c r="R48" i="2329"/>
  <c r="D48" i="2329"/>
  <c r="D46" i="2329"/>
  <c r="D45" i="2329"/>
  <c r="R44" i="2329"/>
  <c r="D44" i="2329"/>
  <c r="R42" i="2329"/>
  <c r="L6" i="2329" s="1"/>
  <c r="D6" i="2329" s="1"/>
  <c r="D42" i="2329"/>
  <c r="R41" i="2329"/>
  <c r="D41" i="2329"/>
  <c r="R40" i="2329"/>
  <c r="L8" i="2329" s="1"/>
  <c r="D8" i="2329" s="1"/>
  <c r="D40" i="2329"/>
  <c r="R39" i="2329"/>
  <c r="H39" i="2329"/>
  <c r="D39" i="2329"/>
  <c r="R38" i="2329"/>
  <c r="H38" i="2329"/>
  <c r="D38" i="2329"/>
  <c r="R37" i="2329"/>
  <c r="H37" i="2329"/>
  <c r="D37" i="2329"/>
  <c r="R36" i="2329"/>
  <c r="L10" i="2329" s="1"/>
  <c r="D10" i="2329" s="1"/>
  <c r="H36" i="2329"/>
  <c r="D36" i="2329"/>
  <c r="R35" i="2329"/>
  <c r="H35" i="2329"/>
  <c r="D35" i="2329"/>
  <c r="R34" i="2329"/>
  <c r="L12" i="2329" s="1"/>
  <c r="D12" i="2329" s="1"/>
  <c r="H34" i="2329"/>
  <c r="D34" i="2329"/>
  <c r="R33" i="2329"/>
  <c r="R32" i="2329"/>
  <c r="R31" i="2329"/>
  <c r="R30" i="2329"/>
  <c r="R29" i="2329"/>
  <c r="R28" i="2329"/>
  <c r="L28" i="2329"/>
  <c r="D28" i="2329" s="1"/>
  <c r="R27" i="2329"/>
  <c r="L27" i="2329"/>
  <c r="D27" i="2329"/>
  <c r="R26" i="2329"/>
  <c r="L26" i="2329"/>
  <c r="D26" i="2329" s="1"/>
  <c r="R25" i="2329"/>
  <c r="L25" i="2329"/>
  <c r="D25" i="2329"/>
  <c r="R24" i="2329"/>
  <c r="L24" i="2329"/>
  <c r="D24" i="2329"/>
  <c r="R23" i="2329"/>
  <c r="L23" i="2329"/>
  <c r="D23" i="2329"/>
  <c r="R22" i="2329"/>
  <c r="L22" i="2329"/>
  <c r="D22" i="2329"/>
  <c r="R21" i="2329"/>
  <c r="L17" i="2329" s="1"/>
  <c r="D17" i="2329" s="1"/>
  <c r="L21" i="2329"/>
  <c r="D21" i="2329" s="1"/>
  <c r="R20" i="2329"/>
  <c r="L20" i="2329"/>
  <c r="D20" i="2329" s="1"/>
  <c r="R19" i="2329"/>
  <c r="L19" i="2329"/>
  <c r="D19" i="2329"/>
  <c r="R18" i="2329"/>
  <c r="L18" i="2329"/>
  <c r="D18" i="2329"/>
  <c r="R17" i="2329"/>
  <c r="R16" i="2329"/>
  <c r="R15" i="2329"/>
  <c r="R14" i="2329"/>
  <c r="D14" i="2329"/>
  <c r="R13" i="2329"/>
  <c r="D13" i="2329"/>
  <c r="R12" i="2329"/>
  <c r="R11" i="2329"/>
  <c r="L11" i="2329"/>
  <c r="D11" i="2329"/>
  <c r="L9" i="2329"/>
  <c r="D9" i="2329" s="1"/>
  <c r="L7" i="2329"/>
  <c r="D7" i="2329"/>
  <c r="R6" i="2329"/>
  <c r="L16" i="2329" s="1"/>
  <c r="D16" i="2329" s="1"/>
  <c r="R5" i="2329"/>
  <c r="R4" i="2329"/>
  <c r="L15" i="2329" s="1"/>
  <c r="D15" i="2329" s="1"/>
  <c r="R52" i="2328"/>
  <c r="R51" i="2328"/>
  <c r="D50" i="2328"/>
  <c r="R49" i="2328"/>
  <c r="G49" i="2328"/>
  <c r="D49" i="2328"/>
  <c r="R48" i="2328"/>
  <c r="D48" i="2328"/>
  <c r="D46" i="2328"/>
  <c r="D45" i="2328"/>
  <c r="D44" i="2328"/>
  <c r="R42" i="2328"/>
  <c r="L6" i="2328" s="1"/>
  <c r="D6" i="2328" s="1"/>
  <c r="D42" i="2328"/>
  <c r="R41" i="2328"/>
  <c r="L7" i="2328" s="1"/>
  <c r="D7" i="2328" s="1"/>
  <c r="D41" i="2328"/>
  <c r="R40" i="2328"/>
  <c r="D40" i="2328"/>
  <c r="R39" i="2328"/>
  <c r="D39" i="2328"/>
  <c r="R38" i="2328"/>
  <c r="D38" i="2328"/>
  <c r="R37" i="2328"/>
  <c r="D37" i="2328"/>
  <c r="R36" i="2328"/>
  <c r="L10" i="2328" s="1"/>
  <c r="D10" i="2328" s="1"/>
  <c r="D36" i="2328"/>
  <c r="R35" i="2328"/>
  <c r="D35" i="2328"/>
  <c r="R34" i="2328"/>
  <c r="L12" i="2328" s="1"/>
  <c r="D12" i="2328" s="1"/>
  <c r="D34" i="2328"/>
  <c r="D54" i="2328" s="1"/>
  <c r="H14" i="2328" s="1"/>
  <c r="R33" i="2328"/>
  <c r="L23" i="2328" s="1"/>
  <c r="D23" i="2328" s="1"/>
  <c r="R32" i="2328"/>
  <c r="R31" i="2328"/>
  <c r="R30" i="2328"/>
  <c r="R29" i="2328"/>
  <c r="R28" i="2328"/>
  <c r="L16" i="2328" s="1"/>
  <c r="D16" i="2328" s="1"/>
  <c r="D28" i="2328"/>
  <c r="R27" i="2328"/>
  <c r="D27" i="2328"/>
  <c r="R26" i="2328"/>
  <c r="L26" i="2328"/>
  <c r="D26" i="2328"/>
  <c r="R25" i="2328"/>
  <c r="L25" i="2328"/>
  <c r="D25" i="2328"/>
  <c r="R24" i="2328"/>
  <c r="D24" i="2328"/>
  <c r="R23" i="2328"/>
  <c r="R22" i="2328"/>
  <c r="L22" i="2328"/>
  <c r="D22" i="2328"/>
  <c r="R21" i="2328"/>
  <c r="D21" i="2328"/>
  <c r="R20" i="2328"/>
  <c r="L20" i="2328"/>
  <c r="D20" i="2328"/>
  <c r="R19" i="2328"/>
  <c r="L19" i="2328"/>
  <c r="D19" i="2328"/>
  <c r="R18" i="2328"/>
  <c r="D18" i="2328"/>
  <c r="R17" i="2328"/>
  <c r="D17" i="2328"/>
  <c r="R16" i="2328"/>
  <c r="S15" i="2328"/>
  <c r="R15" i="2328"/>
  <c r="D15" i="2328"/>
  <c r="S14" i="2328"/>
  <c r="R14" i="2328"/>
  <c r="D14" i="2328"/>
  <c r="R13" i="2328"/>
  <c r="D13" i="2328"/>
  <c r="R12" i="2328"/>
  <c r="R11" i="2328"/>
  <c r="L11" i="2328"/>
  <c r="D11" i="2328"/>
  <c r="L9" i="2328"/>
  <c r="D9" i="2328"/>
  <c r="L8" i="2328"/>
  <c r="D8" i="2328"/>
  <c r="R6" i="2328"/>
  <c r="R5" i="2328"/>
  <c r="R4" i="2328"/>
  <c r="D54" i="2331" l="1"/>
  <c r="H14" i="2331" s="1"/>
  <c r="D29" i="2331"/>
  <c r="H13" i="2331" s="1"/>
  <c r="D54" i="2330"/>
  <c r="H14" i="2330" s="1"/>
  <c r="D54" i="2329"/>
  <c r="H14" i="2329" s="1"/>
  <c r="G49" i="2329"/>
  <c r="D29" i="2330"/>
  <c r="H13" i="2330" s="1"/>
  <c r="D29" i="2329"/>
  <c r="H13" i="2329" s="1"/>
  <c r="D29" i="2328"/>
  <c r="H13" i="2328" s="1"/>
  <c r="H15" i="2328" s="1"/>
  <c r="H29" i="2328" s="1"/>
  <c r="G51" i="2328" s="1"/>
  <c r="R52" i="2316"/>
  <c r="R51" i="2316"/>
  <c r="D50" i="2316"/>
  <c r="R49" i="2316"/>
  <c r="D49" i="2316"/>
  <c r="R48" i="2316"/>
  <c r="D48" i="2316"/>
  <c r="D46" i="2316"/>
  <c r="D45" i="2316"/>
  <c r="R44" i="2316"/>
  <c r="L28" i="2316" s="1"/>
  <c r="D28" i="2316" s="1"/>
  <c r="D44" i="2316"/>
  <c r="R42" i="2316"/>
  <c r="D42" i="2316"/>
  <c r="R41" i="2316"/>
  <c r="D41" i="2316"/>
  <c r="R40" i="2316"/>
  <c r="L8" i="2316" s="1"/>
  <c r="D8" i="2316" s="1"/>
  <c r="D40" i="2316"/>
  <c r="R39" i="2316"/>
  <c r="H39" i="2316"/>
  <c r="D39" i="2316"/>
  <c r="R38" i="2316"/>
  <c r="L9" i="2316" s="1"/>
  <c r="D9" i="2316" s="1"/>
  <c r="H38" i="2316"/>
  <c r="D38" i="2316"/>
  <c r="R37" i="2316"/>
  <c r="H37" i="2316"/>
  <c r="D37" i="2316"/>
  <c r="R36" i="2316"/>
  <c r="H36" i="2316"/>
  <c r="D36" i="2316"/>
  <c r="R35" i="2316"/>
  <c r="H35" i="2316"/>
  <c r="D35" i="2316"/>
  <c r="R34" i="2316"/>
  <c r="L12" i="2316" s="1"/>
  <c r="D12" i="2316" s="1"/>
  <c r="H34" i="2316"/>
  <c r="D34" i="2316"/>
  <c r="R33" i="2316"/>
  <c r="R32" i="2316"/>
  <c r="R31" i="2316"/>
  <c r="R30" i="2316"/>
  <c r="R29" i="2316"/>
  <c r="R28" i="2316"/>
  <c r="R27" i="2316"/>
  <c r="L27" i="2316"/>
  <c r="D27" i="2316"/>
  <c r="R26" i="2316"/>
  <c r="L26" i="2316"/>
  <c r="D26" i="2316" s="1"/>
  <c r="R25" i="2316"/>
  <c r="L25" i="2316"/>
  <c r="D25" i="2316"/>
  <c r="R24" i="2316"/>
  <c r="L24" i="2316"/>
  <c r="D24" i="2316"/>
  <c r="R23" i="2316"/>
  <c r="L23" i="2316"/>
  <c r="D23" i="2316"/>
  <c r="R22" i="2316"/>
  <c r="L20" i="2316" s="1"/>
  <c r="D20" i="2316" s="1"/>
  <c r="L22" i="2316"/>
  <c r="D22" i="2316"/>
  <c r="R21" i="2316"/>
  <c r="L17" i="2316" s="1"/>
  <c r="D17" i="2316" s="1"/>
  <c r="D21" i="2316"/>
  <c r="R20" i="2316"/>
  <c r="R19" i="2316"/>
  <c r="L19" i="2316"/>
  <c r="D19" i="2316"/>
  <c r="R18" i="2316"/>
  <c r="L18" i="2316"/>
  <c r="D18" i="2316"/>
  <c r="R17" i="2316"/>
  <c r="R16" i="2316"/>
  <c r="R15" i="2316"/>
  <c r="L15" i="2316"/>
  <c r="D15" i="2316" s="1"/>
  <c r="R14" i="2316"/>
  <c r="D14" i="2316"/>
  <c r="R13" i="2316"/>
  <c r="D13" i="2316"/>
  <c r="R12" i="2316"/>
  <c r="R11" i="2316"/>
  <c r="L11" i="2316"/>
  <c r="D11" i="2316"/>
  <c r="L10" i="2316"/>
  <c r="D10" i="2316"/>
  <c r="L7" i="2316"/>
  <c r="D7" i="2316"/>
  <c r="R6" i="2316"/>
  <c r="L16" i="2316" s="1"/>
  <c r="D16" i="2316" s="1"/>
  <c r="L6" i="2316"/>
  <c r="D6" i="2316" s="1"/>
  <c r="R5" i="2316"/>
  <c r="R4" i="2316"/>
  <c r="R52" i="2315"/>
  <c r="R51" i="2315"/>
  <c r="D50" i="2315"/>
  <c r="R49" i="2315"/>
  <c r="D49" i="2315"/>
  <c r="R48" i="2315"/>
  <c r="D48" i="2315"/>
  <c r="D46" i="2315"/>
  <c r="D45" i="2315"/>
  <c r="R44" i="2315"/>
  <c r="L28" i="2315" s="1"/>
  <c r="D28" i="2315" s="1"/>
  <c r="D44" i="2315"/>
  <c r="R42" i="2315"/>
  <c r="L6" i="2315" s="1"/>
  <c r="D6" i="2315" s="1"/>
  <c r="D42" i="2315"/>
  <c r="R41" i="2315"/>
  <c r="L7" i="2315" s="1"/>
  <c r="D7" i="2315" s="1"/>
  <c r="D41" i="2315"/>
  <c r="R40" i="2315"/>
  <c r="L8" i="2315" s="1"/>
  <c r="D8" i="2315" s="1"/>
  <c r="D40" i="2315"/>
  <c r="R39" i="2315"/>
  <c r="H39" i="2315"/>
  <c r="D39" i="2315"/>
  <c r="R38" i="2315"/>
  <c r="H38" i="2315"/>
  <c r="D38" i="2315"/>
  <c r="R37" i="2315"/>
  <c r="H37" i="2315"/>
  <c r="D37" i="2315"/>
  <c r="R36" i="2315"/>
  <c r="H36" i="2315"/>
  <c r="D36" i="2315"/>
  <c r="R35" i="2315"/>
  <c r="L18" i="2315" s="1"/>
  <c r="D18" i="2315" s="1"/>
  <c r="H35" i="2315"/>
  <c r="D35" i="2315"/>
  <c r="D54" i="2315" s="1"/>
  <c r="H14" i="2315" s="1"/>
  <c r="R34" i="2315"/>
  <c r="L12" i="2315" s="1"/>
  <c r="D12" i="2315" s="1"/>
  <c r="H34" i="2315"/>
  <c r="D34" i="2315"/>
  <c r="R33" i="2315"/>
  <c r="L19" i="2315" s="1"/>
  <c r="D19" i="2315" s="1"/>
  <c r="R32" i="2315"/>
  <c r="R31" i="2315"/>
  <c r="R30" i="2315"/>
  <c r="R29" i="2315"/>
  <c r="R28" i="2315"/>
  <c r="R27" i="2315"/>
  <c r="L27" i="2315"/>
  <c r="D27" i="2315"/>
  <c r="R26" i="2315"/>
  <c r="L26" i="2315"/>
  <c r="D26" i="2315" s="1"/>
  <c r="R25" i="2315"/>
  <c r="L25" i="2315"/>
  <c r="D25" i="2315" s="1"/>
  <c r="R24" i="2315"/>
  <c r="L24" i="2315"/>
  <c r="D24" i="2315"/>
  <c r="R23" i="2315"/>
  <c r="L23" i="2315"/>
  <c r="D23" i="2315"/>
  <c r="R22" i="2315"/>
  <c r="L20" i="2315" s="1"/>
  <c r="D20" i="2315" s="1"/>
  <c r="L22" i="2315"/>
  <c r="D22" i="2315" s="1"/>
  <c r="R21" i="2315"/>
  <c r="L17" i="2315" s="1"/>
  <c r="D17" i="2315" s="1"/>
  <c r="D21" i="2315"/>
  <c r="R20" i="2315"/>
  <c r="R19" i="2315"/>
  <c r="R18" i="2315"/>
  <c r="R17" i="2315"/>
  <c r="R16" i="2315"/>
  <c r="R15" i="2315"/>
  <c r="R14" i="2315"/>
  <c r="L14" i="2315"/>
  <c r="D14" i="2315"/>
  <c r="R13" i="2315"/>
  <c r="D13" i="2315"/>
  <c r="R12" i="2315"/>
  <c r="R11" i="2315"/>
  <c r="L11" i="2315"/>
  <c r="D11" i="2315"/>
  <c r="L10" i="2315"/>
  <c r="D10" i="2315" s="1"/>
  <c r="L9" i="2315"/>
  <c r="D9" i="2315" s="1"/>
  <c r="R6" i="2315"/>
  <c r="L16" i="2315" s="1"/>
  <c r="D16" i="2315" s="1"/>
  <c r="R5" i="2315"/>
  <c r="R4" i="2315"/>
  <c r="L15" i="2315" s="1"/>
  <c r="D15" i="2315" s="1"/>
  <c r="V68" i="2314"/>
  <c r="R52" i="2314"/>
  <c r="R51" i="2314"/>
  <c r="D50" i="2314"/>
  <c r="R49" i="2314"/>
  <c r="D49" i="2314"/>
  <c r="R48" i="2314"/>
  <c r="D48" i="2314"/>
  <c r="D46" i="2314"/>
  <c r="D45" i="2314"/>
  <c r="R44" i="2314"/>
  <c r="L28" i="2314" s="1"/>
  <c r="D28" i="2314" s="1"/>
  <c r="D44" i="2314"/>
  <c r="R42" i="2314"/>
  <c r="D42" i="2314"/>
  <c r="R41" i="2314"/>
  <c r="D41" i="2314"/>
  <c r="R40" i="2314"/>
  <c r="D40" i="2314"/>
  <c r="R39" i="2314"/>
  <c r="H39" i="2314"/>
  <c r="D39" i="2314"/>
  <c r="R38" i="2314"/>
  <c r="L9" i="2314" s="1"/>
  <c r="D9" i="2314" s="1"/>
  <c r="H38" i="2314"/>
  <c r="D38" i="2314"/>
  <c r="R37" i="2314"/>
  <c r="H37" i="2314"/>
  <c r="D37" i="2314"/>
  <c r="R36" i="2314"/>
  <c r="L10" i="2314" s="1"/>
  <c r="D10" i="2314" s="1"/>
  <c r="H36" i="2314"/>
  <c r="D36" i="2314"/>
  <c r="R35" i="2314"/>
  <c r="H35" i="2314"/>
  <c r="D35" i="2314"/>
  <c r="R34" i="2314"/>
  <c r="L12" i="2314" s="1"/>
  <c r="D12" i="2314" s="1"/>
  <c r="H34" i="2314"/>
  <c r="D34" i="2314"/>
  <c r="D54" i="2314" s="1"/>
  <c r="H14" i="2314" s="1"/>
  <c r="R33" i="2314"/>
  <c r="R32" i="2314"/>
  <c r="L11" i="2314" s="1"/>
  <c r="D11" i="2314" s="1"/>
  <c r="R31" i="2314"/>
  <c r="R30" i="2314"/>
  <c r="R29" i="2314"/>
  <c r="R28" i="2314"/>
  <c r="R27" i="2314"/>
  <c r="L27" i="2314"/>
  <c r="D27" i="2314"/>
  <c r="R26" i="2314"/>
  <c r="L26" i="2314"/>
  <c r="D26" i="2314"/>
  <c r="R25" i="2314"/>
  <c r="L25" i="2314"/>
  <c r="D25" i="2314"/>
  <c r="R24" i="2314"/>
  <c r="L24" i="2314"/>
  <c r="D24" i="2314" s="1"/>
  <c r="R23" i="2314"/>
  <c r="L23" i="2314"/>
  <c r="D23" i="2314" s="1"/>
  <c r="R22" i="2314"/>
  <c r="L22" i="2314"/>
  <c r="D22" i="2314" s="1"/>
  <c r="R21" i="2314"/>
  <c r="L17" i="2314" s="1"/>
  <c r="D17" i="2314" s="1"/>
  <c r="L21" i="2314"/>
  <c r="D21" i="2314" s="1"/>
  <c r="R20" i="2314"/>
  <c r="L20" i="2314"/>
  <c r="D20" i="2314"/>
  <c r="R19" i="2314"/>
  <c r="L19" i="2314"/>
  <c r="D19" i="2314"/>
  <c r="R18" i="2314"/>
  <c r="L18" i="2314"/>
  <c r="D18" i="2314"/>
  <c r="R17" i="2314"/>
  <c r="R16" i="2314"/>
  <c r="R15" i="2314"/>
  <c r="R14" i="2314"/>
  <c r="D14" i="2314"/>
  <c r="R13" i="2314"/>
  <c r="D13" i="2314"/>
  <c r="R12" i="2314"/>
  <c r="R11" i="2314"/>
  <c r="L8" i="2314"/>
  <c r="D8" i="2314" s="1"/>
  <c r="L7" i="2314"/>
  <c r="D7" i="2314"/>
  <c r="R6" i="2314"/>
  <c r="L16" i="2314" s="1"/>
  <c r="D16" i="2314" s="1"/>
  <c r="L6" i="2314"/>
  <c r="D6" i="2314" s="1"/>
  <c r="R5" i="2314"/>
  <c r="R4" i="2314"/>
  <c r="L15" i="2314" s="1"/>
  <c r="D15" i="2314" s="1"/>
  <c r="R52" i="2313"/>
  <c r="R51" i="2313"/>
  <c r="D50" i="2313"/>
  <c r="R49" i="2313"/>
  <c r="G49" i="2313"/>
  <c r="D49" i="2313"/>
  <c r="R48" i="2313"/>
  <c r="D48" i="2313"/>
  <c r="D46" i="2313"/>
  <c r="D45" i="2313"/>
  <c r="D44" i="2313"/>
  <c r="R42" i="2313"/>
  <c r="D42" i="2313"/>
  <c r="R41" i="2313"/>
  <c r="L7" i="2313" s="1"/>
  <c r="D7" i="2313" s="1"/>
  <c r="D41" i="2313"/>
  <c r="R40" i="2313"/>
  <c r="D40" i="2313"/>
  <c r="R39" i="2313"/>
  <c r="D39" i="2313"/>
  <c r="R38" i="2313"/>
  <c r="D38" i="2313"/>
  <c r="R37" i="2313"/>
  <c r="D37" i="2313"/>
  <c r="R36" i="2313"/>
  <c r="D36" i="2313"/>
  <c r="R35" i="2313"/>
  <c r="D35" i="2313"/>
  <c r="R34" i="2313"/>
  <c r="D34" i="2313"/>
  <c r="D54" i="2313" s="1"/>
  <c r="H14" i="2313" s="1"/>
  <c r="R33" i="2313"/>
  <c r="R32" i="2313"/>
  <c r="R31" i="2313"/>
  <c r="R30" i="2313"/>
  <c r="R29" i="2313"/>
  <c r="R28" i="2313"/>
  <c r="L16" i="2313" s="1"/>
  <c r="D16" i="2313" s="1"/>
  <c r="D28" i="2313"/>
  <c r="R27" i="2313"/>
  <c r="D27" i="2313"/>
  <c r="R26" i="2313"/>
  <c r="L26" i="2313"/>
  <c r="D26" i="2313"/>
  <c r="R25" i="2313"/>
  <c r="L25" i="2313"/>
  <c r="D25" i="2313"/>
  <c r="R24" i="2313"/>
  <c r="D24" i="2313"/>
  <c r="R23" i="2313"/>
  <c r="L23" i="2313"/>
  <c r="D23" i="2313"/>
  <c r="R22" i="2313"/>
  <c r="L22" i="2313"/>
  <c r="D22" i="2313"/>
  <c r="R21" i="2313"/>
  <c r="D21" i="2313"/>
  <c r="R20" i="2313"/>
  <c r="L20" i="2313"/>
  <c r="D20" i="2313"/>
  <c r="R19" i="2313"/>
  <c r="L19" i="2313"/>
  <c r="D19" i="2313"/>
  <c r="R18" i="2313"/>
  <c r="D18" i="2313"/>
  <c r="R17" i="2313"/>
  <c r="D17" i="2313"/>
  <c r="R16" i="2313"/>
  <c r="S15" i="2313"/>
  <c r="R15" i="2313"/>
  <c r="D15" i="2313"/>
  <c r="S14" i="2313"/>
  <c r="R14" i="2313"/>
  <c r="D14" i="2313"/>
  <c r="R13" i="2313"/>
  <c r="D13" i="2313"/>
  <c r="R12" i="2313"/>
  <c r="L12" i="2313"/>
  <c r="D12" i="2313"/>
  <c r="R11" i="2313"/>
  <c r="L11" i="2313"/>
  <c r="D11" i="2313"/>
  <c r="L10" i="2313"/>
  <c r="D10" i="2313" s="1"/>
  <c r="L9" i="2313"/>
  <c r="D9" i="2313" s="1"/>
  <c r="L8" i="2313"/>
  <c r="D8" i="2313" s="1"/>
  <c r="R6" i="2313"/>
  <c r="L6" i="2313"/>
  <c r="D6" i="2313"/>
  <c r="R5" i="2313"/>
  <c r="R4" i="2313"/>
  <c r="H15" i="2331" l="1"/>
  <c r="H29" i="2331" s="1"/>
  <c r="F51" i="2331" s="1"/>
  <c r="H15" i="2330"/>
  <c r="H29" i="2330" s="1"/>
  <c r="F51" i="2330" s="1"/>
  <c r="H15" i="2329"/>
  <c r="H29" i="2329" s="1"/>
  <c r="F51" i="2329" s="1"/>
  <c r="G49" i="2316"/>
  <c r="D54" i="2316"/>
  <c r="H14" i="2316" s="1"/>
  <c r="G49" i="2315"/>
  <c r="G49" i="2314"/>
  <c r="D29" i="2316"/>
  <c r="H13" i="2316" s="1"/>
  <c r="D29" i="2315"/>
  <c r="H13" i="2315" s="1"/>
  <c r="H15" i="2315" s="1"/>
  <c r="H29" i="2315" s="1"/>
  <c r="D29" i="2314"/>
  <c r="H13" i="2314" s="1"/>
  <c r="H15" i="2314" s="1"/>
  <c r="H29" i="2314" s="1"/>
  <c r="D29" i="2313"/>
  <c r="H13" i="2313" s="1"/>
  <c r="H15" i="2313" s="1"/>
  <c r="H29" i="2313" s="1"/>
  <c r="G51" i="2313"/>
  <c r="C16" i="2306"/>
  <c r="G51" i="2331" l="1"/>
  <c r="G51" i="2330"/>
  <c r="G51" i="2329"/>
  <c r="H15" i="2316"/>
  <c r="H29" i="2316" s="1"/>
  <c r="F51" i="2315"/>
  <c r="G51" i="2315"/>
  <c r="F51" i="2314"/>
  <c r="G51" i="2314"/>
  <c r="C16" i="2302"/>
  <c r="C12" i="2302"/>
  <c r="F51" i="2316" l="1"/>
  <c r="G51" i="2316"/>
  <c r="G51" i="2294"/>
  <c r="C16" i="2295" l="1"/>
  <c r="H16" i="2294"/>
  <c r="C19" i="2294" l="1"/>
  <c r="R52" i="2312" l="1"/>
  <c r="R51" i="2312"/>
  <c r="D50" i="2312"/>
  <c r="R49" i="2312"/>
  <c r="D49" i="2312"/>
  <c r="R48" i="2312"/>
  <c r="D48" i="2312"/>
  <c r="D46" i="2312"/>
  <c r="D45" i="2312"/>
  <c r="R44" i="2312"/>
  <c r="D44" i="2312"/>
  <c r="R42" i="2312"/>
  <c r="L6" i="2312" s="1"/>
  <c r="D6" i="2312" s="1"/>
  <c r="D42" i="2312"/>
  <c r="R41" i="2312"/>
  <c r="D41" i="2312"/>
  <c r="R40" i="2312"/>
  <c r="D40" i="2312"/>
  <c r="R39" i="2312"/>
  <c r="H39" i="2312"/>
  <c r="D39" i="2312"/>
  <c r="R38" i="2312"/>
  <c r="H38" i="2312"/>
  <c r="D38" i="2312"/>
  <c r="R37" i="2312"/>
  <c r="H37" i="2312"/>
  <c r="D37" i="2312"/>
  <c r="R36" i="2312"/>
  <c r="H36" i="2312"/>
  <c r="D36" i="2312"/>
  <c r="R35" i="2312"/>
  <c r="H35" i="2312"/>
  <c r="D35" i="2312"/>
  <c r="R34" i="2312"/>
  <c r="L12" i="2312" s="1"/>
  <c r="D12" i="2312" s="1"/>
  <c r="H34" i="2312"/>
  <c r="D34" i="2312"/>
  <c r="R33" i="2312"/>
  <c r="L19" i="2312" s="1"/>
  <c r="D19" i="2312" s="1"/>
  <c r="R32" i="2312"/>
  <c r="R31" i="2312"/>
  <c r="R30" i="2312"/>
  <c r="R29" i="2312"/>
  <c r="R28" i="2312"/>
  <c r="L28" i="2312"/>
  <c r="D28" i="2312" s="1"/>
  <c r="R27" i="2312"/>
  <c r="L27" i="2312"/>
  <c r="D27" i="2312" s="1"/>
  <c r="R26" i="2312"/>
  <c r="L26" i="2312"/>
  <c r="D26" i="2312" s="1"/>
  <c r="R25" i="2312"/>
  <c r="L25" i="2312"/>
  <c r="D25" i="2312"/>
  <c r="R24" i="2312"/>
  <c r="L24" i="2312"/>
  <c r="D24" i="2312"/>
  <c r="R23" i="2312"/>
  <c r="L23" i="2312"/>
  <c r="D23" i="2312"/>
  <c r="R22" i="2312"/>
  <c r="L22" i="2312"/>
  <c r="D22" i="2312"/>
  <c r="R21" i="2312"/>
  <c r="L17" i="2312" s="1"/>
  <c r="D17" i="2312" s="1"/>
  <c r="D21" i="2312"/>
  <c r="R20" i="2312"/>
  <c r="L20" i="2312"/>
  <c r="D20" i="2312" s="1"/>
  <c r="R19" i="2312"/>
  <c r="R18" i="2312"/>
  <c r="L18" i="2312"/>
  <c r="D18" i="2312" s="1"/>
  <c r="R17" i="2312"/>
  <c r="R16" i="2312"/>
  <c r="R15" i="2312"/>
  <c r="R14" i="2312"/>
  <c r="D14" i="2312"/>
  <c r="R13" i="2312"/>
  <c r="D13" i="2312"/>
  <c r="R12" i="2312"/>
  <c r="R11" i="2312"/>
  <c r="L11" i="2312"/>
  <c r="D11" i="2312"/>
  <c r="L10" i="2312"/>
  <c r="D10" i="2312" s="1"/>
  <c r="L9" i="2312"/>
  <c r="D9" i="2312" s="1"/>
  <c r="L8" i="2312"/>
  <c r="D8" i="2312" s="1"/>
  <c r="L7" i="2312"/>
  <c r="D7" i="2312"/>
  <c r="R6" i="2312"/>
  <c r="L16" i="2312" s="1"/>
  <c r="D16" i="2312" s="1"/>
  <c r="R5" i="2312"/>
  <c r="R4" i="2312"/>
  <c r="L15" i="2312" s="1"/>
  <c r="D15" i="2312" s="1"/>
  <c r="R52" i="2311"/>
  <c r="R51" i="2311"/>
  <c r="D50" i="2311"/>
  <c r="R49" i="2311"/>
  <c r="D49" i="2311"/>
  <c r="R48" i="2311"/>
  <c r="D48" i="2311"/>
  <c r="D46" i="2311"/>
  <c r="D45" i="2311"/>
  <c r="R44" i="2311"/>
  <c r="L28" i="2311" s="1"/>
  <c r="D28" i="2311" s="1"/>
  <c r="D44" i="2311"/>
  <c r="R42" i="2311"/>
  <c r="L6" i="2311" s="1"/>
  <c r="D6" i="2311" s="1"/>
  <c r="D42" i="2311"/>
  <c r="R41" i="2311"/>
  <c r="D41" i="2311"/>
  <c r="R40" i="2311"/>
  <c r="D40" i="2311"/>
  <c r="R39" i="2311"/>
  <c r="H39" i="2311"/>
  <c r="D39" i="2311"/>
  <c r="R38" i="2311"/>
  <c r="L9" i="2311" s="1"/>
  <c r="D9" i="2311" s="1"/>
  <c r="H38" i="2311"/>
  <c r="D38" i="2311"/>
  <c r="R37" i="2311"/>
  <c r="H37" i="2311"/>
  <c r="D37" i="2311"/>
  <c r="R36" i="2311"/>
  <c r="H36" i="2311"/>
  <c r="D36" i="2311"/>
  <c r="R35" i="2311"/>
  <c r="H35" i="2311"/>
  <c r="D35" i="2311"/>
  <c r="R34" i="2311"/>
  <c r="L12" i="2311" s="1"/>
  <c r="D12" i="2311" s="1"/>
  <c r="H34" i="2311"/>
  <c r="D34" i="2311"/>
  <c r="R33" i="2311"/>
  <c r="R32" i="2311"/>
  <c r="L11" i="2311" s="1"/>
  <c r="D11" i="2311" s="1"/>
  <c r="R31" i="2311"/>
  <c r="R30" i="2311"/>
  <c r="R29" i="2311"/>
  <c r="R28" i="2311"/>
  <c r="R27" i="2311"/>
  <c r="L27" i="2311"/>
  <c r="D27" i="2311" s="1"/>
  <c r="R26" i="2311"/>
  <c r="L26" i="2311"/>
  <c r="D26" i="2311" s="1"/>
  <c r="R25" i="2311"/>
  <c r="L25" i="2311"/>
  <c r="D25" i="2311" s="1"/>
  <c r="R24" i="2311"/>
  <c r="L24" i="2311"/>
  <c r="D24" i="2311"/>
  <c r="R23" i="2311"/>
  <c r="L23" i="2311"/>
  <c r="D23" i="2311"/>
  <c r="R22" i="2311"/>
  <c r="L20" i="2311" s="1"/>
  <c r="D20" i="2311" s="1"/>
  <c r="L22" i="2311"/>
  <c r="D22" i="2311"/>
  <c r="R21" i="2311"/>
  <c r="D21" i="2311"/>
  <c r="R20" i="2311"/>
  <c r="R19" i="2311"/>
  <c r="L19" i="2311"/>
  <c r="D19" i="2311"/>
  <c r="R18" i="2311"/>
  <c r="L18" i="2311"/>
  <c r="D18" i="2311"/>
  <c r="R17" i="2311"/>
  <c r="L17" i="2311"/>
  <c r="D17" i="2311" s="1"/>
  <c r="R16" i="2311"/>
  <c r="R15" i="2311"/>
  <c r="L15" i="2311"/>
  <c r="D15" i="2311" s="1"/>
  <c r="R14" i="2311"/>
  <c r="L14" i="2311"/>
  <c r="D14" i="2311"/>
  <c r="R13" i="2311"/>
  <c r="D13" i="2311"/>
  <c r="R12" i="2311"/>
  <c r="R11" i="2311"/>
  <c r="L10" i="2311"/>
  <c r="D10" i="2311" s="1"/>
  <c r="L8" i="2311"/>
  <c r="D8" i="2311"/>
  <c r="L7" i="2311"/>
  <c r="D7" i="2311"/>
  <c r="R6" i="2311"/>
  <c r="L16" i="2311" s="1"/>
  <c r="D16" i="2311" s="1"/>
  <c r="R5" i="2311"/>
  <c r="R4" i="2311"/>
  <c r="V68" i="2310"/>
  <c r="R52" i="2310"/>
  <c r="R51" i="2310"/>
  <c r="D50" i="2310"/>
  <c r="R49" i="2310"/>
  <c r="D49" i="2310"/>
  <c r="R48" i="2310"/>
  <c r="D48" i="2310"/>
  <c r="D46" i="2310"/>
  <c r="D45" i="2310"/>
  <c r="R44" i="2310"/>
  <c r="L28" i="2310" s="1"/>
  <c r="D28" i="2310" s="1"/>
  <c r="D44" i="2310"/>
  <c r="R42" i="2310"/>
  <c r="D42" i="2310"/>
  <c r="R41" i="2310"/>
  <c r="D41" i="2310"/>
  <c r="R40" i="2310"/>
  <c r="D40" i="2310"/>
  <c r="R39" i="2310"/>
  <c r="H39" i="2310"/>
  <c r="D39" i="2310"/>
  <c r="R38" i="2310"/>
  <c r="H38" i="2310"/>
  <c r="D38" i="2310"/>
  <c r="R37" i="2310"/>
  <c r="H37" i="2310"/>
  <c r="G49" i="2310" s="1"/>
  <c r="D37" i="2310"/>
  <c r="R36" i="2310"/>
  <c r="L10" i="2310" s="1"/>
  <c r="D10" i="2310" s="1"/>
  <c r="H36" i="2310"/>
  <c r="D36" i="2310"/>
  <c r="R35" i="2310"/>
  <c r="L18" i="2310" s="1"/>
  <c r="D18" i="2310" s="1"/>
  <c r="H35" i="2310"/>
  <c r="D35" i="2310"/>
  <c r="R34" i="2310"/>
  <c r="L12" i="2310" s="1"/>
  <c r="D12" i="2310" s="1"/>
  <c r="H34" i="2310"/>
  <c r="D34" i="2310"/>
  <c r="D54" i="2310" s="1"/>
  <c r="H14" i="2310" s="1"/>
  <c r="R33" i="2310"/>
  <c r="R32" i="2310"/>
  <c r="R31" i="2310"/>
  <c r="R30" i="2310"/>
  <c r="R29" i="2310"/>
  <c r="R28" i="2310"/>
  <c r="R27" i="2310"/>
  <c r="L27" i="2310"/>
  <c r="D27" i="2310"/>
  <c r="R26" i="2310"/>
  <c r="L26" i="2310"/>
  <c r="D26" i="2310"/>
  <c r="R25" i="2310"/>
  <c r="L25" i="2310"/>
  <c r="D25" i="2310"/>
  <c r="R24" i="2310"/>
  <c r="L24" i="2310"/>
  <c r="D24" i="2310" s="1"/>
  <c r="R23" i="2310"/>
  <c r="L23" i="2310"/>
  <c r="D23" i="2310" s="1"/>
  <c r="R22" i="2310"/>
  <c r="L22" i="2310"/>
  <c r="D22" i="2310" s="1"/>
  <c r="R21" i="2310"/>
  <c r="L17" i="2310" s="1"/>
  <c r="D17" i="2310" s="1"/>
  <c r="L21" i="2310"/>
  <c r="D21" i="2310" s="1"/>
  <c r="R20" i="2310"/>
  <c r="L20" i="2310"/>
  <c r="D20" i="2310" s="1"/>
  <c r="R19" i="2310"/>
  <c r="L19" i="2310"/>
  <c r="D19" i="2310"/>
  <c r="R18" i="2310"/>
  <c r="R17" i="2310"/>
  <c r="R16" i="2310"/>
  <c r="R15" i="2310"/>
  <c r="R14" i="2310"/>
  <c r="D14" i="2310"/>
  <c r="R13" i="2310"/>
  <c r="D13" i="2310"/>
  <c r="R12" i="2310"/>
  <c r="R11" i="2310"/>
  <c r="L11" i="2310"/>
  <c r="D11" i="2310"/>
  <c r="L9" i="2310"/>
  <c r="D9" i="2310" s="1"/>
  <c r="L8" i="2310"/>
  <c r="D8" i="2310"/>
  <c r="L7" i="2310"/>
  <c r="D7" i="2310" s="1"/>
  <c r="R6" i="2310"/>
  <c r="L16" i="2310" s="1"/>
  <c r="D16" i="2310" s="1"/>
  <c r="L6" i="2310"/>
  <c r="D6" i="2310" s="1"/>
  <c r="R5" i="2310"/>
  <c r="R4" i="2310"/>
  <c r="L15" i="2310" s="1"/>
  <c r="D15" i="2310" s="1"/>
  <c r="R52" i="2309"/>
  <c r="R51" i="2309"/>
  <c r="D50" i="2309"/>
  <c r="R49" i="2309"/>
  <c r="G49" i="2309"/>
  <c r="D49" i="2309"/>
  <c r="R48" i="2309"/>
  <c r="D48" i="2309"/>
  <c r="D46" i="2309"/>
  <c r="D45" i="2309"/>
  <c r="D44" i="2309"/>
  <c r="R42" i="2309"/>
  <c r="L6" i="2309" s="1"/>
  <c r="D6" i="2309" s="1"/>
  <c r="D42" i="2309"/>
  <c r="R41" i="2309"/>
  <c r="L7" i="2309" s="1"/>
  <c r="D7" i="2309" s="1"/>
  <c r="D41" i="2309"/>
  <c r="R40" i="2309"/>
  <c r="D40" i="2309"/>
  <c r="R39" i="2309"/>
  <c r="D39" i="2309"/>
  <c r="R38" i="2309"/>
  <c r="L9" i="2309" s="1"/>
  <c r="D9" i="2309" s="1"/>
  <c r="D38" i="2309"/>
  <c r="R37" i="2309"/>
  <c r="D37" i="2309"/>
  <c r="R36" i="2309"/>
  <c r="L10" i="2309" s="1"/>
  <c r="D10" i="2309" s="1"/>
  <c r="D36" i="2309"/>
  <c r="R35" i="2309"/>
  <c r="D35" i="2309"/>
  <c r="R34" i="2309"/>
  <c r="D34" i="2309"/>
  <c r="D54" i="2309" s="1"/>
  <c r="H14" i="2309" s="1"/>
  <c r="R33" i="2309"/>
  <c r="R32" i="2309"/>
  <c r="R31" i="2309"/>
  <c r="R30" i="2309"/>
  <c r="R29" i="2309"/>
  <c r="R28" i="2309"/>
  <c r="D28" i="2309"/>
  <c r="R27" i="2309"/>
  <c r="D27" i="2309"/>
  <c r="R26" i="2309"/>
  <c r="L26" i="2309"/>
  <c r="D26" i="2309"/>
  <c r="R25" i="2309"/>
  <c r="L25" i="2309"/>
  <c r="D25" i="2309"/>
  <c r="R24" i="2309"/>
  <c r="D24" i="2309"/>
  <c r="R23" i="2309"/>
  <c r="L23" i="2309"/>
  <c r="D23" i="2309" s="1"/>
  <c r="R22" i="2309"/>
  <c r="L22" i="2309"/>
  <c r="D22" i="2309" s="1"/>
  <c r="R21" i="2309"/>
  <c r="D21" i="2309"/>
  <c r="R20" i="2309"/>
  <c r="L20" i="2309"/>
  <c r="D20" i="2309"/>
  <c r="R19" i="2309"/>
  <c r="L19" i="2309"/>
  <c r="D19" i="2309"/>
  <c r="R18" i="2309"/>
  <c r="D18" i="2309"/>
  <c r="R17" i="2309"/>
  <c r="D17" i="2309"/>
  <c r="R16" i="2309"/>
  <c r="L16" i="2309"/>
  <c r="D16" i="2309"/>
  <c r="S15" i="2309"/>
  <c r="R15" i="2309"/>
  <c r="D15" i="2309"/>
  <c r="S14" i="2309"/>
  <c r="R14" i="2309"/>
  <c r="D14" i="2309"/>
  <c r="R13" i="2309"/>
  <c r="D13" i="2309"/>
  <c r="R12" i="2309"/>
  <c r="L12" i="2309"/>
  <c r="D12" i="2309" s="1"/>
  <c r="R11" i="2309"/>
  <c r="L11" i="2309"/>
  <c r="D11" i="2309" s="1"/>
  <c r="L8" i="2309"/>
  <c r="D8" i="2309"/>
  <c r="R6" i="2309"/>
  <c r="R5" i="2309"/>
  <c r="R4" i="2309"/>
  <c r="R52" i="2308"/>
  <c r="R51" i="2308"/>
  <c r="D50" i="2308"/>
  <c r="R49" i="2308"/>
  <c r="D49" i="2308"/>
  <c r="R48" i="2308"/>
  <c r="D48" i="2308"/>
  <c r="D46" i="2308"/>
  <c r="D45" i="2308"/>
  <c r="R44" i="2308"/>
  <c r="L28" i="2308" s="1"/>
  <c r="D28" i="2308" s="1"/>
  <c r="D44" i="2308"/>
  <c r="R42" i="2308"/>
  <c r="L6" i="2308" s="1"/>
  <c r="D6" i="2308" s="1"/>
  <c r="D42" i="2308"/>
  <c r="R41" i="2308"/>
  <c r="L7" i="2308" s="1"/>
  <c r="D7" i="2308" s="1"/>
  <c r="D41" i="2308"/>
  <c r="R40" i="2308"/>
  <c r="D40" i="2308"/>
  <c r="R39" i="2308"/>
  <c r="H39" i="2308"/>
  <c r="D39" i="2308"/>
  <c r="R38" i="2308"/>
  <c r="H38" i="2308"/>
  <c r="D38" i="2308"/>
  <c r="R37" i="2308"/>
  <c r="H37" i="2308"/>
  <c r="D37" i="2308"/>
  <c r="R36" i="2308"/>
  <c r="H36" i="2308"/>
  <c r="D36" i="2308"/>
  <c r="R35" i="2308"/>
  <c r="H35" i="2308"/>
  <c r="D35" i="2308"/>
  <c r="R34" i="2308"/>
  <c r="L12" i="2308" s="1"/>
  <c r="D12" i="2308" s="1"/>
  <c r="H34" i="2308"/>
  <c r="D34" i="2308"/>
  <c r="R33" i="2308"/>
  <c r="L19" i="2308" s="1"/>
  <c r="D19" i="2308" s="1"/>
  <c r="R32" i="2308"/>
  <c r="R31" i="2308"/>
  <c r="R30" i="2308"/>
  <c r="R29" i="2308"/>
  <c r="R28" i="2308"/>
  <c r="R27" i="2308"/>
  <c r="L27" i="2308"/>
  <c r="D27" i="2308"/>
  <c r="R26" i="2308"/>
  <c r="L26" i="2308"/>
  <c r="D26" i="2308" s="1"/>
  <c r="R25" i="2308"/>
  <c r="L25" i="2308"/>
  <c r="D25" i="2308"/>
  <c r="R24" i="2308"/>
  <c r="L24" i="2308"/>
  <c r="D24" i="2308"/>
  <c r="R23" i="2308"/>
  <c r="L23" i="2308"/>
  <c r="D23" i="2308"/>
  <c r="R22" i="2308"/>
  <c r="L22" i="2308"/>
  <c r="D22" i="2308" s="1"/>
  <c r="R21" i="2308"/>
  <c r="L17" i="2308" s="1"/>
  <c r="D17" i="2308" s="1"/>
  <c r="L21" i="2308"/>
  <c r="D21" i="2308"/>
  <c r="R20" i="2308"/>
  <c r="L20" i="2308"/>
  <c r="D20" i="2308" s="1"/>
  <c r="R19" i="2308"/>
  <c r="R18" i="2308"/>
  <c r="L18" i="2308"/>
  <c r="D18" i="2308" s="1"/>
  <c r="R17" i="2308"/>
  <c r="R16" i="2308"/>
  <c r="R15" i="2308"/>
  <c r="L15" i="2308"/>
  <c r="D15" i="2308" s="1"/>
  <c r="R14" i="2308"/>
  <c r="D14" i="2308"/>
  <c r="R13" i="2308"/>
  <c r="D13" i="2308"/>
  <c r="R12" i="2308"/>
  <c r="R11" i="2308"/>
  <c r="L11" i="2308"/>
  <c r="D11" i="2308"/>
  <c r="L10" i="2308"/>
  <c r="D10" i="2308" s="1"/>
  <c r="L9" i="2308"/>
  <c r="D9" i="2308" s="1"/>
  <c r="L8" i="2308"/>
  <c r="D8" i="2308" s="1"/>
  <c r="R6" i="2308"/>
  <c r="L16" i="2308" s="1"/>
  <c r="D16" i="2308" s="1"/>
  <c r="R5" i="2308"/>
  <c r="R4" i="2308"/>
  <c r="R52" i="2307"/>
  <c r="R51" i="2307"/>
  <c r="D50" i="2307"/>
  <c r="R49" i="2307"/>
  <c r="D49" i="2307"/>
  <c r="R48" i="2307"/>
  <c r="D48" i="2307"/>
  <c r="D46" i="2307"/>
  <c r="D45" i="2307"/>
  <c r="R44" i="2307"/>
  <c r="D44" i="2307"/>
  <c r="R42" i="2307"/>
  <c r="L6" i="2307" s="1"/>
  <c r="D6" i="2307" s="1"/>
  <c r="D42" i="2307"/>
  <c r="R41" i="2307"/>
  <c r="L7" i="2307" s="1"/>
  <c r="D7" i="2307" s="1"/>
  <c r="D41" i="2307"/>
  <c r="R40" i="2307"/>
  <c r="L8" i="2307" s="1"/>
  <c r="D8" i="2307" s="1"/>
  <c r="D40" i="2307"/>
  <c r="R39" i="2307"/>
  <c r="H39" i="2307"/>
  <c r="D39" i="2307"/>
  <c r="R38" i="2307"/>
  <c r="H38" i="2307"/>
  <c r="D38" i="2307"/>
  <c r="R37" i="2307"/>
  <c r="H37" i="2307"/>
  <c r="D37" i="2307"/>
  <c r="R36" i="2307"/>
  <c r="H36" i="2307"/>
  <c r="D36" i="2307"/>
  <c r="R35" i="2307"/>
  <c r="H35" i="2307"/>
  <c r="D35" i="2307"/>
  <c r="R34" i="2307"/>
  <c r="H34" i="2307"/>
  <c r="G49" i="2307" s="1"/>
  <c r="D34" i="2307"/>
  <c r="R33" i="2307"/>
  <c r="R32" i="2307"/>
  <c r="R31" i="2307"/>
  <c r="R30" i="2307"/>
  <c r="R29" i="2307"/>
  <c r="R28" i="2307"/>
  <c r="L28" i="2307"/>
  <c r="D28" i="2307"/>
  <c r="R27" i="2307"/>
  <c r="L27" i="2307"/>
  <c r="D27" i="2307" s="1"/>
  <c r="R26" i="2307"/>
  <c r="L26" i="2307"/>
  <c r="D26" i="2307"/>
  <c r="R25" i="2307"/>
  <c r="L25" i="2307"/>
  <c r="D25" i="2307" s="1"/>
  <c r="R24" i="2307"/>
  <c r="L24" i="2307"/>
  <c r="D24" i="2307"/>
  <c r="R23" i="2307"/>
  <c r="L23" i="2307"/>
  <c r="D23" i="2307"/>
  <c r="R22" i="2307"/>
  <c r="L22" i="2307"/>
  <c r="D22" i="2307"/>
  <c r="R21" i="2307"/>
  <c r="L17" i="2307" s="1"/>
  <c r="D17" i="2307" s="1"/>
  <c r="D21" i="2307"/>
  <c r="R20" i="2307"/>
  <c r="L20" i="2307"/>
  <c r="D20" i="2307" s="1"/>
  <c r="R19" i="2307"/>
  <c r="L19" i="2307"/>
  <c r="D19" i="2307"/>
  <c r="R18" i="2307"/>
  <c r="L18" i="2307"/>
  <c r="D18" i="2307"/>
  <c r="R17" i="2307"/>
  <c r="R16" i="2307"/>
  <c r="L16" i="2307"/>
  <c r="D16" i="2307" s="1"/>
  <c r="R15" i="2307"/>
  <c r="R14" i="2307"/>
  <c r="L14" i="2307"/>
  <c r="D14" i="2307" s="1"/>
  <c r="R13" i="2307"/>
  <c r="D13" i="2307"/>
  <c r="R12" i="2307"/>
  <c r="L12" i="2307"/>
  <c r="D12" i="2307" s="1"/>
  <c r="R11" i="2307"/>
  <c r="L11" i="2307"/>
  <c r="D11" i="2307" s="1"/>
  <c r="L10" i="2307"/>
  <c r="D10" i="2307"/>
  <c r="L9" i="2307"/>
  <c r="D9" i="2307" s="1"/>
  <c r="R6" i="2307"/>
  <c r="R5" i="2307"/>
  <c r="R4" i="2307"/>
  <c r="L15" i="2307" s="1"/>
  <c r="D15" i="2307" s="1"/>
  <c r="V68" i="2306"/>
  <c r="R52" i="2306"/>
  <c r="R51" i="2306"/>
  <c r="D50" i="2306"/>
  <c r="R49" i="2306"/>
  <c r="D49" i="2306"/>
  <c r="R48" i="2306"/>
  <c r="D48" i="2306"/>
  <c r="D46" i="2306"/>
  <c r="D45" i="2306"/>
  <c r="R44" i="2306"/>
  <c r="D44" i="2306"/>
  <c r="R42" i="2306"/>
  <c r="D42" i="2306"/>
  <c r="R41" i="2306"/>
  <c r="D41" i="2306"/>
  <c r="R40" i="2306"/>
  <c r="D40" i="2306"/>
  <c r="R39" i="2306"/>
  <c r="H39" i="2306"/>
  <c r="D39" i="2306"/>
  <c r="R38" i="2306"/>
  <c r="H38" i="2306"/>
  <c r="D38" i="2306"/>
  <c r="R37" i="2306"/>
  <c r="H37" i="2306"/>
  <c r="D37" i="2306"/>
  <c r="R36" i="2306"/>
  <c r="L10" i="2306" s="1"/>
  <c r="D10" i="2306" s="1"/>
  <c r="H36" i="2306"/>
  <c r="D36" i="2306"/>
  <c r="R35" i="2306"/>
  <c r="L18" i="2306" s="1"/>
  <c r="D18" i="2306" s="1"/>
  <c r="H35" i="2306"/>
  <c r="D35" i="2306"/>
  <c r="R34" i="2306"/>
  <c r="H34" i="2306"/>
  <c r="D34" i="2306"/>
  <c r="R33" i="2306"/>
  <c r="L19" i="2306" s="1"/>
  <c r="D19" i="2306" s="1"/>
  <c r="R32" i="2306"/>
  <c r="R31" i="2306"/>
  <c r="R30" i="2306"/>
  <c r="R29" i="2306"/>
  <c r="R28" i="2306"/>
  <c r="L28" i="2306"/>
  <c r="D28" i="2306"/>
  <c r="R27" i="2306"/>
  <c r="L27" i="2306"/>
  <c r="D27" i="2306" s="1"/>
  <c r="R26" i="2306"/>
  <c r="L26" i="2306"/>
  <c r="D26" i="2306"/>
  <c r="R25" i="2306"/>
  <c r="L25" i="2306"/>
  <c r="D25" i="2306" s="1"/>
  <c r="R24" i="2306"/>
  <c r="L24" i="2306"/>
  <c r="D24" i="2306"/>
  <c r="R23" i="2306"/>
  <c r="L23" i="2306"/>
  <c r="D23" i="2306" s="1"/>
  <c r="R22" i="2306"/>
  <c r="L22" i="2306"/>
  <c r="D22" i="2306"/>
  <c r="R21" i="2306"/>
  <c r="D21" i="2306"/>
  <c r="R20" i="2306"/>
  <c r="L20" i="2306"/>
  <c r="D20" i="2306" s="1"/>
  <c r="R19" i="2306"/>
  <c r="R18" i="2306"/>
  <c r="R17" i="2306"/>
  <c r="L17" i="2306"/>
  <c r="D17" i="2306" s="1"/>
  <c r="R16" i="2306"/>
  <c r="L16" i="2306"/>
  <c r="D16" i="2306" s="1"/>
  <c r="R15" i="2306"/>
  <c r="R14" i="2306"/>
  <c r="D14" i="2306"/>
  <c r="R13" i="2306"/>
  <c r="D13" i="2306"/>
  <c r="R12" i="2306"/>
  <c r="L12" i="2306"/>
  <c r="D12" i="2306" s="1"/>
  <c r="R11" i="2306"/>
  <c r="L11" i="2306"/>
  <c r="D11" i="2306" s="1"/>
  <c r="L9" i="2306"/>
  <c r="D9" i="2306" s="1"/>
  <c r="L8" i="2306"/>
  <c r="D8" i="2306"/>
  <c r="L7" i="2306"/>
  <c r="D7" i="2306"/>
  <c r="R6" i="2306"/>
  <c r="L6" i="2306"/>
  <c r="D6" i="2306" s="1"/>
  <c r="R5" i="2306"/>
  <c r="R4" i="2306"/>
  <c r="L15" i="2306" s="1"/>
  <c r="D15" i="2306" s="1"/>
  <c r="R52" i="2305"/>
  <c r="R51" i="2305"/>
  <c r="D50" i="2305"/>
  <c r="R49" i="2305"/>
  <c r="G49" i="2305"/>
  <c r="D49" i="2305"/>
  <c r="R48" i="2305"/>
  <c r="D48" i="2305"/>
  <c r="D46" i="2305"/>
  <c r="D45" i="2305"/>
  <c r="D44" i="2305"/>
  <c r="R42" i="2305"/>
  <c r="L6" i="2305" s="1"/>
  <c r="D6" i="2305" s="1"/>
  <c r="D42" i="2305"/>
  <c r="R41" i="2305"/>
  <c r="L7" i="2305" s="1"/>
  <c r="D7" i="2305" s="1"/>
  <c r="D41" i="2305"/>
  <c r="R40" i="2305"/>
  <c r="L8" i="2305" s="1"/>
  <c r="D8" i="2305" s="1"/>
  <c r="D40" i="2305"/>
  <c r="R39" i="2305"/>
  <c r="D39" i="2305"/>
  <c r="R38" i="2305"/>
  <c r="L9" i="2305" s="1"/>
  <c r="D9" i="2305" s="1"/>
  <c r="D38" i="2305"/>
  <c r="R37" i="2305"/>
  <c r="D37" i="2305"/>
  <c r="R36" i="2305"/>
  <c r="L10" i="2305" s="1"/>
  <c r="D10" i="2305" s="1"/>
  <c r="D36" i="2305"/>
  <c r="R35" i="2305"/>
  <c r="D35" i="2305"/>
  <c r="R34" i="2305"/>
  <c r="D34" i="2305"/>
  <c r="D54" i="2305" s="1"/>
  <c r="H14" i="2305" s="1"/>
  <c r="R33" i="2305"/>
  <c r="L23" i="2305" s="1"/>
  <c r="D23" i="2305" s="1"/>
  <c r="R32" i="2305"/>
  <c r="R31" i="2305"/>
  <c r="R30" i="2305"/>
  <c r="R29" i="2305"/>
  <c r="R28" i="2305"/>
  <c r="L16" i="2305" s="1"/>
  <c r="D16" i="2305" s="1"/>
  <c r="D28" i="2305"/>
  <c r="R27" i="2305"/>
  <c r="D27" i="2305"/>
  <c r="R26" i="2305"/>
  <c r="L26" i="2305"/>
  <c r="D26" i="2305" s="1"/>
  <c r="R25" i="2305"/>
  <c r="L25" i="2305"/>
  <c r="D25" i="2305"/>
  <c r="R24" i="2305"/>
  <c r="D24" i="2305"/>
  <c r="R23" i="2305"/>
  <c r="R22" i="2305"/>
  <c r="L22" i="2305"/>
  <c r="D22" i="2305"/>
  <c r="R21" i="2305"/>
  <c r="D21" i="2305"/>
  <c r="R20" i="2305"/>
  <c r="L20" i="2305"/>
  <c r="D20" i="2305" s="1"/>
  <c r="R19" i="2305"/>
  <c r="L19" i="2305"/>
  <c r="D19" i="2305"/>
  <c r="R18" i="2305"/>
  <c r="D18" i="2305"/>
  <c r="R17" i="2305"/>
  <c r="D17" i="2305"/>
  <c r="R16" i="2305"/>
  <c r="S15" i="2305"/>
  <c r="R15" i="2305"/>
  <c r="D15" i="2305"/>
  <c r="S14" i="2305"/>
  <c r="R14" i="2305"/>
  <c r="D14" i="2305"/>
  <c r="R13" i="2305"/>
  <c r="D13" i="2305"/>
  <c r="R12" i="2305"/>
  <c r="L12" i="2305"/>
  <c r="D12" i="2305" s="1"/>
  <c r="R11" i="2305"/>
  <c r="L11" i="2305"/>
  <c r="D11" i="2305"/>
  <c r="R6" i="2305"/>
  <c r="R5" i="2305"/>
  <c r="R4" i="2305"/>
  <c r="R52" i="2304"/>
  <c r="R51" i="2304"/>
  <c r="D50" i="2304"/>
  <c r="R49" i="2304"/>
  <c r="D49" i="2304"/>
  <c r="R48" i="2304"/>
  <c r="D48" i="2304"/>
  <c r="D46" i="2304"/>
  <c r="D45" i="2304"/>
  <c r="R44" i="2304"/>
  <c r="L28" i="2304" s="1"/>
  <c r="D28" i="2304" s="1"/>
  <c r="D44" i="2304"/>
  <c r="R42" i="2304"/>
  <c r="L6" i="2304" s="1"/>
  <c r="D6" i="2304" s="1"/>
  <c r="D42" i="2304"/>
  <c r="R41" i="2304"/>
  <c r="D41" i="2304"/>
  <c r="R40" i="2304"/>
  <c r="L8" i="2304" s="1"/>
  <c r="D8" i="2304" s="1"/>
  <c r="D40" i="2304"/>
  <c r="R39" i="2304"/>
  <c r="H39" i="2304"/>
  <c r="D39" i="2304"/>
  <c r="R38" i="2304"/>
  <c r="H38" i="2304"/>
  <c r="D38" i="2304"/>
  <c r="R37" i="2304"/>
  <c r="H37" i="2304"/>
  <c r="D37" i="2304"/>
  <c r="R36" i="2304"/>
  <c r="H36" i="2304"/>
  <c r="D36" i="2304"/>
  <c r="R35" i="2304"/>
  <c r="H35" i="2304"/>
  <c r="D35" i="2304"/>
  <c r="R34" i="2304"/>
  <c r="L12" i="2304" s="1"/>
  <c r="D12" i="2304" s="1"/>
  <c r="H34" i="2304"/>
  <c r="D34" i="2304"/>
  <c r="R33" i="2304"/>
  <c r="L19" i="2304" s="1"/>
  <c r="D19" i="2304" s="1"/>
  <c r="R32" i="2304"/>
  <c r="R31" i="2304"/>
  <c r="R30" i="2304"/>
  <c r="R29" i="2304"/>
  <c r="R28" i="2304"/>
  <c r="R27" i="2304"/>
  <c r="L27" i="2304"/>
  <c r="D27" i="2304"/>
  <c r="R26" i="2304"/>
  <c r="L26" i="2304"/>
  <c r="D26" i="2304" s="1"/>
  <c r="R25" i="2304"/>
  <c r="L25" i="2304"/>
  <c r="D25" i="2304"/>
  <c r="R24" i="2304"/>
  <c r="L24" i="2304"/>
  <c r="D24" i="2304"/>
  <c r="R23" i="2304"/>
  <c r="L23" i="2304"/>
  <c r="D23" i="2304"/>
  <c r="R22" i="2304"/>
  <c r="L22" i="2304"/>
  <c r="D22" i="2304"/>
  <c r="R21" i="2304"/>
  <c r="L17" i="2304" s="1"/>
  <c r="D17" i="2304" s="1"/>
  <c r="L21" i="2304"/>
  <c r="D21" i="2304"/>
  <c r="R20" i="2304"/>
  <c r="L20" i="2304"/>
  <c r="D20" i="2304" s="1"/>
  <c r="R19" i="2304"/>
  <c r="R18" i="2304"/>
  <c r="L18" i="2304"/>
  <c r="D18" i="2304" s="1"/>
  <c r="R17" i="2304"/>
  <c r="R16" i="2304"/>
  <c r="R15" i="2304"/>
  <c r="L15" i="2304"/>
  <c r="D15" i="2304"/>
  <c r="R14" i="2304"/>
  <c r="D14" i="2304"/>
  <c r="R13" i="2304"/>
  <c r="D13" i="2304"/>
  <c r="R12" i="2304"/>
  <c r="R11" i="2304"/>
  <c r="L11" i="2304"/>
  <c r="D11" i="2304"/>
  <c r="L10" i="2304"/>
  <c r="D10" i="2304" s="1"/>
  <c r="L9" i="2304"/>
  <c r="D9" i="2304" s="1"/>
  <c r="L7" i="2304"/>
  <c r="D7" i="2304"/>
  <c r="R6" i="2304"/>
  <c r="L16" i="2304" s="1"/>
  <c r="D16" i="2304" s="1"/>
  <c r="R5" i="2304"/>
  <c r="R4" i="2304"/>
  <c r="R52" i="2303"/>
  <c r="R51" i="2303"/>
  <c r="D50" i="2303"/>
  <c r="R49" i="2303"/>
  <c r="D49" i="2303"/>
  <c r="R48" i="2303"/>
  <c r="D48" i="2303"/>
  <c r="D46" i="2303"/>
  <c r="D45" i="2303"/>
  <c r="R44" i="2303"/>
  <c r="L28" i="2303" s="1"/>
  <c r="D28" i="2303" s="1"/>
  <c r="D44" i="2303"/>
  <c r="R42" i="2303"/>
  <c r="L6" i="2303" s="1"/>
  <c r="D6" i="2303" s="1"/>
  <c r="D42" i="2303"/>
  <c r="R41" i="2303"/>
  <c r="L7" i="2303" s="1"/>
  <c r="D7" i="2303" s="1"/>
  <c r="D41" i="2303"/>
  <c r="R40" i="2303"/>
  <c r="D40" i="2303"/>
  <c r="R39" i="2303"/>
  <c r="H39" i="2303"/>
  <c r="D39" i="2303"/>
  <c r="R38" i="2303"/>
  <c r="L9" i="2303" s="1"/>
  <c r="D9" i="2303" s="1"/>
  <c r="H38" i="2303"/>
  <c r="D38" i="2303"/>
  <c r="R37" i="2303"/>
  <c r="H37" i="2303"/>
  <c r="D37" i="2303"/>
  <c r="R36" i="2303"/>
  <c r="H36" i="2303"/>
  <c r="D36" i="2303"/>
  <c r="R35" i="2303"/>
  <c r="H35" i="2303"/>
  <c r="D35" i="2303"/>
  <c r="R34" i="2303"/>
  <c r="H34" i="2303"/>
  <c r="D34" i="2303"/>
  <c r="R33" i="2303"/>
  <c r="R32" i="2303"/>
  <c r="L11" i="2303" s="1"/>
  <c r="D11" i="2303" s="1"/>
  <c r="R31" i="2303"/>
  <c r="R30" i="2303"/>
  <c r="R29" i="2303"/>
  <c r="R28" i="2303"/>
  <c r="R27" i="2303"/>
  <c r="L27" i="2303"/>
  <c r="D27" i="2303" s="1"/>
  <c r="R26" i="2303"/>
  <c r="L26" i="2303"/>
  <c r="D26" i="2303" s="1"/>
  <c r="R25" i="2303"/>
  <c r="L25" i="2303"/>
  <c r="D25" i="2303"/>
  <c r="R24" i="2303"/>
  <c r="L24" i="2303"/>
  <c r="D24" i="2303"/>
  <c r="R23" i="2303"/>
  <c r="L23" i="2303"/>
  <c r="D23" i="2303"/>
  <c r="R22" i="2303"/>
  <c r="L20" i="2303" s="1"/>
  <c r="D20" i="2303" s="1"/>
  <c r="L22" i="2303"/>
  <c r="D22" i="2303" s="1"/>
  <c r="R21" i="2303"/>
  <c r="D21" i="2303"/>
  <c r="R20" i="2303"/>
  <c r="R19" i="2303"/>
  <c r="L19" i="2303"/>
  <c r="D19" i="2303" s="1"/>
  <c r="R18" i="2303"/>
  <c r="L18" i="2303"/>
  <c r="D18" i="2303"/>
  <c r="R17" i="2303"/>
  <c r="L17" i="2303"/>
  <c r="D17" i="2303" s="1"/>
  <c r="R16" i="2303"/>
  <c r="R15" i="2303"/>
  <c r="L15" i="2303"/>
  <c r="D15" i="2303" s="1"/>
  <c r="R14" i="2303"/>
  <c r="L14" i="2303"/>
  <c r="D14" i="2303" s="1"/>
  <c r="R13" i="2303"/>
  <c r="D13" i="2303"/>
  <c r="R12" i="2303"/>
  <c r="L12" i="2303"/>
  <c r="D12" i="2303"/>
  <c r="R11" i="2303"/>
  <c r="L10" i="2303"/>
  <c r="D10" i="2303" s="1"/>
  <c r="L8" i="2303"/>
  <c r="D8" i="2303" s="1"/>
  <c r="R6" i="2303"/>
  <c r="L16" i="2303" s="1"/>
  <c r="D16" i="2303" s="1"/>
  <c r="R5" i="2303"/>
  <c r="R4" i="2303"/>
  <c r="V68" i="2302"/>
  <c r="R52" i="2302"/>
  <c r="R51" i="2302"/>
  <c r="D50" i="2302"/>
  <c r="R49" i="2302"/>
  <c r="D49" i="2302"/>
  <c r="R48" i="2302"/>
  <c r="D48" i="2302"/>
  <c r="D46" i="2302"/>
  <c r="D45" i="2302"/>
  <c r="R44" i="2302"/>
  <c r="D44" i="2302"/>
  <c r="R42" i="2302"/>
  <c r="L6" i="2302" s="1"/>
  <c r="D6" i="2302" s="1"/>
  <c r="D42" i="2302"/>
  <c r="R41" i="2302"/>
  <c r="D41" i="2302"/>
  <c r="R40" i="2302"/>
  <c r="L8" i="2302" s="1"/>
  <c r="D8" i="2302" s="1"/>
  <c r="D40" i="2302"/>
  <c r="R39" i="2302"/>
  <c r="H39" i="2302"/>
  <c r="D39" i="2302"/>
  <c r="R38" i="2302"/>
  <c r="L9" i="2302" s="1"/>
  <c r="D9" i="2302" s="1"/>
  <c r="H38" i="2302"/>
  <c r="D38" i="2302"/>
  <c r="R37" i="2302"/>
  <c r="H37" i="2302"/>
  <c r="D37" i="2302"/>
  <c r="R36" i="2302"/>
  <c r="L10" i="2302" s="1"/>
  <c r="D10" i="2302" s="1"/>
  <c r="H36" i="2302"/>
  <c r="D36" i="2302"/>
  <c r="R35" i="2302"/>
  <c r="H35" i="2302"/>
  <c r="D35" i="2302"/>
  <c r="R34" i="2302"/>
  <c r="H34" i="2302"/>
  <c r="D34" i="2302"/>
  <c r="R33" i="2302"/>
  <c r="L19" i="2302" s="1"/>
  <c r="D19" i="2302" s="1"/>
  <c r="R32" i="2302"/>
  <c r="L11" i="2302" s="1"/>
  <c r="D11" i="2302" s="1"/>
  <c r="R31" i="2302"/>
  <c r="R30" i="2302"/>
  <c r="R29" i="2302"/>
  <c r="R28" i="2302"/>
  <c r="L28" i="2302"/>
  <c r="D28" i="2302"/>
  <c r="R27" i="2302"/>
  <c r="L27" i="2302"/>
  <c r="D27" i="2302"/>
  <c r="R26" i="2302"/>
  <c r="L26" i="2302"/>
  <c r="D26" i="2302"/>
  <c r="R25" i="2302"/>
  <c r="L25" i="2302"/>
  <c r="D25" i="2302" s="1"/>
  <c r="R24" i="2302"/>
  <c r="L24" i="2302"/>
  <c r="D24" i="2302"/>
  <c r="R23" i="2302"/>
  <c r="L23" i="2302"/>
  <c r="D23" i="2302"/>
  <c r="R22" i="2302"/>
  <c r="L20" i="2302" s="1"/>
  <c r="D20" i="2302" s="1"/>
  <c r="L22" i="2302"/>
  <c r="D22" i="2302" s="1"/>
  <c r="R21" i="2302"/>
  <c r="L21" i="2302"/>
  <c r="D21" i="2302" s="1"/>
  <c r="R20" i="2302"/>
  <c r="R19" i="2302"/>
  <c r="R18" i="2302"/>
  <c r="L18" i="2302"/>
  <c r="D18" i="2302"/>
  <c r="R17" i="2302"/>
  <c r="L17" i="2302"/>
  <c r="D17" i="2302" s="1"/>
  <c r="R16" i="2302"/>
  <c r="R15" i="2302"/>
  <c r="L15" i="2302"/>
  <c r="D15" i="2302"/>
  <c r="R14" i="2302"/>
  <c r="D14" i="2302"/>
  <c r="R13" i="2302"/>
  <c r="D13" i="2302"/>
  <c r="R12" i="2302"/>
  <c r="L12" i="2302"/>
  <c r="D12" i="2302" s="1"/>
  <c r="R11" i="2302"/>
  <c r="L7" i="2302"/>
  <c r="D7" i="2302"/>
  <c r="R6" i="2302"/>
  <c r="L16" i="2302" s="1"/>
  <c r="D16" i="2302" s="1"/>
  <c r="R5" i="2302"/>
  <c r="R4" i="2302"/>
  <c r="R52" i="2301"/>
  <c r="R51" i="2301"/>
  <c r="D50" i="2301"/>
  <c r="R49" i="2301"/>
  <c r="G49" i="2301"/>
  <c r="D49" i="2301"/>
  <c r="R48" i="2301"/>
  <c r="D48" i="2301"/>
  <c r="D46" i="2301"/>
  <c r="D45" i="2301"/>
  <c r="D44" i="2301"/>
  <c r="R42" i="2301"/>
  <c r="D42" i="2301"/>
  <c r="R41" i="2301"/>
  <c r="L7" i="2301" s="1"/>
  <c r="D7" i="2301" s="1"/>
  <c r="D41" i="2301"/>
  <c r="R40" i="2301"/>
  <c r="L8" i="2301" s="1"/>
  <c r="D8" i="2301" s="1"/>
  <c r="D40" i="2301"/>
  <c r="R39" i="2301"/>
  <c r="D39" i="2301"/>
  <c r="D54" i="2301" s="1"/>
  <c r="H14" i="2301" s="1"/>
  <c r="R38" i="2301"/>
  <c r="L9" i="2301" s="1"/>
  <c r="D9" i="2301" s="1"/>
  <c r="D38" i="2301"/>
  <c r="R37" i="2301"/>
  <c r="D37" i="2301"/>
  <c r="R36" i="2301"/>
  <c r="L10" i="2301" s="1"/>
  <c r="D10" i="2301" s="1"/>
  <c r="D36" i="2301"/>
  <c r="R35" i="2301"/>
  <c r="L19" i="2301" s="1"/>
  <c r="D19" i="2301" s="1"/>
  <c r="D35" i="2301"/>
  <c r="R34" i="2301"/>
  <c r="D34" i="2301"/>
  <c r="R33" i="2301"/>
  <c r="R32" i="2301"/>
  <c r="L11" i="2301" s="1"/>
  <c r="D11" i="2301" s="1"/>
  <c r="R31" i="2301"/>
  <c r="R30" i="2301"/>
  <c r="R29" i="2301"/>
  <c r="R28" i="2301"/>
  <c r="D28" i="2301"/>
  <c r="R27" i="2301"/>
  <c r="D27" i="2301"/>
  <c r="R26" i="2301"/>
  <c r="L26" i="2301"/>
  <c r="D26" i="2301" s="1"/>
  <c r="R25" i="2301"/>
  <c r="L25" i="2301"/>
  <c r="D25" i="2301"/>
  <c r="R24" i="2301"/>
  <c r="D24" i="2301"/>
  <c r="R23" i="2301"/>
  <c r="L23" i="2301"/>
  <c r="D23" i="2301" s="1"/>
  <c r="R22" i="2301"/>
  <c r="L22" i="2301"/>
  <c r="D22" i="2301"/>
  <c r="R21" i="2301"/>
  <c r="D21" i="2301"/>
  <c r="R20" i="2301"/>
  <c r="L20" i="2301"/>
  <c r="D20" i="2301" s="1"/>
  <c r="R19" i="2301"/>
  <c r="R18" i="2301"/>
  <c r="D18" i="2301"/>
  <c r="R17" i="2301"/>
  <c r="D17" i="2301"/>
  <c r="R16" i="2301"/>
  <c r="L16" i="2301"/>
  <c r="D16" i="2301" s="1"/>
  <c r="S15" i="2301"/>
  <c r="R15" i="2301"/>
  <c r="D15" i="2301"/>
  <c r="S14" i="2301"/>
  <c r="R14" i="2301"/>
  <c r="D14" i="2301"/>
  <c r="R13" i="2301"/>
  <c r="D13" i="2301"/>
  <c r="R12" i="2301"/>
  <c r="L12" i="2301"/>
  <c r="D12" i="2301"/>
  <c r="R11" i="2301"/>
  <c r="R6" i="2301"/>
  <c r="L6" i="2301"/>
  <c r="D6" i="2301"/>
  <c r="R5" i="2301"/>
  <c r="R4" i="2301"/>
  <c r="R52" i="2300"/>
  <c r="R51" i="2300"/>
  <c r="D50" i="2300"/>
  <c r="R49" i="2300"/>
  <c r="D49" i="2300"/>
  <c r="R48" i="2300"/>
  <c r="D48" i="2300"/>
  <c r="D46" i="2300"/>
  <c r="D45" i="2300"/>
  <c r="R44" i="2300"/>
  <c r="L28" i="2300" s="1"/>
  <c r="D28" i="2300" s="1"/>
  <c r="D44" i="2300"/>
  <c r="R42" i="2300"/>
  <c r="L6" i="2300" s="1"/>
  <c r="D6" i="2300" s="1"/>
  <c r="D42" i="2300"/>
  <c r="R41" i="2300"/>
  <c r="L7" i="2300" s="1"/>
  <c r="D7" i="2300" s="1"/>
  <c r="D41" i="2300"/>
  <c r="R40" i="2300"/>
  <c r="D40" i="2300"/>
  <c r="R39" i="2300"/>
  <c r="H39" i="2300"/>
  <c r="D39" i="2300"/>
  <c r="R38" i="2300"/>
  <c r="L9" i="2300" s="1"/>
  <c r="D9" i="2300" s="1"/>
  <c r="H38" i="2300"/>
  <c r="D38" i="2300"/>
  <c r="R37" i="2300"/>
  <c r="H37" i="2300"/>
  <c r="D37" i="2300"/>
  <c r="R36" i="2300"/>
  <c r="H36" i="2300"/>
  <c r="D36" i="2300"/>
  <c r="R35" i="2300"/>
  <c r="L18" i="2300" s="1"/>
  <c r="D18" i="2300" s="1"/>
  <c r="H35" i="2300"/>
  <c r="D35" i="2300"/>
  <c r="R34" i="2300"/>
  <c r="H34" i="2300"/>
  <c r="G49" i="2300" s="1"/>
  <c r="D34" i="2300"/>
  <c r="R33" i="2300"/>
  <c r="L19" i="2300" s="1"/>
  <c r="D19" i="2300" s="1"/>
  <c r="R32" i="2300"/>
  <c r="L11" i="2300" s="1"/>
  <c r="D11" i="2300" s="1"/>
  <c r="R31" i="2300"/>
  <c r="R30" i="2300"/>
  <c r="R29" i="2300"/>
  <c r="R28" i="2300"/>
  <c r="R27" i="2300"/>
  <c r="L27" i="2300"/>
  <c r="D27" i="2300" s="1"/>
  <c r="R26" i="2300"/>
  <c r="L26" i="2300"/>
  <c r="D26" i="2300" s="1"/>
  <c r="R25" i="2300"/>
  <c r="L25" i="2300"/>
  <c r="D25" i="2300"/>
  <c r="R24" i="2300"/>
  <c r="L24" i="2300"/>
  <c r="D24" i="2300"/>
  <c r="R23" i="2300"/>
  <c r="L23" i="2300"/>
  <c r="D23" i="2300"/>
  <c r="R22" i="2300"/>
  <c r="L20" i="2300" s="1"/>
  <c r="D20" i="2300" s="1"/>
  <c r="L22" i="2300"/>
  <c r="D22" i="2300" s="1"/>
  <c r="R21" i="2300"/>
  <c r="L21" i="2300"/>
  <c r="D21" i="2300"/>
  <c r="R20" i="2300"/>
  <c r="R19" i="2300"/>
  <c r="R18" i="2300"/>
  <c r="R17" i="2300"/>
  <c r="L17" i="2300"/>
  <c r="D17" i="2300"/>
  <c r="R16" i="2300"/>
  <c r="R15" i="2300"/>
  <c r="R14" i="2300"/>
  <c r="D14" i="2300"/>
  <c r="R13" i="2300"/>
  <c r="D13" i="2300"/>
  <c r="R12" i="2300"/>
  <c r="L12" i="2300"/>
  <c r="D12" i="2300"/>
  <c r="R11" i="2300"/>
  <c r="L10" i="2300"/>
  <c r="D10" i="2300" s="1"/>
  <c r="L8" i="2300"/>
  <c r="D8" i="2300" s="1"/>
  <c r="R6" i="2300"/>
  <c r="L16" i="2300" s="1"/>
  <c r="D16" i="2300" s="1"/>
  <c r="R5" i="2300"/>
  <c r="R4" i="2300"/>
  <c r="L15" i="2300" s="1"/>
  <c r="D15" i="2300" s="1"/>
  <c r="R52" i="2299"/>
  <c r="R51" i="2299"/>
  <c r="D50" i="2299"/>
  <c r="R49" i="2299"/>
  <c r="D49" i="2299"/>
  <c r="R48" i="2299"/>
  <c r="D48" i="2299"/>
  <c r="D46" i="2299"/>
  <c r="D45" i="2299"/>
  <c r="R44" i="2299"/>
  <c r="L28" i="2299" s="1"/>
  <c r="D28" i="2299" s="1"/>
  <c r="D44" i="2299"/>
  <c r="R42" i="2299"/>
  <c r="L6" i="2299" s="1"/>
  <c r="D6" i="2299" s="1"/>
  <c r="D42" i="2299"/>
  <c r="R41" i="2299"/>
  <c r="D41" i="2299"/>
  <c r="R40" i="2299"/>
  <c r="D40" i="2299"/>
  <c r="R39" i="2299"/>
  <c r="H39" i="2299"/>
  <c r="D39" i="2299"/>
  <c r="R38" i="2299"/>
  <c r="L9" i="2299" s="1"/>
  <c r="D9" i="2299" s="1"/>
  <c r="H38" i="2299"/>
  <c r="D38" i="2299"/>
  <c r="R37" i="2299"/>
  <c r="H37" i="2299"/>
  <c r="D37" i="2299"/>
  <c r="R36" i="2299"/>
  <c r="H36" i="2299"/>
  <c r="D36" i="2299"/>
  <c r="R35" i="2299"/>
  <c r="H35" i="2299"/>
  <c r="D35" i="2299"/>
  <c r="R34" i="2299"/>
  <c r="H34" i="2299"/>
  <c r="D34" i="2299"/>
  <c r="R33" i="2299"/>
  <c r="R32" i="2299"/>
  <c r="L11" i="2299" s="1"/>
  <c r="D11" i="2299" s="1"/>
  <c r="R31" i="2299"/>
  <c r="R30" i="2299"/>
  <c r="R29" i="2299"/>
  <c r="R28" i="2299"/>
  <c r="R27" i="2299"/>
  <c r="L27" i="2299"/>
  <c r="D27" i="2299" s="1"/>
  <c r="R26" i="2299"/>
  <c r="L26" i="2299"/>
  <c r="D26" i="2299" s="1"/>
  <c r="R25" i="2299"/>
  <c r="L25" i="2299"/>
  <c r="D25" i="2299" s="1"/>
  <c r="R24" i="2299"/>
  <c r="L24" i="2299"/>
  <c r="D24" i="2299"/>
  <c r="R23" i="2299"/>
  <c r="L23" i="2299"/>
  <c r="D23" i="2299"/>
  <c r="R22" i="2299"/>
  <c r="L20" i="2299" s="1"/>
  <c r="D20" i="2299" s="1"/>
  <c r="L22" i="2299"/>
  <c r="D22" i="2299"/>
  <c r="R21" i="2299"/>
  <c r="D21" i="2299"/>
  <c r="R20" i="2299"/>
  <c r="R19" i="2299"/>
  <c r="L19" i="2299"/>
  <c r="D19" i="2299"/>
  <c r="R18" i="2299"/>
  <c r="L18" i="2299"/>
  <c r="D18" i="2299"/>
  <c r="R17" i="2299"/>
  <c r="L17" i="2299"/>
  <c r="D17" i="2299"/>
  <c r="R16" i="2299"/>
  <c r="R15" i="2299"/>
  <c r="L15" i="2299"/>
  <c r="D15" i="2299" s="1"/>
  <c r="R14" i="2299"/>
  <c r="L14" i="2299"/>
  <c r="D14" i="2299"/>
  <c r="R13" i="2299"/>
  <c r="D13" i="2299"/>
  <c r="R12" i="2299"/>
  <c r="L12" i="2299"/>
  <c r="D12" i="2299" s="1"/>
  <c r="R11" i="2299"/>
  <c r="L10" i="2299"/>
  <c r="D10" i="2299" s="1"/>
  <c r="L8" i="2299"/>
  <c r="D8" i="2299"/>
  <c r="L7" i="2299"/>
  <c r="D7" i="2299"/>
  <c r="R6" i="2299"/>
  <c r="L16" i="2299" s="1"/>
  <c r="D16" i="2299" s="1"/>
  <c r="R5" i="2299"/>
  <c r="R4" i="2299"/>
  <c r="V68" i="2298"/>
  <c r="R52" i="2298"/>
  <c r="R51" i="2298"/>
  <c r="D50" i="2298"/>
  <c r="R49" i="2298"/>
  <c r="D49" i="2298"/>
  <c r="R48" i="2298"/>
  <c r="D48" i="2298"/>
  <c r="D46" i="2298"/>
  <c r="D45" i="2298"/>
  <c r="R44" i="2298"/>
  <c r="D44" i="2298"/>
  <c r="R42" i="2298"/>
  <c r="L6" i="2298" s="1"/>
  <c r="D6" i="2298" s="1"/>
  <c r="D42" i="2298"/>
  <c r="R41" i="2298"/>
  <c r="D41" i="2298"/>
  <c r="R40" i="2298"/>
  <c r="L8" i="2298" s="1"/>
  <c r="D8" i="2298" s="1"/>
  <c r="D40" i="2298"/>
  <c r="R39" i="2298"/>
  <c r="H39" i="2298"/>
  <c r="D39" i="2298"/>
  <c r="R38" i="2298"/>
  <c r="H38" i="2298"/>
  <c r="D38" i="2298"/>
  <c r="R37" i="2298"/>
  <c r="H37" i="2298"/>
  <c r="D37" i="2298"/>
  <c r="R36" i="2298"/>
  <c r="H36" i="2298"/>
  <c r="D36" i="2298"/>
  <c r="R35" i="2298"/>
  <c r="H35" i="2298"/>
  <c r="D35" i="2298"/>
  <c r="R34" i="2298"/>
  <c r="L12" i="2298" s="1"/>
  <c r="D12" i="2298" s="1"/>
  <c r="H34" i="2298"/>
  <c r="D34" i="2298"/>
  <c r="R33" i="2298"/>
  <c r="R32" i="2298"/>
  <c r="R31" i="2298"/>
  <c r="R30" i="2298"/>
  <c r="R29" i="2298"/>
  <c r="R28" i="2298"/>
  <c r="L28" i="2298"/>
  <c r="D28" i="2298" s="1"/>
  <c r="R27" i="2298"/>
  <c r="L27" i="2298"/>
  <c r="D27" i="2298"/>
  <c r="R26" i="2298"/>
  <c r="L26" i="2298"/>
  <c r="D26" i="2298" s="1"/>
  <c r="R25" i="2298"/>
  <c r="L25" i="2298"/>
  <c r="D25" i="2298"/>
  <c r="R24" i="2298"/>
  <c r="L24" i="2298"/>
  <c r="D24" i="2298"/>
  <c r="R23" i="2298"/>
  <c r="L23" i="2298"/>
  <c r="D23" i="2298"/>
  <c r="R22" i="2298"/>
  <c r="L22" i="2298"/>
  <c r="D22" i="2298"/>
  <c r="R21" i="2298"/>
  <c r="L17" i="2298" s="1"/>
  <c r="D17" i="2298" s="1"/>
  <c r="L21" i="2298"/>
  <c r="D21" i="2298"/>
  <c r="R20" i="2298"/>
  <c r="L20" i="2298"/>
  <c r="D20" i="2298" s="1"/>
  <c r="R19" i="2298"/>
  <c r="L19" i="2298"/>
  <c r="D19" i="2298"/>
  <c r="R18" i="2298"/>
  <c r="L18" i="2298"/>
  <c r="D18" i="2298"/>
  <c r="R17" i="2298"/>
  <c r="R16" i="2298"/>
  <c r="L16" i="2298"/>
  <c r="D16" i="2298"/>
  <c r="R15" i="2298"/>
  <c r="R14" i="2298"/>
  <c r="D14" i="2298"/>
  <c r="R13" i="2298"/>
  <c r="D13" i="2298"/>
  <c r="R12" i="2298"/>
  <c r="R11" i="2298"/>
  <c r="L11" i="2298"/>
  <c r="D11" i="2298"/>
  <c r="L10" i="2298"/>
  <c r="D10" i="2298" s="1"/>
  <c r="L9" i="2298"/>
  <c r="D9" i="2298" s="1"/>
  <c r="L7" i="2298"/>
  <c r="D7" i="2298"/>
  <c r="R6" i="2298"/>
  <c r="R5" i="2298"/>
  <c r="R4" i="2298"/>
  <c r="L15" i="2298" s="1"/>
  <c r="D15" i="2298" s="1"/>
  <c r="R52" i="2297"/>
  <c r="R51" i="2297"/>
  <c r="D50" i="2297"/>
  <c r="R49" i="2297"/>
  <c r="G49" i="2297"/>
  <c r="D49" i="2297"/>
  <c r="R48" i="2297"/>
  <c r="D48" i="2297"/>
  <c r="D46" i="2297"/>
  <c r="D45" i="2297"/>
  <c r="D44" i="2297"/>
  <c r="R42" i="2297"/>
  <c r="L6" i="2297" s="1"/>
  <c r="D6" i="2297" s="1"/>
  <c r="D42" i="2297"/>
  <c r="R41" i="2297"/>
  <c r="L7" i="2297" s="1"/>
  <c r="D7" i="2297" s="1"/>
  <c r="D41" i="2297"/>
  <c r="R40" i="2297"/>
  <c r="D40" i="2297"/>
  <c r="R39" i="2297"/>
  <c r="D39" i="2297"/>
  <c r="R38" i="2297"/>
  <c r="D38" i="2297"/>
  <c r="R37" i="2297"/>
  <c r="D37" i="2297"/>
  <c r="R36" i="2297"/>
  <c r="L10" i="2297" s="1"/>
  <c r="D10" i="2297" s="1"/>
  <c r="D36" i="2297"/>
  <c r="R35" i="2297"/>
  <c r="D35" i="2297"/>
  <c r="R34" i="2297"/>
  <c r="L12" i="2297" s="1"/>
  <c r="D12" i="2297" s="1"/>
  <c r="D34" i="2297"/>
  <c r="D54" i="2297" s="1"/>
  <c r="H14" i="2297" s="1"/>
  <c r="R33" i="2297"/>
  <c r="L23" i="2297" s="1"/>
  <c r="D23" i="2297" s="1"/>
  <c r="R32" i="2297"/>
  <c r="L11" i="2297" s="1"/>
  <c r="D11" i="2297" s="1"/>
  <c r="R31" i="2297"/>
  <c r="R30" i="2297"/>
  <c r="R29" i="2297"/>
  <c r="R28" i="2297"/>
  <c r="D28" i="2297"/>
  <c r="R27" i="2297"/>
  <c r="D27" i="2297"/>
  <c r="R26" i="2297"/>
  <c r="L26" i="2297"/>
  <c r="D26" i="2297"/>
  <c r="R25" i="2297"/>
  <c r="L25" i="2297"/>
  <c r="D25" i="2297"/>
  <c r="R24" i="2297"/>
  <c r="D24" i="2297"/>
  <c r="R23" i="2297"/>
  <c r="R22" i="2297"/>
  <c r="L22" i="2297"/>
  <c r="D22" i="2297"/>
  <c r="R21" i="2297"/>
  <c r="D21" i="2297"/>
  <c r="R20" i="2297"/>
  <c r="L20" i="2297"/>
  <c r="D20" i="2297"/>
  <c r="R19" i="2297"/>
  <c r="L19" i="2297"/>
  <c r="D19" i="2297"/>
  <c r="R18" i="2297"/>
  <c r="D18" i="2297"/>
  <c r="R17" i="2297"/>
  <c r="D17" i="2297"/>
  <c r="R16" i="2297"/>
  <c r="L16" i="2297"/>
  <c r="D16" i="2297" s="1"/>
  <c r="S15" i="2297"/>
  <c r="R15" i="2297"/>
  <c r="D15" i="2297"/>
  <c r="S14" i="2297"/>
  <c r="R14" i="2297"/>
  <c r="D14" i="2297"/>
  <c r="R13" i="2297"/>
  <c r="D13" i="2297"/>
  <c r="R12" i="2297"/>
  <c r="R11" i="2297"/>
  <c r="L9" i="2297"/>
  <c r="D9" i="2297" s="1"/>
  <c r="L8" i="2297"/>
  <c r="D8" i="2297"/>
  <c r="R6" i="2297"/>
  <c r="R5" i="2297"/>
  <c r="R4" i="2297"/>
  <c r="R52" i="2296"/>
  <c r="R51" i="2296"/>
  <c r="D50" i="2296"/>
  <c r="R49" i="2296"/>
  <c r="D49" i="2296"/>
  <c r="R48" i="2296"/>
  <c r="D48" i="2296"/>
  <c r="D46" i="2296"/>
  <c r="D45" i="2296"/>
  <c r="R44" i="2296"/>
  <c r="L28" i="2296" s="1"/>
  <c r="D28" i="2296" s="1"/>
  <c r="D44" i="2296"/>
  <c r="R42" i="2296"/>
  <c r="D42" i="2296"/>
  <c r="R41" i="2296"/>
  <c r="L7" i="2296" s="1"/>
  <c r="D7" i="2296" s="1"/>
  <c r="D41" i="2296"/>
  <c r="R40" i="2296"/>
  <c r="D40" i="2296"/>
  <c r="R39" i="2296"/>
  <c r="H39" i="2296"/>
  <c r="D39" i="2296"/>
  <c r="R38" i="2296"/>
  <c r="H38" i="2296"/>
  <c r="D38" i="2296"/>
  <c r="R37" i="2296"/>
  <c r="H37" i="2296"/>
  <c r="D37" i="2296"/>
  <c r="R36" i="2296"/>
  <c r="L10" i="2296" s="1"/>
  <c r="D10" i="2296" s="1"/>
  <c r="H36" i="2296"/>
  <c r="D36" i="2296"/>
  <c r="R35" i="2296"/>
  <c r="L18" i="2296" s="1"/>
  <c r="D18" i="2296" s="1"/>
  <c r="H35" i="2296"/>
  <c r="D35" i="2296"/>
  <c r="R34" i="2296"/>
  <c r="H34" i="2296"/>
  <c r="D34" i="2296"/>
  <c r="R33" i="2296"/>
  <c r="R32" i="2296"/>
  <c r="L11" i="2296" s="1"/>
  <c r="D11" i="2296" s="1"/>
  <c r="R31" i="2296"/>
  <c r="R30" i="2296"/>
  <c r="R29" i="2296"/>
  <c r="R28" i="2296"/>
  <c r="R27" i="2296"/>
  <c r="L27" i="2296"/>
  <c r="D27" i="2296" s="1"/>
  <c r="R26" i="2296"/>
  <c r="L26" i="2296"/>
  <c r="D26" i="2296" s="1"/>
  <c r="R25" i="2296"/>
  <c r="L25" i="2296"/>
  <c r="D25" i="2296"/>
  <c r="R24" i="2296"/>
  <c r="L24" i="2296"/>
  <c r="D24" i="2296"/>
  <c r="R23" i="2296"/>
  <c r="L23" i="2296"/>
  <c r="D23" i="2296"/>
  <c r="R22" i="2296"/>
  <c r="L20" i="2296" s="1"/>
  <c r="D20" i="2296" s="1"/>
  <c r="L22" i="2296"/>
  <c r="D22" i="2296"/>
  <c r="R21" i="2296"/>
  <c r="L21" i="2296"/>
  <c r="D21" i="2296"/>
  <c r="R20" i="2296"/>
  <c r="R19" i="2296"/>
  <c r="L19" i="2296"/>
  <c r="D19" i="2296" s="1"/>
  <c r="R18" i="2296"/>
  <c r="R17" i="2296"/>
  <c r="L17" i="2296"/>
  <c r="D17" i="2296"/>
  <c r="R16" i="2296"/>
  <c r="R15" i="2296"/>
  <c r="R14" i="2296"/>
  <c r="D14" i="2296"/>
  <c r="R13" i="2296"/>
  <c r="D13" i="2296"/>
  <c r="R12" i="2296"/>
  <c r="L12" i="2296"/>
  <c r="D12" i="2296"/>
  <c r="R11" i="2296"/>
  <c r="L9" i="2296"/>
  <c r="D9" i="2296"/>
  <c r="L8" i="2296"/>
  <c r="D8" i="2296" s="1"/>
  <c r="R6" i="2296"/>
  <c r="L16" i="2296" s="1"/>
  <c r="D16" i="2296" s="1"/>
  <c r="L6" i="2296"/>
  <c r="D6" i="2296"/>
  <c r="R5" i="2296"/>
  <c r="R4" i="2296"/>
  <c r="L15" i="2296" s="1"/>
  <c r="D15" i="2296" s="1"/>
  <c r="R52" i="2295"/>
  <c r="R51" i="2295"/>
  <c r="D50" i="2295"/>
  <c r="R49" i="2295"/>
  <c r="D49" i="2295"/>
  <c r="R48" i="2295"/>
  <c r="D48" i="2295"/>
  <c r="D46" i="2295"/>
  <c r="D45" i="2295"/>
  <c r="R44" i="2295"/>
  <c r="L28" i="2295" s="1"/>
  <c r="D28" i="2295" s="1"/>
  <c r="D44" i="2295"/>
  <c r="R42" i="2295"/>
  <c r="L6" i="2295" s="1"/>
  <c r="D6" i="2295" s="1"/>
  <c r="D42" i="2295"/>
  <c r="R41" i="2295"/>
  <c r="D41" i="2295"/>
  <c r="R40" i="2295"/>
  <c r="L8" i="2295" s="1"/>
  <c r="D8" i="2295" s="1"/>
  <c r="D40" i="2295"/>
  <c r="R39" i="2295"/>
  <c r="H39" i="2295"/>
  <c r="D39" i="2295"/>
  <c r="R38" i="2295"/>
  <c r="L9" i="2295" s="1"/>
  <c r="D9" i="2295" s="1"/>
  <c r="H38" i="2295"/>
  <c r="D38" i="2295"/>
  <c r="R37" i="2295"/>
  <c r="H37" i="2295"/>
  <c r="D37" i="2295"/>
  <c r="R36" i="2295"/>
  <c r="H36" i="2295"/>
  <c r="D36" i="2295"/>
  <c r="R35" i="2295"/>
  <c r="H35" i="2295"/>
  <c r="D35" i="2295"/>
  <c r="R34" i="2295"/>
  <c r="L12" i="2295" s="1"/>
  <c r="D12" i="2295" s="1"/>
  <c r="H34" i="2295"/>
  <c r="D34" i="2295"/>
  <c r="R33" i="2295"/>
  <c r="R32" i="2295"/>
  <c r="R31" i="2295"/>
  <c r="R30" i="2295"/>
  <c r="R29" i="2295"/>
  <c r="R28" i="2295"/>
  <c r="R27" i="2295"/>
  <c r="L27" i="2295"/>
  <c r="D27" i="2295"/>
  <c r="R26" i="2295"/>
  <c r="L26" i="2295"/>
  <c r="D26" i="2295" s="1"/>
  <c r="R25" i="2295"/>
  <c r="L25" i="2295"/>
  <c r="D25" i="2295"/>
  <c r="R24" i="2295"/>
  <c r="L24" i="2295"/>
  <c r="D24" i="2295"/>
  <c r="R23" i="2295"/>
  <c r="L23" i="2295"/>
  <c r="D23" i="2295"/>
  <c r="R22" i="2295"/>
  <c r="L20" i="2295" s="1"/>
  <c r="D20" i="2295" s="1"/>
  <c r="L22" i="2295"/>
  <c r="D22" i="2295"/>
  <c r="R21" i="2295"/>
  <c r="L17" i="2295" s="1"/>
  <c r="D17" i="2295" s="1"/>
  <c r="D21" i="2295"/>
  <c r="R20" i="2295"/>
  <c r="R19" i="2295"/>
  <c r="L19" i="2295"/>
  <c r="D19" i="2295"/>
  <c r="R18" i="2295"/>
  <c r="L18" i="2295"/>
  <c r="D18" i="2295"/>
  <c r="R17" i="2295"/>
  <c r="R16" i="2295"/>
  <c r="R15" i="2295"/>
  <c r="L15" i="2295"/>
  <c r="D15" i="2295" s="1"/>
  <c r="R14" i="2295"/>
  <c r="L14" i="2295"/>
  <c r="D14" i="2295"/>
  <c r="R13" i="2295"/>
  <c r="D13" i="2295"/>
  <c r="R12" i="2295"/>
  <c r="R11" i="2295"/>
  <c r="L11" i="2295"/>
  <c r="D11" i="2295"/>
  <c r="L10" i="2295"/>
  <c r="D10" i="2295" s="1"/>
  <c r="L7" i="2295"/>
  <c r="D7" i="2295"/>
  <c r="R6" i="2295"/>
  <c r="L16" i="2295" s="1"/>
  <c r="D16" i="2295" s="1"/>
  <c r="R5" i="2295"/>
  <c r="R4" i="2295"/>
  <c r="V68" i="2294"/>
  <c r="R52" i="2294"/>
  <c r="R51" i="2294"/>
  <c r="D50" i="2294"/>
  <c r="R49" i="2294"/>
  <c r="D49" i="2294"/>
  <c r="R48" i="2294"/>
  <c r="D48" i="2294"/>
  <c r="D46" i="2294"/>
  <c r="D45" i="2294"/>
  <c r="R44" i="2294"/>
  <c r="D44" i="2294"/>
  <c r="R42" i="2294"/>
  <c r="L6" i="2294" s="1"/>
  <c r="D6" i="2294" s="1"/>
  <c r="D42" i="2294"/>
  <c r="R41" i="2294"/>
  <c r="D41" i="2294"/>
  <c r="R40" i="2294"/>
  <c r="D40" i="2294"/>
  <c r="R39" i="2294"/>
  <c r="H39" i="2294"/>
  <c r="D39" i="2294"/>
  <c r="R38" i="2294"/>
  <c r="L9" i="2294" s="1"/>
  <c r="D9" i="2294" s="1"/>
  <c r="H38" i="2294"/>
  <c r="D38" i="2294"/>
  <c r="R37" i="2294"/>
  <c r="H37" i="2294"/>
  <c r="D37" i="2294"/>
  <c r="R36" i="2294"/>
  <c r="L10" i="2294" s="1"/>
  <c r="D10" i="2294" s="1"/>
  <c r="H36" i="2294"/>
  <c r="D36" i="2294"/>
  <c r="R35" i="2294"/>
  <c r="H35" i="2294"/>
  <c r="D35" i="2294"/>
  <c r="R34" i="2294"/>
  <c r="H34" i="2294"/>
  <c r="D34" i="2294"/>
  <c r="R33" i="2294"/>
  <c r="R32" i="2294"/>
  <c r="R31" i="2294"/>
  <c r="R30" i="2294"/>
  <c r="R29" i="2294"/>
  <c r="R28" i="2294"/>
  <c r="L28" i="2294"/>
  <c r="D28" i="2294"/>
  <c r="R27" i="2294"/>
  <c r="L27" i="2294"/>
  <c r="D27" i="2294"/>
  <c r="R26" i="2294"/>
  <c r="L26" i="2294"/>
  <c r="D26" i="2294"/>
  <c r="R25" i="2294"/>
  <c r="L25" i="2294"/>
  <c r="D25" i="2294"/>
  <c r="R24" i="2294"/>
  <c r="L24" i="2294"/>
  <c r="D24" i="2294"/>
  <c r="R23" i="2294"/>
  <c r="L23" i="2294"/>
  <c r="D23" i="2294"/>
  <c r="R22" i="2294"/>
  <c r="L20" i="2294" s="1"/>
  <c r="D20" i="2294" s="1"/>
  <c r="L22" i="2294"/>
  <c r="D22" i="2294"/>
  <c r="R21" i="2294"/>
  <c r="L21" i="2294"/>
  <c r="D21" i="2294"/>
  <c r="R20" i="2294"/>
  <c r="R19" i="2294"/>
  <c r="L19" i="2294"/>
  <c r="D19" i="2294"/>
  <c r="R18" i="2294"/>
  <c r="L18" i="2294"/>
  <c r="D18" i="2294"/>
  <c r="R17" i="2294"/>
  <c r="L17" i="2294"/>
  <c r="D17" i="2294" s="1"/>
  <c r="R16" i="2294"/>
  <c r="R15" i="2294"/>
  <c r="L15" i="2294"/>
  <c r="D15" i="2294"/>
  <c r="R14" i="2294"/>
  <c r="D14" i="2294"/>
  <c r="R13" i="2294"/>
  <c r="D13" i="2294"/>
  <c r="R12" i="2294"/>
  <c r="L12" i="2294"/>
  <c r="D12" i="2294" s="1"/>
  <c r="R11" i="2294"/>
  <c r="L11" i="2294"/>
  <c r="D11" i="2294" s="1"/>
  <c r="L8" i="2294"/>
  <c r="D8" i="2294"/>
  <c r="L7" i="2294"/>
  <c r="D7" i="2294"/>
  <c r="R6" i="2294"/>
  <c r="L16" i="2294" s="1"/>
  <c r="D16" i="2294" s="1"/>
  <c r="R5" i="2294"/>
  <c r="R4" i="2294"/>
  <c r="R52" i="2293"/>
  <c r="R51" i="2293"/>
  <c r="D50" i="2293"/>
  <c r="R49" i="2293"/>
  <c r="G49" i="2293"/>
  <c r="D49" i="2293"/>
  <c r="R48" i="2293"/>
  <c r="D48" i="2293"/>
  <c r="D46" i="2293"/>
  <c r="D45" i="2293"/>
  <c r="D44" i="2293"/>
  <c r="R42" i="2293"/>
  <c r="L6" i="2293" s="1"/>
  <c r="D6" i="2293" s="1"/>
  <c r="D42" i="2293"/>
  <c r="R41" i="2293"/>
  <c r="L7" i="2293" s="1"/>
  <c r="D7" i="2293" s="1"/>
  <c r="D41" i="2293"/>
  <c r="R40" i="2293"/>
  <c r="D40" i="2293"/>
  <c r="R39" i="2293"/>
  <c r="D39" i="2293"/>
  <c r="R38" i="2293"/>
  <c r="D38" i="2293"/>
  <c r="R37" i="2293"/>
  <c r="D37" i="2293"/>
  <c r="R36" i="2293"/>
  <c r="L10" i="2293" s="1"/>
  <c r="D10" i="2293" s="1"/>
  <c r="D36" i="2293"/>
  <c r="R35" i="2293"/>
  <c r="D35" i="2293"/>
  <c r="R34" i="2293"/>
  <c r="L12" i="2293" s="1"/>
  <c r="D12" i="2293" s="1"/>
  <c r="D34" i="2293"/>
  <c r="D54" i="2293" s="1"/>
  <c r="H14" i="2293" s="1"/>
  <c r="R33" i="2293"/>
  <c r="L23" i="2293" s="1"/>
  <c r="D23" i="2293" s="1"/>
  <c r="R32" i="2293"/>
  <c r="R31" i="2293"/>
  <c r="R30" i="2293"/>
  <c r="R29" i="2293"/>
  <c r="R28" i="2293"/>
  <c r="D28" i="2293"/>
  <c r="R27" i="2293"/>
  <c r="D27" i="2293"/>
  <c r="R26" i="2293"/>
  <c r="L26" i="2293"/>
  <c r="D26" i="2293"/>
  <c r="R25" i="2293"/>
  <c r="L25" i="2293"/>
  <c r="D25" i="2293"/>
  <c r="R24" i="2293"/>
  <c r="D24" i="2293"/>
  <c r="R23" i="2293"/>
  <c r="R22" i="2293"/>
  <c r="L22" i="2293"/>
  <c r="D22" i="2293"/>
  <c r="R21" i="2293"/>
  <c r="D21" i="2293"/>
  <c r="R20" i="2293"/>
  <c r="L20" i="2293"/>
  <c r="D20" i="2293"/>
  <c r="R19" i="2293"/>
  <c r="L19" i="2293"/>
  <c r="D19" i="2293"/>
  <c r="R18" i="2293"/>
  <c r="D18" i="2293"/>
  <c r="R17" i="2293"/>
  <c r="D17" i="2293"/>
  <c r="R16" i="2293"/>
  <c r="L16" i="2293"/>
  <c r="D16" i="2293" s="1"/>
  <c r="S15" i="2293"/>
  <c r="R15" i="2293"/>
  <c r="D15" i="2293"/>
  <c r="S14" i="2293"/>
  <c r="R14" i="2293"/>
  <c r="D14" i="2293"/>
  <c r="R13" i="2293"/>
  <c r="D13" i="2293"/>
  <c r="R12" i="2293"/>
  <c r="R11" i="2293"/>
  <c r="L11" i="2293"/>
  <c r="D11" i="2293"/>
  <c r="L9" i="2293"/>
  <c r="D9" i="2293"/>
  <c r="L8" i="2293"/>
  <c r="D8" i="2293"/>
  <c r="R6" i="2293"/>
  <c r="R5" i="2293"/>
  <c r="R4" i="2293"/>
  <c r="G49" i="2312" l="1"/>
  <c r="D54" i="2312"/>
  <c r="H14" i="2312" s="1"/>
  <c r="G49" i="2311"/>
  <c r="D54" i="2311"/>
  <c r="H14" i="2311" s="1"/>
  <c r="G49" i="2308"/>
  <c r="D54" i="2308"/>
  <c r="H14" i="2308" s="1"/>
  <c r="D54" i="2307"/>
  <c r="H14" i="2307" s="1"/>
  <c r="G49" i="2306"/>
  <c r="D54" i="2306"/>
  <c r="H14" i="2306" s="1"/>
  <c r="D29" i="2306"/>
  <c r="H13" i="2306" s="1"/>
  <c r="D54" i="2304"/>
  <c r="H14" i="2304" s="1"/>
  <c r="G49" i="2304"/>
  <c r="G49" i="2303"/>
  <c r="D54" i="2303"/>
  <c r="H14" i="2303" s="1"/>
  <c r="G49" i="2302"/>
  <c r="D54" i="2302"/>
  <c r="H14" i="2302" s="1"/>
  <c r="D54" i="2298"/>
  <c r="H14" i="2298" s="1"/>
  <c r="G49" i="2298"/>
  <c r="D54" i="2300"/>
  <c r="H14" i="2300" s="1"/>
  <c r="D54" i="2299"/>
  <c r="H14" i="2299" s="1"/>
  <c r="G49" i="2299"/>
  <c r="D54" i="2295"/>
  <c r="H14" i="2295" s="1"/>
  <c r="G49" i="2295"/>
  <c r="D54" i="2294"/>
  <c r="H14" i="2294" s="1"/>
  <c r="D29" i="2294"/>
  <c r="H13" i="2294" s="1"/>
  <c r="D29" i="2312"/>
  <c r="H13" i="2312" s="1"/>
  <c r="D29" i="2311"/>
  <c r="H13" i="2311" s="1"/>
  <c r="D29" i="2310"/>
  <c r="H13" i="2310" s="1"/>
  <c r="H15" i="2310" s="1"/>
  <c r="H29" i="2310" s="1"/>
  <c r="F51" i="2310" s="1"/>
  <c r="D29" i="2309"/>
  <c r="H13" i="2309" s="1"/>
  <c r="H15" i="2309" s="1"/>
  <c r="H29" i="2309" s="1"/>
  <c r="G51" i="2309"/>
  <c r="D29" i="2308"/>
  <c r="H13" i="2308" s="1"/>
  <c r="D29" i="2307"/>
  <c r="H13" i="2307" s="1"/>
  <c r="D29" i="2305"/>
  <c r="H13" i="2305" s="1"/>
  <c r="H15" i="2305" s="1"/>
  <c r="H29" i="2305" s="1"/>
  <c r="G51" i="2305"/>
  <c r="D29" i="2304"/>
  <c r="H13" i="2304" s="1"/>
  <c r="D29" i="2303"/>
  <c r="H13" i="2303" s="1"/>
  <c r="D29" i="2302"/>
  <c r="H13" i="2302" s="1"/>
  <c r="D29" i="2301"/>
  <c r="H13" i="2301" s="1"/>
  <c r="H15" i="2301" s="1"/>
  <c r="H29" i="2301" s="1"/>
  <c r="G51" i="2301" s="1"/>
  <c r="D29" i="2300"/>
  <c r="H13" i="2300" s="1"/>
  <c r="D29" i="2299"/>
  <c r="H13" i="2299" s="1"/>
  <c r="D29" i="2298"/>
  <c r="H13" i="2298" s="1"/>
  <c r="D29" i="2297"/>
  <c r="H13" i="2297" s="1"/>
  <c r="H15" i="2297" s="1"/>
  <c r="H29" i="2297" s="1"/>
  <c r="G51" i="2297"/>
  <c r="G49" i="2296"/>
  <c r="D54" i="2296"/>
  <c r="H14" i="2296" s="1"/>
  <c r="G49" i="2294"/>
  <c r="D29" i="2296"/>
  <c r="H13" i="2296" s="1"/>
  <c r="D29" i="2295"/>
  <c r="H13" i="2295" s="1"/>
  <c r="H15" i="2295" s="1"/>
  <c r="H29" i="2295" s="1"/>
  <c r="D29" i="2293"/>
  <c r="H13" i="2293" s="1"/>
  <c r="H15" i="2293" s="1"/>
  <c r="H29" i="2293" s="1"/>
  <c r="G51" i="2293" s="1"/>
  <c r="C12" i="2292"/>
  <c r="H15" i="2312" l="1"/>
  <c r="H29" i="2312" s="1"/>
  <c r="F51" i="2312" s="1"/>
  <c r="H15" i="2311"/>
  <c r="H29" i="2311" s="1"/>
  <c r="F51" i="2311" s="1"/>
  <c r="H15" i="2308"/>
  <c r="H29" i="2308" s="1"/>
  <c r="F51" i="2308" s="1"/>
  <c r="H15" i="2307"/>
  <c r="H29" i="2307" s="1"/>
  <c r="F51" i="2307" s="1"/>
  <c r="H15" i="2306"/>
  <c r="H29" i="2306" s="1"/>
  <c r="F51" i="2306" s="1"/>
  <c r="G51" i="2306"/>
  <c r="H15" i="2304"/>
  <c r="H29" i="2304" s="1"/>
  <c r="F51" i="2304" s="1"/>
  <c r="H15" i="2303"/>
  <c r="H29" i="2303" s="1"/>
  <c r="F51" i="2303" s="1"/>
  <c r="H15" i="2302"/>
  <c r="H29" i="2302" s="1"/>
  <c r="F51" i="2302" s="1"/>
  <c r="H15" i="2298"/>
  <c r="H29" i="2298" s="1"/>
  <c r="G51" i="2298" s="1"/>
  <c r="H15" i="2300"/>
  <c r="H29" i="2300" s="1"/>
  <c r="F51" i="2300" s="1"/>
  <c r="H15" i="2299"/>
  <c r="H29" i="2299" s="1"/>
  <c r="G51" i="2299" s="1"/>
  <c r="F51" i="2299"/>
  <c r="H15" i="2296"/>
  <c r="H29" i="2296" s="1"/>
  <c r="F51" i="2296" s="1"/>
  <c r="G51" i="2295"/>
  <c r="F51" i="2295"/>
  <c r="H15" i="2294"/>
  <c r="H29" i="2294" s="1"/>
  <c r="F51" i="2294" s="1"/>
  <c r="G51" i="2310"/>
  <c r="C19" i="2288"/>
  <c r="G51" i="2312" l="1"/>
  <c r="G51" i="2311"/>
  <c r="G51" i="2308"/>
  <c r="G51" i="2307"/>
  <c r="G51" i="2304"/>
  <c r="G51" i="2303"/>
  <c r="G51" i="2302"/>
  <c r="F51" i="2298"/>
  <c r="G51" i="2300"/>
  <c r="G51" i="2296"/>
  <c r="C12" i="2282"/>
  <c r="L14" i="2278" l="1"/>
  <c r="C12" i="2280"/>
  <c r="L14" i="2274" l="1"/>
  <c r="L21" i="2274"/>
  <c r="L14" i="2270" l="1"/>
  <c r="C12" i="2271"/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D36" i="2292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D34" i="2288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D34" i="2286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D21" i="2284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D34" i="2283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D34" i="2282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D34" i="2278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D36" i="2276"/>
  <c r="R35" i="2276"/>
  <c r="H35" i="2276"/>
  <c r="D35" i="2276"/>
  <c r="R34" i="2276"/>
  <c r="L12" i="2276" s="1"/>
  <c r="D12" i="2276" s="1"/>
  <c r="H34" i="2276"/>
  <c r="D34" i="2276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D54" i="2292" l="1"/>
  <c r="H14" i="2292" s="1"/>
  <c r="G49" i="2292"/>
  <c r="G49" i="2290"/>
  <c r="D54" i="2288"/>
  <c r="H14" i="2288" s="1"/>
  <c r="G49" i="2288"/>
  <c r="D54" i="2287"/>
  <c r="H14" i="2287" s="1"/>
  <c r="G49" i="2286"/>
  <c r="D54" i="2286"/>
  <c r="H14" i="2286" s="1"/>
  <c r="G49" i="2283"/>
  <c r="G49" i="2282"/>
  <c r="D54" i="2284"/>
  <c r="H14" i="2284" s="1"/>
  <c r="D54" i="2282"/>
  <c r="H14" i="2282" s="1"/>
  <c r="D54" i="2283"/>
  <c r="H14" i="2283" s="1"/>
  <c r="G49" i="2278"/>
  <c r="G49" i="2280"/>
  <c r="D54" i="2278"/>
  <c r="H14" i="2278" s="1"/>
  <c r="D54" i="2279"/>
  <c r="H14" i="2279" s="1"/>
  <c r="D54" i="2280"/>
  <c r="H14" i="2280" s="1"/>
  <c r="G49" i="2275"/>
  <c r="G49" i="2274"/>
  <c r="G49" i="2276"/>
  <c r="D54" i="2274"/>
  <c r="H14" i="2274" s="1"/>
  <c r="D54" i="2275"/>
  <c r="H14" i="2275" s="1"/>
  <c r="D29" i="2275"/>
  <c r="H13" i="2275" s="1"/>
  <c r="D54" i="2276"/>
  <c r="H14" i="2276" s="1"/>
  <c r="D29" i="2276"/>
  <c r="H13" i="2276" s="1"/>
  <c r="D29" i="2292"/>
  <c r="H13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D29" i="2289"/>
  <c r="H13" i="2289" s="1"/>
  <c r="H15" i="2289" s="1"/>
  <c r="H29" i="2289" s="1"/>
  <c r="G51" i="2289"/>
  <c r="D29" i="2288"/>
  <c r="H13" i="2288" s="1"/>
  <c r="D29" i="2287"/>
  <c r="H13" i="2287" s="1"/>
  <c r="D29" i="2286"/>
  <c r="H13" i="2286" s="1"/>
  <c r="D29" i="2285"/>
  <c r="H13" i="2285" s="1"/>
  <c r="H15" i="2285" s="1"/>
  <c r="H29" i="2285" s="1"/>
  <c r="G51" i="2285"/>
  <c r="D29" i="2284"/>
  <c r="H13" i="2284" s="1"/>
  <c r="D29" i="2283"/>
  <c r="H13" i="2283" s="1"/>
  <c r="D29" i="2282"/>
  <c r="H13" i="2282" s="1"/>
  <c r="D29" i="2281"/>
  <c r="H13" i="2281" s="1"/>
  <c r="H15" i="2281" s="1"/>
  <c r="H29" i="2281" s="1"/>
  <c r="G51" i="2281" s="1"/>
  <c r="D29" i="2280"/>
  <c r="H13" i="2280" s="1"/>
  <c r="D29" i="2279"/>
  <c r="H13" i="2279" s="1"/>
  <c r="D29" i="2278"/>
  <c r="H13" i="2278" s="1"/>
  <c r="D29" i="2277"/>
  <c r="H13" i="2277" s="1"/>
  <c r="H15" i="2277" s="1"/>
  <c r="H29" i="2277" s="1"/>
  <c r="G51" i="2277" s="1"/>
  <c r="D29" i="2274"/>
  <c r="H13" i="2274" s="1"/>
  <c r="D29" i="2273"/>
  <c r="H13" i="2273" s="1"/>
  <c r="H15" i="2273" s="1"/>
  <c r="H29" i="2273" s="1"/>
  <c r="G51" i="2273"/>
  <c r="L14" i="2262"/>
  <c r="C16" i="2264"/>
  <c r="H15" i="2292" l="1"/>
  <c r="H29" i="2292" s="1"/>
  <c r="F51" i="2292" s="1"/>
  <c r="G51" i="2290"/>
  <c r="F51" i="2290"/>
  <c r="H15" i="2288"/>
  <c r="H29" i="2288" s="1"/>
  <c r="F51" i="2288" s="1"/>
  <c r="H15" i="2287"/>
  <c r="H29" i="2287" s="1"/>
  <c r="F51" i="2287" s="1"/>
  <c r="H15" i="2286"/>
  <c r="H29" i="2286" s="1"/>
  <c r="F51" i="2286" s="1"/>
  <c r="H15" i="2284"/>
  <c r="H29" i="2284" s="1"/>
  <c r="F51" i="2284" s="1"/>
  <c r="H15" i="2282"/>
  <c r="H29" i="2282" s="1"/>
  <c r="F51" i="2282" s="1"/>
  <c r="H15" i="2283"/>
  <c r="H29" i="2283" s="1"/>
  <c r="F51" i="2283" s="1"/>
  <c r="H15" i="2278"/>
  <c r="H29" i="2278" s="1"/>
  <c r="F51" i="2278" s="1"/>
  <c r="H15" i="2279"/>
  <c r="H29" i="2279" s="1"/>
  <c r="F51" i="2279" s="1"/>
  <c r="H15" i="2280"/>
  <c r="H29" i="2280" s="1"/>
  <c r="F51" i="2280" s="1"/>
  <c r="H15" i="2274"/>
  <c r="H29" i="2274" s="1"/>
  <c r="F51" i="2274" s="1"/>
  <c r="H15" i="2275"/>
  <c r="H29" i="2275" s="1"/>
  <c r="F51" i="2275" s="1"/>
  <c r="H15" i="2276"/>
  <c r="H29" i="2276" s="1"/>
  <c r="F51" i="2276" s="1"/>
  <c r="G51" i="2291"/>
  <c r="G51" i="2292" l="1"/>
  <c r="G51" i="2288"/>
  <c r="G51" i="2287"/>
  <c r="G51" i="2286"/>
  <c r="G51" i="2283"/>
  <c r="G51" i="2284"/>
  <c r="G51" i="2282"/>
  <c r="G51" i="2278"/>
  <c r="G51" i="2279"/>
  <c r="G51" i="2280"/>
  <c r="G51" i="2274"/>
  <c r="G51" i="2275"/>
  <c r="G51" i="2276"/>
  <c r="C19" i="2255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72" l="1"/>
  <c r="G49" i="2271"/>
  <c r="D54" i="2271"/>
  <c r="H14" i="2271" s="1"/>
  <c r="D54" i="2270"/>
  <c r="H14" i="2270" s="1"/>
  <c r="G49" i="2268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D29" i="2271"/>
  <c r="H13" i="2271" s="1"/>
  <c r="D29" i="2270"/>
  <c r="H13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F51" i="2272" l="1"/>
  <c r="G51" i="2272"/>
  <c r="H15" i="2271"/>
  <c r="H29" i="2271" s="1"/>
  <c r="F51" i="2271" s="1"/>
  <c r="H15" i="2270"/>
  <c r="H29" i="2270" s="1"/>
  <c r="F51" i="2270" s="1"/>
  <c r="H15" i="2268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0" l="1"/>
  <c r="G51" i="2259"/>
  <c r="G51" i="2271"/>
  <c r="G51" i="2270"/>
  <c r="G51" i="2268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18A107F4-3A78-4150-9916-805D13629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 2307
</t>
        </r>
      </text>
    </comment>
  </commentList>
</comments>
</file>

<file path=xl/sharedStrings.xml><?xml version="1.0" encoding="utf-8"?>
<sst xmlns="http://schemas.openxmlformats.org/spreadsheetml/2006/main" count="10865" uniqueCount="211">
  <si>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</si>
  <si>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</si>
  <si>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</si>
  <si>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</si>
  <si>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</si>
  <si>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</si>
  <si>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</si>
  <si>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</si>
  <si>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</si>
  <si>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</si>
  <si>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</si>
  <si>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</si>
  <si>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</si>
  <si>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</si>
  <si>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</si>
  <si>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</si>
  <si>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</si>
  <si>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</si>
  <si>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</si>
  <si>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</si>
  <si>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</si>
  <si>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</si>
  <si>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</si>
  <si>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</si>
  <si>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</si>
  <si>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</si>
  <si>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</si>
  <si>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</si>
  <si>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</si>
  <si>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</si>
  <si>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</si>
  <si>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</si>
  <si>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</si>
  <si>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</si>
  <si>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</si>
  <si>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</si>
  <si>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</si>
  <si>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</si>
  <si>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</si>
  <si>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</si>
  <si>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</si>
  <si>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</si>
  <si>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</si>
  <si>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</si>
  <si>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</si>
  <si>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</si>
  <si>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</si>
  <si>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</si>
  <si>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</si>
  <si>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</si>
  <si>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</si>
  <si>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</si>
  <si>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</si>
  <si>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</si>
  <si>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</si>
  <si>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</si>
  <si>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</si>
  <si>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</si>
  <si>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</si>
  <si>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</si>
  <si>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</si>
  <si>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</si>
  <si>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</si>
  <si>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</si>
  <si>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</si>
  <si>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</si>
  <si>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</si>
  <si>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</si>
  <si>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</si>
  <si>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</si>
  <si>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</si>
  <si>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</si>
  <si>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</si>
  <si>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</si>
  <si>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</si>
  <si>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</si>
  <si>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</si>
  <si>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</si>
  <si>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</si>
  <si>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</si>
  <si>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</si>
  <si>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</si>
  <si>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</si>
  <si>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</si>
  <si>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</si>
  <si>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</si>
  <si>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</si>
  <si>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</si>
  <si>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</si>
  <si>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</si>
  <si>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</si>
  <si>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</si>
  <si>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</si>
  <si>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</si>
  <si>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</si>
  <si>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</si>
  <si>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</si>
  <si>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</si>
  <si>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</si>
  <si>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</si>
  <si>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</si>
  <si>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</si>
  <si>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</si>
  <si>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</si>
  <si>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</si>
  <si>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</si>
  <si>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</si>
  <si>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</si>
  <si>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</si>
  <si>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</si>
  <si>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</si>
  <si>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</si>
  <si>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</si>
  <si>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</si>
  <si>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</si>
  <si>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</si>
  <si>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</si>
  <si>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</si>
  <si>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</si>
  <si>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</si>
  <si>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</si>
  <si>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</si>
  <si>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</si>
  <si>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</si>
  <si>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</si>
  <si>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</si>
  <si>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</si>
  <si>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</si>
  <si>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</si>
  <si>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</si>
  <si>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</si>
  <si>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</si>
  <si>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</si>
  <si>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</si>
  <si>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</si>
  <si>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</si>
  <si>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</si>
  <si>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</si>
  <si>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</si>
  <si>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</si>
  <si>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</si>
  <si>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</si>
  <si>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</si>
  <si>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</si>
  <si>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</si>
  <si>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</si>
  <si>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</si>
  <si>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</si>
  <si>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</si>
  <si>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</si>
  <si>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</si>
  <si>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</si>
  <si>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</si>
  <si>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</si>
  <si>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</si>
  <si>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</si>
  <si>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</si>
  <si>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</si>
  <si>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</si>
  <si>
    <t>151305</t>
  </si>
  <si>
    <t>51210</t>
  </si>
  <si>
    <t>60756</t>
  </si>
  <si>
    <t>SML500C</t>
  </si>
  <si>
    <t>BALWARTE</t>
  </si>
  <si>
    <t>2000008771</t>
  </si>
  <si>
    <t>2120013249</t>
  </si>
  <si>
    <t xml:space="preserve">PNB </t>
  </si>
  <si>
    <t>153301</t>
  </si>
  <si>
    <t>2130022091</t>
  </si>
  <si>
    <t>SHIRMAY ANN STORE(Promo)</t>
  </si>
  <si>
    <t>TAGULOB STORE (Promo)</t>
  </si>
  <si>
    <t>JODI'S VARIETY STORE(Promo)</t>
  </si>
  <si>
    <t>SMFC</t>
  </si>
  <si>
    <t>2120013252</t>
  </si>
  <si>
    <t>2130022095</t>
  </si>
  <si>
    <t>51216</t>
  </si>
  <si>
    <t>2000006291</t>
  </si>
  <si>
    <t>154142</t>
  </si>
  <si>
    <t>153318</t>
  </si>
  <si>
    <t>2000003324</t>
  </si>
  <si>
    <t>2000008782</t>
  </si>
  <si>
    <t>2000003329</t>
  </si>
  <si>
    <t>2000008786</t>
  </si>
  <si>
    <t>154150</t>
  </si>
  <si>
    <t>153002</t>
  </si>
  <si>
    <t>2130022099</t>
  </si>
  <si>
    <t>51222</t>
  </si>
  <si>
    <t>60771</t>
  </si>
  <si>
    <t>1ST VB</t>
  </si>
  <si>
    <t>5252217</t>
  </si>
  <si>
    <t>2130022004</t>
  </si>
  <si>
    <t>153330</t>
  </si>
  <si>
    <t xml:space="preserve">                        GINA GRACE LOPEZ</t>
  </si>
  <si>
    <t>GINA GRACE LOPEZ</t>
  </si>
  <si>
    <t>LOPEZ, GINA GRACE</t>
  </si>
  <si>
    <t xml:space="preserve">                        GINA GRACE, LOPEZ</t>
  </si>
  <si>
    <t>2120013446</t>
  </si>
  <si>
    <t>51225</t>
  </si>
  <si>
    <t>SMLC500C</t>
  </si>
  <si>
    <t>1418124</t>
  </si>
  <si>
    <t>153331</t>
  </si>
  <si>
    <t>2000003340</t>
  </si>
  <si>
    <t>2000006309</t>
  </si>
  <si>
    <t>132805</t>
  </si>
  <si>
    <t>51953</t>
  </si>
  <si>
    <t>154198</t>
  </si>
  <si>
    <t>2130022010</t>
  </si>
  <si>
    <t>153358</t>
  </si>
  <si>
    <t>51229</t>
  </si>
  <si>
    <t>60788</t>
  </si>
  <si>
    <t>20000086036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</si>
</sst>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4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2" fontId="0" fillId="0" borderId="0" xfId="0" applyNumberFormat="1"/>
    <xf numFmtId="43" fontId="0" fillId="2" borderId="1" xfId="1" applyFont="1" applyFill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180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0A96B-E668-458C-99E5-BEF7E1C2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66C37-ADE0-4965-BB58-8F4B365300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F27F5-5B76-4303-BD0A-76CA4D5F7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80445C-89C9-4568-B510-AAAFFA5EB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CB2ABB-A1D4-4F55-8BE6-D20150EC2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460217-223C-4BE3-843B-35D7205A4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54</xdr:row>
      <xdr:rowOff>57151</xdr:rowOff>
    </xdr:from>
    <xdr:to>
      <xdr:col>3</xdr:col>
      <xdr:colOff>9525</xdr:colOff>
      <xdr:row>57</xdr:row>
      <xdr:rowOff>147359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EF0D2C-822E-4E26-9167-48344D11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8700" y="10610851"/>
          <a:ext cx="790575" cy="661708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E90E15-0F25-41C5-B79F-F64AE0D93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602B73-C972-41FC-9CF0-E4030ECB9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83032-42A8-4B49-98EE-2083CED65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06642-3788-4E2B-B2FA-C1C86992B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0823D-1A9A-4B03-8B2E-BFFBB4C0FA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84F36-BB3B-46F7-84DB-D4D92902E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9D1DFD-C521-4541-8DE1-E60B00A61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228600</xdr:colOff>
      <xdr:row>48</xdr:row>
      <xdr:rowOff>161925</xdr:rowOff>
    </xdr:from>
    <xdr:to>
      <xdr:col>3</xdr:col>
      <xdr:colOff>733425</xdr:colOff>
      <xdr:row>63</xdr:row>
      <xdr:rowOff>96788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C2B3F6-CCA3-41B3-B733-DE7D2A236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9534525"/>
          <a:ext cx="2124075" cy="283046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EB3BD-D9F3-4B08-AE34-3B61E35FD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141F43-2A6A-4F11-8B0B-C7A7B18C8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7CE598-2B20-4A60-96BF-43C69E9B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231E5DD-FB18-4EE6-8067-C347404800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F68750-6489-4147-9A4C-2B8237DDD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FA041C-0B8E-4570-8836-A3CA73BDC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4E5E1-B986-45B2-94BE-B58C38945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768A3-0650-4A04-BD0E-4FAD5EA4C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CCDEFB-8C04-451E-92A1-EB91E40D97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7222FD-8903-4E3B-9356-0809C4EBD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341BB6-1CD1-45FC-8727-5C168DD7DB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6DAF2-AA60-4746-BA4E-83BF24394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335504-1A73-46EE-BA79-28820FF4F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Relationship Id="rId4" Type="http://schemas.openxmlformats.org/officeDocument/2006/relationships/comments" Target="../comments4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89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1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46235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91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8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H15-H16-H17-H18-H19-H20-H22-H23-H24+H26+H27+H28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1">
        <f t="shared" ref="H34:H39" si="2"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 t="shared" si="2"/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1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87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87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-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honeticPr fontId="16" type="noConversion"/>
  <conditionalFormatting sqref="F51:F52">
    <cfRule type="containsText" dxfId="179" priority="4" operator="containsText" text="SHORT">
      <formula>NOT(ISERROR(SEARCH("SHORT",F51)))</formula>
    </cfRule>
    <cfRule type="containsText" dxfId="178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46235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211">
        <v>69862</v>
      </c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8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69862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181">
        <f>F34*G34</f>
        <v>53000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181">
        <f>F35*G35</f>
        <v>16500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81">
        <f t="shared" si="2"/>
        <v>300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12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1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69862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-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6" priority="1" operator="containsText" text="OVER">
      <formula>NOT(ISERROR(SEARCH("OVER",F51)))</formula>
    </cfRule>
    <cfRule type="containsText" dxfId="17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46235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113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8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>
        <f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1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75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-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3" priority="1" operator="containsText" text="OVER">
      <formula>NOT(ISERROR(SEARCH("OVER",F51)))</formula>
    </cfRule>
    <cfRule type="containsText" dxfId="17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97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0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1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9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46237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283</v>
      </c>
      <c r="D6" s="13">
        <f t="shared" ref="D6:D28" si="1">C6*L6</f>
        <v>215363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9</v>
      </c>
      <c r="D7" s="13">
        <f t="shared" si="1"/>
        <v>7029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32</v>
      </c>
      <c r="D9" s="13">
        <f t="shared" si="1"/>
        <v>23456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2</v>
      </c>
      <c r="D13" s="48">
        <f t="shared" si="1"/>
        <v>614</v>
      </c>
      <c r="F13" s="265" t="s">
        <v>36</v>
      </c>
      <c r="G13" s="229"/>
      <c r="H13" s="220">
        <f>D29</f>
        <v>248162.33333333334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8</v>
      </c>
      <c r="D14" s="31">
        <f t="shared" si="1"/>
        <v>88.333333333333329</v>
      </c>
      <c r="F14" s="223" t="s">
        <v>38</v>
      </c>
      <c r="G14" s="224"/>
      <c r="H14" s="225">
        <f>D54</f>
        <v>36360.75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>
        <v>1</v>
      </c>
      <c r="D15" s="31">
        <f t="shared" si="1"/>
        <v>620</v>
      </c>
      <c r="F15" s="228" t="s">
        <v>39</v>
      </c>
      <c r="G15" s="229"/>
      <c r="H15" s="230">
        <f>H13-H14</f>
        <v>211801.58333333334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99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7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248162.33333333334</v>
      </c>
      <c r="F29" s="137" t="s">
        <v>54</v>
      </c>
      <c r="G29" s="199"/>
      <c r="H29" s="159">
        <f>H15-H16-H17-H18-H19-H20-H22-H23-H24+H26+H27+H28</f>
        <v>211801.58333333334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181">
        <f t="shared" ref="H34:H39" si="2">F34*G34</f>
        <v>111000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181">
        <f t="shared" si="2"/>
        <v>20500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181">
        <f t="shared" si="2"/>
        <v>1300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181">
        <f t="shared" si="2"/>
        <v>1050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81">
        <f t="shared" si="2"/>
        <v>40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5</v>
      </c>
      <c r="D42" s="12">
        <f>C42*2.25</f>
        <v>11.25</v>
      </c>
      <c r="F42" s="39" t="s">
        <v>78</v>
      </c>
      <c r="G42" s="181">
        <v>116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76">
        <v>62000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176">
        <v>16444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16</v>
      </c>
      <c r="D46" s="12">
        <f>C46*1.5</f>
        <v>24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2</v>
      </c>
      <c r="D49" s="12">
        <f>C49*42</f>
        <v>84</v>
      </c>
      <c r="F49" s="157" t="s">
        <v>85</v>
      </c>
      <c r="G49" s="159">
        <f>H34+H35+H36+H37+H38+H39+H40+H41+G42+H44+H45+H46+H47+H48</f>
        <v>212450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13</v>
      </c>
      <c r="D50" s="12">
        <f>C50*1.5</f>
        <v>19.5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648.41666666665697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70" priority="1" operator="containsText" text="OVER">
      <formula>NOT(ISERROR(SEARCH("OVER",F51)))</formula>
    </cfRule>
    <cfRule type="containsText" dxfId="16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46237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487</v>
      </c>
      <c r="D6" s="13">
        <f t="shared" ref="D6:D28" si="1">C6*L6</f>
        <v>370607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6</v>
      </c>
      <c r="D7" s="13">
        <f t="shared" si="1"/>
        <v>4686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168</v>
      </c>
      <c r="D9" s="13">
        <f t="shared" si="1"/>
        <v>123144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25</v>
      </c>
      <c r="D13" s="48">
        <f t="shared" si="1"/>
        <v>7675</v>
      </c>
      <c r="F13" s="265" t="s">
        <v>36</v>
      </c>
      <c r="G13" s="229"/>
      <c r="H13" s="220">
        <f>D29</f>
        <v>516071.33333333331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8</v>
      </c>
      <c r="D14" s="31">
        <f t="shared" si="1"/>
        <v>88.333333333333329</v>
      </c>
      <c r="F14" s="223" t="s">
        <v>38</v>
      </c>
      <c r="G14" s="224"/>
      <c r="H14" s="225">
        <f>D54</f>
        <v>76411.5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439659.83333333331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0">
        <v>3396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7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516071.33333333331</v>
      </c>
      <c r="F29" s="137" t="s">
        <v>54</v>
      </c>
      <c r="G29" s="199"/>
      <c r="H29" s="159">
        <f>H15-H16-H17-H18-H19-H20-H22-H23-H24+H26+H27</f>
        <v>436263.83333333331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181">
        <f>F34*G34</f>
        <v>47000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181">
        <f>F35*G35</f>
        <v>155000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1">
        <f t="shared" ref="H36:H39" si="2">F36*G36</f>
        <v>200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181">
        <f t="shared" si="2"/>
        <v>3200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1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1">
        <v>83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176">
        <v>231443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8</v>
      </c>
      <c r="D49" s="12">
        <f>C49*42</f>
        <v>336</v>
      </c>
      <c r="F49" s="157" t="s">
        <v>85</v>
      </c>
      <c r="G49" s="159">
        <f>H34+H35+H36+H37+H38+H39+H40+H41+G42+H44+H45+H46+H47+H48</f>
        <v>436926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>
        <v>4</v>
      </c>
      <c r="D50" s="12">
        <f>C50*1.5</f>
        <v>6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662.16666666668607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67" priority="1" operator="containsText" text="OVER">
      <formula>NOT(ISERROR(SEARCH("OVER",F51)))</formula>
    </cfRule>
    <cfRule type="containsText" dxfId="16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46237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428</v>
      </c>
      <c r="D6" s="13">
        <f t="shared" ref="D6:D28" si="1">C6*L6</f>
        <v>325708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14</v>
      </c>
      <c r="D7" s="13">
        <f t="shared" si="1"/>
        <v>10934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81</v>
      </c>
      <c r="D9" s="13">
        <f t="shared" si="1"/>
        <v>59373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2</v>
      </c>
      <c r="D10" s="13">
        <f t="shared" si="1"/>
        <v>2064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2+1</f>
        <v>3</v>
      </c>
      <c r="D12" s="48">
        <f t="shared" si="1"/>
        <v>2976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17</v>
      </c>
      <c r="D13" s="48">
        <f t="shared" si="1"/>
        <v>5219</v>
      </c>
      <c r="F13" s="265" t="s">
        <v>36</v>
      </c>
      <c r="G13" s="229"/>
      <c r="H13" s="220">
        <f>D29</f>
        <v>406307.125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3</v>
      </c>
      <c r="D14" s="31">
        <f t="shared" si="1"/>
        <v>33.125</v>
      </c>
      <c r="F14" s="223" t="s">
        <v>38</v>
      </c>
      <c r="G14" s="224"/>
      <c r="H14" s="225">
        <f>D54</f>
        <v>66713.25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339593.875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1602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>
        <v>50</v>
      </c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7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406307.125</v>
      </c>
      <c r="F29" s="137" t="s">
        <v>54</v>
      </c>
      <c r="G29" s="199"/>
      <c r="H29" s="159">
        <f>H15-H16-H17-H18-H19-H20-H22-H23-H24+H26+H27</f>
        <v>337941.875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81">
        <f>F34*G34</f>
        <v>25000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181">
        <f>F35*G35</f>
        <v>1000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181">
        <f t="shared" si="2"/>
        <v>1400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81">
        <f t="shared" si="2"/>
        <v>150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81">
        <f t="shared" si="2"/>
        <v>20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1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3</v>
      </c>
      <c r="D42" s="12">
        <f>C42*2.25</f>
        <v>6.75</v>
      </c>
      <c r="F42" s="39" t="s">
        <v>78</v>
      </c>
      <c r="G42" s="181">
        <v>20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176">
        <v>56443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176">
        <v>115712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176">
        <v>137865</v>
      </c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11</v>
      </c>
      <c r="D49" s="12">
        <f>C49*42</f>
        <v>462</v>
      </c>
      <c r="F49" s="157" t="s">
        <v>85</v>
      </c>
      <c r="G49" s="159">
        <f>H34+H35+H36+H37+H38+H39+H40+H41+G42+H44+H45+H46+H47+H48</f>
        <v>337610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15</v>
      </c>
      <c r="D50" s="12">
        <f>C50*1.5</f>
        <v>22.5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-331.875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64" priority="1" operator="containsText" text="OVER">
      <formula>NOT(ISERROR(SEARCH("OVER",F51)))</formula>
    </cfRule>
    <cfRule type="containsText" dxfId="16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93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46238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99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7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H15-H16-H17-H18-H19-H20-H22-H23-H24+H26+H27+H28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1">
        <f t="shared" ref="H34:H39" si="2"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0"/>
      <c r="H35" s="181">
        <f t="shared" si="2"/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1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87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87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-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61" priority="1" operator="containsText" text="OVER">
      <formula>NOT(ISERROR(SEARCH("OVER",F51)))</formula>
    </cfRule>
    <cfRule type="containsText" dxfId="16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46238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431</v>
      </c>
      <c r="D6" s="13">
        <f t="shared" ref="D6:D28" si="1">C6*L6</f>
        <v>327991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</v>
      </c>
      <c r="D7" s="13">
        <f t="shared" si="1"/>
        <v>1562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20</v>
      </c>
      <c r="D9" s="13">
        <f t="shared" si="1"/>
        <v>14660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11</v>
      </c>
      <c r="D13" s="48">
        <f t="shared" si="1"/>
        <v>3377</v>
      </c>
      <c r="F13" s="265" t="s">
        <v>36</v>
      </c>
      <c r="G13" s="229"/>
      <c r="H13" s="220">
        <f>D29</f>
        <v>347634.16666666669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4</v>
      </c>
      <c r="D14" s="31">
        <f t="shared" si="1"/>
        <v>44.166666666666664</v>
      </c>
      <c r="F14" s="223" t="s">
        <v>38</v>
      </c>
      <c r="G14" s="224"/>
      <c r="H14" s="225">
        <f>D54</f>
        <v>52755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294879.16666666669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2004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116" t="s">
        <v>169</v>
      </c>
      <c r="G22" s="72">
        <v>11701</v>
      </c>
      <c r="H22" s="206">
        <v>5850</v>
      </c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7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347634.16666666669</v>
      </c>
      <c r="F29" s="137" t="s">
        <v>54</v>
      </c>
      <c r="G29" s="199"/>
      <c r="H29" s="159">
        <f>H15-H16-H17-H18-H19-H20-H22-H23-H24+H26+H27</f>
        <v>287025.16666666669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181">
        <f>F34*G34</f>
        <v>120000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181">
        <f>F35*G35</f>
        <v>166500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181">
        <f t="shared" si="2"/>
        <v>200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1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64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9</v>
      </c>
      <c r="D49" s="12">
        <f>C49*42</f>
        <v>378</v>
      </c>
      <c r="F49" s="157" t="s">
        <v>85</v>
      </c>
      <c r="G49" s="159">
        <f>H34+H35+H36+H37+H38+H39+H40+H41+G42+H44+H45+H46+H47+H48</f>
        <v>286814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>
        <v>5</v>
      </c>
      <c r="D50" s="12">
        <f>C50*1.5</f>
        <v>7.5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-211.16666666668607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8" priority="1" operator="containsText" text="OVER">
      <formula>NOT(ISERROR(SEARCH("OVER",F51)))</formula>
    </cfRule>
    <cfRule type="containsText" dxfId="15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46238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548</v>
      </c>
      <c r="D6" s="13">
        <f t="shared" ref="D6:D28" si="1">C6*L6</f>
        <v>417028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4</v>
      </c>
      <c r="D7" s="13">
        <f t="shared" si="1"/>
        <v>3124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55</v>
      </c>
      <c r="D9" s="13">
        <f t="shared" si="1"/>
        <v>40315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2</v>
      </c>
      <c r="D11" s="13">
        <f t="shared" si="1"/>
        <v>2340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4</v>
      </c>
      <c r="D12" s="48">
        <f t="shared" si="1"/>
        <v>3968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17</v>
      </c>
      <c r="D13" s="48">
        <f t="shared" si="1"/>
        <v>5219</v>
      </c>
      <c r="F13" s="265" t="s">
        <v>36</v>
      </c>
      <c r="G13" s="229"/>
      <c r="H13" s="220">
        <f>D29</f>
        <v>472049.20833333331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5</v>
      </c>
      <c r="D14" s="31">
        <f t="shared" si="1"/>
        <v>55.208333333333329</v>
      </c>
      <c r="F14" s="223" t="s">
        <v>38</v>
      </c>
      <c r="G14" s="224"/>
      <c r="H14" s="225">
        <f>D54</f>
        <v>71464.5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400584.70833333331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3366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7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472049.20833333331</v>
      </c>
      <c r="F29" s="137" t="s">
        <v>54</v>
      </c>
      <c r="G29" s="199"/>
      <c r="H29" s="159">
        <f>H15-H16-H17-H18-H19-H20-H22-H23-H24+H26+H27</f>
        <v>397218.70833333331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181">
        <f>F34*G34</f>
        <v>31000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0"/>
      <c r="H35" s="181">
        <f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181">
        <f t="shared" si="2"/>
        <v>600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181">
        <f t="shared" si="2"/>
        <v>100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1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63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176">
        <v>135285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176">
        <v>141116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176">
        <v>89177</v>
      </c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9</v>
      </c>
      <c r="D49" s="12">
        <f>C49*42</f>
        <v>378</v>
      </c>
      <c r="F49" s="157" t="s">
        <v>85</v>
      </c>
      <c r="G49" s="159">
        <f>H34+H35+H36+H37+H38+H39+H40+H41+G42+H44+H45+H46+H47+H48</f>
        <v>397341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2</v>
      </c>
      <c r="D50" s="12">
        <f>C50*1.5</f>
        <v>3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122.29166666668607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5" priority="1" operator="containsText" text="OVER">
      <formula>NOT(ISERROR(SEARCH("OVER",F51)))</formula>
    </cfRule>
    <cfRule type="containsText" dxfId="15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03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46239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236</v>
      </c>
      <c r="D6" s="13">
        <f t="shared" ref="D6:D28" si="1">C6*L6</f>
        <v>179596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15</v>
      </c>
      <c r="D7" s="13">
        <f t="shared" si="1"/>
        <v>11715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113</v>
      </c>
      <c r="D9" s="13">
        <f t="shared" si="1"/>
        <v>82829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8</v>
      </c>
      <c r="D13" s="48">
        <f t="shared" si="1"/>
        <v>2456</v>
      </c>
      <c r="F13" s="265" t="s">
        <v>36</v>
      </c>
      <c r="G13" s="229"/>
      <c r="H13" s="220">
        <f>D29</f>
        <v>276596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37282.5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239313.5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2034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05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3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276596</v>
      </c>
      <c r="F29" s="137" t="s">
        <v>54</v>
      </c>
      <c r="G29" s="199"/>
      <c r="H29" s="159">
        <f>H15-H16-H17-H18-H19-H20-H22-H23-H24+H26+H27+H28</f>
        <v>237279.5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181">
        <f t="shared" ref="H34:H39" si="2">F34*G34</f>
        <v>11000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181">
        <f t="shared" si="2"/>
        <v>2000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1">
        <f t="shared" si="2"/>
        <v>200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181">
        <f t="shared" si="2"/>
        <v>900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2</v>
      </c>
      <c r="D42" s="12">
        <f>C42*2.25</f>
        <v>4.5</v>
      </c>
      <c r="F42" s="39" t="s">
        <v>78</v>
      </c>
      <c r="G42" s="181">
        <v>11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176">
        <v>223169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87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4</v>
      </c>
      <c r="D49" s="12">
        <f>C49*42</f>
        <v>168</v>
      </c>
      <c r="F49" s="157" t="s">
        <v>85</v>
      </c>
      <c r="G49" s="159">
        <f>H34+H35+H36+H37+H38+H39+H40+H41+G42+H44+H45+H46+H47+H48</f>
        <v>237280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</v>
      </c>
      <c r="D50" s="12">
        <f>C50*1.5</f>
        <v>1.5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0.5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2" priority="1" operator="containsText" text="OVER">
      <formula>NOT(ISERROR(SEARCH("OVER",F51)))</formula>
    </cfRule>
    <cfRule type="containsText" dxfId="15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46239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322</v>
      </c>
      <c r="D6" s="13">
        <f t="shared" ref="D6:D28" si="1">C6*L6</f>
        <v>245042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21</v>
      </c>
      <c r="D9" s="13">
        <f t="shared" si="1"/>
        <v>15393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10</v>
      </c>
      <c r="D13" s="48">
        <f t="shared" si="1"/>
        <v>3070</v>
      </c>
      <c r="F13" s="265" t="s">
        <v>36</v>
      </c>
      <c r="G13" s="229"/>
      <c r="H13" s="220">
        <f>D29</f>
        <v>271026.41666666669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10</v>
      </c>
      <c r="D14" s="31">
        <f t="shared" si="1"/>
        <v>110.41666666666666</v>
      </c>
      <c r="F14" s="223" t="s">
        <v>38</v>
      </c>
      <c r="G14" s="224"/>
      <c r="H14" s="225">
        <f>D54</f>
        <v>36957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234069.41666666669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v>1818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3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271026.41666666669</v>
      </c>
      <c r="F29" s="137" t="s">
        <v>54</v>
      </c>
      <c r="G29" s="199"/>
      <c r="H29" s="159">
        <f>H15-H16-H17-H18-H19-H20-H22-H23-H24+H26+H27</f>
        <v>232251.41666666669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81">
        <f>F34*G34</f>
        <v>24000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181">
        <f>F35*G35</f>
        <v>2000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181">
        <f t="shared" si="2"/>
        <v>100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24</v>
      </c>
      <c r="D42" s="12">
        <f>C42*2.25</f>
        <v>54</v>
      </c>
      <c r="F42" s="39" t="s">
        <v>78</v>
      </c>
      <c r="G42" s="181">
        <v>41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176">
        <v>70296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176">
        <v>136287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1</v>
      </c>
      <c r="D46" s="12">
        <f>C46*1.5</f>
        <v>1.5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6</v>
      </c>
      <c r="D49" s="12">
        <f>C49*42</f>
        <v>252</v>
      </c>
      <c r="F49" s="157" t="s">
        <v>85</v>
      </c>
      <c r="G49" s="159">
        <f>H34+H35+H36+H37+H38+H39+H40+H41+G42+H44+H45+H46+H47+H48</f>
        <v>232724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472.58333333331393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9" priority="1" operator="containsText" text="OVER">
      <formula>NOT(ISERROR(SEARCH("OVER",F51)))</formula>
    </cfRule>
    <cfRule type="containsText" dxfId="14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46239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3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>
        <f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/>
      <c r="H35" s="181">
        <f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75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-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6" priority="1" operator="containsText" text="OVER">
      <formula>NOT(ISERROR(SEARCH("OVER",F51)))</formula>
    </cfRule>
    <cfRule type="containsText" dxfId="14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03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46240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05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3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H15-H16-H17-H18-H19-H20-H22-H23-H24+H26+H27+H28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1">
        <f t="shared" ref="H34:H39" si="2"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/>
      <c r="H35" s="181">
        <f t="shared" si="2"/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87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87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-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3" priority="1" operator="containsText" text="OVER">
      <formula>NOT(ISERROR(SEARCH("OVER",F51)))</formula>
    </cfRule>
    <cfRule type="containsText" dxfId="14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F23" sqref="F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0.4257812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46240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385</v>
      </c>
      <c r="D6" s="13">
        <f t="shared" ref="D6:D28" si="1">C6*L6</f>
        <v>292985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12</v>
      </c>
      <c r="D7" s="13">
        <f t="shared" si="1"/>
        <v>9372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67</v>
      </c>
      <c r="D8" s="13">
        <f t="shared" si="1"/>
        <v>73231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28</v>
      </c>
      <c r="D9" s="13">
        <f t="shared" si="1"/>
        <v>20524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3</v>
      </c>
      <c r="D10" s="13">
        <f t="shared" si="1"/>
        <v>3096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11</v>
      </c>
      <c r="D13" s="48">
        <f t="shared" si="1"/>
        <v>3377</v>
      </c>
      <c r="F13" s="265" t="s">
        <v>36</v>
      </c>
      <c r="G13" s="229"/>
      <c r="H13" s="220">
        <f>D29</f>
        <v>402717.5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12</v>
      </c>
      <c r="D14" s="31">
        <f t="shared" si="1"/>
        <v>132.5</v>
      </c>
      <c r="F14" s="223" t="s">
        <v>38</v>
      </c>
      <c r="G14" s="224"/>
      <c r="H14" s="225">
        <f>D54</f>
        <v>60681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342036.5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2178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>
        <v>50</v>
      </c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206">
        <v>67927</v>
      </c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 t="s">
        <v>170</v>
      </c>
      <c r="G23" s="78">
        <v>11718</v>
      </c>
      <c r="H23" s="276">
        <v>4550</v>
      </c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3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402717.5</v>
      </c>
      <c r="F29" s="137" t="s">
        <v>54</v>
      </c>
      <c r="G29" s="199"/>
      <c r="H29" s="159">
        <f>H15-H16-H17-H18-H19-H20-H22-H23-H24+H26+H27</f>
        <v>267331.5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181">
        <f>F34*G34</f>
        <v>66000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181">
        <f>F35*G35</f>
        <v>28500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181">
        <f t="shared" si="2"/>
        <v>6500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181">
        <f t="shared" si="2"/>
        <v>1800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20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176">
        <v>74658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176">
        <v>90788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6</v>
      </c>
      <c r="D49" s="12">
        <f>C49*42</f>
        <v>252</v>
      </c>
      <c r="F49" s="157" t="s">
        <v>85</v>
      </c>
      <c r="G49" s="159">
        <f>H34+H35+H36+H37+H38+H39+H40+H41+G42+H44+H45+H46+H47+H48</f>
        <v>268266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934.5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0" priority="1" operator="containsText" text="OVER">
      <formula>NOT(ISERROR(SEARCH("OVER",F51)))</formula>
    </cfRule>
    <cfRule type="containsText" dxfId="13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F22" sqref="F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3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46240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367</v>
      </c>
      <c r="D6" s="13">
        <f t="shared" ref="D6:D28" si="1">C6*L6</f>
        <v>279287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12</v>
      </c>
      <c r="D7" s="13">
        <f t="shared" si="1"/>
        <v>9372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20</v>
      </c>
      <c r="D8" s="13">
        <f t="shared" si="1"/>
        <v>21860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3</v>
      </c>
      <c r="D10" s="13">
        <f t="shared" si="1"/>
        <v>3096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11</v>
      </c>
      <c r="D13" s="48">
        <f t="shared" si="1"/>
        <v>3377</v>
      </c>
      <c r="F13" s="265" t="s">
        <v>36</v>
      </c>
      <c r="G13" s="229"/>
      <c r="H13" s="220">
        <f>D29</f>
        <v>318659.20833333331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5</v>
      </c>
      <c r="D14" s="31">
        <f t="shared" si="1"/>
        <v>55.208333333333329</v>
      </c>
      <c r="F14" s="223" t="s">
        <v>38</v>
      </c>
      <c r="G14" s="224"/>
      <c r="H14" s="225">
        <f>D54</f>
        <v>45737.25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>
        <v>1</v>
      </c>
      <c r="D15" s="31">
        <f t="shared" si="1"/>
        <v>620</v>
      </c>
      <c r="F15" s="228" t="s">
        <v>39</v>
      </c>
      <c r="G15" s="229"/>
      <c r="H15" s="230">
        <f>H13-H14</f>
        <v>272921.95833333331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1896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115" t="s">
        <v>171</v>
      </c>
      <c r="G22" s="72">
        <v>11764</v>
      </c>
      <c r="H22" s="206">
        <v>3250</v>
      </c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3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318659.20833333331</v>
      </c>
      <c r="F29" s="137" t="s">
        <v>54</v>
      </c>
      <c r="G29" s="199"/>
      <c r="H29" s="159">
        <f>H15-H16-H17-H18-H19-H20-H22-H23-H24+H26+H27</f>
        <v>267775.95833333331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181">
        <f>F34*G34</f>
        <v>63000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181">
        <f>F35*G35</f>
        <v>29000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1">
        <f t="shared" ref="H36:H39" si="2">F36*G36</f>
        <v>200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181">
        <f t="shared" si="2"/>
        <v>1300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181">
        <f t="shared" si="2"/>
        <v>150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9</v>
      </c>
      <c r="D42" s="12">
        <f>C42*2.25</f>
        <v>20.25</v>
      </c>
      <c r="F42" s="39" t="s">
        <v>78</v>
      </c>
      <c r="G42" s="181">
        <v>75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176">
        <v>140936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176">
        <v>32838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2</v>
      </c>
      <c r="D46" s="12">
        <f>C46*1.5</f>
        <v>3</v>
      </c>
      <c r="F46" s="37"/>
      <c r="G46" s="75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6</v>
      </c>
      <c r="D49" s="12">
        <f>C49*42</f>
        <v>252</v>
      </c>
      <c r="F49" s="157" t="s">
        <v>85</v>
      </c>
      <c r="G49" s="159">
        <f>H34+H35+H36+H37+H38+H39+H40+H41+G42+H44+H45+H46+H47+H48</f>
        <v>267499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8</v>
      </c>
      <c r="D50" s="12">
        <f>C50*1.5</f>
        <v>12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-276.95833333331393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37" priority="1" operator="containsText" text="OVER">
      <formula>NOT(ISERROR(SEARCH("OVER",F51)))</formula>
    </cfRule>
    <cfRule type="containsText" dxfId="13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03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46241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482</v>
      </c>
      <c r="D6" s="13">
        <f t="shared" ref="D6:D28" si="1">C6*L6</f>
        <v>366802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15</v>
      </c>
      <c r="D7" s="13">
        <f t="shared" si="1"/>
        <v>11715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37</v>
      </c>
      <c r="D9" s="13">
        <f t="shared" si="1"/>
        <v>27121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2</v>
      </c>
      <c r="D10" s="13">
        <f t="shared" si="1"/>
        <v>2064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3</v>
      </c>
      <c r="D13" s="48">
        <f t="shared" si="1"/>
        <v>921</v>
      </c>
      <c r="F13" s="265" t="s">
        <v>36</v>
      </c>
      <c r="G13" s="229"/>
      <c r="H13" s="220">
        <f>D29</f>
        <v>408810.70833333331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17</v>
      </c>
      <c r="D14" s="31">
        <f t="shared" si="1"/>
        <v>187.70833333333331</v>
      </c>
      <c r="F14" s="223" t="s">
        <v>38</v>
      </c>
      <c r="G14" s="224"/>
      <c r="H14" s="225">
        <f>D54</f>
        <v>60101.25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348709.45833333331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05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3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408810.70833333331</v>
      </c>
      <c r="F29" s="137" t="s">
        <v>54</v>
      </c>
      <c r="G29" s="199"/>
      <c r="H29" s="159">
        <f>H15-H16-H17-H18-H19-H20-H22-H23-H24+H26+H27+H28</f>
        <v>348709.45833333331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181">
        <f t="shared" ref="H34:H39" si="2">F34*G34</f>
        <v>263000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181">
        <f t="shared" si="2"/>
        <v>47500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181">
        <f t="shared" si="2"/>
        <v>3300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15</v>
      </c>
      <c r="D42" s="12">
        <f>C42*2.25</f>
        <v>33.75</v>
      </c>
      <c r="F42" s="39" t="s">
        <v>78</v>
      </c>
      <c r="G42" s="181">
        <v>155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176">
        <v>34470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87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348425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15</v>
      </c>
      <c r="D50" s="12">
        <f>C50*1.5</f>
        <v>22.5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-284.45833333331393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34" priority="1" operator="containsText" text="OVER">
      <formula>NOT(ISERROR(SEARCH("OVER",F51)))</formula>
    </cfRule>
    <cfRule type="containsText" dxfId="13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46241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373</v>
      </c>
      <c r="D6" s="13">
        <f t="shared" ref="D6:D28" si="1">C6*L6</f>
        <v>283853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12</v>
      </c>
      <c r="D7" s="13">
        <f t="shared" si="1"/>
        <v>9372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24</v>
      </c>
      <c r="D9" s="13">
        <f t="shared" si="1"/>
        <v>17592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</v>
      </c>
      <c r="D10" s="13">
        <f t="shared" si="1"/>
        <v>1032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10</v>
      </c>
      <c r="D13" s="48">
        <f t="shared" si="1"/>
        <v>3070</v>
      </c>
      <c r="F13" s="265" t="s">
        <v>36</v>
      </c>
      <c r="G13" s="229"/>
      <c r="H13" s="220">
        <f>D29</f>
        <v>314974.20833333331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5</v>
      </c>
      <c r="D14" s="31">
        <f t="shared" si="1"/>
        <v>55.208333333333329</v>
      </c>
      <c r="F14" s="223" t="s">
        <v>38</v>
      </c>
      <c r="G14" s="224"/>
      <c r="H14" s="225">
        <f>D54</f>
        <v>51996.75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262977.45833333331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1224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3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314974.20833333331</v>
      </c>
      <c r="F29" s="137" t="s">
        <v>54</v>
      </c>
      <c r="G29" s="199"/>
      <c r="H29" s="159">
        <f>H15-H16-H17-H18-H19-H20-H22-H23-H24+H26+H27</f>
        <v>261753.45833333331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181">
        <f>F34*G34</f>
        <v>176000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181">
        <f>F35*G35</f>
        <v>9500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181">
        <f t="shared" si="2"/>
        <v>400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1">
        <v>68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176">
        <v>76215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9</v>
      </c>
      <c r="D49" s="12">
        <f>C49*42</f>
        <v>378</v>
      </c>
      <c r="F49" s="157" t="s">
        <v>85</v>
      </c>
      <c r="G49" s="159">
        <f>H34+H35+H36+H37+H38+H39+H40+H41+G42+H44+H45+H46+H47+H48</f>
        <v>262183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>
        <v>8</v>
      </c>
      <c r="D50" s="12">
        <f>C50*1.5</f>
        <v>12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429.54166666668607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31" priority="1" operator="containsText" text="OVER">
      <formula>NOT(ISERROR(SEARCH("OVER",F51)))</formula>
    </cfRule>
    <cfRule type="containsText" dxfId="13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46241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387</v>
      </c>
      <c r="D6" s="13">
        <f t="shared" ref="D6:D28" si="1">C6*L6</f>
        <v>294507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4</v>
      </c>
      <c r="D7" s="13">
        <f t="shared" si="1"/>
        <v>3124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1</v>
      </c>
      <c r="D8" s="13">
        <f t="shared" si="1"/>
        <v>1093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108</v>
      </c>
      <c r="D9" s="13">
        <f t="shared" si="1"/>
        <v>79164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14</v>
      </c>
      <c r="D13" s="48">
        <f t="shared" si="1"/>
        <v>4298</v>
      </c>
      <c r="F13" s="265" t="s">
        <v>36</v>
      </c>
      <c r="G13" s="229"/>
      <c r="H13" s="220">
        <f>D29</f>
        <v>383530.16666666669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4</v>
      </c>
      <c r="D14" s="31">
        <f t="shared" si="1"/>
        <v>44.166666666666664</v>
      </c>
      <c r="F14" s="223" t="s">
        <v>38</v>
      </c>
      <c r="G14" s="224"/>
      <c r="H14" s="225">
        <f>D54</f>
        <v>57755.25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325774.91666666669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0">
        <v>2406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3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383530.16666666669</v>
      </c>
      <c r="F29" s="137" t="s">
        <v>54</v>
      </c>
      <c r="G29" s="199"/>
      <c r="H29" s="159">
        <f>H15-H16-H17-H18-H19-H20-H22-H23-H24+H26+H27</f>
        <v>323368.91666666669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181">
        <f>F34*G34</f>
        <v>59000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181">
        <f>F35*G35</f>
        <v>4000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181">
        <f t="shared" si="2"/>
        <v>500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81">
        <f t="shared" si="2"/>
        <v>100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5</v>
      </c>
      <c r="D42" s="12">
        <f>C42*2.25</f>
        <v>11.25</v>
      </c>
      <c r="F42" s="39" t="s">
        <v>78</v>
      </c>
      <c r="G42" s="181">
        <v>64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176">
        <v>87905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176">
        <v>171965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75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323534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4</v>
      </c>
      <c r="D50" s="12">
        <f>C50*1.5</f>
        <v>6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165.08333333331393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8" priority="1" operator="containsText" text="OVER">
      <formula>NOT(ISERROR(SEARCH("OVER",F51)))</formula>
    </cfRule>
    <cfRule type="containsText" dxfId="12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03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46242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05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3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H15-H16-H17-H18-H19-H20-H22-H23-H24+H26+H27+H28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1">
        <f t="shared" ref="H34:H39" si="2"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/>
      <c r="H35" s="181">
        <f t="shared" si="2"/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87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87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-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5" priority="1" operator="containsText" text="OVER">
      <formula>NOT(ISERROR(SEARCH("OVER",F51)))</formula>
    </cfRule>
    <cfRule type="containsText" dxfId="12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46242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273</v>
      </c>
      <c r="D6" s="13">
        <f t="shared" ref="D6:D28" si="1">C6*L6</f>
        <v>207753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9</v>
      </c>
      <c r="D7" s="13">
        <f t="shared" si="1"/>
        <v>7029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12</v>
      </c>
      <c r="D9" s="13">
        <f t="shared" si="1"/>
        <v>8796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11</v>
      </c>
      <c r="D13" s="48">
        <f t="shared" si="1"/>
        <v>3377</v>
      </c>
      <c r="F13" s="265" t="s">
        <v>36</v>
      </c>
      <c r="G13" s="229"/>
      <c r="H13" s="220">
        <f>D29</f>
        <v>226955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33465.75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193489.25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1350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211">
        <v>67927</v>
      </c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3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226955</v>
      </c>
      <c r="F29" s="137" t="s">
        <v>54</v>
      </c>
      <c r="G29" s="199"/>
      <c r="H29" s="159">
        <f>H15-H16-H17-H18-H19-H20-H22-H23-H24+H26+H27</f>
        <v>260066.25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181">
        <f>F34*G34</f>
        <v>100000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181">
        <f>F35*G35</f>
        <v>159500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181">
        <f t="shared" si="2"/>
        <v>400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3</v>
      </c>
      <c r="D42" s="12">
        <f>C42*2.25</f>
        <v>6.75</v>
      </c>
      <c r="F42" s="39" t="s">
        <v>78</v>
      </c>
      <c r="G42" s="181">
        <v>52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13</v>
      </c>
      <c r="D49" s="12">
        <f>C49*42</f>
        <v>546</v>
      </c>
      <c r="F49" s="157" t="s">
        <v>85</v>
      </c>
      <c r="G49" s="159">
        <f>H34+H35+H36+H37+H38+H39+H40+H41+G42+H44+H45+H46+H47+H48</f>
        <v>259952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>
        <v>4</v>
      </c>
      <c r="D50" s="12">
        <f>C50*1.5</f>
        <v>6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-114.25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2" priority="1" operator="containsText" text="OVER">
      <formula>NOT(ISERROR(SEARCH("OVER",F51)))</formula>
    </cfRule>
    <cfRule type="containsText" dxfId="12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46242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280</v>
      </c>
      <c r="D6" s="13">
        <f t="shared" ref="D6:D28" si="1">C6*L6</f>
        <v>213080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6</v>
      </c>
      <c r="D7" s="13">
        <f t="shared" si="1"/>
        <v>4686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108</v>
      </c>
      <c r="D9" s="13">
        <f t="shared" si="1"/>
        <v>79164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2</v>
      </c>
      <c r="D10" s="13">
        <f t="shared" si="1"/>
        <v>2064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2</v>
      </c>
      <c r="D12" s="48">
        <f t="shared" si="1"/>
        <v>1984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7</v>
      </c>
      <c r="D13" s="48">
        <f t="shared" si="1"/>
        <v>2149</v>
      </c>
      <c r="F13" s="265" t="s">
        <v>36</v>
      </c>
      <c r="G13" s="229"/>
      <c r="H13" s="220">
        <f>D29</f>
        <v>303138.04166666669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</v>
      </c>
      <c r="D14" s="31">
        <f t="shared" si="1"/>
        <v>11.041666666666666</v>
      </c>
      <c r="F14" s="223" t="s">
        <v>38</v>
      </c>
      <c r="G14" s="224"/>
      <c r="H14" s="225">
        <f>D54</f>
        <v>26834.25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276303.79166666669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3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303138.04166666669</v>
      </c>
      <c r="F29" s="137" t="s">
        <v>54</v>
      </c>
      <c r="G29" s="199"/>
      <c r="H29" s="159">
        <f>H15-H16-H17-H18-H19-H20-H22-H23-H24+H26+H27</f>
        <v>274359.79166666669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181">
        <f>F34*G34</f>
        <v>37000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181">
        <f>F35*G35</f>
        <v>12500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181">
        <f t="shared" si="2"/>
        <v>600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</v>
      </c>
      <c r="D42" s="12">
        <f>C42*2.25</f>
        <v>2.25</v>
      </c>
      <c r="F42" s="39" t="s">
        <v>78</v>
      </c>
      <c r="G42" s="181">
        <v>15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176">
        <v>224164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1</v>
      </c>
      <c r="D46" s="12">
        <f>C46*1.5</f>
        <v>1.5</v>
      </c>
      <c r="F46" s="37"/>
      <c r="G46" s="75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4</v>
      </c>
      <c r="D49" s="12">
        <f>C49*42</f>
        <v>168</v>
      </c>
      <c r="F49" s="157" t="s">
        <v>85</v>
      </c>
      <c r="G49" s="159">
        <f>H34+H35+H36+H37+H38+H39+H40+H41+G42+H44+H45+H46+H47+H48</f>
        <v>274329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3</v>
      </c>
      <c r="D50" s="12">
        <f>C50*1.5</f>
        <v>4.5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-30.791666666686069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9" priority="1" operator="containsText" text="OVER">
      <formula>NOT(ISERROR(SEARCH("OVER",F51)))</formula>
    </cfRule>
    <cfRule type="containsText" dxfId="11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03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46244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323</v>
      </c>
      <c r="D6" s="13">
        <f t="shared" ref="D6:D28" si="1">C6*L6</f>
        <v>245803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</v>
      </c>
      <c r="D7" s="13">
        <f t="shared" si="1"/>
        <v>1562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8</v>
      </c>
      <c r="D9" s="13">
        <f t="shared" si="1"/>
        <v>5864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6</v>
      </c>
      <c r="D13" s="48">
        <f t="shared" si="1"/>
        <v>1842</v>
      </c>
      <c r="F13" s="265" t="s">
        <v>36</v>
      </c>
      <c r="G13" s="229"/>
      <c r="H13" s="220">
        <f>D29</f>
        <v>256140.29166666666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7</v>
      </c>
      <c r="D14" s="31">
        <f t="shared" si="1"/>
        <v>77.291666666666657</v>
      </c>
      <c r="F14" s="223" t="s">
        <v>38</v>
      </c>
      <c r="G14" s="224"/>
      <c r="H14" s="225">
        <f>D54</f>
        <v>49918.5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206221.79166666666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1296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05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3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256140.29166666666</v>
      </c>
      <c r="F29" s="137" t="s">
        <v>54</v>
      </c>
      <c r="G29" s="199"/>
      <c r="H29" s="159">
        <f>H15-H16-H17-H18-H19-H20-H22-H23-H24+H26+H27+H28</f>
        <v>204925.79166666666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56</v>
      </c>
      <c r="H34" s="181">
        <f t="shared" ref="H34:H39" si="2">F34*G34</f>
        <v>56000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>
        <v>21</v>
      </c>
      <c r="H35" s="181">
        <f t="shared" si="2"/>
        <v>10500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418</v>
      </c>
      <c r="D37" s="12">
        <f>C37*111</f>
        <v>46398</v>
      </c>
      <c r="F37" s="12">
        <v>100</v>
      </c>
      <c r="G37" s="39">
        <v>17</v>
      </c>
      <c r="H37" s="181">
        <f t="shared" si="2"/>
        <v>1700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81">
        <f t="shared" si="2"/>
        <v>100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7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48</v>
      </c>
      <c r="D42" s="12">
        <f>C42*2.25</f>
        <v>108</v>
      </c>
      <c r="F42" s="39" t="s">
        <v>78</v>
      </c>
      <c r="G42" s="181">
        <v>47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159</v>
      </c>
      <c r="H44" s="176">
        <v>131436.5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2</v>
      </c>
      <c r="D45" s="12">
        <f>C45*84</f>
        <v>168</v>
      </c>
      <c r="F45" s="37" t="s">
        <v>133</v>
      </c>
      <c r="G45" s="108" t="s">
        <v>134</v>
      </c>
      <c r="H45" s="176">
        <v>5000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13</v>
      </c>
      <c r="D46" s="12">
        <f>C46*1.5</f>
        <v>19.5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9</v>
      </c>
      <c r="D49" s="12">
        <f>C49*42</f>
        <v>378</v>
      </c>
      <c r="F49" s="157" t="s">
        <v>85</v>
      </c>
      <c r="G49" s="159">
        <f>H34+H35+H36+H37+H38+H39+H40+H41+G42+H44+H45+H46+H47+H48</f>
        <v>204783.5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11</v>
      </c>
      <c r="D50" s="12">
        <f>C50*1.5</f>
        <v>16.5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-142.29166666665697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49918.5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6" priority="1" operator="containsText" text="OVER">
      <formula>NOT(ISERROR(SEARCH("OVER",F51)))</formula>
    </cfRule>
    <cfRule type="containsText" dxfId="11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46244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361</v>
      </c>
      <c r="D6" s="13">
        <f t="shared" ref="D6:D28" si="1">C6*L6</f>
        <v>274721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</v>
      </c>
      <c r="D7" s="13">
        <f t="shared" si="1"/>
        <v>1562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125</v>
      </c>
      <c r="D9" s="13">
        <f t="shared" si="1"/>
        <v>91625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6+1</f>
        <v>7</v>
      </c>
      <c r="D12" s="48">
        <f t="shared" si="1"/>
        <v>6944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16</v>
      </c>
      <c r="D13" s="48">
        <f t="shared" si="1"/>
        <v>4912</v>
      </c>
      <c r="F13" s="265" t="s">
        <v>36</v>
      </c>
      <c r="G13" s="229"/>
      <c r="H13" s="220">
        <f>D29</f>
        <v>380601.70833333331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17</v>
      </c>
      <c r="D14" s="31">
        <f t="shared" si="1"/>
        <v>187.70833333333331</v>
      </c>
      <c r="F14" s="223" t="s">
        <v>38</v>
      </c>
      <c r="G14" s="224"/>
      <c r="H14" s="225">
        <f>D54</f>
        <v>55885.5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324716.20833333331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>
        <v>1974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3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380601.70833333331</v>
      </c>
      <c r="F29" s="137" t="s">
        <v>54</v>
      </c>
      <c r="G29" s="199"/>
      <c r="H29" s="159">
        <f>H15-H16-H17-H18-H19-H20-H22-H23-H24+H26+H27</f>
        <v>322742.20833333331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86</v>
      </c>
      <c r="H34" s="181">
        <f>F34*G34</f>
        <v>86000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>
        <v>453</v>
      </c>
      <c r="H35" s="181">
        <f>F35*G35</f>
        <v>226500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493</v>
      </c>
      <c r="D37" s="12">
        <f>C37*111</f>
        <v>54723</v>
      </c>
      <c r="F37" s="12">
        <v>100</v>
      </c>
      <c r="G37" s="39">
        <v>92</v>
      </c>
      <c r="H37" s="181">
        <f t="shared" si="2"/>
        <v>9200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2</v>
      </c>
      <c r="D42" s="12">
        <f>C42*2.25</f>
        <v>4.5</v>
      </c>
      <c r="F42" s="39" t="s">
        <v>78</v>
      </c>
      <c r="G42" s="181">
        <v>50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10</v>
      </c>
      <c r="D49" s="12">
        <f>C49*42</f>
        <v>420</v>
      </c>
      <c r="F49" s="157" t="s">
        <v>85</v>
      </c>
      <c r="G49" s="159">
        <f>H34+H35+H36+H37+H38+H39+H40+H41+G42+H44+H45+H46+H47+H48</f>
        <v>321800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>
        <v>13</v>
      </c>
      <c r="D50" s="12">
        <f>C50*1.5</f>
        <v>19.5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-942.20833333331393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55885.5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46244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484</v>
      </c>
      <c r="D6" s="13">
        <f t="shared" ref="D6:D28" si="1">C6*L6</f>
        <v>368324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26</v>
      </c>
      <c r="D7" s="13">
        <f t="shared" si="1"/>
        <v>20306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92</v>
      </c>
      <c r="D9" s="13">
        <f t="shared" si="1"/>
        <v>67436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12</v>
      </c>
      <c r="D13" s="48">
        <f t="shared" si="1"/>
        <v>3684</v>
      </c>
      <c r="F13" s="265" t="s">
        <v>36</v>
      </c>
      <c r="G13" s="229"/>
      <c r="H13" s="220">
        <f>D29</f>
        <v>459783.125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3</v>
      </c>
      <c r="D14" s="31">
        <f t="shared" si="1"/>
        <v>33.125</v>
      </c>
      <c r="F14" s="223" t="s">
        <v>38</v>
      </c>
      <c r="G14" s="224"/>
      <c r="H14" s="225">
        <f>D54</f>
        <v>76749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383034.125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3042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>
        <v>50</v>
      </c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3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459783.125</v>
      </c>
      <c r="F29" s="137" t="s">
        <v>54</v>
      </c>
      <c r="G29" s="199"/>
      <c r="H29" s="159">
        <f>H15-H16-H17-H18-H19-H20-H22-H23-H24+H26+H27</f>
        <v>379942.125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181">
        <f>F34*G34</f>
        <v>127000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06">
        <v>144</v>
      </c>
      <c r="H35" s="181">
        <f>F35*G35</f>
        <v>72000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671</v>
      </c>
      <c r="D37" s="12">
        <f>C37*111</f>
        <v>74481</v>
      </c>
      <c r="F37" s="12">
        <v>100</v>
      </c>
      <c r="G37" s="39">
        <v>11</v>
      </c>
      <c r="H37" s="181">
        <f t="shared" si="2"/>
        <v>1100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81">
        <f t="shared" si="2"/>
        <v>250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07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07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58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136</v>
      </c>
      <c r="G44" s="62" t="s">
        <v>160</v>
      </c>
      <c r="H44" s="176">
        <v>98032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136</v>
      </c>
      <c r="G45" s="62" t="s">
        <v>161</v>
      </c>
      <c r="H45" s="176">
        <v>81476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75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379916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-26.125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76749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11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46245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402</v>
      </c>
      <c r="D6" s="13">
        <f t="shared" ref="D6:D28" si="1">C6*L6</f>
        <v>305922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3</v>
      </c>
      <c r="D7" s="13">
        <f t="shared" si="1"/>
        <v>2343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2</v>
      </c>
      <c r="D8" s="13">
        <f t="shared" si="1"/>
        <v>2186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30</v>
      </c>
      <c r="D9" s="13">
        <f t="shared" si="1"/>
        <v>21990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4</v>
      </c>
      <c r="D10" s="13">
        <f t="shared" si="1"/>
        <v>4128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8</v>
      </c>
      <c r="D13" s="48">
        <f t="shared" si="1"/>
        <v>2456</v>
      </c>
      <c r="F13" s="265" t="s">
        <v>36</v>
      </c>
      <c r="G13" s="229"/>
      <c r="H13" s="220">
        <f>D29</f>
        <v>346704.58333333331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14</v>
      </c>
      <c r="D14" s="31">
        <f t="shared" si="1"/>
        <v>154.58333333333331</v>
      </c>
      <c r="F14" s="223" t="s">
        <v>38</v>
      </c>
      <c r="G14" s="224"/>
      <c r="H14" s="225">
        <f>D54</f>
        <v>49626.75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297077.83333333331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 t="s">
        <v>163</v>
      </c>
      <c r="G22" s="72">
        <v>11698</v>
      </c>
      <c r="H22" s="206">
        <v>97987</v>
      </c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09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>
        <v>6</v>
      </c>
      <c r="D28" s="48">
        <f t="shared" si="1"/>
        <v>4866</v>
      </c>
      <c r="F28" s="111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346704.58333333331</v>
      </c>
      <c r="F29" s="137" t="s">
        <v>54</v>
      </c>
      <c r="G29" s="199"/>
      <c r="H29" s="159">
        <f>H15-H16-H17-H18-H19-H20-H22-H23-H24+H26+H27+H28</f>
        <v>199090.83333333331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38</v>
      </c>
      <c r="H34" s="181">
        <f t="shared" ref="H34:H39" si="2">F34*G34</f>
        <v>38000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>
        <v>12</v>
      </c>
      <c r="H35" s="181">
        <f t="shared" si="2"/>
        <v>6000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419</v>
      </c>
      <c r="D37" s="12">
        <f>C37*111</f>
        <v>46509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16</v>
      </c>
      <c r="D38" s="12">
        <f>C38*84</f>
        <v>1344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25</v>
      </c>
      <c r="D42" s="12">
        <f>C42*2.25</f>
        <v>56.25</v>
      </c>
      <c r="F42" s="39" t="s">
        <v>78</v>
      </c>
      <c r="G42" s="181">
        <v>22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4</v>
      </c>
      <c r="D44" s="12">
        <f>C44*120</f>
        <v>480</v>
      </c>
      <c r="F44" s="37" t="s">
        <v>148</v>
      </c>
      <c r="G44" s="87" t="s">
        <v>165</v>
      </c>
      <c r="H44" s="176">
        <v>70887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135</v>
      </c>
      <c r="G45" s="87"/>
      <c r="H45" s="176">
        <v>11131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 t="s">
        <v>166</v>
      </c>
      <c r="G46" s="108" t="s">
        <v>134</v>
      </c>
      <c r="H46" s="176">
        <v>71799</v>
      </c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197839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6</v>
      </c>
      <c r="D50" s="12">
        <f>C50*1.5</f>
        <v>9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-1251.8333333333139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49626.75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46245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344</v>
      </c>
      <c r="D6" s="13">
        <f t="shared" ref="D6:D28" si="1">C6*L6</f>
        <v>261784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3</v>
      </c>
      <c r="D7" s="13">
        <f t="shared" si="1"/>
        <v>2343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23</v>
      </c>
      <c r="D9" s="13">
        <f t="shared" si="1"/>
        <v>16859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10</v>
      </c>
      <c r="D13" s="48">
        <f t="shared" si="1"/>
        <v>3070</v>
      </c>
      <c r="F13" s="265" t="s">
        <v>36</v>
      </c>
      <c r="G13" s="229"/>
      <c r="H13" s="220">
        <f>D29</f>
        <v>284254.75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18</v>
      </c>
      <c r="D14" s="31">
        <f t="shared" si="1"/>
        <v>198.75</v>
      </c>
      <c r="F14" s="223" t="s">
        <v>38</v>
      </c>
      <c r="G14" s="224"/>
      <c r="H14" s="225">
        <f>D54</f>
        <v>48858.75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235396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1806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1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284254.75</v>
      </c>
      <c r="F29" s="137" t="s">
        <v>54</v>
      </c>
      <c r="G29" s="199"/>
      <c r="H29" s="159">
        <f>H15-H16-H17-H18-H19-H20-H22-H23-H24+H26+H27</f>
        <v>233590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181">
        <f>F34*G34</f>
        <v>40000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>
        <v>4</v>
      </c>
      <c r="H35" s="181">
        <f>F35*G35</f>
        <v>2000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426</v>
      </c>
      <c r="D37" s="12">
        <f>C37*111</f>
        <v>47286</v>
      </c>
      <c r="F37" s="12">
        <v>100</v>
      </c>
      <c r="G37" s="39">
        <v>3</v>
      </c>
      <c r="H37" s="181">
        <f t="shared" si="2"/>
        <v>300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14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3</v>
      </c>
      <c r="D42" s="12">
        <f>C42*2.25</f>
        <v>6.75</v>
      </c>
      <c r="F42" s="39" t="s">
        <v>78</v>
      </c>
      <c r="G42" s="181">
        <v>20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136</v>
      </c>
      <c r="G44" s="62" t="s">
        <v>167</v>
      </c>
      <c r="H44" s="176">
        <v>124685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148</v>
      </c>
      <c r="G45" s="75" t="s">
        <v>168</v>
      </c>
      <c r="H45" s="176">
        <v>70347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9</v>
      </c>
      <c r="D49" s="12">
        <f>C49*42</f>
        <v>378</v>
      </c>
      <c r="F49" s="157" t="s">
        <v>85</v>
      </c>
      <c r="G49" s="159">
        <f>H34+H35+H36+H37+H38+H39+H40+H41+G42+H44+H45+H46+H47+H48</f>
        <v>237352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>
        <v>19</v>
      </c>
      <c r="D50" s="12">
        <f>C50*1.5</f>
        <v>28.5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3762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48858.75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46245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418</v>
      </c>
      <c r="D6" s="13">
        <f t="shared" ref="D6:D28" si="1">C6*L6</f>
        <v>318098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30</v>
      </c>
      <c r="D9" s="13">
        <f t="shared" si="1"/>
        <v>21990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15</v>
      </c>
      <c r="D13" s="48">
        <f t="shared" si="1"/>
        <v>4605</v>
      </c>
      <c r="F13" s="265" t="s">
        <v>36</v>
      </c>
      <c r="G13" s="229"/>
      <c r="H13" s="220">
        <f>D29</f>
        <v>345718.125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3</v>
      </c>
      <c r="D14" s="31">
        <f t="shared" si="1"/>
        <v>33.125</v>
      </c>
      <c r="F14" s="223" t="s">
        <v>38</v>
      </c>
      <c r="G14" s="224"/>
      <c r="H14" s="225">
        <f>D54</f>
        <v>51191.25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294526.875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1296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1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345718.125</v>
      </c>
      <c r="F29" s="137" t="s">
        <v>54</v>
      </c>
      <c r="G29" s="199"/>
      <c r="H29" s="159">
        <f>H15-H16-H17-H18-H19-H20-H22-H23-H24+H26+H27</f>
        <v>293230.875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114</v>
      </c>
      <c r="H34" s="181">
        <f>F34*G34</f>
        <v>114000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181">
        <f>F35*G35</f>
        <v>35500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434</v>
      </c>
      <c r="D37" s="12">
        <f>C37*111</f>
        <v>48174</v>
      </c>
      <c r="F37" s="12">
        <v>100</v>
      </c>
      <c r="G37" s="39">
        <v>11</v>
      </c>
      <c r="H37" s="181">
        <f t="shared" si="2"/>
        <v>1100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1">
        <v>663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2</v>
      </c>
      <c r="D44" s="12">
        <f>C44*120</f>
        <v>240</v>
      </c>
      <c r="F44" s="37" t="s">
        <v>133</v>
      </c>
      <c r="G44" s="87" t="s">
        <v>164</v>
      </c>
      <c r="H44" s="176">
        <v>141165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75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2</v>
      </c>
      <c r="D49" s="12">
        <f>C49*42</f>
        <v>84</v>
      </c>
      <c r="F49" s="157" t="s">
        <v>85</v>
      </c>
      <c r="G49" s="159">
        <f>H34+H35+H36+H37+H38+H39+H40+H41+G42+H44+H45+H46+H47+H48</f>
        <v>292478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21</v>
      </c>
      <c r="D50" s="12">
        <f>C50*1.5</f>
        <v>31.5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-752.875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51191.25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11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46246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632</v>
      </c>
      <c r="D6" s="13">
        <f t="shared" ref="D6:D28" si="1">C6*L6</f>
        <v>480952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10</v>
      </c>
      <c r="D7" s="13">
        <f t="shared" si="1"/>
        <v>7810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32</v>
      </c>
      <c r="D9" s="13">
        <f t="shared" si="1"/>
        <v>23456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9</v>
      </c>
      <c r="D13" s="48">
        <f t="shared" si="1"/>
        <v>2763</v>
      </c>
      <c r="F13" s="265" t="s">
        <v>36</v>
      </c>
      <c r="G13" s="229"/>
      <c r="H13" s="220">
        <f>D29</f>
        <v>519146.41666666669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10</v>
      </c>
      <c r="D14" s="31">
        <f t="shared" si="1"/>
        <v>110.41666666666666</v>
      </c>
      <c r="F14" s="223" t="s">
        <v>38</v>
      </c>
      <c r="G14" s="224"/>
      <c r="H14" s="225">
        <f>D54</f>
        <v>77385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441761.41666666669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3402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 t="s">
        <v>163</v>
      </c>
      <c r="G26" s="65">
        <v>11426</v>
      </c>
      <c r="H26" s="176">
        <v>82890</v>
      </c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09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>
        <v>5</v>
      </c>
      <c r="D28" s="48">
        <f t="shared" si="1"/>
        <v>4055</v>
      </c>
      <c r="F28" s="111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519146.41666666669</v>
      </c>
      <c r="F29" s="137" t="s">
        <v>54</v>
      </c>
      <c r="G29" s="199"/>
      <c r="H29" s="159">
        <f>H15-H16-H17-H18-H19-H20-H22-H23-H24+H26+H27+H28</f>
        <v>521249.41666666669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77</v>
      </c>
      <c r="H34" s="181">
        <f t="shared" ref="H34:H39" si="2">F34*G34</f>
        <v>77000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>
        <v>700</v>
      </c>
      <c r="H35" s="181">
        <f t="shared" si="2"/>
        <v>350000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684</v>
      </c>
      <c r="D37" s="12">
        <f>C37*111</f>
        <v>75924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81">
        <f t="shared" si="2"/>
        <v>100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1</v>
      </c>
      <c r="H39" s="181">
        <f t="shared" si="2"/>
        <v>20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1">
        <v>109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76">
        <v>11000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166</v>
      </c>
      <c r="G45" s="108" t="s">
        <v>134</v>
      </c>
      <c r="H45" s="176">
        <v>82890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9</v>
      </c>
      <c r="D49" s="12">
        <f>C49*42</f>
        <v>378</v>
      </c>
      <c r="F49" s="157" t="s">
        <v>85</v>
      </c>
      <c r="G49" s="159">
        <f>H34+H35+H36+H37+H38+H39+H40+H41+G42+H44+H45+H46+H47+H48</f>
        <v>521119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13</v>
      </c>
      <c r="D50" s="12">
        <f>C50*1.5</f>
        <v>19.5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-130.41666666668607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77385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46246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362</v>
      </c>
      <c r="D6" s="13">
        <f t="shared" ref="D6:D28" si="1">C6*L6</f>
        <v>275482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10</v>
      </c>
      <c r="D9" s="13">
        <f t="shared" si="1"/>
        <v>7330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10</v>
      </c>
      <c r="D13" s="48">
        <f t="shared" si="1"/>
        <v>3070</v>
      </c>
      <c r="F13" s="265" t="s">
        <v>36</v>
      </c>
      <c r="G13" s="229"/>
      <c r="H13" s="220">
        <f>D29</f>
        <v>286025.54166666669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13</v>
      </c>
      <c r="D14" s="31">
        <f t="shared" si="1"/>
        <v>143.54166666666666</v>
      </c>
      <c r="F14" s="223" t="s">
        <v>38</v>
      </c>
      <c r="G14" s="224"/>
      <c r="H14" s="225">
        <f>D54</f>
        <v>37234.5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248791.04166666669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1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286025.54166666669</v>
      </c>
      <c r="F29" s="137" t="s">
        <v>54</v>
      </c>
      <c r="G29" s="199"/>
      <c r="H29" s="159">
        <f>H15-H16-H17-H18-H19-H20-H22-H23-H24+H26+H27</f>
        <v>246847.04166666669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181">
        <f>F34*G34</f>
        <v>127000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>
        <v>235</v>
      </c>
      <c r="H35" s="181">
        <f>F35*G35</f>
        <v>117500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1</v>
      </c>
      <c r="H37" s="181">
        <f t="shared" si="2"/>
        <v>100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48</v>
      </c>
      <c r="D38" s="12">
        <f>C38*84</f>
        <v>4032</v>
      </c>
      <c r="F38" s="30">
        <v>50</v>
      </c>
      <c r="G38" s="39">
        <v>5</v>
      </c>
      <c r="H38" s="181">
        <f t="shared" si="2"/>
        <v>250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81">
        <f t="shared" si="2"/>
        <v>20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14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182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8</v>
      </c>
      <c r="D49" s="12">
        <f>C49*42</f>
        <v>336</v>
      </c>
      <c r="F49" s="157" t="s">
        <v>85</v>
      </c>
      <c r="G49" s="159">
        <f>H34+H35+H36+H37+H38+H39+H40+H41+G42+H44+H45+H46+H47+H48</f>
        <v>245052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>
        <v>13</v>
      </c>
      <c r="D50" s="12">
        <f>C50*1.5</f>
        <v>19.5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-1795.0416666666861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37234.5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46246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292</v>
      </c>
      <c r="D6" s="13">
        <f t="shared" ref="D6:D28" si="1">C6*L6</f>
        <v>222212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2</v>
      </c>
      <c r="D8" s="13">
        <f t="shared" si="1"/>
        <v>2186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51</v>
      </c>
      <c r="D9" s="13">
        <f t="shared" si="1"/>
        <v>37383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2</v>
      </c>
      <c r="D11" s="13">
        <f t="shared" si="1"/>
        <v>2340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3+1+1</f>
        <v>5</v>
      </c>
      <c r="D12" s="48">
        <f t="shared" si="1"/>
        <v>4960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7</v>
      </c>
      <c r="D13" s="48">
        <f t="shared" si="1"/>
        <v>2149</v>
      </c>
      <c r="F13" s="265" t="s">
        <v>36</v>
      </c>
      <c r="G13" s="229"/>
      <c r="H13" s="220">
        <f>D29</f>
        <v>271982.5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12</v>
      </c>
      <c r="D14" s="31">
        <f t="shared" si="1"/>
        <v>132.5</v>
      </c>
      <c r="F14" s="223" t="s">
        <v>38</v>
      </c>
      <c r="G14" s="224"/>
      <c r="H14" s="225">
        <f>D54</f>
        <v>39660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>
        <v>1</v>
      </c>
      <c r="D15" s="31">
        <f t="shared" si="1"/>
        <v>620</v>
      </c>
      <c r="F15" s="228" t="s">
        <v>39</v>
      </c>
      <c r="G15" s="229"/>
      <c r="H15" s="230">
        <f>H13-H14</f>
        <v>232322.5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720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1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271982.5</v>
      </c>
      <c r="F29" s="137" t="s">
        <v>54</v>
      </c>
      <c r="G29" s="199"/>
      <c r="H29" s="159">
        <f>H15-H16-H17-H18-H19-H20-H22-H23-H24+H26+H27</f>
        <v>231602.5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177</v>
      </c>
      <c r="H34" s="181">
        <f>F34*G34</f>
        <v>177000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>
        <v>107</v>
      </c>
      <c r="H35" s="181">
        <f>F35*G35</f>
        <v>53500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</v>
      </c>
      <c r="H38" s="181">
        <f t="shared" si="2"/>
        <v>150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81">
        <f t="shared" si="2"/>
        <v>20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14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1">
        <v>291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10</v>
      </c>
      <c r="D44" s="12">
        <f>C44*120</f>
        <v>1200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75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3</v>
      </c>
      <c r="D49" s="12">
        <f>C49*42</f>
        <v>126</v>
      </c>
      <c r="F49" s="157" t="s">
        <v>85</v>
      </c>
      <c r="G49" s="159">
        <f>H34+H35+H36+H37+H38+H39+H40+H41+G42+H44+H45+H46+H47+H48</f>
        <v>230961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23</v>
      </c>
      <c r="D50" s="12">
        <f>C50*1.5</f>
        <v>34.5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-641.5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39660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11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46247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347</v>
      </c>
      <c r="D6" s="13">
        <f t="shared" ref="D6:D28" si="1">C6*L6</f>
        <v>264067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8</v>
      </c>
      <c r="D7" s="13">
        <f t="shared" si="1"/>
        <v>6248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55</v>
      </c>
      <c r="D8" s="13">
        <f t="shared" si="1"/>
        <v>60115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20</v>
      </c>
      <c r="D9" s="13">
        <f t="shared" si="1"/>
        <v>14660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3</v>
      </c>
      <c r="D10" s="13">
        <f t="shared" si="1"/>
        <v>3096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2</v>
      </c>
      <c r="D11" s="13">
        <f t="shared" si="1"/>
        <v>2340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1+2</f>
        <v>3</v>
      </c>
      <c r="D12" s="48">
        <f t="shared" si="1"/>
        <v>2976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3</v>
      </c>
      <c r="D13" s="48">
        <f t="shared" si="1"/>
        <v>921</v>
      </c>
      <c r="F13" s="265" t="s">
        <v>36</v>
      </c>
      <c r="G13" s="229"/>
      <c r="H13" s="220">
        <f>D29</f>
        <v>354423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53400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301023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 t="s">
        <v>132</v>
      </c>
      <c r="G22" s="72">
        <v>11915</v>
      </c>
      <c r="H22" s="206">
        <v>62655</v>
      </c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09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1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354423</v>
      </c>
      <c r="F29" s="137" t="s">
        <v>54</v>
      </c>
      <c r="G29" s="199"/>
      <c r="H29" s="159">
        <f>H15-H16-H17-H18-H19-H20-H22-H23-H24+H26+H27+H28</f>
        <v>238368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111</v>
      </c>
      <c r="H34" s="181">
        <f t="shared" ref="H34:H39" si="2">F34*G34</f>
        <v>111000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>
        <v>38</v>
      </c>
      <c r="H35" s="181">
        <f t="shared" si="2"/>
        <v>19000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1">
        <f t="shared" si="2"/>
        <v>200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22</v>
      </c>
      <c r="H37" s="181">
        <f t="shared" si="2"/>
        <v>2200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</v>
      </c>
      <c r="H38" s="181">
        <f t="shared" si="2"/>
        <v>200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14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6</v>
      </c>
      <c r="D41" s="12">
        <f>C41*84</f>
        <v>504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8</v>
      </c>
      <c r="D42" s="12">
        <f>C42*2.25</f>
        <v>18</v>
      </c>
      <c r="F42" s="39" t="s">
        <v>78</v>
      </c>
      <c r="G42" s="181">
        <v>72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62</v>
      </c>
      <c r="D44" s="12">
        <f>C44*120</f>
        <v>7440</v>
      </c>
      <c r="F44" s="37" t="s">
        <v>148</v>
      </c>
      <c r="G44" s="87" t="s">
        <v>173</v>
      </c>
      <c r="H44" s="176">
        <v>105758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42</v>
      </c>
      <c r="D45" s="12">
        <f>C45*84</f>
        <v>3528</v>
      </c>
      <c r="F45" s="37"/>
      <c r="G45" s="87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</v>
      </c>
      <c r="D49" s="12">
        <f>C49*42</f>
        <v>42</v>
      </c>
      <c r="F49" s="157" t="s">
        <v>85</v>
      </c>
      <c r="G49" s="159">
        <f>H34+H35+H36+H37+H38+H39+H40+H41+G42+H44+H45+H46+H47+H48</f>
        <v>238430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3</v>
      </c>
      <c r="D50" s="12">
        <f>C50*1.5</f>
        <v>4.5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62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53400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46247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345</v>
      </c>
      <c r="D6" s="13">
        <f t="shared" ref="D6:D28" si="1">C6*L6</f>
        <v>262545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10</v>
      </c>
      <c r="D7" s="13">
        <f t="shared" si="1"/>
        <v>7810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26</v>
      </c>
      <c r="D9" s="13">
        <f t="shared" si="1"/>
        <v>19058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</v>
      </c>
      <c r="D10" s="13">
        <f t="shared" si="1"/>
        <v>1032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8</v>
      </c>
      <c r="D13" s="48">
        <f t="shared" si="1"/>
        <v>2456</v>
      </c>
      <c r="F13" s="265" t="s">
        <v>36</v>
      </c>
      <c r="G13" s="229"/>
      <c r="H13" s="220">
        <f>D29</f>
        <v>293011.41666666669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10</v>
      </c>
      <c r="D14" s="31">
        <f t="shared" si="1"/>
        <v>110.41666666666666</v>
      </c>
      <c r="F14" s="223" t="s">
        <v>38</v>
      </c>
      <c r="G14" s="224"/>
      <c r="H14" s="225">
        <f>D54</f>
        <v>43533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249478.41666666669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1470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1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293011.41666666669</v>
      </c>
      <c r="F29" s="137" t="s">
        <v>54</v>
      </c>
      <c r="G29" s="199"/>
      <c r="H29" s="159">
        <f>H15-H16-H17-H18-H19-H20-H22-H23-H24+H26+H27</f>
        <v>248008.41666666669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140</v>
      </c>
      <c r="H34" s="181">
        <f>F34*G34</f>
        <v>140000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181">
        <f>F35*G35</f>
        <v>35500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81">
        <f t="shared" ref="H36:H39" si="2">F36*G36</f>
        <v>600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377</v>
      </c>
      <c r="D37" s="12">
        <f>C37*111</f>
        <v>41847</v>
      </c>
      <c r="F37" s="12">
        <v>100</v>
      </c>
      <c r="G37" s="39">
        <v>12</v>
      </c>
      <c r="H37" s="181">
        <f t="shared" si="2"/>
        <v>1200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14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2</v>
      </c>
      <c r="D42" s="12">
        <f>C42*2.25</f>
        <v>4.5</v>
      </c>
      <c r="F42" s="39" t="s">
        <v>78</v>
      </c>
      <c r="G42" s="181">
        <v>26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148</v>
      </c>
      <c r="G44" s="87" t="s">
        <v>174</v>
      </c>
      <c r="H44" s="176">
        <v>70074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6</v>
      </c>
      <c r="D49" s="12">
        <f>C49*42</f>
        <v>252</v>
      </c>
      <c r="F49" s="157" t="s">
        <v>85</v>
      </c>
      <c r="G49" s="159">
        <f>H34+H35+H36+H37+H38+H39+H40+H41+G42+H44+H45+H46+H47+H48</f>
        <v>247450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>
        <v>2</v>
      </c>
      <c r="D50" s="12">
        <f>C50*1.5</f>
        <v>3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-558.41666666668607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43533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46247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369</v>
      </c>
      <c r="D6" s="13">
        <f t="shared" ref="D6:D28" si="1">C6*L6</f>
        <v>280809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12</v>
      </c>
      <c r="D7" s="13">
        <f t="shared" si="1"/>
        <v>9372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108</v>
      </c>
      <c r="D9" s="13">
        <f t="shared" si="1"/>
        <v>79164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2</v>
      </c>
      <c r="D11" s="13">
        <f t="shared" si="1"/>
        <v>2340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16</v>
      </c>
      <c r="D13" s="48">
        <f t="shared" si="1"/>
        <v>4912</v>
      </c>
      <c r="F13" s="265" t="s">
        <v>36</v>
      </c>
      <c r="G13" s="229"/>
      <c r="H13" s="220">
        <f>D29</f>
        <v>391216.08333333331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2</v>
      </c>
      <c r="D14" s="31">
        <f t="shared" si="1"/>
        <v>22.083333333333332</v>
      </c>
      <c r="F14" s="223" t="s">
        <v>38</v>
      </c>
      <c r="G14" s="224"/>
      <c r="H14" s="225">
        <f>D54</f>
        <v>54899.25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336316.83333333331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v>2736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75">
        <v>50</v>
      </c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172</v>
      </c>
      <c r="C21" s="10">
        <v>10</v>
      </c>
      <c r="D21" s="48">
        <f t="shared" si="1"/>
        <v>11020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1102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1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391216.08333333331</v>
      </c>
      <c r="F29" s="137" t="s">
        <v>54</v>
      </c>
      <c r="G29" s="199"/>
      <c r="H29" s="159">
        <f>H15-H16-H17-H18-H19-H20-H22-H23-H24+H26+H27</f>
        <v>333530.83333333331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181">
        <f>F34*G34</f>
        <v>18000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>
        <v>14</v>
      </c>
      <c r="H35" s="181">
        <f>F35*G35</f>
        <v>7000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461</v>
      </c>
      <c r="D37" s="12">
        <f>C37*111</f>
        <v>51171</v>
      </c>
      <c r="F37" s="12">
        <v>100</v>
      </c>
      <c r="G37" s="39">
        <v>39</v>
      </c>
      <c r="H37" s="181">
        <f t="shared" si="2"/>
        <v>3900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114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</v>
      </c>
      <c r="D42" s="12">
        <f>C42*2.25</f>
        <v>2.25</v>
      </c>
      <c r="F42" s="39" t="s">
        <v>78</v>
      </c>
      <c r="G42" s="181">
        <v>20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175</v>
      </c>
      <c r="H44" s="176">
        <v>219967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176</v>
      </c>
      <c r="H45" s="176">
        <v>82199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22</v>
      </c>
      <c r="D46" s="12">
        <f>C46*1.5</f>
        <v>33</v>
      </c>
      <c r="F46" s="37"/>
      <c r="G46" s="75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4</v>
      </c>
      <c r="D49" s="12">
        <f>C49*42</f>
        <v>168</v>
      </c>
      <c r="F49" s="157" t="s">
        <v>85</v>
      </c>
      <c r="G49" s="159">
        <f>H34+H35+H36+H37+H38+H39+H40+H41+G42+H44+H45+H46+H47+H48</f>
        <v>331136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18</v>
      </c>
      <c r="D50" s="12">
        <f>C50*1.5</f>
        <v>27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-2394.8333333333139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54899.25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11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46248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412</v>
      </c>
      <c r="D6" s="13">
        <f t="shared" ref="D6:D28" si="1">C6*L6</f>
        <v>313532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10</v>
      </c>
      <c r="D7" s="13">
        <f t="shared" si="1"/>
        <v>7810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14</v>
      </c>
      <c r="D9" s="13">
        <f t="shared" si="1"/>
        <v>10262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2</v>
      </c>
      <c r="D13" s="48">
        <f t="shared" si="1"/>
        <v>614</v>
      </c>
      <c r="F13" s="265" t="s">
        <v>36</v>
      </c>
      <c r="G13" s="229"/>
      <c r="H13" s="220">
        <f>D29</f>
        <v>340635.625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15</v>
      </c>
      <c r="D14" s="31">
        <f t="shared" si="1"/>
        <v>165.625</v>
      </c>
      <c r="F14" s="223" t="s">
        <v>38</v>
      </c>
      <c r="G14" s="224"/>
      <c r="H14" s="225">
        <f>D54</f>
        <v>45124.5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>
        <v>1</v>
      </c>
      <c r="D15" s="31">
        <f t="shared" si="1"/>
        <v>620</v>
      </c>
      <c r="F15" s="228" t="s">
        <v>39</v>
      </c>
      <c r="G15" s="229"/>
      <c r="H15" s="230">
        <f>H13-H14</f>
        <v>295511.125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v>1326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>
        <v>126.93</v>
      </c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09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>
        <v>5</v>
      </c>
      <c r="D28" s="48">
        <f t="shared" si="1"/>
        <v>4055</v>
      </c>
      <c r="F28" s="111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340635.625</v>
      </c>
      <c r="F29" s="137" t="s">
        <v>54</v>
      </c>
      <c r="G29" s="199"/>
      <c r="H29" s="159">
        <f>H15-H16-H17-H18-H19-H20-H22-H23-H24+H26+H27+H28</f>
        <v>294058.19500000001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95</v>
      </c>
      <c r="H34" s="181">
        <f t="shared" ref="H34:H39" si="2">F34*G34</f>
        <v>95000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>
        <v>17</v>
      </c>
      <c r="H35" s="181">
        <f t="shared" si="2"/>
        <v>8500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367</v>
      </c>
      <c r="D37" s="12">
        <f>C37*111</f>
        <v>40737</v>
      </c>
      <c r="F37" s="12">
        <v>100</v>
      </c>
      <c r="G37" s="39">
        <v>6</v>
      </c>
      <c r="H37" s="181">
        <f t="shared" si="2"/>
        <v>600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5</v>
      </c>
      <c r="H38" s="181">
        <f t="shared" si="2"/>
        <v>250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14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3</v>
      </c>
      <c r="D41" s="12">
        <f>C41*84</f>
        <v>252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22</v>
      </c>
      <c r="D42" s="12">
        <f>C42*2.25</f>
        <v>49.5</v>
      </c>
      <c r="F42" s="39" t="s">
        <v>78</v>
      </c>
      <c r="G42" s="181">
        <v>95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177</v>
      </c>
      <c r="H44" s="176">
        <v>146466.5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133</v>
      </c>
      <c r="G45" s="108" t="s">
        <v>134</v>
      </c>
      <c r="H45" s="176">
        <v>32500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 t="s">
        <v>135</v>
      </c>
      <c r="G46" s="62"/>
      <c r="H46" s="176">
        <v>10000</v>
      </c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18</v>
      </c>
      <c r="D49" s="12">
        <f>C49*42</f>
        <v>756</v>
      </c>
      <c r="F49" s="157" t="s">
        <v>85</v>
      </c>
      <c r="G49" s="159">
        <f>H34+H35+H36+H37+H38+H39+H40+H41+G42+H44+H45+H46+H47+H48</f>
        <v>293411.5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31</v>
      </c>
      <c r="D50" s="12">
        <f>C50*1.5</f>
        <v>46.5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-646.69500000000698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45124.5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topLeftCell="A19" zoomScaleNormal="100" zoomScaleSheetLayoutView="85" workbookViewId="0">
      <selection activeCell="A54" sqref="A54:C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46248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288</v>
      </c>
      <c r="D6" s="13">
        <f t="shared" ref="D6:D28" si="1">C6*L6</f>
        <v>219168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</v>
      </c>
      <c r="D7" s="13">
        <f t="shared" si="1"/>
        <v>1562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10</v>
      </c>
      <c r="D9" s="13">
        <f t="shared" si="1"/>
        <v>7330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9</v>
      </c>
      <c r="D13" s="48">
        <f t="shared" si="1"/>
        <v>2763</v>
      </c>
      <c r="F13" s="265" t="s">
        <v>36</v>
      </c>
      <c r="G13" s="229"/>
      <c r="H13" s="220">
        <f>D29</f>
        <v>230845.08333333334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2</v>
      </c>
      <c r="D14" s="31">
        <f t="shared" si="1"/>
        <v>22.083333333333332</v>
      </c>
      <c r="F14" s="223" t="s">
        <v>38</v>
      </c>
      <c r="G14" s="224"/>
      <c r="H14" s="225">
        <f>D54</f>
        <v>30505.5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200339.58333333334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1248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1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230845.08333333334</v>
      </c>
      <c r="F29" s="137" t="s">
        <v>54</v>
      </c>
      <c r="G29" s="199"/>
      <c r="H29" s="159">
        <f>H15-H16-H17-H18-H19-H20-H22-H23-H24+H26+H27</f>
        <v>199091.58333333334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112</v>
      </c>
      <c r="H34" s="181">
        <f>F34*G34</f>
        <v>112000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>
        <v>22</v>
      </c>
      <c r="H35" s="181">
        <f>F35*G35</f>
        <v>11000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14</v>
      </c>
      <c r="H37" s="181">
        <f t="shared" si="2"/>
        <v>1400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4</v>
      </c>
      <c r="D42" s="12">
        <f>C42*2.25</f>
        <v>9</v>
      </c>
      <c r="F42" s="39" t="s">
        <v>78</v>
      </c>
      <c r="G42" s="181">
        <v>115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136</v>
      </c>
      <c r="G44" s="62" t="s">
        <v>178</v>
      </c>
      <c r="H44" s="176">
        <v>69092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10</v>
      </c>
      <c r="D46" s="12">
        <f>C46*1.5</f>
        <v>15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3</v>
      </c>
      <c r="D49" s="12">
        <f>C49*42</f>
        <v>126</v>
      </c>
      <c r="F49" s="157" t="s">
        <v>85</v>
      </c>
      <c r="G49" s="159">
        <f>H34+H35+H36+H37+H38+H39+H40+H41+G42+H44+H45+H46+H47+H48</f>
        <v>193607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>
        <v>3</v>
      </c>
      <c r="D50" s="12">
        <f>C50*1.5</f>
        <v>4.5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-5484.583333333343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30505.5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topLeftCell="A28" zoomScaleNormal="100" zoomScaleSheetLayoutView="85" workbookViewId="0">
      <selection activeCell="L45" sqref="L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46248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506</v>
      </c>
      <c r="D6" s="13">
        <f t="shared" ref="D6:D28" si="1">C6*L6</f>
        <v>385066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25</v>
      </c>
      <c r="D7" s="13">
        <f t="shared" si="1"/>
        <v>19525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1</v>
      </c>
      <c r="D8" s="13">
        <f t="shared" si="1"/>
        <v>1093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80</v>
      </c>
      <c r="D9" s="13">
        <f t="shared" si="1"/>
        <v>58640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</v>
      </c>
      <c r="D10" s="13">
        <f t="shared" si="1"/>
        <v>1032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17</v>
      </c>
      <c r="D13" s="48">
        <f t="shared" si="1"/>
        <v>5219</v>
      </c>
      <c r="F13" s="265" t="s">
        <v>36</v>
      </c>
      <c r="G13" s="229"/>
      <c r="H13" s="220">
        <f>D29</f>
        <v>481855.20833333331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5</v>
      </c>
      <c r="D14" s="31">
        <f t="shared" si="1"/>
        <v>55.208333333333329</v>
      </c>
      <c r="F14" s="223" t="s">
        <v>38</v>
      </c>
      <c r="G14" s="224"/>
      <c r="H14" s="225">
        <f>D54</f>
        <v>77481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404374.20833333331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>
        <v>3528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>
        <f>3+3+3</f>
        <v>9</v>
      </c>
      <c r="D19" s="48">
        <f t="shared" si="1"/>
        <v>10575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1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481855.20833333331</v>
      </c>
      <c r="F29" s="137" t="s">
        <v>54</v>
      </c>
      <c r="G29" s="199"/>
      <c r="H29" s="159">
        <f>H15-H16-H17-H18-H19-H20-H22-H23-H24+H26+H27</f>
        <v>400846.20833333331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76</v>
      </c>
      <c r="H34" s="181">
        <f>F34*G34</f>
        <v>76000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>
        <v>29</v>
      </c>
      <c r="H35" s="181">
        <f>F35*G35</f>
        <v>14500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81">
        <f t="shared" ref="H36:H39" si="2">F36*G36</f>
        <v>400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631</v>
      </c>
      <c r="D37" s="12">
        <f>C37*111</f>
        <v>70041</v>
      </c>
      <c r="F37" s="12">
        <v>100</v>
      </c>
      <c r="G37" s="39">
        <v>59</v>
      </c>
      <c r="H37" s="181">
        <f t="shared" si="2"/>
        <v>5900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181">
        <f t="shared" si="2"/>
        <v>250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181">
        <f t="shared" si="2"/>
        <v>60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46</v>
      </c>
      <c r="D40" s="12">
        <f>C40*111</f>
        <v>5106</v>
      </c>
      <c r="F40" s="12">
        <v>10</v>
      </c>
      <c r="G40" s="114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8</v>
      </c>
      <c r="D41" s="12">
        <f>C41*84</f>
        <v>672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73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179</v>
      </c>
      <c r="H44" s="176">
        <v>184406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133</v>
      </c>
      <c r="G45" s="87" t="s">
        <v>180</v>
      </c>
      <c r="H45" s="176">
        <v>104588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4</v>
      </c>
      <c r="D46" s="12">
        <f>C46*1.5</f>
        <v>6</v>
      </c>
      <c r="F46" s="37"/>
      <c r="G46" s="75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386177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</v>
      </c>
      <c r="D50" s="12">
        <f>C50*1.5</f>
        <v>1.5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-14669.208333333314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77481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11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topLeftCell="A34" zoomScaleNormal="100" zoomScaleSheetLayoutView="85" workbookViewId="0">
      <selection activeCell="H1" sqref="H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46249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 t="s">
        <v>132</v>
      </c>
      <c r="G26" s="65">
        <v>11915</v>
      </c>
      <c r="H26" s="176">
        <v>62655</v>
      </c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09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1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H15-H16-H17-H18-H19-H20-H22-H23-H24+H26+H27+H28</f>
        <v>62655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81">
        <f t="shared" ref="H34:H39" si="2">F34*G34</f>
        <v>62000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>
        <v>1</v>
      </c>
      <c r="H35" s="181">
        <f t="shared" si="2"/>
        <v>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81">
        <f t="shared" si="2"/>
        <v>100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5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87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87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62655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-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46249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1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>
        <f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13"/>
      <c r="H35" s="181">
        <f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-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topLeftCell="A16"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46249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594</v>
      </c>
      <c r="D6" s="13">
        <f t="shared" ref="D6:D28" si="1">C6*L6</f>
        <v>452034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36</v>
      </c>
      <c r="D7" s="13">
        <f t="shared" si="1"/>
        <v>28116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9</v>
      </c>
      <c r="D9" s="13">
        <f t="shared" si="1"/>
        <v>6597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5</v>
      </c>
      <c r="D11" s="13">
        <f t="shared" si="1"/>
        <v>5850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2+1</f>
        <v>3</v>
      </c>
      <c r="D12" s="48">
        <f t="shared" si="1"/>
        <v>2976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20</v>
      </c>
      <c r="D13" s="48">
        <f t="shared" si="1"/>
        <v>6140</v>
      </c>
      <c r="F13" s="265" t="s">
        <v>36</v>
      </c>
      <c r="G13" s="229"/>
      <c r="H13" s="220">
        <f>D29</f>
        <v>502994.04166666669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</v>
      </c>
      <c r="D14" s="31">
        <f t="shared" si="1"/>
        <v>11.041666666666666</v>
      </c>
      <c r="F14" s="223" t="s">
        <v>38</v>
      </c>
      <c r="G14" s="224"/>
      <c r="H14" s="225">
        <f>D54</f>
        <v>47216.25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>
        <v>1</v>
      </c>
      <c r="D15" s="31">
        <f t="shared" si="1"/>
        <v>620</v>
      </c>
      <c r="F15" s="228" t="s">
        <v>39</v>
      </c>
      <c r="G15" s="229"/>
      <c r="H15" s="230">
        <f>H13-H14</f>
        <v>455777.79166666669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>
        <v>3108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1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502994.04166666669</v>
      </c>
      <c r="F29" s="137" t="s">
        <v>54</v>
      </c>
      <c r="G29" s="199"/>
      <c r="H29" s="159">
        <f>H15-H16-H17-H18-H19-H20-H22-H23-H24+H26+H27</f>
        <v>452669.79166666669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136</v>
      </c>
      <c r="H34" s="181">
        <f>F34*G34</f>
        <v>136000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1</v>
      </c>
      <c r="D35" s="30">
        <f>C35*84</f>
        <v>84</v>
      </c>
      <c r="F35" s="58">
        <v>500</v>
      </c>
      <c r="G35" s="113">
        <v>8</v>
      </c>
      <c r="H35" s="181">
        <f>F35*G35</f>
        <v>4000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385</v>
      </c>
      <c r="D37" s="12">
        <f>C37*111</f>
        <v>42735</v>
      </c>
      <c r="F37" s="12">
        <v>100</v>
      </c>
      <c r="G37" s="39">
        <v>6</v>
      </c>
      <c r="H37" s="181">
        <f t="shared" si="2"/>
        <v>600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14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5</v>
      </c>
      <c r="D42" s="12">
        <f>C42*2.25</f>
        <v>11.25</v>
      </c>
      <c r="F42" s="39" t="s">
        <v>78</v>
      </c>
      <c r="G42" s="181">
        <v>5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9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5</v>
      </c>
      <c r="D44" s="12">
        <f>C44*120</f>
        <v>600</v>
      </c>
      <c r="F44" s="37" t="s">
        <v>133</v>
      </c>
      <c r="G44" s="87" t="s">
        <v>181</v>
      </c>
      <c r="H44" s="176">
        <v>140936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2</v>
      </c>
      <c r="D45" s="12">
        <f>C45*84</f>
        <v>168</v>
      </c>
      <c r="F45" s="37" t="s">
        <v>133</v>
      </c>
      <c r="G45" s="87" t="s">
        <v>182</v>
      </c>
      <c r="H45" s="176">
        <v>187503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5</v>
      </c>
      <c r="D46" s="12">
        <f>C46*1.5</f>
        <v>7.5</v>
      </c>
      <c r="F46" s="37"/>
      <c r="G46" s="75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8</v>
      </c>
      <c r="D49" s="12">
        <f>C49*42</f>
        <v>336</v>
      </c>
      <c r="F49" s="157" t="s">
        <v>85</v>
      </c>
      <c r="G49" s="159">
        <f>H34+H35+H36+H37+H38+H39+H40+H41+G42+H44+H45+H46+H47+H48</f>
        <v>469044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16374.208333333314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47216.25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C7E1E-18B0-4B4B-A46E-694AB8C1AF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19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A01B6-93AF-4C17-BDF7-D62F2A2CBB86}">
  <dimension ref="A1:V68"/>
  <sheetViews>
    <sheetView zoomScaleNormal="100" zoomScaleSheetLayoutView="85" workbookViewId="0">
      <selection activeCell="O44" sqref="O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46251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409</v>
      </c>
      <c r="D6" s="13">
        <f t="shared" ref="D6:D28" si="1">C6*L6</f>
        <v>311249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3</v>
      </c>
      <c r="D7" s="13">
        <f t="shared" si="1"/>
        <v>2343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5</v>
      </c>
      <c r="D8" s="13">
        <f t="shared" si="1"/>
        <v>5465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96</v>
      </c>
      <c r="D9" s="13">
        <f t="shared" si="1"/>
        <v>70368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5</v>
      </c>
      <c r="D10" s="13">
        <f t="shared" si="1"/>
        <v>5160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14</v>
      </c>
      <c r="D13" s="48">
        <f t="shared" si="1"/>
        <v>4298</v>
      </c>
      <c r="F13" s="265" t="s">
        <v>36</v>
      </c>
      <c r="G13" s="229"/>
      <c r="H13" s="220">
        <f>D29</f>
        <v>408615.20833333331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5</v>
      </c>
      <c r="D14" s="31">
        <f t="shared" si="1"/>
        <v>55.208333333333329</v>
      </c>
      <c r="F14" s="223" t="s">
        <v>38</v>
      </c>
      <c r="G14" s="224"/>
      <c r="H14" s="225">
        <f>D54</f>
        <v>105507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>
        <v>5</v>
      </c>
      <c r="D15" s="31">
        <f t="shared" si="1"/>
        <v>3100</v>
      </c>
      <c r="F15" s="228" t="s">
        <v>39</v>
      </c>
      <c r="G15" s="229"/>
      <c r="H15" s="230">
        <f>H13-H14</f>
        <v>303108.20833333331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90">
        <f>1296+1380</f>
        <v>2676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17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408615.20833333331</v>
      </c>
      <c r="F29" s="137" t="s">
        <v>54</v>
      </c>
      <c r="G29" s="199"/>
      <c r="H29" s="159">
        <f>H15-H16-H17-H18-H19-H20-H22-H23-H24+H26+H27+H28</f>
        <v>300432.20833333331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28</v>
      </c>
      <c r="H34" s="181">
        <f t="shared" ref="H34:H39" si="2">F34*G34</f>
        <v>28000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>
        <v>12</v>
      </c>
      <c r="H35" s="181">
        <f t="shared" si="2"/>
        <v>6000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911</v>
      </c>
      <c r="D37" s="12">
        <f>C37*111</f>
        <v>101121</v>
      </c>
      <c r="F37" s="12">
        <v>100</v>
      </c>
      <c r="G37" s="39">
        <v>50</v>
      </c>
      <c r="H37" s="181">
        <f t="shared" si="2"/>
        <v>5000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15</v>
      </c>
      <c r="H38" s="181">
        <f t="shared" si="2"/>
        <v>750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81">
        <f t="shared" si="2"/>
        <v>20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22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61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/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4</v>
      </c>
      <c r="D44" s="12">
        <f>C44*120</f>
        <v>480</v>
      </c>
      <c r="F44" s="37" t="s">
        <v>136</v>
      </c>
      <c r="G44" s="87" t="s">
        <v>183</v>
      </c>
      <c r="H44" s="176">
        <v>158716.5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136</v>
      </c>
      <c r="G45" s="87" t="s">
        <v>184</v>
      </c>
      <c r="H45" s="176">
        <v>101490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14</v>
      </c>
      <c r="D49" s="12">
        <f>C49*42</f>
        <v>588</v>
      </c>
      <c r="F49" s="157" t="s">
        <v>85</v>
      </c>
      <c r="G49" s="159">
        <f>H34+H35+H36+H37+H38+H39+H40+H41+G42+H44+H45+H46+H47+H48</f>
        <v>300037.5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17</v>
      </c>
      <c r="D50" s="12">
        <f>C50*1.5</f>
        <v>25.5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-394.70833333331393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105507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E74B77C-7EF0-465E-B46F-09A38C9102B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74B4-DED7-4A60-B590-D910567B59D4}">
  <dimension ref="A1:R59"/>
  <sheetViews>
    <sheetView topLeftCell="A4" zoomScaleNormal="100" zoomScaleSheetLayoutView="85" workbookViewId="0">
      <selection activeCell="L36" sqref="L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46251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501</v>
      </c>
      <c r="D6" s="13">
        <f t="shared" ref="D6:D28" si="1">C6*L6</f>
        <v>381261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</v>
      </c>
      <c r="D7" s="13">
        <f t="shared" si="1"/>
        <v>1562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24</v>
      </c>
      <c r="D9" s="13">
        <f t="shared" si="1"/>
        <v>17592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</v>
      </c>
      <c r="D10" s="13">
        <f t="shared" si="1"/>
        <v>1032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1</v>
      </c>
      <c r="D11" s="13">
        <f t="shared" si="1"/>
        <v>1170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17</v>
      </c>
      <c r="D13" s="48">
        <f t="shared" si="1"/>
        <v>5219</v>
      </c>
      <c r="F13" s="265" t="s">
        <v>36</v>
      </c>
      <c r="G13" s="229"/>
      <c r="H13" s="220">
        <f>D29</f>
        <v>410326.75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18</v>
      </c>
      <c r="D14" s="31">
        <f t="shared" si="1"/>
        <v>198.75</v>
      </c>
      <c r="F14" s="223" t="s">
        <v>38</v>
      </c>
      <c r="G14" s="224"/>
      <c r="H14" s="225">
        <f>D54</f>
        <v>59854.5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350472.25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0">
        <v>2700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410326.75</v>
      </c>
      <c r="F29" s="137" t="s">
        <v>54</v>
      </c>
      <c r="G29" s="199"/>
      <c r="H29" s="159">
        <f>H15-H16-H17-H18-H19-H20-H22-H23-H24+H26+H27</f>
        <v>347772.25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117</v>
      </c>
      <c r="H34" s="181">
        <f>F34*G34</f>
        <v>117000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>
        <v>319</v>
      </c>
      <c r="H35" s="181">
        <f>F35*G35</f>
        <v>159500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515</v>
      </c>
      <c r="D37" s="12">
        <f>C37*111</f>
        <v>57165</v>
      </c>
      <c r="F37" s="12">
        <v>100</v>
      </c>
      <c r="G37" s="39">
        <v>6</v>
      </c>
      <c r="H37" s="181">
        <f t="shared" si="2"/>
        <v>600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81">
        <f t="shared" si="2"/>
        <v>100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2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6</v>
      </c>
      <c r="D42" s="12">
        <f>C42*2.25</f>
        <v>13.5</v>
      </c>
      <c r="F42" s="39" t="s">
        <v>78</v>
      </c>
      <c r="G42" s="181">
        <v>41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185</v>
      </c>
      <c r="H44" s="176">
        <v>70347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17</v>
      </c>
      <c r="D49" s="12">
        <f>C49*42</f>
        <v>714</v>
      </c>
      <c r="F49" s="157" t="s">
        <v>85</v>
      </c>
      <c r="G49" s="159">
        <f>H34+H35+H36+H37+H38+H39+H40+H41+G42+H44+H45+H46+H47+H48</f>
        <v>347588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>
        <v>27</v>
      </c>
      <c r="D50" s="12">
        <f>C50*1.5</f>
        <v>40.5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-184.25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59854.5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3C1723A-8812-46F6-A46F-1ED05A1237A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B7A-E60B-40E1-BAF8-F195E3197D5E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46251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520</v>
      </c>
      <c r="D6" s="13">
        <f t="shared" ref="D6:D28" si="1">C6*L6</f>
        <v>395720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12</v>
      </c>
      <c r="D7" s="13">
        <f t="shared" si="1"/>
        <v>9372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133</v>
      </c>
      <c r="D9" s="13">
        <f t="shared" si="1"/>
        <v>97489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</v>
      </c>
      <c r="D10" s="13">
        <f t="shared" si="1"/>
        <v>1032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12</v>
      </c>
      <c r="D13" s="48">
        <f t="shared" si="1"/>
        <v>3684</v>
      </c>
      <c r="F13" s="265" t="s">
        <v>36</v>
      </c>
      <c r="G13" s="229"/>
      <c r="H13" s="220">
        <f>D29</f>
        <v>507297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55524.75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451772.25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1776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>
        <v>50</v>
      </c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507297</v>
      </c>
      <c r="F29" s="137" t="s">
        <v>54</v>
      </c>
      <c r="G29" s="199"/>
      <c r="H29" s="159">
        <f>H15-H16-H17-H18-H19-H20-H22-H23-H24+H26+H27</f>
        <v>449946.25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26</v>
      </c>
      <c r="H34" s="181">
        <f>F34*G34</f>
        <v>26000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>
        <v>5</v>
      </c>
      <c r="H35" s="181">
        <f>F35*G35</f>
        <v>2500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456</v>
      </c>
      <c r="D37" s="12">
        <f>C37*111</f>
        <v>50616</v>
      </c>
      <c r="F37" s="12">
        <v>100</v>
      </c>
      <c r="G37" s="39">
        <v>7</v>
      </c>
      <c r="H37" s="181">
        <f t="shared" si="2"/>
        <v>700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26</v>
      </c>
      <c r="D38" s="12">
        <f>C38*84</f>
        <v>2184</v>
      </c>
      <c r="F38" s="30">
        <v>50</v>
      </c>
      <c r="G38" s="39">
        <v>4</v>
      </c>
      <c r="H38" s="181">
        <f t="shared" si="2"/>
        <v>200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2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</v>
      </c>
      <c r="D42" s="12">
        <f>C42*2.25</f>
        <v>2.25</v>
      </c>
      <c r="F42" s="39" t="s">
        <v>78</v>
      </c>
      <c r="G42" s="181">
        <v>20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136</v>
      </c>
      <c r="G44" s="87" t="s">
        <v>186</v>
      </c>
      <c r="H44" s="176">
        <v>124435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136</v>
      </c>
      <c r="G45" s="87" t="s">
        <v>187</v>
      </c>
      <c r="H45" s="176">
        <v>67654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4</v>
      </c>
      <c r="D46" s="12">
        <f>C46*1.5</f>
        <v>6</v>
      </c>
      <c r="F46" s="37" t="s">
        <v>188</v>
      </c>
      <c r="G46" s="75" t="s">
        <v>189</v>
      </c>
      <c r="H46" s="176">
        <v>229183</v>
      </c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19</v>
      </c>
      <c r="D48" s="12">
        <f>C48*78</f>
        <v>1482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450692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3</v>
      </c>
      <c r="D50" s="12">
        <f>C50*1.5</f>
        <v>4.5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745.75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55524.75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079AE59-F945-4433-9E82-EAF291E75ED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81656-85A4-4501-B627-91E95E4BEC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19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296EF-49E6-40BC-80B5-DFE1BD5D8A74}">
  <dimension ref="A1:V68"/>
  <sheetViews>
    <sheetView topLeftCell="A21" zoomScale="95" zoomScaleNormal="95" zoomScaleSheetLayoutView="85" workbookViewId="0">
      <selection activeCell="M41" sqref="M4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46252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673</v>
      </c>
      <c r="D6" s="13">
        <f t="shared" ref="D6:D28" si="1">C6*L6</f>
        <v>512153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7</v>
      </c>
      <c r="D7" s="13">
        <f t="shared" si="1"/>
        <v>5467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10</v>
      </c>
      <c r="D13" s="48">
        <f t="shared" si="1"/>
        <v>3070</v>
      </c>
      <c r="F13" s="265" t="s">
        <v>36</v>
      </c>
      <c r="G13" s="229"/>
      <c r="H13" s="220">
        <f>D29</f>
        <v>524789.16666666674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4</v>
      </c>
      <c r="D14" s="31">
        <f t="shared" si="1"/>
        <v>44.166666666666664</v>
      </c>
      <c r="F14" s="223" t="s">
        <v>38</v>
      </c>
      <c r="G14" s="224"/>
      <c r="H14" s="225">
        <f>D54</f>
        <v>76164.75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448624.41666666674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3312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17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>
        <v>5</v>
      </c>
      <c r="D28" s="48">
        <f t="shared" si="1"/>
        <v>4055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524789.16666666674</v>
      </c>
      <c r="F29" s="137" t="s">
        <v>54</v>
      </c>
      <c r="G29" s="199"/>
      <c r="H29" s="159">
        <f>H15-H16-H17-H18-H19-H20-H22-H23-H24+H26+H27+H28</f>
        <v>445312.41666666674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324</v>
      </c>
      <c r="H34" s="181">
        <f t="shared" ref="H34:H39" si="2">F34*G34</f>
        <v>324000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>
        <v>95</v>
      </c>
      <c r="H35" s="181">
        <f t="shared" si="2"/>
        <v>47500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669</v>
      </c>
      <c r="D37" s="12">
        <f>C37*111</f>
        <v>74259</v>
      </c>
      <c r="F37" s="12">
        <v>100</v>
      </c>
      <c r="G37" s="39">
        <v>27</v>
      </c>
      <c r="H37" s="181">
        <f t="shared" si="2"/>
        <v>2700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81">
        <f t="shared" si="2"/>
        <v>100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22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9</v>
      </c>
      <c r="D42" s="12">
        <f>C42*2.25</f>
        <v>20.25</v>
      </c>
      <c r="F42" s="39" t="s">
        <v>78</v>
      </c>
      <c r="G42" s="181">
        <v>18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2</v>
      </c>
      <c r="D44" s="12">
        <f>C44*120</f>
        <v>240</v>
      </c>
      <c r="F44" s="37"/>
      <c r="G44" s="108" t="s">
        <v>134</v>
      </c>
      <c r="H44" s="176">
        <v>70977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87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445295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-17.416666666744277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76164.75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EF80C36-3E61-4A85-B2BC-06C4A9D92FF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9098E-C45B-485B-83C1-84A301833C47}">
  <dimension ref="A1:R59"/>
  <sheetViews>
    <sheetView topLeftCell="A28" zoomScaleNormal="100" zoomScaleSheetLayoutView="85" workbookViewId="0">
      <selection activeCell="L54" sqref="L53: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46252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259</v>
      </c>
      <c r="D6" s="13">
        <f t="shared" ref="D6:D28" si="1">C6*L6</f>
        <v>197099</v>
      </c>
      <c r="F6" s="244" t="s">
        <v>16</v>
      </c>
      <c r="G6" s="246" t="s">
        <v>193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8</v>
      </c>
      <c r="D7" s="13">
        <f t="shared" si="1"/>
        <v>6248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23</v>
      </c>
      <c r="D9" s="13">
        <f t="shared" si="1"/>
        <v>16859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7</v>
      </c>
      <c r="D13" s="48">
        <f t="shared" si="1"/>
        <v>2149</v>
      </c>
      <c r="F13" s="265" t="s">
        <v>36</v>
      </c>
      <c r="G13" s="229"/>
      <c r="H13" s="220">
        <f>D29</f>
        <v>226309.875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21</v>
      </c>
      <c r="D14" s="31">
        <f t="shared" si="1"/>
        <v>231.875</v>
      </c>
      <c r="F14" s="223" t="s">
        <v>38</v>
      </c>
      <c r="G14" s="224"/>
      <c r="H14" s="225">
        <f>D54</f>
        <v>34420.5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>
        <v>1</v>
      </c>
      <c r="D15" s="31">
        <f t="shared" si="1"/>
        <v>620</v>
      </c>
      <c r="F15" s="228" t="s">
        <v>39</v>
      </c>
      <c r="G15" s="229"/>
      <c r="H15" s="230">
        <f>H13-H14</f>
        <v>191889.375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v>1116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>
        <v>1</v>
      </c>
      <c r="D28" s="48">
        <f t="shared" si="1"/>
        <v>811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226309.875</v>
      </c>
      <c r="F29" s="137" t="s">
        <v>54</v>
      </c>
      <c r="G29" s="199"/>
      <c r="H29" s="159">
        <f>H15-H16-H17-H18-H19-H20-H22-H23-H24+H26+H27</f>
        <v>190773.375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63</v>
      </c>
      <c r="H34" s="181">
        <f>F34*G34</f>
        <v>63000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>
        <v>13</v>
      </c>
      <c r="H35" s="181">
        <f>F35*G35</f>
        <v>6500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7</v>
      </c>
      <c r="H37" s="181">
        <f t="shared" si="2"/>
        <v>700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14</v>
      </c>
      <c r="D42" s="12">
        <f>C42*2.25</f>
        <v>31.5</v>
      </c>
      <c r="F42" s="39" t="s">
        <v>78</v>
      </c>
      <c r="G42" s="181">
        <v>19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190</v>
      </c>
      <c r="H44" s="176">
        <v>74066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136</v>
      </c>
      <c r="G45" s="75" t="s">
        <v>191</v>
      </c>
      <c r="H45" s="176">
        <v>46582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4</v>
      </c>
      <c r="D46" s="12">
        <f>C46*1.5</f>
        <v>6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6</v>
      </c>
      <c r="D49" s="12">
        <f>C49*42</f>
        <v>252</v>
      </c>
      <c r="F49" s="157" t="s">
        <v>85</v>
      </c>
      <c r="G49" s="159">
        <f>H34+H35+H36+H37+H38+H39+H40+H41+G42+H44+H45+H46+H47+H48</f>
        <v>190917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>
        <v>20</v>
      </c>
      <c r="D50" s="12">
        <f>C50*1.5</f>
        <v>30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143.625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34420.5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19DE70F-14E3-48BC-8C95-03EF54BCF82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AF1E9-3A4F-43C5-8CEC-87C20D62A7F9}">
  <dimension ref="A1:R59"/>
  <sheetViews>
    <sheetView topLeftCell="A19" zoomScaleNormal="100" zoomScaleSheetLayoutView="85" workbookViewId="0">
      <selection activeCell="G43" sqref="G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46252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274</v>
      </c>
      <c r="D6" s="13">
        <f t="shared" ref="D6:D28" si="1">C6*L6</f>
        <v>208514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</v>
      </c>
      <c r="D7" s="13">
        <f t="shared" si="1"/>
        <v>781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35</v>
      </c>
      <c r="D9" s="13">
        <f t="shared" si="1"/>
        <v>25655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9</v>
      </c>
      <c r="D13" s="48">
        <f t="shared" si="1"/>
        <v>2763</v>
      </c>
      <c r="F13" s="265" t="s">
        <v>36</v>
      </c>
      <c r="G13" s="229"/>
      <c r="H13" s="220">
        <f>D29</f>
        <v>239538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35656.5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203881.5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239538</v>
      </c>
      <c r="F29" s="137" t="s">
        <v>54</v>
      </c>
      <c r="G29" s="199"/>
      <c r="H29" s="159">
        <f>H15-H16-H17-H18-H19-H20-H22-H23-H24+H26+H27</f>
        <v>203881.5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182</v>
      </c>
      <c r="H34" s="181">
        <f>F34*G34</f>
        <v>182000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>
        <v>33</v>
      </c>
      <c r="H35" s="181">
        <f>F35*G35</f>
        <v>16500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43</v>
      </c>
      <c r="H37" s="181">
        <f t="shared" si="2"/>
        <v>4300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>
        <v>20</v>
      </c>
      <c r="H38" s="181">
        <f t="shared" si="2"/>
        <v>1000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102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87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87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75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</v>
      </c>
      <c r="D49" s="12">
        <f>C49*42</f>
        <v>42</v>
      </c>
      <c r="F49" s="157" t="s">
        <v>85</v>
      </c>
      <c r="G49" s="159">
        <f>H34+H35+H36+H37+H38+H39+H40+H41+G42+H44+H45+H46+H47+H48</f>
        <v>203902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17</v>
      </c>
      <c r="D50" s="12">
        <f>C50*1.5</f>
        <v>25.5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20.5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35656.5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2E9A4E-6AD3-4F57-815D-191C337321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A753F-53EA-4EF2-ACD9-D5465F7BEA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19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180F-BD4E-440F-9B30-98B5BC0EE14D}">
  <dimension ref="A1:V68"/>
  <sheetViews>
    <sheetView topLeftCell="A29" zoomScaleNormal="100" zoomScaleSheetLayoutView="85" workbookViewId="0">
      <selection activeCell="H43" sqref="H43:J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46253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368</v>
      </c>
      <c r="D6" s="13">
        <f t="shared" ref="D6:D28" si="1">C6*L6</f>
        <v>280048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10</v>
      </c>
      <c r="D7" s="13">
        <f t="shared" si="1"/>
        <v>7810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47</v>
      </c>
      <c r="D8" s="13">
        <f t="shared" si="1"/>
        <v>51371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62</v>
      </c>
      <c r="D9" s="13">
        <f t="shared" si="1"/>
        <v>45446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3</v>
      </c>
      <c r="D11" s="13">
        <f t="shared" si="1"/>
        <v>3510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1+2</f>
        <v>3</v>
      </c>
      <c r="D12" s="48">
        <f t="shared" si="1"/>
        <v>2976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2</v>
      </c>
      <c r="D13" s="48">
        <f t="shared" si="1"/>
        <v>614</v>
      </c>
      <c r="F13" s="265" t="s">
        <v>36</v>
      </c>
      <c r="G13" s="229"/>
      <c r="H13" s="220">
        <f>D29</f>
        <v>400721.16666666669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4</v>
      </c>
      <c r="D14" s="31">
        <f t="shared" si="1"/>
        <v>44.166666666666664</v>
      </c>
      <c r="F14" s="223" t="s">
        <v>38</v>
      </c>
      <c r="G14" s="224"/>
      <c r="H14" s="225">
        <f>D54</f>
        <v>54865.5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345855.66666666669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>
        <f>6+6</f>
        <v>12</v>
      </c>
      <c r="D16" s="48">
        <f t="shared" si="1"/>
        <v>7800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 t="s">
        <v>132</v>
      </c>
      <c r="G22" s="72">
        <v>11943</v>
      </c>
      <c r="H22" s="206">
        <v>49577</v>
      </c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17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400721.16666666669</v>
      </c>
      <c r="F29" s="137" t="s">
        <v>54</v>
      </c>
      <c r="G29" s="199"/>
      <c r="H29" s="159">
        <f>H15-H16-H17-H18-H19-H20-H22-H23-H24+H26+H27+H28</f>
        <v>296278.66666666669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49</v>
      </c>
      <c r="H34" s="181">
        <f t="shared" ref="H34:H39" si="2">F34*G34</f>
        <v>49000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>
        <v>23</v>
      </c>
      <c r="H35" s="181">
        <f t="shared" si="2"/>
        <v>11500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11</v>
      </c>
      <c r="H37" s="181">
        <f t="shared" si="2"/>
        <v>1100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</v>
      </c>
      <c r="H38" s="181">
        <f t="shared" si="2"/>
        <v>100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22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1">
        <v>35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51</v>
      </c>
      <c r="D44" s="12">
        <f>C44*120</f>
        <v>6120</v>
      </c>
      <c r="F44" s="37" t="s">
        <v>148</v>
      </c>
      <c r="G44" s="87" t="s">
        <v>196</v>
      </c>
      <c r="H44" s="176">
        <v>221544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2</v>
      </c>
      <c r="D45" s="12">
        <f>C45*84</f>
        <v>168</v>
      </c>
      <c r="F45" s="37" t="s">
        <v>135</v>
      </c>
      <c r="G45" s="87"/>
      <c r="H45" s="176">
        <v>12944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14</v>
      </c>
      <c r="D46" s="12">
        <f>C46*1.5</f>
        <v>21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</v>
      </c>
      <c r="D49" s="12">
        <f>C49*42</f>
        <v>42</v>
      </c>
      <c r="F49" s="157" t="s">
        <v>85</v>
      </c>
      <c r="G49" s="159">
        <f>H34+H35+H36+H37+H38+H39+H40+H41+G42+H44+H45+H46+H47+H48</f>
        <v>296223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-55.666666666686069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54865.5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15BDA91-61F6-49B3-9F99-A45A022EAFC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01F7-43BF-47E5-AC72-0F4DD066CA82}">
  <dimension ref="A1:R59"/>
  <sheetViews>
    <sheetView topLeftCell="A16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46253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330</v>
      </c>
      <c r="D6" s="13">
        <f t="shared" ref="D6:D28" si="1">C6*L6</f>
        <v>251130</v>
      </c>
      <c r="F6" s="244" t="s">
        <v>16</v>
      </c>
      <c r="G6" s="246" t="s">
        <v>194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12</v>
      </c>
      <c r="D13" s="48">
        <f t="shared" si="1"/>
        <v>3684</v>
      </c>
      <c r="F13" s="265" t="s">
        <v>36</v>
      </c>
      <c r="G13" s="229"/>
      <c r="H13" s="220">
        <f>D29</f>
        <v>254847.125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3</v>
      </c>
      <c r="D14" s="31">
        <f t="shared" si="1"/>
        <v>33.125</v>
      </c>
      <c r="F14" s="223" t="s">
        <v>38</v>
      </c>
      <c r="G14" s="224"/>
      <c r="H14" s="225">
        <f>D54</f>
        <v>37689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217158.125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254847.125</v>
      </c>
      <c r="F29" s="137" t="s">
        <v>54</v>
      </c>
      <c r="G29" s="199"/>
      <c r="H29" s="159">
        <f>H15-H16-H17-H18-H19-H20-H22-H23-H24+H26+H27</f>
        <v>215214.125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203</v>
      </c>
      <c r="H34" s="181">
        <f>F34*G34</f>
        <v>203000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>
        <v>24</v>
      </c>
      <c r="H35" s="181">
        <f>F35*G35</f>
        <v>12000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1</v>
      </c>
      <c r="H37" s="181">
        <f t="shared" si="2"/>
        <v>100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50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4</v>
      </c>
      <c r="D49" s="12">
        <f>C49*42</f>
        <v>168</v>
      </c>
      <c r="F49" s="157" t="s">
        <v>85</v>
      </c>
      <c r="G49" s="159">
        <f>H34+H35+H36+H37+H38+H39+H40+H41+G42+H44+H45+H46+H47+H48</f>
        <v>215200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>
        <v>6</v>
      </c>
      <c r="D50" s="12">
        <f>C50*1.5</f>
        <v>9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-14.125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37689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195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EC014EA-7A43-49E5-A4DE-F4774B49809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56E-3BC5-4267-9747-DE9CCA42B4B7}">
  <dimension ref="A1:R59"/>
  <sheetViews>
    <sheetView topLeftCell="A19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46253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317</v>
      </c>
      <c r="D6" s="13">
        <f t="shared" ref="D6:D28" si="1">C6*L6</f>
        <v>241237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15</v>
      </c>
      <c r="D7" s="13">
        <f t="shared" si="1"/>
        <v>11715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64</v>
      </c>
      <c r="D9" s="13">
        <f t="shared" si="1"/>
        <v>46912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</v>
      </c>
      <c r="D10" s="13">
        <f t="shared" si="1"/>
        <v>1032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9</v>
      </c>
      <c r="D13" s="48">
        <f t="shared" si="1"/>
        <v>2763</v>
      </c>
      <c r="F13" s="265" t="s">
        <v>36</v>
      </c>
      <c r="G13" s="229"/>
      <c r="H13" s="220">
        <f>D29</f>
        <v>304334.20833333331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5</v>
      </c>
      <c r="D14" s="31">
        <f t="shared" si="1"/>
        <v>55.208333333333329</v>
      </c>
      <c r="F14" s="223" t="s">
        <v>38</v>
      </c>
      <c r="G14" s="224"/>
      <c r="H14" s="225">
        <f>D54</f>
        <v>42960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>
        <v>1</v>
      </c>
      <c r="D15" s="31">
        <f t="shared" si="1"/>
        <v>620</v>
      </c>
      <c r="F15" s="228" t="s">
        <v>39</v>
      </c>
      <c r="G15" s="229"/>
      <c r="H15" s="230">
        <f>H13-H14</f>
        <v>261374.20833333331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1656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304334.20833333331</v>
      </c>
      <c r="F29" s="137" t="s">
        <v>54</v>
      </c>
      <c r="G29" s="199"/>
      <c r="H29" s="159">
        <f>H15-H16-H17-H18-H19-H20-H22-H23-H24+H26+H27</f>
        <v>259718.20833333331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98</v>
      </c>
      <c r="H34" s="181">
        <f>F34*G34</f>
        <v>98000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>
        <v>74</v>
      </c>
      <c r="H35" s="181">
        <f>F35*G35</f>
        <v>37000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7</v>
      </c>
      <c r="D36" s="12">
        <f>C36*1.5</f>
        <v>10.5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12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4</v>
      </c>
      <c r="D41" s="12">
        <f>C41*84</f>
        <v>336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128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197</v>
      </c>
      <c r="H44" s="176">
        <v>124550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87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75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3</v>
      </c>
      <c r="D49" s="12">
        <f>C49*42</f>
        <v>126</v>
      </c>
      <c r="F49" s="157" t="s">
        <v>85</v>
      </c>
      <c r="G49" s="159">
        <f>H34+H35+H36+H37+H38+H39+H40+H41+G42+H44+H45+H46+H47+H48</f>
        <v>259678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4</v>
      </c>
      <c r="D50" s="12">
        <f>C50*1.5</f>
        <v>6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-40.208333333313931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42960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1AB186-3916-43D4-8DF1-9D1B8FD6FBA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14391-6F23-4DF0-8BE8-5C37E5B276E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19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DA999-F346-41B9-B113-BEA8FFF8BC29}">
  <dimension ref="A1:V68"/>
  <sheetViews>
    <sheetView topLeftCell="A25" zoomScaleNormal="100" zoomScaleSheetLayoutView="85" workbookViewId="0">
      <selection activeCell="M50" sqref="M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46254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703</v>
      </c>
      <c r="D6" s="13">
        <f t="shared" ref="D6:D28" si="1">C6*L6</f>
        <v>534983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27</v>
      </c>
      <c r="D7" s="13">
        <f t="shared" si="1"/>
        <v>21087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1</v>
      </c>
      <c r="D8" s="13">
        <f t="shared" si="1"/>
        <v>1093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48</v>
      </c>
      <c r="D9" s="13">
        <f t="shared" si="1"/>
        <v>35184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11</v>
      </c>
      <c r="D10" s="13">
        <f t="shared" si="1"/>
        <v>11352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2</v>
      </c>
      <c r="D11" s="13">
        <f t="shared" si="1"/>
        <v>2340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14</v>
      </c>
      <c r="D12" s="48">
        <f t="shared" si="1"/>
        <v>13888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12</v>
      </c>
      <c r="D13" s="48">
        <f t="shared" si="1"/>
        <v>3684</v>
      </c>
      <c r="F13" s="265" t="s">
        <v>36</v>
      </c>
      <c r="G13" s="229"/>
      <c r="H13" s="220">
        <f>D29</f>
        <v>660045.41666666663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10</v>
      </c>
      <c r="D14" s="31">
        <f t="shared" si="1"/>
        <v>110.41666666666666</v>
      </c>
      <c r="F14" s="223" t="s">
        <v>38</v>
      </c>
      <c r="G14" s="224"/>
      <c r="H14" s="225">
        <f>D54</f>
        <v>84088.5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>
        <v>3</v>
      </c>
      <c r="D15" s="31">
        <f t="shared" si="1"/>
        <v>1860</v>
      </c>
      <c r="F15" s="228" t="s">
        <v>39</v>
      </c>
      <c r="G15" s="229"/>
      <c r="H15" s="230">
        <f>H13-H14</f>
        <v>575956.91666666663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>
        <f>10+10+9</f>
        <v>29</v>
      </c>
      <c r="D16" s="48">
        <f t="shared" si="1"/>
        <v>18850</v>
      </c>
      <c r="F16" s="67" t="s">
        <v>41</v>
      </c>
      <c r="G16" s="66" t="s">
        <v>42</v>
      </c>
      <c r="H16" s="190">
        <v>1296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>
        <v>2</v>
      </c>
      <c r="D17" s="48">
        <f t="shared" si="1"/>
        <v>3404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198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 t="s">
        <v>163</v>
      </c>
      <c r="G22" s="72">
        <v>11945</v>
      </c>
      <c r="H22" s="206">
        <v>97893</v>
      </c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 t="s">
        <v>163</v>
      </c>
      <c r="G26" s="65">
        <v>11698</v>
      </c>
      <c r="H26" s="176">
        <v>97987</v>
      </c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17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>
        <v>13</v>
      </c>
      <c r="D28" s="48">
        <f t="shared" si="1"/>
        <v>10543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660045.41666666663</v>
      </c>
      <c r="F29" s="137" t="s">
        <v>54</v>
      </c>
      <c r="G29" s="199"/>
      <c r="H29" s="159">
        <f>H15-H16-H17-H18-H19-H20-H22-H23-H24+H26+H27+H28</f>
        <v>574754.91666666663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202</v>
      </c>
      <c r="H34" s="181">
        <f t="shared" ref="H34:H39" si="2">F34*G34</f>
        <v>202000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6</v>
      </c>
      <c r="D35" s="30">
        <f>C35*84</f>
        <v>504</v>
      </c>
      <c r="F35" s="58">
        <v>500</v>
      </c>
      <c r="G35" s="121">
        <v>14</v>
      </c>
      <c r="H35" s="181">
        <f t="shared" si="2"/>
        <v>7000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531</v>
      </c>
      <c r="D37" s="12">
        <f>C37*111</f>
        <v>58941</v>
      </c>
      <c r="F37" s="12">
        <v>100</v>
      </c>
      <c r="G37" s="39">
        <v>19</v>
      </c>
      <c r="H37" s="181">
        <f t="shared" si="2"/>
        <v>1900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203</v>
      </c>
      <c r="D38" s="12">
        <f>C38*84</f>
        <v>17052</v>
      </c>
      <c r="F38" s="30">
        <v>50</v>
      </c>
      <c r="G38" s="39">
        <v>6</v>
      </c>
      <c r="H38" s="181">
        <f t="shared" si="2"/>
        <v>300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122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30</v>
      </c>
      <c r="D41" s="12">
        <f>C41*84</f>
        <v>2520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1">
        <v>34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3</v>
      </c>
      <c r="D44" s="12">
        <f>C44*120</f>
        <v>360</v>
      </c>
      <c r="F44" s="37" t="s">
        <v>136</v>
      </c>
      <c r="G44" s="87" t="s">
        <v>199</v>
      </c>
      <c r="H44" s="176">
        <v>264874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42</v>
      </c>
      <c r="D45" s="12">
        <f>C45*84</f>
        <v>3528</v>
      </c>
      <c r="F45" s="37"/>
      <c r="G45" s="108" t="s">
        <v>134</v>
      </c>
      <c r="H45" s="176">
        <v>97987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21</v>
      </c>
      <c r="D46" s="12">
        <f>C46*1.5</f>
        <v>31.5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2</v>
      </c>
      <c r="D49" s="12">
        <f>C49*42</f>
        <v>84</v>
      </c>
      <c r="F49" s="157" t="s">
        <v>85</v>
      </c>
      <c r="G49" s="159">
        <f>H34+H35+H36+H37+H38+H39+H40+H41+G42+H44+H45+H46+H47+H48</f>
        <v>574095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2</v>
      </c>
      <c r="D50" s="12">
        <f>C50*1.5</f>
        <v>3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-659.91666666662786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84088.5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4050AD-C94A-4356-A7D7-ABAEE6DF8EA1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66FEC-3334-4158-9375-FA6D1D099799}">
  <dimension ref="A1:R59"/>
  <sheetViews>
    <sheetView topLeftCell="A27" zoomScaleNormal="100" zoomScaleSheetLayoutView="85" workbookViewId="0">
      <selection activeCell="N59" sqref="N5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46254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71</v>
      </c>
      <c r="D6" s="13">
        <f t="shared" ref="D6:D28" si="1">C6*L6</f>
        <v>54031</v>
      </c>
      <c r="F6" s="244" t="s">
        <v>16</v>
      </c>
      <c r="G6" s="246" t="s">
        <v>194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6</v>
      </c>
      <c r="D7" s="13">
        <f t="shared" si="1"/>
        <v>4686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21</v>
      </c>
      <c r="D9" s="13">
        <f t="shared" si="1"/>
        <v>15393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2</v>
      </c>
      <c r="D10" s="13">
        <f t="shared" si="1"/>
        <v>2064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2</v>
      </c>
      <c r="D12" s="48">
        <f t="shared" si="1"/>
        <v>1984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3</v>
      </c>
      <c r="D13" s="48">
        <f t="shared" si="1"/>
        <v>921</v>
      </c>
      <c r="F13" s="265" t="s">
        <v>36</v>
      </c>
      <c r="G13" s="229"/>
      <c r="H13" s="220">
        <f>D29</f>
        <v>79145.25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6</v>
      </c>
      <c r="D14" s="31">
        <f t="shared" si="1"/>
        <v>66.25</v>
      </c>
      <c r="F14" s="223" t="s">
        <v>38</v>
      </c>
      <c r="G14" s="224"/>
      <c r="H14" s="225">
        <f>D54</f>
        <v>11838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67307.25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534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79145.25</v>
      </c>
      <c r="F29" s="137" t="s">
        <v>54</v>
      </c>
      <c r="G29" s="199"/>
      <c r="H29" s="159">
        <f>H15-H16-H17-H18-H19-H20-H22-H23-H24+H26+H27</f>
        <v>66773.25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</v>
      </c>
      <c r="H34" s="181">
        <f>F34*G34</f>
        <v>8000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1</v>
      </c>
      <c r="D35" s="30">
        <f>C35*84</f>
        <v>84</v>
      </c>
      <c r="F35" s="58">
        <v>500</v>
      </c>
      <c r="G35" s="121"/>
      <c r="H35" s="181">
        <f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102</v>
      </c>
      <c r="D37" s="12">
        <f>C37*111</f>
        <v>11322</v>
      </c>
      <c r="F37" s="12">
        <v>100</v>
      </c>
      <c r="G37" s="39">
        <v>2</v>
      </c>
      <c r="H37" s="181">
        <f t="shared" si="2"/>
        <v>200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55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136</v>
      </c>
      <c r="G44" s="62" t="s">
        <v>200</v>
      </c>
      <c r="H44" s="176">
        <v>58583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2</v>
      </c>
      <c r="D49" s="12">
        <f>C49*42</f>
        <v>84</v>
      </c>
      <c r="F49" s="157" t="s">
        <v>85</v>
      </c>
      <c r="G49" s="159">
        <f>H34+H35+H36+H37+H38+H39+H40+H41+G42+H44+H45+H46+H47+H48</f>
        <v>66838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>
        <v>17</v>
      </c>
      <c r="D50" s="12">
        <f>C50*1.5</f>
        <v>25.5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64.75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11838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BEAE7E9-3601-4D92-A13A-9EAEE146358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6BBE4-8B0E-4788-B23B-551F95D9E4DF}">
  <dimension ref="A1:R59"/>
  <sheetViews>
    <sheetView zoomScaleNormal="100" zoomScaleSheetLayoutView="85" workbookViewId="0">
      <selection activeCell="M43" sqref="M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46254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465</v>
      </c>
      <c r="D6" s="13">
        <f t="shared" ref="D6:D28" si="1">C6*L6</f>
        <v>353865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44</v>
      </c>
      <c r="D7" s="13">
        <f t="shared" si="1"/>
        <v>34364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2</v>
      </c>
      <c r="D8" s="13">
        <f t="shared" si="1"/>
        <v>2186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110</v>
      </c>
      <c r="D9" s="13">
        <f t="shared" si="1"/>
        <v>80630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2</v>
      </c>
      <c r="D11" s="13">
        <f t="shared" si="1"/>
        <v>2340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2</v>
      </c>
      <c r="D12" s="48">
        <f t="shared" si="1"/>
        <v>1984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19</v>
      </c>
      <c r="D13" s="48">
        <f t="shared" si="1"/>
        <v>5833</v>
      </c>
      <c r="F13" s="265" t="s">
        <v>36</v>
      </c>
      <c r="G13" s="229"/>
      <c r="H13" s="220">
        <f>D29</f>
        <v>481202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71605.5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409596.5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3732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>
        <v>50</v>
      </c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481202</v>
      </c>
      <c r="F29" s="137" t="s">
        <v>54</v>
      </c>
      <c r="G29" s="199"/>
      <c r="H29" s="159">
        <f>H15-H16-H17-H18-H19-H20-H22-H23-H24+H26+H27</f>
        <v>405814.5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</v>
      </c>
      <c r="H34" s="181">
        <f>F34*G34</f>
        <v>1000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>
        <v>1</v>
      </c>
      <c r="H35" s="181">
        <f>F35*G35</f>
        <v>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602</v>
      </c>
      <c r="D37" s="12">
        <f>C37*111</f>
        <v>66822</v>
      </c>
      <c r="F37" s="12">
        <v>100</v>
      </c>
      <c r="G37" s="39">
        <v>8</v>
      </c>
      <c r="H37" s="181">
        <f t="shared" si="2"/>
        <v>800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12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20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7</v>
      </c>
      <c r="D44" s="12">
        <f>C44*120</f>
        <v>840</v>
      </c>
      <c r="F44" s="37" t="s">
        <v>133</v>
      </c>
      <c r="G44" s="87" t="s">
        <v>201</v>
      </c>
      <c r="H44" s="176">
        <v>334197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202</v>
      </c>
      <c r="H45" s="176">
        <v>69310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75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15</v>
      </c>
      <c r="D49" s="12">
        <f>C49*42</f>
        <v>630</v>
      </c>
      <c r="F49" s="157" t="s">
        <v>85</v>
      </c>
      <c r="G49" s="159">
        <f>H34+H35+H36+H37+H38+H39+H40+H41+G42+H44+H45+H46+H47+H48</f>
        <v>405877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12</v>
      </c>
      <c r="D50" s="12">
        <f>C50*1.5</f>
        <v>18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62.5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71605.5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B442134-15CE-4920-AEE2-BAEFE5C82A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7CE38-E453-4A8E-8C5B-89D01DB1051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19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B1077-ED03-4EFC-96D3-095E60C816E2}">
  <dimension ref="A1:V68"/>
  <sheetViews>
    <sheetView zoomScaleNormal="100" zoomScaleSheetLayoutView="85" workbookViewId="0">
      <selection activeCell="N35" sqref="N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46255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17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H15-H16-H17-H18-H19-H20-H22-H23-H24+H26+H27+H28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1">
        <f t="shared" ref="H34:H39" si="2"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/>
      <c r="H35" s="181">
        <f t="shared" si="2"/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87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87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-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0078201-B05F-4C11-AB05-13C76DA3175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59B08-F6AE-406A-84D9-2B41F09E5188}">
  <dimension ref="A1:R59"/>
  <sheetViews>
    <sheetView topLeftCell="A25" zoomScaleNormal="100" zoomScaleSheetLayoutView="85" workbookViewId="0">
      <selection activeCell="G43" sqref="G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46255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405</v>
      </c>
      <c r="D6" s="13">
        <f t="shared" ref="D6:D28" si="1">C6*L6</f>
        <v>308205</v>
      </c>
      <c r="F6" s="244" t="s">
        <v>16</v>
      </c>
      <c r="G6" s="246" t="s">
        <v>194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1</v>
      </c>
      <c r="D8" s="13">
        <f t="shared" si="1"/>
        <v>1093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51</v>
      </c>
      <c r="D9" s="13">
        <f t="shared" si="1"/>
        <v>37383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5</v>
      </c>
      <c r="D10" s="13">
        <f t="shared" si="1"/>
        <v>5160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11</v>
      </c>
      <c r="D13" s="48">
        <f t="shared" si="1"/>
        <v>3377</v>
      </c>
      <c r="F13" s="265" t="s">
        <v>36</v>
      </c>
      <c r="G13" s="229"/>
      <c r="H13" s="220">
        <f>D29</f>
        <v>355218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60337.5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294880.5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2010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355218</v>
      </c>
      <c r="F29" s="137" t="s">
        <v>54</v>
      </c>
      <c r="G29" s="199"/>
      <c r="H29" s="159">
        <f>H15-H16-H17-H18-H19-H20-H22-H23-H24+H26+H27</f>
        <v>292870.5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142</v>
      </c>
      <c r="H34" s="181">
        <f>F34*G34</f>
        <v>142000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1">
        <v>9</v>
      </c>
      <c r="H35" s="181">
        <f>F35*G35</f>
        <v>4500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525</v>
      </c>
      <c r="D37" s="12">
        <f>C37*111</f>
        <v>58275</v>
      </c>
      <c r="F37" s="12">
        <v>100</v>
      </c>
      <c r="G37" s="39">
        <v>2</v>
      </c>
      <c r="H37" s="181">
        <f t="shared" si="2"/>
        <v>200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81">
        <f t="shared" si="2"/>
        <v>100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12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8</v>
      </c>
      <c r="D42" s="12">
        <f>C42*2.25</f>
        <v>18</v>
      </c>
      <c r="F42" s="39" t="s">
        <v>78</v>
      </c>
      <c r="G42" s="181">
        <v>22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203</v>
      </c>
      <c r="H44" s="176">
        <v>146044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12</v>
      </c>
      <c r="D49" s="12">
        <f>C49*42</f>
        <v>504</v>
      </c>
      <c r="F49" s="157" t="s">
        <v>85</v>
      </c>
      <c r="G49" s="159">
        <f>H34+H35+H36+H37+H38+H39+H40+H41+G42+H44+H45+H46+H47+H48</f>
        <v>292866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-4.5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60337.5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78F65-8059-482F-AF52-298BF72FFD7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7538-60DB-4ADD-9E1B-A065932539C6}">
  <dimension ref="A1:R59"/>
  <sheetViews>
    <sheetView topLeftCell="A28" zoomScaleNormal="100" zoomScaleSheetLayoutView="85" workbookViewId="0">
      <selection activeCell="N60" sqref="N6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46255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353</v>
      </c>
      <c r="D6" s="13">
        <f t="shared" ref="D6:D28" si="1">C6*L6</f>
        <v>268633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35</v>
      </c>
      <c r="D7" s="13">
        <f t="shared" si="1"/>
        <v>27335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15</v>
      </c>
      <c r="D8" s="13">
        <f t="shared" si="1"/>
        <v>16395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50</v>
      </c>
      <c r="D9" s="13">
        <f t="shared" si="1"/>
        <v>36650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20</v>
      </c>
      <c r="D10" s="13">
        <f t="shared" si="1"/>
        <v>20640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10</v>
      </c>
      <c r="D11" s="13">
        <f t="shared" si="1"/>
        <v>11700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10</v>
      </c>
      <c r="D12" s="48">
        <f t="shared" si="1"/>
        <v>9920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421825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47832.75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>
        <v>6</v>
      </c>
      <c r="D15" s="31">
        <f t="shared" si="1"/>
        <v>3720</v>
      </c>
      <c r="F15" s="228" t="s">
        <v>39</v>
      </c>
      <c r="G15" s="229"/>
      <c r="H15" s="230">
        <f>H13-H14</f>
        <v>373992.25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>
        <v>20</v>
      </c>
      <c r="D16" s="48">
        <f t="shared" si="1"/>
        <v>13000</v>
      </c>
      <c r="F16" s="67" t="s">
        <v>41</v>
      </c>
      <c r="G16" s="66" t="s">
        <v>42</v>
      </c>
      <c r="H16" s="190">
        <v>300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03" t="s">
        <v>13</v>
      </c>
      <c r="I21" s="204"/>
      <c r="J21" s="205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>
        <v>15</v>
      </c>
      <c r="D28" s="48">
        <f t="shared" si="1"/>
        <v>12165</v>
      </c>
      <c r="F28" s="119"/>
      <c r="G28" s="61"/>
      <c r="H28" s="217"/>
      <c r="I28" s="218"/>
      <c r="J28" s="219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421825</v>
      </c>
      <c r="F29" s="137" t="s">
        <v>54</v>
      </c>
      <c r="G29" s="199"/>
      <c r="H29" s="159">
        <f>H15-H16-H17-H18-H19-H20-H22-H23-H24+H26+H27</f>
        <v>373692.25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3">
        <v>30</v>
      </c>
      <c r="H34" s="181">
        <f>F34*G34</f>
        <v>30000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12</v>
      </c>
      <c r="D35" s="30">
        <f>C35*84</f>
        <v>1008</v>
      </c>
      <c r="F35" s="58">
        <v>500</v>
      </c>
      <c r="G35" s="121">
        <v>3</v>
      </c>
      <c r="H35" s="181">
        <f>F35*G35</f>
        <v>1500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111</v>
      </c>
      <c r="D37" s="12">
        <f>C37*111</f>
        <v>12321</v>
      </c>
      <c r="F37" s="12">
        <v>100</v>
      </c>
      <c r="G37" s="39">
        <v>3</v>
      </c>
      <c r="H37" s="181">
        <f t="shared" si="2"/>
        <v>300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311</v>
      </c>
      <c r="D38" s="12">
        <f>C38*84</f>
        <v>26124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38</v>
      </c>
      <c r="D41" s="12">
        <f>C41*84</f>
        <v>3192</v>
      </c>
      <c r="F41" s="12">
        <v>5</v>
      </c>
      <c r="G41" s="12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15</v>
      </c>
      <c r="D42" s="12">
        <f>C42*2.25</f>
        <v>33.75</v>
      </c>
      <c r="F42" s="39" t="s">
        <v>78</v>
      </c>
      <c r="G42" s="181">
        <v>43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204</v>
      </c>
      <c r="H44" s="176">
        <v>342768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51</v>
      </c>
      <c r="D45" s="12">
        <f>C45*84</f>
        <v>4284</v>
      </c>
      <c r="F45" s="37"/>
      <c r="G45" s="87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8</v>
      </c>
      <c r="D46" s="12">
        <f>C46*1.5</f>
        <v>12</v>
      </c>
      <c r="F46" s="37"/>
      <c r="G46" s="75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374611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OVER</v>
      </c>
      <c r="G51" s="167">
        <f>G49-H29</f>
        <v>918.75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47832.75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3F23BA1-2563-4376-BEB5-9FA46EF9ED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56C4F-FA79-45C9-9AEE-1A1167488D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26" t="s">
        <v>2</v>
      </c>
      <c r="Q1" s="12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27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8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9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30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30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5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48E16-997A-4A38-9E58-035E3F826ECD}">
  <dimension ref="A1:V68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46256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 t="s">
        <v>132</v>
      </c>
      <c r="G26" s="65">
        <v>11943</v>
      </c>
      <c r="H26" s="176">
        <v>49577</v>
      </c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25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27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H15-H16-H17-H18-H19-H20-H22-H23-H24+H26+H27+H28</f>
        <v>49577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8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49</v>
      </c>
      <c r="H34" s="181">
        <f t="shared" ref="H34:H39" si="2">F34*G34</f>
        <v>49000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9">
        <v>1</v>
      </c>
      <c r="H35" s="181">
        <f t="shared" si="2"/>
        <v>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30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30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27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87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87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49577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-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ED07392-848A-44E9-80B5-A0DB4A32CAA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F366F-3AB8-4801-BABF-9212BF050E95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46256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194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27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/>
      <c r="D33" s="25" t="s">
        <v>13</v>
      </c>
      <c r="F33" s="25" t="s">
        <v>61</v>
      </c>
      <c r="G33" s="128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>
        <f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9"/>
      <c r="H35" s="181">
        <f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30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30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-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5C524F-502E-4C49-B53A-75FD7500494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B49C0-E1EE-4452-B097-2E3154FA3977}">
  <dimension ref="A1:R59"/>
  <sheetViews>
    <sheetView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46256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27"/>
      <c r="G28" s="61"/>
      <c r="H28" s="217"/>
      <c r="I28" s="218"/>
      <c r="J28" s="219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8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>
        <f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29"/>
      <c r="H35" s="181">
        <f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30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30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87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87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75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H34+H35+H36+H37+H38+H39+H40+H41+G42+H44+H45+H46+H47+H48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-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3DB72BD-12F8-4ADF-83DB-B61C4C10C0B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4ED2A-19D1-45D9-999E-BA8B9ED88F0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7"/>
      <c r="G23" s="78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79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32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35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36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36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34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5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5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96CAE-D1D8-4B6C-B431-D60A6842D304}">
  <dimension ref="A1:V68"/>
  <sheetViews>
    <sheetView topLeftCell="A19" zoomScaleNormal="100" zoomScaleSheetLayoutView="85" workbookViewId="0">
      <selection activeCell="L45" sqref="L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46258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906</v>
      </c>
      <c r="D6" s="13">
        <f t="shared" ref="D6:D28" si="1">C6*L6</f>
        <v>689466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21</v>
      </c>
      <c r="D7" s="13">
        <f t="shared" si="1"/>
        <v>16401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115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29</v>
      </c>
      <c r="D9" s="13">
        <f t="shared" si="1"/>
        <v>21257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33</v>
      </c>
      <c r="D13" s="48">
        <f t="shared" si="1"/>
        <v>10131</v>
      </c>
      <c r="F13" s="265" t="s">
        <v>36</v>
      </c>
      <c r="G13" s="229"/>
      <c r="H13" s="220">
        <f>D29</f>
        <v>737255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69019.5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668235.5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5304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74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71"/>
      <c r="G27" s="134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3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737255</v>
      </c>
      <c r="F29" s="137" t="s">
        <v>54</v>
      </c>
      <c r="G29" s="199"/>
      <c r="H29" s="159">
        <f>H15-H16-H17-H18-H19-H20-H22-H23-H24+H26+H27+H28</f>
        <v>662931.5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396</v>
      </c>
      <c r="H34" s="181">
        <f t="shared" ref="H34:H39" si="2">F34*G34</f>
        <v>396000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35">
        <v>249</v>
      </c>
      <c r="H35" s="181">
        <f t="shared" si="2"/>
        <v>124500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589</v>
      </c>
      <c r="D37" s="12">
        <f>C37*111</f>
        <v>65379</v>
      </c>
      <c r="F37" s="12">
        <v>100</v>
      </c>
      <c r="G37" s="39">
        <v>5</v>
      </c>
      <c r="H37" s="181">
        <f t="shared" si="2"/>
        <v>500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181">
        <f t="shared" si="2"/>
        <v>100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36"/>
      <c r="H40" s="269"/>
      <c r="I40" s="270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136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6</v>
      </c>
      <c r="D42" s="12">
        <f>C42*2.25</f>
        <v>13.5</v>
      </c>
      <c r="F42" s="39" t="s">
        <v>78</v>
      </c>
      <c r="G42" s="181">
        <v>91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34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6</v>
      </c>
      <c r="D44" s="12">
        <f>C44*120</f>
        <v>720</v>
      </c>
      <c r="F44" s="37" t="s">
        <v>136</v>
      </c>
      <c r="G44" s="87" t="s">
        <v>205</v>
      </c>
      <c r="H44" s="176">
        <v>138895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87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266"/>
      <c r="I47" s="267"/>
      <c r="J47" s="268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15</v>
      </c>
      <c r="D49" s="12">
        <f>C49*42</f>
        <v>630</v>
      </c>
      <c r="F49" s="157" t="s">
        <v>85</v>
      </c>
      <c r="G49" s="159">
        <f>H34+H35+H36+H37+H38+H39+H40+H41+G42+H44+H45+H46+H47+H48</f>
        <v>660086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5</v>
      </c>
      <c r="D50" s="12">
        <f>C50*1.5</f>
        <v>7.5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-2845.5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69019.5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B59F83D-1A06-4EFF-8284-8966E51A563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DFAD6-BA1C-4033-81E0-54533E50302B}">
  <dimension ref="A1:R59"/>
  <sheetViews>
    <sheetView topLeftCell="A27" zoomScaleNormal="100" zoomScaleSheetLayoutView="85" workbookViewId="0">
      <selection activeCell="L56" sqref="L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46258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371</v>
      </c>
      <c r="D6" s="13">
        <f t="shared" ref="D6:D28" si="1">C6*L6</f>
        <v>282331</v>
      </c>
      <c r="F6" s="244" t="s">
        <v>16</v>
      </c>
      <c r="G6" s="246" t="s">
        <v>194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15</v>
      </c>
      <c r="D9" s="13">
        <f t="shared" si="1"/>
        <v>10995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10</v>
      </c>
      <c r="D13" s="48">
        <f t="shared" si="1"/>
        <v>3070</v>
      </c>
      <c r="F13" s="265" t="s">
        <v>36</v>
      </c>
      <c r="G13" s="229"/>
      <c r="H13" s="220">
        <f>D29</f>
        <v>297905.79166666669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19</v>
      </c>
      <c r="D14" s="31">
        <f t="shared" si="1"/>
        <v>209.79166666666666</v>
      </c>
      <c r="F14" s="223" t="s">
        <v>38</v>
      </c>
      <c r="G14" s="224"/>
      <c r="H14" s="225">
        <f>D54</f>
        <v>42783</v>
      </c>
      <c r="I14" s="226"/>
      <c r="J14" s="22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255122.79166666669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0">
        <v>2148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3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297905.79166666669</v>
      </c>
      <c r="F29" s="137" t="s">
        <v>54</v>
      </c>
      <c r="G29" s="199"/>
      <c r="H29" s="159">
        <f>H15-H16-H17-H18-H19-H20-H22-H23-H24+H26+H27</f>
        <v>252974.79166666669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/>
      <c r="D33" s="25" t="s">
        <v>13</v>
      </c>
      <c r="F33" s="25" t="s">
        <v>61</v>
      </c>
      <c r="G33" s="13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181">
        <f>F34*G34</f>
        <v>18000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35">
        <v>4</v>
      </c>
      <c r="H35" s="181">
        <f>F35*G35</f>
        <v>2000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381</v>
      </c>
      <c r="D37" s="12">
        <f>C37*111</f>
        <v>42291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136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36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5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34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148</v>
      </c>
      <c r="G44" s="62" t="s">
        <v>206</v>
      </c>
      <c r="H44" s="176">
        <v>140622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136</v>
      </c>
      <c r="G45" s="75" t="s">
        <v>207</v>
      </c>
      <c r="H45" s="176">
        <v>92245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6</v>
      </c>
      <c r="D49" s="12">
        <f>C49*42</f>
        <v>252</v>
      </c>
      <c r="F49" s="157" t="s">
        <v>85</v>
      </c>
      <c r="G49" s="159">
        <f>H34+H35+H36+H37+H38+H39+H40+H41+G42+H44+H45+H46+H47+H48</f>
        <v>252872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80">
        <v>4</v>
      </c>
      <c r="D50" s="12">
        <f>C50*1.5</f>
        <v>6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-102.79166666668607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42783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B3C56F9-8422-44B3-B164-449B527944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3122-BB19-4498-8B49-11A8ABFE673C}">
  <dimension ref="A1:R59"/>
  <sheetViews>
    <sheetView tabSelected="1" topLeftCell="A19" zoomScaleNormal="100" zoomScaleSheetLayoutView="85" workbookViewId="0">
      <selection activeCell="M38" sqref="M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46258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557</v>
      </c>
      <c r="D6" s="13">
        <f t="shared" ref="D6:D28" si="1">C6*L6</f>
        <v>423877</v>
      </c>
      <c r="F6" s="244" t="s">
        <v>16</v>
      </c>
      <c r="G6" s="246" t="s">
        <v>142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15</v>
      </c>
      <c r="D7" s="13">
        <f t="shared" si="1"/>
        <v>11715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109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107</v>
      </c>
      <c r="D9" s="13">
        <f t="shared" si="1"/>
        <v>78431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3</v>
      </c>
      <c r="D10" s="13">
        <f t="shared" si="1"/>
        <v>3096</v>
      </c>
      <c r="F10" s="244" t="s">
        <v>26</v>
      </c>
      <c r="G10" s="259" t="s">
        <v>119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15</v>
      </c>
      <c r="D13" s="48">
        <f t="shared" si="1"/>
        <v>4605</v>
      </c>
      <c r="F13" s="265" t="s">
        <v>36</v>
      </c>
      <c r="G13" s="229"/>
      <c r="H13" s="220">
        <f>D29</f>
        <v>522837.45833333331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11</v>
      </c>
      <c r="D14" s="31">
        <f t="shared" si="1"/>
        <v>121.45833333333333</v>
      </c>
      <c r="F14" s="223" t="s">
        <v>38</v>
      </c>
      <c r="G14" s="224"/>
      <c r="H14" s="225">
        <f>D54</f>
        <v>74484</v>
      </c>
      <c r="I14" s="226"/>
      <c r="J14" s="22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117</v>
      </c>
      <c r="C15" s="10"/>
      <c r="D15" s="31">
        <f t="shared" si="1"/>
        <v>0</v>
      </c>
      <c r="F15" s="228" t="s">
        <v>39</v>
      </c>
      <c r="G15" s="229"/>
      <c r="H15" s="230">
        <f>H13-H14</f>
        <v>448353.45833333331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3096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5">
        <v>50</v>
      </c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116</v>
      </c>
      <c r="C23" s="10"/>
      <c r="D23" s="48">
        <f t="shared" si="1"/>
        <v>0</v>
      </c>
      <c r="F23" s="77"/>
      <c r="G23" s="78"/>
      <c r="H23" s="276"/>
      <c r="I23" s="206"/>
      <c r="J23" s="206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123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124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125</v>
      </c>
      <c r="C27" s="10"/>
      <c r="D27" s="44">
        <f t="shared" si="1"/>
        <v>0</v>
      </c>
      <c r="F27" s="25"/>
      <c r="G27" s="79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32"/>
      <c r="G28" s="61"/>
      <c r="H28" s="217"/>
      <c r="I28" s="218"/>
      <c r="J28" s="219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522837.45833333331</v>
      </c>
      <c r="F29" s="137" t="s">
        <v>54</v>
      </c>
      <c r="G29" s="199"/>
      <c r="H29" s="159">
        <f>H15-H16-H17-H18-H19-H20-H22-H23-H24+H26+H27</f>
        <v>445207.45833333331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119</v>
      </c>
      <c r="H34" s="181">
        <f>F34*G34</f>
        <v>119000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135">
        <v>42</v>
      </c>
      <c r="H35" s="181">
        <f>F35*G35</f>
        <v>21000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136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136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4</v>
      </c>
      <c r="D42" s="12">
        <f>C42*2.25</f>
        <v>9</v>
      </c>
      <c r="F42" s="39" t="s">
        <v>78</v>
      </c>
      <c r="G42" s="181">
        <v>78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34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208</v>
      </c>
      <c r="H44" s="176">
        <v>192763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 t="s">
        <v>136</v>
      </c>
      <c r="G45" s="87" t="s">
        <v>209</v>
      </c>
      <c r="H45" s="176">
        <v>41760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0">
        <v>9</v>
      </c>
      <c r="D46" s="12">
        <f>C46*1.5</f>
        <v>13.5</v>
      </c>
      <c r="F46" s="37" t="s">
        <v>133</v>
      </c>
      <c r="G46" s="87" t="s">
        <v>210</v>
      </c>
      <c r="H46" s="176">
        <v>70468</v>
      </c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/>
      <c r="G47" s="75"/>
      <c r="H47" s="176"/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66"/>
      <c r="I48" s="267"/>
      <c r="J48" s="26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</v>
      </c>
      <c r="D49" s="12">
        <f>C49*42</f>
        <v>42</v>
      </c>
      <c r="F49" s="157" t="s">
        <v>85</v>
      </c>
      <c r="G49" s="159">
        <f>H34+H35+H36+H37+H38+H39+H40+H41+G42+H44+H45+H46+H47+H48</f>
        <v>445069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21</v>
      </c>
      <c r="D50" s="12">
        <f>C50*1.5</f>
        <v>31.5</v>
      </c>
      <c r="F50" s="158"/>
      <c r="G50" s="162"/>
      <c r="H50" s="163"/>
      <c r="I50" s="163"/>
      <c r="J50" s="164"/>
      <c r="O50" t="s">
        <v>112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tr">
        <f>_xlfn.IFS(H29&gt;G49,"SHORT",H29&lt;G49,"OVER",H29&lt;=G49,"-")</f>
        <v>SHORT</v>
      </c>
      <c r="G51" s="167">
        <f>G49-H29</f>
        <v>-138.45833333331393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74484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3745DDF-EFB1-4BCC-9C3F-9FE5F45B710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C913E-C0B2-4380-85C3-70D4348A7FF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82</vt:i4>
      </vt:variant>
      <vt:variant>
        <vt:lpstr>Named Ranges</vt:lpstr>
      </vt:variant>
      <vt:variant>
        <vt:i4>80</vt:i4>
      </vt:variant>
    </vt:vector>
  </HeadingPairs>
  <TitlesOfParts>
    <vt:vector size="162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 COLLECTION</vt:lpstr>
      <vt:lpstr>08,15 R2</vt:lpstr>
      <vt:lpstr>08,15 R3</vt:lpstr>
      <vt:lpstr>(17)</vt:lpstr>
      <vt:lpstr>08,17 R1</vt:lpstr>
      <vt:lpstr>08,17 R2</vt:lpstr>
      <vt:lpstr>08,17 R3</vt:lpstr>
      <vt:lpstr>(18)</vt:lpstr>
      <vt:lpstr>08,18 R1</vt:lpstr>
      <vt:lpstr>08,18 R2</vt:lpstr>
      <vt:lpstr>08,18 R3</vt:lpstr>
      <vt:lpstr>(19)</vt:lpstr>
      <vt:lpstr>08,19 R1</vt:lpstr>
      <vt:lpstr>08,19 R2</vt:lpstr>
      <vt:lpstr>08,19 R3</vt:lpstr>
      <vt:lpstr>(20)</vt:lpstr>
      <vt:lpstr>08,20 R1</vt:lpstr>
      <vt:lpstr>08,20 R2</vt:lpstr>
      <vt:lpstr>08,20 R3</vt:lpstr>
      <vt:lpstr>(21)</vt:lpstr>
      <vt:lpstr>08,21 R1 NO TRIP</vt:lpstr>
      <vt:lpstr>08,21 R2 </vt:lpstr>
      <vt:lpstr>08,21 R3</vt:lpstr>
      <vt:lpstr>(22)</vt:lpstr>
      <vt:lpstr>08,22 R1 COLLECTION ONLY</vt:lpstr>
      <vt:lpstr>08,22 R2 NO TRIP</vt:lpstr>
      <vt:lpstr>08,22 R3 NO TRIP</vt:lpstr>
      <vt:lpstr>(24)</vt:lpstr>
      <vt:lpstr>08,24 R1</vt:lpstr>
      <vt:lpstr>08,24 R2</vt:lpstr>
      <vt:lpstr>08,24 R3</vt:lpstr>
      <vt:lpstr>Sheet1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 COLLECTION'!Print_Area</vt:lpstr>
      <vt:lpstr>'08,15 R2'!Print_Area</vt:lpstr>
      <vt:lpstr>'08,15 R3'!Print_Area</vt:lpstr>
      <vt:lpstr>'08,17 R1'!Print_Area</vt:lpstr>
      <vt:lpstr>'08,17 R2'!Print_Area</vt:lpstr>
      <vt:lpstr>'08,17 R3'!Print_Area</vt:lpstr>
      <vt:lpstr>'08,18 R1'!Print_Area</vt:lpstr>
      <vt:lpstr>'08,18 R2'!Print_Area</vt:lpstr>
      <vt:lpstr>'08,18 R3'!Print_Area</vt:lpstr>
      <vt:lpstr>'08,19 R1'!Print_Area</vt:lpstr>
      <vt:lpstr>'08,19 R2'!Print_Area</vt:lpstr>
      <vt:lpstr>'08,19 R3'!Print_Area</vt:lpstr>
      <vt:lpstr>'08,20 R1'!Print_Area</vt:lpstr>
      <vt:lpstr>'08,20 R2'!Print_Area</vt:lpstr>
      <vt:lpstr>'08,20 R3'!Print_Area</vt:lpstr>
      <vt:lpstr>'08,21 R1 NO TRIP'!Print_Area</vt:lpstr>
      <vt:lpstr>'08,21 R2 '!Print_Area</vt:lpstr>
      <vt:lpstr>'08,21 R3'!Print_Area</vt:lpstr>
      <vt:lpstr>'08,22 R1 COLLECTION ONLY'!Print_Area</vt:lpstr>
      <vt:lpstr>'08,22 R2 NO TRIP'!Print_Area</vt:lpstr>
      <vt:lpstr>'08,22 R3 NO TRIP'!Print_Area</vt:lpstr>
      <vt:lpstr>'08,24 R1'!Print_Area</vt:lpstr>
      <vt:lpstr>'08,24 R2'!Print_Area</vt:lpstr>
      <vt:lpstr>'08,24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2026-08-24T01:42:55Z</cp:lastPrinted>
  <dcterms:created xsi:type="dcterms:W3CDTF">2024-09-01T23:36:50Z</dcterms:created>
  <dcterms:modified xsi:type="dcterms:W3CDTF">2026-08-25T01:56:34Z</dcterms:modified>
</cp:coreProperties>
</file>