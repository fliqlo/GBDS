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5587293-A9D0-46DD-92EE-64B09244C179}" xr6:coauthVersionLast="45" xr6:coauthVersionMax="47" xr10:uidLastSave="{00000000-0000-0000-0000-000000000000}"/>
  <bookViews>
    <workbookView xWindow="-120" yWindow="-120" windowWidth="29040" windowHeight="15840" firstSheet="6" activeTab="14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G49" i="2268" s="1"/>
  <c r="D34" i="2268"/>
  <c r="D54" i="2268" s="1"/>
  <c r="H14" i="2268" s="1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D54" i="2267" s="1"/>
  <c r="H14" i="2267" s="1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D54" i="2264" s="1"/>
  <c r="H14" i="2264" s="1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G49" i="2264" s="1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G49" i="2263" s="1"/>
  <c r="D35" i="2263"/>
  <c r="R34" i="2263"/>
  <c r="H34" i="2263"/>
  <c r="D34" i="2263"/>
  <c r="D54" i="2263" s="1"/>
  <c r="H14" i="2263" s="1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G49" i="2262" s="1"/>
  <c r="D34" i="2262"/>
  <c r="D54" i="2262" s="1"/>
  <c r="H14" i="2262" s="1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G49" i="2260" s="1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D54" i="2260" s="1"/>
  <c r="H14" i="2260" s="1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G49" i="2259" s="1"/>
  <c r="D36" i="2259"/>
  <c r="R35" i="2259"/>
  <c r="H35" i="2259"/>
  <c r="D35" i="2259"/>
  <c r="R34" i="2259"/>
  <c r="L12" i="2259" s="1"/>
  <c r="D12" i="2259" s="1"/>
  <c r="H34" i="2259"/>
  <c r="D34" i="2259"/>
  <c r="D54" i="2259" s="1"/>
  <c r="H14" i="2259" s="1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55" l="1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H15" i="2268" s="1"/>
  <c r="H29" i="2268" s="1"/>
  <c r="F51" i="2268" s="1"/>
  <c r="G51" i="2268"/>
  <c r="D29" i="2267"/>
  <c r="H13" i="2267" s="1"/>
  <c r="H15" i="2267" s="1"/>
  <c r="H29" i="2267" s="1"/>
  <c r="F51" i="2267" s="1"/>
  <c r="G51" i="2267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H15" i="2264" s="1"/>
  <c r="H29" i="2264" s="1"/>
  <c r="F51" i="2264" s="1"/>
  <c r="D29" i="2263"/>
  <c r="H13" i="2263" s="1"/>
  <c r="H15" i="2263" s="1"/>
  <c r="H29" i="2263" s="1"/>
  <c r="F51" i="2263" s="1"/>
  <c r="D29" i="2262"/>
  <c r="H13" i="2262" s="1"/>
  <c r="H15" i="2262" s="1"/>
  <c r="H29" i="2262" s="1"/>
  <c r="F51" i="2262" s="1"/>
  <c r="G51" i="2262"/>
  <c r="D29" i="2261"/>
  <c r="H13" i="2261" s="1"/>
  <c r="H15" i="2261" s="1"/>
  <c r="H29" i="2261" s="1"/>
  <c r="G51" i="2261" s="1"/>
  <c r="D29" i="2260"/>
  <c r="H13" i="2260" s="1"/>
  <c r="H15" i="2260" s="1"/>
  <c r="H29" i="2260" s="1"/>
  <c r="F51" i="2260" s="1"/>
  <c r="D29" i="2259"/>
  <c r="H13" i="2259" s="1"/>
  <c r="H15" i="2259" s="1"/>
  <c r="H29" i="2259" s="1"/>
  <c r="F51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55" l="1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4"/>
  <c r="G51" i="2263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55" l="1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sharedStrings.xml><?xml version="1.0" encoding="utf-8"?>
<sst xmlns="http://schemas.openxmlformats.org/spreadsheetml/2006/main" count="4312" uniqueCount="151">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</sst>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89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1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1">
        <v>69862</v>
      </c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69862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3">
        <f>F34*G34</f>
        <v>53000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3">
        <f>F35*G35</f>
        <v>16500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69862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283</v>
      </c>
      <c r="D6" s="13">
        <f t="shared" ref="D6:D28" si="1">C6*L6</f>
        <v>215363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9</v>
      </c>
      <c r="D7" s="13">
        <f t="shared" si="1"/>
        <v>7029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32</v>
      </c>
      <c r="D9" s="13">
        <f t="shared" si="1"/>
        <v>23456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</v>
      </c>
      <c r="D13" s="48">
        <f t="shared" si="1"/>
        <v>614</v>
      </c>
      <c r="F13" s="148" t="s">
        <v>36</v>
      </c>
      <c r="G13" s="149"/>
      <c r="H13" s="150">
        <f>D29</f>
        <v>248162.33333333334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36360.75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211801.58333333334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71" t="s">
        <v>54</v>
      </c>
      <c r="G29" s="172"/>
      <c r="H29" s="175">
        <f>H15-H16-H17-H18-H19-H20-H22-H23-H24+H26+H27+H28</f>
        <v>211801.58333333334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3">
        <f t="shared" ref="H34:H39" si="2"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3">
        <f t="shared" si="2"/>
        <v>20500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3">
        <f t="shared" si="2"/>
        <v>1300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3">
        <f t="shared" si="2"/>
        <v>1050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3">
        <v>116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87">
        <v>62000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87">
        <v>16444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16</v>
      </c>
      <c r="D46" s="12">
        <f>C46*1.5</f>
        <v>24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2</v>
      </c>
      <c r="D49" s="12">
        <f>C49*42</f>
        <v>84</v>
      </c>
      <c r="F49" s="228" t="s">
        <v>85</v>
      </c>
      <c r="G49" s="175">
        <f>H34+H35+H36+H37+H38+H39+H40+H41+G42+H44+H45+H46+H47+H48</f>
        <v>212450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13</v>
      </c>
      <c r="D50" s="12">
        <f>C50*1.5</f>
        <v>19.5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648.41666666665697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487</v>
      </c>
      <c r="D6" s="13">
        <f t="shared" ref="D6:D28" si="1">C6*L6</f>
        <v>370607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168</v>
      </c>
      <c r="D9" s="13">
        <f t="shared" si="1"/>
        <v>123144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25</v>
      </c>
      <c r="D13" s="48">
        <f t="shared" si="1"/>
        <v>7675</v>
      </c>
      <c r="F13" s="148" t="s">
        <v>36</v>
      </c>
      <c r="G13" s="149"/>
      <c r="H13" s="150">
        <f>D29</f>
        <v>516071.33333333331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76411.5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439659.83333333331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71" t="s">
        <v>54</v>
      </c>
      <c r="G29" s="172"/>
      <c r="H29" s="175">
        <f>H15-H16-H17-H18-H19-H20-H22-H23-H24+H26+H27</f>
        <v>436263.83333333331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3">
        <f>F34*G34</f>
        <v>47000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3">
        <f>F35*G35</f>
        <v>155000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3">
        <f t="shared" si="2"/>
        <v>3200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3">
        <v>83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87">
        <v>231443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8</v>
      </c>
      <c r="D49" s="12">
        <f>C49*42</f>
        <v>336</v>
      </c>
      <c r="F49" s="228" t="s">
        <v>85</v>
      </c>
      <c r="G49" s="175">
        <f>H34+H35+H36+H37+H38+H39+H40+H41+G42+H44+H45+H46+H47+H48</f>
        <v>436926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4</v>
      </c>
      <c r="D50" s="12">
        <f>C50*1.5</f>
        <v>6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662.16666666668607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428</v>
      </c>
      <c r="D6" s="13">
        <f t="shared" ref="D6:D28" si="1">C6*L6</f>
        <v>325708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14</v>
      </c>
      <c r="D7" s="13">
        <f t="shared" si="1"/>
        <v>10934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81</v>
      </c>
      <c r="D9" s="13">
        <f t="shared" si="1"/>
        <v>59373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2</v>
      </c>
      <c r="D10" s="13">
        <f t="shared" si="1"/>
        <v>2064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2+1</f>
        <v>3</v>
      </c>
      <c r="D12" s="48">
        <f t="shared" si="1"/>
        <v>2976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406307.125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3</v>
      </c>
      <c r="D14" s="31">
        <f t="shared" si="1"/>
        <v>33.125</v>
      </c>
      <c r="F14" s="153" t="s">
        <v>38</v>
      </c>
      <c r="G14" s="154"/>
      <c r="H14" s="155">
        <f>D54</f>
        <v>66713.25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339593.875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71" t="s">
        <v>54</v>
      </c>
      <c r="G29" s="172"/>
      <c r="H29" s="175">
        <f>H15-H16-H17-H18-H19-H20-H22-H23-H24+H26+H27</f>
        <v>337941.875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3">
        <f>F35*G35</f>
        <v>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3">
        <f t="shared" si="2"/>
        <v>1400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3">
        <f t="shared" si="2"/>
        <v>20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87">
        <v>56443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87">
        <v>115712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87">
        <v>137865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11</v>
      </c>
      <c r="D49" s="12">
        <f>C49*42</f>
        <v>462</v>
      </c>
      <c r="F49" s="228" t="s">
        <v>85</v>
      </c>
      <c r="G49" s="175">
        <f>H34+H35+H36+H37+H38+H39+H40+H41+G42+H44+H45+H46+H47+H48</f>
        <v>337610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15</v>
      </c>
      <c r="D50" s="12">
        <f>C50*1.5</f>
        <v>22.5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-331.875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431</v>
      </c>
      <c r="D6" s="13">
        <f t="shared" ref="D6:D28" si="1">C6*L6</f>
        <v>327991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20</v>
      </c>
      <c r="D9" s="13">
        <f t="shared" si="1"/>
        <v>14660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11</v>
      </c>
      <c r="D13" s="48">
        <f t="shared" si="1"/>
        <v>3377</v>
      </c>
      <c r="F13" s="148" t="s">
        <v>36</v>
      </c>
      <c r="G13" s="149"/>
      <c r="H13" s="150">
        <f>D29</f>
        <v>347634.16666666669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4</v>
      </c>
      <c r="D14" s="31">
        <f t="shared" si="1"/>
        <v>44.166666666666664</v>
      </c>
      <c r="F14" s="153" t="s">
        <v>38</v>
      </c>
      <c r="G14" s="154"/>
      <c r="H14" s="155">
        <f>D54</f>
        <v>52755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294879.16666666669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71" t="s">
        <v>54</v>
      </c>
      <c r="G29" s="172"/>
      <c r="H29" s="175">
        <f>H15-H16-H17-H18-H19-H20-H22-H23-H24+H26+H27</f>
        <v>287025.16666666669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3">
        <f>F34*G34</f>
        <v>120000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3">
        <f>F35*G35</f>
        <v>166500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64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286814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5</v>
      </c>
      <c r="D50" s="12">
        <f>C50*1.5</f>
        <v>7.5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-211.16666666668607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548</v>
      </c>
      <c r="D6" s="13">
        <f t="shared" ref="D6:D28" si="1">C6*L6</f>
        <v>417028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4</v>
      </c>
      <c r="D7" s="13">
        <f t="shared" si="1"/>
        <v>3124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55</v>
      </c>
      <c r="D9" s="13">
        <f t="shared" si="1"/>
        <v>40315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4</v>
      </c>
      <c r="D12" s="48">
        <f t="shared" si="1"/>
        <v>3968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472049.20833333331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5</v>
      </c>
      <c r="D14" s="31">
        <f t="shared" si="1"/>
        <v>55.208333333333329</v>
      </c>
      <c r="F14" s="153" t="s">
        <v>38</v>
      </c>
      <c r="G14" s="154"/>
      <c r="H14" s="155">
        <f>D54</f>
        <v>71464.5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400584.70833333331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71" t="s">
        <v>54</v>
      </c>
      <c r="G29" s="172"/>
      <c r="H29" s="175">
        <f>H15-H16-H17-H18-H19-H20-H22-H23-H24+H26+H27</f>
        <v>397218.70833333331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3">
        <f>F34*G34</f>
        <v>31000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3">
        <f t="shared" si="2"/>
        <v>600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87">
        <v>135285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87">
        <v>141116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87">
        <v>89177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397341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2</v>
      </c>
      <c r="D50" s="12">
        <f>C50*1.5</f>
        <v>3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122.29166666668607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236</v>
      </c>
      <c r="D6" s="13">
        <f t="shared" ref="D6:D28" si="1">C6*L6</f>
        <v>179596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15</v>
      </c>
      <c r="D7" s="13">
        <f t="shared" si="1"/>
        <v>11715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113</v>
      </c>
      <c r="D9" s="13">
        <f t="shared" si="1"/>
        <v>82829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276596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37282.5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239313.5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2034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276596</v>
      </c>
      <c r="F29" s="171" t="s">
        <v>54</v>
      </c>
      <c r="G29" s="172"/>
      <c r="H29" s="175">
        <f>H15-H16-H17-H18-H19-H20-H22-H23-H24+H26+H27+H28</f>
        <v>237279.5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3">
        <f t="shared" ref="H34:H39" si="2">F34*G34</f>
        <v>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3">
        <f t="shared" si="2"/>
        <v>2000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si="2"/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3">
        <f t="shared" si="2"/>
        <v>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</v>
      </c>
      <c r="D42" s="12">
        <f>C42*2.25</f>
        <v>4.5</v>
      </c>
      <c r="F42" s="39" t="s">
        <v>78</v>
      </c>
      <c r="G42" s="203">
        <v>11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87">
        <v>223169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H34+H35+H36+H37+H38+H39+H40+H41+G42+H44+H45+H46+H47+H48</f>
        <v>237280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</v>
      </c>
      <c r="D50" s="12">
        <f>C50*1.5</f>
        <v>1.5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0.5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322</v>
      </c>
      <c r="D6" s="13">
        <f t="shared" ref="D6:D28" si="1">C6*L6</f>
        <v>245042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21</v>
      </c>
      <c r="D9" s="13">
        <f t="shared" si="1"/>
        <v>15393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271026.41666666669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10</v>
      </c>
      <c r="D14" s="31">
        <f t="shared" si="1"/>
        <v>110.41666666666666</v>
      </c>
      <c r="F14" s="153" t="s">
        <v>38</v>
      </c>
      <c r="G14" s="154"/>
      <c r="H14" s="155">
        <f>D54</f>
        <v>36957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234069.41666666669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1818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271026.41666666669</v>
      </c>
      <c r="F29" s="171" t="s">
        <v>54</v>
      </c>
      <c r="G29" s="172"/>
      <c r="H29" s="175">
        <f>H15-H16-H17-H18-H19-H20-H22-H23-H24+H26+H27</f>
        <v>232251.41666666669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3">
        <f>F34*G34</f>
        <v>24000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3">
        <f>F35*G35</f>
        <v>2000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3">
        <f t="shared" si="2"/>
        <v>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24</v>
      </c>
      <c r="D42" s="12">
        <f>C42*2.25</f>
        <v>54</v>
      </c>
      <c r="F42" s="39" t="s">
        <v>78</v>
      </c>
      <c r="G42" s="203">
        <v>41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87">
        <v>70296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87">
        <v>136287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</v>
      </c>
      <c r="D46" s="12">
        <f>C46*1.5</f>
        <v>1.5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H34+H35+H36+H37+H38+H39+H40+H41+G42+H44+H45+H46+H47+H48</f>
        <v>232724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472.58333333331393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</vt:lpstr>
      <vt:lpstr>08,06 R2</vt:lpstr>
      <vt:lpstr>08,06 R3</vt:lpstr>
      <vt:lpstr>(7)</vt:lpstr>
      <vt:lpstr>08,07 R1</vt:lpstr>
      <vt:lpstr>08,07 R2</vt:lpstr>
      <vt:lpstr>08,07 R3</vt:lpstr>
      <vt:lpstr>(8)</vt:lpstr>
      <vt:lpstr>08,08 R1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2026-08-06T00:09:39Z</cp:lastPrinted>
  <dcterms:created xsi:type="dcterms:W3CDTF">2024-09-01T23:36:50Z</dcterms:created>
  <dcterms:modified xsi:type="dcterms:W3CDTF">2026-08-06T00:10:13Z</dcterms:modified>
</cp:coreProperties>
</file>