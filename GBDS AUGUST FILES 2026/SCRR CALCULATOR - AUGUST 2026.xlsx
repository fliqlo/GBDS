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4461BE0-22B2-4643-82E0-7D8FDF7A3830}" xr6:coauthVersionLast="45" xr6:coauthVersionMax="47" xr10:uidLastSave="{00000000-0000-0000-0000-000000000000}"/>
  <bookViews>
    <workbookView xWindow="-120" yWindow="-120" windowWidth="29040" windowHeight="15840" firstSheet="57" activeTab="58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" sheetId="2310" r:id="rId71"/>
    <sheet name="08,21 R2 " sheetId="2311" r:id="rId72"/>
    <sheet name="08,21 R3" sheetId="2312" r:id="rId7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R1'!$A$1:$J$60</definedName>
    <definedName name="_xlnm.Print_Area" localSheetId="71">'08,21 R2 '!$A$1:$J$60</definedName>
    <definedName name="_xlnm.Print_Area" localSheetId="72">'08,21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1" i="2294" l="1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G49" i="2312" s="1"/>
  <c r="D34" i="2312"/>
  <c r="D54" i="2312" s="1"/>
  <c r="H14" i="2312" s="1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L21" i="2312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D54" i="2311" s="1"/>
  <c r="H14" i="2311" s="1"/>
  <c r="R35" i="2311"/>
  <c r="H35" i="2311"/>
  <c r="D35" i="2311"/>
  <c r="R34" i="2311"/>
  <c r="L12" i="2311" s="1"/>
  <c r="D12" i="2311" s="1"/>
  <c r="H34" i="2311"/>
  <c r="G49" i="2311" s="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G49" i="2308" s="1"/>
  <c r="D34" i="2308"/>
  <c r="D54" i="2308" s="1"/>
  <c r="H14" i="2308" s="1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D54" i="2307" s="1"/>
  <c r="H14" i="2307" s="1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G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D54" i="2306" s="1"/>
  <c r="H14" i="2306" s="1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L21" i="2306"/>
  <c r="D21" i="2306" s="1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D29" i="2306" s="1"/>
  <c r="H13" i="2306" s="1"/>
  <c r="H15" i="2306" s="1"/>
  <c r="H29" i="2306" s="1"/>
  <c r="F51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G49" i="2304" s="1"/>
  <c r="D34" i="2304"/>
  <c r="D54" i="2304" s="1"/>
  <c r="H14" i="2304" s="1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D54" i="2303" s="1"/>
  <c r="H14" i="2303" s="1"/>
  <c r="R35" i="2303"/>
  <c r="H35" i="2303"/>
  <c r="D35" i="2303"/>
  <c r="R34" i="2303"/>
  <c r="H34" i="2303"/>
  <c r="G49" i="2303" s="1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D54" i="2302"/>
  <c r="H14" i="2302" s="1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G49" i="2302" s="1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D34" i="2298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D54" i="2298" l="1"/>
  <c r="H14" i="2298" s="1"/>
  <c r="G49" i="2298"/>
  <c r="D54" i="2300"/>
  <c r="H14" i="2300" s="1"/>
  <c r="D54" i="2299"/>
  <c r="H14" i="2299" s="1"/>
  <c r="G49" i="2299"/>
  <c r="D54" i="2295"/>
  <c r="H14" i="2295" s="1"/>
  <c r="G49" i="2295"/>
  <c r="D54" i="2294"/>
  <c r="H14" i="2294" s="1"/>
  <c r="D29" i="2294"/>
  <c r="H13" i="2294" s="1"/>
  <c r="D29" i="2312"/>
  <c r="H13" i="2312" s="1"/>
  <c r="H15" i="2312" s="1"/>
  <c r="H29" i="2312" s="1"/>
  <c r="F51" i="2312" s="1"/>
  <c r="G51" i="2312"/>
  <c r="G51" i="2311"/>
  <c r="D29" i="2311"/>
  <c r="H13" i="2311" s="1"/>
  <c r="H15" i="2311" s="1"/>
  <c r="H29" i="2311" s="1"/>
  <c r="F51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H15" i="2308" s="1"/>
  <c r="H29" i="2308" s="1"/>
  <c r="F51" i="2308" s="1"/>
  <c r="G51" i="2308"/>
  <c r="D29" i="2307"/>
  <c r="H13" i="2307" s="1"/>
  <c r="H15" i="2307" s="1"/>
  <c r="H29" i="2307" s="1"/>
  <c r="F51" i="2307" s="1"/>
  <c r="G51" i="2306"/>
  <c r="D29" i="2305"/>
  <c r="H13" i="2305" s="1"/>
  <c r="H15" i="2305" s="1"/>
  <c r="H29" i="2305" s="1"/>
  <c r="G51" i="2305"/>
  <c r="D29" i="2304"/>
  <c r="H13" i="2304" s="1"/>
  <c r="H15" i="2304" s="1"/>
  <c r="H29" i="2304" s="1"/>
  <c r="F51" i="2304" s="1"/>
  <c r="G51" i="2304"/>
  <c r="D29" i="2303"/>
  <c r="H13" i="2303" s="1"/>
  <c r="H15" i="2303" s="1"/>
  <c r="H29" i="2303" s="1"/>
  <c r="F51" i="2303" s="1"/>
  <c r="D29" i="2302"/>
  <c r="H13" i="2302" s="1"/>
  <c r="H15" i="2302" s="1"/>
  <c r="H29" i="2302" s="1"/>
  <c r="F51" i="2302" s="1"/>
  <c r="D29" i="2301"/>
  <c r="H13" i="2301" s="1"/>
  <c r="H15" i="2301" s="1"/>
  <c r="H29" i="2301" s="1"/>
  <c r="G51" i="2301" s="1"/>
  <c r="D29" i="2300"/>
  <c r="H13" i="2300" s="1"/>
  <c r="D29" i="2299"/>
  <c r="H13" i="2299" s="1"/>
  <c r="D29" i="2298"/>
  <c r="H13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298" l="1"/>
  <c r="H29" i="2298" s="1"/>
  <c r="G51" i="2298" s="1"/>
  <c r="H15" i="2300"/>
  <c r="H29" i="2300" s="1"/>
  <c r="F51" i="2300" s="1"/>
  <c r="H15" i="2299"/>
  <c r="H29" i="2299" s="1"/>
  <c r="G51" i="2299" s="1"/>
  <c r="F51" i="2299"/>
  <c r="H15" i="2296"/>
  <c r="H29" i="2296" s="1"/>
  <c r="F51" i="2296" s="1"/>
  <c r="G51" i="2295"/>
  <c r="F51" i="2295"/>
  <c r="H15" i="2294"/>
  <c r="H29" i="2294" s="1"/>
  <c r="F51" i="2294" s="1"/>
  <c r="G51" i="2310"/>
  <c r="G51" i="2307"/>
  <c r="G51" i="2303"/>
  <c r="G51" i="2302"/>
  <c r="C19" i="2288"/>
  <c r="F51" i="2298" l="1"/>
  <c r="G51" i="2300"/>
  <c r="G51" i="2296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<sst xmlns="http://schemas.openxmlformats.org/spreadsheetml/2006/main" count="9761" uniqueCount="194">
  <si>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</si>
  <si>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</si>
  <si>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</si>
  <si>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</si>
  <si>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</si>
  <si>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</si>
  <si>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</si>
  <si>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</si>
  <si>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</si>
  <si>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</si>
  <si>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</si>
  <si>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</si>
  <si>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</si>
  <si>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</si>
  <si>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</si>
  <si>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</si>
  <si>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</si>
  <si>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</si>
  <si>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</si>
  <si>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</si>
  <si>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</si>
  <si>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</si>
  <si>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</si>
  <si>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</si>
  <si>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</si>
  <si>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</si>
  <si>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</si>
  <si>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</si>
  <si>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</si>
  <si>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</si>
  <si>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</si>
  <si>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</si>
  <si>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</si>
  <si>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</si>
  <si>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</si>
  <si>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</si>
  <si>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</si>
  <si>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</si>
  <si>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</si>
  <si>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</si>
  <si>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</si>
  <si>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</si>
  <si>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</si>
  <si>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</si>
  <si>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</si>
  <si>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</si>
  <si>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</si>
  <si>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</si>
  <si>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</si>
  <si>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</si>
  <si>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</si>
  <si>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</si>
  <si>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</si>
  <si>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</si>
  <si>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</si>
  <si>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</si>
  <si>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</si>
  <si>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</si>
  <si>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</si>
  <si>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</si>
  <si>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</si>
  <si>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</si>
  <si>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</si>
  <si>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</si>
  <si>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</si>
  <si>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</si>
  <si>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</si>
  <si>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</si>
  <si>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</si>
  <si>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</si>
  <si>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</si>
  <si>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</si>
  <si>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</si>
  <si>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</si>
  <si>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</si>
  <si>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</si>
  <si>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</si>
  <si>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</si>
  <si>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</si>
  <si>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</si>
  <si>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</si>
  <si>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</si>
  <si>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</si>
  <si>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</si>
  <si>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</si>
  <si>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</si>
  <si>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</si>
  <si>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</si>
  <si>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</si>
  <si>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</si>
  <si>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</si>
  <si>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</si>
  <si>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</si>
  <si>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</si>
  <si>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</si>
  <si>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</si>
  <si>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</si>
  <si>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</si>
  <si>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</si>
  <si>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</si>
  <si>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</si>
  <si>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</si>
  <si>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</si>
  <si>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</si>
  <si>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</si>
  <si>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</si>
  <si>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</si>
  <si>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</si>
  <si>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</si>
  <si>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</si>
  <si>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</si>
  <si>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</si>
  <si>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</si>
  <si>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</si>
  <si>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</si>
  <si>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</si>
  <si>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</si>
  <si>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</si>
  <si>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</si>
  <si>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</si>
  <si>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</si>
  <si>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</si>
  <si>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</si>
  <si>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</si>
  <si>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</si>
  <si>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</si>
  <si>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</si>
  <si>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</si>
  <si>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</si>
  <si>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</si>
  <si>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</si>
  <si>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</si>
  <si>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</si>
  <si>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</si>
  <si>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</si>
  <si>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</si>
  <si>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</si>
  <si>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</si>
  <si>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</si>
  <si>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</si>
  <si>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</si>
  <si>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</si>
  <si>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</si>
  <si>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</si>
  <si>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</si>
  <si>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</si>
  <si>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</si>
  <si>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</si>
  <si>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</si>
  <si>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</si>
  <si>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</si>
  <si>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</si>
  <si>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</si>
  <si>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</si>
  <si>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</si>
  <si>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</si>
  <si>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</si>
  <si>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</si>
  <si>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</si>
  <si>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</si>
  <si>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</si>
  <si>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</si>
  <si>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</si>
  <si>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</si>
  <si>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</si>
  <si>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</si>
  <si>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</si>
  <si>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</si>
  <si>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</si>
  <si>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</si>
  <si>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</si>
  <si>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</si>
  <si>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</si>
  <si>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</si>
  <si>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</si>
  <si>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</si>
  <si>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</si>
  <si>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</si>
  <si>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</si>
  <si>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</si>
  <si>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</si>
  <si>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</si>
  <si>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</si>
  <si>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</si>
  <si>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</si>
  <si>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</si>
  <si>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</si>
  <si>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</si>
  <si>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</si>
  <si>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</si>
  <si>
    <t>2130022004</t>
  </si>
  <si>
    <t>153330</t>
  </si>
  <si>
    <t xml:space="preserve">                        GINA GRACE LOPEZ</t>
  </si>
  <si>
    <t>GINA GRACE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</si>
</sst>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6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54</xdr:row>
      <xdr:rowOff>57151</xdr:rowOff>
    </xdr:from>
    <xdr:to>
      <xdr:col>3</xdr:col>
      <xdr:colOff>9525</xdr:colOff>
      <xdr:row>57</xdr:row>
      <xdr:rowOff>147359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EF0D2C-822E-4E26-9167-48344D11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700" y="10610851"/>
          <a:ext cx="790575" cy="661708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3A714E-7AE3-4AB6-8B43-756E79055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8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1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1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1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161" priority="4" operator="containsText" text="SHORT">
      <formula>NOT(ISERROR(SEARCH("SHORT",F51)))</formula>
    </cfRule>
    <cfRule type="containsText" dxfId="16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7">
        <v>69862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69862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67">
        <f>F34*G34</f>
        <v>53000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67">
        <f>F35*G35</f>
        <v>16500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1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69862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46235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113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8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1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7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283</v>
      </c>
      <c r="D6" s="13">
        <f t="shared" ref="D6:D28" si="1">C6*L6</f>
        <v>215363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9</v>
      </c>
      <c r="D7" s="13">
        <f t="shared" si="1"/>
        <v>7029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32</v>
      </c>
      <c r="D9" s="13">
        <f t="shared" si="1"/>
        <v>23456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248162.33333333334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8</v>
      </c>
      <c r="D14" s="31">
        <f t="shared" si="1"/>
        <v>88.333333333333329</v>
      </c>
      <c r="F14" s="209" t="s">
        <v>38</v>
      </c>
      <c r="G14" s="210"/>
      <c r="H14" s="211">
        <f>D54</f>
        <v>36360.75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211801.58333333334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248162.33333333334</v>
      </c>
      <c r="F29" s="123" t="s">
        <v>54</v>
      </c>
      <c r="G29" s="185"/>
      <c r="H29" s="145">
        <f>H15-H16-H17-H18-H19-H20-H22-H23-H24+H26+H27+H28</f>
        <v>211801.58333333334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67">
        <f t="shared" ref="H34:H39" si="2">F34*G34</f>
        <v>111000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167">
        <f t="shared" si="2"/>
        <v>20500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167">
        <f t="shared" si="2"/>
        <v>1300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167">
        <f t="shared" si="2"/>
        <v>1050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7">
        <f t="shared" si="2"/>
        <v>40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7">
        <v>116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62">
        <v>62000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62">
        <v>16444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16</v>
      </c>
      <c r="D46" s="12">
        <f>C46*1.5</f>
        <v>24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H34+H35+H36+H37+H38+H39+H40+H41+G42+H44+H45+H46+H47+H48</f>
        <v>212450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648.41666666665697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487</v>
      </c>
      <c r="D6" s="13">
        <f t="shared" ref="D6:D28" si="1">C6*L6</f>
        <v>370607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168</v>
      </c>
      <c r="D9" s="13">
        <f t="shared" si="1"/>
        <v>123144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25</v>
      </c>
      <c r="D13" s="48">
        <f t="shared" si="1"/>
        <v>7675</v>
      </c>
      <c r="F13" s="251" t="s">
        <v>36</v>
      </c>
      <c r="G13" s="215"/>
      <c r="H13" s="206">
        <f>D29</f>
        <v>516071.33333333331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8</v>
      </c>
      <c r="D14" s="31">
        <f t="shared" si="1"/>
        <v>88.333333333333329</v>
      </c>
      <c r="F14" s="209" t="s">
        <v>38</v>
      </c>
      <c r="G14" s="210"/>
      <c r="H14" s="211">
        <f>D54</f>
        <v>76411.5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439659.83333333331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3396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516071.33333333331</v>
      </c>
      <c r="F29" s="123" t="s">
        <v>54</v>
      </c>
      <c r="G29" s="185"/>
      <c r="H29" s="145">
        <f>H15-H16-H17-H18-H19-H20-H22-H23-H24+H26+H27</f>
        <v>436263.83333333331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167">
        <f>F34*G34</f>
        <v>47000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167">
        <f>F35*G35</f>
        <v>155000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167">
        <f t="shared" si="2"/>
        <v>3200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83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62">
        <v>231443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8</v>
      </c>
      <c r="D49" s="12">
        <f>C49*42</f>
        <v>336</v>
      </c>
      <c r="F49" s="143" t="s">
        <v>85</v>
      </c>
      <c r="G49" s="145">
        <f>H34+H35+H36+H37+H38+H39+H40+H41+G42+H44+H45+H46+H47+H48</f>
        <v>436926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4</v>
      </c>
      <c r="D50" s="12">
        <f>C50*1.5</f>
        <v>6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662.16666666668607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46237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428</v>
      </c>
      <c r="D6" s="13">
        <f t="shared" ref="D6:D28" si="1">C6*L6</f>
        <v>325708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14</v>
      </c>
      <c r="D7" s="13">
        <f t="shared" si="1"/>
        <v>10934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81</v>
      </c>
      <c r="D9" s="13">
        <f t="shared" si="1"/>
        <v>59373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406307.125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3</v>
      </c>
      <c r="D14" s="31">
        <f t="shared" si="1"/>
        <v>33.125</v>
      </c>
      <c r="F14" s="209" t="s">
        <v>38</v>
      </c>
      <c r="G14" s="210"/>
      <c r="H14" s="211">
        <f>D54</f>
        <v>66713.25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339593.875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406307.125</v>
      </c>
      <c r="F29" s="123" t="s">
        <v>54</v>
      </c>
      <c r="G29" s="185"/>
      <c r="H29" s="145">
        <f>H15-H16-H17-H18-H19-H20-H22-H23-H24+H26+H27</f>
        <v>337941.875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67">
        <f>F34*G34</f>
        <v>25000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167">
        <f>F35*G35</f>
        <v>1000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167">
        <f t="shared" si="2"/>
        <v>1400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62">
        <v>56443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62">
        <v>115712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62">
        <v>137865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11</v>
      </c>
      <c r="D49" s="12">
        <f>C49*42</f>
        <v>462</v>
      </c>
      <c r="F49" s="143" t="s">
        <v>85</v>
      </c>
      <c r="G49" s="145">
        <f>H34+H35+H36+H37+H38+H39+H40+H41+G42+H44+H45+H46+H47+H48</f>
        <v>337610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15</v>
      </c>
      <c r="D50" s="12">
        <f>C50*1.5</f>
        <v>22.5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-331.875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431</v>
      </c>
      <c r="D6" s="13">
        <f t="shared" ref="D6:D28" si="1">C6*L6</f>
        <v>327991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347634.16666666669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44.166666666666664</v>
      </c>
      <c r="F14" s="209" t="s">
        <v>38</v>
      </c>
      <c r="G14" s="210"/>
      <c r="H14" s="211">
        <f>D54</f>
        <v>52755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294879.16666666669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2004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2">
        <v>5850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347634.16666666669</v>
      </c>
      <c r="F29" s="123" t="s">
        <v>54</v>
      </c>
      <c r="G29" s="185"/>
      <c r="H29" s="145">
        <f>H15-H16-H17-H18-H19-H20-H22-H23-H24+H26+H27</f>
        <v>287025.16666666669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167">
        <f>F34*G34</f>
        <v>120000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167">
        <f>F35*G35</f>
        <v>166500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167">
        <f t="shared" si="2"/>
        <v>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64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286814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5</v>
      </c>
      <c r="D50" s="12">
        <f>C50*1.5</f>
        <v>7.5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-211.16666666668607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46238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548</v>
      </c>
      <c r="D6" s="13">
        <f t="shared" ref="D6:D28" si="1">C6*L6</f>
        <v>417028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</v>
      </c>
      <c r="D7" s="13">
        <f t="shared" si="1"/>
        <v>3124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55</v>
      </c>
      <c r="D9" s="13">
        <f t="shared" si="1"/>
        <v>40315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472049.20833333331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71464.5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400584.70833333331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3366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472049.20833333331</v>
      </c>
      <c r="F29" s="123" t="s">
        <v>54</v>
      </c>
      <c r="G29" s="185"/>
      <c r="H29" s="145">
        <f>H15-H16-H17-H18-H19-H20-H22-H23-H24+H26+H27</f>
        <v>397218.70833333331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167">
        <f>F34*G34</f>
        <v>31000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0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1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63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62">
        <v>135285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62">
        <v>141116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62">
        <v>89177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397341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</v>
      </c>
      <c r="D50" s="12">
        <f>C50*1.5</f>
        <v>3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122.29166666668607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236</v>
      </c>
      <c r="D6" s="13">
        <f t="shared" ref="D6:D28" si="1">C6*L6</f>
        <v>179596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15</v>
      </c>
      <c r="D7" s="13">
        <f t="shared" si="1"/>
        <v>11715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113</v>
      </c>
      <c r="D9" s="13">
        <f t="shared" si="1"/>
        <v>82829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276596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37282.5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239313.5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2034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276596</v>
      </c>
      <c r="F29" s="123" t="s">
        <v>54</v>
      </c>
      <c r="G29" s="185"/>
      <c r="H29" s="145">
        <f>H15-H16-H17-H18-H19-H20-H22-H23-H24+H26+H27+H28</f>
        <v>237279.5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167">
        <f t="shared" ref="H34:H39" si="2">F34*G34</f>
        <v>11000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167">
        <f t="shared" si="2"/>
        <v>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si="2"/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167">
        <f t="shared" si="2"/>
        <v>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167">
        <v>11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62">
        <v>223169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4</v>
      </c>
      <c r="D49" s="12">
        <f>C49*42</f>
        <v>168</v>
      </c>
      <c r="F49" s="143" t="s">
        <v>85</v>
      </c>
      <c r="G49" s="145">
        <f>H34+H35+H36+H37+H38+H39+H40+H41+G42+H44+H45+H46+H47+H48</f>
        <v>237280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0.5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322</v>
      </c>
      <c r="D6" s="13">
        <f t="shared" ref="D6:D28" si="1">C6*L6</f>
        <v>245042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21</v>
      </c>
      <c r="D9" s="13">
        <f t="shared" si="1"/>
        <v>15393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271026.41666666669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10</v>
      </c>
      <c r="D14" s="31">
        <f t="shared" si="1"/>
        <v>110.41666666666666</v>
      </c>
      <c r="F14" s="209" t="s">
        <v>38</v>
      </c>
      <c r="G14" s="210"/>
      <c r="H14" s="211">
        <f>D54</f>
        <v>36957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234069.41666666669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1818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271026.41666666669</v>
      </c>
      <c r="F29" s="123" t="s">
        <v>54</v>
      </c>
      <c r="G29" s="185"/>
      <c r="H29" s="145">
        <f>H15-H16-H17-H18-H19-H20-H22-H23-H24+H26+H27</f>
        <v>232251.41666666669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67">
        <f>F34*G34</f>
        <v>24000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167">
        <f>F35*G35</f>
        <v>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24</v>
      </c>
      <c r="D42" s="12">
        <f>C42*2.25</f>
        <v>54</v>
      </c>
      <c r="F42" s="39" t="s">
        <v>78</v>
      </c>
      <c r="G42" s="167">
        <v>41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62">
        <v>70296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62">
        <v>136287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</v>
      </c>
      <c r="D46" s="12">
        <f>C46*1.5</f>
        <v>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232724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472.58333333331393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46239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385</v>
      </c>
      <c r="D6" s="13">
        <f t="shared" ref="D6:D28" si="1">C6*L6</f>
        <v>292985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67</v>
      </c>
      <c r="D8" s="13">
        <f t="shared" si="1"/>
        <v>73231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28</v>
      </c>
      <c r="D9" s="13">
        <f t="shared" si="1"/>
        <v>20524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402717.5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209" t="s">
        <v>38</v>
      </c>
      <c r="G14" s="210"/>
      <c r="H14" s="211">
        <f>D54</f>
        <v>60681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342036.5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2178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2">
        <v>67927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62">
        <v>4550</v>
      </c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402717.5</v>
      </c>
      <c r="F29" s="123" t="s">
        <v>54</v>
      </c>
      <c r="G29" s="185"/>
      <c r="H29" s="145">
        <f>H15-H16-H17-H18-H19-H20-H22-H23-H24+H26+H27</f>
        <v>267331.5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167">
        <f>F34*G34</f>
        <v>66000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167">
        <f>F35*G35</f>
        <v>28500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167">
        <f t="shared" si="2"/>
        <v>6500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167">
        <f t="shared" si="2"/>
        <v>1800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62">
        <v>74658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62">
        <v>90788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268266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934.5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367</v>
      </c>
      <c r="D6" s="13">
        <f t="shared" ref="D6:D28" si="1">C6*L6</f>
        <v>279287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20</v>
      </c>
      <c r="D8" s="13">
        <f t="shared" si="1"/>
        <v>21860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318659.20833333331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45737.25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272921.95833333331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2">
        <v>3250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318659.20833333331</v>
      </c>
      <c r="F29" s="123" t="s">
        <v>54</v>
      </c>
      <c r="G29" s="185"/>
      <c r="H29" s="145">
        <f>H15-H16-H17-H18-H19-H20-H22-H23-H24+H26+H27</f>
        <v>267775.95833333331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167">
        <f>F34*G34</f>
        <v>63000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167">
        <f>F35*G35</f>
        <v>29000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167">
        <f t="shared" si="2"/>
        <v>1300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7">
        <v>75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62">
        <v>140936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62">
        <v>32838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2</v>
      </c>
      <c r="D46" s="12">
        <f>C46*1.5</f>
        <v>3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267499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8</v>
      </c>
      <c r="D50" s="12">
        <f>C50*1.5</f>
        <v>12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-276.95833333331393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482</v>
      </c>
      <c r="D6" s="13">
        <f t="shared" ref="D6:D28" si="1">C6*L6</f>
        <v>366802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15</v>
      </c>
      <c r="D7" s="13">
        <f t="shared" si="1"/>
        <v>11715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37</v>
      </c>
      <c r="D9" s="13">
        <f t="shared" si="1"/>
        <v>27121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251" t="s">
        <v>36</v>
      </c>
      <c r="G13" s="215"/>
      <c r="H13" s="206">
        <f>D29</f>
        <v>408810.70833333331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17</v>
      </c>
      <c r="D14" s="31">
        <f t="shared" si="1"/>
        <v>187.70833333333331</v>
      </c>
      <c r="F14" s="209" t="s">
        <v>38</v>
      </c>
      <c r="G14" s="210"/>
      <c r="H14" s="211">
        <f>D54</f>
        <v>60101.25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348709.45833333331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408810.70833333331</v>
      </c>
      <c r="F29" s="123" t="s">
        <v>54</v>
      </c>
      <c r="G29" s="185"/>
      <c r="H29" s="145">
        <f>H15-H16-H17-H18-H19-H20-H22-H23-H24+H26+H27+H28</f>
        <v>348709.45833333331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167">
        <f t="shared" ref="H34:H39" si="2">F34*G34</f>
        <v>263000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167">
        <f t="shared" si="2"/>
        <v>47500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167">
        <f t="shared" si="2"/>
        <v>3300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67">
        <v>155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62">
        <v>34470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348425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15</v>
      </c>
      <c r="D50" s="12">
        <f>C50*1.5</f>
        <v>22.5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-284.45833333331393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373</v>
      </c>
      <c r="D6" s="13">
        <f t="shared" ref="D6:D28" si="1">C6*L6</f>
        <v>283853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24</v>
      </c>
      <c r="D9" s="13">
        <f t="shared" si="1"/>
        <v>17592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314974.20833333331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51996.75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262977.45833333331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1224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314974.20833333331</v>
      </c>
      <c r="F29" s="123" t="s">
        <v>54</v>
      </c>
      <c r="G29" s="185"/>
      <c r="H29" s="145">
        <f>H15-H16-H17-H18-H19-H20-H22-H23-H24+H26+H27</f>
        <v>261753.45833333331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167">
        <f>F34*G34</f>
        <v>176000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167">
        <f>F35*G35</f>
        <v>9500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167">
        <f t="shared" si="2"/>
        <v>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7">
        <v>68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62">
        <v>76215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262183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8</v>
      </c>
      <c r="D50" s="12">
        <f>C50*1.5</f>
        <v>12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429.54166666668607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387</v>
      </c>
      <c r="D6" s="13">
        <f t="shared" ref="D6:D28" si="1">C6*L6</f>
        <v>294507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</v>
      </c>
      <c r="D7" s="13">
        <f t="shared" si="1"/>
        <v>3124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251" t="s">
        <v>36</v>
      </c>
      <c r="G13" s="215"/>
      <c r="H13" s="206">
        <f>D29</f>
        <v>383530.16666666669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44.166666666666664</v>
      </c>
      <c r="F14" s="209" t="s">
        <v>38</v>
      </c>
      <c r="G14" s="210"/>
      <c r="H14" s="211">
        <f>D54</f>
        <v>57755.25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325774.91666666669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2406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383530.16666666669</v>
      </c>
      <c r="F29" s="123" t="s">
        <v>54</v>
      </c>
      <c r="G29" s="185"/>
      <c r="H29" s="145">
        <f>H15-H16-H17-H18-H19-H20-H22-H23-H24+H26+H27</f>
        <v>323368.91666666669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67">
        <f>F34*G34</f>
        <v>59000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167">
        <f>F35*G35</f>
        <v>4000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167">
        <f t="shared" si="2"/>
        <v>500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7">
        <v>64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62">
        <v>87905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62">
        <v>171965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323534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4</v>
      </c>
      <c r="D50" s="12">
        <f>C50*1.5</f>
        <v>6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165.08333333331393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273</v>
      </c>
      <c r="D6" s="13">
        <f t="shared" ref="D6:D28" si="1">C6*L6</f>
        <v>207753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9</v>
      </c>
      <c r="D7" s="13">
        <f t="shared" si="1"/>
        <v>7029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12</v>
      </c>
      <c r="D9" s="13">
        <f t="shared" si="1"/>
        <v>8796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251" t="s">
        <v>36</v>
      </c>
      <c r="G13" s="215"/>
      <c r="H13" s="206">
        <f>D29</f>
        <v>226955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33465.75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193489.25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1350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7">
        <v>67927</v>
      </c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226955</v>
      </c>
      <c r="F29" s="123" t="s">
        <v>54</v>
      </c>
      <c r="G29" s="185"/>
      <c r="H29" s="145">
        <f>H15-H16-H17-H18-H19-H20-H22-H23-H24+H26+H27</f>
        <v>260066.25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167">
        <f>F34*G34</f>
        <v>100000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167">
        <f>F35*G35</f>
        <v>159500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167">
        <f t="shared" si="2"/>
        <v>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167">
        <v>52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13</v>
      </c>
      <c r="D49" s="12">
        <f>C49*42</f>
        <v>546</v>
      </c>
      <c r="F49" s="143" t="s">
        <v>85</v>
      </c>
      <c r="G49" s="145">
        <f>H34+H35+H36+H37+H38+H39+H40+H41+G42+H44+H45+H46+H47+H48</f>
        <v>259952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4</v>
      </c>
      <c r="D50" s="12">
        <f>C50*1.5</f>
        <v>6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-114.25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280</v>
      </c>
      <c r="D6" s="13">
        <f t="shared" ref="D6:D28" si="1">C6*L6</f>
        <v>213080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303138.04166666669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</v>
      </c>
      <c r="D14" s="31">
        <f t="shared" si="1"/>
        <v>11.041666666666666</v>
      </c>
      <c r="F14" s="209" t="s">
        <v>38</v>
      </c>
      <c r="G14" s="210"/>
      <c r="H14" s="211">
        <f>D54</f>
        <v>26834.25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276303.79166666669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303138.04166666669</v>
      </c>
      <c r="F29" s="123" t="s">
        <v>54</v>
      </c>
      <c r="G29" s="185"/>
      <c r="H29" s="145">
        <f>H15-H16-H17-H18-H19-H20-H22-H23-H24+H26+H27</f>
        <v>274359.79166666669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167">
        <f>F34*G34</f>
        <v>37000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167">
        <f>F35*G35</f>
        <v>12500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</v>
      </c>
      <c r="D42" s="12">
        <f>C42*2.25</f>
        <v>2.25</v>
      </c>
      <c r="F42" s="39" t="s">
        <v>78</v>
      </c>
      <c r="G42" s="167">
        <v>15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62">
        <v>224164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</v>
      </c>
      <c r="D46" s="12">
        <f>C46*1.5</f>
        <v>1.5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4</v>
      </c>
      <c r="D49" s="12">
        <f>C49*42</f>
        <v>168</v>
      </c>
      <c r="F49" s="143" t="s">
        <v>85</v>
      </c>
      <c r="G49" s="145">
        <f>H34+H35+H36+H37+H38+H39+H40+H41+G42+H44+H45+H46+H47+H48</f>
        <v>274329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-30.791666666686069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3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323</v>
      </c>
      <c r="D6" s="13">
        <f t="shared" ref="D6:D28" si="1">C6*L6</f>
        <v>245803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</v>
      </c>
      <c r="D9" s="13">
        <f t="shared" si="1"/>
        <v>5864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251" t="s">
        <v>36</v>
      </c>
      <c r="G13" s="215"/>
      <c r="H13" s="206">
        <f>D29</f>
        <v>256140.29166666666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7</v>
      </c>
      <c r="D14" s="31">
        <f t="shared" si="1"/>
        <v>77.291666666666657</v>
      </c>
      <c r="F14" s="209" t="s">
        <v>38</v>
      </c>
      <c r="G14" s="210"/>
      <c r="H14" s="211">
        <f>D54</f>
        <v>49918.5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206221.79166666666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5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256140.29166666666</v>
      </c>
      <c r="F29" s="123" t="s">
        <v>54</v>
      </c>
      <c r="G29" s="185"/>
      <c r="H29" s="145">
        <f>H15-H16-H17-H18-H19-H20-H22-H23-H24+H26+H27+H28</f>
        <v>204925.79166666666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167">
        <f t="shared" ref="H34:H39" si="2">F34*G34</f>
        <v>56000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167">
        <f t="shared" si="2"/>
        <v>10500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167">
        <f t="shared" si="2"/>
        <v>1700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48</v>
      </c>
      <c r="D42" s="12">
        <f>C42*2.25</f>
        <v>108</v>
      </c>
      <c r="F42" s="39" t="s">
        <v>78</v>
      </c>
      <c r="G42" s="167">
        <v>47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62">
        <v>131436.5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62">
        <v>5000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13</v>
      </c>
      <c r="D46" s="12">
        <f>C46*1.5</f>
        <v>19.5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204783.5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11</v>
      </c>
      <c r="D50" s="12">
        <f>C50*1.5</f>
        <v>16.5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-142.29166666665697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361</v>
      </c>
      <c r="D6" s="13">
        <f t="shared" ref="D6:D28" si="1">C6*L6</f>
        <v>274721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125</v>
      </c>
      <c r="D9" s="13">
        <f t="shared" si="1"/>
        <v>91625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6+1</f>
        <v>7</v>
      </c>
      <c r="D12" s="48">
        <f t="shared" si="1"/>
        <v>6944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251" t="s">
        <v>36</v>
      </c>
      <c r="G13" s="215"/>
      <c r="H13" s="206">
        <f>D29</f>
        <v>380601.70833333331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17</v>
      </c>
      <c r="D14" s="31">
        <f t="shared" si="1"/>
        <v>187.70833333333331</v>
      </c>
      <c r="F14" s="209" t="s">
        <v>38</v>
      </c>
      <c r="G14" s="210"/>
      <c r="H14" s="211">
        <f>D54</f>
        <v>55885.5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324716.20833333331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1974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380601.70833333331</v>
      </c>
      <c r="F29" s="123" t="s">
        <v>54</v>
      </c>
      <c r="G29" s="185"/>
      <c r="H29" s="145">
        <f>H15-H16-H17-H18-H19-H20-H22-H23-H24+H26+H27</f>
        <v>322742.20833333331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167">
        <f>F34*G34</f>
        <v>86000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167">
        <f>F35*G35</f>
        <v>226500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167">
        <f t="shared" si="2"/>
        <v>9200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167">
        <v>50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10</v>
      </c>
      <c r="D49" s="12">
        <f>C49*42</f>
        <v>420</v>
      </c>
      <c r="F49" s="143" t="s">
        <v>85</v>
      </c>
      <c r="G49" s="145">
        <f>H34+H35+H36+H37+H38+H39+H40+H41+G42+H44+H45+H46+H47+H48</f>
        <v>321800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-942.20833333331393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484</v>
      </c>
      <c r="D6" s="13">
        <f t="shared" ref="D6:D28" si="1">C6*L6</f>
        <v>368324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26</v>
      </c>
      <c r="D7" s="13">
        <f t="shared" si="1"/>
        <v>20306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92</v>
      </c>
      <c r="D9" s="13">
        <f t="shared" si="1"/>
        <v>67436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459783.125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3</v>
      </c>
      <c r="D14" s="31">
        <f t="shared" si="1"/>
        <v>33.125</v>
      </c>
      <c r="F14" s="209" t="s">
        <v>38</v>
      </c>
      <c r="G14" s="210"/>
      <c r="H14" s="211">
        <f>D54</f>
        <v>76749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383034.125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3042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3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459783.125</v>
      </c>
      <c r="F29" s="123" t="s">
        <v>54</v>
      </c>
      <c r="G29" s="185"/>
      <c r="H29" s="145">
        <f>H15-H16-H17-H18-H19-H20-H22-H23-H24+H26+H27</f>
        <v>379942.125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67">
        <f>F34*G34</f>
        <v>127000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167">
        <f>F35*G35</f>
        <v>72000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167">
        <f t="shared" si="2"/>
        <v>1100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07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58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5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62">
        <v>98032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62">
        <v>81476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379916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-26.125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402</v>
      </c>
      <c r="D6" s="13">
        <f t="shared" ref="D6:D28" si="1">C6*L6</f>
        <v>305922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30</v>
      </c>
      <c r="D9" s="13">
        <f t="shared" si="1"/>
        <v>21990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4</v>
      </c>
      <c r="D10" s="13">
        <f t="shared" si="1"/>
        <v>4128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346704.58333333331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14</v>
      </c>
      <c r="D14" s="31">
        <f t="shared" si="1"/>
        <v>154.58333333333331</v>
      </c>
      <c r="F14" s="209" t="s">
        <v>38</v>
      </c>
      <c r="G14" s="210"/>
      <c r="H14" s="211">
        <f>D54</f>
        <v>49626.75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297077.83333333331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2">
        <v>97987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6</v>
      </c>
      <c r="D28" s="48">
        <f t="shared" si="1"/>
        <v>4866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346704.58333333331</v>
      </c>
      <c r="F29" s="123" t="s">
        <v>54</v>
      </c>
      <c r="G29" s="185"/>
      <c r="H29" s="145">
        <f>H15-H16-H17-H18-H19-H20-H22-H23-H24+H26+H27+H28</f>
        <v>199090.83333333331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167">
        <f t="shared" ref="H34:H39" si="2">F34*G34</f>
        <v>38000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167">
        <f t="shared" si="2"/>
        <v>6000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25</v>
      </c>
      <c r="D42" s="12">
        <f>C42*2.25</f>
        <v>56.25</v>
      </c>
      <c r="F42" s="39" t="s">
        <v>78</v>
      </c>
      <c r="G42" s="167">
        <v>22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162">
        <v>70887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135</v>
      </c>
      <c r="G45" s="87"/>
      <c r="H45" s="162">
        <v>11131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162">
        <v>71799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197839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6</v>
      </c>
      <c r="D50" s="12">
        <f>C50*1.5</f>
        <v>9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-1251.8333333333139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344</v>
      </c>
      <c r="D6" s="13">
        <f t="shared" ref="D6:D28" si="1">C6*L6</f>
        <v>261784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23</v>
      </c>
      <c r="D9" s="13">
        <f t="shared" si="1"/>
        <v>16859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284254.75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18</v>
      </c>
      <c r="D14" s="31">
        <f t="shared" si="1"/>
        <v>198.75</v>
      </c>
      <c r="F14" s="209" t="s">
        <v>38</v>
      </c>
      <c r="G14" s="210"/>
      <c r="H14" s="211">
        <f>D54</f>
        <v>48858.75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235396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284254.75</v>
      </c>
      <c r="F29" s="123" t="s">
        <v>54</v>
      </c>
      <c r="G29" s="185"/>
      <c r="H29" s="145">
        <f>H15-H16-H17-H18-H19-H20-H22-H23-H24+H26+H27</f>
        <v>233590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167">
        <f>F34*G34</f>
        <v>40000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167">
        <f>F35*G35</f>
        <v>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162">
        <v>124685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162">
        <v>70347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237352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19</v>
      </c>
      <c r="D50" s="12">
        <f>C50*1.5</f>
        <v>28.5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3762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418</v>
      </c>
      <c r="D6" s="13">
        <f t="shared" ref="D6:D28" si="1">C6*L6</f>
        <v>318098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30</v>
      </c>
      <c r="D9" s="13">
        <f t="shared" si="1"/>
        <v>21990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15</v>
      </c>
      <c r="D13" s="48">
        <f t="shared" si="1"/>
        <v>4605</v>
      </c>
      <c r="F13" s="251" t="s">
        <v>36</v>
      </c>
      <c r="G13" s="215"/>
      <c r="H13" s="206">
        <f>D29</f>
        <v>345718.125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3</v>
      </c>
      <c r="D14" s="31">
        <f t="shared" si="1"/>
        <v>33.125</v>
      </c>
      <c r="F14" s="209" t="s">
        <v>38</v>
      </c>
      <c r="G14" s="210"/>
      <c r="H14" s="211">
        <f>D54</f>
        <v>51191.25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294526.875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345718.125</v>
      </c>
      <c r="F29" s="123" t="s">
        <v>54</v>
      </c>
      <c r="G29" s="185"/>
      <c r="H29" s="145">
        <f>H15-H16-H17-H18-H19-H20-H22-H23-H24+H26+H27</f>
        <v>293230.875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167">
        <f>F34*G34</f>
        <v>114000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67">
        <f>F35*G35</f>
        <v>35500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167">
        <f t="shared" si="2"/>
        <v>1100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7">
        <v>663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162">
        <v>141165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H34+H35+H36+H37+H38+H39+H40+H41+G42+H44+H45+H46+H47+H48</f>
        <v>292478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21</v>
      </c>
      <c r="D50" s="12">
        <f>C50*1.5</f>
        <v>31.5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-752.875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632</v>
      </c>
      <c r="D6" s="13">
        <f t="shared" ref="D6:D28" si="1">C6*L6</f>
        <v>480952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32</v>
      </c>
      <c r="D9" s="13">
        <f t="shared" si="1"/>
        <v>23456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519146.41666666669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10</v>
      </c>
      <c r="D14" s="31">
        <f t="shared" si="1"/>
        <v>110.41666666666666</v>
      </c>
      <c r="F14" s="209" t="s">
        <v>38</v>
      </c>
      <c r="G14" s="210"/>
      <c r="H14" s="211">
        <f>D54</f>
        <v>77385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441761.41666666669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3402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162">
        <v>82890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519146.41666666669</v>
      </c>
      <c r="F29" s="123" t="s">
        <v>54</v>
      </c>
      <c r="G29" s="185"/>
      <c r="H29" s="145">
        <f>H15-H16-H17-H18-H19-H20-H22-H23-H24+H26+H27+H28</f>
        <v>521249.41666666669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167">
        <f t="shared" ref="H34:H39" si="2">F34*G34</f>
        <v>77000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167">
        <f t="shared" si="2"/>
        <v>350000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109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62">
        <v>11000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162">
        <v>82890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H34+H35+H36+H37+H38+H39+H40+H41+G42+H44+H45+H46+H47+H48</f>
        <v>521119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-130.41666666668607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362</v>
      </c>
      <c r="D6" s="13">
        <f t="shared" ref="D6:D28" si="1">C6*L6</f>
        <v>275482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286025.54166666669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13</v>
      </c>
      <c r="D14" s="31">
        <f t="shared" si="1"/>
        <v>143.54166666666666</v>
      </c>
      <c r="F14" s="209" t="s">
        <v>38</v>
      </c>
      <c r="G14" s="210"/>
      <c r="H14" s="211">
        <f>D54</f>
        <v>37234.5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248791.04166666669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286025.54166666669</v>
      </c>
      <c r="F29" s="123" t="s">
        <v>54</v>
      </c>
      <c r="G29" s="185"/>
      <c r="H29" s="145">
        <f>H15-H16-H17-H18-H19-H20-H22-H23-H24+H26+H27</f>
        <v>246847.04166666669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67">
        <f>F34*G34</f>
        <v>127000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167">
        <f>F35*G35</f>
        <v>117500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182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8</v>
      </c>
      <c r="D49" s="12">
        <f>C49*42</f>
        <v>336</v>
      </c>
      <c r="F49" s="143" t="s">
        <v>85</v>
      </c>
      <c r="G49" s="145">
        <f>H34+H35+H36+H37+H38+H39+H40+H41+G42+H44+H45+H46+H47+H48</f>
        <v>245052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-1795.0416666666861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292</v>
      </c>
      <c r="D6" s="13">
        <f t="shared" ref="D6:D28" si="1">C6*L6</f>
        <v>222212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51</v>
      </c>
      <c r="D9" s="13">
        <f t="shared" si="1"/>
        <v>37383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3+1+1</f>
        <v>5</v>
      </c>
      <c r="D12" s="48">
        <f t="shared" si="1"/>
        <v>4960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271982.5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209" t="s">
        <v>38</v>
      </c>
      <c r="G14" s="210"/>
      <c r="H14" s="211">
        <f>D54</f>
        <v>39660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232322.5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720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271982.5</v>
      </c>
      <c r="F29" s="123" t="s">
        <v>54</v>
      </c>
      <c r="G29" s="185"/>
      <c r="H29" s="145">
        <f>H15-H16-H17-H18-H19-H20-H22-H23-H24+H26+H27</f>
        <v>231602.5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167">
        <f>F34*G34</f>
        <v>177000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167">
        <f>F35*G35</f>
        <v>53500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291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10</v>
      </c>
      <c r="D44" s="12">
        <f>C44*120</f>
        <v>1200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3</v>
      </c>
      <c r="D49" s="12">
        <f>C49*42</f>
        <v>126</v>
      </c>
      <c r="F49" s="143" t="s">
        <v>85</v>
      </c>
      <c r="G49" s="145">
        <f>H34+H35+H36+H37+H38+H39+H40+H41+G42+H44+H45+H46+H47+H48</f>
        <v>230961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23</v>
      </c>
      <c r="D50" s="12">
        <f>C50*1.5</f>
        <v>34.5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-641.5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347</v>
      </c>
      <c r="D6" s="13">
        <f t="shared" ref="D6:D28" si="1">C6*L6</f>
        <v>264067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55</v>
      </c>
      <c r="D8" s="13">
        <f t="shared" si="1"/>
        <v>60115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1+2</f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251" t="s">
        <v>36</v>
      </c>
      <c r="G13" s="215"/>
      <c r="H13" s="206">
        <f>D29</f>
        <v>354423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53400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301023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92">
        <v>62655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354423</v>
      </c>
      <c r="F29" s="123" t="s">
        <v>54</v>
      </c>
      <c r="G29" s="185"/>
      <c r="H29" s="145">
        <f>H15-H16-H17-H18-H19-H20-H22-H23-H24+H26+H27+H28</f>
        <v>238368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167">
        <f t="shared" ref="H34:H39" si="2">F34*G34</f>
        <v>111000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167">
        <f t="shared" si="2"/>
        <v>19000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si="2"/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167">
        <f t="shared" si="2"/>
        <v>2200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167">
        <f t="shared" si="2"/>
        <v>200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167">
        <v>72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162">
        <v>105758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42</v>
      </c>
      <c r="D45" s="12">
        <f>C45*84</f>
        <v>3528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H34+H35+H36+H37+H38+H39+H40+H41+G42+H44+H45+H46+H47+H48</f>
        <v>238430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62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345</v>
      </c>
      <c r="D6" s="13">
        <f t="shared" ref="D6:D28" si="1">C6*L6</f>
        <v>262545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26</v>
      </c>
      <c r="D9" s="13">
        <f t="shared" si="1"/>
        <v>19058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293011.41666666669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10</v>
      </c>
      <c r="D14" s="31">
        <f t="shared" si="1"/>
        <v>110.41666666666666</v>
      </c>
      <c r="F14" s="209" t="s">
        <v>38</v>
      </c>
      <c r="G14" s="210"/>
      <c r="H14" s="211">
        <f>D54</f>
        <v>43533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249478.41666666669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1470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293011.41666666669</v>
      </c>
      <c r="F29" s="123" t="s">
        <v>54</v>
      </c>
      <c r="G29" s="185"/>
      <c r="H29" s="145">
        <f>H15-H16-H17-H18-H19-H20-H22-H23-H24+H26+H27</f>
        <v>248008.41666666669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167">
        <f>F34*G34</f>
        <v>140000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67">
        <f>F35*G35</f>
        <v>35500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67">
        <f t="shared" ref="H36:H39" si="2">F36*G36</f>
        <v>600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167">
        <f t="shared" si="2"/>
        <v>1200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167">
        <v>26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162">
        <v>70074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247450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2</v>
      </c>
      <c r="D50" s="12">
        <f>C50*1.5</f>
        <v>3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-558.41666666668607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369</v>
      </c>
      <c r="D6" s="13">
        <f t="shared" ref="D6:D28" si="1">C6*L6</f>
        <v>280809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251" t="s">
        <v>36</v>
      </c>
      <c r="G13" s="215"/>
      <c r="H13" s="206">
        <f>D29</f>
        <v>391216.08333333331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</v>
      </c>
      <c r="D14" s="31">
        <f t="shared" si="1"/>
        <v>22.083333333333332</v>
      </c>
      <c r="F14" s="209" t="s">
        <v>38</v>
      </c>
      <c r="G14" s="210"/>
      <c r="H14" s="211">
        <f>D54</f>
        <v>54899.25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336316.83333333331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2736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391216.08333333331</v>
      </c>
      <c r="F29" s="123" t="s">
        <v>54</v>
      </c>
      <c r="G29" s="185"/>
      <c r="H29" s="145">
        <f>H15-H16-H17-H18-H19-H20-H22-H23-H24+H26+H27</f>
        <v>333530.83333333331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167">
        <f>F34*G34</f>
        <v>18000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167">
        <f>F35*G35</f>
        <v>7000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167">
        <f t="shared" si="2"/>
        <v>3900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</v>
      </c>
      <c r="D42" s="12">
        <f>C42*2.25</f>
        <v>2.25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162">
        <v>219967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162">
        <v>82199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22</v>
      </c>
      <c r="D46" s="12">
        <f>C46*1.5</f>
        <v>33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4</v>
      </c>
      <c r="D49" s="12">
        <f>C49*42</f>
        <v>168</v>
      </c>
      <c r="F49" s="143" t="s">
        <v>85</v>
      </c>
      <c r="G49" s="145">
        <f>H34+H35+H36+H37+H38+H39+H40+H41+G42+H44+H45+H46+H47+H48</f>
        <v>331136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18</v>
      </c>
      <c r="D50" s="12">
        <f>C50*1.5</f>
        <v>27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-2394.8333333333139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412</v>
      </c>
      <c r="D6" s="13">
        <f t="shared" ref="D6:D28" si="1">C6*L6</f>
        <v>313532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14</v>
      </c>
      <c r="D9" s="13">
        <f t="shared" si="1"/>
        <v>10262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340635.625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15</v>
      </c>
      <c r="D14" s="31">
        <f t="shared" si="1"/>
        <v>165.625</v>
      </c>
      <c r="F14" s="209" t="s">
        <v>38</v>
      </c>
      <c r="G14" s="210"/>
      <c r="H14" s="211">
        <f>D54</f>
        <v>45124.5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295511.125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1326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126.93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340635.625</v>
      </c>
      <c r="F29" s="123" t="s">
        <v>54</v>
      </c>
      <c r="G29" s="185"/>
      <c r="H29" s="145">
        <f>H15-H16-H17-H18-H19-H20-H22-H23-H24+H26+H27+H28</f>
        <v>294058.19500000001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167">
        <f t="shared" ref="H34:H39" si="2">F34*G34</f>
        <v>95000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167">
        <f t="shared" si="2"/>
        <v>8500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22</v>
      </c>
      <c r="D42" s="12">
        <f>C42*2.25</f>
        <v>49.5</v>
      </c>
      <c r="F42" s="39" t="s">
        <v>78</v>
      </c>
      <c r="G42" s="167">
        <v>95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162">
        <v>146466.5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162">
        <v>32500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 t="s">
        <v>135</v>
      </c>
      <c r="G46" s="62"/>
      <c r="H46" s="162">
        <v>10000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18</v>
      </c>
      <c r="D49" s="12">
        <f>C49*42</f>
        <v>756</v>
      </c>
      <c r="F49" s="143" t="s">
        <v>85</v>
      </c>
      <c r="G49" s="145">
        <f>H34+H35+H36+H37+H38+H39+H40+H41+G42+H44+H45+H46+H47+H48</f>
        <v>293411.5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31</v>
      </c>
      <c r="D50" s="12">
        <f>C50*1.5</f>
        <v>46.5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-646.69500000000698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288</v>
      </c>
      <c r="D6" s="13">
        <f t="shared" ref="D6:D28" si="1">C6*L6</f>
        <v>219168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230845.08333333334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</v>
      </c>
      <c r="D14" s="31">
        <f t="shared" si="1"/>
        <v>22.083333333333332</v>
      </c>
      <c r="F14" s="209" t="s">
        <v>38</v>
      </c>
      <c r="G14" s="210"/>
      <c r="H14" s="211">
        <f>D54</f>
        <v>30505.5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200339.58333333334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1248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230845.08333333334</v>
      </c>
      <c r="F29" s="123" t="s">
        <v>54</v>
      </c>
      <c r="G29" s="185"/>
      <c r="H29" s="145">
        <f>H15-H16-H17-H18-H19-H20-H22-H23-H24+H26+H27</f>
        <v>199091.58333333334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167">
        <f>F34*G34</f>
        <v>112000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167">
        <f>F35*G35</f>
        <v>11000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167">
        <f t="shared" si="2"/>
        <v>1400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167">
        <v>115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162">
        <v>69092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10</v>
      </c>
      <c r="D46" s="12">
        <f>C46*1.5</f>
        <v>15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3</v>
      </c>
      <c r="D49" s="12">
        <f>C49*42</f>
        <v>126</v>
      </c>
      <c r="F49" s="143" t="s">
        <v>85</v>
      </c>
      <c r="G49" s="145">
        <f>H34+H35+H36+H37+H38+H39+H40+H41+G42+H44+H45+H46+H47+H48</f>
        <v>193607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-5484.583333333343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506</v>
      </c>
      <c r="D6" s="13">
        <f t="shared" ref="D6:D28" si="1">C6*L6</f>
        <v>385066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25</v>
      </c>
      <c r="D7" s="13">
        <f t="shared" si="1"/>
        <v>19525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80</v>
      </c>
      <c r="D9" s="13">
        <f t="shared" si="1"/>
        <v>58640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481855.20833333331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77481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404374.20833333331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3528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481855.20833333331</v>
      </c>
      <c r="F29" s="123" t="s">
        <v>54</v>
      </c>
      <c r="G29" s="185"/>
      <c r="H29" s="145">
        <f>H15-H16-H17-H18-H19-H20-H22-H23-H24+H26+H27</f>
        <v>400846.20833333331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167">
        <f>F34*G34</f>
        <v>76000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167">
        <f>F35*G35</f>
        <v>14500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7">
        <f t="shared" ref="H36:H39" si="2">F36*G36</f>
        <v>400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167">
        <f t="shared" si="2"/>
        <v>5900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67">
        <f t="shared" si="2"/>
        <v>60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73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162">
        <v>184406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162">
        <v>104588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4</v>
      </c>
      <c r="D46" s="12">
        <f>C46*1.5</f>
        <v>6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386177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-14669.208333333314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46249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162">
        <v>62655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9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62655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7">
        <f t="shared" ref="H34:H39" si="2">F34*G34</f>
        <v>62000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167">
        <f t="shared" si="2"/>
        <v>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62655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46249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13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46249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594</v>
      </c>
      <c r="D6" s="13">
        <f t="shared" ref="D6:D28" si="1">C6*L6</f>
        <v>452034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36</v>
      </c>
      <c r="D7" s="13">
        <f t="shared" si="1"/>
        <v>28116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</v>
      </c>
      <c r="D9" s="13">
        <f t="shared" si="1"/>
        <v>6597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20</v>
      </c>
      <c r="D13" s="48">
        <f t="shared" si="1"/>
        <v>6140</v>
      </c>
      <c r="F13" s="251" t="s">
        <v>36</v>
      </c>
      <c r="G13" s="215"/>
      <c r="H13" s="206">
        <f>D29</f>
        <v>502994.04166666669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</v>
      </c>
      <c r="D14" s="31">
        <f t="shared" si="1"/>
        <v>11.041666666666666</v>
      </c>
      <c r="F14" s="209" t="s">
        <v>38</v>
      </c>
      <c r="G14" s="210"/>
      <c r="H14" s="211">
        <f>D54</f>
        <v>47216.25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455777.79166666669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3108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502994.04166666669</v>
      </c>
      <c r="F29" s="123" t="s">
        <v>54</v>
      </c>
      <c r="G29" s="185"/>
      <c r="H29" s="145">
        <f>H15-H16-H17-H18-H19-H20-H22-H23-H24+H26+H27</f>
        <v>452669.79166666669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167">
        <f>F34*G34</f>
        <v>136000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167">
        <f>F35*G35</f>
        <v>4000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7">
        <v>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162">
        <v>140936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162">
        <v>187503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5</v>
      </c>
      <c r="D46" s="12">
        <f>C46*1.5</f>
        <v>7.5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8</v>
      </c>
      <c r="D49" s="12">
        <f>C49*42</f>
        <v>336</v>
      </c>
      <c r="F49" s="143" t="s">
        <v>85</v>
      </c>
      <c r="G49" s="145">
        <f>H34+H35+H36+H37+H38+H39+H40+H41+G42+H44+H45+H46+H47+H48</f>
        <v>469044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16374.208333333314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topLeftCell="A19"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409</v>
      </c>
      <c r="D6" s="13">
        <f t="shared" ref="D6:D28" si="1">C6*L6</f>
        <v>311249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5</v>
      </c>
      <c r="D8" s="13">
        <f t="shared" si="1"/>
        <v>5465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96</v>
      </c>
      <c r="D9" s="13">
        <f t="shared" si="1"/>
        <v>70368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5</v>
      </c>
      <c r="D10" s="13">
        <f t="shared" si="1"/>
        <v>5160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251" t="s">
        <v>36</v>
      </c>
      <c r="G13" s="215"/>
      <c r="H13" s="206">
        <f>D29</f>
        <v>408615.20833333331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5</v>
      </c>
      <c r="D14" s="31">
        <f t="shared" si="1"/>
        <v>55.208333333333329</v>
      </c>
      <c r="F14" s="209" t="s">
        <v>38</v>
      </c>
      <c r="G14" s="210"/>
      <c r="H14" s="211">
        <f>D54</f>
        <v>105507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5</v>
      </c>
      <c r="D15" s="31">
        <f t="shared" si="1"/>
        <v>3100</v>
      </c>
      <c r="F15" s="214" t="s">
        <v>39</v>
      </c>
      <c r="G15" s="215"/>
      <c r="H15" s="216">
        <f>H13-H14</f>
        <v>303108.20833333331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6">
        <f>1296+1380</f>
        <v>2676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408615.20833333331</v>
      </c>
      <c r="F29" s="123" t="s">
        <v>54</v>
      </c>
      <c r="G29" s="185"/>
      <c r="H29" s="145">
        <f>H15-H16-H17-H18-H19-H20-H22-H23-H24+H26+H27+H28</f>
        <v>300432.20833333331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167">
        <f t="shared" ref="H34:H39" si="2">F34*G34</f>
        <v>28000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167">
        <f t="shared" si="2"/>
        <v>6000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167">
        <f t="shared" si="2"/>
        <v>5000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167">
        <f t="shared" si="2"/>
        <v>750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61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/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162">
        <v>158716.5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162">
        <v>101490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14</v>
      </c>
      <c r="D49" s="12">
        <f>C49*42</f>
        <v>588</v>
      </c>
      <c r="F49" s="143" t="s">
        <v>85</v>
      </c>
      <c r="G49" s="145">
        <f>H34+H35+H36+H37+H38+H39+H40+H41+G42+H44+H45+H46+H47+H48</f>
        <v>300037.5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17</v>
      </c>
      <c r="D50" s="12">
        <f>C50*1.5</f>
        <v>25.5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-394.70833333331393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501</v>
      </c>
      <c r="D6" s="13">
        <f t="shared" ref="D6:D28" si="1">C6*L6</f>
        <v>381261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24</v>
      </c>
      <c r="D9" s="13">
        <f t="shared" si="1"/>
        <v>17592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251" t="s">
        <v>36</v>
      </c>
      <c r="G13" s="215"/>
      <c r="H13" s="206">
        <f>D29</f>
        <v>410326.75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18</v>
      </c>
      <c r="D14" s="31">
        <f t="shared" si="1"/>
        <v>198.75</v>
      </c>
      <c r="F14" s="209" t="s">
        <v>38</v>
      </c>
      <c r="G14" s="210"/>
      <c r="H14" s="211">
        <f>D54</f>
        <v>59854.5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350472.25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2700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410326.75</v>
      </c>
      <c r="F29" s="123" t="s">
        <v>54</v>
      </c>
      <c r="G29" s="185"/>
      <c r="H29" s="145">
        <f>H15-H16-H17-H18-H19-H20-H22-H23-H24+H26+H27</f>
        <v>347772.25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167">
        <f>F34*G34</f>
        <v>117000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167">
        <f>F35*G35</f>
        <v>159500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167">
        <f t="shared" si="2"/>
        <v>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167">
        <v>41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162">
        <v>70347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17</v>
      </c>
      <c r="D49" s="12">
        <f>C49*42</f>
        <v>714</v>
      </c>
      <c r="F49" s="143" t="s">
        <v>85</v>
      </c>
      <c r="G49" s="145">
        <f>H34+H35+H36+H37+H38+H39+H40+H41+G42+H44+H45+H46+H47+H48</f>
        <v>347588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27</v>
      </c>
      <c r="D50" s="12">
        <f>C50*1.5</f>
        <v>40.5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-184.25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520</v>
      </c>
      <c r="D6" s="13">
        <f t="shared" ref="D6:D28" si="1">C6*L6</f>
        <v>395720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133</v>
      </c>
      <c r="D9" s="13">
        <f t="shared" si="1"/>
        <v>97489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507297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55524.75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451772.25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1776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50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507297</v>
      </c>
      <c r="F29" s="123" t="s">
        <v>54</v>
      </c>
      <c r="G29" s="185"/>
      <c r="H29" s="145">
        <f>H15-H16-H17-H18-H19-H20-H22-H23-H24+H26+H27</f>
        <v>449946.25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167">
        <f>F34*G34</f>
        <v>26000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167">
        <f>F35*G35</f>
        <v>2500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167">
        <f t="shared" si="2"/>
        <v>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167">
        <f t="shared" si="2"/>
        <v>200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</v>
      </c>
      <c r="D42" s="12">
        <f>C42*2.25</f>
        <v>2.25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162">
        <v>124435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162">
        <v>67654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162">
        <v>229183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450692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745.75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tabSelected="1" topLeftCell="A21" zoomScale="95" zoomScaleNormal="95" zoomScaleSheetLayoutView="85" workbookViewId="0">
      <selection activeCell="M41" sqref="M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673</v>
      </c>
      <c r="D6" s="13">
        <f t="shared" ref="D6:D28" si="1">C6*L6</f>
        <v>512153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7</v>
      </c>
      <c r="D7" s="13">
        <f t="shared" si="1"/>
        <v>5467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524789.16666666674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4</v>
      </c>
      <c r="D14" s="31">
        <f t="shared" si="1"/>
        <v>44.166666666666664</v>
      </c>
      <c r="F14" s="209" t="s">
        <v>38</v>
      </c>
      <c r="G14" s="210"/>
      <c r="H14" s="211">
        <f>D54</f>
        <v>76164.75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448624.41666666674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3312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524789.16666666674</v>
      </c>
      <c r="F29" s="123" t="s">
        <v>54</v>
      </c>
      <c r="G29" s="185"/>
      <c r="H29" s="145">
        <f>H15-H16-H17-H18-H19-H20-H22-H23-H24+H26+H27+H28</f>
        <v>445312.41666666674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324</v>
      </c>
      <c r="H34" s="167">
        <f t="shared" ref="H34:H39" si="2">F34*G34</f>
        <v>324000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95</v>
      </c>
      <c r="H35" s="167">
        <f t="shared" si="2"/>
        <v>47500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669</v>
      </c>
      <c r="D37" s="12">
        <f>C37*111</f>
        <v>74259</v>
      </c>
      <c r="F37" s="12">
        <v>100</v>
      </c>
      <c r="G37" s="39">
        <v>27</v>
      </c>
      <c r="H37" s="167">
        <f t="shared" si="2"/>
        <v>2700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7">
        <v>18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/>
      <c r="G44" s="108" t="s">
        <v>134</v>
      </c>
      <c r="H44" s="162">
        <v>70977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445295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SHORT</v>
      </c>
      <c r="G51" s="153">
        <f>G49-H29</f>
        <v>-17.416666666744277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76164.75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topLeftCell="A28" zoomScaleNormal="100" zoomScaleSheetLayoutView="85" workbookViewId="0">
      <selection activeCell="L54" sqref="L53: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259</v>
      </c>
      <c r="D6" s="13">
        <f t="shared" ref="D6:D28" si="1">C6*L6</f>
        <v>197099</v>
      </c>
      <c r="F6" s="230" t="s">
        <v>16</v>
      </c>
      <c r="G6" s="232" t="s">
        <v>193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23</v>
      </c>
      <c r="D9" s="13">
        <f t="shared" si="1"/>
        <v>16859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226309.875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21</v>
      </c>
      <c r="D14" s="31">
        <f t="shared" si="1"/>
        <v>231.875</v>
      </c>
      <c r="F14" s="209" t="s">
        <v>38</v>
      </c>
      <c r="G14" s="210"/>
      <c r="H14" s="211">
        <f>D54</f>
        <v>34420.5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191889.375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1116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</v>
      </c>
      <c r="D28" s="48">
        <f t="shared" si="1"/>
        <v>811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226309.875</v>
      </c>
      <c r="F29" s="123" t="s">
        <v>54</v>
      </c>
      <c r="G29" s="185"/>
      <c r="H29" s="145">
        <f>H15-H16-H17-H18-H19-H20-H22-H23-H24+H26+H27</f>
        <v>190773.375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63</v>
      </c>
      <c r="H34" s="167">
        <f>F34*G34</f>
        <v>63000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13</v>
      </c>
      <c r="H35" s="167">
        <f>F35*G35</f>
        <v>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7</v>
      </c>
      <c r="H37" s="167">
        <f t="shared" si="2"/>
        <v>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14</v>
      </c>
      <c r="D42" s="12">
        <f>C42*2.25</f>
        <v>31.5</v>
      </c>
      <c r="F42" s="39" t="s">
        <v>78</v>
      </c>
      <c r="G42" s="167">
        <v>19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190</v>
      </c>
      <c r="H44" s="162">
        <v>74066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136</v>
      </c>
      <c r="G45" s="75" t="s">
        <v>191</v>
      </c>
      <c r="H45" s="162">
        <v>46582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4</v>
      </c>
      <c r="D46" s="12">
        <f>C46*1.5</f>
        <v>6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H34+H35+H36+H37+H38+H39+H40+H41+G42+H44+H45+H46+H47+H48</f>
        <v>190917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20</v>
      </c>
      <c r="D50" s="12">
        <f>C50*1.5</f>
        <v>30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143.625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34420.5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topLeftCell="A19" zoomScaleNormal="100" zoomScaleSheetLayoutView="85" workbookViewId="0">
      <selection activeCell="G43" sqref="G4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274</v>
      </c>
      <c r="D6" s="13">
        <f t="shared" ref="D6:D28" si="1">C6*L6</f>
        <v>208514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35</v>
      </c>
      <c r="D9" s="13">
        <f t="shared" si="1"/>
        <v>25655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239538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35656.5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203881.5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239538</v>
      </c>
      <c r="F29" s="123" t="s">
        <v>54</v>
      </c>
      <c r="G29" s="185"/>
      <c r="H29" s="145">
        <f>H15-H16-H17-H18-H19-H20-H22-H23-H24+H26+H27</f>
        <v>203881.5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182</v>
      </c>
      <c r="H34" s="167">
        <f>F34*G34</f>
        <v>182000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>
        <v>33</v>
      </c>
      <c r="H35" s="167">
        <f>F35*G35</f>
        <v>16500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43</v>
      </c>
      <c r="H37" s="167">
        <f t="shared" si="2"/>
        <v>4300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20</v>
      </c>
      <c r="H38" s="167">
        <f t="shared" si="2"/>
        <v>1000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102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H34+H35+H36+H37+H38+H39+H40+H41+G42+H44+H45+H46+H47+H48</f>
        <v>203902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17</v>
      </c>
      <c r="D50" s="12">
        <f>C50*1.5</f>
        <v>25.5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OVER</v>
      </c>
      <c r="G51" s="153">
        <f>G49-H29</f>
        <v>20.5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35656.5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46255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115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57"/>
      <c r="I23" s="258"/>
      <c r="J23" s="25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57"/>
      <c r="I24" s="258"/>
      <c r="J24" s="2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7"/>
      <c r="H27" s="259"/>
      <c r="I27" s="260"/>
      <c r="J27" s="26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5"/>
      <c r="I40" s="256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252"/>
      <c r="I47" s="253"/>
      <c r="J47" s="254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46255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46255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119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62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9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12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12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7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87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87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7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/>
      <c r="G47" s="75"/>
      <c r="H47" s="162"/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252"/>
      <c r="I48" s="253"/>
      <c r="J48" s="25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H34+H35+H36+H37+H38+H39+H40+H41+G42+H44+H45+H46+H47+H48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tr">
        <f>_xlfn.IFS(H29&gt;G49,"SHORT",H29&lt;G49,"OVER",H29&lt;=G49,"-")</f>
        <v>-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</vt:lpstr>
      <vt:lpstr>08,21 R2 </vt:lpstr>
      <vt:lpstr>08,21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R1'!Print_Area</vt:lpstr>
      <vt:lpstr>'08,21 R2 '!Print_Area</vt:lpstr>
      <vt:lpstr>'08,21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2026-08-19T01:30:21Z</cp:lastPrinted>
  <dcterms:created xsi:type="dcterms:W3CDTF">2024-09-01T23:36:50Z</dcterms:created>
  <dcterms:modified xsi:type="dcterms:W3CDTF">2026-08-19T01:31:25Z</dcterms:modified>
</cp:coreProperties>
</file>