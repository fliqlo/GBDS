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10C5190-CCBD-40CA-8641-F78F1D7C74E3}" xr6:coauthVersionLast="45" xr6:coauthVersionMax="47" xr10:uidLastSave="{00000000-0000-0000-0000-000000000000}"/>
  <bookViews>
    <workbookView xWindow="-120" yWindow="-120" windowWidth="29040" windowHeight="15840" firstSheet="60" activeTab="7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G49" i="2312" s="1"/>
  <c r="D34" i="2312"/>
  <c r="D54" i="2312" s="1"/>
  <c r="H14" i="2312" s="1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L21" i="2312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D54" i="2311" s="1"/>
  <c r="H14" i="2311" s="1"/>
  <c r="R35" i="2311"/>
  <c r="H35" i="2311"/>
  <c r="D35" i="2311"/>
  <c r="R34" i="2311"/>
  <c r="L12" i="2311" s="1"/>
  <c r="D12" i="2311" s="1"/>
  <c r="H34" i="2311"/>
  <c r="G49" i="2311" s="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G49" i="2308" s="1"/>
  <c r="D34" i="2308"/>
  <c r="D54" i="2308" s="1"/>
  <c r="H14" i="2308" s="1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D54" i="2307" s="1"/>
  <c r="H14" i="2307" s="1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G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D54" i="2306" s="1"/>
  <c r="H14" i="2306" s="1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L21" i="2306"/>
  <c r="D21" i="2306" s="1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D29" i="2306" s="1"/>
  <c r="H13" i="2306" s="1"/>
  <c r="H15" i="2306" s="1"/>
  <c r="H29" i="2306" s="1"/>
  <c r="F51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G49" i="2304" s="1"/>
  <c r="D34" i="2304"/>
  <c r="D54" i="2304" s="1"/>
  <c r="H14" i="2304" s="1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D54" i="2303" s="1"/>
  <c r="H14" i="2303" s="1"/>
  <c r="R35" i="2303"/>
  <c r="H35" i="2303"/>
  <c r="D35" i="2303"/>
  <c r="R34" i="2303"/>
  <c r="H34" i="2303"/>
  <c r="G49" i="2303" s="1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D54" i="2302"/>
  <c r="H14" i="2302" s="1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G49" i="2302" s="1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D54" i="2300" s="1"/>
  <c r="H14" i="2300" s="1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D54" i="2299"/>
  <c r="H14" i="2299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G49" i="2299" s="1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G49" i="2298" s="1"/>
  <c r="D34" i="2298"/>
  <c r="D54" i="2298" s="1"/>
  <c r="H14" i="2298" s="1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G49" i="2295" s="1"/>
  <c r="D34" i="2295"/>
  <c r="D54" i="2295" s="1"/>
  <c r="H14" i="2295" s="1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D54" i="2294"/>
  <c r="H14" i="2294" s="1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29" i="2294" s="1"/>
  <c r="H13" i="2294" s="1"/>
  <c r="H15" i="2294" s="1"/>
  <c r="H29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D29" i="2312" l="1"/>
  <c r="H13" i="2312" s="1"/>
  <c r="H15" i="2312" s="1"/>
  <c r="H29" i="2312" s="1"/>
  <c r="F51" i="2312" s="1"/>
  <c r="G51" i="2312"/>
  <c r="G51" i="2311"/>
  <c r="D29" i="2311"/>
  <c r="H13" i="2311" s="1"/>
  <c r="H15" i="2311" s="1"/>
  <c r="H29" i="2311" s="1"/>
  <c r="F51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H15" i="2308" s="1"/>
  <c r="H29" i="2308" s="1"/>
  <c r="F51" i="2308" s="1"/>
  <c r="G51" i="2308"/>
  <c r="D29" i="2307"/>
  <c r="H13" i="2307" s="1"/>
  <c r="H15" i="2307" s="1"/>
  <c r="H29" i="2307" s="1"/>
  <c r="F51" i="2307" s="1"/>
  <c r="G51" i="2306"/>
  <c r="D29" i="2305"/>
  <c r="H13" i="2305" s="1"/>
  <c r="H15" i="2305" s="1"/>
  <c r="H29" i="2305" s="1"/>
  <c r="G51" i="2305"/>
  <c r="D29" i="2304"/>
  <c r="H13" i="2304" s="1"/>
  <c r="H15" i="2304" s="1"/>
  <c r="H29" i="2304" s="1"/>
  <c r="F51" i="2304" s="1"/>
  <c r="G51" i="2304"/>
  <c r="D29" i="2303"/>
  <c r="H13" i="2303" s="1"/>
  <c r="H15" i="2303" s="1"/>
  <c r="H29" i="2303" s="1"/>
  <c r="F51" i="2303" s="1"/>
  <c r="D29" i="2302"/>
  <c r="H13" i="2302" s="1"/>
  <c r="H15" i="2302" s="1"/>
  <c r="H29" i="2302" s="1"/>
  <c r="F51" i="2302" s="1"/>
  <c r="D29" i="2301"/>
  <c r="H13" i="2301" s="1"/>
  <c r="H15" i="2301" s="1"/>
  <c r="H29" i="2301" s="1"/>
  <c r="G51" i="2301" s="1"/>
  <c r="D29" i="2300"/>
  <c r="H13" i="2300" s="1"/>
  <c r="H15" i="2300" s="1"/>
  <c r="H29" i="2300" s="1"/>
  <c r="F51" i="2300" s="1"/>
  <c r="D29" i="2299"/>
  <c r="H13" i="2299" s="1"/>
  <c r="H15" i="2299" s="1"/>
  <c r="H29" i="2299" s="1"/>
  <c r="F51" i="2299" s="1"/>
  <c r="D29" i="2298"/>
  <c r="H13" i="2298" s="1"/>
  <c r="H15" i="2298" s="1"/>
  <c r="H29" i="2298" s="1"/>
  <c r="F51" i="2298" s="1"/>
  <c r="D29" i="2297"/>
  <c r="H13" i="2297" s="1"/>
  <c r="H15" i="2297" s="1"/>
  <c r="H29" i="2297" s="1"/>
  <c r="G51" i="2297"/>
  <c r="G49" i="2296"/>
  <c r="D54" i="2296"/>
  <c r="H14" i="2296" s="1"/>
  <c r="G49" i="2294"/>
  <c r="G51" i="2294" s="1"/>
  <c r="F51" i="2294"/>
  <c r="D29" i="2296"/>
  <c r="H13" i="2296" s="1"/>
  <c r="H15" i="2296" s="1"/>
  <c r="H29" i="2296" s="1"/>
  <c r="D29" i="2295"/>
  <c r="H13" i="2295" s="1"/>
  <c r="H15" i="2295" s="1"/>
  <c r="H29" i="2295" s="1"/>
  <c r="F51" i="2295" s="1"/>
  <c r="G51" i="2295"/>
  <c r="D29" i="2293"/>
  <c r="H13" i="2293" s="1"/>
  <c r="H15" i="2293" s="1"/>
  <c r="H29" i="2293" s="1"/>
  <c r="G51" i="2293" s="1"/>
  <c r="C12" i="2292"/>
  <c r="G51" i="2310" l="1"/>
  <c r="G51" i="2307"/>
  <c r="G51" i="2303"/>
  <c r="G51" i="2302"/>
  <c r="G51" i="2300"/>
  <c r="G51" i="2299"/>
  <c r="G51" i="2298"/>
  <c r="F51" i="2296"/>
  <c r="G51" i="2296"/>
  <c r="C19" i="2288"/>
  <c r="C12" i="2282" l="1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<sst xmlns="http://schemas.openxmlformats.org/spreadsheetml/2006/main" count="9745" uniqueCount="183">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</sst>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00EDC-2553-4729-875C-D8DFF2FFF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3A714E-7AE3-4AB6-8B43-756E79055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1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05">
        <v>69862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69862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17">
        <f>F34*G34</f>
        <v>53000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17">
        <f>F35*G35</f>
        <v>16500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69862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113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7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283</v>
      </c>
      <c r="D6" s="13">
        <f t="shared" ref="D6:D28" si="1">C6*L6</f>
        <v>215363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248162.33333333334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36360.75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211801.58333333334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248162.33333333334</v>
      </c>
      <c r="F29" s="185" t="s">
        <v>54</v>
      </c>
      <c r="G29" s="186"/>
      <c r="H29" s="189">
        <f>H15-H16-H17-H18-H19-H20-H22-H23-H24+H26+H27+H28</f>
        <v>211801.58333333334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17">
        <f t="shared" si="2"/>
        <v>20500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17">
        <f t="shared" si="2"/>
        <v>1050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7">
        <f t="shared" si="2"/>
        <v>40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116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62000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01">
        <v>16444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16</v>
      </c>
      <c r="D46" s="12">
        <f>C46*1.5</f>
        <v>24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212450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648.41666666665697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487</v>
      </c>
      <c r="D6" s="13">
        <f t="shared" ref="D6:D28" si="1">C6*L6</f>
        <v>370607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168</v>
      </c>
      <c r="D9" s="13">
        <f t="shared" si="1"/>
        <v>123144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25</v>
      </c>
      <c r="D13" s="48">
        <f t="shared" si="1"/>
        <v>7675</v>
      </c>
      <c r="F13" s="162" t="s">
        <v>36</v>
      </c>
      <c r="G13" s="163"/>
      <c r="H13" s="164">
        <f>D29</f>
        <v>516071.33333333331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76411.5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439659.83333333331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3396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516071.33333333331</v>
      </c>
      <c r="F29" s="185" t="s">
        <v>54</v>
      </c>
      <c r="G29" s="186"/>
      <c r="H29" s="189">
        <f>H15-H16-H17-H18-H19-H20-H22-H23-H24+H26+H27</f>
        <v>436263.83333333331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17">
        <f>F34*G34</f>
        <v>47000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17">
        <f>F35*G35</f>
        <v>155000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17">
        <f t="shared" si="2"/>
        <v>3200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83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01">
        <v>231443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436926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662.16666666668607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428</v>
      </c>
      <c r="D6" s="13">
        <f t="shared" ref="D6:D28" si="1">C6*L6</f>
        <v>325708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14</v>
      </c>
      <c r="D7" s="13">
        <f t="shared" si="1"/>
        <v>10934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81</v>
      </c>
      <c r="D9" s="13">
        <f t="shared" si="1"/>
        <v>59373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406307.125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66713.25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339593.875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406307.125</v>
      </c>
      <c r="F29" s="185" t="s">
        <v>54</v>
      </c>
      <c r="G29" s="186"/>
      <c r="H29" s="189">
        <f>H15-H16-H17-H18-H19-H20-H22-H23-H24+H26+H27</f>
        <v>337941.875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7">
        <f>F34*G34</f>
        <v>25000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17">
        <f>F35*G35</f>
        <v>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01">
        <v>56443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01">
        <v>115712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01">
        <v>137865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11</v>
      </c>
      <c r="D49" s="12">
        <f>C49*42</f>
        <v>462</v>
      </c>
      <c r="F49" s="242" t="s">
        <v>85</v>
      </c>
      <c r="G49" s="189">
        <f>H34+H35+H36+H37+H38+H39+H40+H41+G42+H44+H45+H46+H47+H48</f>
        <v>337610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-331.875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431</v>
      </c>
      <c r="D6" s="13">
        <f t="shared" ref="D6:D28" si="1">C6*L6</f>
        <v>327991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347634.16666666669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52755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294879.16666666669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2004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9">
        <v>5850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347634.16666666669</v>
      </c>
      <c r="F29" s="185" t="s">
        <v>54</v>
      </c>
      <c r="G29" s="186"/>
      <c r="H29" s="189">
        <f>H15-H16-H17-H18-H19-H20-H22-H23-H24+H26+H27</f>
        <v>287025.16666666669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17">
        <f>F34*G34</f>
        <v>120000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17">
        <f>F35*G35</f>
        <v>166500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17">
        <f t="shared" si="2"/>
        <v>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286814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5</v>
      </c>
      <c r="D50" s="12">
        <f>C50*1.5</f>
        <v>7.5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-211.16666666668607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548</v>
      </c>
      <c r="D6" s="13">
        <f t="shared" ref="D6:D28" si="1">C6*L6</f>
        <v>417028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55</v>
      </c>
      <c r="D9" s="13">
        <f t="shared" si="1"/>
        <v>40315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4</v>
      </c>
      <c r="D12" s="48">
        <f t="shared" si="1"/>
        <v>3968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472049.20833333331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71464.5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400584.70833333331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3366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472049.20833333331</v>
      </c>
      <c r="F29" s="185" t="s">
        <v>54</v>
      </c>
      <c r="G29" s="186"/>
      <c r="H29" s="189">
        <f>H15-H16-H17-H18-H19-H20-H22-H23-H24+H26+H27</f>
        <v>397218.70833333331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17">
        <f>F34*G34</f>
        <v>31000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01">
        <v>135285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01">
        <v>141116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01">
        <v>89177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397341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122.29166666668607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236</v>
      </c>
      <c r="D6" s="13">
        <f t="shared" ref="D6:D28" si="1">C6*L6</f>
        <v>179596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113</v>
      </c>
      <c r="D9" s="13">
        <f t="shared" si="1"/>
        <v>82829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276596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37282.5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239313.5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276596</v>
      </c>
      <c r="F29" s="185" t="s">
        <v>54</v>
      </c>
      <c r="G29" s="186"/>
      <c r="H29" s="189">
        <f>H15-H16-H17-H18-H19-H20-H22-H23-H24+H26+H27+H28</f>
        <v>237279.5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17">
        <f t="shared" ref="H34:H39" si="2">F34*G34</f>
        <v>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17">
        <f t="shared" si="2"/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17">
        <f t="shared" si="2"/>
        <v>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11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01">
        <v>223169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237280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322</v>
      </c>
      <c r="D6" s="13">
        <f t="shared" ref="D6:D28" si="1">C6*L6</f>
        <v>245042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21</v>
      </c>
      <c r="D9" s="13">
        <f t="shared" si="1"/>
        <v>15393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271026.41666666669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36957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234069.41666666669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1818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271026.41666666669</v>
      </c>
      <c r="F29" s="185" t="s">
        <v>54</v>
      </c>
      <c r="G29" s="186"/>
      <c r="H29" s="189">
        <f>H15-H16-H17-H18-H19-H20-H22-H23-H24+H26+H27</f>
        <v>232251.41666666669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7">
        <f>F34*G34</f>
        <v>24000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24</v>
      </c>
      <c r="D42" s="12">
        <f>C42*2.25</f>
        <v>54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01">
        <v>70296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01">
        <v>136287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232724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472.58333333331393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385</v>
      </c>
      <c r="D6" s="13">
        <f t="shared" ref="D6:D28" si="1">C6*L6</f>
        <v>292985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67</v>
      </c>
      <c r="D8" s="13">
        <f t="shared" si="1"/>
        <v>73231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28</v>
      </c>
      <c r="D9" s="13">
        <f t="shared" si="1"/>
        <v>20524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402717.5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60681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342036.5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2178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9">
        <v>67927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2">
        <v>4550</v>
      </c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402717.5</v>
      </c>
      <c r="F29" s="185" t="s">
        <v>54</v>
      </c>
      <c r="G29" s="186"/>
      <c r="H29" s="189">
        <f>H15-H16-H17-H18-H19-H20-H22-H23-H24+H26+H27</f>
        <v>267331.5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17">
        <f>F34*G34</f>
        <v>66000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17">
        <f>F35*G35</f>
        <v>28500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17">
        <f t="shared" si="2"/>
        <v>6500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17">
        <f t="shared" si="2"/>
        <v>1800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01">
        <v>74658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01">
        <v>90788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268266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934.5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367</v>
      </c>
      <c r="D6" s="13">
        <f t="shared" ref="D6:D28" si="1">C6*L6</f>
        <v>279287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20</v>
      </c>
      <c r="D8" s="13">
        <f t="shared" si="1"/>
        <v>21860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318659.20833333331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45737.25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272921.95833333331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9">
        <v>3250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318659.20833333331</v>
      </c>
      <c r="F29" s="185" t="s">
        <v>54</v>
      </c>
      <c r="G29" s="186"/>
      <c r="H29" s="189">
        <f>H15-H16-H17-H18-H19-H20-H22-H23-H24+H26+H27</f>
        <v>267775.95833333331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17">
        <f>F34*G34</f>
        <v>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17">
        <f>F35*G35</f>
        <v>29000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7">
        <v>75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01">
        <v>32838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</v>
      </c>
      <c r="D46" s="12">
        <f>C46*1.5</f>
        <v>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267499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-276.95833333331393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482</v>
      </c>
      <c r="D6" s="13">
        <f t="shared" ref="D6:D28" si="1">C6*L6</f>
        <v>366802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37</v>
      </c>
      <c r="D9" s="13">
        <f t="shared" si="1"/>
        <v>27121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408810.70833333331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60101.25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348709.45833333331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408810.70833333331</v>
      </c>
      <c r="F29" s="185" t="s">
        <v>54</v>
      </c>
      <c r="G29" s="186"/>
      <c r="H29" s="189">
        <f>H15-H16-H17-H18-H19-H20-H22-H23-H24+H26+H27+H28</f>
        <v>348709.45833333331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17">
        <f t="shared" ref="H34:H39" si="2">F34*G34</f>
        <v>263000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17">
        <f t="shared" si="2"/>
        <v>47500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17">
        <f t="shared" si="2"/>
        <v>3300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7">
        <v>155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01">
        <v>34470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348425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-284.45833333331393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373</v>
      </c>
      <c r="D6" s="13">
        <f t="shared" ref="D6:D28" si="1">C6*L6</f>
        <v>283853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314974.20833333331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51996.75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262977.45833333331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1224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314974.20833333331</v>
      </c>
      <c r="F29" s="185" t="s">
        <v>54</v>
      </c>
      <c r="G29" s="186"/>
      <c r="H29" s="189">
        <f>H15-H16-H17-H18-H19-H20-H22-H23-H24+H26+H27</f>
        <v>261753.45833333331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17">
        <f>F34*G34</f>
        <v>176000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17">
        <f>F35*G35</f>
        <v>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01">
        <v>76215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262183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429.54166666668607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387</v>
      </c>
      <c r="D6" s="13">
        <f t="shared" ref="D6:D28" si="1">C6*L6</f>
        <v>294507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383530.16666666669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57755.25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325774.91666666669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2406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383530.16666666669</v>
      </c>
      <c r="F29" s="185" t="s">
        <v>54</v>
      </c>
      <c r="G29" s="186"/>
      <c r="H29" s="189">
        <f>H15-H16-H17-H18-H19-H20-H22-H23-H24+H26+H27</f>
        <v>323368.91666666669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17">
        <f>F34*G34</f>
        <v>59000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17">
        <f t="shared" si="2"/>
        <v>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01">
        <v>87905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01">
        <v>171965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323534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165.08333333331393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273</v>
      </c>
      <c r="D6" s="13">
        <f t="shared" ref="D6:D28" si="1">C6*L6</f>
        <v>207753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</v>
      </c>
      <c r="D9" s="13">
        <f t="shared" si="1"/>
        <v>8796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226955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33465.75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193489.25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1350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05">
        <v>67927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226955</v>
      </c>
      <c r="F29" s="185" t="s">
        <v>54</v>
      </c>
      <c r="G29" s="186"/>
      <c r="H29" s="189">
        <f>H15-H16-H17-H18-H19-H20-H22-H23-H24+H26+H27</f>
        <v>260066.25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17">
        <f>F34*G34</f>
        <v>100000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52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13</v>
      </c>
      <c r="D49" s="12">
        <f>C49*42</f>
        <v>546</v>
      </c>
      <c r="F49" s="242" t="s">
        <v>85</v>
      </c>
      <c r="G49" s="189">
        <f>H34+H35+H36+H37+H38+H39+H40+H41+G42+H44+H45+H46+H47+H48</f>
        <v>259952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-114.25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280</v>
      </c>
      <c r="D6" s="13">
        <f t="shared" ref="D6:D28" si="1">C6*L6</f>
        <v>213080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303138.04166666669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26834.25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276303.79166666669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303138.04166666669</v>
      </c>
      <c r="F29" s="185" t="s">
        <v>54</v>
      </c>
      <c r="G29" s="186"/>
      <c r="H29" s="189">
        <f>H15-H16-H17-H18-H19-H20-H22-H23-H24+H26+H27</f>
        <v>274359.79166666669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17">
        <f>F34*G34</f>
        <v>37000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17">
        <f>F35*G35</f>
        <v>12500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01">
        <v>224164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274329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-30.791666666686069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323</v>
      </c>
      <c r="D6" s="13">
        <f t="shared" ref="D6:D28" si="1">C6*L6</f>
        <v>245803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</v>
      </c>
      <c r="D9" s="13">
        <f t="shared" si="1"/>
        <v>5864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6</v>
      </c>
      <c r="D13" s="48">
        <f t="shared" si="1"/>
        <v>1842</v>
      </c>
      <c r="F13" s="162" t="s">
        <v>36</v>
      </c>
      <c r="G13" s="163"/>
      <c r="H13" s="164">
        <f>D29</f>
        <v>256140.29166666666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77.291666666666657</v>
      </c>
      <c r="F14" s="167" t="s">
        <v>38</v>
      </c>
      <c r="G14" s="168"/>
      <c r="H14" s="169">
        <f>D54</f>
        <v>49918.5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206221.79166666666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256140.29166666666</v>
      </c>
      <c r="F29" s="185" t="s">
        <v>54</v>
      </c>
      <c r="G29" s="186"/>
      <c r="H29" s="189">
        <f>H15-H16-H17-H18-H19-H20-H22-H23-H24+H26+H27+H28</f>
        <v>204925.79166666666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17">
        <f t="shared" ref="H34:H39" si="2">F34*G34</f>
        <v>56000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17">
        <f t="shared" si="2"/>
        <v>10500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17">
        <f t="shared" si="2"/>
        <v>1700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48</v>
      </c>
      <c r="D42" s="12">
        <f>C42*2.25</f>
        <v>108</v>
      </c>
      <c r="F42" s="39" t="s">
        <v>78</v>
      </c>
      <c r="G42" s="217">
        <v>47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01">
        <v>131436.5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01">
        <v>5000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13</v>
      </c>
      <c r="D46" s="12">
        <f>C46*1.5</f>
        <v>19.5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204783.5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11</v>
      </c>
      <c r="D50" s="12">
        <f>C50*1.5</f>
        <v>16.5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-142.29166666665697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361</v>
      </c>
      <c r="D6" s="13">
        <f t="shared" ref="D6:D28" si="1">C6*L6</f>
        <v>274721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125</v>
      </c>
      <c r="D9" s="13">
        <f t="shared" si="1"/>
        <v>91625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6+1</f>
        <v>7</v>
      </c>
      <c r="D12" s="48">
        <f t="shared" si="1"/>
        <v>6944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380601.70833333331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55885.5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324716.20833333331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1974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380601.70833333331</v>
      </c>
      <c r="F29" s="185" t="s">
        <v>54</v>
      </c>
      <c r="G29" s="186"/>
      <c r="H29" s="189">
        <f>H15-H16-H17-H18-H19-H20-H22-H23-H24+H26+H27</f>
        <v>322742.20833333331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17">
        <f>F34*G34</f>
        <v>86000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17">
        <f>F35*G35</f>
        <v>226500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17">
        <f t="shared" si="2"/>
        <v>9200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50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10</v>
      </c>
      <c r="D49" s="12">
        <f>C49*42</f>
        <v>420</v>
      </c>
      <c r="F49" s="242" t="s">
        <v>85</v>
      </c>
      <c r="G49" s="189">
        <f>H34+H35+H36+H37+H38+H39+H40+H41+G42+H44+H45+H46+H47+H48</f>
        <v>321800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-942.20833333331393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484</v>
      </c>
      <c r="D6" s="13">
        <f t="shared" ref="D6:D28" si="1">C6*L6</f>
        <v>368324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26</v>
      </c>
      <c r="D7" s="13">
        <f t="shared" si="1"/>
        <v>20306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92</v>
      </c>
      <c r="D9" s="13">
        <f t="shared" si="1"/>
        <v>67436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459783.125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76749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383034.125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459783.125</v>
      </c>
      <c r="F29" s="185" t="s">
        <v>54</v>
      </c>
      <c r="G29" s="186"/>
      <c r="H29" s="189">
        <f>H15-H16-H17-H18-H19-H20-H22-H23-H24+H26+H27</f>
        <v>379942.125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17">
        <f>F35*G35</f>
        <v>72000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01">
        <v>98032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01">
        <v>81476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379916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-26.125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402</v>
      </c>
      <c r="D6" s="13">
        <f t="shared" ref="D6:D28" si="1">C6*L6</f>
        <v>305922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4</v>
      </c>
      <c r="D10" s="13">
        <f t="shared" si="1"/>
        <v>4128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346704.58333333331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154.58333333333331</v>
      </c>
      <c r="F14" s="167" t="s">
        <v>38</v>
      </c>
      <c r="G14" s="168"/>
      <c r="H14" s="169">
        <f>D54</f>
        <v>49626.75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297077.83333333331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9">
        <v>97987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6</v>
      </c>
      <c r="D28" s="48">
        <f t="shared" si="1"/>
        <v>4866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346704.58333333331</v>
      </c>
      <c r="F29" s="185" t="s">
        <v>54</v>
      </c>
      <c r="G29" s="186"/>
      <c r="H29" s="189">
        <f>H15-H16-H17-H18-H19-H20-H22-H23-H24+H26+H27+H28</f>
        <v>199090.83333333331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17">
        <f t="shared" ref="H34:H39" si="2">F34*G34</f>
        <v>38000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17">
        <v>22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01">
        <v>70887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135</v>
      </c>
      <c r="G45" s="87"/>
      <c r="H45" s="201">
        <v>11131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01">
        <v>71799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197839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6</v>
      </c>
      <c r="D50" s="12">
        <f>C50*1.5</f>
        <v>9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-1251.8333333333139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344</v>
      </c>
      <c r="D6" s="13">
        <f t="shared" ref="D6:D28" si="1">C6*L6</f>
        <v>261784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284254.75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48858.75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235396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284254.75</v>
      </c>
      <c r="F29" s="185" t="s">
        <v>54</v>
      </c>
      <c r="G29" s="186"/>
      <c r="H29" s="189">
        <f>H15-H16-H17-H18-H19-H20-H22-H23-H24+H26+H27</f>
        <v>233590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17">
        <f>F34*G34</f>
        <v>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01">
        <v>124685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01">
        <v>70347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237352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19</v>
      </c>
      <c r="D50" s="12">
        <f>C50*1.5</f>
        <v>28.5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3762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418</v>
      </c>
      <c r="D6" s="13">
        <f t="shared" ref="D6:D28" si="1">C6*L6</f>
        <v>318098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162" t="s">
        <v>36</v>
      </c>
      <c r="G13" s="163"/>
      <c r="H13" s="164">
        <f>D29</f>
        <v>345718.125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51191.25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294526.875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345718.125</v>
      </c>
      <c r="F29" s="185" t="s">
        <v>54</v>
      </c>
      <c r="G29" s="186"/>
      <c r="H29" s="189">
        <f>H15-H16-H17-H18-H19-H20-H22-H23-H24+H26+H27</f>
        <v>293230.875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17">
        <f>F34*G34</f>
        <v>114000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01">
        <v>141165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292478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21</v>
      </c>
      <c r="D50" s="12">
        <f>C50*1.5</f>
        <v>31.5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-752.875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632</v>
      </c>
      <c r="D6" s="13">
        <f t="shared" ref="D6:D28" si="1">C6*L6</f>
        <v>480952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519146.41666666669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77385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441761.41666666669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3402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01">
        <v>82890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519146.41666666669</v>
      </c>
      <c r="F29" s="185" t="s">
        <v>54</v>
      </c>
      <c r="G29" s="186"/>
      <c r="H29" s="189">
        <f>H15-H16-H17-H18-H19-H20-H22-H23-H24+H26+H27+H28</f>
        <v>521249.41666666669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17">
        <f t="shared" ref="H34:H39" si="2">F34*G34</f>
        <v>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17">
        <f t="shared" si="2"/>
        <v>350000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109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11000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01">
        <v>82890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521119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-130.41666666668607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362</v>
      </c>
      <c r="D6" s="13">
        <f t="shared" ref="D6:D28" si="1">C6*L6</f>
        <v>275482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286025.54166666669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13</v>
      </c>
      <c r="D14" s="31">
        <f t="shared" si="1"/>
        <v>143.54166666666666</v>
      </c>
      <c r="F14" s="167" t="s">
        <v>38</v>
      </c>
      <c r="G14" s="168"/>
      <c r="H14" s="169">
        <f>D54</f>
        <v>37234.5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248791.04166666669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286025.54166666669</v>
      </c>
      <c r="F29" s="185" t="s">
        <v>54</v>
      </c>
      <c r="G29" s="186"/>
      <c r="H29" s="189">
        <f>H15-H16-H17-H18-H19-H20-H22-H23-H24+H26+H27</f>
        <v>246847.04166666669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17">
        <f>F35*G35</f>
        <v>117500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182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245052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-1795.0416666666861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292</v>
      </c>
      <c r="D6" s="13">
        <f t="shared" ref="D6:D28" si="1">C6*L6</f>
        <v>222212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51</v>
      </c>
      <c r="D9" s="13">
        <f t="shared" si="1"/>
        <v>37383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3+1+1</f>
        <v>5</v>
      </c>
      <c r="D12" s="48">
        <f t="shared" si="1"/>
        <v>4960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271982.5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39660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232322.5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720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271982.5</v>
      </c>
      <c r="F29" s="185" t="s">
        <v>54</v>
      </c>
      <c r="G29" s="186"/>
      <c r="H29" s="189">
        <f>H15-H16-H17-H18-H19-H20-H22-H23-H24+H26+H27</f>
        <v>231602.5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17">
        <f>F34*G34</f>
        <v>177000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17">
        <f>F35*G35</f>
        <v>53500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291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10</v>
      </c>
      <c r="D44" s="12">
        <f>C44*120</f>
        <v>1200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230961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23</v>
      </c>
      <c r="D50" s="12">
        <f>C50*1.5</f>
        <v>34.5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-641.5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347</v>
      </c>
      <c r="D6" s="13">
        <f t="shared" ref="D6:D28" si="1">C6*L6</f>
        <v>264067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8</v>
      </c>
      <c r="D7" s="13">
        <f t="shared" si="1"/>
        <v>6248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55</v>
      </c>
      <c r="D8" s="13">
        <f t="shared" si="1"/>
        <v>60115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354423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53400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301023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9">
        <v>62655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354423</v>
      </c>
      <c r="F29" s="185" t="s">
        <v>54</v>
      </c>
      <c r="G29" s="186"/>
      <c r="H29" s="189">
        <f>H15-H16-H17-H18-H19-H20-H22-H23-H24+H26+H27+H28</f>
        <v>238368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17">
        <f t="shared" si="2"/>
        <v>19000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17">
        <f t="shared" si="2"/>
        <v>2200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8</v>
      </c>
      <c r="D42" s="12">
        <f>C42*2.25</f>
        <v>18</v>
      </c>
      <c r="F42" s="39" t="s">
        <v>78</v>
      </c>
      <c r="G42" s="217">
        <v>72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01">
        <v>105758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42</v>
      </c>
      <c r="D45" s="12">
        <f>C45*84</f>
        <v>3528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238430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345</v>
      </c>
      <c r="D6" s="13">
        <f t="shared" ref="D6:D28" si="1">C6*L6</f>
        <v>262545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26</v>
      </c>
      <c r="D9" s="13">
        <f t="shared" si="1"/>
        <v>19058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293011.41666666669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43533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249478.41666666669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1470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293011.41666666669</v>
      </c>
      <c r="F29" s="185" t="s">
        <v>54</v>
      </c>
      <c r="G29" s="186"/>
      <c r="H29" s="189">
        <f>H15-H16-H17-H18-H19-H20-H22-H23-H24+H26+H27</f>
        <v>248008.41666666669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17">
        <f>F34*G34</f>
        <v>140000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7">
        <f t="shared" ref="H36:H39" si="2">F36*G36</f>
        <v>600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17">
        <f t="shared" si="2"/>
        <v>1200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26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01">
        <v>70074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247450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-558.41666666668607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369</v>
      </c>
      <c r="D6" s="13">
        <f t="shared" ref="D6:D28" si="1">C6*L6</f>
        <v>280809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391216.08333333331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54899.25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336316.83333333331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2736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391216.08333333331</v>
      </c>
      <c r="F29" s="185" t="s">
        <v>54</v>
      </c>
      <c r="G29" s="186"/>
      <c r="H29" s="189">
        <f>H15-H16-H17-H18-H19-H20-H22-H23-H24+H26+H27</f>
        <v>333530.83333333331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17">
        <f>F34*G34</f>
        <v>18000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17">
        <f>F35*G35</f>
        <v>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17">
        <f t="shared" si="2"/>
        <v>3900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01">
        <v>219967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01">
        <v>82199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22</v>
      </c>
      <c r="D46" s="12">
        <f>C46*1.5</f>
        <v>33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331136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18</v>
      </c>
      <c r="D50" s="12">
        <f>C50*1.5</f>
        <v>27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-2394.8333333333139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412</v>
      </c>
      <c r="D6" s="13">
        <f t="shared" ref="D6:D28" si="1">C6*L6</f>
        <v>313532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14</v>
      </c>
      <c r="D9" s="13">
        <f t="shared" si="1"/>
        <v>10262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340635.625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15</v>
      </c>
      <c r="D14" s="31">
        <f t="shared" si="1"/>
        <v>165.625</v>
      </c>
      <c r="F14" s="167" t="s">
        <v>38</v>
      </c>
      <c r="G14" s="168"/>
      <c r="H14" s="169">
        <f>D54</f>
        <v>45124.5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295511.125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1326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126.93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340635.625</v>
      </c>
      <c r="F29" s="185" t="s">
        <v>54</v>
      </c>
      <c r="G29" s="186"/>
      <c r="H29" s="189">
        <f>H15-H16-H17-H18-H19-H20-H22-H23-H24+H26+H27+H28</f>
        <v>294058.19500000001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17">
        <f t="shared" ref="H34:H39" si="2">F34*G34</f>
        <v>95000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17">
        <f t="shared" si="2"/>
        <v>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7">
        <v>95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01">
        <v>146466.5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01">
        <v>32500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135</v>
      </c>
      <c r="G46" s="62"/>
      <c r="H46" s="201">
        <v>10000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18</v>
      </c>
      <c r="D49" s="12">
        <f>C49*42</f>
        <v>756</v>
      </c>
      <c r="F49" s="242" t="s">
        <v>85</v>
      </c>
      <c r="G49" s="189">
        <f>H34+H35+H36+H37+H38+H39+H40+H41+G42+H44+H45+H46+H47+H48</f>
        <v>293411.5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31</v>
      </c>
      <c r="D50" s="12">
        <f>C50*1.5</f>
        <v>46.5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-646.69500000000698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288</v>
      </c>
      <c r="D6" s="13">
        <f t="shared" ref="D6:D28" si="1">C6*L6</f>
        <v>219168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230845.08333333334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30505.5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200339.58333333334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230845.08333333334</v>
      </c>
      <c r="F29" s="185" t="s">
        <v>54</v>
      </c>
      <c r="G29" s="186"/>
      <c r="H29" s="189">
        <f>H15-H16-H17-H18-H19-H20-H22-H23-H24+H26+H27</f>
        <v>199091.58333333334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17">
        <f>F34*G34</f>
        <v>112000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17">
        <f>F35*G35</f>
        <v>11000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</v>
      </c>
      <c r="D42" s="12">
        <f>C42*2.25</f>
        <v>9</v>
      </c>
      <c r="F42" s="39" t="s">
        <v>78</v>
      </c>
      <c r="G42" s="217">
        <v>115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01">
        <v>69092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10</v>
      </c>
      <c r="D46" s="12">
        <f>C46*1.5</f>
        <v>15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193607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-5484.583333333343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506</v>
      </c>
      <c r="D6" s="13">
        <f t="shared" ref="D6:D28" si="1">C6*L6</f>
        <v>385066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25</v>
      </c>
      <c r="D7" s="13">
        <f t="shared" si="1"/>
        <v>19525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80</v>
      </c>
      <c r="D9" s="13">
        <f t="shared" si="1"/>
        <v>58640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481855.20833333331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77481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404374.20833333331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3528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481855.20833333331</v>
      </c>
      <c r="F29" s="185" t="s">
        <v>54</v>
      </c>
      <c r="G29" s="186"/>
      <c r="H29" s="189">
        <f>H15-H16-H17-H18-H19-H20-H22-H23-H24+H26+H27</f>
        <v>400846.20833333331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17">
        <f>F34*G34</f>
        <v>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17">
        <f>F35*G35</f>
        <v>14500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7">
        <f t="shared" ref="H36:H39" si="2">F36*G36</f>
        <v>400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17">
        <f t="shared" si="2"/>
        <v>5900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7">
        <f t="shared" si="2"/>
        <v>60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73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01">
        <v>184406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01">
        <v>104588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386177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-14669.208333333314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01">
        <v>62655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62655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7">
        <f t="shared" ref="H34:H39" si="2">F34*G34</f>
        <v>62000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17">
        <f t="shared" si="2"/>
        <v>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62655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594</v>
      </c>
      <c r="D6" s="13">
        <f t="shared" ref="D6:D28" si="1">C6*L6</f>
        <v>452034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36</v>
      </c>
      <c r="D7" s="13">
        <f t="shared" si="1"/>
        <v>28116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</v>
      </c>
      <c r="D9" s="13">
        <f t="shared" si="1"/>
        <v>6597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5</v>
      </c>
      <c r="D11" s="13">
        <f t="shared" si="1"/>
        <v>5850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162" t="s">
        <v>36</v>
      </c>
      <c r="G13" s="163"/>
      <c r="H13" s="164">
        <f>D29</f>
        <v>502994.04166666669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47216.25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455777.79166666669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3108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502994.04166666669</v>
      </c>
      <c r="F29" s="185" t="s">
        <v>54</v>
      </c>
      <c r="G29" s="186"/>
      <c r="H29" s="189">
        <f>H15-H16-H17-H18-H19-H20-H22-H23-H24+H26+H27</f>
        <v>452669.79166666669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17">
        <f>F34*G34</f>
        <v>136000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01">
        <v>187503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469044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16374.208333333314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zoomScaleNormal="100" zoomScaleSheetLayoutView="85" workbookViewId="0">
      <selection activeCell="L35" sqref="L34:L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zoomScaleNormal="100" zoomScaleSheetLayoutView="85" workbookViewId="0">
      <selection activeCell="L35" sqref="L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abSelected="1"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2026-08-17T00:46:06Z</cp:lastPrinted>
  <dcterms:created xsi:type="dcterms:W3CDTF">2024-09-01T23:36:50Z</dcterms:created>
  <dcterms:modified xsi:type="dcterms:W3CDTF">2026-08-17T02:04:25Z</dcterms:modified>
</cp:coreProperties>
</file>