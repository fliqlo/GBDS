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A7FA8959-63CF-428B-BFCB-FE0A9E747B74}" xr6:coauthVersionLast="45" xr6:coauthVersionMax="47" xr10:uidLastSave="{00000000-0000-0000-0000-000000000000}"/>
  <bookViews>
    <workbookView xWindow="-120" yWindow="-120" windowWidth="29040" windowHeight="15840" activeTab="2" xr2:uid="{B997F013-12E6-4AA2-8A9D-EFCC32EA76C2}"/>
  </bookViews>
  <sheets>
    <sheet name="AUGUST, SRS R1" sheetId="6" r:id="rId1"/>
    <sheet name="AUGUST, SRS R2" sheetId="12" r:id="rId2"/>
    <sheet name="AUGUST, SRS R3" sheetId="13" r:id="rId3"/>
    <sheet name="," sheetId="14" r:id="rId4"/>
  </sheets>
  <definedNames>
    <definedName name="_xlnm.Print_Area" localSheetId="0">'AUGUST, SRS R1'!$A$1:$K$44</definedName>
    <definedName name="_xlnm.Print_Area" localSheetId="1">'AUGUST, SRS R2'!$A$1:$K$44</definedName>
    <definedName name="_xlnm.Print_Area" localSheetId="2">'AUGUST, SRS R3'!$A$1:$K$44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5" i="12" l="1"/>
  <c r="K13" i="12" l="1"/>
  <c r="K43" i="13" l="1"/>
  <c r="J43" i="13"/>
  <c r="I43" i="13"/>
  <c r="H43" i="13"/>
  <c r="G43" i="13"/>
  <c r="F43" i="13"/>
  <c r="E43" i="13"/>
  <c r="D43" i="13"/>
  <c r="C43" i="13"/>
  <c r="K43" i="12"/>
  <c r="J43" i="12"/>
  <c r="I43" i="12"/>
  <c r="H43" i="12"/>
  <c r="G43" i="12"/>
  <c r="F43" i="12"/>
  <c r="E43" i="12"/>
  <c r="D43" i="12"/>
  <c r="C43" i="12"/>
  <c r="I43" i="6" l="1"/>
  <c r="J43" i="6"/>
  <c r="G43" i="6"/>
  <c r="D43" i="6"/>
  <c r="K43" i="6" l="1"/>
  <c r="H43" i="6"/>
  <c r="F43" i="6"/>
  <c r="E43" i="6"/>
  <c r="C4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0" authorId="0" shapeId="0" xr:uid="{0100D012-1399-44BA-A6D1-99ACE973B8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SI NO. 11623</t>
        </r>
      </text>
    </comment>
    <comment ref="I15" authorId="0" shapeId="0" xr:uid="{5930818C-DECD-4D05-BD54-A31AEDDE5E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SI NO. 11720</t>
        </r>
      </text>
    </comment>
    <comment ref="K15" authorId="0" shapeId="0" xr:uid="{009EC669-73A1-46E2-84C3-48F2A94F08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TICKET = 50
PROMO = 4550</t>
        </r>
      </text>
    </comment>
  </commentList>
</comments>
</file>

<file path=xl/sharedStrings.xml><?xml version="1.0" encoding="utf-8"?>
<sst xmlns="http://schemas.openxmlformats.org/spreadsheetml/2006/main" count="81" uniqueCount="22">
  <si>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</si>
  <si>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</si>
  <si>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</si>
  <si>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</si>
  <si>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</si>
  <si>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</si>
  <si>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</si>
  <si>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</si>
  <si>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</si>
  <si>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</si>
  <si>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</si>
  <si>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</si>
  <si>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</si>
  <si>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r>
      <t>DSP:</t>
    </r>
    <r>
      <rPr>
        <b/>
        <u/>
        <sz val="11"/>
        <color theme="1"/>
        <rFont val="Times New Roman"/>
        <family val="1"/>
      </rPr>
      <t xml:space="preserve"> PORMENTO, ESTEMARK</t>
    </r>
  </si>
  <si>
    <t>DISCOUNT</t>
  </si>
  <si>
    <t>TOTAL SALES</t>
  </si>
  <si>
    <t>NET SALES</t>
  </si>
  <si>
    <t>COLLECTION</t>
  </si>
  <si>
    <t>CREDIT</t>
  </si>
  <si>
    <t>TOTAL REM.</t>
  </si>
  <si>
    <t>AUGUST</t>
  </si>
  <si>
    <t>NO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</si>
</sst>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2" fillId="0" borderId="1" xfId="0" applyFont="1" applyBorder="1"/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/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Alignment="1">
      <alignment horizontal="center" vertical="center"/>
    </xf>
    <xf numFmtId="164" fontId="9" fillId="0" borderId="1" xfId="1" applyFont="1" applyBorder="1" applyAlignment="1"/>
    <xf numFmtId="164" fontId="14" fillId="0" borderId="1" xfId="1" applyFont="1" applyBorder="1" applyAlignment="1"/>
    <xf numFmtId="165" fontId="9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5" fontId="9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13" fillId="3" borderId="1" xfId="0" applyFont="1" applyFill="1" applyBorder="1" applyAlignment="1">
      <alignment horizontal="center"/>
    </xf>
    <xf numFmtId="164" fontId="14" fillId="0" borderId="0" xfId="1" applyFont="1" applyBorder="1" applyAlignment="1"/>
    <xf numFmtId="164" fontId="9" fillId="0" borderId="0" xfId="1" applyFont="1" applyBorder="1" applyAlignment="1"/>
    <xf numFmtId="164" fontId="2" fillId="0" borderId="1" xfId="1" applyFont="1" applyBorder="1" applyAlignment="1"/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V279"/>
  <sheetViews>
    <sheetView zoomScaleNormal="100" zoomScaleSheetLayoutView="100" workbookViewId="0">
      <selection activeCell="C17" sqref="C17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3" customWidth="1"/>
    <col min="7" max="7" width="15" style="32" customWidth="1"/>
    <col min="8" max="10" width="15" customWidth="1"/>
    <col min="11" max="11" width="14.75" customWidth="1"/>
    <col min="14" max="14" width="13.125" bestFit="1" customWidth="1"/>
    <col min="17" max="17" width="13.25" bestFit="1" customWidth="1"/>
  </cols>
  <sheetData>
    <row r="1" spans="1:22">
      <c r="F1"/>
      <c r="G1"/>
    </row>
    <row r="2" spans="1:22" ht="16.5">
      <c r="A2" s="2"/>
      <c r="B2" s="17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>
      <c r="A4" s="3"/>
      <c r="B4" s="3" t="s">
        <v>20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/>
      <c r="B5" s="16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>
      <c r="A6" s="5"/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>
      <c r="A7" s="5"/>
      <c r="B7" s="5" t="s">
        <v>10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>
      <c r="A9" s="11" t="s">
        <v>2</v>
      </c>
      <c r="B9" s="12" t="s">
        <v>11</v>
      </c>
      <c r="C9" s="20" t="s">
        <v>15</v>
      </c>
      <c r="D9" s="30" t="s">
        <v>16</v>
      </c>
      <c r="E9" s="21" t="s">
        <v>5</v>
      </c>
      <c r="F9" s="12" t="s">
        <v>3</v>
      </c>
      <c r="G9" s="33" t="s">
        <v>14</v>
      </c>
      <c r="H9" s="12" t="s">
        <v>19</v>
      </c>
      <c r="I9" s="33" t="s">
        <v>18</v>
      </c>
      <c r="J9" s="12" t="s">
        <v>17</v>
      </c>
      <c r="K9" s="12" t="s"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A10" s="10">
        <v>1</v>
      </c>
      <c r="B10" s="24">
        <v>46235</v>
      </c>
      <c r="C10" s="28"/>
      <c r="D10" s="28"/>
      <c r="E10" s="27"/>
      <c r="F10" s="27"/>
      <c r="G10" s="27"/>
      <c r="H10" s="28"/>
      <c r="I10" s="27"/>
      <c r="J10" s="28"/>
      <c r="K10" s="2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A11" s="10">
        <v>2</v>
      </c>
      <c r="B11" s="29" t="s">
        <v>0</v>
      </c>
      <c r="C11" s="37" t="s">
        <v>0</v>
      </c>
      <c r="D11" s="38"/>
      <c r="E11" s="38"/>
      <c r="F11" s="38"/>
      <c r="G11" s="38"/>
      <c r="H11" s="38"/>
      <c r="I11" s="38"/>
      <c r="J11" s="38"/>
      <c r="K11" s="3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A12" s="10">
        <v>3</v>
      </c>
      <c r="B12" s="24">
        <v>46237</v>
      </c>
      <c r="C12" s="28">
        <v>248162.33</v>
      </c>
      <c r="D12" s="28">
        <v>211801.58</v>
      </c>
      <c r="E12" s="27"/>
      <c r="F12" s="28">
        <v>648.41999999999996</v>
      </c>
      <c r="G12" s="27"/>
      <c r="H12" s="28">
        <v>212450</v>
      </c>
      <c r="I12" s="27"/>
      <c r="J12" s="28"/>
      <c r="K12" s="2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A13" s="10">
        <v>4</v>
      </c>
      <c r="B13" s="24">
        <v>46238</v>
      </c>
      <c r="C13" s="37" t="s">
        <v>21</v>
      </c>
      <c r="D13" s="38"/>
      <c r="E13" s="38"/>
      <c r="F13" s="38"/>
      <c r="G13" s="38"/>
      <c r="H13" s="38"/>
      <c r="I13" s="38"/>
      <c r="J13" s="38"/>
      <c r="K13" s="3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0">
        <v>5</v>
      </c>
      <c r="B14" s="24">
        <v>46239</v>
      </c>
      <c r="C14" s="28">
        <v>276596</v>
      </c>
      <c r="D14" s="28">
        <v>237279.5</v>
      </c>
      <c r="E14" s="27"/>
      <c r="F14" s="28">
        <v>0.5</v>
      </c>
      <c r="G14" s="27">
        <v>2034</v>
      </c>
      <c r="H14" s="28">
        <v>237280</v>
      </c>
      <c r="I14" s="27"/>
      <c r="J14" s="28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0">
        <v>6</v>
      </c>
      <c r="B15" s="24">
        <v>46240</v>
      </c>
      <c r="C15" s="37" t="s">
        <v>21</v>
      </c>
      <c r="D15" s="38"/>
      <c r="E15" s="38"/>
      <c r="F15" s="38"/>
      <c r="G15" s="38"/>
      <c r="H15" s="38"/>
      <c r="I15" s="38"/>
      <c r="J15" s="38"/>
      <c r="K15" s="3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0">
        <v>7</v>
      </c>
      <c r="B16" s="24">
        <v>46241</v>
      </c>
      <c r="C16" s="28">
        <v>408810.71</v>
      </c>
      <c r="D16" s="28">
        <v>348709.46</v>
      </c>
      <c r="E16" s="27">
        <v>284.45999999999998</v>
      </c>
      <c r="F16" s="27"/>
      <c r="G16" s="27"/>
      <c r="H16" s="28">
        <v>348425</v>
      </c>
      <c r="I16" s="27"/>
      <c r="J16" s="28"/>
      <c r="K16" s="2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0">
        <v>8</v>
      </c>
      <c r="B17" s="24">
        <v>46242</v>
      </c>
      <c r="C17" s="28"/>
      <c r="D17" s="28"/>
      <c r="E17" s="27"/>
      <c r="F17" s="27"/>
      <c r="G17" s="27"/>
      <c r="H17" s="28"/>
      <c r="I17" s="27"/>
      <c r="J17" s="28"/>
      <c r="K17" s="2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>
      <c r="A18" s="10">
        <v>9</v>
      </c>
      <c r="B18" s="29" t="s">
        <v>0</v>
      </c>
      <c r="C18" s="37" t="s">
        <v>0</v>
      </c>
      <c r="D18" s="38"/>
      <c r="E18" s="38"/>
      <c r="F18" s="38"/>
      <c r="G18" s="38"/>
      <c r="H18" s="38"/>
      <c r="I18" s="38"/>
      <c r="J18" s="38"/>
      <c r="K18" s="3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0">
        <v>10</v>
      </c>
      <c r="B19" s="24">
        <v>46244</v>
      </c>
      <c r="C19" s="28"/>
      <c r="D19" s="28"/>
      <c r="E19" s="27"/>
      <c r="F19" s="27"/>
      <c r="G19" s="27"/>
      <c r="H19" s="28"/>
      <c r="I19" s="27"/>
      <c r="J19" s="28"/>
      <c r="K19" s="2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0">
        <v>11</v>
      </c>
      <c r="B20" s="24">
        <v>46245</v>
      </c>
      <c r="C20" s="28"/>
      <c r="D20" s="28"/>
      <c r="E20" s="27"/>
      <c r="F20" s="27"/>
      <c r="G20" s="27"/>
      <c r="H20" s="28"/>
      <c r="I20" s="27"/>
      <c r="J20" s="28"/>
      <c r="K20" s="2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0">
        <v>12</v>
      </c>
      <c r="B21" s="24">
        <v>46246</v>
      </c>
      <c r="C21" s="28"/>
      <c r="D21" s="28"/>
      <c r="E21" s="27"/>
      <c r="F21" s="27"/>
      <c r="G21" s="27"/>
      <c r="H21" s="28"/>
      <c r="I21" s="27"/>
      <c r="J21" s="28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0">
        <v>13</v>
      </c>
      <c r="B22" s="24">
        <v>46247</v>
      </c>
      <c r="C22" s="28"/>
      <c r="D22" s="28"/>
      <c r="E22" s="27"/>
      <c r="F22" s="27"/>
      <c r="G22" s="27"/>
      <c r="H22" s="28"/>
      <c r="I22" s="27"/>
      <c r="J22" s="28"/>
      <c r="K22" s="2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0">
        <v>14</v>
      </c>
      <c r="B23" s="24">
        <v>46248</v>
      </c>
      <c r="C23" s="28"/>
      <c r="D23" s="28"/>
      <c r="E23" s="27"/>
      <c r="F23" s="27"/>
      <c r="G23" s="27"/>
      <c r="H23" s="28"/>
      <c r="I23" s="27"/>
      <c r="J23" s="28"/>
      <c r="K23" s="27"/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</row>
    <row r="24" spans="1:22" ht="15">
      <c r="A24" s="10">
        <v>15</v>
      </c>
      <c r="B24" s="24">
        <v>46249</v>
      </c>
      <c r="C24" s="28"/>
      <c r="D24" s="28"/>
      <c r="E24" s="27"/>
      <c r="F24" s="27"/>
      <c r="G24" s="27"/>
      <c r="H24" s="28"/>
      <c r="I24" s="27"/>
      <c r="J24" s="28"/>
      <c r="K24" s="27"/>
      <c r="L24" s="1"/>
      <c r="M24" s="1"/>
      <c r="N24" s="7"/>
      <c r="O24" s="1"/>
      <c r="P24" s="1"/>
      <c r="Q24" s="1"/>
      <c r="R24" s="1"/>
      <c r="S24" s="1"/>
      <c r="T24" s="1"/>
      <c r="U24" s="1"/>
      <c r="V24" s="1"/>
    </row>
    <row r="25" spans="1:22" ht="15">
      <c r="A25" s="10">
        <v>16</v>
      </c>
      <c r="B25" s="29" t="s">
        <v>0</v>
      </c>
      <c r="C25" s="37" t="s">
        <v>0</v>
      </c>
      <c r="D25" s="38"/>
      <c r="E25" s="38"/>
      <c r="F25" s="38"/>
      <c r="G25" s="38"/>
      <c r="H25" s="38"/>
      <c r="I25" s="38"/>
      <c r="J25" s="38"/>
      <c r="K25" s="39"/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</row>
    <row r="26" spans="1:22" ht="15">
      <c r="A26" s="10">
        <v>17</v>
      </c>
      <c r="B26" s="24">
        <v>46251</v>
      </c>
      <c r="C26" s="28"/>
      <c r="D26" s="28"/>
      <c r="E26" s="27"/>
      <c r="F26" s="27"/>
      <c r="G26" s="27"/>
      <c r="H26" s="28"/>
      <c r="I26" s="27"/>
      <c r="J26" s="28"/>
      <c r="K26" s="27"/>
      <c r="L26" s="1"/>
      <c r="M26" s="1"/>
      <c r="N26" s="15"/>
      <c r="O26" s="1"/>
      <c r="P26" s="1"/>
      <c r="Q26" s="1"/>
      <c r="R26" s="1"/>
      <c r="S26" s="1"/>
      <c r="T26" s="1"/>
      <c r="U26" s="1"/>
      <c r="V26" s="1"/>
    </row>
    <row r="27" spans="1:22" ht="15">
      <c r="A27" s="10">
        <v>18</v>
      </c>
      <c r="B27" s="24">
        <v>46252</v>
      </c>
      <c r="C27" s="28"/>
      <c r="D27" s="28"/>
      <c r="E27" s="27"/>
      <c r="F27" s="27"/>
      <c r="G27" s="27"/>
      <c r="H27" s="28"/>
      <c r="I27" s="27"/>
      <c r="J27" s="28"/>
      <c r="K27" s="27"/>
      <c r="L27" s="1"/>
      <c r="M27" s="1"/>
      <c r="N27" s="7"/>
      <c r="O27" s="1"/>
      <c r="P27" s="1"/>
      <c r="Q27" s="1"/>
      <c r="R27" s="1"/>
      <c r="S27" s="1"/>
      <c r="T27" s="1"/>
      <c r="U27" s="1"/>
      <c r="V27" s="1"/>
    </row>
    <row r="28" spans="1:22" ht="15">
      <c r="A28" s="10">
        <v>19</v>
      </c>
      <c r="B28" s="24">
        <v>46253</v>
      </c>
      <c r="C28" s="28"/>
      <c r="D28" s="28"/>
      <c r="E28" s="27"/>
      <c r="F28" s="27"/>
      <c r="G28" s="27"/>
      <c r="H28" s="28"/>
      <c r="I28" s="27"/>
      <c r="J28" s="28"/>
      <c r="K28" s="27"/>
      <c r="L28" s="1"/>
      <c r="M28" s="1"/>
      <c r="N28" s="7"/>
      <c r="O28" s="1"/>
      <c r="P28" s="1"/>
      <c r="Q28" s="1"/>
      <c r="R28" s="1"/>
      <c r="S28" s="1"/>
      <c r="T28" s="1"/>
      <c r="U28" s="1"/>
      <c r="V28" s="1"/>
    </row>
    <row r="29" spans="1:22" ht="15">
      <c r="A29" s="10">
        <v>20</v>
      </c>
      <c r="B29" s="24">
        <v>46254</v>
      </c>
      <c r="C29" s="28"/>
      <c r="D29" s="28"/>
      <c r="E29" s="27"/>
      <c r="F29" s="27"/>
      <c r="G29" s="27"/>
      <c r="H29" s="28"/>
      <c r="I29" s="27"/>
      <c r="J29" s="28"/>
      <c r="K29" s="27"/>
      <c r="L29" s="1"/>
      <c r="M29" s="1"/>
      <c r="N29" s="7"/>
      <c r="O29" s="1"/>
      <c r="P29" s="1"/>
      <c r="Q29" s="1"/>
      <c r="R29" s="1"/>
      <c r="S29" s="1"/>
      <c r="T29" s="1"/>
      <c r="U29" s="1"/>
      <c r="V29" s="1"/>
    </row>
    <row r="30" spans="1:22" ht="15">
      <c r="A30" s="10">
        <v>21</v>
      </c>
      <c r="B30" s="24">
        <v>46255</v>
      </c>
      <c r="C30" s="28"/>
      <c r="D30" s="28"/>
      <c r="E30" s="27"/>
      <c r="F30" s="27"/>
      <c r="G30" s="27"/>
      <c r="H30" s="28"/>
      <c r="I30" s="27"/>
      <c r="J30" s="28"/>
      <c r="K30" s="27"/>
      <c r="L30" s="1"/>
      <c r="M30" s="1"/>
      <c r="N30" s="7"/>
      <c r="O30" s="1"/>
      <c r="P30" s="1"/>
      <c r="Q30" s="1"/>
      <c r="R30" s="1"/>
      <c r="S30" s="1"/>
      <c r="T30" s="1"/>
      <c r="U30" s="1"/>
      <c r="V30" s="1"/>
    </row>
    <row r="31" spans="1:22" ht="15">
      <c r="A31" s="10">
        <v>22</v>
      </c>
      <c r="B31" s="24">
        <v>46256</v>
      </c>
      <c r="C31" s="28"/>
      <c r="D31" s="28"/>
      <c r="E31" s="27"/>
      <c r="F31" s="27"/>
      <c r="G31" s="27"/>
      <c r="H31" s="28"/>
      <c r="I31" s="27"/>
      <c r="J31" s="28"/>
      <c r="K31" s="27"/>
      <c r="L31" s="1"/>
      <c r="M31" s="1"/>
      <c r="N31" s="15"/>
      <c r="O31" s="1"/>
      <c r="P31" s="1"/>
      <c r="Q31" s="1"/>
      <c r="R31" s="1"/>
      <c r="S31" s="1"/>
      <c r="T31" s="1"/>
      <c r="U31" s="1"/>
      <c r="V31" s="1"/>
    </row>
    <row r="32" spans="1:22" ht="15">
      <c r="A32" s="10">
        <v>23</v>
      </c>
      <c r="B32" s="29" t="s">
        <v>0</v>
      </c>
      <c r="C32" s="37" t="s">
        <v>0</v>
      </c>
      <c r="D32" s="38"/>
      <c r="E32" s="38"/>
      <c r="F32" s="38"/>
      <c r="G32" s="38"/>
      <c r="H32" s="38"/>
      <c r="I32" s="38"/>
      <c r="J32" s="38"/>
      <c r="K32" s="39"/>
      <c r="L32" s="1"/>
      <c r="M32" s="1"/>
      <c r="N32" s="7"/>
      <c r="O32" s="1"/>
      <c r="P32" s="1"/>
      <c r="Q32" s="1"/>
      <c r="R32" s="1"/>
      <c r="S32" s="1"/>
      <c r="T32" s="1"/>
      <c r="U32" s="1"/>
      <c r="V32" s="1"/>
    </row>
    <row r="33" spans="1:22" ht="15">
      <c r="A33" s="10">
        <v>24</v>
      </c>
      <c r="B33" s="24">
        <v>46258</v>
      </c>
      <c r="C33" s="28"/>
      <c r="D33" s="28"/>
      <c r="E33" s="27"/>
      <c r="F33" s="27"/>
      <c r="G33" s="27"/>
      <c r="H33" s="28"/>
      <c r="I33" s="27"/>
      <c r="J33" s="28"/>
      <c r="K33" s="27"/>
      <c r="L33" s="1"/>
      <c r="M33" s="1"/>
      <c r="N33" s="7"/>
      <c r="O33" s="1"/>
      <c r="P33" s="1"/>
      <c r="Q33" s="7"/>
      <c r="R33" s="1"/>
      <c r="S33" s="1"/>
      <c r="T33" s="1"/>
      <c r="U33" s="1"/>
      <c r="V33" s="1"/>
    </row>
    <row r="34" spans="1:22" ht="15">
      <c r="A34" s="10">
        <v>25</v>
      </c>
      <c r="B34" s="24">
        <v>46259</v>
      </c>
      <c r="C34" s="28"/>
      <c r="D34" s="28"/>
      <c r="E34" s="27"/>
      <c r="F34" s="27"/>
      <c r="G34" s="27"/>
      <c r="H34" s="28"/>
      <c r="I34" s="27"/>
      <c r="J34" s="28"/>
      <c r="K34" s="27"/>
      <c r="L34" s="1"/>
      <c r="M34" s="1"/>
      <c r="N34" s="7"/>
      <c r="O34" s="1"/>
      <c r="P34" s="1"/>
      <c r="Q34" s="7"/>
      <c r="R34" s="1"/>
      <c r="S34" s="1"/>
      <c r="T34" s="1"/>
      <c r="U34" s="1"/>
      <c r="V34" s="1"/>
    </row>
    <row r="35" spans="1:22" ht="15">
      <c r="A35" s="10">
        <v>26</v>
      </c>
      <c r="B35" s="24">
        <v>46260</v>
      </c>
      <c r="C35" s="28"/>
      <c r="D35" s="28"/>
      <c r="E35" s="27"/>
      <c r="F35" s="27"/>
      <c r="G35" s="27"/>
      <c r="H35" s="28"/>
      <c r="I35" s="27"/>
      <c r="J35" s="28"/>
      <c r="K35" s="27"/>
      <c r="L35" s="1"/>
      <c r="M35" s="1"/>
      <c r="N35" s="7"/>
      <c r="O35" s="1"/>
      <c r="P35" s="1"/>
      <c r="Q35" s="7"/>
      <c r="R35" s="1"/>
      <c r="S35" s="1"/>
      <c r="T35" s="1"/>
      <c r="U35" s="1"/>
      <c r="V35" s="1"/>
    </row>
    <row r="36" spans="1:22" ht="15">
      <c r="A36" s="10">
        <v>27</v>
      </c>
      <c r="B36" s="24">
        <v>46261</v>
      </c>
      <c r="C36" s="28"/>
      <c r="D36" s="28"/>
      <c r="E36" s="27"/>
      <c r="F36" s="27"/>
      <c r="G36" s="27"/>
      <c r="H36" s="28"/>
      <c r="I36" s="27"/>
      <c r="J36" s="28"/>
      <c r="K36" s="27"/>
      <c r="L36" s="1"/>
      <c r="M36" s="1"/>
      <c r="N36" s="7"/>
      <c r="O36" s="1"/>
      <c r="P36" s="1"/>
      <c r="Q36" s="7"/>
      <c r="R36" s="1"/>
      <c r="S36" s="1"/>
      <c r="T36" s="1"/>
      <c r="U36" s="1"/>
      <c r="V36" s="1"/>
    </row>
    <row r="37" spans="1:22" ht="15">
      <c r="A37" s="10">
        <v>28</v>
      </c>
      <c r="B37" s="24">
        <v>46262</v>
      </c>
      <c r="C37" s="28"/>
      <c r="D37" s="28"/>
      <c r="E37" s="27"/>
      <c r="F37" s="27"/>
      <c r="G37" s="27"/>
      <c r="H37" s="28"/>
      <c r="I37" s="27"/>
      <c r="J37" s="28"/>
      <c r="K37" s="27"/>
      <c r="L37" s="1"/>
      <c r="M37" s="1"/>
      <c r="N37" s="8"/>
      <c r="O37" s="1"/>
      <c r="P37" s="1"/>
      <c r="Q37" s="7"/>
      <c r="R37" s="1"/>
      <c r="S37" s="1"/>
      <c r="T37" s="1"/>
      <c r="U37" s="1"/>
      <c r="V37" s="1"/>
    </row>
    <row r="38" spans="1:22" ht="15">
      <c r="A38" s="10">
        <v>29</v>
      </c>
      <c r="B38" s="24">
        <v>46263</v>
      </c>
      <c r="C38" s="28"/>
      <c r="D38" s="28"/>
      <c r="E38" s="27"/>
      <c r="F38" s="27"/>
      <c r="G38" s="27"/>
      <c r="H38" s="28"/>
      <c r="I38" s="27"/>
      <c r="J38" s="28"/>
      <c r="K38" s="27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</row>
    <row r="39" spans="1:22" ht="15">
      <c r="A39" s="10">
        <v>30</v>
      </c>
      <c r="B39" s="29" t="s">
        <v>0</v>
      </c>
      <c r="C39" s="37" t="s">
        <v>0</v>
      </c>
      <c r="D39" s="38"/>
      <c r="E39" s="38"/>
      <c r="F39" s="38"/>
      <c r="G39" s="38"/>
      <c r="H39" s="38"/>
      <c r="I39" s="38"/>
      <c r="J39" s="38"/>
      <c r="K39" s="39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</row>
    <row r="40" spans="1:22" ht="15">
      <c r="A40" s="10">
        <v>31</v>
      </c>
      <c r="B40" s="24">
        <v>46265</v>
      </c>
      <c r="C40" s="28"/>
      <c r="D40" s="28"/>
      <c r="E40" s="27"/>
      <c r="F40" s="27"/>
      <c r="G40" s="27"/>
      <c r="H40" s="28"/>
      <c r="I40" s="27"/>
      <c r="J40" s="28"/>
      <c r="K40" s="27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</row>
    <row r="41" spans="1:22" ht="15">
      <c r="A41" s="10"/>
      <c r="B41" s="29"/>
      <c r="C41" s="37"/>
      <c r="D41" s="38"/>
      <c r="E41" s="38"/>
      <c r="F41" s="38"/>
      <c r="G41" s="38"/>
      <c r="H41" s="38"/>
      <c r="I41" s="38"/>
      <c r="J41" s="38"/>
      <c r="K41" s="39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</row>
    <row r="42" spans="1:22" ht="15">
      <c r="A42" s="19"/>
      <c r="B42" s="29"/>
      <c r="C42" s="37"/>
      <c r="D42" s="38"/>
      <c r="E42" s="38"/>
      <c r="F42" s="38"/>
      <c r="G42" s="38"/>
      <c r="H42" s="38"/>
      <c r="I42" s="38"/>
      <c r="J42" s="38"/>
      <c r="K42" s="39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</row>
    <row r="43" spans="1:22" ht="15">
      <c r="A43" s="23" t="s">
        <v>1</v>
      </c>
      <c r="B43" s="24"/>
      <c r="C43" s="14">
        <f t="shared" ref="C43:H43" si="0">SUM(C10:C42)</f>
        <v>933569.04</v>
      </c>
      <c r="D43" s="14">
        <f t="shared" si="0"/>
        <v>797790.54</v>
      </c>
      <c r="E43" s="25">
        <f t="shared" si="0"/>
        <v>284.45999999999998</v>
      </c>
      <c r="F43" s="14">
        <f t="shared" si="0"/>
        <v>648.91999999999996</v>
      </c>
      <c r="G43" s="25">
        <f t="shared" si="0"/>
        <v>2034</v>
      </c>
      <c r="H43" s="14">
        <f t="shared" si="0"/>
        <v>798155</v>
      </c>
      <c r="I43" s="25">
        <f t="shared" ref="I43:J43" si="1">SUM(I10:I42)</f>
        <v>0</v>
      </c>
      <c r="J43" s="14">
        <f t="shared" si="1"/>
        <v>0</v>
      </c>
      <c r="K43" s="14">
        <f>SUM(K10:K42)</f>
        <v>0</v>
      </c>
      <c r="L43" s="1"/>
      <c r="M43" s="1"/>
      <c r="N43" s="9"/>
      <c r="O43" s="1"/>
      <c r="P43" s="1"/>
      <c r="Q43" s="1"/>
      <c r="R43" s="1"/>
      <c r="S43" s="1"/>
      <c r="T43" s="1"/>
      <c r="U43" s="1"/>
      <c r="V43" s="1"/>
    </row>
    <row r="44" spans="1:22" ht="15">
      <c r="A44" s="1"/>
      <c r="B44" s="26"/>
      <c r="C44" s="18"/>
      <c r="D44" s="18"/>
      <c r="E44" s="22"/>
      <c r="F44" s="9"/>
      <c r="G44" s="9"/>
      <c r="H44" s="9"/>
      <c r="I44" s="9"/>
      <c r="J44" s="9"/>
      <c r="K44" s="1"/>
      <c r="L44" s="1"/>
      <c r="M44" s="1"/>
      <c r="N44" s="15"/>
      <c r="O44" s="1"/>
      <c r="P44" s="1"/>
      <c r="Q44" s="1"/>
      <c r="R44" s="1"/>
      <c r="S44" s="1"/>
      <c r="T44" s="1"/>
      <c r="U44" s="1"/>
      <c r="V44" s="1"/>
    </row>
    <row r="45" spans="1:22" ht="15">
      <c r="A45" s="1"/>
      <c r="B45" s="1"/>
      <c r="C45" s="34"/>
      <c r="D45" s="34"/>
      <c r="E45" s="35"/>
      <c r="F45" s="35"/>
      <c r="G45" s="35"/>
      <c r="H45" s="34"/>
      <c r="I45" s="35"/>
      <c r="J45" s="34"/>
      <c r="K45" s="35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</row>
    <row r="46" spans="1:22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"/>
      <c r="O46" s="1"/>
      <c r="P46" s="1"/>
      <c r="Q46" s="1"/>
      <c r="R46" s="1"/>
      <c r="S46" s="1"/>
      <c r="T46" s="1"/>
      <c r="U46" s="1"/>
      <c r="V46" s="1"/>
    </row>
    <row r="47" spans="1:2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</row>
    <row r="48" spans="1:22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"/>
      <c r="O48" s="1"/>
      <c r="P48" s="1"/>
      <c r="Q48" s="1"/>
      <c r="R48" s="1"/>
      <c r="S48" s="1"/>
      <c r="T48" s="1"/>
      <c r="U48" s="1"/>
      <c r="V48" s="1"/>
    </row>
    <row r="49" spans="1:22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</row>
    <row r="50" spans="1:22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F196"/>
      <c r="G196"/>
    </row>
    <row r="197" spans="1:22">
      <c r="F197"/>
      <c r="G197"/>
    </row>
    <row r="198" spans="1:22">
      <c r="F198"/>
      <c r="G198"/>
    </row>
    <row r="199" spans="1:22">
      <c r="F199"/>
      <c r="G199"/>
    </row>
    <row r="200" spans="1:22">
      <c r="F200"/>
      <c r="G200"/>
    </row>
    <row r="201" spans="1:22">
      <c r="F201"/>
      <c r="G201"/>
    </row>
    <row r="202" spans="1:22">
      <c r="F202"/>
      <c r="G202"/>
    </row>
    <row r="203" spans="1:22">
      <c r="F203"/>
      <c r="G203"/>
    </row>
    <row r="204" spans="1:22">
      <c r="F204"/>
      <c r="G204"/>
    </row>
    <row r="205" spans="1:22">
      <c r="F205"/>
      <c r="G205"/>
    </row>
    <row r="206" spans="1:22">
      <c r="F206"/>
      <c r="G206"/>
    </row>
    <row r="207" spans="1:22">
      <c r="F207"/>
      <c r="G207"/>
    </row>
    <row r="208" spans="1:22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</sheetData>
  <mergeCells count="9">
    <mergeCell ref="C42:K42"/>
    <mergeCell ref="C41:K41"/>
    <mergeCell ref="C11:K11"/>
    <mergeCell ref="C18:K18"/>
    <mergeCell ref="C25:K25"/>
    <mergeCell ref="C32:K32"/>
    <mergeCell ref="C39:K39"/>
    <mergeCell ref="C13:K13"/>
    <mergeCell ref="C15:K15"/>
  </mergeCells>
  <pageMargins left="0.7" right="0.7" top="0.75" bottom="0.7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V279"/>
  <sheetViews>
    <sheetView zoomScaleNormal="100" zoomScaleSheetLayoutView="100" workbookViewId="0">
      <selection activeCell="C17" sqref="C17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3" customWidth="1"/>
    <col min="7" max="7" width="15" style="32" customWidth="1"/>
    <col min="8" max="10" width="15" customWidth="1"/>
    <col min="11" max="11" width="14.75" customWidth="1"/>
    <col min="14" max="14" width="13.125" bestFit="1" customWidth="1"/>
    <col min="17" max="17" width="13.25" bestFit="1" customWidth="1"/>
  </cols>
  <sheetData>
    <row r="1" spans="1:22">
      <c r="F1"/>
      <c r="G1"/>
    </row>
    <row r="2" spans="1:22" ht="16.5">
      <c r="A2" s="2"/>
      <c r="B2" s="17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>
      <c r="A4" s="3"/>
      <c r="B4" s="3" t="s">
        <v>20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/>
      <c r="B5" s="16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>
      <c r="A6" s="5"/>
      <c r="B6" s="5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>
      <c r="A7" s="5"/>
      <c r="B7" s="5" t="s">
        <v>13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>
      <c r="A8" s="5"/>
      <c r="B8" s="5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>
      <c r="A9" s="11" t="s">
        <v>2</v>
      </c>
      <c r="B9" s="12" t="s">
        <v>11</v>
      </c>
      <c r="C9" s="20" t="s">
        <v>15</v>
      </c>
      <c r="D9" s="30" t="s">
        <v>16</v>
      </c>
      <c r="E9" s="21" t="s">
        <v>5</v>
      </c>
      <c r="F9" s="12" t="s">
        <v>3</v>
      </c>
      <c r="G9" s="33" t="s">
        <v>14</v>
      </c>
      <c r="H9" s="12" t="s">
        <v>19</v>
      </c>
      <c r="I9" s="33" t="s">
        <v>18</v>
      </c>
      <c r="J9" s="12" t="s">
        <v>17</v>
      </c>
      <c r="K9" s="12" t="s"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A10" s="10">
        <v>1</v>
      </c>
      <c r="B10" s="24">
        <v>46235</v>
      </c>
      <c r="C10" s="28"/>
      <c r="D10" s="28"/>
      <c r="E10" s="27"/>
      <c r="F10" s="27"/>
      <c r="G10" s="27"/>
      <c r="H10" s="28"/>
      <c r="I10" s="27"/>
      <c r="J10" s="28">
        <v>69862</v>
      </c>
      <c r="K10" s="2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A11" s="10">
        <v>2</v>
      </c>
      <c r="B11" s="29" t="s">
        <v>0</v>
      </c>
      <c r="C11" s="37" t="s">
        <v>0</v>
      </c>
      <c r="D11" s="38"/>
      <c r="E11" s="38"/>
      <c r="F11" s="38"/>
      <c r="G11" s="38"/>
      <c r="H11" s="38"/>
      <c r="I11" s="38"/>
      <c r="J11" s="38"/>
      <c r="K11" s="3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A12" s="10">
        <v>3</v>
      </c>
      <c r="B12" s="24">
        <v>46237</v>
      </c>
      <c r="C12" s="28">
        <v>516071.33</v>
      </c>
      <c r="D12" s="28">
        <v>436263.83</v>
      </c>
      <c r="E12" s="27"/>
      <c r="F12" s="28">
        <v>662.17</v>
      </c>
      <c r="G12" s="27">
        <v>3396</v>
      </c>
      <c r="H12" s="28">
        <v>436926</v>
      </c>
      <c r="I12" s="27"/>
      <c r="J12" s="28"/>
      <c r="K12" s="2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A13" s="10">
        <v>4</v>
      </c>
      <c r="B13" s="24">
        <v>46238</v>
      </c>
      <c r="C13" s="28">
        <v>347634.17</v>
      </c>
      <c r="D13" s="28">
        <v>287025.17</v>
      </c>
      <c r="E13" s="27">
        <v>211.17</v>
      </c>
      <c r="F13" s="27"/>
      <c r="G13" s="27">
        <v>2004</v>
      </c>
      <c r="H13" s="28">
        <v>286814</v>
      </c>
      <c r="I13" s="27"/>
      <c r="J13" s="28"/>
      <c r="K13" s="27">
        <f>650*9</f>
        <v>5850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0">
        <v>5</v>
      </c>
      <c r="B14" s="24">
        <v>46239</v>
      </c>
      <c r="C14" s="28">
        <v>271026.42</v>
      </c>
      <c r="D14" s="28">
        <v>232251.42</v>
      </c>
      <c r="E14" s="27"/>
      <c r="F14" s="28">
        <v>472.58</v>
      </c>
      <c r="G14" s="27">
        <v>1818</v>
      </c>
      <c r="H14" s="28">
        <v>232724</v>
      </c>
      <c r="I14" s="27"/>
      <c r="J14" s="28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0">
        <v>6</v>
      </c>
      <c r="B15" s="24">
        <v>46240</v>
      </c>
      <c r="C15" s="28">
        <v>402717.5</v>
      </c>
      <c r="D15" s="28">
        <v>267331.5</v>
      </c>
      <c r="E15" s="27"/>
      <c r="F15" s="36">
        <v>934.5</v>
      </c>
      <c r="G15" s="27">
        <v>2178</v>
      </c>
      <c r="H15" s="28">
        <v>268266</v>
      </c>
      <c r="I15" s="27">
        <v>67927</v>
      </c>
      <c r="J15" s="28"/>
      <c r="K15" s="27">
        <f>50+4550</f>
        <v>4600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0">
        <v>7</v>
      </c>
      <c r="B16" s="24">
        <v>46241</v>
      </c>
      <c r="C16" s="28">
        <v>314974.21000000002</v>
      </c>
      <c r="D16" s="28">
        <v>261753.46</v>
      </c>
      <c r="E16" s="27"/>
      <c r="F16" s="36">
        <v>429.54</v>
      </c>
      <c r="G16" s="27">
        <v>1224</v>
      </c>
      <c r="H16" s="28">
        <v>262183</v>
      </c>
      <c r="I16" s="27"/>
      <c r="J16" s="28"/>
      <c r="K16" s="2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0">
        <v>8</v>
      </c>
      <c r="B17" s="24">
        <v>46242</v>
      </c>
      <c r="C17" s="28"/>
      <c r="D17" s="28"/>
      <c r="E17" s="27"/>
      <c r="F17" s="27"/>
      <c r="G17" s="27"/>
      <c r="H17" s="28"/>
      <c r="I17" s="27"/>
      <c r="J17" s="28"/>
      <c r="K17" s="2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>
      <c r="A18" s="10">
        <v>9</v>
      </c>
      <c r="B18" s="29" t="s">
        <v>0</v>
      </c>
      <c r="C18" s="37" t="s">
        <v>0</v>
      </c>
      <c r="D18" s="38"/>
      <c r="E18" s="38"/>
      <c r="F18" s="38"/>
      <c r="G18" s="38"/>
      <c r="H18" s="38"/>
      <c r="I18" s="38"/>
      <c r="J18" s="38"/>
      <c r="K18" s="3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0">
        <v>10</v>
      </c>
      <c r="B19" s="24">
        <v>46244</v>
      </c>
      <c r="C19" s="28"/>
      <c r="D19" s="28"/>
      <c r="E19" s="27"/>
      <c r="F19" s="27"/>
      <c r="G19" s="27"/>
      <c r="H19" s="28"/>
      <c r="I19" s="27"/>
      <c r="J19" s="28"/>
      <c r="K19" s="2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0">
        <v>11</v>
      </c>
      <c r="B20" s="24">
        <v>46245</v>
      </c>
      <c r="C20" s="28"/>
      <c r="D20" s="28"/>
      <c r="E20" s="27"/>
      <c r="F20" s="27"/>
      <c r="G20" s="27"/>
      <c r="H20" s="28"/>
      <c r="I20" s="27"/>
      <c r="J20" s="28"/>
      <c r="K20" s="2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0">
        <v>12</v>
      </c>
      <c r="B21" s="24">
        <v>46246</v>
      </c>
      <c r="C21" s="28"/>
      <c r="D21" s="28"/>
      <c r="E21" s="27"/>
      <c r="F21" s="27"/>
      <c r="G21" s="27"/>
      <c r="H21" s="28"/>
      <c r="I21" s="27"/>
      <c r="J21" s="28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0">
        <v>13</v>
      </c>
      <c r="B22" s="24">
        <v>46247</v>
      </c>
      <c r="C22" s="28"/>
      <c r="D22" s="28"/>
      <c r="E22" s="27"/>
      <c r="F22" s="27"/>
      <c r="G22" s="27"/>
      <c r="H22" s="28"/>
      <c r="I22" s="27"/>
      <c r="J22" s="28"/>
      <c r="K22" s="2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0">
        <v>14</v>
      </c>
      <c r="B23" s="24">
        <v>46248</v>
      </c>
      <c r="C23" s="28"/>
      <c r="D23" s="28"/>
      <c r="E23" s="27"/>
      <c r="F23" s="27"/>
      <c r="G23" s="27"/>
      <c r="H23" s="28"/>
      <c r="I23" s="27"/>
      <c r="J23" s="28"/>
      <c r="K23" s="27"/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</row>
    <row r="24" spans="1:22" ht="15">
      <c r="A24" s="10">
        <v>15</v>
      </c>
      <c r="B24" s="24">
        <v>46249</v>
      </c>
      <c r="C24" s="28"/>
      <c r="D24" s="28"/>
      <c r="E24" s="27"/>
      <c r="F24" s="27"/>
      <c r="G24" s="27"/>
      <c r="H24" s="28"/>
      <c r="I24" s="27"/>
      <c r="J24" s="28"/>
      <c r="K24" s="27"/>
      <c r="L24" s="1"/>
      <c r="M24" s="1"/>
      <c r="N24" s="7"/>
      <c r="O24" s="1"/>
      <c r="P24" s="1"/>
      <c r="Q24" s="1"/>
      <c r="R24" s="1"/>
      <c r="S24" s="1"/>
      <c r="T24" s="1"/>
      <c r="U24" s="1"/>
      <c r="V24" s="1"/>
    </row>
    <row r="25" spans="1:22" ht="15">
      <c r="A25" s="10">
        <v>16</v>
      </c>
      <c r="B25" s="29" t="s">
        <v>0</v>
      </c>
      <c r="C25" s="37" t="s">
        <v>0</v>
      </c>
      <c r="D25" s="38"/>
      <c r="E25" s="38"/>
      <c r="F25" s="38"/>
      <c r="G25" s="38"/>
      <c r="H25" s="38"/>
      <c r="I25" s="38"/>
      <c r="J25" s="38"/>
      <c r="K25" s="39"/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</row>
    <row r="26" spans="1:22" ht="15">
      <c r="A26" s="10">
        <v>17</v>
      </c>
      <c r="B26" s="24">
        <v>46251</v>
      </c>
      <c r="C26" s="28"/>
      <c r="D26" s="28"/>
      <c r="E26" s="27"/>
      <c r="F26" s="27"/>
      <c r="G26" s="27"/>
      <c r="H26" s="28"/>
      <c r="I26" s="27"/>
      <c r="J26" s="28"/>
      <c r="K26" s="27"/>
      <c r="L26" s="1"/>
      <c r="M26" s="1"/>
      <c r="N26" s="15"/>
      <c r="O26" s="1"/>
      <c r="P26" s="1"/>
      <c r="Q26" s="1"/>
      <c r="R26" s="1"/>
      <c r="S26" s="1"/>
      <c r="T26" s="1"/>
      <c r="U26" s="1"/>
      <c r="V26" s="1"/>
    </row>
    <row r="27" spans="1:22" ht="15">
      <c r="A27" s="10">
        <v>18</v>
      </c>
      <c r="B27" s="24">
        <v>46252</v>
      </c>
      <c r="C27" s="28"/>
      <c r="D27" s="28"/>
      <c r="E27" s="27"/>
      <c r="F27" s="27"/>
      <c r="G27" s="27"/>
      <c r="H27" s="28"/>
      <c r="I27" s="27"/>
      <c r="J27" s="28"/>
      <c r="K27" s="27"/>
      <c r="L27" s="1"/>
      <c r="M27" s="1"/>
      <c r="N27" s="7"/>
      <c r="O27" s="1"/>
      <c r="P27" s="1"/>
      <c r="Q27" s="1"/>
      <c r="R27" s="1"/>
      <c r="S27" s="1"/>
      <c r="T27" s="1"/>
      <c r="U27" s="1"/>
      <c r="V27" s="1"/>
    </row>
    <row r="28" spans="1:22" ht="15">
      <c r="A28" s="10">
        <v>19</v>
      </c>
      <c r="B28" s="24">
        <v>46253</v>
      </c>
      <c r="C28" s="28"/>
      <c r="D28" s="28"/>
      <c r="E28" s="27"/>
      <c r="F28" s="27"/>
      <c r="G28" s="27"/>
      <c r="H28" s="28"/>
      <c r="I28" s="27"/>
      <c r="J28" s="28"/>
      <c r="K28" s="27"/>
      <c r="L28" s="1"/>
      <c r="M28" s="1"/>
      <c r="N28" s="7"/>
      <c r="O28" s="1"/>
      <c r="P28" s="1"/>
      <c r="Q28" s="1"/>
      <c r="R28" s="1"/>
      <c r="S28" s="1"/>
      <c r="T28" s="1"/>
      <c r="U28" s="1"/>
      <c r="V28" s="1"/>
    </row>
    <row r="29" spans="1:22" ht="15">
      <c r="A29" s="10">
        <v>20</v>
      </c>
      <c r="B29" s="24">
        <v>46254</v>
      </c>
      <c r="C29" s="28"/>
      <c r="D29" s="28"/>
      <c r="E29" s="27"/>
      <c r="F29" s="27"/>
      <c r="G29" s="27"/>
      <c r="H29" s="28"/>
      <c r="I29" s="27"/>
      <c r="J29" s="28"/>
      <c r="K29" s="27"/>
      <c r="L29" s="1"/>
      <c r="M29" s="1"/>
      <c r="N29" s="7"/>
      <c r="O29" s="1"/>
      <c r="P29" s="1"/>
      <c r="Q29" s="1"/>
      <c r="R29" s="1"/>
      <c r="S29" s="1"/>
      <c r="T29" s="1"/>
      <c r="U29" s="1"/>
      <c r="V29" s="1"/>
    </row>
    <row r="30" spans="1:22" ht="15">
      <c r="A30" s="10">
        <v>21</v>
      </c>
      <c r="B30" s="24">
        <v>46255</v>
      </c>
      <c r="C30" s="28"/>
      <c r="D30" s="28"/>
      <c r="E30" s="27"/>
      <c r="F30" s="27"/>
      <c r="G30" s="27"/>
      <c r="H30" s="28"/>
      <c r="I30" s="27"/>
      <c r="J30" s="28"/>
      <c r="K30" s="27"/>
      <c r="L30" s="1"/>
      <c r="M30" s="1"/>
      <c r="N30" s="7"/>
      <c r="O30" s="1"/>
      <c r="P30" s="1"/>
      <c r="Q30" s="1"/>
      <c r="R30" s="1"/>
      <c r="S30" s="1"/>
      <c r="T30" s="1"/>
      <c r="U30" s="1"/>
      <c r="V30" s="1"/>
    </row>
    <row r="31" spans="1:22" ht="15">
      <c r="A31" s="10">
        <v>22</v>
      </c>
      <c r="B31" s="24">
        <v>46256</v>
      </c>
      <c r="C31" s="28"/>
      <c r="D31" s="28"/>
      <c r="E31" s="27"/>
      <c r="F31" s="27"/>
      <c r="G31" s="27"/>
      <c r="H31" s="28"/>
      <c r="I31" s="27"/>
      <c r="J31" s="28"/>
      <c r="K31" s="27"/>
      <c r="L31" s="1"/>
      <c r="M31" s="1"/>
      <c r="N31" s="15"/>
      <c r="O31" s="1"/>
      <c r="P31" s="1"/>
      <c r="Q31" s="1"/>
      <c r="R31" s="1"/>
      <c r="S31" s="1"/>
      <c r="T31" s="1"/>
      <c r="U31" s="1"/>
      <c r="V31" s="1"/>
    </row>
    <row r="32" spans="1:22" ht="15">
      <c r="A32" s="10">
        <v>23</v>
      </c>
      <c r="B32" s="29" t="s">
        <v>0</v>
      </c>
      <c r="C32" s="37" t="s">
        <v>0</v>
      </c>
      <c r="D32" s="38"/>
      <c r="E32" s="38"/>
      <c r="F32" s="38"/>
      <c r="G32" s="38"/>
      <c r="H32" s="38"/>
      <c r="I32" s="38"/>
      <c r="J32" s="38"/>
      <c r="K32" s="39"/>
      <c r="L32" s="1"/>
      <c r="M32" s="1"/>
      <c r="N32" s="7"/>
      <c r="O32" s="1"/>
      <c r="P32" s="1"/>
      <c r="Q32" s="1"/>
      <c r="R32" s="1"/>
      <c r="S32" s="1"/>
      <c r="T32" s="1"/>
      <c r="U32" s="1"/>
      <c r="V32" s="1"/>
    </row>
    <row r="33" spans="1:22" ht="15">
      <c r="A33" s="10">
        <v>24</v>
      </c>
      <c r="B33" s="24">
        <v>46258</v>
      </c>
      <c r="C33" s="28"/>
      <c r="D33" s="28"/>
      <c r="E33" s="27"/>
      <c r="F33" s="27"/>
      <c r="G33" s="27"/>
      <c r="H33" s="28"/>
      <c r="I33" s="27"/>
      <c r="J33" s="28"/>
      <c r="K33" s="27"/>
      <c r="L33" s="1"/>
      <c r="M33" s="1"/>
      <c r="N33" s="7"/>
      <c r="O33" s="1"/>
      <c r="P33" s="1"/>
      <c r="Q33" s="7"/>
      <c r="R33" s="1"/>
      <c r="S33" s="1"/>
      <c r="T33" s="1"/>
      <c r="U33" s="1"/>
      <c r="V33" s="1"/>
    </row>
    <row r="34" spans="1:22" ht="15">
      <c r="A34" s="10">
        <v>25</v>
      </c>
      <c r="B34" s="24">
        <v>46259</v>
      </c>
      <c r="C34" s="28"/>
      <c r="D34" s="28"/>
      <c r="E34" s="27"/>
      <c r="F34" s="27"/>
      <c r="G34" s="27"/>
      <c r="H34" s="28"/>
      <c r="I34" s="27"/>
      <c r="J34" s="28"/>
      <c r="K34" s="27"/>
      <c r="L34" s="1"/>
      <c r="M34" s="1"/>
      <c r="N34" s="7"/>
      <c r="O34" s="1"/>
      <c r="P34" s="1"/>
      <c r="Q34" s="7"/>
      <c r="R34" s="1"/>
      <c r="S34" s="1"/>
      <c r="T34" s="1"/>
      <c r="U34" s="1"/>
      <c r="V34" s="1"/>
    </row>
    <row r="35" spans="1:22" ht="15">
      <c r="A35" s="10">
        <v>26</v>
      </c>
      <c r="B35" s="24">
        <v>46260</v>
      </c>
      <c r="C35" s="28"/>
      <c r="D35" s="28"/>
      <c r="E35" s="27"/>
      <c r="F35" s="27"/>
      <c r="G35" s="27"/>
      <c r="H35" s="28"/>
      <c r="I35" s="27"/>
      <c r="J35" s="28"/>
      <c r="K35" s="27"/>
      <c r="L35" s="1"/>
      <c r="M35" s="1"/>
      <c r="N35" s="7"/>
      <c r="O35" s="1"/>
      <c r="P35" s="1"/>
      <c r="Q35" s="7"/>
      <c r="R35" s="1"/>
      <c r="S35" s="1"/>
      <c r="T35" s="1"/>
      <c r="U35" s="1"/>
      <c r="V35" s="1"/>
    </row>
    <row r="36" spans="1:22" ht="15">
      <c r="A36" s="10">
        <v>27</v>
      </c>
      <c r="B36" s="24">
        <v>46261</v>
      </c>
      <c r="C36" s="28"/>
      <c r="D36" s="28"/>
      <c r="E36" s="27"/>
      <c r="F36" s="27"/>
      <c r="G36" s="27"/>
      <c r="H36" s="28"/>
      <c r="I36" s="27"/>
      <c r="J36" s="28"/>
      <c r="K36" s="27"/>
      <c r="L36" s="1"/>
      <c r="M36" s="1"/>
      <c r="N36" s="7"/>
      <c r="O36" s="1"/>
      <c r="P36" s="1"/>
      <c r="Q36" s="7"/>
      <c r="R36" s="1"/>
      <c r="S36" s="1"/>
      <c r="T36" s="1"/>
      <c r="U36" s="1"/>
      <c r="V36" s="1"/>
    </row>
    <row r="37" spans="1:22" ht="15">
      <c r="A37" s="10">
        <v>28</v>
      </c>
      <c r="B37" s="24">
        <v>46262</v>
      </c>
      <c r="C37" s="28"/>
      <c r="D37" s="28"/>
      <c r="E37" s="27"/>
      <c r="F37" s="27"/>
      <c r="G37" s="27"/>
      <c r="H37" s="28"/>
      <c r="I37" s="27"/>
      <c r="J37" s="28"/>
      <c r="K37" s="27"/>
      <c r="L37" s="1"/>
      <c r="M37" s="1"/>
      <c r="N37" s="8"/>
      <c r="O37" s="1"/>
      <c r="P37" s="1"/>
      <c r="Q37" s="7"/>
      <c r="R37" s="1"/>
      <c r="S37" s="1"/>
      <c r="T37" s="1"/>
      <c r="U37" s="1"/>
      <c r="V37" s="1"/>
    </row>
    <row r="38" spans="1:22" ht="15">
      <c r="A38" s="10">
        <v>29</v>
      </c>
      <c r="B38" s="24">
        <v>46263</v>
      </c>
      <c r="C38" s="28"/>
      <c r="D38" s="28"/>
      <c r="E38" s="27"/>
      <c r="F38" s="27"/>
      <c r="G38" s="27"/>
      <c r="H38" s="28"/>
      <c r="I38" s="27"/>
      <c r="J38" s="28"/>
      <c r="K38" s="27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</row>
    <row r="39" spans="1:22" ht="15">
      <c r="A39" s="10">
        <v>30</v>
      </c>
      <c r="B39" s="29" t="s">
        <v>0</v>
      </c>
      <c r="C39" s="37" t="s">
        <v>0</v>
      </c>
      <c r="D39" s="38"/>
      <c r="E39" s="38"/>
      <c r="F39" s="38"/>
      <c r="G39" s="38"/>
      <c r="H39" s="38"/>
      <c r="I39" s="38"/>
      <c r="J39" s="38"/>
      <c r="K39" s="39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</row>
    <row r="40" spans="1:22" ht="15">
      <c r="A40" s="10">
        <v>31</v>
      </c>
      <c r="B40" s="24">
        <v>46265</v>
      </c>
      <c r="C40" s="28"/>
      <c r="D40" s="28"/>
      <c r="E40" s="27"/>
      <c r="F40" s="27"/>
      <c r="G40" s="27"/>
      <c r="H40" s="28"/>
      <c r="I40" s="27"/>
      <c r="J40" s="28"/>
      <c r="K40" s="27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</row>
    <row r="41" spans="1:22" ht="15">
      <c r="A41" s="10"/>
      <c r="B41" s="29"/>
      <c r="C41" s="37"/>
      <c r="D41" s="38"/>
      <c r="E41" s="38"/>
      <c r="F41" s="38"/>
      <c r="G41" s="38"/>
      <c r="H41" s="38"/>
      <c r="I41" s="38"/>
      <c r="J41" s="38"/>
      <c r="K41" s="39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</row>
    <row r="42" spans="1:22" ht="15">
      <c r="A42" s="19"/>
      <c r="B42" s="29"/>
      <c r="C42" s="37"/>
      <c r="D42" s="38"/>
      <c r="E42" s="38"/>
      <c r="F42" s="38"/>
      <c r="G42" s="38"/>
      <c r="H42" s="38"/>
      <c r="I42" s="38"/>
      <c r="J42" s="38"/>
      <c r="K42" s="39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</row>
    <row r="43" spans="1:22" ht="15">
      <c r="A43" s="23" t="s">
        <v>1</v>
      </c>
      <c r="B43" s="24"/>
      <c r="C43" s="14">
        <f t="shared" ref="C43:J43" si="0">SUM(C10:C42)</f>
        <v>1852423.63</v>
      </c>
      <c r="D43" s="14">
        <f t="shared" si="0"/>
        <v>1484625.38</v>
      </c>
      <c r="E43" s="25">
        <f t="shared" si="0"/>
        <v>211.17</v>
      </c>
      <c r="F43" s="14">
        <f t="shared" si="0"/>
        <v>2498.79</v>
      </c>
      <c r="G43" s="25">
        <f t="shared" si="0"/>
        <v>10620</v>
      </c>
      <c r="H43" s="14">
        <f t="shared" si="0"/>
        <v>1486913</v>
      </c>
      <c r="I43" s="25">
        <f t="shared" si="0"/>
        <v>67927</v>
      </c>
      <c r="J43" s="14">
        <f t="shared" si="0"/>
        <v>69862</v>
      </c>
      <c r="K43" s="14">
        <f>SUM(K10:K42)</f>
        <v>10450</v>
      </c>
      <c r="L43" s="1"/>
      <c r="M43" s="1"/>
      <c r="N43" s="9"/>
      <c r="O43" s="1"/>
      <c r="P43" s="1"/>
      <c r="Q43" s="1"/>
      <c r="R43" s="1"/>
      <c r="S43" s="1"/>
      <c r="T43" s="1"/>
      <c r="U43" s="1"/>
      <c r="V43" s="1"/>
    </row>
    <row r="44" spans="1:22" ht="15">
      <c r="A44" s="1"/>
      <c r="B44" s="1"/>
      <c r="C44" s="18"/>
      <c r="D44" s="18"/>
      <c r="E44" s="22"/>
      <c r="F44" s="9"/>
      <c r="G44" s="9"/>
      <c r="H44" s="9"/>
      <c r="I44" s="9"/>
      <c r="J44" s="9"/>
      <c r="K44" s="1"/>
      <c r="L44" s="1"/>
      <c r="M44" s="1"/>
      <c r="N44" s="15"/>
      <c r="O44" s="1"/>
      <c r="P44" s="1"/>
      <c r="Q44" s="1"/>
      <c r="R44" s="1"/>
      <c r="S44" s="1"/>
      <c r="T44" s="1"/>
      <c r="U44" s="1"/>
      <c r="V44" s="1"/>
    </row>
    <row r="45" spans="1:22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</row>
    <row r="46" spans="1:22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"/>
      <c r="O46" s="1"/>
      <c r="P46" s="1"/>
      <c r="Q46" s="1"/>
      <c r="R46" s="1"/>
      <c r="S46" s="1"/>
      <c r="T46" s="1"/>
      <c r="U46" s="1"/>
      <c r="V46" s="1"/>
    </row>
    <row r="47" spans="1:2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</row>
    <row r="48" spans="1:22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"/>
      <c r="O48" s="1"/>
      <c r="P48" s="1"/>
      <c r="Q48" s="1"/>
      <c r="R48" s="1"/>
      <c r="S48" s="1"/>
      <c r="T48" s="1"/>
      <c r="U48" s="1"/>
      <c r="V48" s="1"/>
    </row>
    <row r="49" spans="1:22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</row>
    <row r="50" spans="1:22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F196"/>
      <c r="G196"/>
    </row>
    <row r="197" spans="1:22">
      <c r="F197"/>
      <c r="G197"/>
    </row>
    <row r="198" spans="1:22">
      <c r="F198"/>
      <c r="G198"/>
    </row>
    <row r="199" spans="1:22">
      <c r="F199"/>
      <c r="G199"/>
    </row>
    <row r="200" spans="1:22">
      <c r="F200"/>
      <c r="G200"/>
    </row>
    <row r="201" spans="1:22">
      <c r="F201"/>
      <c r="G201"/>
    </row>
    <row r="202" spans="1:22">
      <c r="F202"/>
      <c r="G202"/>
    </row>
    <row r="203" spans="1:22">
      <c r="F203"/>
      <c r="G203"/>
    </row>
    <row r="204" spans="1:22">
      <c r="F204"/>
      <c r="G204"/>
    </row>
    <row r="205" spans="1:22">
      <c r="F205"/>
      <c r="G205"/>
    </row>
    <row r="206" spans="1:22">
      <c r="F206"/>
      <c r="G206"/>
    </row>
    <row r="207" spans="1:22">
      <c r="F207"/>
      <c r="G207"/>
    </row>
    <row r="208" spans="1:22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</sheetData>
  <mergeCells count="7">
    <mergeCell ref="C42:K42"/>
    <mergeCell ref="C11:K11"/>
    <mergeCell ref="C18:K18"/>
    <mergeCell ref="C25:K25"/>
    <mergeCell ref="C32:K32"/>
    <mergeCell ref="C39:K39"/>
    <mergeCell ref="C41:K41"/>
  </mergeCells>
  <pageMargins left="0.7" right="0.7" top="0.75" bottom="0.75" header="0.3" footer="0.3"/>
  <pageSetup scale="9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V279"/>
  <sheetViews>
    <sheetView tabSelected="1" zoomScaleNormal="100" zoomScaleSheetLayoutView="100" workbookViewId="0">
      <selection activeCell="C17" sqref="C17"/>
    </sheetView>
  </sheetViews>
  <sheetFormatPr defaultRowHeight="14.25"/>
  <cols>
    <col min="1" max="1" width="4.25" customWidth="1"/>
    <col min="2" max="2" width="29" bestFit="1" customWidth="1"/>
    <col min="3" max="4" width="14.875" customWidth="1"/>
    <col min="5" max="5" width="14.75" customWidth="1"/>
    <col min="6" max="6" width="15" style="13" customWidth="1"/>
    <col min="7" max="7" width="15" style="32" customWidth="1"/>
    <col min="8" max="10" width="15" customWidth="1"/>
    <col min="11" max="11" width="14.75" customWidth="1"/>
    <col min="14" max="14" width="13.125" bestFit="1" customWidth="1"/>
    <col min="17" max="17" width="13.25" bestFit="1" customWidth="1"/>
  </cols>
  <sheetData>
    <row r="1" spans="1:22">
      <c r="F1"/>
      <c r="G1"/>
    </row>
    <row r="2" spans="1:22" ht="16.5">
      <c r="A2" s="2"/>
      <c r="B2" s="17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>
      <c r="A4" s="3"/>
      <c r="B4" s="3" t="s">
        <v>20</v>
      </c>
      <c r="C4" s="4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5"/>
      <c r="B5" s="16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>
      <c r="A7" s="5"/>
      <c r="B7" s="5" t="s">
        <v>12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>
      <c r="A8" s="5"/>
      <c r="B8" s="31"/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>
      <c r="A9" s="11" t="s">
        <v>2</v>
      </c>
      <c r="B9" s="12" t="s">
        <v>11</v>
      </c>
      <c r="C9" s="20" t="s">
        <v>15</v>
      </c>
      <c r="D9" s="30" t="s">
        <v>16</v>
      </c>
      <c r="E9" s="21" t="s">
        <v>5</v>
      </c>
      <c r="F9" s="12" t="s">
        <v>3</v>
      </c>
      <c r="G9" s="33" t="s">
        <v>14</v>
      </c>
      <c r="H9" s="12" t="s">
        <v>19</v>
      </c>
      <c r="I9" s="33" t="s">
        <v>18</v>
      </c>
      <c r="J9" s="12" t="s">
        <v>17</v>
      </c>
      <c r="K9" s="12" t="s"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>
      <c r="A10" s="10">
        <v>1</v>
      </c>
      <c r="B10" s="24">
        <v>46235</v>
      </c>
      <c r="C10" s="28"/>
      <c r="D10" s="28"/>
      <c r="E10" s="27"/>
      <c r="F10" s="27"/>
      <c r="G10" s="27"/>
      <c r="H10" s="28"/>
      <c r="I10" s="27"/>
      <c r="J10" s="28"/>
      <c r="K10" s="2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>
      <c r="A11" s="10">
        <v>2</v>
      </c>
      <c r="B11" s="29" t="s">
        <v>0</v>
      </c>
      <c r="C11" s="37" t="s">
        <v>0</v>
      </c>
      <c r="D11" s="38"/>
      <c r="E11" s="38"/>
      <c r="F11" s="38"/>
      <c r="G11" s="38"/>
      <c r="H11" s="38"/>
      <c r="I11" s="38"/>
      <c r="J11" s="38"/>
      <c r="K11" s="3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>
      <c r="A12" s="10">
        <v>3</v>
      </c>
      <c r="B12" s="24">
        <v>46237</v>
      </c>
      <c r="C12" s="28">
        <v>406307.13</v>
      </c>
      <c r="D12" s="28">
        <v>337941.88</v>
      </c>
      <c r="E12" s="27">
        <v>331.88</v>
      </c>
      <c r="F12" s="27"/>
      <c r="G12" s="27">
        <v>1602</v>
      </c>
      <c r="H12" s="28">
        <v>337610</v>
      </c>
      <c r="I12" s="27"/>
      <c r="J12" s="28"/>
      <c r="K12" s="27">
        <v>50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>
      <c r="A13" s="10">
        <v>4</v>
      </c>
      <c r="B13" s="24">
        <v>46238</v>
      </c>
      <c r="C13" s="28">
        <v>472049.21</v>
      </c>
      <c r="D13" s="28">
        <v>397218.71</v>
      </c>
      <c r="E13" s="27"/>
      <c r="F13" s="36">
        <v>122.29</v>
      </c>
      <c r="G13" s="27">
        <v>3366</v>
      </c>
      <c r="H13" s="28">
        <v>397341</v>
      </c>
      <c r="I13" s="27"/>
      <c r="J13" s="28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0">
        <v>5</v>
      </c>
      <c r="B14" s="24">
        <v>46239</v>
      </c>
      <c r="C14" s="37" t="s">
        <v>21</v>
      </c>
      <c r="D14" s="38"/>
      <c r="E14" s="38"/>
      <c r="F14" s="38"/>
      <c r="G14" s="38"/>
      <c r="H14" s="38"/>
      <c r="I14" s="38"/>
      <c r="J14" s="38"/>
      <c r="K14" s="3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0">
        <v>6</v>
      </c>
      <c r="B15" s="24">
        <v>46240</v>
      </c>
      <c r="C15" s="28">
        <v>318659.21000000002</v>
      </c>
      <c r="D15" s="28">
        <v>267775.96000000002</v>
      </c>
      <c r="E15" s="27">
        <v>276.95999999999998</v>
      </c>
      <c r="F15" s="27"/>
      <c r="G15" s="27">
        <v>1896</v>
      </c>
      <c r="H15" s="28">
        <v>267499</v>
      </c>
      <c r="I15" s="27"/>
      <c r="J15" s="28"/>
      <c r="K15" s="27">
        <v>3250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0">
        <v>7</v>
      </c>
      <c r="B16" s="24">
        <v>46241</v>
      </c>
      <c r="C16" s="28">
        <v>383530.17</v>
      </c>
      <c r="D16" s="28">
        <v>323368.92</v>
      </c>
      <c r="E16" s="27"/>
      <c r="F16" s="36">
        <v>165.08</v>
      </c>
      <c r="G16" s="27">
        <v>2406</v>
      </c>
      <c r="H16" s="28">
        <v>323534</v>
      </c>
      <c r="I16" s="27"/>
      <c r="J16" s="28"/>
      <c r="K16" s="2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0">
        <v>8</v>
      </c>
      <c r="B17" s="24">
        <v>46242</v>
      </c>
      <c r="C17" s="28"/>
      <c r="D17" s="28"/>
      <c r="E17" s="27"/>
      <c r="F17" s="27"/>
      <c r="G17" s="27"/>
      <c r="H17" s="28"/>
      <c r="I17" s="27"/>
      <c r="J17" s="28"/>
      <c r="K17" s="2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>
      <c r="A18" s="10">
        <v>9</v>
      </c>
      <c r="B18" s="29" t="s">
        <v>0</v>
      </c>
      <c r="C18" s="37" t="s">
        <v>0</v>
      </c>
      <c r="D18" s="38"/>
      <c r="E18" s="38"/>
      <c r="F18" s="38"/>
      <c r="G18" s="38"/>
      <c r="H18" s="38"/>
      <c r="I18" s="38"/>
      <c r="J18" s="38"/>
      <c r="K18" s="3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0">
        <v>10</v>
      </c>
      <c r="B19" s="24">
        <v>46244</v>
      </c>
      <c r="C19" s="28"/>
      <c r="D19" s="28"/>
      <c r="E19" s="27"/>
      <c r="F19" s="27"/>
      <c r="G19" s="27"/>
      <c r="H19" s="28"/>
      <c r="I19" s="27"/>
      <c r="J19" s="28"/>
      <c r="K19" s="2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>
      <c r="A20" s="10">
        <v>11</v>
      </c>
      <c r="B20" s="24">
        <v>46245</v>
      </c>
      <c r="C20" s="28"/>
      <c r="D20" s="28"/>
      <c r="E20" s="27"/>
      <c r="F20" s="27"/>
      <c r="G20" s="27"/>
      <c r="H20" s="28"/>
      <c r="I20" s="27"/>
      <c r="J20" s="28"/>
      <c r="K20" s="2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>
      <c r="A21" s="10">
        <v>12</v>
      </c>
      <c r="B21" s="24">
        <v>46246</v>
      </c>
      <c r="C21" s="28"/>
      <c r="D21" s="28"/>
      <c r="E21" s="27"/>
      <c r="F21" s="27"/>
      <c r="G21" s="27"/>
      <c r="H21" s="28"/>
      <c r="I21" s="27"/>
      <c r="J21" s="28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>
      <c r="A22" s="10">
        <v>13</v>
      </c>
      <c r="B22" s="24">
        <v>46247</v>
      </c>
      <c r="C22" s="28"/>
      <c r="D22" s="28"/>
      <c r="E22" s="27"/>
      <c r="F22" s="27"/>
      <c r="G22" s="27"/>
      <c r="H22" s="28"/>
      <c r="I22" s="27"/>
      <c r="J22" s="28"/>
      <c r="K22" s="2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0">
        <v>14</v>
      </c>
      <c r="B23" s="24">
        <v>46248</v>
      </c>
      <c r="C23" s="28"/>
      <c r="D23" s="28"/>
      <c r="E23" s="27"/>
      <c r="F23" s="27"/>
      <c r="G23" s="27"/>
      <c r="H23" s="28"/>
      <c r="I23" s="27"/>
      <c r="J23" s="28"/>
      <c r="K23" s="27"/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</row>
    <row r="24" spans="1:22" ht="15">
      <c r="A24" s="10">
        <v>15</v>
      </c>
      <c r="B24" s="24">
        <v>46249</v>
      </c>
      <c r="C24" s="28"/>
      <c r="D24" s="28"/>
      <c r="E24" s="27"/>
      <c r="F24" s="27"/>
      <c r="G24" s="27"/>
      <c r="H24" s="28"/>
      <c r="I24" s="27"/>
      <c r="J24" s="28"/>
      <c r="K24" s="27"/>
      <c r="L24" s="1"/>
      <c r="M24" s="1"/>
      <c r="N24" s="7"/>
      <c r="O24" s="1"/>
      <c r="P24" s="1"/>
      <c r="Q24" s="1"/>
      <c r="R24" s="1"/>
      <c r="S24" s="1"/>
      <c r="T24" s="1"/>
      <c r="U24" s="1"/>
      <c r="V24" s="1"/>
    </row>
    <row r="25" spans="1:22" ht="15">
      <c r="A25" s="10">
        <v>16</v>
      </c>
      <c r="B25" s="29" t="s">
        <v>0</v>
      </c>
      <c r="C25" s="37" t="s">
        <v>0</v>
      </c>
      <c r="D25" s="38"/>
      <c r="E25" s="38"/>
      <c r="F25" s="38"/>
      <c r="G25" s="38"/>
      <c r="H25" s="38"/>
      <c r="I25" s="38"/>
      <c r="J25" s="38"/>
      <c r="K25" s="39"/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</row>
    <row r="26" spans="1:22" ht="15">
      <c r="A26" s="10">
        <v>17</v>
      </c>
      <c r="B26" s="24">
        <v>46251</v>
      </c>
      <c r="C26" s="28"/>
      <c r="D26" s="28"/>
      <c r="E26" s="27"/>
      <c r="F26" s="27"/>
      <c r="G26" s="27"/>
      <c r="H26" s="28"/>
      <c r="I26" s="27"/>
      <c r="J26" s="28"/>
      <c r="K26" s="27"/>
      <c r="L26" s="1"/>
      <c r="M26" s="1"/>
      <c r="N26" s="15"/>
      <c r="O26" s="1"/>
      <c r="P26" s="1"/>
      <c r="Q26" s="1"/>
      <c r="R26" s="1"/>
      <c r="S26" s="1"/>
      <c r="T26" s="1"/>
      <c r="U26" s="1"/>
      <c r="V26" s="1"/>
    </row>
    <row r="27" spans="1:22" ht="15">
      <c r="A27" s="10">
        <v>18</v>
      </c>
      <c r="B27" s="24">
        <v>46252</v>
      </c>
      <c r="C27" s="28"/>
      <c r="D27" s="28"/>
      <c r="E27" s="27"/>
      <c r="F27" s="27"/>
      <c r="G27" s="27"/>
      <c r="H27" s="28"/>
      <c r="I27" s="27"/>
      <c r="J27" s="28"/>
      <c r="K27" s="27"/>
      <c r="L27" s="1"/>
      <c r="M27" s="1"/>
      <c r="N27" s="7"/>
      <c r="O27" s="1"/>
      <c r="P27" s="1"/>
      <c r="Q27" s="1"/>
      <c r="R27" s="1"/>
      <c r="S27" s="1"/>
      <c r="T27" s="1"/>
      <c r="U27" s="1"/>
      <c r="V27" s="1"/>
    </row>
    <row r="28" spans="1:22" ht="15">
      <c r="A28" s="10">
        <v>19</v>
      </c>
      <c r="B28" s="24">
        <v>46253</v>
      </c>
      <c r="C28" s="28"/>
      <c r="D28" s="28"/>
      <c r="E28" s="27"/>
      <c r="F28" s="27"/>
      <c r="G28" s="27"/>
      <c r="H28" s="28"/>
      <c r="I28" s="27"/>
      <c r="J28" s="28"/>
      <c r="K28" s="27"/>
      <c r="L28" s="1"/>
      <c r="M28" s="1"/>
      <c r="N28" s="7"/>
      <c r="O28" s="1"/>
      <c r="P28" s="1"/>
      <c r="Q28" s="1"/>
      <c r="R28" s="1"/>
      <c r="S28" s="1"/>
      <c r="T28" s="1"/>
      <c r="U28" s="1"/>
      <c r="V28" s="1"/>
    </row>
    <row r="29" spans="1:22" ht="15">
      <c r="A29" s="10">
        <v>20</v>
      </c>
      <c r="B29" s="24">
        <v>46254</v>
      </c>
      <c r="C29" s="28"/>
      <c r="D29" s="28"/>
      <c r="E29" s="27"/>
      <c r="F29" s="27"/>
      <c r="G29" s="27"/>
      <c r="H29" s="28"/>
      <c r="I29" s="27"/>
      <c r="J29" s="28"/>
      <c r="K29" s="27"/>
      <c r="L29" s="1"/>
      <c r="M29" s="1"/>
      <c r="N29" s="7"/>
      <c r="O29" s="1"/>
      <c r="P29" s="1"/>
      <c r="Q29" s="1"/>
      <c r="R29" s="1"/>
      <c r="S29" s="1"/>
      <c r="T29" s="1"/>
      <c r="U29" s="1"/>
      <c r="V29" s="1"/>
    </row>
    <row r="30" spans="1:22" ht="15">
      <c r="A30" s="10">
        <v>21</v>
      </c>
      <c r="B30" s="24">
        <v>46255</v>
      </c>
      <c r="C30" s="28"/>
      <c r="D30" s="28"/>
      <c r="E30" s="27"/>
      <c r="F30" s="27"/>
      <c r="G30" s="27"/>
      <c r="H30" s="28"/>
      <c r="I30" s="27"/>
      <c r="J30" s="28"/>
      <c r="K30" s="27"/>
      <c r="L30" s="1"/>
      <c r="M30" s="1"/>
      <c r="N30" s="7"/>
      <c r="O30" s="1"/>
      <c r="P30" s="1"/>
      <c r="Q30" s="1"/>
      <c r="R30" s="1"/>
      <c r="S30" s="1"/>
      <c r="T30" s="1"/>
      <c r="U30" s="1"/>
      <c r="V30" s="1"/>
    </row>
    <row r="31" spans="1:22" ht="15">
      <c r="A31" s="10">
        <v>22</v>
      </c>
      <c r="B31" s="24">
        <v>46256</v>
      </c>
      <c r="C31" s="28"/>
      <c r="D31" s="28"/>
      <c r="E31" s="27"/>
      <c r="F31" s="27"/>
      <c r="G31" s="27"/>
      <c r="H31" s="28"/>
      <c r="I31" s="27"/>
      <c r="J31" s="28"/>
      <c r="K31" s="27"/>
      <c r="L31" s="1"/>
      <c r="M31" s="1"/>
      <c r="N31" s="15"/>
      <c r="O31" s="1"/>
      <c r="P31" s="1"/>
      <c r="Q31" s="1"/>
      <c r="R31" s="1"/>
      <c r="S31" s="1"/>
      <c r="T31" s="1"/>
      <c r="U31" s="1"/>
      <c r="V31" s="1"/>
    </row>
    <row r="32" spans="1:22" ht="15">
      <c r="A32" s="10">
        <v>23</v>
      </c>
      <c r="B32" s="29" t="s">
        <v>0</v>
      </c>
      <c r="C32" s="37" t="s">
        <v>0</v>
      </c>
      <c r="D32" s="38"/>
      <c r="E32" s="38"/>
      <c r="F32" s="38"/>
      <c r="G32" s="38"/>
      <c r="H32" s="38"/>
      <c r="I32" s="38"/>
      <c r="J32" s="38"/>
      <c r="K32" s="39"/>
      <c r="L32" s="1"/>
      <c r="M32" s="1"/>
      <c r="N32" s="7"/>
      <c r="O32" s="1"/>
      <c r="P32" s="1"/>
      <c r="Q32" s="1"/>
      <c r="R32" s="1"/>
      <c r="S32" s="1"/>
      <c r="T32" s="1"/>
      <c r="U32" s="1"/>
      <c r="V32" s="1"/>
    </row>
    <row r="33" spans="1:22" ht="15">
      <c r="A33" s="10">
        <v>24</v>
      </c>
      <c r="B33" s="24">
        <v>46258</v>
      </c>
      <c r="C33" s="28"/>
      <c r="D33" s="28"/>
      <c r="E33" s="27"/>
      <c r="F33" s="27"/>
      <c r="G33" s="27"/>
      <c r="H33" s="28"/>
      <c r="I33" s="27"/>
      <c r="J33" s="28"/>
      <c r="K33" s="27"/>
      <c r="L33" s="1"/>
      <c r="M33" s="1"/>
      <c r="N33" s="7"/>
      <c r="O33" s="1"/>
      <c r="P33" s="1"/>
      <c r="Q33" s="7"/>
      <c r="R33" s="1"/>
      <c r="S33" s="1"/>
      <c r="T33" s="1"/>
      <c r="U33" s="1"/>
      <c r="V33" s="1"/>
    </row>
    <row r="34" spans="1:22" ht="15">
      <c r="A34" s="10">
        <v>25</v>
      </c>
      <c r="B34" s="24">
        <v>46259</v>
      </c>
      <c r="C34" s="28"/>
      <c r="D34" s="28"/>
      <c r="E34" s="27"/>
      <c r="F34" s="27"/>
      <c r="G34" s="27"/>
      <c r="H34" s="28"/>
      <c r="I34" s="27"/>
      <c r="J34" s="28"/>
      <c r="K34" s="27"/>
      <c r="L34" s="1"/>
      <c r="M34" s="1"/>
      <c r="N34" s="7"/>
      <c r="O34" s="1"/>
      <c r="P34" s="1"/>
      <c r="Q34" s="7"/>
      <c r="R34" s="1"/>
      <c r="S34" s="1"/>
      <c r="T34" s="1"/>
      <c r="U34" s="1"/>
      <c r="V34" s="1"/>
    </row>
    <row r="35" spans="1:22" ht="15">
      <c r="A35" s="10">
        <v>26</v>
      </c>
      <c r="B35" s="24">
        <v>46260</v>
      </c>
      <c r="C35" s="28"/>
      <c r="D35" s="28"/>
      <c r="E35" s="27"/>
      <c r="F35" s="27"/>
      <c r="G35" s="27"/>
      <c r="H35" s="28"/>
      <c r="I35" s="27"/>
      <c r="J35" s="28"/>
      <c r="K35" s="27"/>
      <c r="L35" s="1"/>
      <c r="M35" s="1"/>
      <c r="N35" s="7"/>
      <c r="O35" s="1"/>
      <c r="P35" s="1"/>
      <c r="Q35" s="7"/>
      <c r="R35" s="1"/>
      <c r="S35" s="1"/>
      <c r="T35" s="1"/>
      <c r="U35" s="1"/>
      <c r="V35" s="1"/>
    </row>
    <row r="36" spans="1:22" ht="15">
      <c r="A36" s="10">
        <v>27</v>
      </c>
      <c r="B36" s="24">
        <v>46261</v>
      </c>
      <c r="C36" s="28"/>
      <c r="D36" s="28"/>
      <c r="E36" s="27"/>
      <c r="F36" s="27"/>
      <c r="G36" s="27"/>
      <c r="H36" s="28"/>
      <c r="I36" s="27"/>
      <c r="J36" s="28"/>
      <c r="K36" s="27"/>
      <c r="L36" s="1"/>
      <c r="M36" s="1"/>
      <c r="N36" s="7"/>
      <c r="O36" s="1"/>
      <c r="P36" s="1"/>
      <c r="Q36" s="7"/>
      <c r="R36" s="1"/>
      <c r="S36" s="1"/>
      <c r="T36" s="1"/>
      <c r="U36" s="1"/>
      <c r="V36" s="1"/>
    </row>
    <row r="37" spans="1:22" ht="15">
      <c r="A37" s="10">
        <v>28</v>
      </c>
      <c r="B37" s="24">
        <v>46262</v>
      </c>
      <c r="C37" s="28"/>
      <c r="D37" s="28"/>
      <c r="E37" s="27"/>
      <c r="F37" s="27"/>
      <c r="G37" s="27"/>
      <c r="H37" s="28"/>
      <c r="I37" s="27"/>
      <c r="J37" s="28"/>
      <c r="K37" s="27"/>
      <c r="L37" s="1"/>
      <c r="M37" s="1"/>
      <c r="N37" s="8"/>
      <c r="O37" s="1"/>
      <c r="P37" s="1"/>
      <c r="Q37" s="7"/>
      <c r="R37" s="1"/>
      <c r="S37" s="1"/>
      <c r="T37" s="1"/>
      <c r="U37" s="1"/>
      <c r="V37" s="1"/>
    </row>
    <row r="38" spans="1:22" ht="15">
      <c r="A38" s="10">
        <v>29</v>
      </c>
      <c r="B38" s="24">
        <v>46263</v>
      </c>
      <c r="C38" s="28"/>
      <c r="D38" s="28"/>
      <c r="E38" s="27"/>
      <c r="F38" s="27"/>
      <c r="G38" s="27"/>
      <c r="H38" s="28"/>
      <c r="I38" s="27"/>
      <c r="J38" s="28"/>
      <c r="K38" s="27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</row>
    <row r="39" spans="1:22" ht="15">
      <c r="A39" s="10">
        <v>30</v>
      </c>
      <c r="B39" s="29" t="s">
        <v>0</v>
      </c>
      <c r="C39" s="37" t="s">
        <v>0</v>
      </c>
      <c r="D39" s="38"/>
      <c r="E39" s="38"/>
      <c r="F39" s="38"/>
      <c r="G39" s="38"/>
      <c r="H39" s="38"/>
      <c r="I39" s="38"/>
      <c r="J39" s="38"/>
      <c r="K39" s="39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</row>
    <row r="40" spans="1:22" ht="15">
      <c r="A40" s="10">
        <v>31</v>
      </c>
      <c r="B40" s="24">
        <v>46265</v>
      </c>
      <c r="C40" s="28"/>
      <c r="D40" s="28"/>
      <c r="E40" s="27"/>
      <c r="F40" s="27"/>
      <c r="G40" s="27"/>
      <c r="H40" s="28"/>
      <c r="I40" s="27"/>
      <c r="J40" s="28"/>
      <c r="K40" s="27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</row>
    <row r="41" spans="1:22" ht="15">
      <c r="A41" s="10"/>
      <c r="B41" s="29"/>
      <c r="C41" s="37"/>
      <c r="D41" s="38"/>
      <c r="E41" s="38"/>
      <c r="F41" s="38"/>
      <c r="G41" s="38"/>
      <c r="H41" s="38"/>
      <c r="I41" s="38"/>
      <c r="J41" s="38"/>
      <c r="K41" s="39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</row>
    <row r="42" spans="1:22" ht="15">
      <c r="A42" s="19"/>
      <c r="B42" s="29"/>
      <c r="C42" s="37"/>
      <c r="D42" s="38"/>
      <c r="E42" s="38"/>
      <c r="F42" s="38"/>
      <c r="G42" s="38"/>
      <c r="H42" s="38"/>
      <c r="I42" s="38"/>
      <c r="J42" s="38"/>
      <c r="K42" s="39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</row>
    <row r="43" spans="1:22" ht="15">
      <c r="A43" s="23" t="s">
        <v>1</v>
      </c>
      <c r="B43" s="24"/>
      <c r="C43" s="14">
        <f t="shared" ref="C43:J43" si="0">SUM(C10:C42)</f>
        <v>1580545.72</v>
      </c>
      <c r="D43" s="14">
        <f t="shared" si="0"/>
        <v>1326305.47</v>
      </c>
      <c r="E43" s="25">
        <f t="shared" si="0"/>
        <v>608.83999999999992</v>
      </c>
      <c r="F43" s="14">
        <f t="shared" si="0"/>
        <v>287.37</v>
      </c>
      <c r="G43" s="25">
        <f t="shared" si="0"/>
        <v>9270</v>
      </c>
      <c r="H43" s="14">
        <f t="shared" si="0"/>
        <v>1325984</v>
      </c>
      <c r="I43" s="25">
        <f t="shared" si="0"/>
        <v>0</v>
      </c>
      <c r="J43" s="14">
        <f t="shared" si="0"/>
        <v>0</v>
      </c>
      <c r="K43" s="14">
        <f>SUM(K10:K42)</f>
        <v>3300</v>
      </c>
      <c r="L43" s="1"/>
      <c r="M43" s="1"/>
      <c r="N43" s="9"/>
      <c r="O43" s="1"/>
      <c r="P43" s="1"/>
      <c r="Q43" s="1"/>
      <c r="R43" s="1"/>
      <c r="S43" s="1"/>
      <c r="T43" s="1"/>
      <c r="U43" s="1"/>
      <c r="V43" s="1"/>
    </row>
    <row r="44" spans="1:22" ht="15">
      <c r="A44" s="1"/>
      <c r="B44" s="1"/>
      <c r="C44" s="18"/>
      <c r="D44" s="18"/>
      <c r="E44" s="22"/>
      <c r="F44" s="9"/>
      <c r="G44" s="9"/>
      <c r="H44" s="9"/>
      <c r="I44" s="9"/>
      <c r="J44" s="9"/>
      <c r="K44" s="1"/>
      <c r="L44" s="1"/>
      <c r="M44" s="1"/>
      <c r="N44" s="15"/>
      <c r="O44" s="1"/>
      <c r="P44" s="1"/>
      <c r="Q44" s="1"/>
      <c r="R44" s="1"/>
      <c r="S44" s="1"/>
      <c r="T44" s="1"/>
      <c r="U44" s="1"/>
      <c r="V44" s="1"/>
    </row>
    <row r="45" spans="1:22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</row>
    <row r="46" spans="1:22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"/>
      <c r="O46" s="1"/>
      <c r="P46" s="1"/>
      <c r="Q46" s="1"/>
      <c r="R46" s="1"/>
      <c r="S46" s="1"/>
      <c r="T46" s="1"/>
      <c r="U46" s="1"/>
      <c r="V46" s="1"/>
    </row>
    <row r="47" spans="1:22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</row>
    <row r="48" spans="1:22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"/>
      <c r="O48" s="1"/>
      <c r="P48" s="1"/>
      <c r="Q48" s="1"/>
      <c r="R48" s="1"/>
      <c r="S48" s="1"/>
      <c r="T48" s="1"/>
      <c r="U48" s="1"/>
      <c r="V48" s="1"/>
    </row>
    <row r="49" spans="1:22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</row>
    <row r="50" spans="1:22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F196"/>
      <c r="G196"/>
    </row>
    <row r="197" spans="1:22">
      <c r="F197"/>
      <c r="G197"/>
    </row>
    <row r="198" spans="1:22">
      <c r="F198"/>
      <c r="G198"/>
    </row>
    <row r="199" spans="1:22">
      <c r="F199"/>
      <c r="G199"/>
    </row>
    <row r="200" spans="1:22">
      <c r="F200"/>
      <c r="G200"/>
    </row>
    <row r="201" spans="1:22">
      <c r="F201"/>
      <c r="G201"/>
    </row>
    <row r="202" spans="1:22">
      <c r="F202"/>
      <c r="G202"/>
    </row>
    <row r="203" spans="1:22">
      <c r="F203"/>
      <c r="G203"/>
    </row>
    <row r="204" spans="1:22">
      <c r="F204"/>
      <c r="G204"/>
    </row>
    <row r="205" spans="1:22">
      <c r="F205"/>
      <c r="G205"/>
    </row>
    <row r="206" spans="1:22">
      <c r="F206"/>
      <c r="G206"/>
    </row>
    <row r="207" spans="1:22">
      <c r="F207"/>
      <c r="G207"/>
    </row>
    <row r="208" spans="1:22">
      <c r="F208"/>
      <c r="G208"/>
    </row>
    <row r="209" spans="6:7">
      <c r="F209"/>
      <c r="G209"/>
    </row>
    <row r="210" spans="6:7">
      <c r="F210"/>
      <c r="G210"/>
    </row>
    <row r="211" spans="6:7">
      <c r="F211"/>
      <c r="G211"/>
    </row>
    <row r="212" spans="6:7">
      <c r="F212"/>
      <c r="G212"/>
    </row>
    <row r="213" spans="6:7">
      <c r="F213"/>
      <c r="G213"/>
    </row>
    <row r="214" spans="6:7">
      <c r="F214"/>
      <c r="G214"/>
    </row>
    <row r="215" spans="6:7">
      <c r="F215"/>
      <c r="G215"/>
    </row>
    <row r="216" spans="6:7">
      <c r="F216"/>
      <c r="G216"/>
    </row>
    <row r="217" spans="6:7">
      <c r="F217"/>
      <c r="G217"/>
    </row>
    <row r="218" spans="6:7">
      <c r="F218"/>
      <c r="G218"/>
    </row>
    <row r="219" spans="6:7">
      <c r="F219"/>
      <c r="G219"/>
    </row>
    <row r="220" spans="6:7">
      <c r="F220"/>
      <c r="G220"/>
    </row>
    <row r="221" spans="6:7">
      <c r="F221"/>
      <c r="G221"/>
    </row>
    <row r="222" spans="6:7">
      <c r="F222"/>
      <c r="G222"/>
    </row>
    <row r="223" spans="6:7">
      <c r="F223"/>
      <c r="G223"/>
    </row>
    <row r="224" spans="6:7">
      <c r="F224"/>
      <c r="G224"/>
    </row>
    <row r="225" spans="6:7">
      <c r="F225"/>
      <c r="G225"/>
    </row>
    <row r="226" spans="6:7">
      <c r="F226"/>
      <c r="G226"/>
    </row>
    <row r="227" spans="6:7">
      <c r="F227"/>
      <c r="G227"/>
    </row>
    <row r="228" spans="6:7">
      <c r="F228"/>
      <c r="G228"/>
    </row>
    <row r="229" spans="6:7">
      <c r="F229"/>
      <c r="G229"/>
    </row>
    <row r="230" spans="6:7">
      <c r="F230"/>
      <c r="G230"/>
    </row>
    <row r="231" spans="6:7">
      <c r="F231"/>
      <c r="G231"/>
    </row>
    <row r="232" spans="6:7">
      <c r="F232"/>
      <c r="G232"/>
    </row>
    <row r="233" spans="6:7">
      <c r="F233"/>
      <c r="G233"/>
    </row>
    <row r="234" spans="6:7">
      <c r="F234"/>
      <c r="G234"/>
    </row>
    <row r="235" spans="6:7">
      <c r="F235"/>
      <c r="G235"/>
    </row>
    <row r="236" spans="6:7">
      <c r="F236"/>
      <c r="G236"/>
    </row>
    <row r="237" spans="6:7">
      <c r="F237"/>
      <c r="G237"/>
    </row>
    <row r="238" spans="6:7">
      <c r="F238"/>
      <c r="G238"/>
    </row>
    <row r="239" spans="6:7">
      <c r="F239"/>
      <c r="G239"/>
    </row>
    <row r="240" spans="6:7">
      <c r="F240"/>
      <c r="G240"/>
    </row>
    <row r="241" spans="6:7">
      <c r="F241"/>
      <c r="G241"/>
    </row>
    <row r="242" spans="6:7">
      <c r="F242"/>
      <c r="G242"/>
    </row>
    <row r="243" spans="6:7">
      <c r="F243"/>
      <c r="G243"/>
    </row>
    <row r="244" spans="6:7">
      <c r="F244"/>
      <c r="G244"/>
    </row>
    <row r="245" spans="6:7">
      <c r="F245"/>
      <c r="G245"/>
    </row>
    <row r="246" spans="6:7">
      <c r="F246"/>
      <c r="G246"/>
    </row>
    <row r="247" spans="6:7">
      <c r="F247"/>
      <c r="G247"/>
    </row>
    <row r="248" spans="6:7">
      <c r="F248"/>
      <c r="G248"/>
    </row>
    <row r="249" spans="6:7">
      <c r="F249"/>
      <c r="G249"/>
    </row>
    <row r="250" spans="6:7">
      <c r="F250"/>
      <c r="G250"/>
    </row>
    <row r="251" spans="6:7">
      <c r="F251"/>
      <c r="G251"/>
    </row>
    <row r="252" spans="6:7">
      <c r="F252"/>
      <c r="G252"/>
    </row>
    <row r="253" spans="6:7">
      <c r="F253"/>
      <c r="G253"/>
    </row>
    <row r="254" spans="6:7">
      <c r="F254"/>
      <c r="G254"/>
    </row>
    <row r="255" spans="6:7">
      <c r="F255"/>
      <c r="G255"/>
    </row>
    <row r="256" spans="6:7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  <row r="261" spans="6:7">
      <c r="F261"/>
      <c r="G261"/>
    </row>
    <row r="262" spans="6:7">
      <c r="F262"/>
      <c r="G262"/>
    </row>
    <row r="263" spans="6:7">
      <c r="F263"/>
      <c r="G263"/>
    </row>
    <row r="264" spans="6:7">
      <c r="F264"/>
      <c r="G264"/>
    </row>
    <row r="265" spans="6:7">
      <c r="F265"/>
      <c r="G265"/>
    </row>
    <row r="266" spans="6:7">
      <c r="F266"/>
      <c r="G266"/>
    </row>
    <row r="267" spans="6:7">
      <c r="F267"/>
      <c r="G267"/>
    </row>
    <row r="268" spans="6:7">
      <c r="F268"/>
      <c r="G268"/>
    </row>
    <row r="269" spans="6:7">
      <c r="F269"/>
      <c r="G269"/>
    </row>
    <row r="270" spans="6:7">
      <c r="F270"/>
      <c r="G270"/>
    </row>
    <row r="271" spans="6:7">
      <c r="F271"/>
      <c r="G271"/>
    </row>
    <row r="272" spans="6:7">
      <c r="F272"/>
      <c r="G272"/>
    </row>
    <row r="273" spans="6:7">
      <c r="F273"/>
      <c r="G273"/>
    </row>
    <row r="274" spans="6:7">
      <c r="F274"/>
      <c r="G274"/>
    </row>
    <row r="275" spans="6:7">
      <c r="F275"/>
      <c r="G275"/>
    </row>
    <row r="276" spans="6:7">
      <c r="F276"/>
      <c r="G276"/>
    </row>
    <row r="277" spans="6:7">
      <c r="F277"/>
      <c r="G277"/>
    </row>
    <row r="278" spans="6:7">
      <c r="F278"/>
      <c r="G278"/>
    </row>
    <row r="279" spans="6:7">
      <c r="F279"/>
      <c r="G279"/>
    </row>
  </sheetData>
  <mergeCells count="8">
    <mergeCell ref="C42:K42"/>
    <mergeCell ref="C41:K41"/>
    <mergeCell ref="C11:K11"/>
    <mergeCell ref="C18:K18"/>
    <mergeCell ref="C25:K25"/>
    <mergeCell ref="C32:K32"/>
    <mergeCell ref="C39:K39"/>
    <mergeCell ref="C14:K14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AUGUST, SRS R1</vt:lpstr>
      <vt:lpstr>AUGUST, SRS R2</vt:lpstr>
      <vt:lpstr>AUGUST, SRS R3</vt:lpstr>
      <vt:lpstr>,</vt:lpstr>
      <vt:lpstr>'AUGUST, SRS R1'!Print_Area</vt:lpstr>
      <vt:lpstr>'AUGUST, SRS R2'!Print_Area</vt:lpstr>
      <vt:lpstr>'AUGUST,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2026-08-08T00:29:45Z</dcterms:modified>
</cp:coreProperties>
</file>