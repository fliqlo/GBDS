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1795914-886D-4436-B7E8-78EAD452E22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6" i="6" l="1"/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  <comment ref="J31" authorId="0" shapeId="0" xr:uid="{E7AB9747-BE8F-479A-8C9C-38F38A51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
</t>
        </r>
      </text>
    </comment>
    <comment ref="I36" authorId="0" shapeId="0" xr:uid="{A387BDC5-C5C9-46DA-8247-8728B7555D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
S.I NO 12073
SOUND CHECK
S.I NO 12072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<sst xmlns="http://schemas.openxmlformats.org/spreadsheetml/2006/main" count="86" uniqueCount="22">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</sst>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0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>
        <v>49577</v>
      </c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737255</v>
      </c>
      <c r="D33" s="28">
        <v>622931.5</v>
      </c>
      <c r="E33" s="27">
        <v>2845.5</v>
      </c>
      <c r="F33" s="27"/>
      <c r="G33" s="27">
        <v>5304</v>
      </c>
      <c r="H33" s="28">
        <v>660086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780276</v>
      </c>
      <c r="D34" s="28">
        <v>674364</v>
      </c>
      <c r="E34" s="27"/>
      <c r="F34" s="28">
        <v>654</v>
      </c>
      <c r="G34" s="27">
        <v>5172</v>
      </c>
      <c r="H34" s="28">
        <v>675018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435322.33</v>
      </c>
      <c r="D35" s="28">
        <v>361207.33</v>
      </c>
      <c r="E35" s="27">
        <v>2318.33</v>
      </c>
      <c r="F35" s="27"/>
      <c r="G35" s="27">
        <v>2772</v>
      </c>
      <c r="H35" s="28">
        <v>358889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399906.63</v>
      </c>
      <c r="D36" s="28">
        <v>85667.08</v>
      </c>
      <c r="E36" s="27">
        <v>366.08</v>
      </c>
      <c r="F36" s="27"/>
      <c r="G36" s="27">
        <v>1944</v>
      </c>
      <c r="H36" s="28">
        <v>85331</v>
      </c>
      <c r="I36" s="27">
        <f>223901+49474</f>
        <v>273375</v>
      </c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7097549.8899999997</v>
      </c>
      <c r="D43" s="14">
        <f t="shared" si="0"/>
        <v>5616430.9100000001</v>
      </c>
      <c r="E43" s="25">
        <f t="shared" si="0"/>
        <v>9113.33</v>
      </c>
      <c r="F43" s="14">
        <f t="shared" si="0"/>
        <v>1364.92</v>
      </c>
      <c r="G43" s="25">
        <f t="shared" si="0"/>
        <v>30534</v>
      </c>
      <c r="H43" s="14">
        <f t="shared" si="0"/>
        <v>5648712.5</v>
      </c>
      <c r="I43" s="25">
        <f t="shared" ref="I43:J43" si="1">SUM(I10:I42)</f>
        <v>581487</v>
      </c>
      <c r="J43" s="14">
        <f t="shared" si="1"/>
        <v>293109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0" zoomScaleNormal="100" zoomScaleSheetLayoutView="100" workbookViewId="0">
      <selection activeCell="I36" sqref="I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297905.78999999998</v>
      </c>
      <c r="D33" s="28">
        <v>252974.79</v>
      </c>
      <c r="E33" s="27">
        <v>102.79</v>
      </c>
      <c r="F33" s="27"/>
      <c r="G33" s="27">
        <v>2148</v>
      </c>
      <c r="H33" s="28">
        <v>252872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522757.42</v>
      </c>
      <c r="D34" s="28">
        <v>441359.17</v>
      </c>
      <c r="E34" s="27">
        <v>1604.17</v>
      </c>
      <c r="F34" s="27"/>
      <c r="G34" s="27">
        <v>4074</v>
      </c>
      <c r="H34" s="28">
        <v>439755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231766.54</v>
      </c>
      <c r="D35" s="28">
        <v>198975.79</v>
      </c>
      <c r="E35" s="27"/>
      <c r="F35" s="28">
        <v>947.21</v>
      </c>
      <c r="G35" s="27">
        <v>300</v>
      </c>
      <c r="H35" s="28">
        <v>199923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270151.75</v>
      </c>
      <c r="D36" s="28">
        <v>228277.75</v>
      </c>
      <c r="E36" s="27">
        <v>482.75</v>
      </c>
      <c r="F36" s="27"/>
      <c r="G36" s="27">
        <v>1356</v>
      </c>
      <c r="H36" s="28">
        <v>227795</v>
      </c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6202545.6399999997</v>
      </c>
      <c r="D43" s="14">
        <f t="shared" si="0"/>
        <v>5229961.8899999997</v>
      </c>
      <c r="E43" s="25">
        <f t="shared" si="0"/>
        <v>11498.26</v>
      </c>
      <c r="F43" s="14">
        <f t="shared" si="0"/>
        <v>7416.38</v>
      </c>
      <c r="G43" s="25">
        <f t="shared" si="0"/>
        <v>36594</v>
      </c>
      <c r="H43" s="14">
        <f t="shared" si="0"/>
        <v>5222118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4" zoomScaleNormal="100" zoomScaleSheetLayoutView="100" workbookViewId="0">
      <selection activeCell="I36" sqref="I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522837.46</v>
      </c>
      <c r="D33" s="28">
        <v>445207.46</v>
      </c>
      <c r="E33" s="27">
        <v>138.46</v>
      </c>
      <c r="F33" s="27"/>
      <c r="G33" s="27">
        <v>3096</v>
      </c>
      <c r="H33" s="28">
        <v>445069</v>
      </c>
      <c r="I33" s="27"/>
      <c r="J33" s="28"/>
      <c r="K33" s="27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660175.25</v>
      </c>
      <c r="D34" s="28">
        <v>559954.25</v>
      </c>
      <c r="E34" s="27"/>
      <c r="F34" s="28">
        <v>696.75</v>
      </c>
      <c r="G34" s="27">
        <v>3882</v>
      </c>
      <c r="H34" s="28">
        <v>560651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559694.17000000004</v>
      </c>
      <c r="D35" s="28">
        <v>482839.67</v>
      </c>
      <c r="E35" s="27"/>
      <c r="F35" s="28">
        <v>717.33</v>
      </c>
      <c r="G35" s="27">
        <v>2394</v>
      </c>
      <c r="H35" s="28"/>
      <c r="I35" s="27"/>
      <c r="J35" s="28"/>
      <c r="K35" s="27">
        <v>50</v>
      </c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379815.13</v>
      </c>
      <c r="D36" s="28">
        <v>322965.88</v>
      </c>
      <c r="E36" s="27"/>
      <c r="F36" s="27">
        <v>1201.1300000000001</v>
      </c>
      <c r="G36" s="27">
        <v>2262</v>
      </c>
      <c r="H36" s="28">
        <v>324167</v>
      </c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8413951.0700000003</v>
      </c>
      <c r="D43" s="14">
        <f t="shared" si="0"/>
        <v>7196507.5699999994</v>
      </c>
      <c r="E43" s="25">
        <f t="shared" si="0"/>
        <v>40902.85</v>
      </c>
      <c r="F43" s="14">
        <f t="shared" si="0"/>
        <v>21024.29</v>
      </c>
      <c r="G43" s="25">
        <f t="shared" si="0"/>
        <v>43086</v>
      </c>
      <c r="H43" s="14">
        <f t="shared" si="0"/>
        <v>6308795</v>
      </c>
      <c r="I43" s="25">
        <f t="shared" si="0"/>
        <v>0</v>
      </c>
      <c r="J43" s="14">
        <f t="shared" si="0"/>
        <v>0</v>
      </c>
      <c r="K43" s="14">
        <f>SUM(K10:K42)</f>
        <v>3576.13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2026-08-28T06:09:06Z</dcterms:modified>
</cp:coreProperties>
</file>