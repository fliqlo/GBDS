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79A7A14F-9F6F-4318-9DC0-A8B161A05275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  <comment ref="J24" authorId="0" shapeId="0" xr:uid="{4959BA85-B35A-4539-85F5-3FCD056842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S.I NO 11915</t>
        </r>
      </text>
    </comment>
    <comment ref="I28" authorId="0" shapeId="0" xr:uid="{E777750E-057B-4D14-AAA0-8CA00C3DD2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</t>
        </r>
      </text>
    </comment>
    <comment ref="I29" authorId="0" shapeId="0" xr:uid="{F67220B6-D680-4606-8164-A76B1888A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11945</t>
        </r>
      </text>
    </comment>
    <comment ref="J29" authorId="0" shapeId="0" xr:uid="{9CBE62F9-6D5C-4B47-A805-5785B9CD7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S.I NO 11698
</t>
        </r>
      </text>
    </comment>
    <comment ref="J31" authorId="0" shapeId="0" xr:uid="{E7AB9747-BE8F-479A-8C9C-38F38A51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11943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<sst xmlns="http://schemas.openxmlformats.org/spreadsheetml/2006/main" count="86" uniqueCount="22">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</sst>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3" zoomScaleNormal="100" zoomScaleSheetLayoutView="100" workbookViewId="0">
      <selection activeCell="K50" sqref="K50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>
        <v>62655</v>
      </c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408615.21</v>
      </c>
      <c r="D26" s="28">
        <v>300432.21000000002</v>
      </c>
      <c r="E26" s="27">
        <v>394.71</v>
      </c>
      <c r="F26" s="27"/>
      <c r="G26" s="27">
        <v>2676</v>
      </c>
      <c r="H26" s="28">
        <v>300037.5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524789.17000000004</v>
      </c>
      <c r="D27" s="28">
        <v>445312.42</v>
      </c>
      <c r="E27" s="27">
        <v>17.420000000000002</v>
      </c>
      <c r="F27" s="27"/>
      <c r="G27" s="27">
        <v>3312</v>
      </c>
      <c r="H27" s="28">
        <v>445295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400721.17</v>
      </c>
      <c r="D28" s="28">
        <v>296278.67</v>
      </c>
      <c r="E28" s="27">
        <v>55.67</v>
      </c>
      <c r="F28" s="27"/>
      <c r="G28" s="27"/>
      <c r="H28" s="28">
        <v>296223</v>
      </c>
      <c r="I28" s="27">
        <v>49577</v>
      </c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660045.42000000004</v>
      </c>
      <c r="D29" s="28">
        <v>574754.92000000004</v>
      </c>
      <c r="E29" s="27">
        <v>659.92</v>
      </c>
      <c r="F29" s="27"/>
      <c r="G29" s="27">
        <v>1296</v>
      </c>
      <c r="H29" s="28">
        <v>574095</v>
      </c>
      <c r="I29" s="27">
        <v>97893</v>
      </c>
      <c r="J29" s="28">
        <v>97987</v>
      </c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37" t="s">
        <v>21</v>
      </c>
      <c r="D30" s="38"/>
      <c r="E30" s="38"/>
      <c r="F30" s="38"/>
      <c r="G30" s="38"/>
      <c r="H30" s="38"/>
      <c r="I30" s="38"/>
      <c r="J30" s="38"/>
      <c r="K30" s="39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>
        <v>49577</v>
      </c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737255</v>
      </c>
      <c r="D33" s="28">
        <v>622931.5</v>
      </c>
      <c r="E33" s="27">
        <v>2845.5</v>
      </c>
      <c r="F33" s="27"/>
      <c r="G33" s="27">
        <v>5304</v>
      </c>
      <c r="H33" s="28">
        <v>660086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780276</v>
      </c>
      <c r="D34" s="28">
        <v>674364</v>
      </c>
      <c r="E34" s="27"/>
      <c r="F34" s="28">
        <v>654</v>
      </c>
      <c r="G34" s="27">
        <v>5172</v>
      </c>
      <c r="H34" s="28">
        <v>675018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6262320.9299999997</v>
      </c>
      <c r="D43" s="14">
        <f t="shared" si="0"/>
        <v>5169556.5</v>
      </c>
      <c r="E43" s="25">
        <f t="shared" si="0"/>
        <v>6428.92</v>
      </c>
      <c r="F43" s="14">
        <f t="shared" si="0"/>
        <v>1364.92</v>
      </c>
      <c r="G43" s="25">
        <f t="shared" si="0"/>
        <v>25818</v>
      </c>
      <c r="H43" s="14">
        <f t="shared" si="0"/>
        <v>5204492.5</v>
      </c>
      <c r="I43" s="25">
        <f t="shared" ref="I43:J43" si="1">SUM(I10:I42)</f>
        <v>308112</v>
      </c>
      <c r="J43" s="14">
        <f t="shared" si="1"/>
        <v>293109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1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  <mergeCell ref="C30:K3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topLeftCell="A16"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37" t="s">
        <v>21</v>
      </c>
      <c r="D24" s="38"/>
      <c r="E24" s="38"/>
      <c r="F24" s="38"/>
      <c r="G24" s="38"/>
      <c r="H24" s="38"/>
      <c r="I24" s="38"/>
      <c r="J24" s="38"/>
      <c r="K24" s="39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410326.75</v>
      </c>
      <c r="D26" s="28">
        <v>347772.25</v>
      </c>
      <c r="E26" s="27">
        <v>184.25</v>
      </c>
      <c r="F26" s="27"/>
      <c r="G26" s="27">
        <v>2700</v>
      </c>
      <c r="H26" s="28">
        <v>347588</v>
      </c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226309.88</v>
      </c>
      <c r="D27" s="28">
        <v>190773.38</v>
      </c>
      <c r="E27" s="27"/>
      <c r="F27" s="36">
        <v>143.63</v>
      </c>
      <c r="G27" s="27">
        <v>1116</v>
      </c>
      <c r="H27" s="28">
        <v>190917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254847.13</v>
      </c>
      <c r="D28" s="28">
        <v>215214.13</v>
      </c>
      <c r="E28" s="27">
        <v>14.13</v>
      </c>
      <c r="F28" s="27"/>
      <c r="G28" s="27">
        <v>1944</v>
      </c>
      <c r="H28" s="28">
        <v>215200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79145.25</v>
      </c>
      <c r="D29" s="28">
        <v>66773.25</v>
      </c>
      <c r="E29" s="27"/>
      <c r="F29" s="36">
        <v>64.75</v>
      </c>
      <c r="G29" s="27">
        <v>534</v>
      </c>
      <c r="H29" s="28">
        <v>66838</v>
      </c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355218</v>
      </c>
      <c r="D30" s="28">
        <v>292870.5</v>
      </c>
      <c r="E30" s="27">
        <v>4.5</v>
      </c>
      <c r="F30" s="27"/>
      <c r="G30" s="27">
        <v>2010</v>
      </c>
      <c r="H30" s="28">
        <v>292866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297905.78999999998</v>
      </c>
      <c r="D33" s="28">
        <v>252974.79</v>
      </c>
      <c r="E33" s="27">
        <v>102.79</v>
      </c>
      <c r="F33" s="27"/>
      <c r="G33" s="27">
        <v>2148</v>
      </c>
      <c r="H33" s="28">
        <v>252872</v>
      </c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522757.42</v>
      </c>
      <c r="D34" s="28">
        <v>441359.17</v>
      </c>
      <c r="E34" s="27">
        <v>1604.17</v>
      </c>
      <c r="F34" s="27"/>
      <c r="G34" s="27">
        <v>4074</v>
      </c>
      <c r="H34" s="28">
        <v>439755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5700627.3499999996</v>
      </c>
      <c r="D43" s="14">
        <f t="shared" si="0"/>
        <v>4802708.3499999996</v>
      </c>
      <c r="E43" s="25">
        <f t="shared" si="0"/>
        <v>11015.51</v>
      </c>
      <c r="F43" s="14">
        <f t="shared" si="0"/>
        <v>6469.17</v>
      </c>
      <c r="G43" s="25">
        <f t="shared" si="0"/>
        <v>34938</v>
      </c>
      <c r="H43" s="14">
        <f t="shared" si="0"/>
        <v>4794400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1:K11"/>
    <mergeCell ref="C18:K18"/>
    <mergeCell ref="C25:K25"/>
    <mergeCell ref="C32:K32"/>
    <mergeCell ref="C39:K39"/>
    <mergeCell ref="C41:K41"/>
    <mergeCell ref="C24:K24"/>
    <mergeCell ref="C31:K3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13" zoomScaleNormal="100" zoomScaleSheetLayoutView="100" workbookViewId="0">
      <selection activeCell="C35" sqref="C3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>
        <v>502994.04</v>
      </c>
      <c r="D24" s="28">
        <v>452669.79</v>
      </c>
      <c r="E24" s="27"/>
      <c r="F24" s="36">
        <v>16374.21</v>
      </c>
      <c r="G24" s="27">
        <v>3108</v>
      </c>
      <c r="H24" s="28">
        <v>469044</v>
      </c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>
        <v>507297</v>
      </c>
      <c r="D26" s="28">
        <v>449946.25</v>
      </c>
      <c r="E26" s="27"/>
      <c r="F26" s="36">
        <v>745.75</v>
      </c>
      <c r="G26" s="27">
        <v>1776</v>
      </c>
      <c r="H26" s="28">
        <v>450692</v>
      </c>
      <c r="I26" s="27"/>
      <c r="J26" s="28"/>
      <c r="K26" s="27">
        <v>50</v>
      </c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>
        <v>239538</v>
      </c>
      <c r="D27" s="28">
        <v>203881.5</v>
      </c>
      <c r="E27" s="27"/>
      <c r="F27" s="36">
        <v>20.5</v>
      </c>
      <c r="G27" s="27"/>
      <c r="H27" s="28">
        <v>203902</v>
      </c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>
        <v>304334.21000000002</v>
      </c>
      <c r="D28" s="28">
        <v>259718.21</v>
      </c>
      <c r="E28" s="27">
        <v>40.21</v>
      </c>
      <c r="F28" s="27"/>
      <c r="G28" s="27"/>
      <c r="H28" s="28">
        <v>259678</v>
      </c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>
        <v>481202</v>
      </c>
      <c r="D29" s="28">
        <v>405814.5</v>
      </c>
      <c r="E29" s="27"/>
      <c r="F29" s="36">
        <v>62.5</v>
      </c>
      <c r="G29" s="27">
        <v>3732</v>
      </c>
      <c r="H29" s="28"/>
      <c r="I29" s="27"/>
      <c r="J29" s="28"/>
      <c r="K29" s="27">
        <v>50</v>
      </c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>
        <v>421825</v>
      </c>
      <c r="D30" s="28">
        <v>373692.25</v>
      </c>
      <c r="E30" s="27"/>
      <c r="F30" s="28">
        <v>918.75</v>
      </c>
      <c r="G30" s="27">
        <v>300</v>
      </c>
      <c r="H30" s="28">
        <v>374611</v>
      </c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37" t="s">
        <v>21</v>
      </c>
      <c r="D31" s="38"/>
      <c r="E31" s="38"/>
      <c r="F31" s="38"/>
      <c r="G31" s="38"/>
      <c r="H31" s="38"/>
      <c r="I31" s="38"/>
      <c r="J31" s="38"/>
      <c r="K31" s="39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>
        <v>522837.46</v>
      </c>
      <c r="D33" s="28">
        <v>445207.46</v>
      </c>
      <c r="E33" s="27">
        <v>138.46</v>
      </c>
      <c r="F33" s="27"/>
      <c r="G33" s="27">
        <v>3096</v>
      </c>
      <c r="H33" s="28">
        <v>445069</v>
      </c>
      <c r="I33" s="27"/>
      <c r="J33" s="28"/>
      <c r="K33" s="27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>
        <v>660175.25</v>
      </c>
      <c r="D34" s="28">
        <v>559954.25</v>
      </c>
      <c r="E34" s="27"/>
      <c r="F34" s="28">
        <v>696.75</v>
      </c>
      <c r="G34" s="27">
        <v>3882</v>
      </c>
      <c r="H34" s="28">
        <v>560651</v>
      </c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7474441.7699999996</v>
      </c>
      <c r="D43" s="14">
        <f t="shared" si="0"/>
        <v>6390702.0199999996</v>
      </c>
      <c r="E43" s="25">
        <f t="shared" si="0"/>
        <v>40902.85</v>
      </c>
      <c r="F43" s="14">
        <f t="shared" si="0"/>
        <v>19105.829999999998</v>
      </c>
      <c r="G43" s="25">
        <f t="shared" si="0"/>
        <v>38430</v>
      </c>
      <c r="H43" s="14">
        <f t="shared" si="0"/>
        <v>5984628</v>
      </c>
      <c r="I43" s="25">
        <f t="shared" si="0"/>
        <v>0</v>
      </c>
      <c r="J43" s="14">
        <f t="shared" si="0"/>
        <v>0</v>
      </c>
      <c r="K43" s="14">
        <f>SUM(K10:K42)</f>
        <v>3526.13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41:K41"/>
    <mergeCell ref="C11:K11"/>
    <mergeCell ref="C18:K18"/>
    <mergeCell ref="C25:K25"/>
    <mergeCell ref="C32:K32"/>
    <mergeCell ref="C39:K39"/>
    <mergeCell ref="C14:K14"/>
    <mergeCell ref="C31:K31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2026-08-26T02:02:37Z</dcterms:modified>
</cp:coreProperties>
</file>