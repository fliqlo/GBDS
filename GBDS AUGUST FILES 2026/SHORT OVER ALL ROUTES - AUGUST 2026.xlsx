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33BFCC7F-D90C-4FB1-B3E1-13CF325D426E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" i="12" l="1"/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1F2BCCE8-8418-47A7-AFA5-79606EC47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11698</t>
        </r>
      </text>
    </comment>
    <comment ref="J21" authorId="0" shapeId="0" xr:uid="{EB85805D-BADB-48F9-BD84-1B85F1B732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I22" authorId="0" shapeId="0" xr:uid="{1370AED1-ACA0-49F5-BBC2-8FDAA1A83D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11915</t>
        </r>
      </text>
    </comment>
    <comment ref="K23" authorId="0" shapeId="0" xr:uid="{EA3E0649-5BB5-4253-8F35-B1507F865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2307
</t>
        </r>
      </text>
    </comment>
    <comment ref="J24" authorId="0" shapeId="0" xr:uid="{4959BA85-B35A-4539-85F5-3FCD056842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S.I NO 11915</t>
        </r>
      </text>
    </comment>
    <comment ref="I28" authorId="0" shapeId="0" xr:uid="{E777750E-057B-4D14-AAA0-8CA00C3DD2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11943</t>
        </r>
      </text>
    </comment>
    <comment ref="I29" authorId="0" shapeId="0" xr:uid="{F67220B6-D680-4606-8164-A76B1888AD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S.I NO 11945</t>
        </r>
      </text>
    </comment>
    <comment ref="J29" authorId="0" shapeId="0" xr:uid="{9CBE62F9-6D5C-4B47-A805-5785B9CD7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S.I NO 11698
</t>
        </r>
      </text>
    </comment>
    <comment ref="J31" authorId="0" shapeId="0" xr:uid="{E7AB9747-BE8F-479A-8C9C-38F38A519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11943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  <comment ref="I15" authorId="0" shapeId="0" xr:uid="{5930818C-DECD-4D05-BD54-A31AEDDE5E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11720</t>
        </r>
      </text>
    </comment>
    <comment ref="K15" authorId="0" shapeId="0" xr:uid="{009EC669-73A1-46E2-84C3-48F2A94F08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TICKET = 50
PROMO = 4550</t>
        </r>
      </text>
    </comment>
    <comment ref="J17" authorId="0" shapeId="0" xr:uid="{A73D6420-F89B-473D-BA60-C237E8600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11720</t>
        </r>
      </text>
    </comment>
  </commentList>
</comments>
</file>

<file path=xl/sharedStrings.xml><?xml version="1.0" encoding="utf-8"?>
<sst xmlns="http://schemas.openxmlformats.org/spreadsheetml/2006/main" count="86" uniqueCount="22">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</sst>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opLeftCell="A13" zoomScaleNormal="100" zoomScaleSheetLayoutView="100" workbookViewId="0">
      <selection activeCell="C36" sqref="C3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276596</v>
      </c>
      <c r="D14" s="28">
        <v>237279.5</v>
      </c>
      <c r="E14" s="27"/>
      <c r="F14" s="28">
        <v>0.5</v>
      </c>
      <c r="G14" s="27">
        <v>2034</v>
      </c>
      <c r="H14" s="28">
        <v>237280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37" t="s">
        <v>21</v>
      </c>
      <c r="D15" s="38"/>
      <c r="E15" s="38"/>
      <c r="F15" s="38"/>
      <c r="G15" s="38"/>
      <c r="H15" s="38"/>
      <c r="I15" s="38"/>
      <c r="J15" s="38"/>
      <c r="K15" s="3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408810.71</v>
      </c>
      <c r="D16" s="28">
        <v>348709.46</v>
      </c>
      <c r="E16" s="27">
        <v>284.45999999999998</v>
      </c>
      <c r="F16" s="27"/>
      <c r="G16" s="27"/>
      <c r="H16" s="28">
        <v>348425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37" t="s">
        <v>21</v>
      </c>
      <c r="D17" s="38"/>
      <c r="E17" s="38"/>
      <c r="F17" s="38"/>
      <c r="G17" s="38"/>
      <c r="H17" s="38"/>
      <c r="I17" s="38"/>
      <c r="J17" s="38"/>
      <c r="K17" s="3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256140.29</v>
      </c>
      <c r="D19" s="28">
        <v>204925.79</v>
      </c>
      <c r="E19" s="27">
        <v>142.29</v>
      </c>
      <c r="F19" s="27"/>
      <c r="G19" s="27">
        <v>1296</v>
      </c>
      <c r="H19" s="28">
        <v>204783.5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346704.58</v>
      </c>
      <c r="D20" s="28">
        <v>199090.83</v>
      </c>
      <c r="E20" s="27">
        <v>1251.83</v>
      </c>
      <c r="F20" s="27"/>
      <c r="G20" s="27"/>
      <c r="H20" s="28">
        <v>197839</v>
      </c>
      <c r="I20" s="27">
        <v>97987</v>
      </c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519146.42</v>
      </c>
      <c r="D21" s="28">
        <v>521249.42</v>
      </c>
      <c r="E21" s="27">
        <v>130.41999999999999</v>
      </c>
      <c r="F21" s="27"/>
      <c r="G21" s="27">
        <v>3402</v>
      </c>
      <c r="H21" s="28">
        <v>521119</v>
      </c>
      <c r="I21" s="27"/>
      <c r="J21" s="28">
        <v>82890</v>
      </c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354423</v>
      </c>
      <c r="D22" s="28">
        <v>238368</v>
      </c>
      <c r="E22" s="27"/>
      <c r="F22" s="36">
        <v>62</v>
      </c>
      <c r="G22" s="27"/>
      <c r="H22" s="28">
        <v>238430</v>
      </c>
      <c r="I22" s="27">
        <v>62655</v>
      </c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340635.63</v>
      </c>
      <c r="D23" s="28">
        <v>294058.2</v>
      </c>
      <c r="E23" s="27">
        <v>646.70000000000005</v>
      </c>
      <c r="F23" s="27"/>
      <c r="G23" s="27">
        <v>1326</v>
      </c>
      <c r="H23" s="28">
        <v>293411.5</v>
      </c>
      <c r="I23" s="27"/>
      <c r="J23" s="28"/>
      <c r="K23" s="27">
        <v>126.93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>
        <v>62655</v>
      </c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408615.21</v>
      </c>
      <c r="D26" s="28">
        <v>300432.21000000002</v>
      </c>
      <c r="E26" s="27">
        <v>394.71</v>
      </c>
      <c r="F26" s="27"/>
      <c r="G26" s="27">
        <v>2676</v>
      </c>
      <c r="H26" s="28">
        <v>300037.5</v>
      </c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524789.17000000004</v>
      </c>
      <c r="D27" s="28">
        <v>445312.42</v>
      </c>
      <c r="E27" s="27">
        <v>17.420000000000002</v>
      </c>
      <c r="F27" s="27"/>
      <c r="G27" s="27">
        <v>3312</v>
      </c>
      <c r="H27" s="28">
        <v>445295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400721.17</v>
      </c>
      <c r="D28" s="28">
        <v>296278.67</v>
      </c>
      <c r="E28" s="27">
        <v>55.67</v>
      </c>
      <c r="F28" s="27"/>
      <c r="G28" s="27"/>
      <c r="H28" s="28">
        <v>296223</v>
      </c>
      <c r="I28" s="27">
        <v>49577</v>
      </c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660045.42000000004</v>
      </c>
      <c r="D29" s="28">
        <v>574754.92000000004</v>
      </c>
      <c r="E29" s="27">
        <v>659.92</v>
      </c>
      <c r="F29" s="27"/>
      <c r="G29" s="27">
        <v>1296</v>
      </c>
      <c r="H29" s="28">
        <v>574095</v>
      </c>
      <c r="I29" s="27">
        <v>97893</v>
      </c>
      <c r="J29" s="28">
        <v>97987</v>
      </c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37" t="s">
        <v>21</v>
      </c>
      <c r="D30" s="38"/>
      <c r="E30" s="38"/>
      <c r="F30" s="38"/>
      <c r="G30" s="38"/>
      <c r="H30" s="38"/>
      <c r="I30" s="38"/>
      <c r="J30" s="38"/>
      <c r="K30" s="39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>
        <v>49577</v>
      </c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>
        <v>737255</v>
      </c>
      <c r="D33" s="28">
        <v>622931.5</v>
      </c>
      <c r="E33" s="27">
        <v>2845.5</v>
      </c>
      <c r="F33" s="27"/>
      <c r="G33" s="27">
        <v>5304</v>
      </c>
      <c r="H33" s="28">
        <v>660086</v>
      </c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>
        <v>780276</v>
      </c>
      <c r="D34" s="28">
        <v>674364</v>
      </c>
      <c r="E34" s="27"/>
      <c r="F34" s="28">
        <v>654</v>
      </c>
      <c r="G34" s="27">
        <v>5172</v>
      </c>
      <c r="H34" s="28">
        <v>675018</v>
      </c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>
        <v>435322.33</v>
      </c>
      <c r="D35" s="28">
        <v>361207.33</v>
      </c>
      <c r="E35" s="27">
        <v>2318.33</v>
      </c>
      <c r="F35" s="27"/>
      <c r="G35" s="27">
        <v>2772</v>
      </c>
      <c r="H35" s="28">
        <v>358889</v>
      </c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6697643.2599999998</v>
      </c>
      <c r="D43" s="14">
        <f t="shared" si="0"/>
        <v>5530763.8300000001</v>
      </c>
      <c r="E43" s="25">
        <f t="shared" si="0"/>
        <v>8747.25</v>
      </c>
      <c r="F43" s="14">
        <f t="shared" si="0"/>
        <v>1364.92</v>
      </c>
      <c r="G43" s="25">
        <f t="shared" si="0"/>
        <v>28590</v>
      </c>
      <c r="H43" s="14">
        <f t="shared" si="0"/>
        <v>5563381.5</v>
      </c>
      <c r="I43" s="25">
        <f t="shared" ref="I43:J43" si="1">SUM(I10:I42)</f>
        <v>308112</v>
      </c>
      <c r="J43" s="14">
        <f t="shared" si="1"/>
        <v>293109</v>
      </c>
      <c r="K43" s="14">
        <f>SUM(K10:K42)</f>
        <v>126.93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1">
    <mergeCell ref="C42:K42"/>
    <mergeCell ref="C41:K41"/>
    <mergeCell ref="C11:K11"/>
    <mergeCell ref="C18:K18"/>
    <mergeCell ref="C25:K25"/>
    <mergeCell ref="C32:K32"/>
    <mergeCell ref="C39:K39"/>
    <mergeCell ref="C13:K13"/>
    <mergeCell ref="C15:K15"/>
    <mergeCell ref="C17:K17"/>
    <mergeCell ref="C30:K3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opLeftCell="A16" zoomScaleNormal="100" zoomScaleSheetLayoutView="100" workbookViewId="0">
      <selection activeCell="C36" sqref="C3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271026.42</v>
      </c>
      <c r="D14" s="28">
        <v>232251.42</v>
      </c>
      <c r="E14" s="27"/>
      <c r="F14" s="28">
        <v>472.58</v>
      </c>
      <c r="G14" s="27">
        <v>1818</v>
      </c>
      <c r="H14" s="28">
        <v>232724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402717.5</v>
      </c>
      <c r="D15" s="28">
        <v>267331.5</v>
      </c>
      <c r="E15" s="27"/>
      <c r="F15" s="36">
        <v>934.5</v>
      </c>
      <c r="G15" s="27">
        <v>2178</v>
      </c>
      <c r="H15" s="28">
        <v>268266</v>
      </c>
      <c r="I15" s="27">
        <v>67927</v>
      </c>
      <c r="J15" s="28"/>
      <c r="K15" s="27">
        <f>50+4550</f>
        <v>4600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314974.21000000002</v>
      </c>
      <c r="D16" s="28">
        <v>261753.46</v>
      </c>
      <c r="E16" s="27"/>
      <c r="F16" s="36">
        <v>429.54</v>
      </c>
      <c r="G16" s="27">
        <v>1224</v>
      </c>
      <c r="H16" s="28">
        <v>262183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226955</v>
      </c>
      <c r="D17" s="28">
        <v>260066.25</v>
      </c>
      <c r="E17" s="27">
        <v>114.25</v>
      </c>
      <c r="F17" s="27"/>
      <c r="G17" s="27">
        <v>1350</v>
      </c>
      <c r="H17" s="28">
        <v>259952</v>
      </c>
      <c r="I17" s="27"/>
      <c r="J17" s="28">
        <v>67927</v>
      </c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380601.71</v>
      </c>
      <c r="D19" s="28">
        <v>322742.21000000002</v>
      </c>
      <c r="E19" s="27">
        <v>942.21</v>
      </c>
      <c r="F19" s="27"/>
      <c r="G19" s="27">
        <v>1974</v>
      </c>
      <c r="H19" s="28">
        <v>321800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284254.75</v>
      </c>
      <c r="D20" s="28">
        <v>233590</v>
      </c>
      <c r="E20" s="27"/>
      <c r="F20" s="36">
        <v>3762</v>
      </c>
      <c r="G20" s="27">
        <v>1806</v>
      </c>
      <c r="H20" s="28">
        <v>233590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286025.53999999998</v>
      </c>
      <c r="D21" s="28">
        <v>246847.04</v>
      </c>
      <c r="E21" s="27">
        <v>1795.04</v>
      </c>
      <c r="F21" s="27"/>
      <c r="G21" s="27">
        <v>1944</v>
      </c>
      <c r="H21" s="28">
        <v>245052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293011.42</v>
      </c>
      <c r="D22" s="28">
        <v>248008.42</v>
      </c>
      <c r="E22" s="27">
        <v>558.41999999999996</v>
      </c>
      <c r="F22" s="27"/>
      <c r="G22" s="27">
        <v>1470</v>
      </c>
      <c r="H22" s="28">
        <v>247450</v>
      </c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230845.08</v>
      </c>
      <c r="D23" s="28">
        <v>199091.58</v>
      </c>
      <c r="E23" s="27">
        <v>5484.58</v>
      </c>
      <c r="F23" s="27"/>
      <c r="G23" s="27">
        <v>1248</v>
      </c>
      <c r="H23" s="28">
        <v>193607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37" t="s">
        <v>21</v>
      </c>
      <c r="D24" s="38"/>
      <c r="E24" s="38"/>
      <c r="F24" s="38"/>
      <c r="G24" s="38"/>
      <c r="H24" s="38"/>
      <c r="I24" s="38"/>
      <c r="J24" s="38"/>
      <c r="K24" s="39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410326.75</v>
      </c>
      <c r="D26" s="28">
        <v>347772.25</v>
      </c>
      <c r="E26" s="27">
        <v>184.25</v>
      </c>
      <c r="F26" s="27"/>
      <c r="G26" s="27">
        <v>2700</v>
      </c>
      <c r="H26" s="28">
        <v>347588</v>
      </c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226309.88</v>
      </c>
      <c r="D27" s="28">
        <v>190773.38</v>
      </c>
      <c r="E27" s="27"/>
      <c r="F27" s="36">
        <v>143.63</v>
      </c>
      <c r="G27" s="27">
        <v>1116</v>
      </c>
      <c r="H27" s="28">
        <v>190917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254847.13</v>
      </c>
      <c r="D28" s="28">
        <v>215214.13</v>
      </c>
      <c r="E28" s="27">
        <v>14.13</v>
      </c>
      <c r="F28" s="27"/>
      <c r="G28" s="27">
        <v>1944</v>
      </c>
      <c r="H28" s="28">
        <v>215200</v>
      </c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79145.25</v>
      </c>
      <c r="D29" s="28">
        <v>66773.25</v>
      </c>
      <c r="E29" s="27"/>
      <c r="F29" s="36">
        <v>64.75</v>
      </c>
      <c r="G29" s="27">
        <v>534</v>
      </c>
      <c r="H29" s="28">
        <v>66838</v>
      </c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>
        <v>355218</v>
      </c>
      <c r="D30" s="28">
        <v>292870.5</v>
      </c>
      <c r="E30" s="27">
        <v>4.5</v>
      </c>
      <c r="F30" s="27"/>
      <c r="G30" s="27">
        <v>2010</v>
      </c>
      <c r="H30" s="28">
        <v>292866</v>
      </c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37" t="s">
        <v>21</v>
      </c>
      <c r="D31" s="38"/>
      <c r="E31" s="38"/>
      <c r="F31" s="38"/>
      <c r="G31" s="38"/>
      <c r="H31" s="38"/>
      <c r="I31" s="38"/>
      <c r="J31" s="38"/>
      <c r="K31" s="39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>
        <v>297905.78999999998</v>
      </c>
      <c r="D33" s="28">
        <v>252974.79</v>
      </c>
      <c r="E33" s="27">
        <v>102.79</v>
      </c>
      <c r="F33" s="27"/>
      <c r="G33" s="27">
        <v>2148</v>
      </c>
      <c r="H33" s="28">
        <v>252872</v>
      </c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>
        <v>522757.42</v>
      </c>
      <c r="D34" s="28">
        <v>441359.17</v>
      </c>
      <c r="E34" s="27">
        <v>1604.17</v>
      </c>
      <c r="F34" s="27"/>
      <c r="G34" s="27">
        <v>4074</v>
      </c>
      <c r="H34" s="28">
        <v>439755</v>
      </c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>
        <v>231766.54</v>
      </c>
      <c r="D35" s="28">
        <v>198975.79</v>
      </c>
      <c r="E35" s="27"/>
      <c r="F35" s="28">
        <v>947.21</v>
      </c>
      <c r="G35" s="27">
        <v>300</v>
      </c>
      <c r="H35" s="28">
        <v>199923</v>
      </c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5932393.8899999997</v>
      </c>
      <c r="D43" s="14">
        <f t="shared" si="0"/>
        <v>5001684.1399999997</v>
      </c>
      <c r="E43" s="25">
        <f t="shared" si="0"/>
        <v>11015.51</v>
      </c>
      <c r="F43" s="14">
        <f t="shared" si="0"/>
        <v>7416.38</v>
      </c>
      <c r="G43" s="25">
        <f t="shared" si="0"/>
        <v>35238</v>
      </c>
      <c r="H43" s="14">
        <f t="shared" si="0"/>
        <v>4994323</v>
      </c>
      <c r="I43" s="25">
        <f t="shared" si="0"/>
        <v>67927</v>
      </c>
      <c r="J43" s="14">
        <f t="shared" si="0"/>
        <v>137789</v>
      </c>
      <c r="K43" s="14">
        <f>SUM(K10:K42)</f>
        <v>10450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42:K42"/>
    <mergeCell ref="C11:K11"/>
    <mergeCell ref="C18:K18"/>
    <mergeCell ref="C25:K25"/>
    <mergeCell ref="C32:K32"/>
    <mergeCell ref="C39:K39"/>
    <mergeCell ref="C41:K41"/>
    <mergeCell ref="C24:K24"/>
    <mergeCell ref="C31:K31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topLeftCell="A13" zoomScaleNormal="100" zoomScaleSheetLayoutView="100" workbookViewId="0">
      <selection activeCell="C36" sqref="C3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37" t="s">
        <v>21</v>
      </c>
      <c r="D14" s="38"/>
      <c r="E14" s="38"/>
      <c r="F14" s="38"/>
      <c r="G14" s="38"/>
      <c r="H14" s="38"/>
      <c r="I14" s="38"/>
      <c r="J14" s="38"/>
      <c r="K14" s="3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318659.21000000002</v>
      </c>
      <c r="D15" s="28">
        <v>267775.96000000002</v>
      </c>
      <c r="E15" s="27">
        <v>276.95999999999998</v>
      </c>
      <c r="F15" s="27"/>
      <c r="G15" s="27">
        <v>1896</v>
      </c>
      <c r="H15" s="28">
        <v>267499</v>
      </c>
      <c r="I15" s="27"/>
      <c r="J15" s="28"/>
      <c r="K15" s="27">
        <v>3250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383530.17</v>
      </c>
      <c r="D16" s="28">
        <v>323368.92</v>
      </c>
      <c r="E16" s="27"/>
      <c r="F16" s="36">
        <v>165.08</v>
      </c>
      <c r="G16" s="27">
        <v>2406</v>
      </c>
      <c r="H16" s="28">
        <v>323534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303138.03999999998</v>
      </c>
      <c r="D17" s="28">
        <v>274359.78999999998</v>
      </c>
      <c r="E17" s="27">
        <v>30.79</v>
      </c>
      <c r="F17" s="27"/>
      <c r="G17" s="27">
        <v>1944</v>
      </c>
      <c r="H17" s="28">
        <v>274329</v>
      </c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459783.13</v>
      </c>
      <c r="D19" s="28">
        <v>379942.13</v>
      </c>
      <c r="E19" s="27">
        <v>26.13</v>
      </c>
      <c r="F19" s="27"/>
      <c r="G19" s="27">
        <v>3042</v>
      </c>
      <c r="H19" s="28">
        <v>379916</v>
      </c>
      <c r="I19" s="27"/>
      <c r="J19" s="28"/>
      <c r="K19" s="27">
        <v>26.13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345718.13</v>
      </c>
      <c r="D20" s="28">
        <v>293230.88</v>
      </c>
      <c r="E20" s="27">
        <v>752.88</v>
      </c>
      <c r="F20" s="27"/>
      <c r="G20" s="27">
        <v>1296</v>
      </c>
      <c r="H20" s="28">
        <v>292478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271982.5</v>
      </c>
      <c r="D21" s="28">
        <v>231602.5</v>
      </c>
      <c r="E21" s="27">
        <v>641.5</v>
      </c>
      <c r="F21" s="27"/>
      <c r="G21" s="27">
        <v>720</v>
      </c>
      <c r="H21" s="28">
        <v>230961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391216.08</v>
      </c>
      <c r="D22" s="28">
        <v>333530.83</v>
      </c>
      <c r="E22" s="27">
        <v>23994.83</v>
      </c>
      <c r="F22" s="27"/>
      <c r="G22" s="27">
        <v>2736</v>
      </c>
      <c r="H22" s="28">
        <v>331136</v>
      </c>
      <c r="I22" s="27"/>
      <c r="J22" s="28"/>
      <c r="K22" s="27">
        <v>50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481855.21</v>
      </c>
      <c r="D23" s="28">
        <v>400846.21</v>
      </c>
      <c r="E23" s="27">
        <v>14669.21</v>
      </c>
      <c r="F23" s="27"/>
      <c r="G23" s="27">
        <v>3528</v>
      </c>
      <c r="H23" s="28">
        <v>386177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>
        <v>502994.04</v>
      </c>
      <c r="D24" s="28">
        <v>452669.79</v>
      </c>
      <c r="E24" s="27"/>
      <c r="F24" s="36">
        <v>16374.21</v>
      </c>
      <c r="G24" s="27">
        <v>3108</v>
      </c>
      <c r="H24" s="28">
        <v>469044</v>
      </c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507297</v>
      </c>
      <c r="D26" s="28">
        <v>449946.25</v>
      </c>
      <c r="E26" s="27"/>
      <c r="F26" s="36">
        <v>745.75</v>
      </c>
      <c r="G26" s="27">
        <v>1776</v>
      </c>
      <c r="H26" s="28">
        <v>450692</v>
      </c>
      <c r="I26" s="27"/>
      <c r="J26" s="28"/>
      <c r="K26" s="27">
        <v>50</v>
      </c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239538</v>
      </c>
      <c r="D27" s="28">
        <v>203881.5</v>
      </c>
      <c r="E27" s="27"/>
      <c r="F27" s="36">
        <v>20.5</v>
      </c>
      <c r="G27" s="27"/>
      <c r="H27" s="28">
        <v>203902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304334.21000000002</v>
      </c>
      <c r="D28" s="28">
        <v>259718.21</v>
      </c>
      <c r="E28" s="27">
        <v>40.21</v>
      </c>
      <c r="F28" s="27"/>
      <c r="G28" s="27"/>
      <c r="H28" s="28">
        <v>259678</v>
      </c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481202</v>
      </c>
      <c r="D29" s="28">
        <v>405814.5</v>
      </c>
      <c r="E29" s="27"/>
      <c r="F29" s="36">
        <v>62.5</v>
      </c>
      <c r="G29" s="27">
        <v>3732</v>
      </c>
      <c r="H29" s="28"/>
      <c r="I29" s="27"/>
      <c r="J29" s="28"/>
      <c r="K29" s="27">
        <v>50</v>
      </c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>
        <v>421825</v>
      </c>
      <c r="D30" s="28">
        <v>373692.25</v>
      </c>
      <c r="E30" s="27"/>
      <c r="F30" s="28">
        <v>918.75</v>
      </c>
      <c r="G30" s="27">
        <v>300</v>
      </c>
      <c r="H30" s="28">
        <v>374611</v>
      </c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37" t="s">
        <v>21</v>
      </c>
      <c r="D31" s="38"/>
      <c r="E31" s="38"/>
      <c r="F31" s="38"/>
      <c r="G31" s="38"/>
      <c r="H31" s="38"/>
      <c r="I31" s="38"/>
      <c r="J31" s="38"/>
      <c r="K31" s="39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>
        <v>522837.46</v>
      </c>
      <c r="D33" s="28">
        <v>445207.46</v>
      </c>
      <c r="E33" s="27">
        <v>138.46</v>
      </c>
      <c r="F33" s="27"/>
      <c r="G33" s="27">
        <v>3096</v>
      </c>
      <c r="H33" s="28">
        <v>445069</v>
      </c>
      <c r="I33" s="27"/>
      <c r="J33" s="28"/>
      <c r="K33" s="27">
        <v>50</v>
      </c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>
        <v>660175.25</v>
      </c>
      <c r="D34" s="28">
        <v>559954.25</v>
      </c>
      <c r="E34" s="27"/>
      <c r="F34" s="28">
        <v>696.75</v>
      </c>
      <c r="G34" s="27">
        <v>3882</v>
      </c>
      <c r="H34" s="28">
        <v>560651</v>
      </c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>
        <v>559694.17000000004</v>
      </c>
      <c r="D35" s="28">
        <v>482839.67</v>
      </c>
      <c r="E35" s="27"/>
      <c r="F35" s="28">
        <v>717.33</v>
      </c>
      <c r="G35" s="27">
        <v>2394</v>
      </c>
      <c r="H35" s="28"/>
      <c r="I35" s="27"/>
      <c r="J35" s="28"/>
      <c r="K35" s="27">
        <v>50</v>
      </c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8034135.9399999995</v>
      </c>
      <c r="D43" s="14">
        <f t="shared" si="0"/>
        <v>6873541.6899999995</v>
      </c>
      <c r="E43" s="25">
        <f t="shared" si="0"/>
        <v>40902.85</v>
      </c>
      <c r="F43" s="14">
        <f t="shared" si="0"/>
        <v>19823.16</v>
      </c>
      <c r="G43" s="25">
        <f t="shared" si="0"/>
        <v>40824</v>
      </c>
      <c r="H43" s="14">
        <f t="shared" si="0"/>
        <v>5984628</v>
      </c>
      <c r="I43" s="25">
        <f t="shared" si="0"/>
        <v>0</v>
      </c>
      <c r="J43" s="14">
        <f t="shared" si="0"/>
        <v>0</v>
      </c>
      <c r="K43" s="14">
        <f>SUM(K10:K42)</f>
        <v>3576.13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42:K42"/>
    <mergeCell ref="C41:K41"/>
    <mergeCell ref="C11:K11"/>
    <mergeCell ref="C18:K18"/>
    <mergeCell ref="C25:K25"/>
    <mergeCell ref="C32:K32"/>
    <mergeCell ref="C39:K39"/>
    <mergeCell ref="C14:K14"/>
    <mergeCell ref="C31:K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2026-08-27T00:51:07Z</dcterms:modified>
</cp:coreProperties>
</file>