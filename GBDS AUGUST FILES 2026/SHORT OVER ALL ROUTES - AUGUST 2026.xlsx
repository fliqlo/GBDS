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A5BE82FB-CCC8-46DF-B520-6C5CFCA7FE37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7" i="13" l="1"/>
  <c r="I37" i="6"/>
  <c r="I36" i="6" l="1"/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  <comment ref="I28" authorId="0" shapeId="0" xr:uid="{E777750E-057B-4D14-AAA0-8CA00C3DD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</t>
        </r>
      </text>
    </comment>
    <comment ref="I29" authorId="0" shapeId="0" xr:uid="{F67220B6-D680-4606-8164-A76B1888A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11945</t>
        </r>
      </text>
    </comment>
    <comment ref="J29" authorId="0" shapeId="0" xr:uid="{9CBE62F9-6D5C-4B47-A805-5785B9CD7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11698
</t>
        </r>
      </text>
    </comment>
    <comment ref="J31" authorId="0" shapeId="0" xr:uid="{E7AB9747-BE8F-479A-8C9C-38F38A519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
</t>
        </r>
      </text>
    </comment>
    <comment ref="I36" authorId="0" shapeId="0" xr:uid="{A387BDC5-C5C9-46DA-8247-8728B7555D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
S.I NO 12073
SOUND CHECK
S.I NO 12072
</t>
        </r>
      </text>
    </comment>
    <comment ref="I37" authorId="0" shapeId="0" xr:uid="{A0C1F776-F5D8-4FB8-8058-29B08CD87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PROMO:
*CATIG STORE 
S.I NO 121079
*BALAMBAN STORE
S.I NO 12078
*PIZON MINIMART
S.I NO 12077
</t>
        </r>
      </text>
    </comment>
    <comment ref="J37" authorId="0" shapeId="0" xr:uid="{955EBD83-0760-4E50-A5D0-CA8EFC0D02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S.I NO 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<sst xmlns="http://schemas.openxmlformats.org/spreadsheetml/2006/main" count="86" uniqueCount="22">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</sst>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opLeftCell="A25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524789.17000000004</v>
      </c>
      <c r="D27" s="28">
        <v>445312.42</v>
      </c>
      <c r="E27" s="27">
        <v>17.420000000000002</v>
      </c>
      <c r="F27" s="27"/>
      <c r="G27" s="27">
        <v>3312</v>
      </c>
      <c r="H27" s="28">
        <v>445295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400721.17</v>
      </c>
      <c r="D28" s="28">
        <v>296278.67</v>
      </c>
      <c r="E28" s="27">
        <v>55.67</v>
      </c>
      <c r="F28" s="27"/>
      <c r="G28" s="27"/>
      <c r="H28" s="28">
        <v>296223</v>
      </c>
      <c r="I28" s="27">
        <v>49577</v>
      </c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660045.42000000004</v>
      </c>
      <c r="D29" s="28">
        <v>574754.92000000004</v>
      </c>
      <c r="E29" s="27">
        <v>659.92</v>
      </c>
      <c r="F29" s="27"/>
      <c r="G29" s="27">
        <v>1296</v>
      </c>
      <c r="H29" s="28">
        <v>574095</v>
      </c>
      <c r="I29" s="27">
        <v>97893</v>
      </c>
      <c r="J29" s="28">
        <v>97987</v>
      </c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37" t="s">
        <v>21</v>
      </c>
      <c r="D30" s="38"/>
      <c r="E30" s="38"/>
      <c r="F30" s="38"/>
      <c r="G30" s="38"/>
      <c r="H30" s="38"/>
      <c r="I30" s="38"/>
      <c r="J30" s="38"/>
      <c r="K30" s="3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>
        <v>49577</v>
      </c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737255</v>
      </c>
      <c r="D33" s="28">
        <v>622931.5</v>
      </c>
      <c r="E33" s="27">
        <v>2845.5</v>
      </c>
      <c r="F33" s="27"/>
      <c r="G33" s="27">
        <v>5304</v>
      </c>
      <c r="H33" s="28">
        <v>660086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780276</v>
      </c>
      <c r="D34" s="28">
        <v>674364</v>
      </c>
      <c r="E34" s="27"/>
      <c r="F34" s="28">
        <v>654</v>
      </c>
      <c r="G34" s="27">
        <v>5172</v>
      </c>
      <c r="H34" s="28">
        <v>675018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>
        <v>435322.33</v>
      </c>
      <c r="D35" s="28">
        <v>361207.33</v>
      </c>
      <c r="E35" s="27">
        <v>2318.33</v>
      </c>
      <c r="F35" s="27"/>
      <c r="G35" s="27">
        <v>2772</v>
      </c>
      <c r="H35" s="28">
        <v>358889</v>
      </c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>
        <v>399906.63</v>
      </c>
      <c r="D36" s="28">
        <v>85667.08</v>
      </c>
      <c r="E36" s="27">
        <v>366.08</v>
      </c>
      <c r="F36" s="27"/>
      <c r="G36" s="27">
        <v>1944</v>
      </c>
      <c r="H36" s="28">
        <v>85331</v>
      </c>
      <c r="I36" s="27">
        <f>223901+49474</f>
        <v>273375</v>
      </c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>
        <v>837426</v>
      </c>
      <c r="D37" s="28">
        <v>953828</v>
      </c>
      <c r="E37" s="27">
        <v>1372</v>
      </c>
      <c r="F37" s="27"/>
      <c r="G37" s="27">
        <v>4284</v>
      </c>
      <c r="H37" s="28">
        <v>952456</v>
      </c>
      <c r="I37" s="27">
        <f>5850+5850+3900</f>
        <v>15600</v>
      </c>
      <c r="J37" s="28">
        <v>223649</v>
      </c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7934975.8899999997</v>
      </c>
      <c r="D43" s="14">
        <f t="shared" si="0"/>
        <v>6570258.9100000001</v>
      </c>
      <c r="E43" s="25">
        <f t="shared" si="0"/>
        <v>10485.33</v>
      </c>
      <c r="F43" s="14">
        <f t="shared" si="0"/>
        <v>1364.92</v>
      </c>
      <c r="G43" s="25">
        <f t="shared" si="0"/>
        <v>34818</v>
      </c>
      <c r="H43" s="14">
        <f t="shared" si="0"/>
        <v>6601168.5</v>
      </c>
      <c r="I43" s="25">
        <f t="shared" ref="I43:J43" si="1">SUM(I10:I42)</f>
        <v>597087</v>
      </c>
      <c r="J43" s="14">
        <f t="shared" si="1"/>
        <v>516758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  <mergeCell ref="C30:K3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10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226309.88</v>
      </c>
      <c r="D27" s="28">
        <v>190773.38</v>
      </c>
      <c r="E27" s="27"/>
      <c r="F27" s="36">
        <v>143.63</v>
      </c>
      <c r="G27" s="27">
        <v>1116</v>
      </c>
      <c r="H27" s="28">
        <v>190917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254847.13</v>
      </c>
      <c r="D28" s="28">
        <v>215214.13</v>
      </c>
      <c r="E28" s="27">
        <v>14.13</v>
      </c>
      <c r="F28" s="27"/>
      <c r="G28" s="27">
        <v>1944</v>
      </c>
      <c r="H28" s="28">
        <v>215200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79145.25</v>
      </c>
      <c r="D29" s="28">
        <v>66773.25</v>
      </c>
      <c r="E29" s="27"/>
      <c r="F29" s="36">
        <v>64.75</v>
      </c>
      <c r="G29" s="27">
        <v>534</v>
      </c>
      <c r="H29" s="28">
        <v>66838</v>
      </c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355218</v>
      </c>
      <c r="D30" s="28">
        <v>292870.5</v>
      </c>
      <c r="E30" s="27">
        <v>4.5</v>
      </c>
      <c r="F30" s="27"/>
      <c r="G30" s="27">
        <v>2010</v>
      </c>
      <c r="H30" s="28">
        <v>292866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297905.78999999998</v>
      </c>
      <c r="D33" s="28">
        <v>252974.79</v>
      </c>
      <c r="E33" s="27">
        <v>102.79</v>
      </c>
      <c r="F33" s="27"/>
      <c r="G33" s="27">
        <v>2148</v>
      </c>
      <c r="H33" s="28">
        <v>252872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522757.42</v>
      </c>
      <c r="D34" s="28">
        <v>441359.17</v>
      </c>
      <c r="E34" s="27">
        <v>1604.17</v>
      </c>
      <c r="F34" s="27"/>
      <c r="G34" s="27">
        <v>4074</v>
      </c>
      <c r="H34" s="28">
        <v>439755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>
        <v>231766.54</v>
      </c>
      <c r="D35" s="28">
        <v>198975.79</v>
      </c>
      <c r="E35" s="27"/>
      <c r="F35" s="28">
        <v>947.21</v>
      </c>
      <c r="G35" s="27">
        <v>300</v>
      </c>
      <c r="H35" s="28">
        <v>199923</v>
      </c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>
        <v>270151.75</v>
      </c>
      <c r="D36" s="28">
        <v>228277.75</v>
      </c>
      <c r="E36" s="27">
        <v>482.75</v>
      </c>
      <c r="F36" s="27"/>
      <c r="G36" s="27">
        <v>1356</v>
      </c>
      <c r="H36" s="28">
        <v>227795</v>
      </c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>
        <v>237462</v>
      </c>
      <c r="D37" s="28">
        <v>201220.5</v>
      </c>
      <c r="E37" s="27">
        <v>771</v>
      </c>
      <c r="F37" s="27"/>
      <c r="G37" s="27">
        <v>1356</v>
      </c>
      <c r="H37" s="28">
        <v>200449.5</v>
      </c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6440007.6399999997</v>
      </c>
      <c r="D43" s="14">
        <f t="shared" si="0"/>
        <v>5431182.3899999997</v>
      </c>
      <c r="E43" s="25">
        <f t="shared" si="0"/>
        <v>12269.26</v>
      </c>
      <c r="F43" s="14">
        <f t="shared" si="0"/>
        <v>7416.38</v>
      </c>
      <c r="G43" s="25">
        <f t="shared" si="0"/>
        <v>37950</v>
      </c>
      <c r="H43" s="14">
        <f t="shared" si="0"/>
        <v>5422567.5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1:K11"/>
    <mergeCell ref="C18:K18"/>
    <mergeCell ref="C25:K25"/>
    <mergeCell ref="C32:K32"/>
    <mergeCell ref="C39:K39"/>
    <mergeCell ref="C41:K41"/>
    <mergeCell ref="C24:K24"/>
    <mergeCell ref="C31:K3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4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36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239538</v>
      </c>
      <c r="D27" s="28">
        <v>203881.5</v>
      </c>
      <c r="E27" s="27"/>
      <c r="F27" s="36">
        <v>20.5</v>
      </c>
      <c r="G27" s="27"/>
      <c r="H27" s="28">
        <v>203902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304334.21000000002</v>
      </c>
      <c r="D28" s="28">
        <v>259718.21</v>
      </c>
      <c r="E28" s="27">
        <v>40.21</v>
      </c>
      <c r="F28" s="27"/>
      <c r="G28" s="27"/>
      <c r="H28" s="28">
        <v>259678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481202</v>
      </c>
      <c r="D29" s="28">
        <v>405814.5</v>
      </c>
      <c r="E29" s="27"/>
      <c r="F29" s="36">
        <v>62.5</v>
      </c>
      <c r="G29" s="27">
        <v>3732</v>
      </c>
      <c r="H29" s="28"/>
      <c r="I29" s="27"/>
      <c r="J29" s="28"/>
      <c r="K29" s="27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421825</v>
      </c>
      <c r="D30" s="28">
        <v>373692.25</v>
      </c>
      <c r="E30" s="27"/>
      <c r="F30" s="28">
        <v>918.75</v>
      </c>
      <c r="G30" s="27">
        <v>300</v>
      </c>
      <c r="H30" s="28">
        <v>374611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522837.46</v>
      </c>
      <c r="D33" s="28">
        <v>445207.46</v>
      </c>
      <c r="E33" s="27">
        <v>138.46</v>
      </c>
      <c r="F33" s="27"/>
      <c r="G33" s="27">
        <v>3096</v>
      </c>
      <c r="H33" s="28">
        <v>445069</v>
      </c>
      <c r="I33" s="27"/>
      <c r="J33" s="28"/>
      <c r="K33" s="27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660175.25</v>
      </c>
      <c r="D34" s="28">
        <v>559954.25</v>
      </c>
      <c r="E34" s="27"/>
      <c r="F34" s="28">
        <v>696.75</v>
      </c>
      <c r="G34" s="27">
        <v>3882</v>
      </c>
      <c r="H34" s="28">
        <v>560651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>
        <v>559694.17000000004</v>
      </c>
      <c r="D35" s="28">
        <v>482839.67</v>
      </c>
      <c r="E35" s="27"/>
      <c r="F35" s="28">
        <v>717.33</v>
      </c>
      <c r="G35" s="27">
        <v>2394</v>
      </c>
      <c r="H35" s="28"/>
      <c r="I35" s="27"/>
      <c r="J35" s="28"/>
      <c r="K35" s="27">
        <v>50</v>
      </c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>
        <v>379815.13</v>
      </c>
      <c r="D36" s="28">
        <v>322965.88</v>
      </c>
      <c r="E36" s="27"/>
      <c r="F36" s="28">
        <v>1201.1300000000001</v>
      </c>
      <c r="G36" s="27">
        <v>2262</v>
      </c>
      <c r="H36" s="28">
        <v>324167</v>
      </c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>
        <f>335244</f>
        <v>335244</v>
      </c>
      <c r="D37" s="28">
        <v>285715</v>
      </c>
      <c r="E37" s="27"/>
      <c r="F37" s="28">
        <v>22</v>
      </c>
      <c r="G37" s="27">
        <v>1596</v>
      </c>
      <c r="H37" s="28">
        <v>285737</v>
      </c>
      <c r="I37" s="27"/>
      <c r="J37" s="28"/>
      <c r="K37" s="27">
        <v>50</v>
      </c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8749195.0700000003</v>
      </c>
      <c r="D43" s="14">
        <f t="shared" si="0"/>
        <v>7482222.5699999994</v>
      </c>
      <c r="E43" s="25">
        <f t="shared" si="0"/>
        <v>40902.85</v>
      </c>
      <c r="F43" s="14">
        <f t="shared" si="0"/>
        <v>21046.29</v>
      </c>
      <c r="G43" s="25">
        <f t="shared" si="0"/>
        <v>44682</v>
      </c>
      <c r="H43" s="14">
        <f t="shared" si="0"/>
        <v>6594532</v>
      </c>
      <c r="I43" s="25">
        <f t="shared" si="0"/>
        <v>0</v>
      </c>
      <c r="J43" s="14">
        <f t="shared" si="0"/>
        <v>0</v>
      </c>
      <c r="K43" s="14">
        <f>SUM(K10:K42)</f>
        <v>3626.13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41:K41"/>
    <mergeCell ref="C11:K11"/>
    <mergeCell ref="C18:K18"/>
    <mergeCell ref="C25:K25"/>
    <mergeCell ref="C32:K32"/>
    <mergeCell ref="C39:K39"/>
    <mergeCell ref="C14:K14"/>
    <mergeCell ref="C31:K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2026-08-29T02:57:38Z</dcterms:modified>
</cp:coreProperties>
</file>