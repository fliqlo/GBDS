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7F3A90F1-07B1-4B52-B6E5-74EDBF82B2E0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AUGUST, SRS R1" sheetId="6" r:id="rId1"/>
    <sheet name="AUGUST, SRS R2" sheetId="12" r:id="rId2"/>
    <sheet name="AUGUST, SRS R3" sheetId="13" r:id="rId3"/>
    <sheet name="," sheetId="14" r:id="rId4"/>
  </sheets>
  <definedNames>
    <definedName name="_xlnm.Print_Area" localSheetId="0">'AUGUST, SRS R1'!$A$1:$K$44</definedName>
    <definedName name="_xlnm.Print_Area" localSheetId="1">'AUGUST, SRS R2'!$A$1:$K$44</definedName>
    <definedName name="_xlnm.Print_Area" localSheetId="2">'AUGUST, SRS R3'!$A$1:$K$44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15" i="12" l="1"/>
  <c r="K13" i="12" l="1"/>
  <c r="K43" i="13" l="1"/>
  <c r="J43" i="13"/>
  <c r="I43" i="13"/>
  <c r="H43" i="13"/>
  <c r="G43" i="13"/>
  <c r="F43" i="13"/>
  <c r="E43" i="13"/>
  <c r="D43" i="13"/>
  <c r="C43" i="13"/>
  <c r="K43" i="12"/>
  <c r="J43" i="12"/>
  <c r="I43" i="12"/>
  <c r="H43" i="12"/>
  <c r="G43" i="12"/>
  <c r="F43" i="12"/>
  <c r="E43" i="12"/>
  <c r="D43" i="12"/>
  <c r="C43" i="12"/>
  <c r="I43" i="6" l="1"/>
  <c r="J43" i="6"/>
  <c r="G43" i="6"/>
  <c r="D43" i="6"/>
  <c r="K43" i="6" l="1"/>
  <c r="H43" i="6"/>
  <c r="F43" i="6"/>
  <c r="E43" i="6"/>
  <c r="C4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0" authorId="0" shapeId="0" xr:uid="{0100D012-1399-44BA-A6D1-99ACE973B8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11623</t>
        </r>
      </text>
    </comment>
    <comment ref="I15" authorId="0" shapeId="0" xr:uid="{5930818C-DECD-4D05-BD54-A31AEDDE5E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11720</t>
        </r>
      </text>
    </comment>
    <comment ref="K15" authorId="0" shapeId="0" xr:uid="{009EC669-73A1-46E2-84C3-48F2A94F08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TICKET = 50
PROMO = 4550</t>
        </r>
      </text>
    </comment>
    <comment ref="J17" authorId="0" shapeId="0" xr:uid="{A73D6420-F89B-473D-BA60-C237E86007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11720</t>
        </r>
      </text>
    </comment>
  </commentList>
</comments>
</file>

<file path=xl/sharedStrings.xml><?xml version="1.0" encoding="utf-8"?>
<sst xmlns="http://schemas.openxmlformats.org/spreadsheetml/2006/main" count="82" uniqueCount="22">
  <si>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</si>
  <si>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</si>
  <si>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</si>
  <si>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</si>
  <si>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</si>
  <si>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</si>
  <si>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</si>
  <si>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</si>
  <si>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</si>
  <si>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</si>
  <si>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</si>
  <si>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</si>
  <si>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</si>
  <si>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</si>
  <si>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</si>
  <si>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</si>
  <si>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</si>
  <si>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COLLECTION</t>
  </si>
  <si>
    <t>CREDIT</t>
  </si>
  <si>
    <t>TOTAL REM.</t>
  </si>
  <si>
    <t>AUGUST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</si>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</sst>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0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2" fillId="0" borderId="1" xfId="0" applyFont="1" applyBorder="1"/>
    <xf numFmtId="0" fontId="3" fillId="0" borderId="3" xfId="0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9" fillId="0" borderId="1" xfId="1" applyFont="1" applyBorder="1" applyAlignment="1"/>
    <xf numFmtId="164" fontId="14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5" fontId="9" fillId="0" borderId="0" xfId="0" applyNumberFormat="1" applyFont="1" applyBorder="1" applyAlignment="1">
      <alignment horizontal="center" vertical="center"/>
    </xf>
    <xf numFmtId="0" fontId="0" fillId="0" borderId="0" xfId="0" applyBorder="1"/>
    <xf numFmtId="0" fontId="13" fillId="3" borderId="1" xfId="0" applyFont="1" applyFill="1" applyBorder="1" applyAlignment="1">
      <alignment horizontal="center"/>
    </xf>
    <xf numFmtId="164" fontId="14" fillId="0" borderId="0" xfId="1" applyFont="1" applyBorder="1" applyAlignment="1"/>
    <xf numFmtId="164" fontId="9" fillId="0" borderId="0" xfId="1" applyFont="1" applyBorder="1" applyAlignment="1"/>
    <xf numFmtId="164" fontId="2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V279"/>
  <sheetViews>
    <sheetView zoomScaleNormal="100" zoomScaleSheetLayoutView="100" workbookViewId="0">
      <selection activeCell="C19" sqref="C19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3" customWidth="1"/>
    <col min="7" max="7" width="15" style="32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7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6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1" t="s">
        <v>2</v>
      </c>
      <c r="B9" s="12" t="s">
        <v>11</v>
      </c>
      <c r="C9" s="20" t="s">
        <v>15</v>
      </c>
      <c r="D9" s="30" t="s">
        <v>16</v>
      </c>
      <c r="E9" s="21" t="s">
        <v>5</v>
      </c>
      <c r="F9" s="12" t="s">
        <v>3</v>
      </c>
      <c r="G9" s="33" t="s">
        <v>14</v>
      </c>
      <c r="H9" s="12" t="s">
        <v>19</v>
      </c>
      <c r="I9" s="33" t="s">
        <v>18</v>
      </c>
      <c r="J9" s="12" t="s">
        <v>17</v>
      </c>
      <c r="K9" s="12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4">
        <v>46235</v>
      </c>
      <c r="C10" s="28"/>
      <c r="D10" s="28"/>
      <c r="E10" s="27"/>
      <c r="F10" s="27"/>
      <c r="G10" s="27"/>
      <c r="H10" s="28"/>
      <c r="I10" s="27"/>
      <c r="J10" s="28"/>
      <c r="K10" s="2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9" t="s">
        <v>0</v>
      </c>
      <c r="C11" s="37" t="s">
        <v>0</v>
      </c>
      <c r="D11" s="38"/>
      <c r="E11" s="38"/>
      <c r="F11" s="38"/>
      <c r="G11" s="38"/>
      <c r="H11" s="38"/>
      <c r="I11" s="38"/>
      <c r="J11" s="38"/>
      <c r="K11" s="39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4">
        <v>46237</v>
      </c>
      <c r="C12" s="28">
        <v>248162.33</v>
      </c>
      <c r="D12" s="28">
        <v>211801.58</v>
      </c>
      <c r="E12" s="27"/>
      <c r="F12" s="28">
        <v>648.41999999999996</v>
      </c>
      <c r="G12" s="27"/>
      <c r="H12" s="28">
        <v>212450</v>
      </c>
      <c r="I12" s="27"/>
      <c r="J12" s="28"/>
      <c r="K12" s="2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4">
        <v>46238</v>
      </c>
      <c r="C13" s="37" t="s">
        <v>21</v>
      </c>
      <c r="D13" s="38"/>
      <c r="E13" s="38"/>
      <c r="F13" s="38"/>
      <c r="G13" s="38"/>
      <c r="H13" s="38"/>
      <c r="I13" s="38"/>
      <c r="J13" s="38"/>
      <c r="K13" s="39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4">
        <v>46239</v>
      </c>
      <c r="C14" s="28">
        <v>276596</v>
      </c>
      <c r="D14" s="28">
        <v>237279.5</v>
      </c>
      <c r="E14" s="27"/>
      <c r="F14" s="28">
        <v>0.5</v>
      </c>
      <c r="G14" s="27">
        <v>2034</v>
      </c>
      <c r="H14" s="28">
        <v>237280</v>
      </c>
      <c r="I14" s="27"/>
      <c r="J14" s="28"/>
      <c r="K14" s="2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4">
        <v>46240</v>
      </c>
      <c r="C15" s="37" t="s">
        <v>21</v>
      </c>
      <c r="D15" s="38"/>
      <c r="E15" s="38"/>
      <c r="F15" s="38"/>
      <c r="G15" s="38"/>
      <c r="H15" s="38"/>
      <c r="I15" s="38"/>
      <c r="J15" s="38"/>
      <c r="K15" s="39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4">
        <v>46241</v>
      </c>
      <c r="C16" s="28">
        <v>408810.71</v>
      </c>
      <c r="D16" s="28">
        <v>348709.46</v>
      </c>
      <c r="E16" s="27">
        <v>284.45999999999998</v>
      </c>
      <c r="F16" s="27"/>
      <c r="G16" s="27"/>
      <c r="H16" s="28">
        <v>348425</v>
      </c>
      <c r="I16" s="27"/>
      <c r="J16" s="28"/>
      <c r="K16" s="2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4">
        <v>46242</v>
      </c>
      <c r="C17" s="37" t="s">
        <v>21</v>
      </c>
      <c r="D17" s="38"/>
      <c r="E17" s="38"/>
      <c r="F17" s="38"/>
      <c r="G17" s="38"/>
      <c r="H17" s="38"/>
      <c r="I17" s="38"/>
      <c r="J17" s="38"/>
      <c r="K17" s="39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9" t="s">
        <v>0</v>
      </c>
      <c r="C18" s="37" t="s">
        <v>0</v>
      </c>
      <c r="D18" s="38"/>
      <c r="E18" s="38"/>
      <c r="F18" s="38"/>
      <c r="G18" s="38"/>
      <c r="H18" s="38"/>
      <c r="I18" s="38"/>
      <c r="J18" s="38"/>
      <c r="K18" s="39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4">
        <v>46244</v>
      </c>
      <c r="C19" s="28"/>
      <c r="D19" s="28"/>
      <c r="E19" s="27"/>
      <c r="F19" s="27"/>
      <c r="G19" s="27"/>
      <c r="H19" s="28"/>
      <c r="I19" s="27"/>
      <c r="J19" s="28"/>
      <c r="K19" s="2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4">
        <v>46245</v>
      </c>
      <c r="C20" s="28"/>
      <c r="D20" s="28"/>
      <c r="E20" s="27"/>
      <c r="F20" s="27"/>
      <c r="G20" s="27"/>
      <c r="H20" s="28"/>
      <c r="I20" s="27"/>
      <c r="J20" s="28"/>
      <c r="K20" s="2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4">
        <v>46246</v>
      </c>
      <c r="C21" s="28"/>
      <c r="D21" s="28"/>
      <c r="E21" s="27"/>
      <c r="F21" s="27"/>
      <c r="G21" s="27"/>
      <c r="H21" s="28"/>
      <c r="I21" s="27"/>
      <c r="J21" s="28"/>
      <c r="K21" s="2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4">
        <v>46247</v>
      </c>
      <c r="C22" s="28"/>
      <c r="D22" s="28"/>
      <c r="E22" s="27"/>
      <c r="F22" s="27"/>
      <c r="G22" s="27"/>
      <c r="H22" s="28"/>
      <c r="I22" s="27"/>
      <c r="J22" s="28"/>
      <c r="K22" s="2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4">
        <v>46248</v>
      </c>
      <c r="C23" s="28"/>
      <c r="D23" s="28"/>
      <c r="E23" s="27"/>
      <c r="F23" s="27"/>
      <c r="G23" s="27"/>
      <c r="H23" s="28"/>
      <c r="I23" s="27"/>
      <c r="J23" s="28"/>
      <c r="K23" s="27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4">
        <v>46249</v>
      </c>
      <c r="C24" s="28"/>
      <c r="D24" s="28"/>
      <c r="E24" s="27"/>
      <c r="F24" s="27"/>
      <c r="G24" s="27"/>
      <c r="H24" s="28"/>
      <c r="I24" s="27"/>
      <c r="J24" s="28"/>
      <c r="K24" s="27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9" t="s">
        <v>0</v>
      </c>
      <c r="C25" s="37" t="s">
        <v>0</v>
      </c>
      <c r="D25" s="38"/>
      <c r="E25" s="38"/>
      <c r="F25" s="38"/>
      <c r="G25" s="38"/>
      <c r="H25" s="38"/>
      <c r="I25" s="38"/>
      <c r="J25" s="38"/>
      <c r="K25" s="39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4">
        <v>46251</v>
      </c>
      <c r="C26" s="28"/>
      <c r="D26" s="28"/>
      <c r="E26" s="27"/>
      <c r="F26" s="27"/>
      <c r="G26" s="27"/>
      <c r="H26" s="28"/>
      <c r="I26" s="27"/>
      <c r="J26" s="28"/>
      <c r="K26" s="27"/>
      <c r="L26" s="1"/>
      <c r="M26" s="1"/>
      <c r="N26" s="15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4">
        <v>46252</v>
      </c>
      <c r="C27" s="28"/>
      <c r="D27" s="28"/>
      <c r="E27" s="27"/>
      <c r="F27" s="27"/>
      <c r="G27" s="27"/>
      <c r="H27" s="28"/>
      <c r="I27" s="27"/>
      <c r="J27" s="28"/>
      <c r="K27" s="27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4">
        <v>46253</v>
      </c>
      <c r="C28" s="28"/>
      <c r="D28" s="28"/>
      <c r="E28" s="27"/>
      <c r="F28" s="27"/>
      <c r="G28" s="27"/>
      <c r="H28" s="28"/>
      <c r="I28" s="27"/>
      <c r="J28" s="28"/>
      <c r="K28" s="27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4">
        <v>46254</v>
      </c>
      <c r="C29" s="28"/>
      <c r="D29" s="28"/>
      <c r="E29" s="27"/>
      <c r="F29" s="27"/>
      <c r="G29" s="27"/>
      <c r="H29" s="28"/>
      <c r="I29" s="27"/>
      <c r="J29" s="28"/>
      <c r="K29" s="27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4">
        <v>46255</v>
      </c>
      <c r="C30" s="28"/>
      <c r="D30" s="28"/>
      <c r="E30" s="27"/>
      <c r="F30" s="27"/>
      <c r="G30" s="27"/>
      <c r="H30" s="28"/>
      <c r="I30" s="27"/>
      <c r="J30" s="28"/>
      <c r="K30" s="27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4">
        <v>46256</v>
      </c>
      <c r="C31" s="28"/>
      <c r="D31" s="28"/>
      <c r="E31" s="27"/>
      <c r="F31" s="27"/>
      <c r="G31" s="27"/>
      <c r="H31" s="28"/>
      <c r="I31" s="27"/>
      <c r="J31" s="28"/>
      <c r="K31" s="27"/>
      <c r="L31" s="1"/>
      <c r="M31" s="1"/>
      <c r="N31" s="15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9" t="s">
        <v>0</v>
      </c>
      <c r="C32" s="37" t="s">
        <v>0</v>
      </c>
      <c r="D32" s="38"/>
      <c r="E32" s="38"/>
      <c r="F32" s="38"/>
      <c r="G32" s="38"/>
      <c r="H32" s="38"/>
      <c r="I32" s="38"/>
      <c r="J32" s="38"/>
      <c r="K32" s="39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4">
        <v>46258</v>
      </c>
      <c r="C33" s="28"/>
      <c r="D33" s="28"/>
      <c r="E33" s="27"/>
      <c r="F33" s="27"/>
      <c r="G33" s="27"/>
      <c r="H33" s="28"/>
      <c r="I33" s="27"/>
      <c r="J33" s="28"/>
      <c r="K33" s="27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4">
        <v>46259</v>
      </c>
      <c r="C34" s="28"/>
      <c r="D34" s="28"/>
      <c r="E34" s="27"/>
      <c r="F34" s="27"/>
      <c r="G34" s="27"/>
      <c r="H34" s="28"/>
      <c r="I34" s="27"/>
      <c r="J34" s="28"/>
      <c r="K34" s="27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4">
        <v>46260</v>
      </c>
      <c r="C35" s="28"/>
      <c r="D35" s="28"/>
      <c r="E35" s="27"/>
      <c r="F35" s="27"/>
      <c r="G35" s="27"/>
      <c r="H35" s="28"/>
      <c r="I35" s="27"/>
      <c r="J35" s="28"/>
      <c r="K35" s="27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4">
        <v>46261</v>
      </c>
      <c r="C36" s="28"/>
      <c r="D36" s="28"/>
      <c r="E36" s="27"/>
      <c r="F36" s="27"/>
      <c r="G36" s="27"/>
      <c r="H36" s="28"/>
      <c r="I36" s="27"/>
      <c r="J36" s="28"/>
      <c r="K36" s="27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4">
        <v>46262</v>
      </c>
      <c r="C37" s="28"/>
      <c r="D37" s="28"/>
      <c r="E37" s="27"/>
      <c r="F37" s="27"/>
      <c r="G37" s="27"/>
      <c r="H37" s="28"/>
      <c r="I37" s="27"/>
      <c r="J37" s="28"/>
      <c r="K37" s="27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4">
        <v>46263</v>
      </c>
      <c r="C38" s="28"/>
      <c r="D38" s="28"/>
      <c r="E38" s="27"/>
      <c r="F38" s="27"/>
      <c r="G38" s="27"/>
      <c r="H38" s="28"/>
      <c r="I38" s="27"/>
      <c r="J38" s="28"/>
      <c r="K38" s="27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9" t="s">
        <v>0</v>
      </c>
      <c r="C39" s="37" t="s">
        <v>0</v>
      </c>
      <c r="D39" s="38"/>
      <c r="E39" s="38"/>
      <c r="F39" s="38"/>
      <c r="G39" s="38"/>
      <c r="H39" s="38"/>
      <c r="I39" s="38"/>
      <c r="J39" s="38"/>
      <c r="K39" s="39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4">
        <v>46265</v>
      </c>
      <c r="C40" s="28"/>
      <c r="D40" s="28"/>
      <c r="E40" s="27"/>
      <c r="F40" s="27"/>
      <c r="G40" s="27"/>
      <c r="H40" s="28"/>
      <c r="I40" s="27"/>
      <c r="J40" s="28"/>
      <c r="K40" s="27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9"/>
      <c r="C41" s="37"/>
      <c r="D41" s="38"/>
      <c r="E41" s="38"/>
      <c r="F41" s="38"/>
      <c r="G41" s="38"/>
      <c r="H41" s="38"/>
      <c r="I41" s="38"/>
      <c r="J41" s="38"/>
      <c r="K41" s="39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19"/>
      <c r="B42" s="29"/>
      <c r="C42" s="37"/>
      <c r="D42" s="38"/>
      <c r="E42" s="38"/>
      <c r="F42" s="38"/>
      <c r="G42" s="38"/>
      <c r="H42" s="38"/>
      <c r="I42" s="38"/>
      <c r="J42" s="38"/>
      <c r="K42" s="39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3" t="s">
        <v>1</v>
      </c>
      <c r="B43" s="24"/>
      <c r="C43" s="14">
        <f t="shared" ref="C43:H43" si="0">SUM(C10:C42)</f>
        <v>933569.04</v>
      </c>
      <c r="D43" s="14">
        <f t="shared" si="0"/>
        <v>797790.54</v>
      </c>
      <c r="E43" s="25">
        <f t="shared" si="0"/>
        <v>284.45999999999998</v>
      </c>
      <c r="F43" s="14">
        <f t="shared" si="0"/>
        <v>648.91999999999996</v>
      </c>
      <c r="G43" s="25">
        <f t="shared" si="0"/>
        <v>2034</v>
      </c>
      <c r="H43" s="14">
        <f t="shared" si="0"/>
        <v>798155</v>
      </c>
      <c r="I43" s="25">
        <f t="shared" ref="I43:J43" si="1">SUM(I10:I42)</f>
        <v>0</v>
      </c>
      <c r="J43" s="14">
        <f t="shared" si="1"/>
        <v>0</v>
      </c>
      <c r="K43" s="14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26"/>
      <c r="C44" s="18"/>
      <c r="D44" s="18"/>
      <c r="E44" s="22"/>
      <c r="F44" s="9"/>
      <c r="G44" s="9"/>
      <c r="H44" s="9"/>
      <c r="I44" s="9"/>
      <c r="J44" s="9"/>
      <c r="K44" s="1"/>
      <c r="L44" s="1"/>
      <c r="M44" s="1"/>
      <c r="N44" s="15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34"/>
      <c r="D45" s="34"/>
      <c r="E45" s="35"/>
      <c r="F45" s="35"/>
      <c r="G45" s="35"/>
      <c r="H45" s="34"/>
      <c r="I45" s="35"/>
      <c r="J45" s="34"/>
      <c r="K45" s="35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10">
    <mergeCell ref="C42:K42"/>
    <mergeCell ref="C41:K41"/>
    <mergeCell ref="C11:K11"/>
    <mergeCell ref="C18:K18"/>
    <mergeCell ref="C25:K25"/>
    <mergeCell ref="C32:K32"/>
    <mergeCell ref="C39:K39"/>
    <mergeCell ref="C13:K13"/>
    <mergeCell ref="C15:K15"/>
    <mergeCell ref="C17:K17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V279"/>
  <sheetViews>
    <sheetView zoomScaleNormal="100" zoomScaleSheetLayoutView="100" workbookViewId="0">
      <selection activeCell="C19" sqref="C19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3" customWidth="1"/>
    <col min="7" max="7" width="15" style="32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7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6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1" t="s">
        <v>2</v>
      </c>
      <c r="B9" s="12" t="s">
        <v>11</v>
      </c>
      <c r="C9" s="20" t="s">
        <v>15</v>
      </c>
      <c r="D9" s="30" t="s">
        <v>16</v>
      </c>
      <c r="E9" s="21" t="s">
        <v>5</v>
      </c>
      <c r="F9" s="12" t="s">
        <v>3</v>
      </c>
      <c r="G9" s="33" t="s">
        <v>14</v>
      </c>
      <c r="H9" s="12" t="s">
        <v>19</v>
      </c>
      <c r="I9" s="33" t="s">
        <v>18</v>
      </c>
      <c r="J9" s="12" t="s">
        <v>17</v>
      </c>
      <c r="K9" s="12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4">
        <v>46235</v>
      </c>
      <c r="C10" s="28"/>
      <c r="D10" s="28"/>
      <c r="E10" s="27"/>
      <c r="F10" s="27"/>
      <c r="G10" s="27"/>
      <c r="H10" s="28"/>
      <c r="I10" s="27"/>
      <c r="J10" s="28">
        <v>69862</v>
      </c>
      <c r="K10" s="2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9" t="s">
        <v>0</v>
      </c>
      <c r="C11" s="37" t="s">
        <v>0</v>
      </c>
      <c r="D11" s="38"/>
      <c r="E11" s="38"/>
      <c r="F11" s="38"/>
      <c r="G11" s="38"/>
      <c r="H11" s="38"/>
      <c r="I11" s="38"/>
      <c r="J11" s="38"/>
      <c r="K11" s="39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4">
        <v>46237</v>
      </c>
      <c r="C12" s="28">
        <v>516071.33</v>
      </c>
      <c r="D12" s="28">
        <v>436263.83</v>
      </c>
      <c r="E12" s="27"/>
      <c r="F12" s="28">
        <v>662.17</v>
      </c>
      <c r="G12" s="27">
        <v>3396</v>
      </c>
      <c r="H12" s="28">
        <v>436926</v>
      </c>
      <c r="I12" s="27"/>
      <c r="J12" s="28"/>
      <c r="K12" s="2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4">
        <v>46238</v>
      </c>
      <c r="C13" s="28">
        <v>347634.17</v>
      </c>
      <c r="D13" s="28">
        <v>287025.17</v>
      </c>
      <c r="E13" s="27">
        <v>211.17</v>
      </c>
      <c r="F13" s="27"/>
      <c r="G13" s="27">
        <v>2004</v>
      </c>
      <c r="H13" s="28">
        <v>286814</v>
      </c>
      <c r="I13" s="27"/>
      <c r="J13" s="28"/>
      <c r="K13" s="27">
        <f>650*9</f>
        <v>5850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4">
        <v>46239</v>
      </c>
      <c r="C14" s="28">
        <v>271026.42</v>
      </c>
      <c r="D14" s="28">
        <v>232251.42</v>
      </c>
      <c r="E14" s="27"/>
      <c r="F14" s="28">
        <v>472.58</v>
      </c>
      <c r="G14" s="27">
        <v>1818</v>
      </c>
      <c r="H14" s="28">
        <v>232724</v>
      </c>
      <c r="I14" s="27"/>
      <c r="J14" s="28"/>
      <c r="K14" s="2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4">
        <v>46240</v>
      </c>
      <c r="C15" s="28">
        <v>402717.5</v>
      </c>
      <c r="D15" s="28">
        <v>267331.5</v>
      </c>
      <c r="E15" s="27"/>
      <c r="F15" s="36">
        <v>934.5</v>
      </c>
      <c r="G15" s="27">
        <v>2178</v>
      </c>
      <c r="H15" s="28">
        <v>268266</v>
      </c>
      <c r="I15" s="27">
        <v>67927</v>
      </c>
      <c r="J15" s="28"/>
      <c r="K15" s="27">
        <f>50+4550</f>
        <v>4600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4">
        <v>46241</v>
      </c>
      <c r="C16" s="28">
        <v>314974.21000000002</v>
      </c>
      <c r="D16" s="28">
        <v>261753.46</v>
      </c>
      <c r="E16" s="27"/>
      <c r="F16" s="36">
        <v>429.54</v>
      </c>
      <c r="G16" s="27">
        <v>1224</v>
      </c>
      <c r="H16" s="28">
        <v>262183</v>
      </c>
      <c r="I16" s="27"/>
      <c r="J16" s="28"/>
      <c r="K16" s="2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4">
        <v>46242</v>
      </c>
      <c r="C17" s="28">
        <v>226955</v>
      </c>
      <c r="D17" s="28">
        <v>260066.25</v>
      </c>
      <c r="E17" s="27">
        <v>114.25</v>
      </c>
      <c r="F17" s="27"/>
      <c r="G17" s="27">
        <v>1350</v>
      </c>
      <c r="H17" s="28">
        <v>259952</v>
      </c>
      <c r="I17" s="27"/>
      <c r="J17" s="28">
        <v>67927</v>
      </c>
      <c r="K17" s="2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9" t="s">
        <v>0</v>
      </c>
      <c r="C18" s="37" t="s">
        <v>0</v>
      </c>
      <c r="D18" s="38"/>
      <c r="E18" s="38"/>
      <c r="F18" s="38"/>
      <c r="G18" s="38"/>
      <c r="H18" s="38"/>
      <c r="I18" s="38"/>
      <c r="J18" s="38"/>
      <c r="K18" s="39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4">
        <v>46244</v>
      </c>
      <c r="C19" s="28"/>
      <c r="D19" s="28"/>
      <c r="E19" s="27"/>
      <c r="F19" s="27"/>
      <c r="G19" s="27"/>
      <c r="H19" s="28"/>
      <c r="I19" s="27"/>
      <c r="J19" s="28"/>
      <c r="K19" s="2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4">
        <v>46245</v>
      </c>
      <c r="C20" s="28"/>
      <c r="D20" s="28"/>
      <c r="E20" s="27"/>
      <c r="F20" s="27"/>
      <c r="G20" s="27"/>
      <c r="H20" s="28"/>
      <c r="I20" s="27"/>
      <c r="J20" s="28"/>
      <c r="K20" s="2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4">
        <v>46246</v>
      </c>
      <c r="C21" s="28"/>
      <c r="D21" s="28"/>
      <c r="E21" s="27"/>
      <c r="F21" s="27"/>
      <c r="G21" s="27"/>
      <c r="H21" s="28"/>
      <c r="I21" s="27"/>
      <c r="J21" s="28"/>
      <c r="K21" s="2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4">
        <v>46247</v>
      </c>
      <c r="C22" s="28"/>
      <c r="D22" s="28"/>
      <c r="E22" s="27"/>
      <c r="F22" s="27"/>
      <c r="G22" s="27"/>
      <c r="H22" s="28"/>
      <c r="I22" s="27"/>
      <c r="J22" s="28"/>
      <c r="K22" s="2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4">
        <v>46248</v>
      </c>
      <c r="C23" s="28"/>
      <c r="D23" s="28"/>
      <c r="E23" s="27"/>
      <c r="F23" s="27"/>
      <c r="G23" s="27"/>
      <c r="H23" s="28"/>
      <c r="I23" s="27"/>
      <c r="J23" s="28"/>
      <c r="K23" s="27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4">
        <v>46249</v>
      </c>
      <c r="C24" s="28"/>
      <c r="D24" s="28"/>
      <c r="E24" s="27"/>
      <c r="F24" s="27"/>
      <c r="G24" s="27"/>
      <c r="H24" s="28"/>
      <c r="I24" s="27"/>
      <c r="J24" s="28"/>
      <c r="K24" s="27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9" t="s">
        <v>0</v>
      </c>
      <c r="C25" s="37" t="s">
        <v>0</v>
      </c>
      <c r="D25" s="38"/>
      <c r="E25" s="38"/>
      <c r="F25" s="38"/>
      <c r="G25" s="38"/>
      <c r="H25" s="38"/>
      <c r="I25" s="38"/>
      <c r="J25" s="38"/>
      <c r="K25" s="39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4">
        <v>46251</v>
      </c>
      <c r="C26" s="28"/>
      <c r="D26" s="28"/>
      <c r="E26" s="27"/>
      <c r="F26" s="27"/>
      <c r="G26" s="27"/>
      <c r="H26" s="28"/>
      <c r="I26" s="27"/>
      <c r="J26" s="28"/>
      <c r="K26" s="27"/>
      <c r="L26" s="1"/>
      <c r="M26" s="1"/>
      <c r="N26" s="15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4">
        <v>46252</v>
      </c>
      <c r="C27" s="28"/>
      <c r="D27" s="28"/>
      <c r="E27" s="27"/>
      <c r="F27" s="27"/>
      <c r="G27" s="27"/>
      <c r="H27" s="28"/>
      <c r="I27" s="27"/>
      <c r="J27" s="28"/>
      <c r="K27" s="27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4">
        <v>46253</v>
      </c>
      <c r="C28" s="28"/>
      <c r="D28" s="28"/>
      <c r="E28" s="27"/>
      <c r="F28" s="27"/>
      <c r="G28" s="27"/>
      <c r="H28" s="28"/>
      <c r="I28" s="27"/>
      <c r="J28" s="28"/>
      <c r="K28" s="27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4">
        <v>46254</v>
      </c>
      <c r="C29" s="28"/>
      <c r="D29" s="28"/>
      <c r="E29" s="27"/>
      <c r="F29" s="27"/>
      <c r="G29" s="27"/>
      <c r="H29" s="28"/>
      <c r="I29" s="27"/>
      <c r="J29" s="28"/>
      <c r="K29" s="27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4">
        <v>46255</v>
      </c>
      <c r="C30" s="28"/>
      <c r="D30" s="28"/>
      <c r="E30" s="27"/>
      <c r="F30" s="27"/>
      <c r="G30" s="27"/>
      <c r="H30" s="28"/>
      <c r="I30" s="27"/>
      <c r="J30" s="28"/>
      <c r="K30" s="27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4">
        <v>46256</v>
      </c>
      <c r="C31" s="28"/>
      <c r="D31" s="28"/>
      <c r="E31" s="27"/>
      <c r="F31" s="27"/>
      <c r="G31" s="27"/>
      <c r="H31" s="28"/>
      <c r="I31" s="27"/>
      <c r="J31" s="28"/>
      <c r="K31" s="27"/>
      <c r="L31" s="1"/>
      <c r="M31" s="1"/>
      <c r="N31" s="15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9" t="s">
        <v>0</v>
      </c>
      <c r="C32" s="37" t="s">
        <v>0</v>
      </c>
      <c r="D32" s="38"/>
      <c r="E32" s="38"/>
      <c r="F32" s="38"/>
      <c r="G32" s="38"/>
      <c r="H32" s="38"/>
      <c r="I32" s="38"/>
      <c r="J32" s="38"/>
      <c r="K32" s="39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4">
        <v>46258</v>
      </c>
      <c r="C33" s="28"/>
      <c r="D33" s="28"/>
      <c r="E33" s="27"/>
      <c r="F33" s="27"/>
      <c r="G33" s="27"/>
      <c r="H33" s="28"/>
      <c r="I33" s="27"/>
      <c r="J33" s="28"/>
      <c r="K33" s="27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4">
        <v>46259</v>
      </c>
      <c r="C34" s="28"/>
      <c r="D34" s="28"/>
      <c r="E34" s="27"/>
      <c r="F34" s="27"/>
      <c r="G34" s="27"/>
      <c r="H34" s="28"/>
      <c r="I34" s="27"/>
      <c r="J34" s="28"/>
      <c r="K34" s="27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4">
        <v>46260</v>
      </c>
      <c r="C35" s="28"/>
      <c r="D35" s="28"/>
      <c r="E35" s="27"/>
      <c r="F35" s="27"/>
      <c r="G35" s="27"/>
      <c r="H35" s="28"/>
      <c r="I35" s="27"/>
      <c r="J35" s="28"/>
      <c r="K35" s="27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4">
        <v>46261</v>
      </c>
      <c r="C36" s="28"/>
      <c r="D36" s="28"/>
      <c r="E36" s="27"/>
      <c r="F36" s="27"/>
      <c r="G36" s="27"/>
      <c r="H36" s="28"/>
      <c r="I36" s="27"/>
      <c r="J36" s="28"/>
      <c r="K36" s="27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4">
        <v>46262</v>
      </c>
      <c r="C37" s="28"/>
      <c r="D37" s="28"/>
      <c r="E37" s="27"/>
      <c r="F37" s="27"/>
      <c r="G37" s="27"/>
      <c r="H37" s="28"/>
      <c r="I37" s="27"/>
      <c r="J37" s="28"/>
      <c r="K37" s="27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4">
        <v>46263</v>
      </c>
      <c r="C38" s="28"/>
      <c r="D38" s="28"/>
      <c r="E38" s="27"/>
      <c r="F38" s="27"/>
      <c r="G38" s="27"/>
      <c r="H38" s="28"/>
      <c r="I38" s="27"/>
      <c r="J38" s="28"/>
      <c r="K38" s="27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9" t="s">
        <v>0</v>
      </c>
      <c r="C39" s="37" t="s">
        <v>0</v>
      </c>
      <c r="D39" s="38"/>
      <c r="E39" s="38"/>
      <c r="F39" s="38"/>
      <c r="G39" s="38"/>
      <c r="H39" s="38"/>
      <c r="I39" s="38"/>
      <c r="J39" s="38"/>
      <c r="K39" s="39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4">
        <v>46265</v>
      </c>
      <c r="C40" s="28"/>
      <c r="D40" s="28"/>
      <c r="E40" s="27"/>
      <c r="F40" s="27"/>
      <c r="G40" s="27"/>
      <c r="H40" s="28"/>
      <c r="I40" s="27"/>
      <c r="J40" s="28"/>
      <c r="K40" s="27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9"/>
      <c r="C41" s="37"/>
      <c r="D41" s="38"/>
      <c r="E41" s="38"/>
      <c r="F41" s="38"/>
      <c r="G41" s="38"/>
      <c r="H41" s="38"/>
      <c r="I41" s="38"/>
      <c r="J41" s="38"/>
      <c r="K41" s="39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19"/>
      <c r="B42" s="29"/>
      <c r="C42" s="37"/>
      <c r="D42" s="38"/>
      <c r="E42" s="38"/>
      <c r="F42" s="38"/>
      <c r="G42" s="38"/>
      <c r="H42" s="38"/>
      <c r="I42" s="38"/>
      <c r="J42" s="38"/>
      <c r="K42" s="39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3" t="s">
        <v>1</v>
      </c>
      <c r="B43" s="24"/>
      <c r="C43" s="14">
        <f t="shared" ref="C43:J43" si="0">SUM(C10:C42)</f>
        <v>2079378.63</v>
      </c>
      <c r="D43" s="14">
        <f t="shared" si="0"/>
        <v>1744691.63</v>
      </c>
      <c r="E43" s="25">
        <f t="shared" si="0"/>
        <v>325.41999999999996</v>
      </c>
      <c r="F43" s="14">
        <f t="shared" si="0"/>
        <v>2498.79</v>
      </c>
      <c r="G43" s="25">
        <f t="shared" si="0"/>
        <v>11970</v>
      </c>
      <c r="H43" s="14">
        <f t="shared" si="0"/>
        <v>1746865</v>
      </c>
      <c r="I43" s="25">
        <f t="shared" si="0"/>
        <v>67927</v>
      </c>
      <c r="J43" s="14">
        <f t="shared" si="0"/>
        <v>137789</v>
      </c>
      <c r="K43" s="14">
        <f>SUM(K10:K42)</f>
        <v>10450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18"/>
      <c r="D44" s="18"/>
      <c r="E44" s="22"/>
      <c r="F44" s="9"/>
      <c r="G44" s="9"/>
      <c r="H44" s="9"/>
      <c r="I44" s="9"/>
      <c r="J44" s="9"/>
      <c r="K44" s="1"/>
      <c r="L44" s="1"/>
      <c r="M44" s="1"/>
      <c r="N44" s="15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7">
    <mergeCell ref="C42:K42"/>
    <mergeCell ref="C11:K11"/>
    <mergeCell ref="C18:K18"/>
    <mergeCell ref="C25:K25"/>
    <mergeCell ref="C32:K32"/>
    <mergeCell ref="C39:K39"/>
    <mergeCell ref="C41:K41"/>
  </mergeCells>
  <pageMargins left="0.7" right="0.7" top="0.75" bottom="0.75" header="0.3" footer="0.3"/>
  <pageSetup scale="99" orientation="portrait" horizontalDpi="0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V279"/>
  <sheetViews>
    <sheetView tabSelected="1" zoomScaleNormal="100" zoomScaleSheetLayoutView="100" workbookViewId="0">
      <selection activeCell="C19" sqref="C19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3" customWidth="1"/>
    <col min="7" max="7" width="15" style="32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7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6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31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1" t="s">
        <v>2</v>
      </c>
      <c r="B9" s="12" t="s">
        <v>11</v>
      </c>
      <c r="C9" s="20" t="s">
        <v>15</v>
      </c>
      <c r="D9" s="30" t="s">
        <v>16</v>
      </c>
      <c r="E9" s="21" t="s">
        <v>5</v>
      </c>
      <c r="F9" s="12" t="s">
        <v>3</v>
      </c>
      <c r="G9" s="33" t="s">
        <v>14</v>
      </c>
      <c r="H9" s="12" t="s">
        <v>19</v>
      </c>
      <c r="I9" s="33" t="s">
        <v>18</v>
      </c>
      <c r="J9" s="12" t="s">
        <v>17</v>
      </c>
      <c r="K9" s="12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4">
        <v>46235</v>
      </c>
      <c r="C10" s="28"/>
      <c r="D10" s="28"/>
      <c r="E10" s="27"/>
      <c r="F10" s="27"/>
      <c r="G10" s="27"/>
      <c r="H10" s="28"/>
      <c r="I10" s="27"/>
      <c r="J10" s="28"/>
      <c r="K10" s="2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9" t="s">
        <v>0</v>
      </c>
      <c r="C11" s="37" t="s">
        <v>0</v>
      </c>
      <c r="D11" s="38"/>
      <c r="E11" s="38"/>
      <c r="F11" s="38"/>
      <c r="G11" s="38"/>
      <c r="H11" s="38"/>
      <c r="I11" s="38"/>
      <c r="J11" s="38"/>
      <c r="K11" s="39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4">
        <v>46237</v>
      </c>
      <c r="C12" s="28">
        <v>406307.13</v>
      </c>
      <c r="D12" s="28">
        <v>337941.88</v>
      </c>
      <c r="E12" s="27">
        <v>331.88</v>
      </c>
      <c r="F12" s="27"/>
      <c r="G12" s="27">
        <v>1602</v>
      </c>
      <c r="H12" s="28">
        <v>337610</v>
      </c>
      <c r="I12" s="27"/>
      <c r="J12" s="28"/>
      <c r="K12" s="27">
        <v>50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4">
        <v>46238</v>
      </c>
      <c r="C13" s="28">
        <v>472049.21</v>
      </c>
      <c r="D13" s="28">
        <v>397218.71</v>
      </c>
      <c r="E13" s="27"/>
      <c r="F13" s="36">
        <v>122.29</v>
      </c>
      <c r="G13" s="27">
        <v>3366</v>
      </c>
      <c r="H13" s="28">
        <v>397341</v>
      </c>
      <c r="I13" s="27"/>
      <c r="J13" s="28"/>
      <c r="K13" s="2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4">
        <v>46239</v>
      </c>
      <c r="C14" s="37" t="s">
        <v>21</v>
      </c>
      <c r="D14" s="38"/>
      <c r="E14" s="38"/>
      <c r="F14" s="38"/>
      <c r="G14" s="38"/>
      <c r="H14" s="38"/>
      <c r="I14" s="38"/>
      <c r="J14" s="38"/>
      <c r="K14" s="39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4">
        <v>46240</v>
      </c>
      <c r="C15" s="28">
        <v>318659.21000000002</v>
      </c>
      <c r="D15" s="28">
        <v>267775.96000000002</v>
      </c>
      <c r="E15" s="27">
        <v>276.95999999999998</v>
      </c>
      <c r="F15" s="27"/>
      <c r="G15" s="27">
        <v>1896</v>
      </c>
      <c r="H15" s="28">
        <v>267499</v>
      </c>
      <c r="I15" s="27"/>
      <c r="J15" s="28"/>
      <c r="K15" s="27">
        <v>3250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4">
        <v>46241</v>
      </c>
      <c r="C16" s="28">
        <v>383530.17</v>
      </c>
      <c r="D16" s="28">
        <v>323368.92</v>
      </c>
      <c r="E16" s="27"/>
      <c r="F16" s="36">
        <v>165.08</v>
      </c>
      <c r="G16" s="27">
        <v>2406</v>
      </c>
      <c r="H16" s="28">
        <v>323534</v>
      </c>
      <c r="I16" s="27"/>
      <c r="J16" s="28"/>
      <c r="K16" s="2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4">
        <v>46242</v>
      </c>
      <c r="C17" s="28">
        <v>303138.03999999998</v>
      </c>
      <c r="D17" s="28">
        <v>274359.78999999998</v>
      </c>
      <c r="E17" s="27">
        <v>30.79</v>
      </c>
      <c r="F17" s="27"/>
      <c r="G17" s="27">
        <v>1944</v>
      </c>
      <c r="H17" s="28">
        <v>274329</v>
      </c>
      <c r="I17" s="27"/>
      <c r="J17" s="28"/>
      <c r="K17" s="2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9" t="s">
        <v>0</v>
      </c>
      <c r="C18" s="37" t="s">
        <v>0</v>
      </c>
      <c r="D18" s="38"/>
      <c r="E18" s="38"/>
      <c r="F18" s="38"/>
      <c r="G18" s="38"/>
      <c r="H18" s="38"/>
      <c r="I18" s="38"/>
      <c r="J18" s="38"/>
      <c r="K18" s="39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4">
        <v>46244</v>
      </c>
      <c r="C19" s="28"/>
      <c r="D19" s="28"/>
      <c r="E19" s="27"/>
      <c r="F19" s="27"/>
      <c r="G19" s="27"/>
      <c r="H19" s="28"/>
      <c r="I19" s="27"/>
      <c r="J19" s="28"/>
      <c r="K19" s="2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4">
        <v>46245</v>
      </c>
      <c r="C20" s="28"/>
      <c r="D20" s="28"/>
      <c r="E20" s="27"/>
      <c r="F20" s="27"/>
      <c r="G20" s="27"/>
      <c r="H20" s="28"/>
      <c r="I20" s="27"/>
      <c r="J20" s="28"/>
      <c r="K20" s="2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4">
        <v>46246</v>
      </c>
      <c r="C21" s="28"/>
      <c r="D21" s="28"/>
      <c r="E21" s="27"/>
      <c r="F21" s="27"/>
      <c r="G21" s="27"/>
      <c r="H21" s="28"/>
      <c r="I21" s="27"/>
      <c r="J21" s="28"/>
      <c r="K21" s="2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4">
        <v>46247</v>
      </c>
      <c r="C22" s="28"/>
      <c r="D22" s="28"/>
      <c r="E22" s="27"/>
      <c r="F22" s="27"/>
      <c r="G22" s="27"/>
      <c r="H22" s="28"/>
      <c r="I22" s="27"/>
      <c r="J22" s="28"/>
      <c r="K22" s="2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4">
        <v>46248</v>
      </c>
      <c r="C23" s="28"/>
      <c r="D23" s="28"/>
      <c r="E23" s="27"/>
      <c r="F23" s="27"/>
      <c r="G23" s="27"/>
      <c r="H23" s="28"/>
      <c r="I23" s="27"/>
      <c r="J23" s="28"/>
      <c r="K23" s="27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4">
        <v>46249</v>
      </c>
      <c r="C24" s="28"/>
      <c r="D24" s="28"/>
      <c r="E24" s="27"/>
      <c r="F24" s="27"/>
      <c r="G24" s="27"/>
      <c r="H24" s="28"/>
      <c r="I24" s="27"/>
      <c r="J24" s="28"/>
      <c r="K24" s="27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9" t="s">
        <v>0</v>
      </c>
      <c r="C25" s="37" t="s">
        <v>0</v>
      </c>
      <c r="D25" s="38"/>
      <c r="E25" s="38"/>
      <c r="F25" s="38"/>
      <c r="G25" s="38"/>
      <c r="H25" s="38"/>
      <c r="I25" s="38"/>
      <c r="J25" s="38"/>
      <c r="K25" s="39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4">
        <v>46251</v>
      </c>
      <c r="C26" s="28"/>
      <c r="D26" s="28"/>
      <c r="E26" s="27"/>
      <c r="F26" s="27"/>
      <c r="G26" s="27"/>
      <c r="H26" s="28"/>
      <c r="I26" s="27"/>
      <c r="J26" s="28"/>
      <c r="K26" s="27"/>
      <c r="L26" s="1"/>
      <c r="M26" s="1"/>
      <c r="N26" s="15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4">
        <v>46252</v>
      </c>
      <c r="C27" s="28"/>
      <c r="D27" s="28"/>
      <c r="E27" s="27"/>
      <c r="F27" s="27"/>
      <c r="G27" s="27"/>
      <c r="H27" s="28"/>
      <c r="I27" s="27"/>
      <c r="J27" s="28"/>
      <c r="K27" s="27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4">
        <v>46253</v>
      </c>
      <c r="C28" s="28"/>
      <c r="D28" s="28"/>
      <c r="E28" s="27"/>
      <c r="F28" s="27"/>
      <c r="G28" s="27"/>
      <c r="H28" s="28"/>
      <c r="I28" s="27"/>
      <c r="J28" s="28"/>
      <c r="K28" s="27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4">
        <v>46254</v>
      </c>
      <c r="C29" s="28"/>
      <c r="D29" s="28"/>
      <c r="E29" s="27"/>
      <c r="F29" s="27"/>
      <c r="G29" s="27"/>
      <c r="H29" s="28"/>
      <c r="I29" s="27"/>
      <c r="J29" s="28"/>
      <c r="K29" s="27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4">
        <v>46255</v>
      </c>
      <c r="C30" s="28"/>
      <c r="D30" s="28"/>
      <c r="E30" s="27"/>
      <c r="F30" s="27"/>
      <c r="G30" s="27"/>
      <c r="H30" s="28"/>
      <c r="I30" s="27"/>
      <c r="J30" s="28"/>
      <c r="K30" s="27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4">
        <v>46256</v>
      </c>
      <c r="C31" s="28"/>
      <c r="D31" s="28"/>
      <c r="E31" s="27"/>
      <c r="F31" s="27"/>
      <c r="G31" s="27"/>
      <c r="H31" s="28"/>
      <c r="I31" s="27"/>
      <c r="J31" s="28"/>
      <c r="K31" s="27"/>
      <c r="L31" s="1"/>
      <c r="M31" s="1"/>
      <c r="N31" s="15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9" t="s">
        <v>0</v>
      </c>
      <c r="C32" s="37" t="s">
        <v>0</v>
      </c>
      <c r="D32" s="38"/>
      <c r="E32" s="38"/>
      <c r="F32" s="38"/>
      <c r="G32" s="38"/>
      <c r="H32" s="38"/>
      <c r="I32" s="38"/>
      <c r="J32" s="38"/>
      <c r="K32" s="39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4">
        <v>46258</v>
      </c>
      <c r="C33" s="28"/>
      <c r="D33" s="28"/>
      <c r="E33" s="27"/>
      <c r="F33" s="27"/>
      <c r="G33" s="27"/>
      <c r="H33" s="28"/>
      <c r="I33" s="27"/>
      <c r="J33" s="28"/>
      <c r="K33" s="27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4">
        <v>46259</v>
      </c>
      <c r="C34" s="28"/>
      <c r="D34" s="28"/>
      <c r="E34" s="27"/>
      <c r="F34" s="27"/>
      <c r="G34" s="27"/>
      <c r="H34" s="28"/>
      <c r="I34" s="27"/>
      <c r="J34" s="28"/>
      <c r="K34" s="27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4">
        <v>46260</v>
      </c>
      <c r="C35" s="28"/>
      <c r="D35" s="28"/>
      <c r="E35" s="27"/>
      <c r="F35" s="27"/>
      <c r="G35" s="27"/>
      <c r="H35" s="28"/>
      <c r="I35" s="27"/>
      <c r="J35" s="28"/>
      <c r="K35" s="27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4">
        <v>46261</v>
      </c>
      <c r="C36" s="28"/>
      <c r="D36" s="28"/>
      <c r="E36" s="27"/>
      <c r="F36" s="27"/>
      <c r="G36" s="27"/>
      <c r="H36" s="28"/>
      <c r="I36" s="27"/>
      <c r="J36" s="28"/>
      <c r="K36" s="27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4">
        <v>46262</v>
      </c>
      <c r="C37" s="28"/>
      <c r="D37" s="28"/>
      <c r="E37" s="27"/>
      <c r="F37" s="27"/>
      <c r="G37" s="27"/>
      <c r="H37" s="28"/>
      <c r="I37" s="27"/>
      <c r="J37" s="28"/>
      <c r="K37" s="27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4">
        <v>46263</v>
      </c>
      <c r="C38" s="28"/>
      <c r="D38" s="28"/>
      <c r="E38" s="27"/>
      <c r="F38" s="27"/>
      <c r="G38" s="27"/>
      <c r="H38" s="28"/>
      <c r="I38" s="27"/>
      <c r="J38" s="28"/>
      <c r="K38" s="27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9" t="s">
        <v>0</v>
      </c>
      <c r="C39" s="37" t="s">
        <v>0</v>
      </c>
      <c r="D39" s="38"/>
      <c r="E39" s="38"/>
      <c r="F39" s="38"/>
      <c r="G39" s="38"/>
      <c r="H39" s="38"/>
      <c r="I39" s="38"/>
      <c r="J39" s="38"/>
      <c r="K39" s="39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4">
        <v>46265</v>
      </c>
      <c r="C40" s="28"/>
      <c r="D40" s="28"/>
      <c r="E40" s="27"/>
      <c r="F40" s="27"/>
      <c r="G40" s="27"/>
      <c r="H40" s="28"/>
      <c r="I40" s="27"/>
      <c r="J40" s="28"/>
      <c r="K40" s="27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9"/>
      <c r="C41" s="37"/>
      <c r="D41" s="38"/>
      <c r="E41" s="38"/>
      <c r="F41" s="38"/>
      <c r="G41" s="38"/>
      <c r="H41" s="38"/>
      <c r="I41" s="38"/>
      <c r="J41" s="38"/>
      <c r="K41" s="39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19"/>
      <c r="B42" s="29"/>
      <c r="C42" s="37"/>
      <c r="D42" s="38"/>
      <c r="E42" s="38"/>
      <c r="F42" s="38"/>
      <c r="G42" s="38"/>
      <c r="H42" s="38"/>
      <c r="I42" s="38"/>
      <c r="J42" s="38"/>
      <c r="K42" s="39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3" t="s">
        <v>1</v>
      </c>
      <c r="B43" s="24"/>
      <c r="C43" s="14">
        <f t="shared" ref="C43:J43" si="0">SUM(C10:C42)</f>
        <v>1883683.76</v>
      </c>
      <c r="D43" s="14">
        <f t="shared" si="0"/>
        <v>1600665.26</v>
      </c>
      <c r="E43" s="25">
        <f t="shared" si="0"/>
        <v>639.62999999999988</v>
      </c>
      <c r="F43" s="14">
        <f t="shared" si="0"/>
        <v>287.37</v>
      </c>
      <c r="G43" s="25">
        <f t="shared" si="0"/>
        <v>11214</v>
      </c>
      <c r="H43" s="14">
        <f t="shared" si="0"/>
        <v>1600313</v>
      </c>
      <c r="I43" s="25">
        <f t="shared" si="0"/>
        <v>0</v>
      </c>
      <c r="J43" s="14">
        <f t="shared" si="0"/>
        <v>0</v>
      </c>
      <c r="K43" s="14">
        <f>SUM(K10:K42)</f>
        <v>3300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18"/>
      <c r="D44" s="18"/>
      <c r="E44" s="22"/>
      <c r="F44" s="9"/>
      <c r="G44" s="9"/>
      <c r="H44" s="9"/>
      <c r="I44" s="9"/>
      <c r="J44" s="9"/>
      <c r="K44" s="1"/>
      <c r="L44" s="1"/>
      <c r="M44" s="1"/>
      <c r="N44" s="15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8">
    <mergeCell ref="C42:K42"/>
    <mergeCell ref="C41:K41"/>
    <mergeCell ref="C11:K11"/>
    <mergeCell ref="C18:K18"/>
    <mergeCell ref="C25:K25"/>
    <mergeCell ref="C32:K32"/>
    <mergeCell ref="C39:K39"/>
    <mergeCell ref="C14:K14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AUGUST, SRS R1</vt:lpstr>
      <vt:lpstr>AUGUST, SRS R2</vt:lpstr>
      <vt:lpstr>AUGUST, SRS R3</vt:lpstr>
      <vt:lpstr>,</vt:lpstr>
      <vt:lpstr>'AUGUST, SRS R1'!Print_Area</vt:lpstr>
      <vt:lpstr>'AUGUST, SRS R2'!Print_Area</vt:lpstr>
      <vt:lpstr>'AUGUST,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2026-08-08T07:44:39Z</dcterms:modified>
</cp:coreProperties>
</file>