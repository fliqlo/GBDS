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ED7BFE35-5C40-4887-A196-78B936A35BEE}" xr6:coauthVersionLast="45" xr6:coauthVersionMax="47" xr10:uidLastSave="{00000000-0000-0000-0000-000000000000}"/>
  <bookViews>
    <workbookView xWindow="-120" yWindow="-120" windowWidth="29040" windowHeight="15840" firstSheet="33" activeTab="44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 NO TRIP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 NO TRIP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  <sheet name="(11)" sheetId="1883" r:id="rId34"/>
    <sheet name="08-11 R1" sheetId="1884" r:id="rId35"/>
    <sheet name="08-11 R2" sheetId="1885" r:id="rId36"/>
    <sheet name="08-11 R3" sheetId="1886" r:id="rId37"/>
    <sheet name="(12)" sheetId="1887" r:id="rId38"/>
    <sheet name="08-12 R1" sheetId="1888" r:id="rId39"/>
    <sheet name="08-12 R2" sheetId="1889" r:id="rId40"/>
    <sheet name="08-12 R3" sheetId="1890" r:id="rId41"/>
    <sheet name="(13)" sheetId="1891" r:id="rId42"/>
    <sheet name="08-13 R1" sheetId="1894" r:id="rId43"/>
    <sheet name="08-13 R2" sheetId="1893" r:id="rId44"/>
    <sheet name="08-13 R3" sheetId="1892" r:id="rId45"/>
    <sheet name="(14)" sheetId="1895" r:id="rId46"/>
    <sheet name="08-14 R1" sheetId="1896" r:id="rId47"/>
    <sheet name="08-14 R2" sheetId="1897" r:id="rId48"/>
    <sheet name="08-14 R3" sheetId="1898" r:id="rId49"/>
    <sheet name="(15)" sheetId="1899" r:id="rId50"/>
    <sheet name="08-15 R1" sheetId="1900" r:id="rId51"/>
    <sheet name="08-15 R2" sheetId="1901" r:id="rId52"/>
    <sheet name="08-15 R3" sheetId="1902" r:id="rId53"/>
  </sheets>
  <definedNames>
    <definedName name="_xlnm.Print_Area" localSheetId="1">'(01)'!$A$1:$Z$44</definedName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 NO TRIP'!$A$1:$Z$43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 NO TRIP'!$A$1:$Z$43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  <definedName name="_xlnm.Print_Area" localSheetId="34">'08-11 R1'!$A$1:$Z$43</definedName>
    <definedName name="_xlnm.Print_Area" localSheetId="35">'08-11 R2'!$A$1:$V$44</definedName>
    <definedName name="_xlnm.Print_Area" localSheetId="36">'08-11 R3'!$A$1:$V$44</definedName>
    <definedName name="_xlnm.Print_Area" localSheetId="38">'08-12 R1'!$A$1:$Z$43</definedName>
    <definedName name="_xlnm.Print_Area" localSheetId="39">'08-12 R2'!$A$1:$V$44</definedName>
    <definedName name="_xlnm.Print_Area" localSheetId="40">'08-12 R3'!$A$1:$V$44</definedName>
    <definedName name="_xlnm.Print_Area" localSheetId="42">'08-13 R1'!$A$1:$V$44</definedName>
    <definedName name="_xlnm.Print_Area" localSheetId="43">'08-13 R2'!$A$1:$V$44</definedName>
    <definedName name="_xlnm.Print_Area" localSheetId="44">'08-13 R3'!$A$1:$Z$43</definedName>
    <definedName name="_xlnm.Print_Area" localSheetId="46">'08-14 R1'!$A$1:$Z$43</definedName>
    <definedName name="_xlnm.Print_Area" localSheetId="47">'08-14 R2'!$A$1:$V$44</definedName>
    <definedName name="_xlnm.Print_Area" localSheetId="48">'08-14 R3'!$A$1:$V$44</definedName>
    <definedName name="_xlnm.Print_Area" localSheetId="50">'08-15 R1'!$A$1:$Z$43</definedName>
    <definedName name="_xlnm.Print_Area" localSheetId="51">'08-15 R2'!$A$1:$V$44</definedName>
    <definedName name="_xlnm.Print_Area" localSheetId="52">'08-15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94" l="1"/>
  <c r="H8" i="1894"/>
  <c r="C44" i="1893"/>
  <c r="C45" i="1892"/>
  <c r="C44" i="1892"/>
  <c r="C45" i="1890" l="1"/>
  <c r="C44" i="1890"/>
  <c r="C44" i="1889"/>
  <c r="C45" i="1888"/>
  <c r="C44" i="1888"/>
  <c r="C44" i="1885" l="1"/>
  <c r="C44" i="1884"/>
  <c r="C44" i="1880" l="1"/>
  <c r="C44" i="1881"/>
  <c r="C44" i="1882"/>
  <c r="F21" i="1902" l="1"/>
  <c r="F21" i="1901"/>
  <c r="F21" i="1900"/>
  <c r="F21" i="1899"/>
  <c r="F21" i="1898"/>
  <c r="F21" i="1897"/>
  <c r="F21" i="1896"/>
  <c r="F21" i="1895"/>
  <c r="F21" i="1894"/>
  <c r="F21" i="1893"/>
  <c r="F21" i="1892"/>
  <c r="F21" i="1891"/>
  <c r="F21" i="1890"/>
  <c r="F21" i="1889"/>
  <c r="F21" i="1888"/>
  <c r="F21" i="1887"/>
  <c r="F21" i="1886"/>
  <c r="F21" i="1885"/>
  <c r="F21" i="1884"/>
  <c r="F21" i="1883"/>
  <c r="C44" i="1877" l="1"/>
  <c r="C44" i="1878"/>
  <c r="C44" i="1873" l="1"/>
  <c r="C44" i="1872"/>
  <c r="C44" i="1874"/>
  <c r="C44" i="1870" l="1"/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<sst xmlns="http://schemas.openxmlformats.org/spreadsheetml/2006/main" count="4691" uniqueCount="138">
  <si>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</si>
  <si>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</si>
  <si>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</si>
  <si>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</si>
  <si>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</si>
  <si>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</si>
  <si>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</si>
  <si>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</si>
  <si>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</si>
  <si>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</si>
  <si>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</si>
  <si>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</si>
  <si>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</si>
  <si>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</si>
  <si>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</si>
  <si>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</si>
  <si>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</si>
  <si>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</si>
  <si>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</si>
  <si>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</si>
  <si>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</si>
  <si>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</si>
  <si>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</si>
  <si>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</si>
  <si>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</si>
  <si>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</si>
  <si>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</si>
  <si>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</si>
  <si>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</si>
  <si>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</si>
  <si>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</si>
  <si>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</si>
  <si>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</si>
  <si>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</si>
  <si>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</si>
  <si>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</si>
  <si>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</si>
  <si>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</si>
  <si>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</si>
  <si>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</si>
  <si>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</si>
  <si>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</si>
  <si>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</si>
  <si>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</si>
  <si>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</si>
  <si>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</si>
  <si>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</si>
  <si>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</si>
  <si>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</si>
  <si>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</si>
  <si>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</si>
  <si>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</si>
  <si>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</si>
  <si>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</si>
  <si>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</si>
  <si>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</si>
  <si>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</si>
  <si>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</si>
  <si>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</si>
  <si>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</si>
  <si>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</si>
  <si>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</si>
  <si>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</si>
  <si>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</si>
  <si>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</si>
  <si>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</si>
  <si>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</si>
  <si>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</si>
  <si>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</si>
  <si>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</si>
  <si>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</si>
  <si>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</si>
  <si>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</si>
  <si>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</si>
  <si>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</si>
  <si>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</si>
  <si>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</si>
  <si>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</si>
  <si>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</si>
  <si>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</si>
  <si>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</si>
  <si>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</si>
  <si>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</si>
  <si>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</si>
  <si>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</si>
  <si>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</si>
  <si>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</si>
  <si>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</si>
  <si>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</si>
  <si>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</si>
  <si>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</si>
  <si>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</si>
  <si>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</si>
  <si>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</si>
  <si>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</si>
  <si>
    <t>11/5B</t>
  </si>
  <si>
    <t>5B</t>
  </si>
  <si>
    <t>11/10B</t>
  </si>
  <si>
    <t>1/12B</t>
  </si>
  <si>
    <t>11/12B</t>
  </si>
  <si>
    <t>5/3B</t>
  </si>
  <si>
    <t>14/4B</t>
  </si>
  <si>
    <t>16/12B</t>
  </si>
  <si>
    <t>3/17B</t>
  </si>
  <si>
    <t>4/7B</t>
  </si>
  <si>
    <t>1</t>
  </si>
  <si>
    <t>10/5B</t>
  </si>
  <si>
    <t>7/1B</t>
  </si>
  <si>
    <t>5/7B</t>
  </si>
  <si>
    <t>12/8B</t>
  </si>
  <si>
    <t>DATE ___________08/11/2026___________</t>
  </si>
  <si>
    <t>DATE ___________08/12/2026___________</t>
  </si>
  <si>
    <t>DATE ___________08/13/2026___________</t>
  </si>
  <si>
    <t>DATE ___________08/14/2026___________</t>
  </si>
  <si>
    <t>DATE ___________08/15/2026___________</t>
  </si>
  <si>
    <t>12/3B</t>
  </si>
  <si>
    <t>8/4B</t>
  </si>
  <si>
    <t>20/3B</t>
  </si>
  <si>
    <t>16/17B</t>
  </si>
  <si>
    <t>1/7B</t>
  </si>
  <si>
    <t>6/7B</t>
  </si>
  <si>
    <t>8/14B</t>
  </si>
  <si>
    <t>9/10B</t>
  </si>
  <si>
    <t>10/18B</t>
  </si>
  <si>
    <t>13B</t>
  </si>
  <si>
    <t>11/7B</t>
  </si>
  <si>
    <t>15/3B</t>
  </si>
  <si>
    <t>3/1B</t>
  </si>
  <si>
    <t>18/4B</t>
  </si>
  <si>
    <t>19/10B</t>
  </si>
  <si>
    <t>10/13B</t>
  </si>
  <si>
    <t>7/12B</t>
  </si>
  <si>
    <t>18/1B</t>
  </si>
  <si>
    <t>20/13B</t>
  </si>
  <si>
    <t>4/11B</t>
  </si>
  <si>
    <t>16/2B</t>
  </si>
  <si>
    <t>1/14B</t>
  </si>
  <si>
    <t>8/10B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</si>
</sst>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1+2+1+32+9+283</f>
        <v>328</v>
      </c>
      <c r="D44" s="97"/>
      <c r="E44" s="97"/>
    </row>
    <row r="45" spans="2:25" x14ac:dyDescent="0.25">
      <c r="B45" s="76" t="s">
        <v>69</v>
      </c>
      <c r="C45" s="97">
        <f>8</f>
        <v>8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1+1+25+1+2+168+1+6+487+2+1</f>
        <v>695</v>
      </c>
      <c r="D44" s="97"/>
      <c r="E44" s="97"/>
    </row>
    <row r="45" spans="2:25" x14ac:dyDescent="0.25">
      <c r="B45" s="76" t="s">
        <v>69</v>
      </c>
      <c r="C45" s="97">
        <f>8</f>
        <v>8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17+2+1+2+81+14+428</f>
        <v>545</v>
      </c>
      <c r="D44" s="97"/>
      <c r="E44" s="97"/>
    </row>
    <row r="45" spans="2:25" x14ac:dyDescent="0.25">
      <c r="B45" s="76" t="s">
        <v>69</v>
      </c>
      <c r="C45" s="97">
        <f>3</f>
        <v>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11+20+2+431</f>
        <v>464</v>
      </c>
      <c r="D44" s="97"/>
      <c r="E44" s="97"/>
    </row>
    <row r="45" spans="2:25" x14ac:dyDescent="0.25">
      <c r="B45" s="76" t="s">
        <v>69</v>
      </c>
      <c r="C45" s="97">
        <f>4</f>
        <v>4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17+2+4+55+4+548</f>
        <v>630</v>
      </c>
      <c r="D44" s="97"/>
      <c r="E44" s="97"/>
    </row>
    <row r="45" spans="2:25" x14ac:dyDescent="0.25">
      <c r="B45" s="76" t="s">
        <v>69</v>
      </c>
      <c r="C45" s="97">
        <f>5</f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>
        <f>8+113+15+236</f>
        <v>372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>
        <f>2+10+1+1+1+21+1+322+1</f>
        <v>360</v>
      </c>
      <c r="D44" s="97"/>
      <c r="E44" s="97"/>
    </row>
    <row r="45" spans="2:25" x14ac:dyDescent="0.25">
      <c r="B45" s="76" t="s">
        <v>69</v>
      </c>
      <c r="C45" s="97">
        <v>10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29</v>
      </c>
      <c r="I24" s="14"/>
      <c r="J24" s="14"/>
      <c r="K24" s="14">
        <v>69</v>
      </c>
      <c r="L24" s="14">
        <v>12</v>
      </c>
      <c r="M24" s="14">
        <v>428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28</v>
      </c>
      <c r="I32" s="28"/>
      <c r="J32" s="28"/>
      <c r="K32" s="28">
        <v>67</v>
      </c>
      <c r="L32" s="28">
        <v>12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457</v>
      </c>
      <c r="G36" s="42"/>
      <c r="H36" s="42"/>
      <c r="I36" s="42">
        <v>4</v>
      </c>
      <c r="J36" s="42"/>
      <c r="K36" s="42"/>
      <c r="L36" s="42">
        <v>67</v>
      </c>
      <c r="M36" s="42"/>
      <c r="N36" s="42"/>
      <c r="O36" s="42">
        <v>11</v>
      </c>
      <c r="P36" s="42">
        <v>6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457</v>
      </c>
      <c r="G42" s="42"/>
      <c r="H42" s="42"/>
      <c r="I42" s="42">
        <v>4</v>
      </c>
      <c r="J42" s="42"/>
      <c r="K42" s="42"/>
      <c r="L42" s="42">
        <v>67</v>
      </c>
      <c r="M42" s="42"/>
      <c r="N42" s="42"/>
      <c r="O42" s="42">
        <v>11</v>
      </c>
      <c r="P42" s="42">
        <v>6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v>506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 t="s">
        <v>78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78</v>
      </c>
      <c r="E15" s="23"/>
      <c r="F15" s="23"/>
      <c r="G15" s="23"/>
      <c r="H15" s="23" t="s">
        <v>96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95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</v>
      </c>
      <c r="I24" s="14"/>
      <c r="J24" s="14"/>
      <c r="K24" s="14">
        <v>20</v>
      </c>
      <c r="L24" s="14">
        <v>12</v>
      </c>
      <c r="M24" s="14">
        <v>455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88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0</v>
      </c>
      <c r="I32" s="28"/>
      <c r="J32" s="28"/>
      <c r="K32" s="28">
        <v>20</v>
      </c>
      <c r="L32" s="28">
        <v>12</v>
      </c>
      <c r="M32" s="28">
        <v>367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378</v>
      </c>
      <c r="G36" s="42">
        <v>6</v>
      </c>
      <c r="H36" s="42"/>
      <c r="I36" s="42"/>
      <c r="J36" s="42">
        <v>1</v>
      </c>
      <c r="K36" s="42">
        <v>9</v>
      </c>
      <c r="L36" s="42">
        <v>13</v>
      </c>
      <c r="M36" s="42">
        <v>7</v>
      </c>
      <c r="N36" s="42">
        <v>2</v>
      </c>
      <c r="O36" s="42">
        <v>2</v>
      </c>
      <c r="P36" s="42">
        <v>6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378</v>
      </c>
      <c r="G42" s="42">
        <v>6</v>
      </c>
      <c r="H42" s="42"/>
      <c r="I42" s="42"/>
      <c r="J42" s="42">
        <v>1</v>
      </c>
      <c r="K42" s="42">
        <v>9</v>
      </c>
      <c r="L42" s="42">
        <v>13</v>
      </c>
      <c r="M42" s="42">
        <v>7</v>
      </c>
      <c r="N42" s="42">
        <v>2</v>
      </c>
      <c r="O42" s="42">
        <v>2</v>
      </c>
      <c r="P42" s="42">
        <v>6</v>
      </c>
      <c r="Q42" s="43">
        <v>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1+11+1+3+20+12+367</f>
        <v>415</v>
      </c>
      <c r="D44" s="97"/>
      <c r="E44" s="97"/>
    </row>
    <row r="45" spans="2:25" x14ac:dyDescent="0.25">
      <c r="B45" s="76" t="s">
        <v>69</v>
      </c>
      <c r="C45" s="97"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104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15</v>
      </c>
      <c r="M24" s="14">
        <v>602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/>
      <c r="J31" s="23"/>
      <c r="K31" s="23">
        <v>2</v>
      </c>
      <c r="L31" s="23">
        <v>0</v>
      </c>
      <c r="M31" s="23">
        <v>120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37</v>
      </c>
      <c r="I32" s="28"/>
      <c r="J32" s="28"/>
      <c r="K32" s="28">
        <v>0</v>
      </c>
      <c r="L32" s="28">
        <v>15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528</v>
      </c>
      <c r="G36" s="42"/>
      <c r="H36" s="42">
        <v>4</v>
      </c>
      <c r="I36" s="42">
        <v>7</v>
      </c>
      <c r="J36" s="42">
        <v>2</v>
      </c>
      <c r="K36" s="42">
        <v>15</v>
      </c>
      <c r="L36" s="42"/>
      <c r="M36" s="42"/>
      <c r="N36" s="42"/>
      <c r="O36" s="42">
        <v>3</v>
      </c>
      <c r="P36" s="42"/>
      <c r="Q36" s="43">
        <v>15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528</v>
      </c>
      <c r="G42" s="42"/>
      <c r="H42" s="42">
        <v>4</v>
      </c>
      <c r="I42" s="42">
        <v>7</v>
      </c>
      <c r="J42" s="42">
        <v>2</v>
      </c>
      <c r="K42" s="42">
        <v>15</v>
      </c>
      <c r="L42" s="42"/>
      <c r="M42" s="42"/>
      <c r="N42" s="42"/>
      <c r="O42" s="42">
        <v>3</v>
      </c>
      <c r="P42" s="42"/>
      <c r="Q42" s="43">
        <v>15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3+2+37+15+482</f>
        <v>539</v>
      </c>
      <c r="D44" s="97"/>
      <c r="E44" s="97"/>
    </row>
    <row r="45" spans="2:25" x14ac:dyDescent="0.25">
      <c r="B45" s="76" t="s">
        <v>69</v>
      </c>
      <c r="C45" s="97">
        <v>17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12</v>
      </c>
      <c r="M24" s="14">
        <v>416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12</v>
      </c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448</v>
      </c>
      <c r="G36" s="42">
        <v>7</v>
      </c>
      <c r="H36" s="42">
        <v>1</v>
      </c>
      <c r="I36" s="42">
        <v>9</v>
      </c>
      <c r="J36" s="42"/>
      <c r="K36" s="42">
        <v>7</v>
      </c>
      <c r="L36" s="42"/>
      <c r="M36" s="42"/>
      <c r="N36" s="42"/>
      <c r="O36" s="42">
        <v>2</v>
      </c>
      <c r="P36" s="42">
        <v>9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448</v>
      </c>
      <c r="G42" s="42">
        <v>7</v>
      </c>
      <c r="H42" s="42">
        <v>1</v>
      </c>
      <c r="I42" s="42">
        <v>9</v>
      </c>
      <c r="J42" s="42"/>
      <c r="K42" s="42">
        <v>7</v>
      </c>
      <c r="L42" s="42"/>
      <c r="M42" s="42"/>
      <c r="N42" s="42"/>
      <c r="O42" s="42">
        <v>2</v>
      </c>
      <c r="P42" s="42">
        <v>9</v>
      </c>
      <c r="Q42" s="43">
        <v>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10+1+24+12+373</f>
        <v>420</v>
      </c>
      <c r="D44" s="97"/>
      <c r="E44" s="97"/>
    </row>
    <row r="45" spans="2:25" x14ac:dyDescent="0.25">
      <c r="B45" s="76" t="s">
        <v>69</v>
      </c>
      <c r="C45" s="97"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6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4</v>
      </c>
      <c r="L24" s="14">
        <v>20</v>
      </c>
      <c r="M24" s="14">
        <v>475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3</v>
      </c>
      <c r="L31" s="23">
        <v>16</v>
      </c>
      <c r="M31" s="23">
        <v>88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1</v>
      </c>
      <c r="L32" s="28">
        <v>4</v>
      </c>
      <c r="M32" s="28">
        <v>387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481</v>
      </c>
      <c r="G36" s="42">
        <v>10</v>
      </c>
      <c r="H36" s="42"/>
      <c r="I36" s="42">
        <v>21</v>
      </c>
      <c r="J36" s="42">
        <v>1</v>
      </c>
      <c r="K36" s="42">
        <v>5</v>
      </c>
      <c r="L36" s="42"/>
      <c r="M36" s="42"/>
      <c r="N36" s="42"/>
      <c r="O36" s="42">
        <v>14</v>
      </c>
      <c r="P36" s="42"/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481</v>
      </c>
      <c r="G42" s="42">
        <v>10</v>
      </c>
      <c r="H42" s="42"/>
      <c r="I42" s="42">
        <v>21</v>
      </c>
      <c r="J42" s="42">
        <v>1</v>
      </c>
      <c r="K42" s="42">
        <v>5</v>
      </c>
      <c r="L42" s="42"/>
      <c r="M42" s="42"/>
      <c r="N42" s="42"/>
      <c r="O42" s="42">
        <v>14</v>
      </c>
      <c r="P42" s="42"/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1+1+14+108+1+4+387</f>
        <v>516</v>
      </c>
      <c r="D44" s="97"/>
      <c r="E44" s="97"/>
    </row>
    <row r="45" spans="2:25" x14ac:dyDescent="0.25">
      <c r="B45" s="76" t="s">
        <v>69</v>
      </c>
      <c r="C45" s="97">
        <v>4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15</v>
      </c>
      <c r="I24" s="14"/>
      <c r="J24" s="14"/>
      <c r="K24" s="14">
        <v>2</v>
      </c>
      <c r="L24" s="14">
        <v>9</v>
      </c>
      <c r="M24" s="14">
        <v>366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0</v>
      </c>
      <c r="M31" s="23">
        <v>93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9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>
        <v>1</v>
      </c>
      <c r="H36" s="42">
        <v>4</v>
      </c>
      <c r="I36" s="42"/>
      <c r="J36" s="42">
        <v>1</v>
      </c>
      <c r="K36" s="42">
        <v>3</v>
      </c>
      <c r="L36" s="42">
        <v>1</v>
      </c>
      <c r="M36" s="42"/>
      <c r="N36" s="42"/>
      <c r="O36" s="42">
        <v>1</v>
      </c>
      <c r="P36" s="42">
        <v>13</v>
      </c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>
        <v>1</v>
      </c>
      <c r="H42" s="42">
        <v>4</v>
      </c>
      <c r="I42" s="42"/>
      <c r="J42" s="42">
        <v>1</v>
      </c>
      <c r="K42" s="42">
        <v>3</v>
      </c>
      <c r="L42" s="42">
        <v>1</v>
      </c>
      <c r="M42" s="42"/>
      <c r="N42" s="42"/>
      <c r="O42" s="42">
        <v>1</v>
      </c>
      <c r="P42" s="42">
        <v>13</v>
      </c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11+12+9+273</f>
        <v>305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109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3</v>
      </c>
      <c r="L24" s="14">
        <v>16</v>
      </c>
      <c r="M24" s="14">
        <v>409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3</v>
      </c>
      <c r="L31" s="23">
        <v>10</v>
      </c>
      <c r="M31" s="23">
        <v>129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6</v>
      </c>
      <c r="M32" s="28">
        <v>280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224</v>
      </c>
      <c r="G36" s="42">
        <v>7</v>
      </c>
      <c r="H36" s="42"/>
      <c r="I36" s="42">
        <v>4</v>
      </c>
      <c r="J36" s="42">
        <v>2</v>
      </c>
      <c r="K36" s="42">
        <v>1</v>
      </c>
      <c r="L36" s="42">
        <v>1</v>
      </c>
      <c r="M36" s="42">
        <v>1</v>
      </c>
      <c r="N36" s="42">
        <v>1</v>
      </c>
      <c r="O36" s="42">
        <v>2</v>
      </c>
      <c r="P36" s="42">
        <v>4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224</v>
      </c>
      <c r="G42" s="42">
        <v>7</v>
      </c>
      <c r="H42" s="42"/>
      <c r="I42" s="42">
        <v>4</v>
      </c>
      <c r="J42" s="42">
        <v>2</v>
      </c>
      <c r="K42" s="42">
        <v>1</v>
      </c>
      <c r="L42" s="42">
        <v>1</v>
      </c>
      <c r="M42" s="42">
        <v>1</v>
      </c>
      <c r="N42" s="42">
        <v>1</v>
      </c>
      <c r="O42" s="42">
        <v>2</v>
      </c>
      <c r="P42" s="42">
        <v>4</v>
      </c>
      <c r="Q42" s="43">
        <v>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7+2+2+108+6+280</f>
        <v>405</v>
      </c>
      <c r="D44" s="97"/>
      <c r="E44" s="97"/>
    </row>
    <row r="45" spans="2:25" x14ac:dyDescent="0.25">
      <c r="B45" s="76" t="s">
        <v>69</v>
      </c>
      <c r="C45" s="97">
        <v>1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78">
        <v>46222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</v>
      </c>
      <c r="I24" s="14"/>
      <c r="J24" s="14"/>
      <c r="K24" s="14">
        <v>2</v>
      </c>
      <c r="L24" s="14">
        <v>5</v>
      </c>
      <c r="M24" s="14">
        <v>552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3</v>
      </c>
      <c r="M31" s="23">
        <v>229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0</v>
      </c>
      <c r="L32" s="28">
        <v>2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418</v>
      </c>
      <c r="G36" s="42">
        <v>9</v>
      </c>
      <c r="H36" s="42">
        <v>5</v>
      </c>
      <c r="I36" s="42">
        <v>6</v>
      </c>
      <c r="J36" s="42">
        <v>1</v>
      </c>
      <c r="K36" s="42">
        <v>48</v>
      </c>
      <c r="L36" s="42">
        <v>2</v>
      </c>
      <c r="M36" s="42">
        <v>2</v>
      </c>
      <c r="N36" s="42">
        <v>13</v>
      </c>
      <c r="O36" s="42">
        <v>9</v>
      </c>
      <c r="P36" s="42">
        <v>9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418</v>
      </c>
      <c r="G42" s="42">
        <v>9</v>
      </c>
      <c r="H42" s="42">
        <v>5</v>
      </c>
      <c r="I42" s="42">
        <v>6</v>
      </c>
      <c r="J42" s="42">
        <v>1</v>
      </c>
      <c r="K42" s="42">
        <v>48</v>
      </c>
      <c r="L42" s="42">
        <v>2</v>
      </c>
      <c r="M42" s="42">
        <v>2</v>
      </c>
      <c r="N42" s="42">
        <v>13</v>
      </c>
      <c r="O42" s="42">
        <v>9</v>
      </c>
      <c r="P42" s="42">
        <v>9</v>
      </c>
      <c r="Q42" s="43">
        <v>11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6+1+8+2+323</f>
        <v>340</v>
      </c>
      <c r="D44" s="97"/>
      <c r="E44" s="97"/>
    </row>
    <row r="45" spans="2:25" x14ac:dyDescent="0.25">
      <c r="B45" s="76" t="s">
        <v>69</v>
      </c>
      <c r="C45" s="97">
        <v>7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126</v>
      </c>
      <c r="I24" s="14"/>
      <c r="J24" s="14"/>
      <c r="K24" s="14">
        <v>2</v>
      </c>
      <c r="L24" s="14">
        <v>5</v>
      </c>
      <c r="M24" s="14">
        <v>428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3</v>
      </c>
      <c r="M31" s="23">
        <v>67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125</v>
      </c>
      <c r="I32" s="28"/>
      <c r="J32" s="28"/>
      <c r="K32" s="28">
        <v>0</v>
      </c>
      <c r="L32" s="28">
        <v>2</v>
      </c>
      <c r="M32" s="28">
        <v>361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493</v>
      </c>
      <c r="G36" s="42">
        <v>2</v>
      </c>
      <c r="H36" s="42">
        <v>9</v>
      </c>
      <c r="I36" s="42"/>
      <c r="J36" s="42"/>
      <c r="K36" s="42">
        <v>2</v>
      </c>
      <c r="L36" s="42">
        <v>1</v>
      </c>
      <c r="M36" s="42"/>
      <c r="N36" s="42"/>
      <c r="O36" s="42">
        <v>5</v>
      </c>
      <c r="P36" s="42">
        <v>10</v>
      </c>
      <c r="Q36" s="43">
        <v>13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493</v>
      </c>
      <c r="G42" s="42">
        <v>2</v>
      </c>
      <c r="H42" s="42">
        <v>9</v>
      </c>
      <c r="I42" s="42"/>
      <c r="J42" s="42"/>
      <c r="K42" s="42">
        <v>2</v>
      </c>
      <c r="L42" s="42">
        <v>1</v>
      </c>
      <c r="M42" s="42"/>
      <c r="N42" s="42"/>
      <c r="O42" s="42">
        <v>5</v>
      </c>
      <c r="P42" s="42">
        <v>10</v>
      </c>
      <c r="Q42" s="43">
        <v>13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1+16+6+1+125+2+361</f>
        <v>512</v>
      </c>
      <c r="D44" s="97"/>
      <c r="E44" s="97"/>
    </row>
    <row r="45" spans="2:25" x14ac:dyDescent="0.25">
      <c r="B45" s="76" t="s">
        <v>69</v>
      </c>
      <c r="C45" s="97">
        <v>17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94</v>
      </c>
      <c r="I24" s="14"/>
      <c r="J24" s="14"/>
      <c r="K24" s="14">
        <v>3</v>
      </c>
      <c r="L24" s="14">
        <v>26</v>
      </c>
      <c r="M24" s="14">
        <v>561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3</v>
      </c>
      <c r="L31" s="23">
        <v>0</v>
      </c>
      <c r="M31" s="23">
        <v>77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26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671</v>
      </c>
      <c r="G36" s="42"/>
      <c r="H36" s="42"/>
      <c r="I36" s="42">
        <v>12</v>
      </c>
      <c r="J36" s="42"/>
      <c r="K36" s="42"/>
      <c r="L36" s="42"/>
      <c r="M36" s="42"/>
      <c r="N36" s="42"/>
      <c r="O36" s="42">
        <v>12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671</v>
      </c>
      <c r="G42" s="42"/>
      <c r="H42" s="42"/>
      <c r="I42" s="42">
        <v>12</v>
      </c>
      <c r="J42" s="42"/>
      <c r="K42" s="42"/>
      <c r="L42" s="42"/>
      <c r="M42" s="42"/>
      <c r="N42" s="42"/>
      <c r="O42" s="42">
        <v>12</v>
      </c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12+92+26+484</f>
        <v>614</v>
      </c>
      <c r="D44" s="97"/>
      <c r="E44" s="97"/>
    </row>
    <row r="45" spans="2:25" x14ac:dyDescent="0.25">
      <c r="B45" s="76" t="s">
        <v>69</v>
      </c>
      <c r="C45" s="97">
        <v>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2056A-202A-4536-B9EB-D3207D7AF79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BB27-D473-4C21-8613-8A367F247D66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>
        <v>1</v>
      </c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>
        <v>0</v>
      </c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>
        <v>1</v>
      </c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4</v>
      </c>
      <c r="G24" s="14"/>
      <c r="H24" s="14">
        <v>30</v>
      </c>
      <c r="I24" s="14"/>
      <c r="J24" s="14"/>
      <c r="K24" s="14">
        <v>2</v>
      </c>
      <c r="L24" s="14">
        <v>3</v>
      </c>
      <c r="M24" s="14">
        <v>536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134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4</v>
      </c>
      <c r="G32" s="28"/>
      <c r="H32" s="28">
        <v>30</v>
      </c>
      <c r="I32" s="28"/>
      <c r="J32" s="28"/>
      <c r="K32" s="28">
        <v>2</v>
      </c>
      <c r="L32" s="28">
        <v>3</v>
      </c>
      <c r="M32" s="28">
        <v>402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419</v>
      </c>
      <c r="G36" s="42">
        <v>16</v>
      </c>
      <c r="H36" s="42">
        <v>5</v>
      </c>
      <c r="I36" s="42">
        <v>2</v>
      </c>
      <c r="J36" s="42"/>
      <c r="K36" s="42">
        <v>25</v>
      </c>
      <c r="L36" s="42">
        <v>4</v>
      </c>
      <c r="M36" s="42"/>
      <c r="N36" s="42"/>
      <c r="O36" s="42">
        <v>8</v>
      </c>
      <c r="P36" s="42"/>
      <c r="Q36" s="43">
        <v>6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419</v>
      </c>
      <c r="G42" s="42">
        <v>16</v>
      </c>
      <c r="H42" s="42">
        <v>5</v>
      </c>
      <c r="I42" s="42">
        <v>2</v>
      </c>
      <c r="J42" s="42"/>
      <c r="K42" s="42">
        <v>25</v>
      </c>
      <c r="L42" s="42">
        <v>4</v>
      </c>
      <c r="M42" s="42"/>
      <c r="N42" s="42"/>
      <c r="O42" s="42">
        <v>8</v>
      </c>
      <c r="P42" s="42"/>
      <c r="Q42" s="43">
        <v>6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8+1+1+4+30+2+3+402+6</f>
        <v>457</v>
      </c>
      <c r="D44" s="97"/>
      <c r="E44" s="97"/>
    </row>
    <row r="45" spans="2:25" x14ac:dyDescent="0.25">
      <c r="B45" s="76" t="s">
        <v>69</v>
      </c>
      <c r="C45" s="97">
        <v>14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0F1C-026A-424B-BE68-B2F59755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28</v>
      </c>
      <c r="I24" s="14"/>
      <c r="J24" s="14"/>
      <c r="K24" s="14">
        <v>2</v>
      </c>
      <c r="L24" s="14">
        <v>3</v>
      </c>
      <c r="M24" s="14">
        <v>499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0</v>
      </c>
      <c r="M31" s="23">
        <v>155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3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426</v>
      </c>
      <c r="G36" s="42">
        <v>7</v>
      </c>
      <c r="H36" s="42">
        <v>1</v>
      </c>
      <c r="I36" s="42">
        <v>3</v>
      </c>
      <c r="J36" s="42"/>
      <c r="K36" s="42">
        <v>3</v>
      </c>
      <c r="L36" s="42"/>
      <c r="M36" s="42"/>
      <c r="N36" s="42"/>
      <c r="O36" s="42">
        <v>3</v>
      </c>
      <c r="P36" s="42">
        <v>9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426</v>
      </c>
      <c r="G42" s="42">
        <v>7</v>
      </c>
      <c r="H42" s="42">
        <v>1</v>
      </c>
      <c r="I42" s="42">
        <v>3</v>
      </c>
      <c r="J42" s="42"/>
      <c r="K42" s="42">
        <v>3</v>
      </c>
      <c r="L42" s="42"/>
      <c r="M42" s="42"/>
      <c r="N42" s="42"/>
      <c r="O42" s="42">
        <v>3</v>
      </c>
      <c r="P42" s="42">
        <v>9</v>
      </c>
      <c r="Q42" s="43">
        <v>19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10+23+3+344</f>
        <v>380</v>
      </c>
      <c r="D44" s="97"/>
      <c r="E44" s="97"/>
    </row>
    <row r="45" spans="2:25" x14ac:dyDescent="0.25">
      <c r="B45" s="76" t="s">
        <v>69</v>
      </c>
      <c r="C45" s="97">
        <v>18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D8E1-2114-424F-B6CA-B77E7D196D31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3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95</v>
      </c>
      <c r="I24" s="14"/>
      <c r="J24" s="14"/>
      <c r="K24" s="14"/>
      <c r="L24" s="14"/>
      <c r="M24" s="14">
        <v>509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65</v>
      </c>
      <c r="I31" s="23"/>
      <c r="J31" s="23"/>
      <c r="K31" s="23"/>
      <c r="L31" s="23"/>
      <c r="M31" s="23">
        <v>91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/>
      <c r="L32" s="28"/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434</v>
      </c>
      <c r="G36" s="42">
        <v>11</v>
      </c>
      <c r="H36" s="42"/>
      <c r="I36" s="42">
        <v>2</v>
      </c>
      <c r="J36" s="42">
        <v>1</v>
      </c>
      <c r="K36" s="42">
        <v>7</v>
      </c>
      <c r="L36" s="42">
        <v>2</v>
      </c>
      <c r="M36" s="42">
        <v>1</v>
      </c>
      <c r="N36" s="42"/>
      <c r="O36" s="42">
        <v>14</v>
      </c>
      <c r="P36" s="42">
        <v>2</v>
      </c>
      <c r="Q36" s="43">
        <v>21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434</v>
      </c>
      <c r="G42" s="42">
        <v>11</v>
      </c>
      <c r="H42" s="42"/>
      <c r="I42" s="42">
        <v>2</v>
      </c>
      <c r="J42" s="42">
        <v>1</v>
      </c>
      <c r="K42" s="42">
        <v>7</v>
      </c>
      <c r="L42" s="42">
        <v>2</v>
      </c>
      <c r="M42" s="42">
        <v>1</v>
      </c>
      <c r="N42" s="42"/>
      <c r="O42" s="42">
        <v>14</v>
      </c>
      <c r="P42" s="42">
        <v>2</v>
      </c>
      <c r="Q42" s="43">
        <v>21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7BE0-9CEA-4764-AF67-E2A1D2F71E3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C99DD-2135-4267-B7A9-7A44A2B4D4D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35</v>
      </c>
      <c r="I24" s="14"/>
      <c r="J24" s="14"/>
      <c r="K24" s="14"/>
      <c r="L24" s="14">
        <v>10</v>
      </c>
      <c r="M24" s="14">
        <v>674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/>
      <c r="G31" s="23"/>
      <c r="H31" s="23">
        <v>3</v>
      </c>
      <c r="I31" s="23"/>
      <c r="J31" s="23"/>
      <c r="K31" s="23"/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/>
      <c r="G32" s="28"/>
      <c r="H32" s="28">
        <v>32</v>
      </c>
      <c r="I32" s="28"/>
      <c r="J32" s="28"/>
      <c r="K32" s="28"/>
      <c r="L32" s="28">
        <v>10</v>
      </c>
      <c r="M32" s="28">
        <v>632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684</v>
      </c>
      <c r="G36" s="42">
        <v>8</v>
      </c>
      <c r="H36" s="42">
        <v>6</v>
      </c>
      <c r="I36" s="42">
        <v>2</v>
      </c>
      <c r="J36" s="42"/>
      <c r="K36" s="42">
        <v>10</v>
      </c>
      <c r="L36" s="42">
        <v>1</v>
      </c>
      <c r="M36" s="42"/>
      <c r="N36" s="42"/>
      <c r="O36" s="42"/>
      <c r="P36" s="42">
        <v>9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684</v>
      </c>
      <c r="G42" s="42">
        <v>8</v>
      </c>
      <c r="H42" s="42">
        <v>6</v>
      </c>
      <c r="I42" s="42">
        <v>2</v>
      </c>
      <c r="J42" s="42"/>
      <c r="K42" s="42">
        <v>10</v>
      </c>
      <c r="L42" s="42">
        <v>1</v>
      </c>
      <c r="M42" s="42"/>
      <c r="N42" s="42"/>
      <c r="O42" s="42"/>
      <c r="P42" s="42">
        <v>9</v>
      </c>
      <c r="Q42" s="43">
        <v>13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9+32+10+632+5</f>
        <v>688</v>
      </c>
      <c r="D44" s="97"/>
      <c r="E44" s="97"/>
    </row>
    <row r="45" spans="2:25" x14ac:dyDescent="0.25">
      <c r="B45" s="76" t="s">
        <v>69</v>
      </c>
      <c r="C45" s="97">
        <f>10</f>
        <v>10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821C8-4CD9-4589-B193-7E908DA919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36</v>
      </c>
      <c r="I24" s="14"/>
      <c r="J24" s="14"/>
      <c r="K24" s="14">
        <v>2</v>
      </c>
      <c r="L24" s="14"/>
      <c r="M24" s="14">
        <v>430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2</v>
      </c>
      <c r="L31" s="23"/>
      <c r="M31" s="23">
        <v>68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/>
      <c r="M32" s="28">
        <v>362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48</v>
      </c>
      <c r="H36" s="42">
        <v>4</v>
      </c>
      <c r="I36" s="42">
        <v>10</v>
      </c>
      <c r="J36" s="42">
        <v>1</v>
      </c>
      <c r="K36" s="42"/>
      <c r="L36" s="42"/>
      <c r="M36" s="42"/>
      <c r="N36" s="42"/>
      <c r="O36" s="42"/>
      <c r="P36" s="42">
        <v>8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48</v>
      </c>
      <c r="H42" s="42">
        <v>4</v>
      </c>
      <c r="I42" s="42">
        <v>10</v>
      </c>
      <c r="J42" s="42">
        <v>1</v>
      </c>
      <c r="K42" s="42"/>
      <c r="L42" s="42"/>
      <c r="M42" s="42"/>
      <c r="N42" s="42"/>
      <c r="O42" s="42"/>
      <c r="P42" s="42">
        <v>8</v>
      </c>
      <c r="Q42" s="43">
        <v>13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10+10+362</f>
        <v>382</v>
      </c>
      <c r="D44" s="97"/>
      <c r="E44" s="97"/>
    </row>
    <row r="45" spans="2:25" x14ac:dyDescent="0.25">
      <c r="B45" s="76" t="s">
        <v>69</v>
      </c>
      <c r="C45" s="97">
        <v>13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3F586-D262-4581-93D8-CD565FD78B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131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65</v>
      </c>
      <c r="I24" s="14"/>
      <c r="J24" s="14"/>
      <c r="K24" s="14">
        <v>3</v>
      </c>
      <c r="L24" s="14"/>
      <c r="M24" s="14">
        <v>522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>
        <v>1</v>
      </c>
      <c r="L31" s="23"/>
      <c r="M31" s="23">
        <v>230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51</v>
      </c>
      <c r="I32" s="28"/>
      <c r="J32" s="28"/>
      <c r="K32" s="28">
        <v>2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3</v>
      </c>
      <c r="H36" s="42"/>
      <c r="I36" s="42">
        <v>6</v>
      </c>
      <c r="J36" s="42">
        <v>1</v>
      </c>
      <c r="K36" s="42">
        <v>10</v>
      </c>
      <c r="L36" s="42">
        <v>10</v>
      </c>
      <c r="M36" s="42"/>
      <c r="N36" s="42"/>
      <c r="O36" s="42">
        <v>4</v>
      </c>
      <c r="P36" s="42">
        <v>3</v>
      </c>
      <c r="Q36" s="43">
        <v>23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3</v>
      </c>
      <c r="H42" s="42"/>
      <c r="I42" s="42">
        <v>6</v>
      </c>
      <c r="J42" s="42">
        <v>1</v>
      </c>
      <c r="K42" s="42">
        <v>10</v>
      </c>
      <c r="L42" s="42">
        <v>10</v>
      </c>
      <c r="M42" s="42"/>
      <c r="N42" s="42"/>
      <c r="O42" s="42">
        <v>4</v>
      </c>
      <c r="P42" s="42">
        <v>3</v>
      </c>
      <c r="Q42" s="43">
        <v>23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1+7+2+3+1+1+51+2+292</f>
        <v>360</v>
      </c>
      <c r="D44" s="97"/>
      <c r="E44" s="97"/>
    </row>
    <row r="45" spans="2:25" x14ac:dyDescent="0.25">
      <c r="B45" s="76" t="s">
        <v>69</v>
      </c>
      <c r="C45" s="97">
        <f>12</f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EDE1-465C-4BAB-A41A-981CB7F1BEA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F779C-C009-48AF-8925-D6E52394BE2D}">
  <dimension ref="B1:AA45"/>
  <sheetViews>
    <sheetView showGridLines="0" topLeftCell="D1" zoomScale="160" zoomScaleNormal="160" workbookViewId="0">
      <selection activeCell="B10" sqref="B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f>7+3</f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3</v>
      </c>
      <c r="G24" s="14"/>
      <c r="H24" s="14">
        <v>20</v>
      </c>
      <c r="I24" s="14"/>
      <c r="J24" s="14"/>
      <c r="K24" s="14">
        <v>55</v>
      </c>
      <c r="L24" s="14">
        <v>8</v>
      </c>
      <c r="M24" s="14">
        <v>387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3</v>
      </c>
      <c r="G32" s="28"/>
      <c r="H32" s="28">
        <v>20</v>
      </c>
      <c r="I32" s="28"/>
      <c r="J32" s="28"/>
      <c r="K32" s="28">
        <v>55</v>
      </c>
      <c r="L32" s="28">
        <v>8</v>
      </c>
      <c r="M32" s="28">
        <v>347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1</v>
      </c>
      <c r="H36" s="42">
        <v>5</v>
      </c>
      <c r="I36" s="42">
        <v>4</v>
      </c>
      <c r="J36" s="42">
        <v>6</v>
      </c>
      <c r="K36" s="42">
        <v>8</v>
      </c>
      <c r="L36" s="42">
        <v>62</v>
      </c>
      <c r="M36" s="42">
        <v>42</v>
      </c>
      <c r="N36" s="42"/>
      <c r="O36" s="42">
        <v>3</v>
      </c>
      <c r="P36" s="42">
        <v>1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1</v>
      </c>
      <c r="H42" s="42">
        <v>5</v>
      </c>
      <c r="I42" s="42">
        <v>4</v>
      </c>
      <c r="J42" s="42">
        <v>6</v>
      </c>
      <c r="K42" s="42">
        <v>8</v>
      </c>
      <c r="L42" s="42">
        <v>62</v>
      </c>
      <c r="M42" s="42">
        <v>42</v>
      </c>
      <c r="N42" s="42"/>
      <c r="O42" s="42">
        <v>3</v>
      </c>
      <c r="P42" s="42">
        <v>1</v>
      </c>
      <c r="Q42" s="43">
        <v>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3+2+1+2+3+20+55+8+347</f>
        <v>441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017A-1328-4C3D-A796-E7D466FEF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26</v>
      </c>
      <c r="I24" s="14"/>
      <c r="J24" s="14"/>
      <c r="K24" s="14">
        <v>2</v>
      </c>
      <c r="L24" s="14">
        <v>10</v>
      </c>
      <c r="M24" s="14">
        <v>392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0</v>
      </c>
      <c r="L32" s="28">
        <v>10</v>
      </c>
      <c r="M32" s="28">
        <v>345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377</v>
      </c>
      <c r="G36" s="42">
        <v>6</v>
      </c>
      <c r="H36" s="42">
        <v>3</v>
      </c>
      <c r="I36" s="42">
        <v>5</v>
      </c>
      <c r="J36" s="42"/>
      <c r="K36" s="42">
        <v>2</v>
      </c>
      <c r="L36" s="42"/>
      <c r="M36" s="42"/>
      <c r="N36" s="42"/>
      <c r="O36" s="42">
        <v>3</v>
      </c>
      <c r="P36" s="42">
        <v>6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377</v>
      </c>
      <c r="G42" s="42">
        <v>6</v>
      </c>
      <c r="H42" s="42">
        <v>3</v>
      </c>
      <c r="I42" s="42">
        <v>5</v>
      </c>
      <c r="J42" s="42"/>
      <c r="K42" s="42">
        <v>2</v>
      </c>
      <c r="L42" s="42"/>
      <c r="M42" s="42"/>
      <c r="N42" s="42"/>
      <c r="O42" s="42">
        <v>3</v>
      </c>
      <c r="P42" s="42">
        <v>6</v>
      </c>
      <c r="Q42" s="43">
        <v>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8+1+26+10+345</f>
        <v>390</v>
      </c>
      <c r="D44" s="97"/>
      <c r="E44" s="97"/>
    </row>
    <row r="45" spans="2:25" x14ac:dyDescent="0.25">
      <c r="B45" s="76" t="s">
        <v>69</v>
      </c>
      <c r="C45" s="97">
        <v>10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AFF2F-26F1-4BF4-B8E6-3290D9475071}">
  <dimension ref="B1:AA45"/>
  <sheetViews>
    <sheetView showGridLines="0" tabSelected="1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2</v>
      </c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121</v>
      </c>
      <c r="I24" s="14">
        <v>2</v>
      </c>
      <c r="J24" s="14"/>
      <c r="K24" s="14">
        <v>1</v>
      </c>
      <c r="L24" s="14">
        <v>20</v>
      </c>
      <c r="M24" s="14">
        <v>445</v>
      </c>
      <c r="N24" s="14">
        <v>1</v>
      </c>
      <c r="O24" s="14"/>
      <c r="P24" s="14" t="s">
        <v>100</v>
      </c>
      <c r="Q24" s="14"/>
      <c r="R24" s="14">
        <v>10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13</v>
      </c>
      <c r="I31" s="23">
        <v>1</v>
      </c>
      <c r="J31" s="23"/>
      <c r="K31" s="23">
        <v>1</v>
      </c>
      <c r="L31" s="23">
        <v>8</v>
      </c>
      <c r="M31" s="23">
        <v>76</v>
      </c>
      <c r="N31" s="23">
        <v>1</v>
      </c>
      <c r="O31" s="23"/>
      <c r="P31" s="23" t="s">
        <v>100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108</v>
      </c>
      <c r="I32" s="28">
        <v>1</v>
      </c>
      <c r="J32" s="28"/>
      <c r="K32" s="28">
        <v>0</v>
      </c>
      <c r="L32" s="28">
        <v>12</v>
      </c>
      <c r="M32" s="28">
        <v>369</v>
      </c>
      <c r="N32" s="28">
        <v>0</v>
      </c>
      <c r="O32" s="23"/>
      <c r="P32" s="28">
        <v>0</v>
      </c>
      <c r="Q32" s="28"/>
      <c r="R32" s="28">
        <v>10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461</v>
      </c>
      <c r="G36" s="42">
        <v>7</v>
      </c>
      <c r="H36" s="42">
        <v>4</v>
      </c>
      <c r="I36" s="42">
        <v>20</v>
      </c>
      <c r="J36" s="42"/>
      <c r="K36" s="42">
        <v>1</v>
      </c>
      <c r="L36" s="42">
        <v>1</v>
      </c>
      <c r="M36" s="42">
        <v>1</v>
      </c>
      <c r="N36" s="42">
        <v>22</v>
      </c>
      <c r="O36" s="42">
        <v>6</v>
      </c>
      <c r="P36" s="42">
        <v>4</v>
      </c>
      <c r="Q36" s="43">
        <v>18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461</v>
      </c>
      <c r="G42" s="42">
        <v>7</v>
      </c>
      <c r="H42" s="42">
        <v>4</v>
      </c>
      <c r="I42" s="42">
        <v>20</v>
      </c>
      <c r="J42" s="42"/>
      <c r="K42" s="42">
        <v>1</v>
      </c>
      <c r="L42" s="42">
        <v>1</v>
      </c>
      <c r="M42" s="42">
        <v>1</v>
      </c>
      <c r="N42" s="42">
        <v>22</v>
      </c>
      <c r="O42" s="42">
        <v>6</v>
      </c>
      <c r="P42" s="42">
        <v>4</v>
      </c>
      <c r="Q42" s="43">
        <v>18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2+16+2+1+108+1+12+369+10</f>
        <v>521</v>
      </c>
      <c r="D44" s="97"/>
      <c r="E44" s="97"/>
    </row>
    <row r="45" spans="2:25" x14ac:dyDescent="0.25">
      <c r="B45" s="76" t="s">
        <v>69</v>
      </c>
      <c r="C45" s="97">
        <f>2</f>
        <v>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1F44E-1480-4507-A133-CEC68167FEA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92ED-CAA2-48A5-8E83-7CB1C68D3D2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9C372-264F-4AA8-BFBC-EEFC4A511F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0054-C4B6-4A7C-9546-0631659002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0DEB-5F8E-472E-BC2E-BD265725E6D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8C87-3C1F-4291-A42F-0DFDCCD5B0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D4EE1-54D0-4509-A520-96C791A27A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09CDF-CDC0-4B4F-92E0-2DAE134ABA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 NO TRIP</vt:lpstr>
      <vt:lpstr>08-06 R2</vt:lpstr>
      <vt:lpstr>08-06 R3</vt:lpstr>
      <vt:lpstr>(7)</vt:lpstr>
      <vt:lpstr>08-07 R1</vt:lpstr>
      <vt:lpstr>08-07 R2</vt:lpstr>
      <vt:lpstr>08-07 R3</vt:lpstr>
      <vt:lpstr>(8)</vt:lpstr>
      <vt:lpstr>08-08 R1 NO TRIP</vt:lpstr>
      <vt:lpstr>08-08 R2</vt:lpstr>
      <vt:lpstr>08-08 R3</vt:lpstr>
      <vt:lpstr>(10)</vt:lpstr>
      <vt:lpstr>08-10 R1</vt:lpstr>
      <vt:lpstr>08-10 R2</vt:lpstr>
      <vt:lpstr>08-10 R3</vt:lpstr>
      <vt:lpstr>(11)</vt:lpstr>
      <vt:lpstr>08-11 R1</vt:lpstr>
      <vt:lpstr>08-11 R2</vt:lpstr>
      <vt:lpstr>08-11 R3</vt:lpstr>
      <vt:lpstr>(12)</vt:lpstr>
      <vt:lpstr>08-12 R1</vt:lpstr>
      <vt:lpstr>08-12 R2</vt:lpstr>
      <vt:lpstr>08-12 R3</vt:lpstr>
      <vt:lpstr>(13)</vt:lpstr>
      <vt:lpstr>08-13 R1</vt:lpstr>
      <vt:lpstr>08-13 R2</vt:lpstr>
      <vt:lpstr>08-13 R3</vt:lpstr>
      <vt:lpstr>(14)</vt:lpstr>
      <vt:lpstr>08-14 R1</vt:lpstr>
      <vt:lpstr>08-14 R2</vt:lpstr>
      <vt:lpstr>08-14 R3</vt:lpstr>
      <vt:lpstr>(15)</vt:lpstr>
      <vt:lpstr>08-15 R1</vt:lpstr>
      <vt:lpstr>08-15 R2</vt:lpstr>
      <vt:lpstr>08-15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 NO TRIP'!Print_Area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 NO TRIP'!Print_Area</vt:lpstr>
      <vt:lpstr>'08-08 R2'!Print_Area</vt:lpstr>
      <vt:lpstr>'08-08 R3'!Print_Area</vt:lpstr>
      <vt:lpstr>'08-10 R1'!Print_Area</vt:lpstr>
      <vt:lpstr>'08-10 R2'!Print_Area</vt:lpstr>
      <vt:lpstr>'08-10 R3'!Print_Area</vt:lpstr>
      <vt:lpstr>'08-11 R1'!Print_Area</vt:lpstr>
      <vt:lpstr>'08-11 R2'!Print_Area</vt:lpstr>
      <vt:lpstr>'08-11 R3'!Print_Area</vt:lpstr>
      <vt:lpstr>'08-12 R1'!Print_Area</vt:lpstr>
      <vt:lpstr>'08-12 R2'!Print_Area</vt:lpstr>
      <vt:lpstr>'08-12 R3'!Print_Area</vt:lpstr>
      <vt:lpstr>'08-13 R1'!Print_Area</vt:lpstr>
      <vt:lpstr>'08-13 R2'!Print_Area</vt:lpstr>
      <vt:lpstr>'08-13 R3'!Print_Area</vt:lpstr>
      <vt:lpstr>'08-14 R1'!Print_Area</vt:lpstr>
      <vt:lpstr>'08-14 R2'!Print_Area</vt:lpstr>
      <vt:lpstr>'08-14 R3'!Print_Area</vt:lpstr>
      <vt:lpstr>'08-15 R1'!Print_Area</vt:lpstr>
      <vt:lpstr>'08-15 R2'!Print_Area</vt:lpstr>
      <vt:lpstr>'08-15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2026-08-14T01:43:37Z</dcterms:modified>
</cp:coreProperties>
</file>