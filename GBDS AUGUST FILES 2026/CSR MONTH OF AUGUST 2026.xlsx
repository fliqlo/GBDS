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DEA31EA9-AFD8-4535-9C4D-F80A482BBB77}" xr6:coauthVersionLast="45" xr6:coauthVersionMax="47" xr10:uidLastSave="{00000000-0000-0000-0000-000000000000}"/>
  <bookViews>
    <workbookView xWindow="-120" yWindow="-120" windowWidth="29040" windowHeight="15840" firstSheet="52" activeTab="64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  <sheet name="(19)" sheetId="1912" r:id="rId62"/>
    <sheet name="08-19 R1" sheetId="1913" r:id="rId63"/>
    <sheet name="08-19 R2" sheetId="1914" r:id="rId64"/>
    <sheet name="08-19 R3" sheetId="1915" r:id="rId65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  <definedName name="_xlnm.Print_Area" localSheetId="62">'08-19 R1'!$A$1:$Z$43</definedName>
    <definedName name="_xlnm.Print_Area" localSheetId="63">'08-19 R2'!$A$1:$V$44</definedName>
    <definedName name="_xlnm.Print_Area" localSheetId="64">'08-19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15" l="1"/>
  <c r="C44" i="1914"/>
  <c r="C44" i="1913"/>
  <c r="F21" i="1915"/>
  <c r="F21" i="1914"/>
  <c r="F21" i="1913"/>
  <c r="F21" i="1912"/>
  <c r="C44" i="1909" l="1"/>
  <c r="C44" i="1910"/>
  <c r="C44" i="1911"/>
  <c r="F21" i="1911" l="1"/>
  <c r="F21" i="1910"/>
  <c r="F21" i="1909"/>
  <c r="F21" i="1908"/>
  <c r="C44" i="1907" l="1"/>
  <c r="C44" i="1906"/>
  <c r="C44" i="1904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<sst xmlns="http://schemas.openxmlformats.org/spreadsheetml/2006/main" count="5806" uniqueCount="168">
  <si>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</si>
  <si>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</si>
  <si>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</si>
  <si>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</si>
  <si>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</si>
  <si>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</si>
  <si>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</si>
  <si>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</si>
  <si>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</si>
  <si>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</si>
  <si>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</si>
  <si>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</si>
  <si>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</si>
  <si>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</si>
  <si>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</si>
  <si>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</si>
  <si>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</si>
  <si>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</si>
  <si>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</si>
  <si>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</si>
  <si>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</si>
  <si>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</si>
  <si>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</si>
  <si>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</si>
  <si>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</si>
  <si>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</si>
  <si>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</si>
  <si>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</si>
  <si>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</si>
  <si>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</si>
  <si>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</si>
  <si>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</si>
  <si>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</si>
  <si>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</si>
  <si>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</si>
  <si>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</si>
  <si>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</si>
  <si>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</si>
  <si>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</si>
  <si>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</si>
  <si>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</si>
  <si>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</si>
  <si>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</si>
  <si>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</si>
  <si>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</si>
  <si>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</si>
  <si>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</si>
  <si>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</si>
  <si>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</si>
  <si>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</si>
  <si>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</si>
  <si>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</si>
  <si>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</si>
  <si>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</si>
  <si>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</si>
  <si>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</si>
  <si>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</si>
  <si>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</si>
  <si>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</si>
  <si>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</si>
  <si>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</si>
  <si>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</si>
  <si>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</si>
  <si>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</si>
  <si>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</si>
  <si>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</si>
  <si>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</si>
  <si>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</si>
  <si>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</si>
  <si>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</si>
  <si>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</si>
  <si>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</si>
  <si>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</si>
  <si>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</si>
  <si>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</si>
  <si>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</si>
  <si>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</si>
  <si>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</si>
  <si>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</si>
  <si>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</si>
  <si>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</si>
  <si>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</si>
  <si>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</si>
  <si>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</si>
  <si>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</si>
  <si>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</si>
  <si>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</si>
  <si>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</si>
  <si>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</si>
  <si>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</si>
  <si>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</si>
  <si>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</si>
  <si>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</si>
  <si>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</si>
  <si>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</si>
  <si>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</si>
  <si>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</si>
  <si>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</si>
  <si>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</si>
  <si>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</si>
  <si>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</si>
  <si>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</si>
  <si>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</si>
  <si>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</si>
  <si>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</si>
  <si>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</si>
  <si>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</si>
  <si>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</si>
  <si>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</si>
  <si>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</si>
  <si>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</si>
  <si>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</si>
  <si>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</si>
  <si>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</si>
  <si>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</si>
  <si>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</si>
  <si>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</si>
  <si>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</si>
  <si>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</si>
  <si>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</si>
  <si>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</si>
  <si>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</si>
  <si>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</si>
  <si>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</si>
  <si>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</si>
  <si>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</si>
  <si>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</si>
  <si>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</si>
  <si>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</si>
  <si>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</si>
  <si>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</si>
  <si>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</si>
  <si>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</si>
  <si>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</si>
  <si>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</si>
  <si>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</si>
  <si>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</si>
  <si>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</si>
  <si>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</si>
  <si>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</si>
  <si>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</si>
  <si>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</si>
  <si>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</si>
  <si>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</si>
  <si>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</si>
  <si>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</si>
  <si>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</si>
  <si>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</si>
  <si>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</si>
  <si>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</si>
  <si>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</si>
  <si>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</si>
  <si>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</si>
  <si>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</si>
  <si>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</si>
  <si>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</si>
  <si>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</si>
  <si>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</si>
  <si>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</si>
  <si>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</si>
  <si>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</si>
  <si>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</si>
  <si>
    <t>DATE ___________08/19/2026___________</t>
  </si>
  <si>
    <t>12/20B</t>
  </si>
  <si>
    <t>2/4B</t>
  </si>
  <si>
    <t>12/21B</t>
  </si>
  <si>
    <t>18B</t>
  </si>
  <si>
    <t>9/5B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</si>
</sst>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1+2+1+32+9+283</f>
        <v>328</v>
      </c>
      <c r="D44" s="102"/>
      <c r="E44" s="102"/>
    </row>
    <row r="45" spans="2:25" x14ac:dyDescent="0.25">
      <c r="B45" s="76" t="s">
        <v>69</v>
      </c>
      <c r="C45" s="102">
        <f>8</f>
        <v>8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1+1+25+1+2+168+1+6+487+2+1</f>
        <v>695</v>
      </c>
      <c r="D44" s="102"/>
      <c r="E44" s="102"/>
    </row>
    <row r="45" spans="2:25" x14ac:dyDescent="0.25">
      <c r="B45" s="76" t="s">
        <v>69</v>
      </c>
      <c r="C45" s="102">
        <f>8</f>
        <v>8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17+2+1+2+81+14+428</f>
        <v>545</v>
      </c>
      <c r="D44" s="102"/>
      <c r="E44" s="102"/>
    </row>
    <row r="45" spans="2:25" x14ac:dyDescent="0.25">
      <c r="B45" s="76" t="s">
        <v>69</v>
      </c>
      <c r="C45" s="102">
        <f>3</f>
        <v>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11+20+2+431</f>
        <v>464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17+2+4+55+4+548</f>
        <v>630</v>
      </c>
      <c r="D44" s="102"/>
      <c r="E44" s="102"/>
    </row>
    <row r="45" spans="2:25" x14ac:dyDescent="0.25">
      <c r="B45" s="76" t="s">
        <v>69</v>
      </c>
      <c r="C45" s="102">
        <f>5</f>
        <v>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2">
        <f>8+113+15+236</f>
        <v>372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2">
        <f>2+10+1+1+1+21+1+322+1</f>
        <v>360</v>
      </c>
      <c r="D44" s="102"/>
      <c r="E44" s="102"/>
    </row>
    <row r="45" spans="2:25" x14ac:dyDescent="0.25">
      <c r="B45" s="76" t="s">
        <v>69</v>
      </c>
      <c r="C45" s="102">
        <v>10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v>506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1+11+1+3+20+12+367</f>
        <v>415</v>
      </c>
      <c r="D44" s="102"/>
      <c r="E44" s="102"/>
    </row>
    <row r="45" spans="2:25" x14ac:dyDescent="0.25">
      <c r="B45" s="76" t="s">
        <v>69</v>
      </c>
      <c r="C45" s="102">
        <v>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3+2+37+15+482</f>
        <v>539</v>
      </c>
      <c r="D44" s="102"/>
      <c r="E44" s="102"/>
    </row>
    <row r="45" spans="2:25" x14ac:dyDescent="0.25">
      <c r="B45" s="76" t="s">
        <v>69</v>
      </c>
      <c r="C45" s="102">
        <v>17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10+1+24+12+373</f>
        <v>420</v>
      </c>
      <c r="D44" s="102"/>
      <c r="E44" s="102"/>
    </row>
    <row r="45" spans="2:25" x14ac:dyDescent="0.25">
      <c r="B45" s="76" t="s">
        <v>69</v>
      </c>
      <c r="C45" s="102">
        <v>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1+1+14+108+1+4+387</f>
        <v>516</v>
      </c>
      <c r="D44" s="102"/>
      <c r="E44" s="102"/>
    </row>
    <row r="45" spans="2:25" x14ac:dyDescent="0.25">
      <c r="B45" s="76" t="s">
        <v>69</v>
      </c>
      <c r="C45" s="102"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11+12+9+273</f>
        <v>305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7+2+2+108+6+280</f>
        <v>405</v>
      </c>
      <c r="D44" s="102"/>
      <c r="E44" s="102"/>
    </row>
    <row r="45" spans="2:25" x14ac:dyDescent="0.25">
      <c r="B45" s="76" t="s">
        <v>69</v>
      </c>
      <c r="C45" s="102">
        <v>1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6+1+8+2+323</f>
        <v>340</v>
      </c>
      <c r="D44" s="102"/>
      <c r="E44" s="102"/>
    </row>
    <row r="45" spans="2:25" x14ac:dyDescent="0.25">
      <c r="B45" s="76" t="s">
        <v>69</v>
      </c>
      <c r="C45" s="102">
        <v>7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1+16+6+1+125+2+361</f>
        <v>512</v>
      </c>
      <c r="D44" s="102"/>
      <c r="E44" s="102"/>
    </row>
    <row r="45" spans="2:25" x14ac:dyDescent="0.25">
      <c r="B45" s="76" t="s">
        <v>69</v>
      </c>
      <c r="C45" s="102">
        <v>17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12+92+26+484</f>
        <v>614</v>
      </c>
      <c r="D44" s="102"/>
      <c r="E44" s="102"/>
    </row>
    <row r="45" spans="2:25" x14ac:dyDescent="0.25">
      <c r="B45" s="76" t="s">
        <v>69</v>
      </c>
      <c r="C45" s="102">
        <v>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8+1+1+4+30+2+3+402+6</f>
        <v>457</v>
      </c>
      <c r="D44" s="102"/>
      <c r="E44" s="102"/>
    </row>
    <row r="45" spans="2:25" x14ac:dyDescent="0.25">
      <c r="B45" s="76" t="s">
        <v>69</v>
      </c>
      <c r="C45" s="102">
        <v>14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10+23+3+344</f>
        <v>380</v>
      </c>
      <c r="D44" s="102"/>
      <c r="E44" s="102"/>
    </row>
    <row r="45" spans="2:25" x14ac:dyDescent="0.25">
      <c r="B45" s="76" t="s">
        <v>69</v>
      </c>
      <c r="C45" s="102">
        <v>18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9+32+10+632+5</f>
        <v>688</v>
      </c>
      <c r="D44" s="102"/>
      <c r="E44" s="102"/>
    </row>
    <row r="45" spans="2:25" x14ac:dyDescent="0.25">
      <c r="B45" s="76" t="s">
        <v>69</v>
      </c>
      <c r="C45" s="102">
        <f>10</f>
        <v>10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10+10+362</f>
        <v>382</v>
      </c>
      <c r="D44" s="102"/>
      <c r="E44" s="102"/>
    </row>
    <row r="45" spans="2:25" x14ac:dyDescent="0.25">
      <c r="B45" s="76" t="s">
        <v>69</v>
      </c>
      <c r="C45" s="102">
        <v>13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1+7+2+3+1+1+51+2+292</f>
        <v>360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3+2+1+2+3+20+55+8+347</f>
        <v>441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8+1+26+10+345</f>
        <v>390</v>
      </c>
      <c r="D44" s="102"/>
      <c r="E44" s="102"/>
    </row>
    <row r="45" spans="2:25" x14ac:dyDescent="0.25">
      <c r="B45" s="76" t="s">
        <v>69</v>
      </c>
      <c r="C45" s="102">
        <v>10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2+16+2+1+108+1+12+369+10</f>
        <v>521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1+2+2+1+14+10+412+1+5</f>
        <v>448</v>
      </c>
      <c r="D44" s="102"/>
      <c r="E44" s="102"/>
    </row>
    <row r="45" spans="2:25" x14ac:dyDescent="0.25">
      <c r="B45" s="76" t="s">
        <v>69</v>
      </c>
      <c r="C45" s="102">
        <v>15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9+10+2+288</f>
        <v>309</v>
      </c>
      <c r="D44" s="102"/>
      <c r="E44" s="102"/>
    </row>
    <row r="45" spans="2:25" x14ac:dyDescent="0.25">
      <c r="B45" s="76" t="s">
        <v>69</v>
      </c>
      <c r="C45" s="102"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1+17+3+1+80+3+1+25+506+3</f>
        <v>640</v>
      </c>
      <c r="D44" s="102"/>
      <c r="E44" s="102"/>
    </row>
    <row r="45" spans="2:25" x14ac:dyDescent="0.25">
      <c r="B45" s="76" t="s">
        <v>69</v>
      </c>
      <c r="C45" s="102">
        <v>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1+1+20+5+2+1+9+36+594</f>
        <v>669</v>
      </c>
      <c r="D44" s="102"/>
      <c r="E44" s="102"/>
    </row>
    <row r="45" spans="2:25" x14ac:dyDescent="0.25">
      <c r="B45" s="76" t="s">
        <v>69</v>
      </c>
      <c r="C45" s="102">
        <v>1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29" zoomScale="160" zoomScaleNormal="160" workbookViewId="0">
      <selection activeCell="M40" sqref="M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149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5+1+2+14+1+1+5+96+1+5+3+409+1</f>
        <v>544</v>
      </c>
      <c r="D44" s="102"/>
      <c r="E44" s="102"/>
    </row>
    <row r="45" spans="2:25" x14ac:dyDescent="0.25">
      <c r="B45" s="76" t="s">
        <v>69</v>
      </c>
      <c r="C45" s="102">
        <v>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27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1+1+17+1+1+1+24+2+501</f>
        <v>549</v>
      </c>
      <c r="D44" s="102"/>
      <c r="E44" s="102"/>
    </row>
    <row r="45" spans="2:25" x14ac:dyDescent="0.25">
      <c r="B45" s="76" t="s">
        <v>69</v>
      </c>
      <c r="C45" s="102">
        <v>18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29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12+1+133+12+520</f>
        <v>678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7" zoomScale="160" zoomScaleNormal="160" workbookViewId="0">
      <selection activeCell="F39" sqref="F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10+7+673+5</f>
        <v>695</v>
      </c>
      <c r="D44" s="102"/>
      <c r="E44" s="102"/>
    </row>
    <row r="45" spans="2:25" x14ac:dyDescent="0.25">
      <c r="B45" s="76" t="s">
        <v>69</v>
      </c>
      <c r="C45" s="102"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1+1+1+7+1+23+8+259+1</f>
        <v>302</v>
      </c>
      <c r="D44" s="102"/>
      <c r="E44" s="102"/>
    </row>
    <row r="45" spans="2:25" x14ac:dyDescent="0.25">
      <c r="B45" s="76" t="s">
        <v>69</v>
      </c>
      <c r="C45" s="102">
        <v>21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1+9+1+35+1+274</f>
        <v>321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C043-D87F-489F-9425-E9F93B1FF8A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3E432-CE9B-4691-8514-3BD5F56CC48B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6</v>
      </c>
      <c r="F8" s="14">
        <v>6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163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6</v>
      </c>
      <c r="F16" s="27">
        <v>6</v>
      </c>
      <c r="G16" s="28"/>
      <c r="H16" s="28" t="s">
        <v>164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70</v>
      </c>
      <c r="I24" s="14"/>
      <c r="J24" s="14"/>
      <c r="K24" s="14">
        <v>47</v>
      </c>
      <c r="L24" s="14">
        <v>10</v>
      </c>
      <c r="M24" s="14">
        <v>407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/>
      <c r="G31" s="23"/>
      <c r="H31" s="23">
        <v>8</v>
      </c>
      <c r="I31" s="23"/>
      <c r="J31" s="23"/>
      <c r="K31" s="23">
        <v>0</v>
      </c>
      <c r="L31" s="23">
        <v>0</v>
      </c>
      <c r="M31" s="23">
        <v>39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/>
      <c r="G32" s="28"/>
      <c r="H32" s="28">
        <v>62</v>
      </c>
      <c r="I32" s="28"/>
      <c r="J32" s="28"/>
      <c r="K32" s="28">
        <v>47</v>
      </c>
      <c r="L32" s="28">
        <v>10</v>
      </c>
      <c r="M32" s="28">
        <v>368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4</v>
      </c>
      <c r="H36" s="42">
        <v>2</v>
      </c>
      <c r="I36" s="42">
        <v>2</v>
      </c>
      <c r="J36" s="42">
        <v>1</v>
      </c>
      <c r="K36" s="42">
        <v>10</v>
      </c>
      <c r="L36" s="42">
        <v>51</v>
      </c>
      <c r="M36" s="42">
        <v>2</v>
      </c>
      <c r="N36" s="42">
        <v>14</v>
      </c>
      <c r="O36" s="42"/>
      <c r="P36" s="42">
        <v>1</v>
      </c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4</v>
      </c>
      <c r="H42" s="42">
        <v>2</v>
      </c>
      <c r="I42" s="42">
        <v>2</v>
      </c>
      <c r="J42" s="42">
        <v>1</v>
      </c>
      <c r="K42" s="42">
        <v>10</v>
      </c>
      <c r="L42" s="42">
        <v>51</v>
      </c>
      <c r="M42" s="42">
        <v>2</v>
      </c>
      <c r="N42" s="42">
        <v>14</v>
      </c>
      <c r="O42" s="42"/>
      <c r="P42" s="42">
        <v>1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>
        <f>6+6+2+3+1+2+1+62+47+10+368</f>
        <v>508</v>
      </c>
      <c r="D44" s="102"/>
      <c r="E44" s="102"/>
    </row>
    <row r="45" spans="2:25" x14ac:dyDescent="0.25">
      <c r="B45" s="76" t="s">
        <v>69</v>
      </c>
      <c r="C45" s="102"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EE99-D651-4B5B-B4ED-643DA4BAFFC0}">
  <dimension ref="B1:AA45"/>
  <sheetViews>
    <sheetView showGridLines="0" topLeftCell="A28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165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166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15</v>
      </c>
      <c r="I24" s="14"/>
      <c r="J24" s="14"/>
      <c r="K24" s="14">
        <v>2</v>
      </c>
      <c r="L24" s="14">
        <v>8</v>
      </c>
      <c r="M24" s="14">
        <v>449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15</v>
      </c>
      <c r="I31" s="23"/>
      <c r="J31" s="23"/>
      <c r="K31" s="23">
        <v>2</v>
      </c>
      <c r="L31" s="23">
        <v>8</v>
      </c>
      <c r="M31" s="23">
        <v>119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4</v>
      </c>
      <c r="I36" s="42"/>
      <c r="J36" s="42"/>
      <c r="K36" s="42"/>
      <c r="L36" s="42"/>
      <c r="M36" s="42"/>
      <c r="N36" s="42"/>
      <c r="O36" s="42">
        <v>5</v>
      </c>
      <c r="P36" s="42">
        <v>4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4</v>
      </c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>
        <f>12+330</f>
        <v>342</v>
      </c>
      <c r="D44" s="102"/>
      <c r="E44" s="102"/>
    </row>
    <row r="45" spans="2:25" x14ac:dyDescent="0.25">
      <c r="B45" s="76" t="s">
        <v>69</v>
      </c>
      <c r="C45" s="102">
        <v>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B2AC-1CC0-4E80-B862-2EDAAE835A0F}">
  <dimension ref="B1:AA45"/>
  <sheetViews>
    <sheetView showGridLines="0" tabSelected="1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66</v>
      </c>
      <c r="I24" s="14"/>
      <c r="J24" s="14"/>
      <c r="K24" s="14">
        <v>2</v>
      </c>
      <c r="L24" s="14">
        <v>19</v>
      </c>
      <c r="M24" s="14">
        <v>448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4</v>
      </c>
      <c r="M31" s="23">
        <v>131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64</v>
      </c>
      <c r="I32" s="28"/>
      <c r="J32" s="28"/>
      <c r="K32" s="28">
        <v>4</v>
      </c>
      <c r="L32" s="28">
        <v>15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7</v>
      </c>
      <c r="F36" s="42">
        <v>361</v>
      </c>
      <c r="G36" s="42">
        <v>2</v>
      </c>
      <c r="H36" s="42">
        <v>3</v>
      </c>
      <c r="I36" s="42">
        <v>13</v>
      </c>
      <c r="J36" s="42">
        <v>4</v>
      </c>
      <c r="K36" s="42"/>
      <c r="L36" s="42">
        <v>1</v>
      </c>
      <c r="M36" s="42"/>
      <c r="N36" s="42"/>
      <c r="O36" s="42">
        <v>7</v>
      </c>
      <c r="P36" s="42">
        <v>3</v>
      </c>
      <c r="Q36" s="43">
        <v>4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7</v>
      </c>
      <c r="F42" s="42">
        <v>361</v>
      </c>
      <c r="G42" s="42">
        <v>2</v>
      </c>
      <c r="H42" s="42">
        <v>3</v>
      </c>
      <c r="I42" s="42">
        <v>13</v>
      </c>
      <c r="J42" s="42">
        <v>4</v>
      </c>
      <c r="K42" s="42"/>
      <c r="L42" s="42">
        <v>1</v>
      </c>
      <c r="M42" s="42"/>
      <c r="N42" s="42"/>
      <c r="O42" s="42">
        <v>7</v>
      </c>
      <c r="P42" s="42">
        <v>3</v>
      </c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>
        <f>1+9+1+64+15+317</f>
        <v>407</v>
      </c>
      <c r="D44" s="102"/>
      <c r="E44" s="102"/>
    </row>
    <row r="45" spans="2:25" x14ac:dyDescent="0.25">
      <c r="B45" s="76" t="s">
        <v>69</v>
      </c>
      <c r="C45" s="102">
        <v>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(19)</vt:lpstr>
      <vt:lpstr>08-19 R1</vt:lpstr>
      <vt:lpstr>08-19 R2</vt:lpstr>
      <vt:lpstr>08-19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  <vt:lpstr>'08-19 R1'!Print_Area</vt:lpstr>
      <vt:lpstr>'08-19 R2'!Print_Area</vt:lpstr>
      <vt:lpstr>'08-19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2026-08-19T05:26:28Z</cp:lastPrinted>
  <dcterms:created xsi:type="dcterms:W3CDTF">2024-09-01T22:48:10Z</dcterms:created>
  <dcterms:modified xsi:type="dcterms:W3CDTF">2026-08-20T02:34:45Z</dcterms:modified>
</cp:coreProperties>
</file>