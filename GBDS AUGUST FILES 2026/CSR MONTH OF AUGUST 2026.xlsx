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EED56F9-E4C6-44A0-9B10-D80BEE5FA692}" xr6:coauthVersionLast="45" xr6:coauthVersionMax="47" xr10:uidLastSave="{00000000-0000-0000-0000-000000000000}"/>
  <bookViews>
    <workbookView xWindow="-120" yWindow="-120" windowWidth="29040" windowHeight="15840" firstSheet="75" activeTab="87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  <sheet name="08-24 R1" sheetId="1925" r:id="rId74"/>
    <sheet name="08-24 R2" sheetId="1926" r:id="rId75"/>
    <sheet name="08-24 R3" sheetId="1927" r:id="rId76"/>
    <sheet name="(25)" sheetId="1924" r:id="rId77"/>
    <sheet name="08-25 R1" sheetId="1928" r:id="rId78"/>
    <sheet name="08-25 R2" sheetId="1929" r:id="rId79"/>
    <sheet name="08-25 R3" sheetId="1930" r:id="rId80"/>
    <sheet name="(26)" sheetId="1931" r:id="rId81"/>
    <sheet name="08-26 R1" sheetId="1932" r:id="rId82"/>
    <sheet name="08-26 R2" sheetId="1933" r:id="rId83"/>
    <sheet name="08-26 R3" sheetId="1934" r:id="rId84"/>
    <sheet name="(27)" sheetId="1935" r:id="rId85"/>
    <sheet name="08-27 R1 " sheetId="1936" r:id="rId86"/>
    <sheet name="08-27 R2 " sheetId="1937" r:id="rId87"/>
    <sheet name="08-27 R3 " sheetId="1938" r:id="rId88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76">'(25)'!$A$1:$Z$44</definedName>
    <definedName name="_xlnm.Print_Area" localSheetId="80">'(26)'!$A$1:$Z$44</definedName>
    <definedName name="_xlnm.Print_Area" localSheetId="84">'(27)'!$A$1:$Z$44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  <definedName name="_xlnm.Print_Area" localSheetId="73">'08-24 R1'!$A$1:$Z$43</definedName>
    <definedName name="_xlnm.Print_Area" localSheetId="74">'08-24 R2'!$A$1:$V$44</definedName>
    <definedName name="_xlnm.Print_Area" localSheetId="75">'08-24 R3'!$A$1:$V$44</definedName>
    <definedName name="_xlnm.Print_Area" localSheetId="77">'08-25 R1'!$A$1:$Z$43</definedName>
    <definedName name="_xlnm.Print_Area" localSheetId="78">'08-25 R2'!$A$1:$V$44</definedName>
    <definedName name="_xlnm.Print_Area" localSheetId="79">'08-25 R3'!$A$1:$V$44</definedName>
    <definedName name="_xlnm.Print_Area" localSheetId="81">'08-26 R1'!$A$1:$Z$43</definedName>
    <definedName name="_xlnm.Print_Area" localSheetId="82">'08-26 R2'!$A$1:$V$44</definedName>
    <definedName name="_xlnm.Print_Area" localSheetId="83">'08-26 R3'!$A$1:$V$44</definedName>
    <definedName name="_xlnm.Print_Area" localSheetId="85">'08-27 R1 '!$A$1:$Z$43</definedName>
    <definedName name="_xlnm.Print_Area" localSheetId="86">'08-27 R2 '!$A$1:$V$44</definedName>
    <definedName name="_xlnm.Print_Area" localSheetId="87">'08-27 R3 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38" l="1"/>
  <c r="C45" i="1937"/>
  <c r="C44" i="1937"/>
  <c r="C44" i="1936"/>
  <c r="F21" i="1938"/>
  <c r="F21" i="1937"/>
  <c r="F21" i="1936"/>
  <c r="F21" i="1935"/>
  <c r="C44" i="1934" l="1"/>
  <c r="C44" i="1933"/>
  <c r="C44" i="1932"/>
  <c r="F21" i="1934"/>
  <c r="F21" i="1933"/>
  <c r="F21" i="1932"/>
  <c r="F21" i="1931"/>
  <c r="C44" i="1930" l="1"/>
  <c r="C44" i="1929"/>
  <c r="F21" i="1930"/>
  <c r="F21" i="1929"/>
  <c r="F21" i="1928"/>
  <c r="C44" i="1927" l="1"/>
  <c r="C44" i="1926"/>
  <c r="C44" i="1925"/>
  <c r="F21" i="1927" l="1"/>
  <c r="F21" i="1926"/>
  <c r="F21" i="1925"/>
  <c r="F21" i="1924"/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<sst xmlns="http://schemas.openxmlformats.org/spreadsheetml/2006/main" count="7913" uniqueCount="211">
  <si>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</si>
  <si>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</si>
  <si>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</si>
  <si>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</si>
  <si>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</si>
  <si>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</si>
  <si>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</si>
  <si>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</si>
  <si>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</si>
  <si>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</si>
  <si>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</si>
  <si>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</si>
  <si>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</si>
  <si>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</si>
  <si>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</si>
  <si>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</si>
  <si>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</si>
  <si>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</si>
  <si>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</si>
  <si>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</si>
  <si>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</si>
  <si>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</si>
  <si>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</si>
  <si>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</si>
  <si>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</si>
  <si>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</si>
  <si>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</si>
  <si>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</si>
  <si>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</si>
  <si>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</si>
  <si>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</si>
  <si>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</si>
  <si>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</si>
  <si>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</si>
  <si>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</si>
  <si>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</si>
  <si>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</si>
  <si>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</si>
  <si>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</si>
  <si>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</si>
  <si>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</si>
  <si>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</si>
  <si>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</si>
  <si>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</si>
  <si>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</si>
  <si>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</si>
  <si>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</si>
  <si>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</si>
  <si>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</si>
  <si>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</si>
  <si>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</si>
  <si>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</si>
  <si>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</si>
  <si>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</si>
  <si>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</si>
  <si>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</si>
  <si>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</si>
  <si>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</si>
  <si>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</si>
  <si>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</si>
  <si>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</si>
  <si>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</si>
  <si>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</si>
  <si>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</si>
  <si>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</si>
  <si>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</si>
  <si>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</si>
  <si>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</si>
  <si>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</si>
  <si>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</si>
  <si>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</si>
  <si>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</si>
  <si>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</si>
  <si>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</si>
  <si>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</si>
  <si>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</si>
  <si>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</si>
  <si>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</si>
  <si>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</si>
  <si>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</si>
  <si>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</si>
  <si>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</si>
  <si>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</si>
  <si>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</si>
  <si>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</si>
  <si>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</si>
  <si>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</si>
  <si>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</si>
  <si>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</si>
  <si>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</si>
  <si>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</si>
  <si>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</si>
  <si>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</si>
  <si>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</si>
  <si>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</si>
  <si>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</si>
  <si>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</si>
  <si>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</si>
  <si>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</si>
  <si>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</si>
  <si>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</si>
  <si>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</si>
  <si>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</si>
  <si>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</si>
  <si>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</si>
  <si>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</si>
  <si>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</si>
  <si>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</si>
  <si>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</si>
  <si>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</si>
  <si>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</si>
  <si>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</si>
  <si>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</si>
  <si>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</si>
  <si>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</si>
  <si>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</si>
  <si>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</si>
  <si>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</si>
  <si>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</si>
  <si>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</si>
  <si>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</si>
  <si>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</si>
  <si>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</si>
  <si>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</si>
  <si>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</si>
  <si>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</si>
  <si>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</si>
  <si>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</si>
  <si>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</si>
  <si>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</si>
  <si>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</si>
  <si>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</si>
  <si>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</si>
  <si>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</si>
  <si>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</si>
  <si>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</si>
  <si>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</si>
  <si>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</si>
  <si>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</si>
  <si>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</si>
  <si>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</si>
  <si>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</si>
  <si>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</si>
  <si>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</si>
  <si>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</si>
  <si>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</si>
  <si>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</si>
  <si>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</si>
  <si>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</si>
  <si>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</si>
  <si>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</si>
  <si>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</si>
  <si>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</si>
  <si>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</si>
  <si>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</si>
  <si>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</si>
  <si>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</si>
  <si>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</si>
  <si>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</si>
  <si>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</si>
  <si>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</si>
  <si>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</si>
  <si>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</si>
  <si>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</si>
  <si>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</si>
  <si>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</si>
  <si>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</si>
  <si>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</si>
  <si>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</si>
  <si>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</si>
  <si>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</si>
  <si>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</si>
  <si>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</si>
  <si>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</si>
  <si>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</si>
  <si>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</si>
  <si>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</si>
  <si>
    <t>DATE ___________08/24/2026___________</t>
  </si>
  <si>
    <t>10B</t>
  </si>
  <si>
    <t>33B</t>
  </si>
  <si>
    <t>21/2B</t>
  </si>
  <si>
    <t>10/7B</t>
  </si>
  <si>
    <t>10/19B</t>
  </si>
  <si>
    <t>15/11B</t>
  </si>
  <si>
    <t>6/12B</t>
  </si>
  <si>
    <t>DATE ___________08/25/2026___________</t>
  </si>
  <si>
    <t>26/17B</t>
  </si>
  <si>
    <t>25/10B</t>
  </si>
  <si>
    <t>25/6B</t>
  </si>
  <si>
    <t>14/7B</t>
  </si>
  <si>
    <t>39/13B</t>
  </si>
  <si>
    <t>31/10B</t>
  </si>
  <si>
    <t>DATE ___________08/26/2026___________</t>
  </si>
  <si>
    <t>11/8B</t>
  </si>
  <si>
    <t>5/2B</t>
  </si>
  <si>
    <t>6/10B</t>
  </si>
  <si>
    <t>6/13B</t>
  </si>
  <si>
    <t>4/18B</t>
  </si>
  <si>
    <t>7/3B</t>
  </si>
  <si>
    <t>25/7B</t>
  </si>
  <si>
    <t>DATE ___________08/27/2026___________</t>
  </si>
  <si>
    <t>20/2B</t>
  </si>
  <si>
    <t>13/11B</t>
  </si>
  <si>
    <t>6/15B</t>
  </si>
  <si>
    <t xml:space="preserve"> </t>
  </si>
  <si>
    <t>12/18B</t>
  </si>
  <si>
    <t>10/6B</t>
  </si>
  <si>
    <t>14/3B</t>
  </si>
  <si>
    <t>3B</t>
  </si>
  <si>
    <t>22/3B</t>
  </si>
  <si>
    <t>16/3B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</si>
</sst>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8">
        <f>1+2+1+32+9+283</f>
        <v>328</v>
      </c>
      <c r="D44" s="108"/>
      <c r="E44" s="108"/>
    </row>
    <row r="45" spans="2:25" x14ac:dyDescent="0.25">
      <c r="B45" s="76" t="s">
        <v>69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8">
        <f>1+1+25+1+2+168+1+6+487+2+1</f>
        <v>695</v>
      </c>
      <c r="D44" s="108"/>
      <c r="E44" s="108"/>
    </row>
    <row r="45" spans="2:25" x14ac:dyDescent="0.25">
      <c r="B45" s="76" t="s">
        <v>69</v>
      </c>
      <c r="C45" s="108">
        <f>8</f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8">
        <f>17+2+1+2+81+14+428</f>
        <v>545</v>
      </c>
      <c r="D44" s="108"/>
      <c r="E44" s="108"/>
    </row>
    <row r="45" spans="2:25" x14ac:dyDescent="0.25">
      <c r="B45" s="76" t="s">
        <v>69</v>
      </c>
      <c r="C45" s="108">
        <f>3</f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8">
        <f>11+20+2+431</f>
        <v>464</v>
      </c>
      <c r="D44" s="108"/>
      <c r="E44" s="108"/>
    </row>
    <row r="45" spans="2:25" x14ac:dyDescent="0.25">
      <c r="B45" s="76" t="s">
        <v>69</v>
      </c>
      <c r="C45" s="108">
        <f>4</f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8">
        <f>17+2+4+55+4+548</f>
        <v>630</v>
      </c>
      <c r="D44" s="108"/>
      <c r="E44" s="108"/>
    </row>
    <row r="45" spans="2:25" x14ac:dyDescent="0.25">
      <c r="B45" s="76" t="s">
        <v>69</v>
      </c>
      <c r="C45" s="108">
        <f>5</f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8">
        <f>8+113+15+236</f>
        <v>372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8">
        <f>2+10+1+1+1+21+1+322+1</f>
        <v>360</v>
      </c>
      <c r="D44" s="108"/>
      <c r="E44" s="108"/>
    </row>
    <row r="45" spans="2:25" x14ac:dyDescent="0.25">
      <c r="B45" s="76" t="s">
        <v>69</v>
      </c>
      <c r="C45" s="108"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v>506</v>
      </c>
      <c r="D44" s="108"/>
      <c r="E44" s="108"/>
    </row>
    <row r="45" spans="2:25" x14ac:dyDescent="0.25">
      <c r="B45" s="76" t="s">
        <v>69</v>
      </c>
      <c r="C45" s="108"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1+11+1+3+20+12+367</f>
        <v>415</v>
      </c>
      <c r="D44" s="108"/>
      <c r="E44" s="108"/>
    </row>
    <row r="45" spans="2:25" x14ac:dyDescent="0.25">
      <c r="B45" s="76" t="s">
        <v>69</v>
      </c>
      <c r="C45" s="108"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3+2+37+15+482</f>
        <v>539</v>
      </c>
      <c r="D44" s="108"/>
      <c r="E44" s="108"/>
    </row>
    <row r="45" spans="2:25" x14ac:dyDescent="0.25">
      <c r="B45" s="76" t="s">
        <v>69</v>
      </c>
      <c r="C45" s="108">
        <v>17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10+1+24+12+373</f>
        <v>420</v>
      </c>
      <c r="D44" s="108"/>
      <c r="E44" s="108"/>
    </row>
    <row r="45" spans="2:25" x14ac:dyDescent="0.25">
      <c r="B45" s="76" t="s">
        <v>69</v>
      </c>
      <c r="C45" s="108"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1+1+14+108+1+4+387</f>
        <v>516</v>
      </c>
      <c r="D44" s="108"/>
      <c r="E44" s="108"/>
    </row>
    <row r="45" spans="2:25" x14ac:dyDescent="0.25">
      <c r="B45" s="76" t="s">
        <v>69</v>
      </c>
      <c r="C45" s="108"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11+12+9+273</f>
        <v>305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7+2+2+108+6+280</f>
        <v>405</v>
      </c>
      <c r="D44" s="108"/>
      <c r="E44" s="108"/>
    </row>
    <row r="45" spans="2:25" x14ac:dyDescent="0.25">
      <c r="B45" s="76" t="s">
        <v>69</v>
      </c>
      <c r="C45" s="108"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6+1+8+2+323</f>
        <v>340</v>
      </c>
      <c r="D44" s="108"/>
      <c r="E44" s="108"/>
    </row>
    <row r="45" spans="2:25" x14ac:dyDescent="0.25">
      <c r="B45" s="76" t="s">
        <v>69</v>
      </c>
      <c r="C45" s="108">
        <v>7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1+16+6+1+125+2+361</f>
        <v>512</v>
      </c>
      <c r="D44" s="108"/>
      <c r="E44" s="108"/>
    </row>
    <row r="45" spans="2:25" x14ac:dyDescent="0.25">
      <c r="B45" s="76" t="s">
        <v>69</v>
      </c>
      <c r="C45" s="108">
        <v>17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8">
        <f>12+92+26+484</f>
        <v>614</v>
      </c>
      <c r="D44" s="108"/>
      <c r="E44" s="108"/>
    </row>
    <row r="45" spans="2:25" x14ac:dyDescent="0.25">
      <c r="B45" s="76" t="s">
        <v>69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8+1+1+4+30+2+3+402+6</f>
        <v>457</v>
      </c>
      <c r="D44" s="108"/>
      <c r="E44" s="108"/>
    </row>
    <row r="45" spans="2:25" x14ac:dyDescent="0.25">
      <c r="B45" s="76" t="s">
        <v>69</v>
      </c>
      <c r="C45" s="108">
        <v>14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10+23+3+344</f>
        <v>380</v>
      </c>
      <c r="D44" s="108"/>
      <c r="E44" s="108"/>
    </row>
    <row r="45" spans="2:25" x14ac:dyDescent="0.25">
      <c r="B45" s="76" t="s">
        <v>69</v>
      </c>
      <c r="C45" s="108">
        <v>18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9+32+10+632+5</f>
        <v>688</v>
      </c>
      <c r="D44" s="108"/>
      <c r="E44" s="108"/>
    </row>
    <row r="45" spans="2:25" x14ac:dyDescent="0.25">
      <c r="B45" s="76" t="s">
        <v>69</v>
      </c>
      <c r="C45" s="108">
        <f>10</f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10+10+362</f>
        <v>382</v>
      </c>
      <c r="D44" s="108"/>
      <c r="E44" s="108"/>
    </row>
    <row r="45" spans="2:25" x14ac:dyDescent="0.25">
      <c r="B45" s="76" t="s">
        <v>69</v>
      </c>
      <c r="C45" s="108">
        <v>13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1+7+2+3+1+1+51+2+292</f>
        <v>360</v>
      </c>
      <c r="D44" s="108"/>
      <c r="E44" s="108"/>
    </row>
    <row r="45" spans="2:25" x14ac:dyDescent="0.25">
      <c r="B45" s="76" t="s">
        <v>69</v>
      </c>
      <c r="C45" s="108">
        <f>12</f>
        <v>12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3+2+1+2+3+20+55+8+347</f>
        <v>441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8+1+26+10+345</f>
        <v>390</v>
      </c>
      <c r="D44" s="108"/>
      <c r="E44" s="108"/>
    </row>
    <row r="45" spans="2:25" x14ac:dyDescent="0.25">
      <c r="B45" s="76" t="s">
        <v>69</v>
      </c>
      <c r="C45" s="108"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2+16+2+1+108+1+12+369+10</f>
        <v>521</v>
      </c>
      <c r="D44" s="108"/>
      <c r="E44" s="108"/>
    </row>
    <row r="45" spans="2:25" x14ac:dyDescent="0.25">
      <c r="B45" s="76" t="s">
        <v>69</v>
      </c>
      <c r="C45" s="108">
        <f>2</f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1+2+2+1+14+10+412+1+5</f>
        <v>448</v>
      </c>
      <c r="D44" s="108"/>
      <c r="E44" s="108"/>
    </row>
    <row r="45" spans="2:25" x14ac:dyDescent="0.25">
      <c r="B45" s="76" t="s">
        <v>69</v>
      </c>
      <c r="C45" s="108"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9+10+2+288</f>
        <v>309</v>
      </c>
      <c r="D44" s="108"/>
      <c r="E44" s="108"/>
    </row>
    <row r="45" spans="2:25" x14ac:dyDescent="0.25">
      <c r="B45" s="76" t="s">
        <v>69</v>
      </c>
      <c r="C45" s="108">
        <v>2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1+17+3+1+80+3+1+25+506+3</f>
        <v>640</v>
      </c>
      <c r="D44" s="108"/>
      <c r="E44" s="108"/>
    </row>
    <row r="45" spans="2:25" x14ac:dyDescent="0.25">
      <c r="B45" s="76" t="s">
        <v>69</v>
      </c>
      <c r="C45" s="108"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8">
        <f>1+1+20+5+2+1+9+36+594</f>
        <v>669</v>
      </c>
      <c r="D44" s="108"/>
      <c r="E44" s="108"/>
    </row>
    <row r="45" spans="2:25" x14ac:dyDescent="0.25">
      <c r="B45" s="76" t="s">
        <v>69</v>
      </c>
      <c r="C45" s="108">
        <v>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8">
        <f>5+1+2+14+1+1+5+96+1+5+3+409+1</f>
        <v>544</v>
      </c>
      <c r="D44" s="108"/>
      <c r="E44" s="108"/>
    </row>
    <row r="45" spans="2:25" x14ac:dyDescent="0.25">
      <c r="B45" s="76" t="s">
        <v>69</v>
      </c>
      <c r="C45" s="108"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8">
        <f>1+1+17+1+1+1+24+2+501</f>
        <v>549</v>
      </c>
      <c r="D44" s="108"/>
      <c r="E44" s="108"/>
    </row>
    <row r="45" spans="2:25" x14ac:dyDescent="0.25">
      <c r="B45" s="76" t="s">
        <v>69</v>
      </c>
      <c r="C45" s="108">
        <v>18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8">
        <f>12+1+133+12+520</f>
        <v>678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8">
        <f>10+7+673+5</f>
        <v>695</v>
      </c>
      <c r="D44" s="108"/>
      <c r="E44" s="108"/>
    </row>
    <row r="45" spans="2:25" x14ac:dyDescent="0.25">
      <c r="B45" s="76" t="s">
        <v>69</v>
      </c>
      <c r="C45" s="108"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8">
        <f>1+1+1+7+1+23+8+259+1</f>
        <v>302</v>
      </c>
      <c r="D44" s="108"/>
      <c r="E44" s="108"/>
    </row>
    <row r="45" spans="2:25" x14ac:dyDescent="0.25">
      <c r="B45" s="76" t="s">
        <v>69</v>
      </c>
      <c r="C45" s="108">
        <v>21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8">
        <f>1+9+1+35+1+274</f>
        <v>321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8">
        <f>6+6+2+3+1+2+1+62+47+10+368</f>
        <v>508</v>
      </c>
      <c r="D44" s="108"/>
      <c r="E44" s="108"/>
    </row>
    <row r="45" spans="2:25" x14ac:dyDescent="0.25">
      <c r="B45" s="76" t="s">
        <v>69</v>
      </c>
      <c r="C45" s="108">
        <v>4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8">
        <f>12+330</f>
        <v>342</v>
      </c>
      <c r="D44" s="108"/>
      <c r="E44" s="108"/>
    </row>
    <row r="45" spans="2:25" x14ac:dyDescent="0.25">
      <c r="B45" s="76" t="s">
        <v>69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8">
        <f>1+9+1+64+4+15+317</f>
        <v>411</v>
      </c>
      <c r="D44" s="108"/>
      <c r="E44" s="108"/>
    </row>
    <row r="45" spans="2:25" x14ac:dyDescent="0.25">
      <c r="B45" s="76" t="s">
        <v>69</v>
      </c>
      <c r="C45" s="108">
        <v>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8">
        <f>3+10+10+9+12+1+1+2+1+11+3+11+48+1+27+703+13</f>
        <v>866</v>
      </c>
      <c r="D44" s="108"/>
      <c r="E44" s="108"/>
    </row>
    <row r="45" spans="2:25" x14ac:dyDescent="0.25">
      <c r="B45" s="76" t="s">
        <v>69</v>
      </c>
      <c r="C45" s="108"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8">
        <f>3+2+2+21+6+71</f>
        <v>105</v>
      </c>
      <c r="D44" s="108"/>
      <c r="E44" s="108"/>
    </row>
    <row r="45" spans="2:25" x14ac:dyDescent="0.25">
      <c r="B45" s="76" t="s">
        <v>69</v>
      </c>
      <c r="C45" s="108"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8">
        <f>19+2+1+1+110+2+44+465</f>
        <v>644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8">
        <f>11+5+51+1+405</f>
        <v>473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8">
        <f>1+5+15+5+10+1+8+2+20+50+15+35+353+15</f>
        <v>535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9845-027B-4153-BE41-BDAA81E9F8BA}">
  <dimension ref="B1:AA45"/>
  <sheetViews>
    <sheetView showGridLines="0" topLeftCell="A23" zoomScale="160" zoomScaleNormal="160" workbookViewId="0">
      <selection activeCell="P36" sqref="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30</v>
      </c>
      <c r="I24" s="14"/>
      <c r="J24" s="14"/>
      <c r="K24" s="14"/>
      <c r="L24" s="14">
        <v>25</v>
      </c>
      <c r="M24" s="14">
        <v>1015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4</v>
      </c>
      <c r="M31" s="23">
        <v>109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29</v>
      </c>
      <c r="I32" s="28"/>
      <c r="J32" s="28"/>
      <c r="K32" s="28"/>
      <c r="L32" s="28">
        <v>21</v>
      </c>
      <c r="M32" s="28">
        <v>906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589</v>
      </c>
      <c r="G36" s="42">
        <v>6</v>
      </c>
      <c r="H36" s="42">
        <v>3</v>
      </c>
      <c r="I36" s="42">
        <v>8</v>
      </c>
      <c r="J36" s="42">
        <v>1</v>
      </c>
      <c r="K36" s="42">
        <v>6</v>
      </c>
      <c r="L36" s="42">
        <v>6</v>
      </c>
      <c r="M36" s="42"/>
      <c r="N36" s="42"/>
      <c r="O36" s="42">
        <v>10</v>
      </c>
      <c r="P36" s="42">
        <v>15</v>
      </c>
      <c r="Q36" s="43">
        <v>5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589</v>
      </c>
      <c r="G42" s="42">
        <v>6</v>
      </c>
      <c r="H42" s="42">
        <v>3</v>
      </c>
      <c r="I42" s="42">
        <v>8</v>
      </c>
      <c r="J42" s="42">
        <v>1</v>
      </c>
      <c r="K42" s="42">
        <v>6</v>
      </c>
      <c r="L42" s="42">
        <v>6</v>
      </c>
      <c r="M42" s="42"/>
      <c r="N42" s="42"/>
      <c r="O42" s="42">
        <v>10</v>
      </c>
      <c r="P42" s="42">
        <v>15</v>
      </c>
      <c r="Q42" s="43">
        <v>5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8">
        <f>33+29+21+906</f>
        <v>989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069-E28D-4440-8B1D-785EE8E28B5E}">
  <dimension ref="B1:AA45"/>
  <sheetViews>
    <sheetView showGridLines="0" topLeftCell="A29" zoomScale="160" zoomScaleNormal="160" workbookViewId="0">
      <selection activeCell="I48" sqref="I4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121</v>
      </c>
      <c r="I31" s="23"/>
      <c r="J31" s="23"/>
      <c r="K31" s="23">
        <v>1</v>
      </c>
      <c r="L31" s="23">
        <v>10</v>
      </c>
      <c r="M31" s="23">
        <v>282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>
        <v>0</v>
      </c>
      <c r="L32" s="28">
        <v>0</v>
      </c>
      <c r="M32" s="28">
        <v>371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381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6</v>
      </c>
      <c r="Q36" s="43">
        <v>4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381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6</v>
      </c>
      <c r="Q42" s="43">
        <v>4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8">
        <f>1+1+10+15+371</f>
        <v>398</v>
      </c>
      <c r="D44" s="108"/>
      <c r="E44" s="108"/>
    </row>
    <row r="45" spans="2:25" x14ac:dyDescent="0.25">
      <c r="B45" s="76" t="s">
        <v>69</v>
      </c>
      <c r="C45" s="108">
        <v>19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0E33-4CD9-4B4B-8059-75DD000514E3}">
  <dimension ref="B1:AA45"/>
  <sheetViews>
    <sheetView showGridLines="0" topLeftCell="A29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48</v>
      </c>
      <c r="M24" s="14">
        <v>558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33</v>
      </c>
      <c r="M31" s="23">
        <v>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107</v>
      </c>
      <c r="I32" s="28"/>
      <c r="J32" s="28"/>
      <c r="K32" s="28">
        <v>0</v>
      </c>
      <c r="L32" s="28">
        <v>15</v>
      </c>
      <c r="M32" s="28">
        <v>557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>
        <v>4</v>
      </c>
      <c r="H36" s="42"/>
      <c r="I36" s="42">
        <v>15</v>
      </c>
      <c r="J36" s="42"/>
      <c r="K36" s="42">
        <v>4</v>
      </c>
      <c r="L36" s="42">
        <v>1</v>
      </c>
      <c r="M36" s="42">
        <v>1</v>
      </c>
      <c r="N36" s="42">
        <v>9</v>
      </c>
      <c r="O36" s="42">
        <v>13</v>
      </c>
      <c r="P36" s="42">
        <v>1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>
        <v>4</v>
      </c>
      <c r="H42" s="42"/>
      <c r="I42" s="42">
        <v>15</v>
      </c>
      <c r="J42" s="42"/>
      <c r="K42" s="42">
        <v>4</v>
      </c>
      <c r="L42" s="42">
        <v>1</v>
      </c>
      <c r="M42" s="42">
        <v>1</v>
      </c>
      <c r="N42" s="42">
        <v>9</v>
      </c>
      <c r="O42" s="42">
        <v>13</v>
      </c>
      <c r="P42" s="42">
        <v>1</v>
      </c>
      <c r="Q42" s="43">
        <v>21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8">
        <f>15+1+3+107+15+557</f>
        <v>698</v>
      </c>
      <c r="D44" s="108"/>
      <c r="E44" s="108"/>
    </row>
    <row r="45" spans="2:25" x14ac:dyDescent="0.25">
      <c r="B45" s="76" t="s">
        <v>69</v>
      </c>
      <c r="C45" s="108">
        <v>11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1E5E-CF36-4128-9B7C-D9016C670D0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8177-D982-4B3F-B38D-08905D2A964F}">
  <dimension ref="B1:AA45"/>
  <sheetViews>
    <sheetView showGridLines="0" topLeftCell="A28" zoomScale="160" zoomScaleNormal="160" workbookViewId="0">
      <selection activeCell="S38" sqref="S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24</v>
      </c>
      <c r="I24" s="14"/>
      <c r="J24" s="14"/>
      <c r="K24" s="14"/>
      <c r="L24" s="14">
        <v>4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</v>
      </c>
      <c r="I31" s="23"/>
      <c r="J31" s="23"/>
      <c r="K31" s="23"/>
      <c r="L31" s="23">
        <v>4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21</v>
      </c>
      <c r="I32" s="28"/>
      <c r="J32" s="28"/>
      <c r="K32" s="28"/>
      <c r="L32" s="28">
        <v>0</v>
      </c>
      <c r="M32" s="28">
        <v>993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855</v>
      </c>
      <c r="G36" s="42">
        <v>2</v>
      </c>
      <c r="H36" s="42">
        <v>7</v>
      </c>
      <c r="I36" s="42">
        <v>50</v>
      </c>
      <c r="J36" s="42"/>
      <c r="K36" s="42"/>
      <c r="L36" s="42"/>
      <c r="M36" s="42"/>
      <c r="N36" s="42">
        <v>5</v>
      </c>
      <c r="O36" s="42">
        <v>1</v>
      </c>
      <c r="P36" s="42"/>
      <c r="Q36" s="43"/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855</v>
      </c>
      <c r="G42" s="42">
        <v>2</v>
      </c>
      <c r="H42" s="42">
        <v>7</v>
      </c>
      <c r="I42" s="42">
        <v>50</v>
      </c>
      <c r="J42" s="42"/>
      <c r="K42" s="42"/>
      <c r="L42" s="42"/>
      <c r="M42" s="42"/>
      <c r="N42" s="42">
        <v>5</v>
      </c>
      <c r="O42" s="42">
        <v>1</v>
      </c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8"/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7DD9-E330-40A5-B9BF-F222B4ED81DA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10</v>
      </c>
      <c r="M31" s="23">
        <v>106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136</v>
      </c>
      <c r="I32" s="28"/>
      <c r="J32" s="28"/>
      <c r="K32" s="28">
        <v>0</v>
      </c>
      <c r="L32" s="28">
        <v>0</v>
      </c>
      <c r="M32" s="28">
        <v>544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678</v>
      </c>
      <c r="G36" s="42">
        <v>2</v>
      </c>
      <c r="H36" s="42">
        <v>4</v>
      </c>
      <c r="I36" s="42">
        <v>4</v>
      </c>
      <c r="J36" s="42"/>
      <c r="K36" s="42">
        <v>3</v>
      </c>
      <c r="L36" s="42"/>
      <c r="M36" s="42"/>
      <c r="N36" s="42"/>
      <c r="O36" s="42">
        <v>14</v>
      </c>
      <c r="P36" s="42">
        <v>8</v>
      </c>
      <c r="Q36" s="43">
        <v>1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678</v>
      </c>
      <c r="G42" s="42">
        <v>2</v>
      </c>
      <c r="H42" s="42">
        <v>4</v>
      </c>
      <c r="I42" s="42">
        <v>4</v>
      </c>
      <c r="J42" s="42"/>
      <c r="K42" s="42">
        <v>3</v>
      </c>
      <c r="L42" s="42"/>
      <c r="M42" s="42"/>
      <c r="N42" s="42"/>
      <c r="O42" s="42">
        <v>14</v>
      </c>
      <c r="P42" s="42">
        <v>8</v>
      </c>
      <c r="Q42" s="43">
        <v>1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8">
        <f>1+1+25+136+544</f>
        <v>707</v>
      </c>
      <c r="D44" s="108"/>
      <c r="E44" s="108"/>
    </row>
    <row r="45" spans="2:25" x14ac:dyDescent="0.25">
      <c r="B45" s="76" t="s">
        <v>69</v>
      </c>
      <c r="C45" s="108">
        <v>10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4CBA-820F-4BE5-98DB-340776C1344E}">
  <dimension ref="B1:AA45"/>
  <sheetViews>
    <sheetView showGridLines="0" topLeftCell="A29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16</v>
      </c>
      <c r="U8" s="14"/>
      <c r="V8" s="14"/>
      <c r="W8" s="14">
        <v>17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188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16</v>
      </c>
      <c r="U16" s="28"/>
      <c r="V16" s="28"/>
      <c r="W16" s="56">
        <v>17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38</v>
      </c>
      <c r="I24" s="14"/>
      <c r="J24" s="14"/>
      <c r="K24" s="14">
        <v>4</v>
      </c>
      <c r="L24" s="14">
        <v>33</v>
      </c>
      <c r="M24" s="14">
        <v>752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4</v>
      </c>
      <c r="L31" s="23">
        <v>27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8</v>
      </c>
      <c r="G32" s="28"/>
      <c r="H32" s="28">
        <v>37</v>
      </c>
      <c r="I32" s="28"/>
      <c r="J32" s="28"/>
      <c r="K32" s="28">
        <v>0</v>
      </c>
      <c r="L32" s="28">
        <v>6</v>
      </c>
      <c r="M32" s="28">
        <v>755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4"/>
      <c r="W35" s="94"/>
      <c r="X35" s="94"/>
      <c r="Y35" s="94"/>
    </row>
    <row r="36" spans="2:25" ht="18" customHeight="1" thickBot="1" x14ac:dyDescent="0.3">
      <c r="B36" s="52" t="s">
        <v>52</v>
      </c>
      <c r="C36" s="46">
        <v>7</v>
      </c>
      <c r="D36" s="41"/>
      <c r="E36" s="42"/>
      <c r="F36" s="42">
        <v>781</v>
      </c>
      <c r="G36" s="42">
        <v>8</v>
      </c>
      <c r="H36" s="42">
        <v>3</v>
      </c>
      <c r="I36" s="42">
        <v>20</v>
      </c>
      <c r="J36" s="42"/>
      <c r="K36" s="42">
        <v>6</v>
      </c>
      <c r="L36" s="42">
        <v>35</v>
      </c>
      <c r="M36" s="42"/>
      <c r="N36" s="42"/>
      <c r="O36" s="42">
        <v>20</v>
      </c>
      <c r="P36" s="42">
        <v>3</v>
      </c>
      <c r="Q36" s="43">
        <v>2</v>
      </c>
      <c r="R36" s="72"/>
      <c r="S36" s="44"/>
      <c r="T36" s="44"/>
      <c r="U36" s="94"/>
      <c r="V36" s="94"/>
      <c r="W36" s="94"/>
      <c r="X36" s="94"/>
      <c r="Y36" s="9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4"/>
      <c r="V37" s="94"/>
      <c r="W37" s="94"/>
      <c r="X37" s="94"/>
      <c r="Y37" s="9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4"/>
      <c r="V38" s="94"/>
      <c r="W38" s="94"/>
      <c r="X38" s="94"/>
      <c r="Y38" s="9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4"/>
      <c r="V39" s="94"/>
      <c r="W39" s="94"/>
      <c r="X39" s="94"/>
      <c r="Y39" s="9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4"/>
      <c r="V40" s="94"/>
      <c r="W40" s="94"/>
      <c r="X40" s="94"/>
      <c r="Y40" s="9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4"/>
      <c r="W41" s="94"/>
      <c r="X41" s="94"/>
      <c r="Y41" s="94"/>
    </row>
    <row r="42" spans="2:25" s="5" customFormat="1" ht="18" customHeight="1" thickBot="1" x14ac:dyDescent="0.3">
      <c r="B42" s="45" t="s">
        <v>53</v>
      </c>
      <c r="C42" s="46">
        <v>7</v>
      </c>
      <c r="D42" s="41"/>
      <c r="E42" s="42"/>
      <c r="F42" s="42">
        <v>781</v>
      </c>
      <c r="G42" s="42">
        <v>8</v>
      </c>
      <c r="H42" s="42">
        <v>3</v>
      </c>
      <c r="I42" s="42">
        <v>20</v>
      </c>
      <c r="J42" s="42"/>
      <c r="K42" s="42">
        <v>6</v>
      </c>
      <c r="L42" s="42">
        <v>35</v>
      </c>
      <c r="M42" s="42"/>
      <c r="N42" s="42"/>
      <c r="O42" s="42">
        <v>20</v>
      </c>
      <c r="P42" s="42">
        <v>3</v>
      </c>
      <c r="Q42" s="43">
        <v>2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4"/>
      <c r="V43" s="94"/>
      <c r="W43" s="94"/>
      <c r="X43" s="94"/>
      <c r="Y43" s="94"/>
    </row>
    <row r="44" spans="2:25" x14ac:dyDescent="0.25">
      <c r="B44" s="76" t="s">
        <v>68</v>
      </c>
      <c r="C44" s="108">
        <f>2+25+16+17+1+8+37+6+755</f>
        <v>867</v>
      </c>
      <c r="D44" s="108"/>
      <c r="E44" s="108"/>
    </row>
    <row r="45" spans="2:25" x14ac:dyDescent="0.25">
      <c r="B45" s="76" t="s">
        <v>69</v>
      </c>
      <c r="C45" s="108">
        <v>6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887D9-C495-4605-B365-78A1379428A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3995B-6E00-44A2-B53B-112C460B2409}">
  <dimension ref="B1:AA45"/>
  <sheetViews>
    <sheetView showGridLines="0" topLeftCell="A29" zoomScale="160" zoomScaleNormal="160" workbookViewId="0">
      <selection activeCell="L41" sqref="L40:L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87</v>
      </c>
      <c r="I24" s="14"/>
      <c r="J24" s="14"/>
      <c r="K24" s="14"/>
      <c r="L24" s="14">
        <v>4</v>
      </c>
      <c r="M24" s="14">
        <v>565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/>
      <c r="M31" s="23">
        <v>44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44</v>
      </c>
      <c r="I32" s="28"/>
      <c r="J32" s="28"/>
      <c r="K32" s="28"/>
      <c r="L32" s="28">
        <v>4</v>
      </c>
      <c r="M32" s="28">
        <v>521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/>
      <c r="I36" s="42">
        <v>15</v>
      </c>
      <c r="J36" s="42"/>
      <c r="K36" s="42"/>
      <c r="L36" s="42"/>
      <c r="M36" s="42"/>
      <c r="N36" s="42"/>
      <c r="O36" s="42">
        <v>11</v>
      </c>
      <c r="P36" s="42"/>
      <c r="Q36" s="43"/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/>
      <c r="I42" s="42">
        <v>15</v>
      </c>
      <c r="J42" s="42"/>
      <c r="K42" s="42"/>
      <c r="L42" s="42"/>
      <c r="M42" s="42"/>
      <c r="N42" s="42"/>
      <c r="O42" s="42">
        <v>11</v>
      </c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8">
        <f>11+44+4+521</f>
        <v>580</v>
      </c>
      <c r="D44" s="108"/>
      <c r="E44" s="108"/>
    </row>
    <row r="45" spans="2:25" x14ac:dyDescent="0.25">
      <c r="B45" s="76" t="s">
        <v>69</v>
      </c>
      <c r="C45" s="108">
        <v>8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278C1-F4AF-47D8-A8EA-3570AE478679}">
  <dimension ref="B1:AA45"/>
  <sheetViews>
    <sheetView showGridLines="0" topLeftCell="A3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1</v>
      </c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32</v>
      </c>
      <c r="I24" s="14"/>
      <c r="J24" s="14"/>
      <c r="K24" s="14">
        <v>1</v>
      </c>
      <c r="L24" s="14">
        <v>10</v>
      </c>
      <c r="M24" s="14">
        <v>483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3</v>
      </c>
      <c r="M31" s="23">
        <v>210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7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270</v>
      </c>
      <c r="G36" s="42">
        <v>14</v>
      </c>
      <c r="H36" s="42">
        <v>2</v>
      </c>
      <c r="I36" s="42">
        <v>4</v>
      </c>
      <c r="J36" s="42">
        <v>2</v>
      </c>
      <c r="K36" s="42">
        <v>9</v>
      </c>
      <c r="L36" s="42"/>
      <c r="M36" s="42">
        <v>2</v>
      </c>
      <c r="N36" s="42"/>
      <c r="O36" s="42">
        <v>5</v>
      </c>
      <c r="P36" s="42">
        <v>3</v>
      </c>
      <c r="Q36" s="43">
        <v>13</v>
      </c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270</v>
      </c>
      <c r="G42" s="42">
        <v>14</v>
      </c>
      <c r="H42" s="42">
        <v>2</v>
      </c>
      <c r="I42" s="42">
        <v>4</v>
      </c>
      <c r="J42" s="42">
        <v>2</v>
      </c>
      <c r="K42" s="42">
        <v>9</v>
      </c>
      <c r="L42" s="42"/>
      <c r="M42" s="42">
        <v>2</v>
      </c>
      <c r="N42" s="42"/>
      <c r="O42" s="42">
        <v>5</v>
      </c>
      <c r="P42" s="42">
        <v>3</v>
      </c>
      <c r="Q42" s="43">
        <v>13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8">
        <f>1+6+2+19+7+273</f>
        <v>308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5DB97-E38F-4DCC-919C-DC386BE2F5C6}">
  <dimension ref="B1:AA45"/>
  <sheetViews>
    <sheetView showGridLines="0" topLeftCell="A28" zoomScale="160" zoomScaleNormal="160" workbookViewId="0">
      <selection activeCell="J47" sqref="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128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6</v>
      </c>
      <c r="G24" s="14"/>
      <c r="H24" s="14">
        <v>77</v>
      </c>
      <c r="I24" s="14"/>
      <c r="J24" s="14"/>
      <c r="K24" s="14">
        <v>4</v>
      </c>
      <c r="L24" s="14">
        <v>27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16</v>
      </c>
      <c r="M31" s="23">
        <v>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53</v>
      </c>
      <c r="I32" s="28"/>
      <c r="J32" s="28"/>
      <c r="K32" s="28">
        <v>3</v>
      </c>
      <c r="L32" s="28">
        <v>11</v>
      </c>
      <c r="M32" s="28">
        <v>647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5"/>
      <c r="W35" s="95"/>
      <c r="X35" s="95"/>
      <c r="Y35" s="95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630</v>
      </c>
      <c r="G36" s="42">
        <v>18</v>
      </c>
      <c r="H36" s="42">
        <v>5</v>
      </c>
      <c r="I36" s="42">
        <v>10</v>
      </c>
      <c r="J36" s="42">
        <v>4</v>
      </c>
      <c r="K36" s="42">
        <v>10</v>
      </c>
      <c r="L36" s="42">
        <v>5</v>
      </c>
      <c r="M36" s="42"/>
      <c r="N36" s="42">
        <v>8</v>
      </c>
      <c r="O36" s="42">
        <v>7</v>
      </c>
      <c r="P36" s="42">
        <v>7</v>
      </c>
      <c r="Q36" s="43">
        <v>12</v>
      </c>
      <c r="R36" s="72"/>
      <c r="S36" s="44"/>
      <c r="T36" s="44"/>
      <c r="U36" s="95"/>
      <c r="V36" s="95"/>
      <c r="W36" s="95"/>
      <c r="X36" s="95"/>
      <c r="Y36" s="9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5"/>
      <c r="V37" s="95"/>
      <c r="W37" s="95"/>
      <c r="X37" s="95"/>
      <c r="Y37" s="9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5"/>
      <c r="V38" s="95"/>
      <c r="W38" s="95"/>
      <c r="X38" s="95"/>
      <c r="Y38" s="9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5"/>
      <c r="V39" s="95"/>
      <c r="W39" s="95"/>
      <c r="X39" s="95"/>
      <c r="Y39" s="9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5"/>
      <c r="V40" s="95"/>
      <c r="W40" s="95"/>
      <c r="X40" s="95"/>
      <c r="Y40" s="9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5"/>
      <c r="W41" s="95"/>
      <c r="X41" s="95"/>
      <c r="Y41" s="95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630</v>
      </c>
      <c r="G42" s="42">
        <v>18</v>
      </c>
      <c r="H42" s="42">
        <v>5</v>
      </c>
      <c r="I42" s="42">
        <v>10</v>
      </c>
      <c r="J42" s="42">
        <v>4</v>
      </c>
      <c r="K42" s="42">
        <v>10</v>
      </c>
      <c r="L42" s="42">
        <v>5</v>
      </c>
      <c r="M42" s="42"/>
      <c r="N42" s="42">
        <v>8</v>
      </c>
      <c r="O42" s="42">
        <v>7</v>
      </c>
      <c r="P42" s="42">
        <v>7</v>
      </c>
      <c r="Q42" s="43">
        <v>12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5"/>
      <c r="V43" s="95"/>
      <c r="W43" s="95"/>
      <c r="X43" s="95"/>
      <c r="Y43" s="95"/>
    </row>
    <row r="44" spans="2:25" x14ac:dyDescent="0.25">
      <c r="B44" s="76" t="s">
        <v>68</v>
      </c>
      <c r="C44" s="108">
        <f>3+18+5+4+53+3+11+647</f>
        <v>744</v>
      </c>
      <c r="D44" s="108"/>
      <c r="E44" s="108"/>
    </row>
    <row r="45" spans="2:25" x14ac:dyDescent="0.25">
      <c r="B45" s="76" t="s">
        <v>69</v>
      </c>
      <c r="C45" s="108"/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7014-95BC-4A8D-B7B1-DEBBF783CE2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C6239-985F-4756-97B1-ECDE8F7A91D1}">
  <dimension ref="B1:AA45"/>
  <sheetViews>
    <sheetView showGridLines="0" topLeftCell="A13" zoomScale="160" zoomScaleNormal="160" workbookViewId="0">
      <selection activeCell="P32" sqref="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201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202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171</v>
      </c>
      <c r="I24" s="14"/>
      <c r="J24" s="14"/>
      <c r="K24" s="14">
        <v>46</v>
      </c>
      <c r="L24" s="14">
        <v>13</v>
      </c>
      <c r="M24" s="14">
        <v>475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52</v>
      </c>
      <c r="I31" s="23"/>
      <c r="J31" s="23"/>
      <c r="K31" s="23">
        <v>2</v>
      </c>
      <c r="L31" s="23">
        <v>4</v>
      </c>
      <c r="M31" s="23">
        <v>148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119</v>
      </c>
      <c r="I32" s="28"/>
      <c r="J32" s="28"/>
      <c r="K32" s="28">
        <v>44</v>
      </c>
      <c r="L32" s="28">
        <v>9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250</v>
      </c>
      <c r="G36" s="42">
        <v>40</v>
      </c>
      <c r="H36" s="42">
        <v>8</v>
      </c>
      <c r="I36" s="42">
        <v>9</v>
      </c>
      <c r="J36" s="42">
        <v>1</v>
      </c>
      <c r="K36" s="42">
        <v>8</v>
      </c>
      <c r="L36" s="42">
        <v>49</v>
      </c>
      <c r="M36" s="42"/>
      <c r="N36" s="42">
        <v>5</v>
      </c>
      <c r="O36" s="42">
        <v>6</v>
      </c>
      <c r="P36" s="42">
        <v>2</v>
      </c>
      <c r="Q36" s="43">
        <v>18</v>
      </c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250</v>
      </c>
      <c r="G42" s="42">
        <v>40</v>
      </c>
      <c r="H42" s="42">
        <v>8</v>
      </c>
      <c r="I42" s="42">
        <v>9</v>
      </c>
      <c r="J42" s="42">
        <v>1</v>
      </c>
      <c r="K42" s="42">
        <v>8</v>
      </c>
      <c r="L42" s="42">
        <v>49</v>
      </c>
      <c r="M42" s="42"/>
      <c r="N42" s="42">
        <v>5</v>
      </c>
      <c r="O42" s="42">
        <v>6</v>
      </c>
      <c r="P42" s="42">
        <v>2</v>
      </c>
      <c r="Q42" s="43">
        <v>18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  <row r="44" spans="2:25" x14ac:dyDescent="0.25">
      <c r="B44" s="76" t="s">
        <v>68</v>
      </c>
      <c r="C44" s="108">
        <f>6+4+1+1+119+44+9+327</f>
        <v>511</v>
      </c>
      <c r="D44" s="108"/>
      <c r="E44" s="108"/>
    </row>
    <row r="45" spans="2:25" x14ac:dyDescent="0.25">
      <c r="B45" s="76" t="s">
        <v>69</v>
      </c>
      <c r="C45" s="108">
        <v>15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47EF-B312-4BB2-BDCC-48522F99D917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204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>
        <v>1</v>
      </c>
      <c r="G8" s="14"/>
      <c r="H8" s="14" t="s">
        <v>205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>
        <v>0</v>
      </c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86" t="s">
        <v>206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38</v>
      </c>
      <c r="I24" s="14"/>
      <c r="J24" s="14"/>
      <c r="K24" s="14">
        <v>1</v>
      </c>
      <c r="L24" s="14">
        <v>8</v>
      </c>
      <c r="M24" s="14">
        <v>466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23</v>
      </c>
      <c r="I31" s="23"/>
      <c r="J31" s="23"/>
      <c r="K31" s="23">
        <v>0</v>
      </c>
      <c r="L31" s="23">
        <v>0</v>
      </c>
      <c r="M31" s="23">
        <v>146</v>
      </c>
      <c r="N31" s="23"/>
      <c r="O31" s="23"/>
      <c r="P31" s="23" t="s">
        <v>207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1</v>
      </c>
      <c r="L32" s="28">
        <v>8</v>
      </c>
      <c r="M32" s="28">
        <v>320</v>
      </c>
      <c r="N32" s="28"/>
      <c r="O32" s="23"/>
      <c r="P32" s="28" t="s">
        <v>208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</v>
      </c>
      <c r="H36" s="42"/>
      <c r="I36" s="42">
        <v>1</v>
      </c>
      <c r="J36" s="42"/>
      <c r="K36" s="42"/>
      <c r="L36" s="42">
        <v>6</v>
      </c>
      <c r="M36" s="42"/>
      <c r="N36" s="42"/>
      <c r="O36" s="42">
        <v>2</v>
      </c>
      <c r="P36" s="42">
        <v>14</v>
      </c>
      <c r="Q36" s="43">
        <v>6</v>
      </c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</v>
      </c>
      <c r="H42" s="42"/>
      <c r="I42" s="42">
        <v>1</v>
      </c>
      <c r="J42" s="42"/>
      <c r="K42" s="42"/>
      <c r="L42" s="42">
        <v>6</v>
      </c>
      <c r="M42" s="42"/>
      <c r="N42" s="42"/>
      <c r="O42" s="42">
        <v>2</v>
      </c>
      <c r="P42" s="42">
        <v>14</v>
      </c>
      <c r="Q42" s="43">
        <v>6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  <row r="44" spans="2:25" x14ac:dyDescent="0.25">
      <c r="B44" s="76" t="s">
        <v>68</v>
      </c>
      <c r="C44" s="108">
        <f>1+10+1+3+15+1+8+320</f>
        <v>359</v>
      </c>
      <c r="D44" s="108"/>
      <c r="E44" s="108"/>
    </row>
    <row r="45" spans="2:25" x14ac:dyDescent="0.25">
      <c r="B45" s="76" t="s">
        <v>69</v>
      </c>
      <c r="C45" s="108">
        <f>6+3</f>
        <v>9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DDFE3-90B0-4F42-B612-46044D5E6610}">
  <dimension ref="B1:AA45"/>
  <sheetViews>
    <sheetView showGridLines="0" tabSelected="1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209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>
        <v>2</v>
      </c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210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>
        <v>2</v>
      </c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>
        <v>2</v>
      </c>
      <c r="J24" s="14"/>
      <c r="K24" s="14">
        <v>3</v>
      </c>
      <c r="L24" s="14">
        <v>16</v>
      </c>
      <c r="M24" s="14">
        <v>541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48</v>
      </c>
      <c r="I31" s="23">
        <v>0</v>
      </c>
      <c r="J31" s="23"/>
      <c r="K31" s="23">
        <v>3</v>
      </c>
      <c r="L31" s="23">
        <v>0</v>
      </c>
      <c r="M31" s="23">
        <v>84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</v>
      </c>
      <c r="I32" s="28">
        <v>2</v>
      </c>
      <c r="J32" s="28"/>
      <c r="K32" s="28">
        <v>0</v>
      </c>
      <c r="L32" s="28">
        <v>16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102" t="s">
        <v>43</v>
      </c>
      <c r="C34" s="104" t="s">
        <v>21</v>
      </c>
      <c r="D34" s="104"/>
      <c r="E34" s="105"/>
      <c r="F34" s="106" t="s">
        <v>44</v>
      </c>
      <c r="G34" s="104"/>
      <c r="H34" s="105"/>
      <c r="I34" s="106" t="s">
        <v>45</v>
      </c>
      <c r="J34" s="104"/>
      <c r="K34" s="105"/>
      <c r="L34" s="106" t="s">
        <v>46</v>
      </c>
      <c r="M34" s="104"/>
      <c r="N34" s="105"/>
      <c r="O34" s="107" t="s">
        <v>47</v>
      </c>
      <c r="P34" s="107"/>
      <c r="Q34" s="107"/>
      <c r="R34" s="97" t="s">
        <v>48</v>
      </c>
      <c r="S34" s="98"/>
      <c r="T34" s="98"/>
      <c r="U34" s="99"/>
      <c r="V34" s="66"/>
      <c r="W34" s="3"/>
      <c r="X34" s="3"/>
      <c r="Y34" s="3"/>
    </row>
    <row r="35" spans="2:25" ht="18" customHeight="1" thickBot="1" x14ac:dyDescent="0.3">
      <c r="B35" s="103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6"/>
      <c r="W35" s="96"/>
      <c r="X35" s="96"/>
      <c r="Y35" s="96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465</v>
      </c>
      <c r="G36" s="42">
        <v>1</v>
      </c>
      <c r="H36" s="42"/>
      <c r="I36" s="42">
        <v>5</v>
      </c>
      <c r="J36" s="42">
        <v>3</v>
      </c>
      <c r="K36" s="42">
        <v>3</v>
      </c>
      <c r="L36" s="42">
        <v>5</v>
      </c>
      <c r="M36" s="42"/>
      <c r="N36" s="42">
        <v>3</v>
      </c>
      <c r="O36" s="42">
        <v>5</v>
      </c>
      <c r="P36" s="42">
        <v>17</v>
      </c>
      <c r="Q36" s="43">
        <v>4</v>
      </c>
      <c r="R36" s="72"/>
      <c r="S36" s="44"/>
      <c r="T36" s="44"/>
      <c r="U36" s="96"/>
      <c r="V36" s="96"/>
      <c r="W36" s="96"/>
      <c r="X36" s="96"/>
      <c r="Y36" s="9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6"/>
      <c r="V37" s="96"/>
      <c r="W37" s="96"/>
      <c r="X37" s="96"/>
      <c r="Y37" s="9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6"/>
      <c r="V38" s="96"/>
      <c r="W38" s="96"/>
      <c r="X38" s="96"/>
      <c r="Y38" s="9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6"/>
      <c r="V39" s="96"/>
      <c r="W39" s="96"/>
      <c r="X39" s="96"/>
      <c r="Y39" s="9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6"/>
      <c r="V40" s="96"/>
      <c r="W40" s="96"/>
      <c r="X40" s="96"/>
      <c r="Y40" s="9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6"/>
      <c r="W41" s="96"/>
      <c r="X41" s="96"/>
      <c r="Y41" s="96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465</v>
      </c>
      <c r="G42" s="42">
        <v>1</v>
      </c>
      <c r="H42" s="42"/>
      <c r="I42" s="42">
        <v>5</v>
      </c>
      <c r="J42" s="42">
        <v>3</v>
      </c>
      <c r="K42" s="42">
        <v>3</v>
      </c>
      <c r="L42" s="42">
        <v>5</v>
      </c>
      <c r="M42" s="42"/>
      <c r="N42" s="42">
        <v>3</v>
      </c>
      <c r="O42" s="42">
        <v>5</v>
      </c>
      <c r="P42" s="42">
        <v>17</v>
      </c>
      <c r="Q42" s="43">
        <v>4</v>
      </c>
      <c r="R42" s="100" t="s">
        <v>54</v>
      </c>
      <c r="S42" s="101"/>
      <c r="T42" s="101"/>
      <c r="U42" s="101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6"/>
      <c r="V43" s="96"/>
      <c r="W43" s="96"/>
      <c r="X43" s="96"/>
      <c r="Y43" s="96"/>
    </row>
    <row r="44" spans="2:25" x14ac:dyDescent="0.25">
      <c r="B44" s="76" t="s">
        <v>68</v>
      </c>
      <c r="C44" s="108">
        <f>1+16+1+2+3+7+2+16+457</f>
        <v>505</v>
      </c>
      <c r="D44" s="108"/>
      <c r="E44" s="108"/>
    </row>
    <row r="45" spans="2:25" x14ac:dyDescent="0.25">
      <c r="B45" s="76" t="s">
        <v>69</v>
      </c>
      <c r="C45" s="108">
        <v>3</v>
      </c>
      <c r="D45" s="108"/>
      <c r="E45" s="10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88</vt:i4>
      </vt:variant>
      <vt:variant>
        <vt:lpstr>Named Ranges</vt:lpstr>
      </vt:variant>
      <vt:variant>
        <vt:i4>87</vt:i4>
      </vt:variant>
    </vt:vector>
  </HeadingPairs>
  <TitlesOfParts>
    <vt:vector size="17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08-24 R1</vt:lpstr>
      <vt:lpstr>08-24 R2</vt:lpstr>
      <vt:lpstr>08-24 R3</vt:lpstr>
      <vt:lpstr>(25)</vt:lpstr>
      <vt:lpstr>08-25 R1</vt:lpstr>
      <vt:lpstr>08-25 R2</vt:lpstr>
      <vt:lpstr>08-25 R3</vt:lpstr>
      <vt:lpstr>(26)</vt:lpstr>
      <vt:lpstr>08-26 R1</vt:lpstr>
      <vt:lpstr>08-26 R2</vt:lpstr>
      <vt:lpstr>08-26 R3</vt:lpstr>
      <vt:lpstr>(27)</vt:lpstr>
      <vt:lpstr>08-27 R1 </vt:lpstr>
      <vt:lpstr>08-27 R2 </vt:lpstr>
      <vt:lpstr>08-27 R3 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  <vt:lpstr>'08-24 R1'!Print_Area</vt:lpstr>
      <vt:lpstr>'08-24 R2'!Print_Area</vt:lpstr>
      <vt:lpstr>'08-24 R3'!Print_Area</vt:lpstr>
      <vt:lpstr>'08-25 R1'!Print_Area</vt:lpstr>
      <vt:lpstr>'08-25 R2'!Print_Area</vt:lpstr>
      <vt:lpstr>'08-25 R3'!Print_Area</vt:lpstr>
      <vt:lpstr>'08-26 R1'!Print_Area</vt:lpstr>
      <vt:lpstr>'08-26 R2'!Print_Area</vt:lpstr>
      <vt:lpstr>'08-26 R3'!Print_Area</vt:lpstr>
      <vt:lpstr>'08-27 R1 '!Print_Area</vt:lpstr>
      <vt:lpstr>'08-27 R2 '!Print_Area</vt:lpstr>
      <vt:lpstr>'08-27 R3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2026-08-26T04:58:49Z</cp:lastPrinted>
  <dcterms:created xsi:type="dcterms:W3CDTF">2024-09-01T22:48:10Z</dcterms:created>
  <dcterms:modified xsi:type="dcterms:W3CDTF">2026-08-28T06:49:01Z</dcterms:modified>
</cp:coreProperties>
</file>