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F109269C-A65A-4BED-A361-D0745636C771}" xr6:coauthVersionLast="45" xr6:coauthVersionMax="47" xr10:uidLastSave="{00000000-0000-0000-0000-000000000000}"/>
  <bookViews>
    <workbookView xWindow="-120" yWindow="-120" windowWidth="29040" windowHeight="15840" firstSheet="18" activeTab="22" xr2:uid="{67C3A74A-A57E-4AB5-8CD3-31B592A14032}"/>
  </bookViews>
  <sheets>
    <sheet name="CSR | AUGUST" sheetId="902" r:id="rId1"/>
    <sheet name="(01)" sheetId="1847" r:id="rId2"/>
    <sheet name="08-01 R1 NO TRIP" sheetId="1848" r:id="rId3"/>
    <sheet name="08-01 R2 NO TRIP" sheetId="1849" r:id="rId4"/>
    <sheet name="08-01 R3 NO TRIP" sheetId="1850" r:id="rId5"/>
    <sheet name="(3)" sheetId="1855" r:id="rId6"/>
    <sheet name="08-03 R1" sheetId="1856" r:id="rId7"/>
    <sheet name="08-03 R2" sheetId="1857" r:id="rId8"/>
    <sheet name="08-03 R3" sheetId="1858" r:id="rId9"/>
    <sheet name="(4)" sheetId="1859" r:id="rId10"/>
    <sheet name="08-04 R1 NO TRIP" sheetId="1860" r:id="rId11"/>
    <sheet name="08-04 R2" sheetId="1861" r:id="rId12"/>
    <sheet name="08-04 R3" sheetId="1862" r:id="rId13"/>
    <sheet name="(5)" sheetId="1863" r:id="rId14"/>
    <sheet name="08-05 R1" sheetId="1864" r:id="rId15"/>
    <sheet name="08-05 R2" sheetId="1865" r:id="rId16"/>
    <sheet name="08-05 R3 NO TRIP" sheetId="1866" r:id="rId17"/>
    <sheet name="(6)" sheetId="1867" r:id="rId18"/>
    <sheet name="08-06 R1 NO TRIP" sheetId="1868" r:id="rId19"/>
    <sheet name="08-06 R2" sheetId="1869" r:id="rId20"/>
    <sheet name="08-06 R3" sheetId="1870" r:id="rId21"/>
    <sheet name="(7)" sheetId="1871" r:id="rId22"/>
    <sheet name="08-07 R1" sheetId="1872" r:id="rId23"/>
    <sheet name="08-07 R2" sheetId="1873" r:id="rId24"/>
    <sheet name="08-07 R3" sheetId="1874" r:id="rId25"/>
    <sheet name="(8)" sheetId="1875" r:id="rId26"/>
    <sheet name="08-08 R1" sheetId="1876" r:id="rId27"/>
    <sheet name="08-08 R2" sheetId="1877" r:id="rId28"/>
    <sheet name="08-08 R3" sheetId="1878" r:id="rId29"/>
    <sheet name="(10)" sheetId="1879" r:id="rId30"/>
    <sheet name="08-10 R1" sheetId="1880" r:id="rId31"/>
    <sheet name="08-10 R2" sheetId="1881" r:id="rId32"/>
    <sheet name="08-10 R3" sheetId="1882" r:id="rId33"/>
  </sheets>
  <definedNames>
    <definedName name="_xlnm.Print_Area" localSheetId="1">'(01)'!$A$1:$Z$44</definedName>
    <definedName name="_xlnm.Print_Area" localSheetId="29">'(10)'!$A$1:$Z$44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">'08-01 R1 NO TRIP'!$A$1:$Z$43</definedName>
    <definedName name="_xlnm.Print_Area" localSheetId="3">'08-01 R2 NO TRIP'!$A$1:$V$44</definedName>
    <definedName name="_xlnm.Print_Area" localSheetId="4">'08-01 R3 NO TRIP'!$A$1:$V$44</definedName>
    <definedName name="_xlnm.Print_Area" localSheetId="6">'08-03 R1'!$A$1:$Z$43</definedName>
    <definedName name="_xlnm.Print_Area" localSheetId="7">'08-03 R2'!$A$1:$V$44</definedName>
    <definedName name="_xlnm.Print_Area" localSheetId="8">'08-03 R3'!$A$1:$V$44</definedName>
    <definedName name="_xlnm.Print_Area" localSheetId="10">'08-04 R1 NO TRIP'!$A$1:$Z$43</definedName>
    <definedName name="_xlnm.Print_Area" localSheetId="11">'08-04 R2'!$A$1:$V$44</definedName>
    <definedName name="_xlnm.Print_Area" localSheetId="12">'08-04 R3'!$A$1:$V$44</definedName>
    <definedName name="_xlnm.Print_Area" localSheetId="14">'08-05 R1'!$A$1:$Z$43</definedName>
    <definedName name="_xlnm.Print_Area" localSheetId="15">'08-05 R2'!$A$1:$V$44</definedName>
    <definedName name="_xlnm.Print_Area" localSheetId="16">'08-05 R3 NO TRIP'!$A$1:$V$44</definedName>
    <definedName name="_xlnm.Print_Area" localSheetId="18">'08-06 R1 NO TRIP'!$A$1:$Z$43</definedName>
    <definedName name="_xlnm.Print_Area" localSheetId="19">'08-06 R2'!$A$1:$V$44</definedName>
    <definedName name="_xlnm.Print_Area" localSheetId="20">'08-06 R3'!$A$1:$V$44</definedName>
    <definedName name="_xlnm.Print_Area" localSheetId="22">'08-07 R1'!$A$1:$Z$43</definedName>
    <definedName name="_xlnm.Print_Area" localSheetId="23">'08-07 R2'!$A$1:$V$44</definedName>
    <definedName name="_xlnm.Print_Area" localSheetId="24">'08-07 R3'!$A$1:$V$44</definedName>
    <definedName name="_xlnm.Print_Area" localSheetId="26">'08-08 R1'!$A$1:$Z$43</definedName>
    <definedName name="_xlnm.Print_Area" localSheetId="27">'08-08 R2'!$A$1:$V$44</definedName>
    <definedName name="_xlnm.Print_Area" localSheetId="28">'08-08 R3'!$A$1:$V$44</definedName>
    <definedName name="_xlnm.Print_Area" localSheetId="30">'08-10 R1'!$A$1:$Z$43</definedName>
    <definedName name="_xlnm.Print_Area" localSheetId="31">'08-10 R2'!$A$1:$V$44</definedName>
    <definedName name="_xlnm.Print_Area" localSheetId="32">'08-10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873" l="1"/>
  <c r="C44" i="1872"/>
  <c r="C44" i="1874"/>
  <c r="C44" i="1870" l="1"/>
  <c r="C44" i="1865" l="1"/>
  <c r="C44" i="1864"/>
  <c r="F21" i="1882"/>
  <c r="F21" i="1881"/>
  <c r="F21" i="1880"/>
  <c r="F21" i="1879"/>
  <c r="F21" i="1878"/>
  <c r="F21" i="1877"/>
  <c r="F21" i="1876"/>
  <c r="F21" i="1875"/>
  <c r="F21" i="1874"/>
  <c r="F21" i="1873"/>
  <c r="F21" i="1872"/>
  <c r="F21" i="1871"/>
  <c r="F21" i="1870"/>
  <c r="F21" i="1869"/>
  <c r="F21" i="1868"/>
  <c r="F21" i="1867"/>
  <c r="C45" i="1862" l="1"/>
  <c r="C44" i="1862"/>
  <c r="C45" i="1861"/>
  <c r="C44" i="1861"/>
  <c r="F21" i="1866"/>
  <c r="F21" i="1865"/>
  <c r="F21" i="1864"/>
  <c r="F21" i="1863"/>
  <c r="C45" i="1856" l="1"/>
  <c r="C44" i="1856"/>
  <c r="C45" i="1857"/>
  <c r="C44" i="1857"/>
  <c r="C45" i="1858"/>
  <c r="C44" i="1858"/>
  <c r="F21" i="1862" l="1"/>
  <c r="F21" i="1861"/>
  <c r="F21" i="1860"/>
  <c r="F21" i="1859"/>
  <c r="F21" i="1858"/>
  <c r="F21" i="1857"/>
  <c r="F21" i="1856"/>
  <c r="F21" i="1855"/>
  <c r="F21" i="1850" l="1"/>
  <c r="F21" i="1849"/>
  <c r="F21" i="1848"/>
  <c r="F21" i="1847"/>
</calcChain>
</file>

<file path=xl/sharedStrings.xml><?xml version="1.0" encoding="utf-8"?>
<sst xmlns="http://schemas.openxmlformats.org/spreadsheetml/2006/main" count="2872" uniqueCount="107">
  <si>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</si>
  <si>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</si>
  <si>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</si>
  <si>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</si>
  <si>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</si>
  <si>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</si>
  <si>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</si>
  <si>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</si>
  <si>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</si>
  <si>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</si>
  <si>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</si>
  <si>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</si>
  <si>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</si>
  <si>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</si>
  <si>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</si>
  <si>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</si>
  <si>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</si>
  <si>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</si>
  <si>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</si>
  <si>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</si>
  <si>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</si>
  <si>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</si>
  <si>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</si>
  <si>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</si>
  <si>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</si>
  <si>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</si>
  <si>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</si>
  <si>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</si>
  <si>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</si>
  <si>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</si>
  <si>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</si>
  <si>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</si>
  <si>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</si>
  <si>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</si>
  <si>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</si>
  <si>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</si>
  <si>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</si>
  <si>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</si>
  <si>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</si>
  <si>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</si>
  <si>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</si>
  <si>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</si>
  <si>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</si>
  <si>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</si>
  <si>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</si>
  <si>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</si>
  <si>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</si>
  <si>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</si>
  <si>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</si>
  <si>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</si>
  <si>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</si>
  <si>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</si>
  <si>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</si>
  <si>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</si>
  <si>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</si>
  <si>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</si>
  <si>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</si>
  <si>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</si>
  <si>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</si>
  <si>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</si>
  <si>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</si>
  <si>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</si>
  <si>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</si>
  <si>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</si>
  <si>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</si>
  <si>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</si>
  <si>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</si>
  <si>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</si>
  <si>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</si>
  <si>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</si>
  <si>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___________08/01/2026___________</t>
  </si>
  <si>
    <t>DATE ___________08/03/2026___________</t>
  </si>
  <si>
    <t>DATE ___________08/04/2026___________</t>
  </si>
  <si>
    <t>17/3B</t>
  </si>
  <si>
    <t>5/5B</t>
  </si>
  <si>
    <t>22/8B</t>
  </si>
  <si>
    <t>10/3B</t>
  </si>
  <si>
    <t>2</t>
  </si>
  <si>
    <t>12B</t>
  </si>
  <si>
    <t>25/8B</t>
  </si>
  <si>
    <t>26/8B</t>
  </si>
  <si>
    <t>2/8B</t>
  </si>
  <si>
    <t>10/8B</t>
  </si>
  <si>
    <t>17/5B</t>
  </si>
  <si>
    <t>20/5B</t>
  </si>
  <si>
    <t>11/4B</t>
  </si>
  <si>
    <t>1/20B</t>
  </si>
  <si>
    <t>DATE ___________08/06/2026___________</t>
  </si>
  <si>
    <t>DATE ___________08/08/2026___________</t>
  </si>
  <si>
    <t>DATE ___________08/07/2026___________</t>
  </si>
  <si>
    <t>DATE ___________08/10/2026___________</t>
  </si>
  <si>
    <t>DATE ___________08/05/2026___________</t>
  </si>
  <si>
    <t>11/20B</t>
  </si>
  <si>
    <t>1/10B</t>
  </si>
  <si>
    <t>10/10B</t>
  </si>
  <si>
    <t>11/5B</t>
  </si>
  <si>
    <t>5B</t>
  </si>
  <si>
    <t>11/10B</t>
  </si>
  <si>
    <t>1/12B</t>
  </si>
  <si>
    <t>11/12B</t>
  </si>
  <si>
    <t>5/3B</t>
  </si>
  <si>
    <t>14/4B</t>
  </si>
  <si>
    <t>16/12B</t>
  </si>
  <si>
    <t>3/17B</t>
  </si>
  <si>
    <t>4/7B</t>
  </si>
  <si>
    <t>1</t>
  </si>
  <si>
    <t>10/5B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</si>
</sst>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3F895-9833-4AB1-A972-FF74EF3FF75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84617-102C-47C0-866F-159F6D0E97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32</v>
      </c>
      <c r="I24" s="14"/>
      <c r="J24" s="14"/>
      <c r="K24" s="14">
        <v>2</v>
      </c>
      <c r="L24" s="14">
        <v>10</v>
      </c>
      <c r="M24" s="14">
        <v>369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2</v>
      </c>
      <c r="L31" s="23">
        <v>1</v>
      </c>
      <c r="M31" s="23">
        <v>86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32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4</v>
      </c>
      <c r="H36" s="42"/>
      <c r="I36" s="42">
        <v>11</v>
      </c>
      <c r="J36" s="42">
        <v>1</v>
      </c>
      <c r="K36" s="42">
        <v>5</v>
      </c>
      <c r="L36" s="42">
        <v>1</v>
      </c>
      <c r="M36" s="42">
        <v>1</v>
      </c>
      <c r="N36" s="42">
        <v>16</v>
      </c>
      <c r="O36" s="42">
        <v>1</v>
      </c>
      <c r="P36" s="42">
        <v>2</v>
      </c>
      <c r="Q36" s="43">
        <v>13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4</v>
      </c>
      <c r="H42" s="42"/>
      <c r="I42" s="42">
        <v>11</v>
      </c>
      <c r="J42" s="42">
        <v>1</v>
      </c>
      <c r="K42" s="42">
        <v>5</v>
      </c>
      <c r="L42" s="42">
        <v>1</v>
      </c>
      <c r="M42" s="42">
        <v>1</v>
      </c>
      <c r="N42" s="42">
        <v>16</v>
      </c>
      <c r="O42" s="42">
        <v>1</v>
      </c>
      <c r="P42" s="42">
        <v>2</v>
      </c>
      <c r="Q42" s="43">
        <v>13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6">
        <f>1+2+1+32+9+283</f>
        <v>328</v>
      </c>
      <c r="D44" s="96"/>
      <c r="E44" s="96"/>
    </row>
    <row r="45" spans="2:25" x14ac:dyDescent="0.25">
      <c r="B45" s="76" t="s">
        <v>69</v>
      </c>
      <c r="C45" s="96">
        <f>8</f>
        <v>8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9F83B-0828-4F07-B68D-B9AFDEFEB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>
        <v>1</v>
      </c>
      <c r="F8" s="14">
        <v>1</v>
      </c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3</v>
      </c>
      <c r="D24" s="14"/>
      <c r="E24" s="14"/>
      <c r="F24" s="78"/>
      <c r="G24" s="14"/>
      <c r="H24" s="14">
        <v>168</v>
      </c>
      <c r="I24" s="14">
        <v>1</v>
      </c>
      <c r="J24" s="14"/>
      <c r="K24" s="14"/>
      <c r="L24" s="14">
        <v>9</v>
      </c>
      <c r="M24" s="14">
        <v>615</v>
      </c>
      <c r="N24" s="14">
        <v>2</v>
      </c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0</v>
      </c>
      <c r="I31" s="23">
        <v>0</v>
      </c>
      <c r="J31" s="23"/>
      <c r="K31" s="23"/>
      <c r="L31" s="23">
        <v>3</v>
      </c>
      <c r="M31" s="23">
        <v>128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/>
      <c r="G32" s="28"/>
      <c r="H32" s="28">
        <v>168</v>
      </c>
      <c r="I32" s="28">
        <v>1</v>
      </c>
      <c r="J32" s="28"/>
      <c r="K32" s="28"/>
      <c r="L32" s="28">
        <v>6</v>
      </c>
      <c r="M32" s="28">
        <v>487</v>
      </c>
      <c r="N32" s="28">
        <v>2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664</v>
      </c>
      <c r="G36" s="42">
        <v>3</v>
      </c>
      <c r="H36" s="42">
        <v>10</v>
      </c>
      <c r="I36" s="42">
        <v>2</v>
      </c>
      <c r="J36" s="42"/>
      <c r="K36" s="42">
        <v>10</v>
      </c>
      <c r="L36" s="42">
        <v>7</v>
      </c>
      <c r="M36" s="42"/>
      <c r="N36" s="42"/>
      <c r="O36" s="42">
        <v>8</v>
      </c>
      <c r="P36" s="42">
        <v>8</v>
      </c>
      <c r="Q36" s="43">
        <v>4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664</v>
      </c>
      <c r="G42" s="42">
        <v>3</v>
      </c>
      <c r="H42" s="42">
        <v>10</v>
      </c>
      <c r="I42" s="42">
        <v>2</v>
      </c>
      <c r="J42" s="42"/>
      <c r="K42" s="42">
        <v>10</v>
      </c>
      <c r="L42" s="42">
        <v>7</v>
      </c>
      <c r="M42" s="42"/>
      <c r="N42" s="42"/>
      <c r="O42" s="42">
        <v>8</v>
      </c>
      <c r="P42" s="42">
        <v>8</v>
      </c>
      <c r="Q42" s="43">
        <v>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6">
        <f>1+1+25+1+2+168+1+6+487+2+1</f>
        <v>695</v>
      </c>
      <c r="D44" s="96"/>
      <c r="E44" s="96"/>
    </row>
    <row r="45" spans="2:25" x14ac:dyDescent="0.25">
      <c r="B45" s="76" t="s">
        <v>69</v>
      </c>
      <c r="C45" s="96">
        <f>8</f>
        <v>8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5E0F-67C3-42BA-BD42-8CD87065DAB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73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/>
      <c r="L24" s="14">
        <v>20</v>
      </c>
      <c r="M24" s="14">
        <v>540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9</v>
      </c>
      <c r="I31" s="23"/>
      <c r="J31" s="23"/>
      <c r="K31" s="23"/>
      <c r="L31" s="23">
        <v>6</v>
      </c>
      <c r="M31" s="23">
        <v>112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81</v>
      </c>
      <c r="I32" s="28"/>
      <c r="J32" s="28"/>
      <c r="K32" s="28"/>
      <c r="L32" s="28">
        <v>14</v>
      </c>
      <c r="M32" s="28">
        <v>428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572</v>
      </c>
      <c r="G36" s="42">
        <v>4</v>
      </c>
      <c r="H36" s="42">
        <v>5</v>
      </c>
      <c r="I36" s="42">
        <v>16</v>
      </c>
      <c r="J36" s="42"/>
      <c r="K36" s="42">
        <v>3</v>
      </c>
      <c r="L36" s="42">
        <v>1</v>
      </c>
      <c r="M36" s="42"/>
      <c r="N36" s="42">
        <v>5</v>
      </c>
      <c r="O36" s="42">
        <v>6</v>
      </c>
      <c r="P36" s="42">
        <v>11</v>
      </c>
      <c r="Q36" s="43">
        <v>15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572</v>
      </c>
      <c r="G42" s="42">
        <v>4</v>
      </c>
      <c r="H42" s="42">
        <v>5</v>
      </c>
      <c r="I42" s="42">
        <v>16</v>
      </c>
      <c r="J42" s="42"/>
      <c r="K42" s="42">
        <v>3</v>
      </c>
      <c r="L42" s="42">
        <v>1</v>
      </c>
      <c r="M42" s="42"/>
      <c r="N42" s="42">
        <v>5</v>
      </c>
      <c r="O42" s="42">
        <v>6</v>
      </c>
      <c r="P42" s="42">
        <v>11</v>
      </c>
      <c r="Q42" s="43">
        <v>15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6">
        <f>17+2+1+2+81+14+428</f>
        <v>545</v>
      </c>
      <c r="D44" s="96"/>
      <c r="E44" s="96"/>
    </row>
    <row r="45" spans="2:25" x14ac:dyDescent="0.25">
      <c r="B45" s="76" t="s">
        <v>69</v>
      </c>
      <c r="C45" s="96">
        <f>3</f>
        <v>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9F86-D256-49A6-AF72-A281A72720D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6798-358F-48C7-BA72-3981BB17098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3A10-0270-4BEA-8463-BB160B8496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/>
      <c r="G15" s="23"/>
      <c r="H15" s="23" t="s">
        <v>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1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0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20</v>
      </c>
      <c r="I24" s="14"/>
      <c r="J24" s="14"/>
      <c r="K24" s="14">
        <v>1</v>
      </c>
      <c r="L24" s="14">
        <v>12</v>
      </c>
      <c r="M24" s="14">
        <v>514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3</v>
      </c>
      <c r="G31" s="23"/>
      <c r="H31" s="23">
        <v>0</v>
      </c>
      <c r="I31" s="23"/>
      <c r="J31" s="23"/>
      <c r="K31" s="23">
        <v>1</v>
      </c>
      <c r="L31" s="23">
        <v>10</v>
      </c>
      <c r="M31" s="23">
        <v>83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2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466</v>
      </c>
      <c r="G36" s="42">
        <v>1</v>
      </c>
      <c r="H36" s="42">
        <v>1</v>
      </c>
      <c r="I36" s="42">
        <v>5</v>
      </c>
      <c r="J36" s="42"/>
      <c r="K36" s="42"/>
      <c r="L36" s="42"/>
      <c r="M36" s="42"/>
      <c r="N36" s="42"/>
      <c r="O36" s="42"/>
      <c r="P36" s="42">
        <v>9</v>
      </c>
      <c r="Q36" s="43">
        <v>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466</v>
      </c>
      <c r="G42" s="42">
        <v>1</v>
      </c>
      <c r="H42" s="42">
        <v>1</v>
      </c>
      <c r="I42" s="42">
        <v>5</v>
      </c>
      <c r="J42" s="42"/>
      <c r="K42" s="42"/>
      <c r="L42" s="42"/>
      <c r="M42" s="42"/>
      <c r="N42" s="42"/>
      <c r="O42" s="42"/>
      <c r="P42" s="42">
        <v>9</v>
      </c>
      <c r="Q42" s="43">
        <v>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6">
        <f>11+20+2+431</f>
        <v>464</v>
      </c>
      <c r="D44" s="96"/>
      <c r="E44" s="96"/>
    </row>
    <row r="45" spans="2:25" x14ac:dyDescent="0.25">
      <c r="B45" s="76" t="s">
        <v>69</v>
      </c>
      <c r="C45" s="96">
        <f>4</f>
        <v>4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6124D-EB64-43A0-BABB-4BCA7C5E864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56</v>
      </c>
      <c r="I24" s="14"/>
      <c r="J24" s="14"/>
      <c r="K24" s="14"/>
      <c r="L24" s="14">
        <v>27</v>
      </c>
      <c r="M24" s="14">
        <v>652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23</v>
      </c>
      <c r="M31" s="23">
        <v>104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55</v>
      </c>
      <c r="I32" s="28"/>
      <c r="J32" s="28"/>
      <c r="K32" s="28"/>
      <c r="L32" s="28">
        <v>4</v>
      </c>
      <c r="M32" s="28">
        <v>548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>
        <v>2</v>
      </c>
      <c r="H36" s="42">
        <v>5</v>
      </c>
      <c r="I36" s="42">
        <v>6</v>
      </c>
      <c r="J36" s="42"/>
      <c r="K36" s="42"/>
      <c r="L36" s="42">
        <v>5</v>
      </c>
      <c r="M36" s="42">
        <v>1</v>
      </c>
      <c r="N36" s="42">
        <v>14</v>
      </c>
      <c r="O36" s="42">
        <v>9</v>
      </c>
      <c r="P36" s="42">
        <v>9</v>
      </c>
      <c r="Q36" s="43">
        <v>2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>
        <v>2</v>
      </c>
      <c r="H42" s="42">
        <v>5</v>
      </c>
      <c r="I42" s="42">
        <v>6</v>
      </c>
      <c r="J42" s="42"/>
      <c r="K42" s="42"/>
      <c r="L42" s="42">
        <v>5</v>
      </c>
      <c r="M42" s="42">
        <v>1</v>
      </c>
      <c r="N42" s="42">
        <v>14</v>
      </c>
      <c r="O42" s="42">
        <v>9</v>
      </c>
      <c r="P42" s="42">
        <v>9</v>
      </c>
      <c r="Q42" s="43">
        <v>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6">
        <f>17+2+4+55+4+548</f>
        <v>630</v>
      </c>
      <c r="D44" s="96"/>
      <c r="E44" s="96"/>
    </row>
    <row r="45" spans="2:25" x14ac:dyDescent="0.25">
      <c r="B45" s="76" t="s">
        <v>69</v>
      </c>
      <c r="C45" s="96">
        <f>5</f>
        <v>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6571-CF25-4678-B6D0-4645912075C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15E81-9B9D-499E-BD02-1FF77BF73DC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2</v>
      </c>
      <c r="L24" s="14">
        <v>17</v>
      </c>
      <c r="M24" s="14">
        <v>302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5</v>
      </c>
      <c r="I31" s="23"/>
      <c r="J31" s="23"/>
      <c r="K31" s="23">
        <v>2</v>
      </c>
      <c r="L31" s="23">
        <v>12</v>
      </c>
      <c r="M31" s="23">
        <v>66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113</v>
      </c>
      <c r="I32" s="28"/>
      <c r="J32" s="28"/>
      <c r="K32" s="28">
        <v>0</v>
      </c>
      <c r="L32" s="28">
        <v>15</v>
      </c>
      <c r="M32" s="28">
        <v>236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2</v>
      </c>
      <c r="H36" s="42">
        <v>5</v>
      </c>
      <c r="I36" s="42">
        <v>9</v>
      </c>
      <c r="J36" s="42">
        <v>1</v>
      </c>
      <c r="K36" s="42">
        <v>2</v>
      </c>
      <c r="L36" s="42">
        <v>3</v>
      </c>
      <c r="M36" s="42"/>
      <c r="N36" s="42"/>
      <c r="O36" s="42">
        <v>5</v>
      </c>
      <c r="P36" s="42">
        <v>4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2</v>
      </c>
      <c r="H42" s="42">
        <v>5</v>
      </c>
      <c r="I42" s="42">
        <v>9</v>
      </c>
      <c r="J42" s="42">
        <v>1</v>
      </c>
      <c r="K42" s="42">
        <v>2</v>
      </c>
      <c r="L42" s="42">
        <v>3</v>
      </c>
      <c r="M42" s="42"/>
      <c r="N42" s="42"/>
      <c r="O42" s="42">
        <v>5</v>
      </c>
      <c r="P42" s="42">
        <v>4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8+113+15+236</f>
        <v>372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38259-9426-4E87-8477-6ED5679A00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>
        <v>2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24</v>
      </c>
      <c r="I24" s="14">
        <v>1</v>
      </c>
      <c r="J24" s="14"/>
      <c r="K24" s="14">
        <v>1</v>
      </c>
      <c r="L24" s="14">
        <v>12</v>
      </c>
      <c r="M24" s="14">
        <v>454</v>
      </c>
      <c r="N24" s="14"/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3</v>
      </c>
      <c r="G31" s="23"/>
      <c r="H31" s="23">
        <v>3</v>
      </c>
      <c r="I31" s="23">
        <v>0</v>
      </c>
      <c r="J31" s="23"/>
      <c r="K31" s="23">
        <v>1</v>
      </c>
      <c r="L31" s="23">
        <v>12</v>
      </c>
      <c r="M31" s="23">
        <v>132</v>
      </c>
      <c r="N31" s="23"/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21</v>
      </c>
      <c r="I32" s="28">
        <v>1</v>
      </c>
      <c r="J32" s="28"/>
      <c r="K32" s="28">
        <v>0</v>
      </c>
      <c r="L32" s="28">
        <v>0</v>
      </c>
      <c r="M32" s="28">
        <v>322</v>
      </c>
      <c r="N32" s="28"/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15</v>
      </c>
      <c r="F36" s="42">
        <v>316</v>
      </c>
      <c r="G36" s="42">
        <v>10</v>
      </c>
      <c r="H36" s="42">
        <v>2</v>
      </c>
      <c r="I36" s="42">
        <v>2</v>
      </c>
      <c r="J36" s="42"/>
      <c r="K36" s="42">
        <v>24</v>
      </c>
      <c r="L36" s="42"/>
      <c r="M36" s="42">
        <v>1</v>
      </c>
      <c r="N36" s="42">
        <v>1</v>
      </c>
      <c r="O36" s="42">
        <v>4</v>
      </c>
      <c r="P36" s="42">
        <v>6</v>
      </c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15</v>
      </c>
      <c r="F42" s="42">
        <v>316</v>
      </c>
      <c r="G42" s="42">
        <v>10</v>
      </c>
      <c r="H42" s="42">
        <v>2</v>
      </c>
      <c r="I42" s="42">
        <v>2</v>
      </c>
      <c r="J42" s="42"/>
      <c r="K42" s="42">
        <v>24</v>
      </c>
      <c r="L42" s="42"/>
      <c r="M42" s="42">
        <v>1</v>
      </c>
      <c r="N42" s="42">
        <v>1</v>
      </c>
      <c r="O42" s="42">
        <v>4</v>
      </c>
      <c r="P42" s="42">
        <v>6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2+10+1+1+1+21+1+322+1</f>
        <v>360</v>
      </c>
      <c r="D44" s="96"/>
      <c r="E44" s="96"/>
    </row>
    <row r="45" spans="2:25" x14ac:dyDescent="0.25">
      <c r="B45" s="76" t="s">
        <v>69</v>
      </c>
      <c r="C45" s="96">
        <v>10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46F00-3A13-4DF3-90F2-F4B30087CD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9D293-EB9B-4B22-B4AB-C068100AA3F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F2B0B-07F2-49BA-8C3A-F8E698E5C3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D637-7EA6-4198-909E-F663842A6C88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29</v>
      </c>
      <c r="I24" s="14"/>
      <c r="J24" s="14"/>
      <c r="K24" s="14">
        <v>69</v>
      </c>
      <c r="L24" s="14">
        <v>12</v>
      </c>
      <c r="M24" s="14">
        <v>428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28</v>
      </c>
      <c r="I32" s="28"/>
      <c r="J32" s="28"/>
      <c r="K32" s="28">
        <v>67</v>
      </c>
      <c r="L32" s="28">
        <v>12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457</v>
      </c>
      <c r="G36" s="42"/>
      <c r="H36" s="42"/>
      <c r="I36" s="42">
        <v>4</v>
      </c>
      <c r="J36" s="42"/>
      <c r="K36" s="42"/>
      <c r="L36" s="42">
        <v>67</v>
      </c>
      <c r="M36" s="42"/>
      <c r="N36" s="42"/>
      <c r="O36" s="42">
        <v>11</v>
      </c>
      <c r="P36" s="42">
        <v>6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457</v>
      </c>
      <c r="G42" s="42"/>
      <c r="H42" s="42"/>
      <c r="I42" s="42">
        <v>4</v>
      </c>
      <c r="J42" s="42"/>
      <c r="K42" s="42"/>
      <c r="L42" s="42">
        <v>67</v>
      </c>
      <c r="M42" s="42"/>
      <c r="N42" s="42"/>
      <c r="O42" s="42">
        <v>11</v>
      </c>
      <c r="P42" s="42">
        <v>6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v>506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1F4F-209E-44AB-92EE-0C4CF57A70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 t="s">
        <v>78</v>
      </c>
      <c r="E8" s="14"/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78</v>
      </c>
      <c r="E15" s="23"/>
      <c r="F15" s="23"/>
      <c r="G15" s="23"/>
      <c r="H15" s="23" t="s">
        <v>96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95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</v>
      </c>
      <c r="I24" s="14"/>
      <c r="J24" s="14"/>
      <c r="K24" s="14">
        <v>20</v>
      </c>
      <c r="L24" s="14">
        <v>12</v>
      </c>
      <c r="M24" s="14">
        <v>455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88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0</v>
      </c>
      <c r="I32" s="28"/>
      <c r="J32" s="28"/>
      <c r="K32" s="28">
        <v>20</v>
      </c>
      <c r="L32" s="28">
        <v>12</v>
      </c>
      <c r="M32" s="28">
        <v>367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378</v>
      </c>
      <c r="G36" s="42">
        <v>6</v>
      </c>
      <c r="H36" s="42"/>
      <c r="I36" s="42"/>
      <c r="J36" s="42">
        <v>1</v>
      </c>
      <c r="K36" s="42">
        <v>9</v>
      </c>
      <c r="L36" s="42">
        <v>13</v>
      </c>
      <c r="M36" s="42">
        <v>7</v>
      </c>
      <c r="N36" s="42">
        <v>2</v>
      </c>
      <c r="O36" s="42">
        <v>2</v>
      </c>
      <c r="P36" s="42">
        <v>6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378</v>
      </c>
      <c r="G42" s="42">
        <v>6</v>
      </c>
      <c r="H42" s="42"/>
      <c r="I42" s="42"/>
      <c r="J42" s="42">
        <v>1</v>
      </c>
      <c r="K42" s="42">
        <v>9</v>
      </c>
      <c r="L42" s="42">
        <v>13</v>
      </c>
      <c r="M42" s="42">
        <v>7</v>
      </c>
      <c r="N42" s="42">
        <v>2</v>
      </c>
      <c r="O42" s="42">
        <v>2</v>
      </c>
      <c r="P42" s="42">
        <v>6</v>
      </c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1+11+1+3+20+12+367</f>
        <v>415</v>
      </c>
      <c r="D44" s="96"/>
      <c r="E44" s="96"/>
    </row>
    <row r="45" spans="2:25" x14ac:dyDescent="0.25">
      <c r="B45" s="76" t="s">
        <v>69</v>
      </c>
      <c r="C45" s="96">
        <v>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1911E-8D6F-4CED-8C8F-345B7EA17E0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00470-A79D-4F50-9271-0D4DE24985AF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104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15</v>
      </c>
      <c r="M24" s="14">
        <v>602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8</v>
      </c>
      <c r="I31" s="23"/>
      <c r="J31" s="23"/>
      <c r="K31" s="23">
        <v>2</v>
      </c>
      <c r="L31" s="23">
        <v>0</v>
      </c>
      <c r="M31" s="23">
        <v>120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37</v>
      </c>
      <c r="I32" s="28"/>
      <c r="J32" s="28"/>
      <c r="K32" s="28">
        <v>0</v>
      </c>
      <c r="L32" s="28">
        <v>15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528</v>
      </c>
      <c r="G36" s="42"/>
      <c r="H36" s="42">
        <v>4</v>
      </c>
      <c r="I36" s="42">
        <v>7</v>
      </c>
      <c r="J36" s="42">
        <v>2</v>
      </c>
      <c r="K36" s="42">
        <v>15</v>
      </c>
      <c r="L36" s="42"/>
      <c r="M36" s="42"/>
      <c r="N36" s="42"/>
      <c r="O36" s="42">
        <v>3</v>
      </c>
      <c r="P36" s="42"/>
      <c r="Q36" s="43">
        <v>15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528</v>
      </c>
      <c r="G42" s="42"/>
      <c r="H42" s="42">
        <v>4</v>
      </c>
      <c r="I42" s="42">
        <v>7</v>
      </c>
      <c r="J42" s="42">
        <v>2</v>
      </c>
      <c r="K42" s="42">
        <v>15</v>
      </c>
      <c r="L42" s="42"/>
      <c r="M42" s="42"/>
      <c r="N42" s="42"/>
      <c r="O42" s="42">
        <v>3</v>
      </c>
      <c r="P42" s="42"/>
      <c r="Q42" s="43">
        <v>15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3+2+37+15+482</f>
        <v>539</v>
      </c>
      <c r="D44" s="96"/>
      <c r="E44" s="96"/>
    </row>
    <row r="45" spans="2:25" x14ac:dyDescent="0.25">
      <c r="B45" s="76" t="s">
        <v>69</v>
      </c>
      <c r="C45" s="96">
        <v>17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DAE3C-8916-458C-8843-53D675192B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24</v>
      </c>
      <c r="I24" s="14"/>
      <c r="J24" s="14"/>
      <c r="K24" s="14">
        <v>2</v>
      </c>
      <c r="L24" s="14">
        <v>12</v>
      </c>
      <c r="M24" s="14">
        <v>416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24</v>
      </c>
      <c r="I32" s="28"/>
      <c r="J32" s="28"/>
      <c r="K32" s="28">
        <v>0</v>
      </c>
      <c r="L32" s="28">
        <v>12</v>
      </c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448</v>
      </c>
      <c r="G36" s="42">
        <v>7</v>
      </c>
      <c r="H36" s="42">
        <v>1</v>
      </c>
      <c r="I36" s="42">
        <v>9</v>
      </c>
      <c r="J36" s="42"/>
      <c r="K36" s="42">
        <v>7</v>
      </c>
      <c r="L36" s="42"/>
      <c r="M36" s="42"/>
      <c r="N36" s="42"/>
      <c r="O36" s="42">
        <v>2</v>
      </c>
      <c r="P36" s="42">
        <v>9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448</v>
      </c>
      <c r="G42" s="42">
        <v>7</v>
      </c>
      <c r="H42" s="42">
        <v>1</v>
      </c>
      <c r="I42" s="42">
        <v>9</v>
      </c>
      <c r="J42" s="42"/>
      <c r="K42" s="42">
        <v>7</v>
      </c>
      <c r="L42" s="42"/>
      <c r="M42" s="42"/>
      <c r="N42" s="42"/>
      <c r="O42" s="42">
        <v>2</v>
      </c>
      <c r="P42" s="42">
        <v>9</v>
      </c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10+1+24+12+373</f>
        <v>420</v>
      </c>
      <c r="D44" s="96"/>
      <c r="E44" s="96"/>
    </row>
    <row r="45" spans="2:25" x14ac:dyDescent="0.25">
      <c r="B45" s="76" t="s">
        <v>69</v>
      </c>
      <c r="C45" s="96">
        <v>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32F7C-9E4D-47FE-8C54-28D0B46D4F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 t="s">
        <v>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6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4</v>
      </c>
      <c r="L24" s="14">
        <v>20</v>
      </c>
      <c r="M24" s="14">
        <v>475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3</v>
      </c>
      <c r="L31" s="23">
        <v>16</v>
      </c>
      <c r="M31" s="23">
        <v>88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1</v>
      </c>
      <c r="L32" s="28">
        <v>4</v>
      </c>
      <c r="M32" s="28">
        <v>387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481</v>
      </c>
      <c r="G36" s="42">
        <v>10</v>
      </c>
      <c r="H36" s="42"/>
      <c r="I36" s="42">
        <v>21</v>
      </c>
      <c r="J36" s="42">
        <v>1</v>
      </c>
      <c r="K36" s="42">
        <v>5</v>
      </c>
      <c r="L36" s="42"/>
      <c r="M36" s="42"/>
      <c r="N36" s="42"/>
      <c r="O36" s="42">
        <v>14</v>
      </c>
      <c r="P36" s="42"/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481</v>
      </c>
      <c r="G42" s="42">
        <v>10</v>
      </c>
      <c r="H42" s="42"/>
      <c r="I42" s="42">
        <v>21</v>
      </c>
      <c r="J42" s="42">
        <v>1</v>
      </c>
      <c r="K42" s="42">
        <v>5</v>
      </c>
      <c r="L42" s="42"/>
      <c r="M42" s="42"/>
      <c r="N42" s="42"/>
      <c r="O42" s="42">
        <v>14</v>
      </c>
      <c r="P42" s="42"/>
      <c r="Q42" s="43">
        <v>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1+1+14+108+1+4+387</f>
        <v>516</v>
      </c>
      <c r="D44" s="96"/>
      <c r="E44" s="96"/>
    </row>
    <row r="45" spans="2:25" x14ac:dyDescent="0.25">
      <c r="B45" s="76" t="s">
        <v>69</v>
      </c>
      <c r="C45" s="96">
        <v>4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8BF31-0952-4675-B6C5-B434721BE86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FA099-27A4-4D4C-9217-C77C84E31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5C603-999F-43DA-B7EE-5B51AAFE7B2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3EB02-BDD3-4B41-B221-809E4DC7A2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D9ADC-A312-40CE-8A4A-1F87CD2B5EF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D3425-8DCA-4073-9E3F-0E2319B9245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EBE68-72EB-4398-9800-846B1ECA0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973C9-AE9D-4EAF-AC80-C028DAA279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33</vt:i4>
      </vt:variant>
      <vt:variant>
        <vt:lpstr>Named Ranges</vt:lpstr>
      </vt:variant>
      <vt:variant>
        <vt:i4>32</vt:i4>
      </vt:variant>
    </vt:vector>
  </HeadingPairs>
  <TitlesOfParts>
    <vt:vector size="65" baseType="lpstr">
      <vt:lpstr>CSR | AUGUST</vt:lpstr>
      <vt:lpstr>(01)</vt:lpstr>
      <vt:lpstr>08-01 R1 NO TRIP</vt:lpstr>
      <vt:lpstr>08-01 R2 NO TRIP</vt:lpstr>
      <vt:lpstr>08-01 R3 NO TRIP</vt:lpstr>
      <vt:lpstr>(3)</vt:lpstr>
      <vt:lpstr>08-03 R1</vt:lpstr>
      <vt:lpstr>08-03 R2</vt:lpstr>
      <vt:lpstr>08-03 R3</vt:lpstr>
      <vt:lpstr>(4)</vt:lpstr>
      <vt:lpstr>08-04 R1 NO TRIP</vt:lpstr>
      <vt:lpstr>08-04 R2</vt:lpstr>
      <vt:lpstr>08-04 R3</vt:lpstr>
      <vt:lpstr>(5)</vt:lpstr>
      <vt:lpstr>08-05 R1</vt:lpstr>
      <vt:lpstr>08-05 R2</vt:lpstr>
      <vt:lpstr>08-05 R3 NO TRIP</vt:lpstr>
      <vt:lpstr>(6)</vt:lpstr>
      <vt:lpstr>08-06 R1 NO TRIP</vt:lpstr>
      <vt:lpstr>08-06 R2</vt:lpstr>
      <vt:lpstr>08-06 R3</vt:lpstr>
      <vt:lpstr>(7)</vt:lpstr>
      <vt:lpstr>08-07 R1</vt:lpstr>
      <vt:lpstr>08-07 R2</vt:lpstr>
      <vt:lpstr>08-07 R3</vt:lpstr>
      <vt:lpstr>(8)</vt:lpstr>
      <vt:lpstr>08-08 R1</vt:lpstr>
      <vt:lpstr>08-08 R2</vt:lpstr>
      <vt:lpstr>08-08 R3</vt:lpstr>
      <vt:lpstr>(10)</vt:lpstr>
      <vt:lpstr>08-10 R1</vt:lpstr>
      <vt:lpstr>08-10 R2</vt:lpstr>
      <vt:lpstr>08-10 R3</vt:lpstr>
      <vt:lpstr>'(01)'!Print_Area</vt:lpstr>
      <vt:lpstr>'(10)'!Print_Area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'08-01 R1 NO TRIP'!Print_Area</vt:lpstr>
      <vt:lpstr>'08-01 R2 NO TRIP'!Print_Area</vt:lpstr>
      <vt:lpstr>'08-01 R3 NO TRIP'!Print_Area</vt:lpstr>
      <vt:lpstr>'08-03 R1'!Print_Area</vt:lpstr>
      <vt:lpstr>'08-03 R2'!Print_Area</vt:lpstr>
      <vt:lpstr>'08-03 R3'!Print_Area</vt:lpstr>
      <vt:lpstr>'08-04 R1 NO TRIP'!Print_Area</vt:lpstr>
      <vt:lpstr>'08-04 R2'!Print_Area</vt:lpstr>
      <vt:lpstr>'08-04 R3'!Print_Area</vt:lpstr>
      <vt:lpstr>'08-05 R1'!Print_Area</vt:lpstr>
      <vt:lpstr>'08-05 R2'!Print_Area</vt:lpstr>
      <vt:lpstr>'08-05 R3 NO TRIP'!Print_Area</vt:lpstr>
      <vt:lpstr>'08-06 R1 NO TRIP'!Print_Area</vt:lpstr>
      <vt:lpstr>'08-06 R2'!Print_Area</vt:lpstr>
      <vt:lpstr>'08-06 R3'!Print_Area</vt:lpstr>
      <vt:lpstr>'08-07 R1'!Print_Area</vt:lpstr>
      <vt:lpstr>'08-07 R2'!Print_Area</vt:lpstr>
      <vt:lpstr>'08-07 R3'!Print_Area</vt:lpstr>
      <vt:lpstr>'08-08 R1'!Print_Area</vt:lpstr>
      <vt:lpstr>'08-08 R2'!Print_Area</vt:lpstr>
      <vt:lpstr>'08-08 R3'!Print_Area</vt:lpstr>
      <vt:lpstr>'08-10 R1'!Print_Area</vt:lpstr>
      <vt:lpstr>'08-10 R2'!Print_Area</vt:lpstr>
      <vt:lpstr>'08-10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2026-08-08T01:33:26Z</dcterms:modified>
</cp:coreProperties>
</file>