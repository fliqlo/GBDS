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FCAC6F62-FAE1-4304-A2F6-CF44A7C0DEB3}" xr6:coauthVersionLast="45" xr6:coauthVersionMax="47" xr10:uidLastSave="{00000000-0000-0000-0000-000000000000}"/>
  <bookViews>
    <workbookView xWindow="-120" yWindow="-120" windowWidth="29040" windowHeight="15840" firstSheet="56" activeTab="68" xr2:uid="{67C3A74A-A57E-4AB5-8CD3-31B592A14032}"/>
  </bookViews>
  <sheets>
    <sheet name="CSR | AUGUST" sheetId="902" r:id="rId1"/>
    <sheet name="(01)" sheetId="1847" r:id="rId2"/>
    <sheet name="08-01 R1 NO TRIP" sheetId="1848" r:id="rId3"/>
    <sheet name="08-01 R2 NO TRIP" sheetId="1849" r:id="rId4"/>
    <sheet name="08-01 R3 NO TRIP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 NO TRIP" sheetId="1860" r:id="rId11"/>
    <sheet name="08-04 R2" sheetId="1861" r:id="rId12"/>
    <sheet name="08-04 R3" sheetId="1862" r:id="rId13"/>
    <sheet name="(5)" sheetId="1863" r:id="rId14"/>
    <sheet name="08-05 R1" sheetId="1864" r:id="rId15"/>
    <sheet name="08-05 R2" sheetId="1865" r:id="rId16"/>
    <sheet name="08-05 R3 NO TRIP" sheetId="1866" r:id="rId17"/>
    <sheet name="(6)" sheetId="1867" r:id="rId18"/>
    <sheet name="08-06 R1 NO TRIP" sheetId="1868" r:id="rId19"/>
    <sheet name="08-06 R2" sheetId="1869" r:id="rId20"/>
    <sheet name="08-06 R3" sheetId="1870" r:id="rId21"/>
    <sheet name="(7)" sheetId="1871" r:id="rId22"/>
    <sheet name="08-07 R1" sheetId="1872" r:id="rId23"/>
    <sheet name="08-07 R2" sheetId="1873" r:id="rId24"/>
    <sheet name="08-07 R3" sheetId="1874" r:id="rId25"/>
    <sheet name="(8)" sheetId="1875" r:id="rId26"/>
    <sheet name="08-08 R1 NO TRIP" sheetId="1876" r:id="rId27"/>
    <sheet name="08-08 R2" sheetId="1877" r:id="rId28"/>
    <sheet name="08-08 R3" sheetId="1878" r:id="rId29"/>
    <sheet name="(10)" sheetId="1879" r:id="rId30"/>
    <sheet name="08-10 R1" sheetId="1880" r:id="rId31"/>
    <sheet name="08-10 R2" sheetId="1881" r:id="rId32"/>
    <sheet name="08-10 R3" sheetId="1882" r:id="rId33"/>
    <sheet name="(11)" sheetId="1883" r:id="rId34"/>
    <sheet name="08-11 R1" sheetId="1884" r:id="rId35"/>
    <sheet name="08-11 R2" sheetId="1885" r:id="rId36"/>
    <sheet name="08-11 R3" sheetId="1886" r:id="rId37"/>
    <sheet name="(12)" sheetId="1887" r:id="rId38"/>
    <sheet name="08-12 R1" sheetId="1888" r:id="rId39"/>
    <sheet name="08-12 R2" sheetId="1889" r:id="rId40"/>
    <sheet name="08-12 R3" sheetId="1890" r:id="rId41"/>
    <sheet name="(13)" sheetId="1891" r:id="rId42"/>
    <sheet name="08-13 R1" sheetId="1894" r:id="rId43"/>
    <sheet name="08-13 R2" sheetId="1893" r:id="rId44"/>
    <sheet name="08-13 R3" sheetId="1892" r:id="rId45"/>
    <sheet name="(14)" sheetId="1895" r:id="rId46"/>
    <sheet name="08-14 R1" sheetId="1896" r:id="rId47"/>
    <sheet name="08-14 R2" sheetId="1897" r:id="rId48"/>
    <sheet name="08-14 R3" sheetId="1898" r:id="rId49"/>
    <sheet name="(15)" sheetId="1899" r:id="rId50"/>
    <sheet name="08-15 R1 COLLECTION ONLY " sheetId="1900" r:id="rId51"/>
    <sheet name="08-15 R2 NO TRIP" sheetId="1901" r:id="rId52"/>
    <sheet name="08-15 R3" sheetId="1902" r:id="rId53"/>
    <sheet name="(17)" sheetId="1903" r:id="rId54"/>
    <sheet name="08-17 R1" sheetId="1904" r:id="rId55"/>
    <sheet name="08-17 R2 " sheetId="1906" r:id="rId56"/>
    <sheet name="08-17 R3" sheetId="1907" r:id="rId57"/>
    <sheet name="(18)" sheetId="1908" r:id="rId58"/>
    <sheet name="08-18 R1" sheetId="1909" r:id="rId59"/>
    <sheet name="08-18 R2" sheetId="1910" r:id="rId60"/>
    <sheet name="08-18 R3" sheetId="1911" r:id="rId61"/>
    <sheet name="(19)" sheetId="1912" r:id="rId62"/>
    <sheet name="08-19 R1" sheetId="1913" r:id="rId63"/>
    <sheet name="08-19 R2" sheetId="1914" r:id="rId64"/>
    <sheet name="08-19 R3" sheetId="1915" r:id="rId65"/>
    <sheet name="(20)" sheetId="1916" r:id="rId66"/>
    <sheet name="08-20 R1" sheetId="1917" r:id="rId67"/>
    <sheet name="08-20 R2" sheetId="1918" r:id="rId68"/>
    <sheet name="08-20 R3" sheetId="1919" r:id="rId69"/>
  </sheets>
  <definedNames>
    <definedName name="_xlnm.Print_Area" localSheetId="1">'(01)'!$A$1:$Z$44</definedName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65">'(20)'!$A$1:$Z$44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">'08-01 R1 NO TRIP'!$A$1:$Z$43</definedName>
    <definedName name="_xlnm.Print_Area" localSheetId="3">'08-01 R2 NO TRIP'!$A$1:$V$44</definedName>
    <definedName name="_xlnm.Print_Area" localSheetId="4">'08-01 R3 NO TRIP'!$A$1:$V$44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0">'08-04 R1 NO TRIP'!$A$1:$Z$43</definedName>
    <definedName name="_xlnm.Print_Area" localSheetId="11">'08-04 R2'!$A$1:$V$44</definedName>
    <definedName name="_xlnm.Print_Area" localSheetId="12">'08-04 R3'!$A$1:$V$44</definedName>
    <definedName name="_xlnm.Print_Area" localSheetId="14">'08-05 R1'!$A$1:$Z$43</definedName>
    <definedName name="_xlnm.Print_Area" localSheetId="15">'08-05 R2'!$A$1:$V$44</definedName>
    <definedName name="_xlnm.Print_Area" localSheetId="16">'08-05 R3 NO TRIP'!$A$1:$V$44</definedName>
    <definedName name="_xlnm.Print_Area" localSheetId="18">'08-06 R1 NO TRIP'!$A$1:$Z$43</definedName>
    <definedName name="_xlnm.Print_Area" localSheetId="19">'08-06 R2'!$A$1:$V$44</definedName>
    <definedName name="_xlnm.Print_Area" localSheetId="20">'08-06 R3'!$A$1:$V$44</definedName>
    <definedName name="_xlnm.Print_Area" localSheetId="22">'08-07 R1'!$A$1:$Z$43</definedName>
    <definedName name="_xlnm.Print_Area" localSheetId="23">'08-07 R2'!$A$1:$V$44</definedName>
    <definedName name="_xlnm.Print_Area" localSheetId="24">'08-07 R3'!$A$1:$V$44</definedName>
    <definedName name="_xlnm.Print_Area" localSheetId="26">'08-08 R1 NO TRIP'!$A$1:$Z$43</definedName>
    <definedName name="_xlnm.Print_Area" localSheetId="27">'08-08 R2'!$A$1:$V$44</definedName>
    <definedName name="_xlnm.Print_Area" localSheetId="28">'08-08 R3'!$A$1:$V$44</definedName>
    <definedName name="_xlnm.Print_Area" localSheetId="30">'08-10 R1'!$A$1:$Z$43</definedName>
    <definedName name="_xlnm.Print_Area" localSheetId="31">'08-10 R2'!$A$1:$V$44</definedName>
    <definedName name="_xlnm.Print_Area" localSheetId="32">'08-10 R3'!$A$1:$V$44</definedName>
    <definedName name="_xlnm.Print_Area" localSheetId="34">'08-11 R1'!$A$1:$Z$43</definedName>
    <definedName name="_xlnm.Print_Area" localSheetId="35">'08-11 R2'!$A$1:$V$44</definedName>
    <definedName name="_xlnm.Print_Area" localSheetId="36">'08-11 R3'!$A$1:$V$44</definedName>
    <definedName name="_xlnm.Print_Area" localSheetId="38">'08-12 R1'!$A$1:$Z$43</definedName>
    <definedName name="_xlnm.Print_Area" localSheetId="39">'08-12 R2'!$A$1:$V$44</definedName>
    <definedName name="_xlnm.Print_Area" localSheetId="40">'08-12 R3'!$A$1:$V$44</definedName>
    <definedName name="_xlnm.Print_Area" localSheetId="42">'08-13 R1'!$A$1:$V$44</definedName>
    <definedName name="_xlnm.Print_Area" localSheetId="43">'08-13 R2'!$A$1:$V$44</definedName>
    <definedName name="_xlnm.Print_Area" localSheetId="44">'08-13 R3'!$A$1:$Z$43</definedName>
    <definedName name="_xlnm.Print_Area" localSheetId="46">'08-14 R1'!$A$1:$Z$43</definedName>
    <definedName name="_xlnm.Print_Area" localSheetId="47">'08-14 R2'!$A$1:$V$44</definedName>
    <definedName name="_xlnm.Print_Area" localSheetId="48">'08-14 R3'!$A$1:$V$44</definedName>
    <definedName name="_xlnm.Print_Area" localSheetId="50">'08-15 R1 COLLECTION ONLY '!$A$1:$Z$43</definedName>
    <definedName name="_xlnm.Print_Area" localSheetId="51">'08-15 R2 NO TRIP'!$A$1:$V$44</definedName>
    <definedName name="_xlnm.Print_Area" localSheetId="52">'08-15 R3'!$A$1:$V$44</definedName>
    <definedName name="_xlnm.Print_Area" localSheetId="54">'08-17 R1'!$A$1:$Z$43</definedName>
    <definedName name="_xlnm.Print_Area" localSheetId="55">'08-17 R2 '!$A$1:$V$44</definedName>
    <definedName name="_xlnm.Print_Area" localSheetId="56">'08-17 R3'!$A$1:$V$44</definedName>
    <definedName name="_xlnm.Print_Area" localSheetId="58">'08-18 R1'!$A$1:$Z$43</definedName>
    <definedName name="_xlnm.Print_Area" localSheetId="59">'08-18 R2'!$A$1:$V$44</definedName>
    <definedName name="_xlnm.Print_Area" localSheetId="60">'08-18 R3'!$A$1:$V$44</definedName>
    <definedName name="_xlnm.Print_Area" localSheetId="62">'08-19 R1'!$A$1:$Z$43</definedName>
    <definedName name="_xlnm.Print_Area" localSheetId="63">'08-19 R2'!$A$1:$V$44</definedName>
    <definedName name="_xlnm.Print_Area" localSheetId="64">'08-19 R3'!$A$1:$V$44</definedName>
    <definedName name="_xlnm.Print_Area" localSheetId="66">'08-20 R1'!$A$1:$Z$43</definedName>
    <definedName name="_xlnm.Print_Area" localSheetId="67">'08-20 R2'!$A$1:$V$44</definedName>
    <definedName name="_xlnm.Print_Area" localSheetId="68">'08-20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919" l="1"/>
  <c r="C44" i="1918"/>
  <c r="C44" i="1917"/>
  <c r="F21" i="1919"/>
  <c r="F21" i="1918"/>
  <c r="F21" i="1917"/>
  <c r="F21" i="1916"/>
  <c r="C44" i="1915" l="1"/>
  <c r="C44" i="1914"/>
  <c r="C44" i="1913"/>
  <c r="F21" i="1915"/>
  <c r="F21" i="1914"/>
  <c r="F21" i="1913"/>
  <c r="F21" i="1912"/>
  <c r="C44" i="1909" l="1"/>
  <c r="C44" i="1910"/>
  <c r="C44" i="1911"/>
  <c r="F21" i="1911" l="1"/>
  <c r="F21" i="1910"/>
  <c r="F21" i="1909"/>
  <c r="F21" i="1908"/>
  <c r="C44" i="1907" l="1"/>
  <c r="C44" i="1906"/>
  <c r="C44" i="1904"/>
  <c r="F21" i="1907" l="1"/>
  <c r="F21" i="1906"/>
  <c r="F21" i="1904"/>
  <c r="F21" i="1903"/>
  <c r="C44" i="1902" l="1"/>
  <c r="C44" i="1898" l="1"/>
  <c r="C44" i="1896"/>
  <c r="C44" i="1897"/>
  <c r="C44" i="1894" l="1"/>
  <c r="H8" i="1894"/>
  <c r="C44" i="1893"/>
  <c r="C45" i="1892"/>
  <c r="C44" i="1892"/>
  <c r="C45" i="1890" l="1"/>
  <c r="C44" i="1890"/>
  <c r="C44" i="1889"/>
  <c r="C45" i="1888"/>
  <c r="C44" i="1888"/>
  <c r="C44" i="1885" l="1"/>
  <c r="C44" i="1884"/>
  <c r="C44" i="1880" l="1"/>
  <c r="C44" i="1881"/>
  <c r="C44" i="1882"/>
  <c r="F21" i="1902" l="1"/>
  <c r="F21" i="1901"/>
  <c r="F21" i="1900"/>
  <c r="F21" i="1899"/>
  <c r="F21" i="1898"/>
  <c r="F21" i="1897"/>
  <c r="F21" i="1896"/>
  <c r="F21" i="1895"/>
  <c r="F21" i="1894"/>
  <c r="F21" i="1893"/>
  <c r="F21" i="1892"/>
  <c r="F21" i="1891"/>
  <c r="F21" i="1890"/>
  <c r="F21" i="1889"/>
  <c r="F21" i="1888"/>
  <c r="F21" i="1887"/>
  <c r="F21" i="1886"/>
  <c r="F21" i="1885"/>
  <c r="F21" i="1884"/>
  <c r="F21" i="1883"/>
  <c r="C44" i="1877" l="1"/>
  <c r="C44" i="1878"/>
  <c r="C44" i="1873" l="1"/>
  <c r="C44" i="1872"/>
  <c r="C44" i="1874"/>
  <c r="C44" i="1870" l="1"/>
  <c r="C44" i="1865" l="1"/>
  <c r="C44" i="1864"/>
  <c r="F21" i="1882"/>
  <c r="F21" i="1881"/>
  <c r="F21" i="1880"/>
  <c r="F21" i="1879"/>
  <c r="F21" i="1878"/>
  <c r="F21" i="1877"/>
  <c r="F21" i="1876"/>
  <c r="F21" i="1875"/>
  <c r="F21" i="1874"/>
  <c r="F21" i="1873"/>
  <c r="F21" i="1872"/>
  <c r="F21" i="1871"/>
  <c r="F21" i="1870"/>
  <c r="F21" i="1869"/>
  <c r="F21" i="1868"/>
  <c r="F21" i="1867"/>
  <c r="C45" i="1862" l="1"/>
  <c r="C44" i="1862"/>
  <c r="C45" i="1861"/>
  <c r="C44" i="1861"/>
  <c r="F21" i="1866"/>
  <c r="F21" i="1865"/>
  <c r="F21" i="1864"/>
  <c r="F21" i="1863"/>
  <c r="C45" i="1856" l="1"/>
  <c r="C44" i="1856"/>
  <c r="C45" i="1857"/>
  <c r="C44" i="1857"/>
  <c r="C45" i="1858"/>
  <c r="C44" i="1858"/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<sst xmlns="http://schemas.openxmlformats.org/spreadsheetml/2006/main" count="6170" uniqueCount="174">
  <si>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</si>
  <si>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</si>
  <si>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</si>
  <si>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</si>
  <si>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</si>
  <si>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</si>
  <si>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</si>
  <si>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</si>
  <si>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</si>
  <si>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</si>
  <si>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</si>
  <si>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</si>
  <si>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</si>
  <si>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</si>
  <si>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</si>
  <si>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</si>
  <si>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</si>
  <si>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</si>
  <si>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</si>
  <si>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</si>
  <si>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</si>
  <si>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</si>
  <si>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</si>
  <si>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</si>
  <si>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</si>
  <si>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</si>
  <si>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</si>
  <si>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</si>
  <si>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</si>
  <si>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</si>
  <si>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</si>
  <si>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</si>
  <si>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</si>
  <si>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</si>
  <si>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</si>
  <si>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</si>
  <si>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</si>
  <si>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</si>
  <si>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</si>
  <si>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</si>
  <si>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</si>
  <si>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</si>
  <si>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</si>
  <si>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</si>
  <si>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</si>
  <si>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</si>
  <si>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</si>
  <si>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</si>
  <si>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</si>
  <si>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</si>
  <si>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</si>
  <si>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</si>
  <si>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</si>
  <si>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</si>
  <si>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</si>
  <si>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</si>
  <si>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</si>
  <si>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</si>
  <si>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</si>
  <si>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</si>
  <si>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</si>
  <si>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</si>
  <si>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</si>
  <si>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</si>
  <si>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</si>
  <si>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</si>
  <si>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</si>
  <si>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</si>
  <si>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</si>
  <si>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</si>
  <si>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</si>
  <si>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</si>
  <si>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</si>
  <si>
    <t>17/3B</t>
  </si>
  <si>
    <t>5/5B</t>
  </si>
  <si>
    <t>22/8B</t>
  </si>
  <si>
    <t>10/3B</t>
  </si>
  <si>
    <t>2</t>
  </si>
  <si>
    <t>12B</t>
  </si>
  <si>
    <t>25/8B</t>
  </si>
  <si>
    <t>26/8B</t>
  </si>
  <si>
    <t>2/8B</t>
  </si>
  <si>
    <t>10/8B</t>
  </si>
  <si>
    <t>17/5B</t>
  </si>
  <si>
    <t>20/5B</t>
  </si>
  <si>
    <t>11/4B</t>
  </si>
  <si>
    <t>1/20B</t>
  </si>
  <si>
    <t>DATE ___________08/06/2026___________</t>
  </si>
  <si>
    <t>DATE ___________08/08/2026___________</t>
  </si>
  <si>
    <t>DATE ___________08/07/2026___________</t>
  </si>
  <si>
    <t>DATE ___________08/10/2026___________</t>
  </si>
  <si>
    <t>DATE ___________08/05/2026___________</t>
  </si>
  <si>
    <t>11/20B</t>
  </si>
  <si>
    <t>1/10B</t>
  </si>
  <si>
    <t>10/10B</t>
  </si>
  <si>
    <t>11/5B</t>
  </si>
  <si>
    <t>5B</t>
  </si>
  <si>
    <t>11/10B</t>
  </si>
  <si>
    <t>1/12B</t>
  </si>
  <si>
    <t>11/12B</t>
  </si>
  <si>
    <t>5/3B</t>
  </si>
  <si>
    <t>14/4B</t>
  </si>
  <si>
    <t>16/12B</t>
  </si>
  <si>
    <t>3/17B</t>
  </si>
  <si>
    <t>4/7B</t>
  </si>
  <si>
    <t>1</t>
  </si>
  <si>
    <t>10/5B</t>
  </si>
  <si>
    <t>7/1B</t>
  </si>
  <si>
    <t>5/7B</t>
  </si>
  <si>
    <t>12/8B</t>
  </si>
  <si>
    <t>DATE ___________08/11/2026___________</t>
  </si>
  <si>
    <t>DATE ___________08/12/2026___________</t>
  </si>
  <si>
    <t>DATE ___________08/13/2026___________</t>
  </si>
  <si>
    <t>DATE ___________08/14/2026___________</t>
  </si>
  <si>
    <t>DATE ___________08/15/2026___________</t>
  </si>
  <si>
    <t>12/3B</t>
  </si>
  <si>
    <t>8/4B</t>
  </si>
  <si>
    <t>20/3B</t>
  </si>
  <si>
    <t>16/17B</t>
  </si>
  <si>
    <t>1/7B</t>
  </si>
  <si>
    <t>6/7B</t>
  </si>
  <si>
    <t>8/14B</t>
  </si>
  <si>
    <t>9/10B</t>
  </si>
  <si>
    <t>10/18B</t>
  </si>
  <si>
    <t>13B</t>
  </si>
  <si>
    <t>11/7B</t>
  </si>
  <si>
    <t>15/3B</t>
  </si>
  <si>
    <t>3/1B</t>
  </si>
  <si>
    <t>18/4B</t>
  </si>
  <si>
    <t>19/10B</t>
  </si>
  <si>
    <t>10/13B</t>
  </si>
  <si>
    <t>7/12B</t>
  </si>
  <si>
    <t>18/1B</t>
  </si>
  <si>
    <t>20/13B</t>
  </si>
  <si>
    <t>4/11B</t>
  </si>
  <si>
    <t>16/2B</t>
  </si>
  <si>
    <t>1/14B</t>
  </si>
  <si>
    <t>8/10B</t>
  </si>
  <si>
    <t>9/2B</t>
  </si>
  <si>
    <t>2/12B</t>
  </si>
  <si>
    <t>11/14B</t>
  </si>
  <si>
    <t>4/9B</t>
  </si>
  <si>
    <t>2/15B</t>
  </si>
  <si>
    <t>19/11B</t>
  </si>
  <si>
    <t>26/6B</t>
  </si>
  <si>
    <t>6/5B</t>
  </si>
  <si>
    <t>20/1B</t>
  </si>
  <si>
    <t>DATE ___________08/17/2026___________</t>
  </si>
  <si>
    <t>19B</t>
  </si>
  <si>
    <t>15/5B</t>
  </si>
  <si>
    <t>20/12B</t>
  </si>
  <si>
    <t>2/18B</t>
  </si>
  <si>
    <t>17/18B</t>
  </si>
  <si>
    <t>14/5B</t>
  </si>
  <si>
    <t>26/5B</t>
  </si>
  <si>
    <t>DATE ___________08/18/2026___________</t>
  </si>
  <si>
    <t>24/5B</t>
  </si>
  <si>
    <t>10/4B</t>
  </si>
  <si>
    <t>10/15B</t>
  </si>
  <si>
    <t>20/19B</t>
  </si>
  <si>
    <t>7/21B</t>
  </si>
  <si>
    <t>2/21B</t>
  </si>
  <si>
    <t>DATE ___________08/19/2026___________</t>
  </si>
  <si>
    <t>12/20B</t>
  </si>
  <si>
    <t>2/4B</t>
  </si>
  <si>
    <t>12/21B</t>
  </si>
  <si>
    <t>18B</t>
  </si>
  <si>
    <t>9/5B</t>
  </si>
  <si>
    <t>DATE ___________08/20/2026___________</t>
  </si>
  <si>
    <t>12/10B</t>
  </si>
  <si>
    <t>11/18B</t>
  </si>
  <si>
    <t>8/12B</t>
  </si>
  <si>
    <t>3/6B</t>
  </si>
  <si>
    <t>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</si>
</sst>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32</v>
      </c>
      <c r="I24" s="14"/>
      <c r="J24" s="14"/>
      <c r="K24" s="14">
        <v>2</v>
      </c>
      <c r="L24" s="14">
        <v>10</v>
      </c>
      <c r="M24" s="14">
        <v>369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2</v>
      </c>
      <c r="L31" s="23">
        <v>1</v>
      </c>
      <c r="M31" s="23">
        <v>86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32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4</v>
      </c>
      <c r="H36" s="42"/>
      <c r="I36" s="42">
        <v>11</v>
      </c>
      <c r="J36" s="42">
        <v>1</v>
      </c>
      <c r="K36" s="42">
        <v>5</v>
      </c>
      <c r="L36" s="42">
        <v>1</v>
      </c>
      <c r="M36" s="42">
        <v>1</v>
      </c>
      <c r="N36" s="42">
        <v>16</v>
      </c>
      <c r="O36" s="42">
        <v>1</v>
      </c>
      <c r="P36" s="42">
        <v>2</v>
      </c>
      <c r="Q36" s="43">
        <v>13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4</v>
      </c>
      <c r="H42" s="42"/>
      <c r="I42" s="42">
        <v>11</v>
      </c>
      <c r="J42" s="42">
        <v>1</v>
      </c>
      <c r="K42" s="42">
        <v>5</v>
      </c>
      <c r="L42" s="42">
        <v>1</v>
      </c>
      <c r="M42" s="42">
        <v>1</v>
      </c>
      <c r="N42" s="42">
        <v>16</v>
      </c>
      <c r="O42" s="42">
        <v>1</v>
      </c>
      <c r="P42" s="42">
        <v>2</v>
      </c>
      <c r="Q42" s="43">
        <v>13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1+2+1+32+9+283</f>
        <v>328</v>
      </c>
      <c r="D44" s="103"/>
      <c r="E44" s="103"/>
    </row>
    <row r="45" spans="2:25" x14ac:dyDescent="0.25">
      <c r="B45" s="76" t="s">
        <v>69</v>
      </c>
      <c r="C45" s="103">
        <f>8</f>
        <v>8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>
        <v>1</v>
      </c>
      <c r="F8" s="14">
        <v>1</v>
      </c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3</v>
      </c>
      <c r="D24" s="14"/>
      <c r="E24" s="14"/>
      <c r="F24" s="78"/>
      <c r="G24" s="14"/>
      <c r="H24" s="14">
        <v>168</v>
      </c>
      <c r="I24" s="14">
        <v>1</v>
      </c>
      <c r="J24" s="14"/>
      <c r="K24" s="14"/>
      <c r="L24" s="14">
        <v>9</v>
      </c>
      <c r="M24" s="14">
        <v>615</v>
      </c>
      <c r="N24" s="14">
        <v>2</v>
      </c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0</v>
      </c>
      <c r="I31" s="23">
        <v>0</v>
      </c>
      <c r="J31" s="23"/>
      <c r="K31" s="23"/>
      <c r="L31" s="23">
        <v>3</v>
      </c>
      <c r="M31" s="23">
        <v>128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/>
      <c r="G32" s="28"/>
      <c r="H32" s="28">
        <v>168</v>
      </c>
      <c r="I32" s="28">
        <v>1</v>
      </c>
      <c r="J32" s="28"/>
      <c r="K32" s="28"/>
      <c r="L32" s="28">
        <v>6</v>
      </c>
      <c r="M32" s="28">
        <v>487</v>
      </c>
      <c r="N32" s="28">
        <v>2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664</v>
      </c>
      <c r="G36" s="42">
        <v>3</v>
      </c>
      <c r="H36" s="42">
        <v>10</v>
      </c>
      <c r="I36" s="42">
        <v>2</v>
      </c>
      <c r="J36" s="42"/>
      <c r="K36" s="42">
        <v>10</v>
      </c>
      <c r="L36" s="42">
        <v>7</v>
      </c>
      <c r="M36" s="42"/>
      <c r="N36" s="42"/>
      <c r="O36" s="42">
        <v>8</v>
      </c>
      <c r="P36" s="42">
        <v>8</v>
      </c>
      <c r="Q36" s="43">
        <v>4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664</v>
      </c>
      <c r="G42" s="42">
        <v>3</v>
      </c>
      <c r="H42" s="42">
        <v>10</v>
      </c>
      <c r="I42" s="42">
        <v>2</v>
      </c>
      <c r="J42" s="42"/>
      <c r="K42" s="42">
        <v>10</v>
      </c>
      <c r="L42" s="42">
        <v>7</v>
      </c>
      <c r="M42" s="42"/>
      <c r="N42" s="42"/>
      <c r="O42" s="42">
        <v>8</v>
      </c>
      <c r="P42" s="42">
        <v>8</v>
      </c>
      <c r="Q42" s="43">
        <v>4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1+1+25+1+2+168+1+6+487+2+1</f>
        <v>695</v>
      </c>
      <c r="D44" s="103"/>
      <c r="E44" s="103"/>
    </row>
    <row r="45" spans="2:25" x14ac:dyDescent="0.25">
      <c r="B45" s="76" t="s">
        <v>69</v>
      </c>
      <c r="C45" s="103">
        <f>8</f>
        <v>8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73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/>
      <c r="L24" s="14">
        <v>20</v>
      </c>
      <c r="M24" s="14">
        <v>540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/>
      <c r="L31" s="23">
        <v>6</v>
      </c>
      <c r="M31" s="23">
        <v>112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81</v>
      </c>
      <c r="I32" s="28"/>
      <c r="J32" s="28"/>
      <c r="K32" s="28"/>
      <c r="L32" s="28">
        <v>14</v>
      </c>
      <c r="M32" s="28">
        <v>428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572</v>
      </c>
      <c r="G36" s="42">
        <v>4</v>
      </c>
      <c r="H36" s="42">
        <v>5</v>
      </c>
      <c r="I36" s="42">
        <v>16</v>
      </c>
      <c r="J36" s="42"/>
      <c r="K36" s="42">
        <v>3</v>
      </c>
      <c r="L36" s="42">
        <v>1</v>
      </c>
      <c r="M36" s="42"/>
      <c r="N36" s="42">
        <v>5</v>
      </c>
      <c r="O36" s="42">
        <v>6</v>
      </c>
      <c r="P36" s="42">
        <v>11</v>
      </c>
      <c r="Q36" s="43">
        <v>15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572</v>
      </c>
      <c r="G42" s="42">
        <v>4</v>
      </c>
      <c r="H42" s="42">
        <v>5</v>
      </c>
      <c r="I42" s="42">
        <v>16</v>
      </c>
      <c r="J42" s="42"/>
      <c r="K42" s="42">
        <v>3</v>
      </c>
      <c r="L42" s="42">
        <v>1</v>
      </c>
      <c r="M42" s="42"/>
      <c r="N42" s="42">
        <v>5</v>
      </c>
      <c r="O42" s="42">
        <v>6</v>
      </c>
      <c r="P42" s="42">
        <v>11</v>
      </c>
      <c r="Q42" s="43">
        <v>15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17+2+1+2+81+14+428</f>
        <v>545</v>
      </c>
      <c r="D44" s="103"/>
      <c r="E44" s="103"/>
    </row>
    <row r="45" spans="2:25" x14ac:dyDescent="0.25">
      <c r="B45" s="76" t="s">
        <v>69</v>
      </c>
      <c r="C45" s="103">
        <f>3</f>
        <v>3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/>
      <c r="G15" s="23"/>
      <c r="H15" s="23" t="s">
        <v>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1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0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514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3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83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466</v>
      </c>
      <c r="G36" s="42">
        <v>1</v>
      </c>
      <c r="H36" s="42">
        <v>1</v>
      </c>
      <c r="I36" s="42">
        <v>5</v>
      </c>
      <c r="J36" s="42"/>
      <c r="K36" s="42"/>
      <c r="L36" s="42"/>
      <c r="M36" s="42"/>
      <c r="N36" s="42"/>
      <c r="O36" s="42"/>
      <c r="P36" s="42">
        <v>9</v>
      </c>
      <c r="Q36" s="43">
        <v>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466</v>
      </c>
      <c r="G42" s="42">
        <v>1</v>
      </c>
      <c r="H42" s="42">
        <v>1</v>
      </c>
      <c r="I42" s="42">
        <v>5</v>
      </c>
      <c r="J42" s="42"/>
      <c r="K42" s="42"/>
      <c r="L42" s="42"/>
      <c r="M42" s="42"/>
      <c r="N42" s="42"/>
      <c r="O42" s="42"/>
      <c r="P42" s="42">
        <v>9</v>
      </c>
      <c r="Q42" s="43">
        <v>5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11+20+2+431</f>
        <v>464</v>
      </c>
      <c r="D44" s="103"/>
      <c r="E44" s="103"/>
    </row>
    <row r="45" spans="2:25" x14ac:dyDescent="0.25">
      <c r="B45" s="76" t="s">
        <v>69</v>
      </c>
      <c r="C45" s="103">
        <f>4</f>
        <v>4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56</v>
      </c>
      <c r="I24" s="14"/>
      <c r="J24" s="14"/>
      <c r="K24" s="14"/>
      <c r="L24" s="14">
        <v>27</v>
      </c>
      <c r="M24" s="14">
        <v>652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23</v>
      </c>
      <c r="M31" s="23">
        <v>104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55</v>
      </c>
      <c r="I32" s="28"/>
      <c r="J32" s="28"/>
      <c r="K32" s="28"/>
      <c r="L32" s="28">
        <v>4</v>
      </c>
      <c r="M32" s="28">
        <v>548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>
        <v>2</v>
      </c>
      <c r="H36" s="42">
        <v>5</v>
      </c>
      <c r="I36" s="42">
        <v>6</v>
      </c>
      <c r="J36" s="42"/>
      <c r="K36" s="42"/>
      <c r="L36" s="42">
        <v>5</v>
      </c>
      <c r="M36" s="42">
        <v>1</v>
      </c>
      <c r="N36" s="42">
        <v>14</v>
      </c>
      <c r="O36" s="42">
        <v>9</v>
      </c>
      <c r="P36" s="42">
        <v>9</v>
      </c>
      <c r="Q36" s="43">
        <v>2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>
        <v>2</v>
      </c>
      <c r="H42" s="42">
        <v>5</v>
      </c>
      <c r="I42" s="42">
        <v>6</v>
      </c>
      <c r="J42" s="42"/>
      <c r="K42" s="42"/>
      <c r="L42" s="42">
        <v>5</v>
      </c>
      <c r="M42" s="42">
        <v>1</v>
      </c>
      <c r="N42" s="42">
        <v>14</v>
      </c>
      <c r="O42" s="42">
        <v>9</v>
      </c>
      <c r="P42" s="42">
        <v>9</v>
      </c>
      <c r="Q42" s="43">
        <v>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17+2+4+55+4+548</f>
        <v>630</v>
      </c>
      <c r="D44" s="103"/>
      <c r="E44" s="103"/>
    </row>
    <row r="45" spans="2:25" x14ac:dyDescent="0.25">
      <c r="B45" s="76" t="s">
        <v>69</v>
      </c>
      <c r="C45" s="103">
        <f>5</f>
        <v>5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6571-CF25-4678-B6D0-4645912075C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5E81-9B9D-499E-BD02-1FF77BF73DC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2</v>
      </c>
      <c r="L24" s="14">
        <v>17</v>
      </c>
      <c r="M24" s="14">
        <v>302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5</v>
      </c>
      <c r="I31" s="23"/>
      <c r="J31" s="23"/>
      <c r="K31" s="23">
        <v>2</v>
      </c>
      <c r="L31" s="23">
        <v>12</v>
      </c>
      <c r="M31" s="23">
        <v>66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113</v>
      </c>
      <c r="I32" s="28"/>
      <c r="J32" s="28"/>
      <c r="K32" s="28">
        <v>0</v>
      </c>
      <c r="L32" s="28">
        <v>15</v>
      </c>
      <c r="M32" s="28">
        <v>236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2</v>
      </c>
      <c r="H36" s="42">
        <v>5</v>
      </c>
      <c r="I36" s="42">
        <v>9</v>
      </c>
      <c r="J36" s="42">
        <v>1</v>
      </c>
      <c r="K36" s="42">
        <v>2</v>
      </c>
      <c r="L36" s="42">
        <v>3</v>
      </c>
      <c r="M36" s="42"/>
      <c r="N36" s="42"/>
      <c r="O36" s="42">
        <v>5</v>
      </c>
      <c r="P36" s="42">
        <v>4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2</v>
      </c>
      <c r="H42" s="42">
        <v>5</v>
      </c>
      <c r="I42" s="42">
        <v>9</v>
      </c>
      <c r="J42" s="42">
        <v>1</v>
      </c>
      <c r="K42" s="42">
        <v>2</v>
      </c>
      <c r="L42" s="42">
        <v>3</v>
      </c>
      <c r="M42" s="42"/>
      <c r="N42" s="42"/>
      <c r="O42" s="42">
        <v>5</v>
      </c>
      <c r="P42" s="42">
        <v>4</v>
      </c>
      <c r="Q42" s="43">
        <v>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3">
        <f>8+113+15+236</f>
        <v>372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259-9426-4E87-8477-6ED5679A00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>
        <v>2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24</v>
      </c>
      <c r="I24" s="14">
        <v>1</v>
      </c>
      <c r="J24" s="14"/>
      <c r="K24" s="14">
        <v>1</v>
      </c>
      <c r="L24" s="14">
        <v>12</v>
      </c>
      <c r="M24" s="14">
        <v>454</v>
      </c>
      <c r="N24" s="14"/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3</v>
      </c>
      <c r="G31" s="23"/>
      <c r="H31" s="23">
        <v>3</v>
      </c>
      <c r="I31" s="23">
        <v>0</v>
      </c>
      <c r="J31" s="23"/>
      <c r="K31" s="23">
        <v>1</v>
      </c>
      <c r="L31" s="23">
        <v>12</v>
      </c>
      <c r="M31" s="23">
        <v>132</v>
      </c>
      <c r="N31" s="23"/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21</v>
      </c>
      <c r="I32" s="28">
        <v>1</v>
      </c>
      <c r="J32" s="28"/>
      <c r="K32" s="28">
        <v>0</v>
      </c>
      <c r="L32" s="28">
        <v>0</v>
      </c>
      <c r="M32" s="28">
        <v>322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15</v>
      </c>
      <c r="F36" s="42">
        <v>316</v>
      </c>
      <c r="G36" s="42">
        <v>10</v>
      </c>
      <c r="H36" s="42">
        <v>2</v>
      </c>
      <c r="I36" s="42">
        <v>2</v>
      </c>
      <c r="J36" s="42"/>
      <c r="K36" s="42">
        <v>24</v>
      </c>
      <c r="L36" s="42"/>
      <c r="M36" s="42">
        <v>1</v>
      </c>
      <c r="N36" s="42">
        <v>1</v>
      </c>
      <c r="O36" s="42">
        <v>4</v>
      </c>
      <c r="P36" s="42">
        <v>6</v>
      </c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15</v>
      </c>
      <c r="F42" s="42">
        <v>316</v>
      </c>
      <c r="G42" s="42">
        <v>10</v>
      </c>
      <c r="H42" s="42">
        <v>2</v>
      </c>
      <c r="I42" s="42">
        <v>2</v>
      </c>
      <c r="J42" s="42"/>
      <c r="K42" s="42">
        <v>24</v>
      </c>
      <c r="L42" s="42"/>
      <c r="M42" s="42">
        <v>1</v>
      </c>
      <c r="N42" s="42">
        <v>1</v>
      </c>
      <c r="O42" s="42">
        <v>4</v>
      </c>
      <c r="P42" s="42">
        <v>6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3">
        <f>2+10+1+1+1+21+1+322+1</f>
        <v>360</v>
      </c>
      <c r="D44" s="103"/>
      <c r="E44" s="103"/>
    </row>
    <row r="45" spans="2:25" x14ac:dyDescent="0.25">
      <c r="B45" s="76" t="s">
        <v>69</v>
      </c>
      <c r="C45" s="103">
        <v>10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46F00-3A13-4DF3-90F2-F4B30087CD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9D293-EB9B-4B22-B4AB-C068100AA3F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F2B0B-07F2-49BA-8C3A-F8E698E5C3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D637-7EA6-4198-909E-F663842A6C88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29</v>
      </c>
      <c r="I24" s="14"/>
      <c r="J24" s="14"/>
      <c r="K24" s="14">
        <v>69</v>
      </c>
      <c r="L24" s="14">
        <v>12</v>
      </c>
      <c r="M24" s="14">
        <v>428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28</v>
      </c>
      <c r="I32" s="28"/>
      <c r="J32" s="28"/>
      <c r="K32" s="28">
        <v>67</v>
      </c>
      <c r="L32" s="28">
        <v>12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457</v>
      </c>
      <c r="G36" s="42"/>
      <c r="H36" s="42"/>
      <c r="I36" s="42">
        <v>4</v>
      </c>
      <c r="J36" s="42"/>
      <c r="K36" s="42"/>
      <c r="L36" s="42">
        <v>67</v>
      </c>
      <c r="M36" s="42"/>
      <c r="N36" s="42"/>
      <c r="O36" s="42">
        <v>11</v>
      </c>
      <c r="P36" s="42">
        <v>6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457</v>
      </c>
      <c r="G42" s="42"/>
      <c r="H42" s="42"/>
      <c r="I42" s="42">
        <v>4</v>
      </c>
      <c r="J42" s="42"/>
      <c r="K42" s="42"/>
      <c r="L42" s="42">
        <v>67</v>
      </c>
      <c r="M42" s="42"/>
      <c r="N42" s="42"/>
      <c r="O42" s="42">
        <v>11</v>
      </c>
      <c r="P42" s="42">
        <v>6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v>506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1F4F-209E-44AB-92EE-0C4CF57A70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 t="s">
        <v>78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78</v>
      </c>
      <c r="E15" s="23"/>
      <c r="F15" s="23"/>
      <c r="G15" s="23"/>
      <c r="H15" s="23" t="s">
        <v>96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95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</v>
      </c>
      <c r="I24" s="14"/>
      <c r="J24" s="14"/>
      <c r="K24" s="14">
        <v>20</v>
      </c>
      <c r="L24" s="14">
        <v>12</v>
      </c>
      <c r="M24" s="14">
        <v>455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88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0</v>
      </c>
      <c r="I32" s="28"/>
      <c r="J32" s="28"/>
      <c r="K32" s="28">
        <v>20</v>
      </c>
      <c r="L32" s="28">
        <v>12</v>
      </c>
      <c r="M32" s="28">
        <v>367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378</v>
      </c>
      <c r="G36" s="42">
        <v>6</v>
      </c>
      <c r="H36" s="42"/>
      <c r="I36" s="42"/>
      <c r="J36" s="42">
        <v>1</v>
      </c>
      <c r="K36" s="42">
        <v>9</v>
      </c>
      <c r="L36" s="42">
        <v>13</v>
      </c>
      <c r="M36" s="42">
        <v>7</v>
      </c>
      <c r="N36" s="42">
        <v>2</v>
      </c>
      <c r="O36" s="42">
        <v>2</v>
      </c>
      <c r="P36" s="42">
        <v>6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378</v>
      </c>
      <c r="G42" s="42">
        <v>6</v>
      </c>
      <c r="H42" s="42"/>
      <c r="I42" s="42"/>
      <c r="J42" s="42">
        <v>1</v>
      </c>
      <c r="K42" s="42">
        <v>9</v>
      </c>
      <c r="L42" s="42">
        <v>13</v>
      </c>
      <c r="M42" s="42">
        <v>7</v>
      </c>
      <c r="N42" s="42">
        <v>2</v>
      </c>
      <c r="O42" s="42">
        <v>2</v>
      </c>
      <c r="P42" s="42">
        <v>6</v>
      </c>
      <c r="Q42" s="43">
        <v>8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1+11+1+3+20+12+367</f>
        <v>415</v>
      </c>
      <c r="D44" s="103"/>
      <c r="E44" s="103"/>
    </row>
    <row r="45" spans="2:25" x14ac:dyDescent="0.25">
      <c r="B45" s="76" t="s">
        <v>69</v>
      </c>
      <c r="C45" s="103">
        <v>5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911E-8D6F-4CED-8C8F-345B7EA17E0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00470-A79D-4F50-9271-0D4DE24985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104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15</v>
      </c>
      <c r="M24" s="14">
        <v>602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/>
      <c r="J31" s="23"/>
      <c r="K31" s="23">
        <v>2</v>
      </c>
      <c r="L31" s="23">
        <v>0</v>
      </c>
      <c r="M31" s="23">
        <v>120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37</v>
      </c>
      <c r="I32" s="28"/>
      <c r="J32" s="28"/>
      <c r="K32" s="28">
        <v>0</v>
      </c>
      <c r="L32" s="28">
        <v>15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528</v>
      </c>
      <c r="G36" s="42"/>
      <c r="H36" s="42">
        <v>4</v>
      </c>
      <c r="I36" s="42">
        <v>7</v>
      </c>
      <c r="J36" s="42">
        <v>2</v>
      </c>
      <c r="K36" s="42">
        <v>15</v>
      </c>
      <c r="L36" s="42"/>
      <c r="M36" s="42"/>
      <c r="N36" s="42"/>
      <c r="O36" s="42">
        <v>3</v>
      </c>
      <c r="P36" s="42"/>
      <c r="Q36" s="43">
        <v>15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528</v>
      </c>
      <c r="G42" s="42"/>
      <c r="H42" s="42">
        <v>4</v>
      </c>
      <c r="I42" s="42">
        <v>7</v>
      </c>
      <c r="J42" s="42">
        <v>2</v>
      </c>
      <c r="K42" s="42">
        <v>15</v>
      </c>
      <c r="L42" s="42"/>
      <c r="M42" s="42"/>
      <c r="N42" s="42"/>
      <c r="O42" s="42">
        <v>3</v>
      </c>
      <c r="P42" s="42"/>
      <c r="Q42" s="43">
        <v>15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3+2+37+15+482</f>
        <v>539</v>
      </c>
      <c r="D44" s="103"/>
      <c r="E44" s="103"/>
    </row>
    <row r="45" spans="2:25" x14ac:dyDescent="0.25">
      <c r="B45" s="76" t="s">
        <v>69</v>
      </c>
      <c r="C45" s="103">
        <v>17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AE3C-8916-458C-8843-53D675192B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12</v>
      </c>
      <c r="M24" s="14">
        <v>416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12</v>
      </c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448</v>
      </c>
      <c r="G36" s="42">
        <v>7</v>
      </c>
      <c r="H36" s="42">
        <v>1</v>
      </c>
      <c r="I36" s="42">
        <v>9</v>
      </c>
      <c r="J36" s="42"/>
      <c r="K36" s="42">
        <v>7</v>
      </c>
      <c r="L36" s="42"/>
      <c r="M36" s="42"/>
      <c r="N36" s="42"/>
      <c r="O36" s="42">
        <v>2</v>
      </c>
      <c r="P36" s="42">
        <v>9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448</v>
      </c>
      <c r="G42" s="42">
        <v>7</v>
      </c>
      <c r="H42" s="42">
        <v>1</v>
      </c>
      <c r="I42" s="42">
        <v>9</v>
      </c>
      <c r="J42" s="42"/>
      <c r="K42" s="42">
        <v>7</v>
      </c>
      <c r="L42" s="42"/>
      <c r="M42" s="42"/>
      <c r="N42" s="42"/>
      <c r="O42" s="42">
        <v>2</v>
      </c>
      <c r="P42" s="42">
        <v>9</v>
      </c>
      <c r="Q42" s="43">
        <v>8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10+1+24+12+373</f>
        <v>420</v>
      </c>
      <c r="D44" s="103"/>
      <c r="E44" s="103"/>
    </row>
    <row r="45" spans="2:25" x14ac:dyDescent="0.25">
      <c r="B45" s="76" t="s">
        <v>69</v>
      </c>
      <c r="C45" s="103">
        <v>5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2F7C-9E4D-47FE-8C54-28D0B46D4F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 t="s">
        <v>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6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4</v>
      </c>
      <c r="L24" s="14">
        <v>20</v>
      </c>
      <c r="M24" s="14">
        <v>475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3</v>
      </c>
      <c r="L31" s="23">
        <v>16</v>
      </c>
      <c r="M31" s="23">
        <v>88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1</v>
      </c>
      <c r="L32" s="28">
        <v>4</v>
      </c>
      <c r="M32" s="28">
        <v>387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481</v>
      </c>
      <c r="G36" s="42">
        <v>10</v>
      </c>
      <c r="H36" s="42"/>
      <c r="I36" s="42">
        <v>21</v>
      </c>
      <c r="J36" s="42">
        <v>1</v>
      </c>
      <c r="K36" s="42">
        <v>5</v>
      </c>
      <c r="L36" s="42"/>
      <c r="M36" s="42"/>
      <c r="N36" s="42"/>
      <c r="O36" s="42">
        <v>14</v>
      </c>
      <c r="P36" s="42"/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481</v>
      </c>
      <c r="G42" s="42">
        <v>10</v>
      </c>
      <c r="H42" s="42"/>
      <c r="I42" s="42">
        <v>21</v>
      </c>
      <c r="J42" s="42">
        <v>1</v>
      </c>
      <c r="K42" s="42">
        <v>5</v>
      </c>
      <c r="L42" s="42"/>
      <c r="M42" s="42"/>
      <c r="N42" s="42"/>
      <c r="O42" s="42">
        <v>14</v>
      </c>
      <c r="P42" s="42"/>
      <c r="Q42" s="43">
        <v>4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1+1+14+108+1+4+387</f>
        <v>516</v>
      </c>
      <c r="D44" s="103"/>
      <c r="E44" s="103"/>
    </row>
    <row r="45" spans="2:25" x14ac:dyDescent="0.25">
      <c r="B45" s="76" t="s">
        <v>69</v>
      </c>
      <c r="C45" s="103">
        <v>4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BF31-0952-4675-B6C5-B434721BE86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A099-27A4-4D4C-9217-C77C84E31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5C603-999F-43DA-B7EE-5B51AAFE7B2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15</v>
      </c>
      <c r="I24" s="14"/>
      <c r="J24" s="14"/>
      <c r="K24" s="14">
        <v>2</v>
      </c>
      <c r="L24" s="14">
        <v>9</v>
      </c>
      <c r="M24" s="14">
        <v>366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0</v>
      </c>
      <c r="M31" s="23">
        <v>93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9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>
        <v>1</v>
      </c>
      <c r="H36" s="42">
        <v>4</v>
      </c>
      <c r="I36" s="42"/>
      <c r="J36" s="42">
        <v>1</v>
      </c>
      <c r="K36" s="42">
        <v>3</v>
      </c>
      <c r="L36" s="42">
        <v>1</v>
      </c>
      <c r="M36" s="42"/>
      <c r="N36" s="42"/>
      <c r="O36" s="42">
        <v>1</v>
      </c>
      <c r="P36" s="42">
        <v>13</v>
      </c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>
        <v>1</v>
      </c>
      <c r="H42" s="42">
        <v>4</v>
      </c>
      <c r="I42" s="42"/>
      <c r="J42" s="42">
        <v>1</v>
      </c>
      <c r="K42" s="42">
        <v>3</v>
      </c>
      <c r="L42" s="42">
        <v>1</v>
      </c>
      <c r="M42" s="42"/>
      <c r="N42" s="42"/>
      <c r="O42" s="42">
        <v>1</v>
      </c>
      <c r="P42" s="42">
        <v>13</v>
      </c>
      <c r="Q42" s="43">
        <v>4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11+12+9+273</f>
        <v>305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3EB02-BDD3-4B41-B221-809E4DC7A2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109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3</v>
      </c>
      <c r="L24" s="14">
        <v>16</v>
      </c>
      <c r="M24" s="14">
        <v>409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3</v>
      </c>
      <c r="L31" s="23">
        <v>10</v>
      </c>
      <c r="M31" s="23">
        <v>129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6</v>
      </c>
      <c r="M32" s="28">
        <v>280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224</v>
      </c>
      <c r="G36" s="42">
        <v>7</v>
      </c>
      <c r="H36" s="42"/>
      <c r="I36" s="42">
        <v>4</v>
      </c>
      <c r="J36" s="42">
        <v>2</v>
      </c>
      <c r="K36" s="42">
        <v>1</v>
      </c>
      <c r="L36" s="42">
        <v>1</v>
      </c>
      <c r="M36" s="42">
        <v>1</v>
      </c>
      <c r="N36" s="42">
        <v>1</v>
      </c>
      <c r="O36" s="42">
        <v>2</v>
      </c>
      <c r="P36" s="42">
        <v>4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224</v>
      </c>
      <c r="G42" s="42">
        <v>7</v>
      </c>
      <c r="H42" s="42"/>
      <c r="I42" s="42">
        <v>4</v>
      </c>
      <c r="J42" s="42">
        <v>2</v>
      </c>
      <c r="K42" s="42">
        <v>1</v>
      </c>
      <c r="L42" s="42">
        <v>1</v>
      </c>
      <c r="M42" s="42">
        <v>1</v>
      </c>
      <c r="N42" s="42">
        <v>1</v>
      </c>
      <c r="O42" s="42">
        <v>2</v>
      </c>
      <c r="P42" s="42">
        <v>4</v>
      </c>
      <c r="Q42" s="43">
        <v>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7+2+2+108+6+280</f>
        <v>405</v>
      </c>
      <c r="D44" s="103"/>
      <c r="E44" s="103"/>
    </row>
    <row r="45" spans="2:25" x14ac:dyDescent="0.25">
      <c r="B45" s="76" t="s">
        <v>69</v>
      </c>
      <c r="C45" s="103">
        <v>1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9ADC-A312-40CE-8A4A-1F87CD2B5EF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3425-8DCA-4073-9E3F-0E2319B924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78">
        <v>46222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</v>
      </c>
      <c r="I24" s="14"/>
      <c r="J24" s="14"/>
      <c r="K24" s="14">
        <v>2</v>
      </c>
      <c r="L24" s="14">
        <v>5</v>
      </c>
      <c r="M24" s="14">
        <v>552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3</v>
      </c>
      <c r="M31" s="23">
        <v>229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0</v>
      </c>
      <c r="L32" s="28">
        <v>2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418</v>
      </c>
      <c r="G36" s="42">
        <v>9</v>
      </c>
      <c r="H36" s="42">
        <v>5</v>
      </c>
      <c r="I36" s="42">
        <v>6</v>
      </c>
      <c r="J36" s="42">
        <v>1</v>
      </c>
      <c r="K36" s="42">
        <v>48</v>
      </c>
      <c r="L36" s="42">
        <v>2</v>
      </c>
      <c r="M36" s="42">
        <v>2</v>
      </c>
      <c r="N36" s="42">
        <v>13</v>
      </c>
      <c r="O36" s="42">
        <v>9</v>
      </c>
      <c r="P36" s="42">
        <v>9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418</v>
      </c>
      <c r="G42" s="42">
        <v>9</v>
      </c>
      <c r="H42" s="42">
        <v>5</v>
      </c>
      <c r="I42" s="42">
        <v>6</v>
      </c>
      <c r="J42" s="42">
        <v>1</v>
      </c>
      <c r="K42" s="42">
        <v>48</v>
      </c>
      <c r="L42" s="42">
        <v>2</v>
      </c>
      <c r="M42" s="42">
        <v>2</v>
      </c>
      <c r="N42" s="42">
        <v>13</v>
      </c>
      <c r="O42" s="42">
        <v>9</v>
      </c>
      <c r="P42" s="42">
        <v>9</v>
      </c>
      <c r="Q42" s="43">
        <v>11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6+1+8+2+323</f>
        <v>340</v>
      </c>
      <c r="D44" s="103"/>
      <c r="E44" s="103"/>
    </row>
    <row r="45" spans="2:25" x14ac:dyDescent="0.25">
      <c r="B45" s="76" t="s">
        <v>69</v>
      </c>
      <c r="C45" s="103">
        <v>7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BE68-72EB-4398-9800-846B1ECA0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126</v>
      </c>
      <c r="I24" s="14"/>
      <c r="J24" s="14"/>
      <c r="K24" s="14">
        <v>2</v>
      </c>
      <c r="L24" s="14">
        <v>5</v>
      </c>
      <c r="M24" s="14">
        <v>428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3</v>
      </c>
      <c r="M31" s="23">
        <v>67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125</v>
      </c>
      <c r="I32" s="28"/>
      <c r="J32" s="28"/>
      <c r="K32" s="28">
        <v>0</v>
      </c>
      <c r="L32" s="28">
        <v>2</v>
      </c>
      <c r="M32" s="28">
        <v>361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493</v>
      </c>
      <c r="G36" s="42">
        <v>2</v>
      </c>
      <c r="H36" s="42">
        <v>9</v>
      </c>
      <c r="I36" s="42"/>
      <c r="J36" s="42"/>
      <c r="K36" s="42">
        <v>2</v>
      </c>
      <c r="L36" s="42">
        <v>1</v>
      </c>
      <c r="M36" s="42"/>
      <c r="N36" s="42"/>
      <c r="O36" s="42">
        <v>5</v>
      </c>
      <c r="P36" s="42">
        <v>10</v>
      </c>
      <c r="Q36" s="43">
        <v>13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493</v>
      </c>
      <c r="G42" s="42">
        <v>2</v>
      </c>
      <c r="H42" s="42">
        <v>9</v>
      </c>
      <c r="I42" s="42"/>
      <c r="J42" s="42"/>
      <c r="K42" s="42">
        <v>2</v>
      </c>
      <c r="L42" s="42">
        <v>1</v>
      </c>
      <c r="M42" s="42"/>
      <c r="N42" s="42"/>
      <c r="O42" s="42">
        <v>5</v>
      </c>
      <c r="P42" s="42">
        <v>10</v>
      </c>
      <c r="Q42" s="43">
        <v>13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1+16+6+1+125+2+361</f>
        <v>512</v>
      </c>
      <c r="D44" s="103"/>
      <c r="E44" s="103"/>
    </row>
    <row r="45" spans="2:25" x14ac:dyDescent="0.25">
      <c r="B45" s="76" t="s">
        <v>69</v>
      </c>
      <c r="C45" s="103">
        <v>17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973C9-AE9D-4EAF-AC80-C028DAA279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94</v>
      </c>
      <c r="I24" s="14"/>
      <c r="J24" s="14"/>
      <c r="K24" s="14">
        <v>3</v>
      </c>
      <c r="L24" s="14">
        <v>26</v>
      </c>
      <c r="M24" s="14">
        <v>561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3</v>
      </c>
      <c r="L31" s="23">
        <v>0</v>
      </c>
      <c r="M31" s="23">
        <v>77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26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671</v>
      </c>
      <c r="G36" s="42"/>
      <c r="H36" s="42"/>
      <c r="I36" s="42">
        <v>12</v>
      </c>
      <c r="J36" s="42"/>
      <c r="K36" s="42"/>
      <c r="L36" s="42"/>
      <c r="M36" s="42"/>
      <c r="N36" s="42"/>
      <c r="O36" s="42">
        <v>12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671</v>
      </c>
      <c r="G42" s="42"/>
      <c r="H42" s="42"/>
      <c r="I42" s="42">
        <v>12</v>
      </c>
      <c r="J42" s="42"/>
      <c r="K42" s="42"/>
      <c r="L42" s="42"/>
      <c r="M42" s="42"/>
      <c r="N42" s="42"/>
      <c r="O42" s="42">
        <v>12</v>
      </c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12+92+26+484</f>
        <v>614</v>
      </c>
      <c r="D44" s="103"/>
      <c r="E44" s="103"/>
    </row>
    <row r="45" spans="2:25" x14ac:dyDescent="0.25">
      <c r="B45" s="76" t="s">
        <v>69</v>
      </c>
      <c r="C45" s="103">
        <v>3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2056A-202A-4536-B9EB-D3207D7AF79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BB27-D473-4C21-8613-8A367F247D66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>
        <v>1</v>
      </c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>
        <v>0</v>
      </c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>
        <v>1</v>
      </c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4</v>
      </c>
      <c r="G24" s="14"/>
      <c r="H24" s="14">
        <v>30</v>
      </c>
      <c r="I24" s="14"/>
      <c r="J24" s="14"/>
      <c r="K24" s="14">
        <v>2</v>
      </c>
      <c r="L24" s="14">
        <v>3</v>
      </c>
      <c r="M24" s="14">
        <v>536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134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4</v>
      </c>
      <c r="G32" s="28"/>
      <c r="H32" s="28">
        <v>30</v>
      </c>
      <c r="I32" s="28"/>
      <c r="J32" s="28"/>
      <c r="K32" s="28">
        <v>2</v>
      </c>
      <c r="L32" s="28">
        <v>3</v>
      </c>
      <c r="M32" s="28">
        <v>402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419</v>
      </c>
      <c r="G36" s="42">
        <v>16</v>
      </c>
      <c r="H36" s="42">
        <v>5</v>
      </c>
      <c r="I36" s="42">
        <v>2</v>
      </c>
      <c r="J36" s="42"/>
      <c r="K36" s="42">
        <v>25</v>
      </c>
      <c r="L36" s="42">
        <v>4</v>
      </c>
      <c r="M36" s="42"/>
      <c r="N36" s="42"/>
      <c r="O36" s="42">
        <v>8</v>
      </c>
      <c r="P36" s="42"/>
      <c r="Q36" s="43">
        <v>6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419</v>
      </c>
      <c r="G42" s="42">
        <v>16</v>
      </c>
      <c r="H42" s="42">
        <v>5</v>
      </c>
      <c r="I42" s="42">
        <v>2</v>
      </c>
      <c r="J42" s="42"/>
      <c r="K42" s="42">
        <v>25</v>
      </c>
      <c r="L42" s="42">
        <v>4</v>
      </c>
      <c r="M42" s="42"/>
      <c r="N42" s="42"/>
      <c r="O42" s="42">
        <v>8</v>
      </c>
      <c r="P42" s="42"/>
      <c r="Q42" s="43">
        <v>6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>
        <f>8+1+1+4+30+2+3+402+6</f>
        <v>457</v>
      </c>
      <c r="D44" s="103"/>
      <c r="E44" s="103"/>
    </row>
    <row r="45" spans="2:25" x14ac:dyDescent="0.25">
      <c r="B45" s="76" t="s">
        <v>69</v>
      </c>
      <c r="C45" s="103">
        <v>14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30F1C-026A-424B-BE68-B2F59755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124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28</v>
      </c>
      <c r="I24" s="14"/>
      <c r="J24" s="14"/>
      <c r="K24" s="14">
        <v>2</v>
      </c>
      <c r="L24" s="14">
        <v>3</v>
      </c>
      <c r="M24" s="14">
        <v>499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0</v>
      </c>
      <c r="M31" s="23">
        <v>155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3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426</v>
      </c>
      <c r="G36" s="42">
        <v>7</v>
      </c>
      <c r="H36" s="42">
        <v>1</v>
      </c>
      <c r="I36" s="42">
        <v>3</v>
      </c>
      <c r="J36" s="42"/>
      <c r="K36" s="42">
        <v>3</v>
      </c>
      <c r="L36" s="42"/>
      <c r="M36" s="42"/>
      <c r="N36" s="42"/>
      <c r="O36" s="42">
        <v>3</v>
      </c>
      <c r="P36" s="42">
        <v>9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426</v>
      </c>
      <c r="G42" s="42">
        <v>7</v>
      </c>
      <c r="H42" s="42">
        <v>1</v>
      </c>
      <c r="I42" s="42">
        <v>3</v>
      </c>
      <c r="J42" s="42"/>
      <c r="K42" s="42">
        <v>3</v>
      </c>
      <c r="L42" s="42"/>
      <c r="M42" s="42"/>
      <c r="N42" s="42"/>
      <c r="O42" s="42">
        <v>3</v>
      </c>
      <c r="P42" s="42">
        <v>9</v>
      </c>
      <c r="Q42" s="43">
        <v>19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>
        <f>10+23+3+344</f>
        <v>380</v>
      </c>
      <c r="D44" s="103"/>
      <c r="E44" s="103"/>
    </row>
    <row r="45" spans="2:25" x14ac:dyDescent="0.25">
      <c r="B45" s="76" t="s">
        <v>69</v>
      </c>
      <c r="C45" s="103">
        <v>18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D8E1-2114-424F-B6CA-B77E7D196D31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3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95</v>
      </c>
      <c r="I24" s="14"/>
      <c r="J24" s="14"/>
      <c r="K24" s="14"/>
      <c r="L24" s="14"/>
      <c r="M24" s="14">
        <v>509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65</v>
      </c>
      <c r="I31" s="23"/>
      <c r="J31" s="23"/>
      <c r="K31" s="23"/>
      <c r="L31" s="23"/>
      <c r="M31" s="23">
        <v>91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/>
      <c r="L32" s="28"/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434</v>
      </c>
      <c r="G36" s="42">
        <v>11</v>
      </c>
      <c r="H36" s="42"/>
      <c r="I36" s="42">
        <v>2</v>
      </c>
      <c r="J36" s="42">
        <v>1</v>
      </c>
      <c r="K36" s="42">
        <v>7</v>
      </c>
      <c r="L36" s="42">
        <v>2</v>
      </c>
      <c r="M36" s="42">
        <v>1</v>
      </c>
      <c r="N36" s="42"/>
      <c r="O36" s="42">
        <v>14</v>
      </c>
      <c r="P36" s="42">
        <v>2</v>
      </c>
      <c r="Q36" s="43">
        <v>21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434</v>
      </c>
      <c r="G42" s="42">
        <v>11</v>
      </c>
      <c r="H42" s="42"/>
      <c r="I42" s="42">
        <v>2</v>
      </c>
      <c r="J42" s="42">
        <v>1</v>
      </c>
      <c r="K42" s="42">
        <v>7</v>
      </c>
      <c r="L42" s="42">
        <v>2</v>
      </c>
      <c r="M42" s="42">
        <v>1</v>
      </c>
      <c r="N42" s="42"/>
      <c r="O42" s="42">
        <v>14</v>
      </c>
      <c r="P42" s="42">
        <v>2</v>
      </c>
      <c r="Q42" s="43">
        <v>21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7BE0-9CEA-4764-AF67-E2A1D2F71E3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C99DD-2135-4267-B7A9-7A44A2B4D4D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35</v>
      </c>
      <c r="I24" s="14"/>
      <c r="J24" s="14"/>
      <c r="K24" s="14"/>
      <c r="L24" s="14">
        <v>10</v>
      </c>
      <c r="M24" s="14">
        <v>674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/>
      <c r="G31" s="23"/>
      <c r="H31" s="23">
        <v>3</v>
      </c>
      <c r="I31" s="23"/>
      <c r="J31" s="23"/>
      <c r="K31" s="23"/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/>
      <c r="G32" s="28"/>
      <c r="H32" s="28">
        <v>32</v>
      </c>
      <c r="I32" s="28"/>
      <c r="J32" s="28"/>
      <c r="K32" s="28"/>
      <c r="L32" s="28">
        <v>10</v>
      </c>
      <c r="M32" s="28">
        <v>632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684</v>
      </c>
      <c r="G36" s="42">
        <v>8</v>
      </c>
      <c r="H36" s="42">
        <v>6</v>
      </c>
      <c r="I36" s="42">
        <v>2</v>
      </c>
      <c r="J36" s="42"/>
      <c r="K36" s="42">
        <v>10</v>
      </c>
      <c r="L36" s="42">
        <v>1</v>
      </c>
      <c r="M36" s="42"/>
      <c r="N36" s="42"/>
      <c r="O36" s="42"/>
      <c r="P36" s="42">
        <v>9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684</v>
      </c>
      <c r="G42" s="42">
        <v>8</v>
      </c>
      <c r="H42" s="42">
        <v>6</v>
      </c>
      <c r="I42" s="42">
        <v>2</v>
      </c>
      <c r="J42" s="42"/>
      <c r="K42" s="42">
        <v>10</v>
      </c>
      <c r="L42" s="42">
        <v>1</v>
      </c>
      <c r="M42" s="42"/>
      <c r="N42" s="42"/>
      <c r="O42" s="42"/>
      <c r="P42" s="42">
        <v>9</v>
      </c>
      <c r="Q42" s="43">
        <v>13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>
        <f>9+32+10+632+5</f>
        <v>688</v>
      </c>
      <c r="D44" s="103"/>
      <c r="E44" s="103"/>
    </row>
    <row r="45" spans="2:25" x14ac:dyDescent="0.25">
      <c r="B45" s="76" t="s">
        <v>69</v>
      </c>
      <c r="C45" s="103">
        <f>10</f>
        <v>10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821C8-4CD9-4589-B193-7E908DA919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 t="s">
        <v>130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36</v>
      </c>
      <c r="I24" s="14"/>
      <c r="J24" s="14"/>
      <c r="K24" s="14">
        <v>2</v>
      </c>
      <c r="L24" s="14"/>
      <c r="M24" s="14">
        <v>430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2</v>
      </c>
      <c r="L31" s="23"/>
      <c r="M31" s="23">
        <v>68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/>
      <c r="M32" s="28">
        <v>362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48</v>
      </c>
      <c r="H36" s="42">
        <v>4</v>
      </c>
      <c r="I36" s="42">
        <v>10</v>
      </c>
      <c r="J36" s="42">
        <v>1</v>
      </c>
      <c r="K36" s="42"/>
      <c r="L36" s="42"/>
      <c r="M36" s="42"/>
      <c r="N36" s="42"/>
      <c r="O36" s="42"/>
      <c r="P36" s="42">
        <v>8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48</v>
      </c>
      <c r="H42" s="42">
        <v>4</v>
      </c>
      <c r="I42" s="42">
        <v>10</v>
      </c>
      <c r="J42" s="42">
        <v>1</v>
      </c>
      <c r="K42" s="42"/>
      <c r="L42" s="42"/>
      <c r="M42" s="42"/>
      <c r="N42" s="42"/>
      <c r="O42" s="42"/>
      <c r="P42" s="42">
        <v>8</v>
      </c>
      <c r="Q42" s="43">
        <v>13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>
        <f>10+10+362</f>
        <v>382</v>
      </c>
      <c r="D44" s="103"/>
      <c r="E44" s="103"/>
    </row>
    <row r="45" spans="2:25" x14ac:dyDescent="0.25">
      <c r="B45" s="76" t="s">
        <v>69</v>
      </c>
      <c r="C45" s="103">
        <v>13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3F586-D262-4581-93D8-CD565FD78B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131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65</v>
      </c>
      <c r="I24" s="14"/>
      <c r="J24" s="14"/>
      <c r="K24" s="14">
        <v>3</v>
      </c>
      <c r="L24" s="14"/>
      <c r="M24" s="14">
        <v>522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>
        <v>1</v>
      </c>
      <c r="L31" s="23"/>
      <c r="M31" s="23">
        <v>230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51</v>
      </c>
      <c r="I32" s="28"/>
      <c r="J32" s="28"/>
      <c r="K32" s="28">
        <v>2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3</v>
      </c>
      <c r="H36" s="42"/>
      <c r="I36" s="42">
        <v>6</v>
      </c>
      <c r="J36" s="42">
        <v>1</v>
      </c>
      <c r="K36" s="42">
        <v>10</v>
      </c>
      <c r="L36" s="42">
        <v>10</v>
      </c>
      <c r="M36" s="42"/>
      <c r="N36" s="42"/>
      <c r="O36" s="42">
        <v>4</v>
      </c>
      <c r="P36" s="42">
        <v>3</v>
      </c>
      <c r="Q36" s="43">
        <v>23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3</v>
      </c>
      <c r="H42" s="42"/>
      <c r="I42" s="42">
        <v>6</v>
      </c>
      <c r="J42" s="42">
        <v>1</v>
      </c>
      <c r="K42" s="42">
        <v>10</v>
      </c>
      <c r="L42" s="42">
        <v>10</v>
      </c>
      <c r="M42" s="42"/>
      <c r="N42" s="42"/>
      <c r="O42" s="42">
        <v>4</v>
      </c>
      <c r="P42" s="42">
        <v>3</v>
      </c>
      <c r="Q42" s="43">
        <v>23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>
        <f>1+7+2+3+1+1+51+2+292</f>
        <v>360</v>
      </c>
      <c r="D44" s="103"/>
      <c r="E44" s="103"/>
    </row>
    <row r="45" spans="2:25" x14ac:dyDescent="0.25">
      <c r="B45" s="76" t="s">
        <v>69</v>
      </c>
      <c r="C45" s="103">
        <f>12</f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EDE1-465C-4BAB-A41A-981CB7F1BEA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F779C-C009-48AF-8925-D6E52394BE2D}">
  <dimension ref="B1:AA45"/>
  <sheetViews>
    <sheetView showGridLines="0" topLeftCell="D1" zoomScale="160" zoomScaleNormal="160" workbookViewId="0">
      <selection activeCell="B10" sqref="B1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f>7+3</f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3</v>
      </c>
      <c r="G24" s="14"/>
      <c r="H24" s="14">
        <v>20</v>
      </c>
      <c r="I24" s="14"/>
      <c r="J24" s="14"/>
      <c r="K24" s="14">
        <v>55</v>
      </c>
      <c r="L24" s="14">
        <v>8</v>
      </c>
      <c r="M24" s="14">
        <v>387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40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3</v>
      </c>
      <c r="G32" s="28"/>
      <c r="H32" s="28">
        <v>20</v>
      </c>
      <c r="I32" s="28"/>
      <c r="J32" s="28"/>
      <c r="K32" s="28">
        <v>55</v>
      </c>
      <c r="L32" s="28">
        <v>8</v>
      </c>
      <c r="M32" s="28">
        <v>347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1</v>
      </c>
      <c r="H36" s="42">
        <v>5</v>
      </c>
      <c r="I36" s="42">
        <v>4</v>
      </c>
      <c r="J36" s="42">
        <v>6</v>
      </c>
      <c r="K36" s="42">
        <v>8</v>
      </c>
      <c r="L36" s="42">
        <v>62</v>
      </c>
      <c r="M36" s="42">
        <v>42</v>
      </c>
      <c r="N36" s="42"/>
      <c r="O36" s="42">
        <v>3</v>
      </c>
      <c r="P36" s="42">
        <v>1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1</v>
      </c>
      <c r="H42" s="42">
        <v>5</v>
      </c>
      <c r="I42" s="42">
        <v>4</v>
      </c>
      <c r="J42" s="42">
        <v>6</v>
      </c>
      <c r="K42" s="42">
        <v>8</v>
      </c>
      <c r="L42" s="42">
        <v>62</v>
      </c>
      <c r="M42" s="42">
        <v>42</v>
      </c>
      <c r="N42" s="42"/>
      <c r="O42" s="42">
        <v>3</v>
      </c>
      <c r="P42" s="42">
        <v>1</v>
      </c>
      <c r="Q42" s="43">
        <v>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>
        <f>3+2+1+2+3+20+55+8+347</f>
        <v>441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017A-1328-4C3D-A796-E7D466FEF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26</v>
      </c>
      <c r="I24" s="14"/>
      <c r="J24" s="14"/>
      <c r="K24" s="14">
        <v>2</v>
      </c>
      <c r="L24" s="14">
        <v>10</v>
      </c>
      <c r="M24" s="14">
        <v>392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0</v>
      </c>
      <c r="L32" s="28">
        <v>10</v>
      </c>
      <c r="M32" s="28">
        <v>345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377</v>
      </c>
      <c r="G36" s="42">
        <v>6</v>
      </c>
      <c r="H36" s="42">
        <v>3</v>
      </c>
      <c r="I36" s="42">
        <v>5</v>
      </c>
      <c r="J36" s="42"/>
      <c r="K36" s="42">
        <v>2</v>
      </c>
      <c r="L36" s="42"/>
      <c r="M36" s="42"/>
      <c r="N36" s="42"/>
      <c r="O36" s="42">
        <v>3</v>
      </c>
      <c r="P36" s="42">
        <v>6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377</v>
      </c>
      <c r="G42" s="42">
        <v>6</v>
      </c>
      <c r="H42" s="42">
        <v>3</v>
      </c>
      <c r="I42" s="42">
        <v>5</v>
      </c>
      <c r="J42" s="42"/>
      <c r="K42" s="42">
        <v>2</v>
      </c>
      <c r="L42" s="42"/>
      <c r="M42" s="42"/>
      <c r="N42" s="42"/>
      <c r="O42" s="42">
        <v>3</v>
      </c>
      <c r="P42" s="42">
        <v>6</v>
      </c>
      <c r="Q42" s="43">
        <v>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>
        <f>8+1+26+10+345</f>
        <v>390</v>
      </c>
      <c r="D44" s="103"/>
      <c r="E44" s="103"/>
    </row>
    <row r="45" spans="2:25" x14ac:dyDescent="0.25">
      <c r="B45" s="76" t="s">
        <v>69</v>
      </c>
      <c r="C45" s="103">
        <v>10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AFF2F-26F1-4BF4-B8E6-3290D9475071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2</v>
      </c>
      <c r="G16" s="28"/>
      <c r="H16" s="28" t="s">
        <v>135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121</v>
      </c>
      <c r="I24" s="14">
        <v>2</v>
      </c>
      <c r="J24" s="14"/>
      <c r="K24" s="14">
        <v>1</v>
      </c>
      <c r="L24" s="14">
        <v>20</v>
      </c>
      <c r="M24" s="14">
        <v>445</v>
      </c>
      <c r="N24" s="14">
        <v>1</v>
      </c>
      <c r="O24" s="14"/>
      <c r="P24" s="14" t="s">
        <v>100</v>
      </c>
      <c r="Q24" s="14"/>
      <c r="R24" s="14">
        <v>10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13</v>
      </c>
      <c r="I31" s="23">
        <v>1</v>
      </c>
      <c r="J31" s="23"/>
      <c r="K31" s="23">
        <v>1</v>
      </c>
      <c r="L31" s="23">
        <v>8</v>
      </c>
      <c r="M31" s="23">
        <v>76</v>
      </c>
      <c r="N31" s="23">
        <v>1</v>
      </c>
      <c r="O31" s="23"/>
      <c r="P31" s="23" t="s">
        <v>100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108</v>
      </c>
      <c r="I32" s="28">
        <v>1</v>
      </c>
      <c r="J32" s="28"/>
      <c r="K32" s="28">
        <v>0</v>
      </c>
      <c r="L32" s="28">
        <v>12</v>
      </c>
      <c r="M32" s="28">
        <v>369</v>
      </c>
      <c r="N32" s="28">
        <v>0</v>
      </c>
      <c r="O32" s="23"/>
      <c r="P32" s="28">
        <v>0</v>
      </c>
      <c r="Q32" s="28"/>
      <c r="R32" s="28">
        <v>10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461</v>
      </c>
      <c r="G36" s="42">
        <v>7</v>
      </c>
      <c r="H36" s="42">
        <v>4</v>
      </c>
      <c r="I36" s="42">
        <v>20</v>
      </c>
      <c r="J36" s="42"/>
      <c r="K36" s="42">
        <v>1</v>
      </c>
      <c r="L36" s="42">
        <v>1</v>
      </c>
      <c r="M36" s="42">
        <v>1</v>
      </c>
      <c r="N36" s="42">
        <v>22</v>
      </c>
      <c r="O36" s="42">
        <v>6</v>
      </c>
      <c r="P36" s="42">
        <v>4</v>
      </c>
      <c r="Q36" s="43">
        <v>18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461</v>
      </c>
      <c r="G42" s="42">
        <v>7</v>
      </c>
      <c r="H42" s="42">
        <v>4</v>
      </c>
      <c r="I42" s="42">
        <v>20</v>
      </c>
      <c r="J42" s="42"/>
      <c r="K42" s="42">
        <v>1</v>
      </c>
      <c r="L42" s="42">
        <v>1</v>
      </c>
      <c r="M42" s="42">
        <v>1</v>
      </c>
      <c r="N42" s="42">
        <v>22</v>
      </c>
      <c r="O42" s="42">
        <v>6</v>
      </c>
      <c r="P42" s="42">
        <v>4</v>
      </c>
      <c r="Q42" s="43">
        <v>18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>
        <f>2+16+2+1+108+1+12+369+10</f>
        <v>521</v>
      </c>
      <c r="D44" s="103"/>
      <c r="E44" s="103"/>
    </row>
    <row r="45" spans="2:25" x14ac:dyDescent="0.25">
      <c r="B45" s="76" t="s">
        <v>69</v>
      </c>
      <c r="C45" s="103">
        <f>2</f>
        <v>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1F44E-1480-4507-A133-CEC68167FEA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92ED-CAA2-48A5-8E83-7CB1C68D3D2F}">
  <dimension ref="B1:AA45"/>
  <sheetViews>
    <sheetView showGridLines="0" topLeftCell="A32" zoomScale="160" zoomScaleNormal="160" workbookViewId="0">
      <selection activeCell="G49" sqref="G4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>
        <v>0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>
        <v>2</v>
      </c>
      <c r="G16" s="28"/>
      <c r="H16" s="28" t="s">
        <v>142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>
        <v>1</v>
      </c>
      <c r="F24" s="14"/>
      <c r="G24" s="14"/>
      <c r="H24" s="14">
        <v>20</v>
      </c>
      <c r="I24" s="14"/>
      <c r="J24" s="14"/>
      <c r="K24" s="14"/>
      <c r="L24" s="14">
        <v>10</v>
      </c>
      <c r="M24" s="14">
        <v>471</v>
      </c>
      <c r="N24" s="14">
        <v>1</v>
      </c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1</v>
      </c>
      <c r="F31" s="23"/>
      <c r="G31" s="23"/>
      <c r="H31" s="23">
        <v>6</v>
      </c>
      <c r="I31" s="23"/>
      <c r="J31" s="23"/>
      <c r="K31" s="23"/>
      <c r="L31" s="23">
        <v>0</v>
      </c>
      <c r="M31" s="23">
        <v>59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>
        <v>0</v>
      </c>
      <c r="F32" s="27"/>
      <c r="G32" s="28"/>
      <c r="H32" s="28">
        <v>14</v>
      </c>
      <c r="I32" s="28"/>
      <c r="J32" s="28"/>
      <c r="K32" s="28"/>
      <c r="L32" s="28">
        <v>10</v>
      </c>
      <c r="M32" s="28">
        <v>412</v>
      </c>
      <c r="N32" s="28">
        <v>1</v>
      </c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367</v>
      </c>
      <c r="G36" s="42">
        <v>10</v>
      </c>
      <c r="H36" s="42">
        <v>11</v>
      </c>
      <c r="I36" s="42">
        <v>12</v>
      </c>
      <c r="J36" s="42">
        <v>3</v>
      </c>
      <c r="K36" s="42">
        <v>22</v>
      </c>
      <c r="L36" s="42">
        <v>1</v>
      </c>
      <c r="M36" s="42"/>
      <c r="N36" s="42"/>
      <c r="O36" s="42">
        <v>9</v>
      </c>
      <c r="P36" s="42">
        <v>18</v>
      </c>
      <c r="Q36" s="43">
        <v>31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367</v>
      </c>
      <c r="G42" s="42">
        <v>10</v>
      </c>
      <c r="H42" s="42">
        <v>11</v>
      </c>
      <c r="I42" s="42">
        <v>12</v>
      </c>
      <c r="J42" s="42">
        <v>3</v>
      </c>
      <c r="K42" s="42">
        <v>22</v>
      </c>
      <c r="L42" s="42">
        <v>1</v>
      </c>
      <c r="M42" s="42"/>
      <c r="N42" s="42"/>
      <c r="O42" s="42">
        <v>9</v>
      </c>
      <c r="P42" s="42">
        <v>18</v>
      </c>
      <c r="Q42" s="43">
        <v>31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>
        <f>1+2+2+1+14+10+412+1+5</f>
        <v>448</v>
      </c>
      <c r="D44" s="103"/>
      <c r="E44" s="103"/>
    </row>
    <row r="45" spans="2:25" x14ac:dyDescent="0.25">
      <c r="B45" s="76" t="s">
        <v>69</v>
      </c>
      <c r="C45" s="103">
        <v>15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9C372-264F-4AA8-BFBC-EEFC4A511FF4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87" t="s">
        <v>140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1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86" t="s">
        <v>138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>
        <v>0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20</v>
      </c>
      <c r="I24" s="14">
        <v>1</v>
      </c>
      <c r="J24" s="14"/>
      <c r="K24" s="14">
        <v>2</v>
      </c>
      <c r="L24" s="14">
        <v>10</v>
      </c>
      <c r="M24" s="14">
        <v>371</v>
      </c>
      <c r="N24" s="14">
        <v>1</v>
      </c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>
        <v>1</v>
      </c>
      <c r="J31" s="23"/>
      <c r="K31" s="23">
        <v>2</v>
      </c>
      <c r="L31" s="23">
        <v>8</v>
      </c>
      <c r="M31" s="23">
        <v>83</v>
      </c>
      <c r="N31" s="23">
        <v>1</v>
      </c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>
        <v>0</v>
      </c>
      <c r="J32" s="28"/>
      <c r="K32" s="28">
        <v>0</v>
      </c>
      <c r="L32" s="28">
        <v>2</v>
      </c>
      <c r="M32" s="28">
        <v>288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258</v>
      </c>
      <c r="G36" s="42">
        <v>10</v>
      </c>
      <c r="H36" s="42">
        <v>2</v>
      </c>
      <c r="I36" s="42">
        <v>2</v>
      </c>
      <c r="J36" s="42">
        <v>2</v>
      </c>
      <c r="K36" s="42">
        <v>4</v>
      </c>
      <c r="L36" s="42"/>
      <c r="M36" s="42">
        <v>1</v>
      </c>
      <c r="N36" s="42">
        <v>10</v>
      </c>
      <c r="O36" s="42">
        <v>5</v>
      </c>
      <c r="P36" s="42">
        <v>3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258</v>
      </c>
      <c r="G42" s="42">
        <v>10</v>
      </c>
      <c r="H42" s="42">
        <v>2</v>
      </c>
      <c r="I42" s="42">
        <v>2</v>
      </c>
      <c r="J42" s="42">
        <v>2</v>
      </c>
      <c r="K42" s="42">
        <v>4</v>
      </c>
      <c r="L42" s="42"/>
      <c r="M42" s="42">
        <v>1</v>
      </c>
      <c r="N42" s="42">
        <v>10</v>
      </c>
      <c r="O42" s="42">
        <v>5</v>
      </c>
      <c r="P42" s="42">
        <v>3</v>
      </c>
      <c r="Q42" s="43">
        <v>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>
        <f>9+10+2+288</f>
        <v>309</v>
      </c>
      <c r="D44" s="103"/>
      <c r="E44" s="103"/>
    </row>
    <row r="45" spans="2:25" x14ac:dyDescent="0.25">
      <c r="B45" s="76" t="s">
        <v>69</v>
      </c>
      <c r="C45" s="103">
        <v>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0054-C4B6-4A7C-9546-063165900213}">
  <dimension ref="B1:AA45"/>
  <sheetViews>
    <sheetView showGridLines="0" topLeftCell="A35" zoomScale="160" zoomScaleNormal="160" workbookViewId="0">
      <selection activeCell="G53" sqref="G5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3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1</v>
      </c>
      <c r="F15" s="23">
        <v>0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1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3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121</v>
      </c>
      <c r="I24" s="14">
        <v>3</v>
      </c>
      <c r="J24" s="14"/>
      <c r="K24" s="14">
        <v>1</v>
      </c>
      <c r="L24" s="14">
        <v>25</v>
      </c>
      <c r="M24" s="14">
        <v>508</v>
      </c>
      <c r="N24" s="14">
        <v>3</v>
      </c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44</v>
      </c>
      <c r="I31" s="23">
        <v>0</v>
      </c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80</v>
      </c>
      <c r="I32" s="28">
        <v>3</v>
      </c>
      <c r="J32" s="28"/>
      <c r="K32" s="28">
        <v>1</v>
      </c>
      <c r="L32" s="28">
        <v>25</v>
      </c>
      <c r="M32" s="28">
        <v>506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631</v>
      </c>
      <c r="G36" s="42">
        <v>1</v>
      </c>
      <c r="H36" s="42">
        <v>1</v>
      </c>
      <c r="I36" s="42">
        <v>46</v>
      </c>
      <c r="J36" s="42">
        <v>8</v>
      </c>
      <c r="K36" s="42"/>
      <c r="L36" s="42">
        <v>1</v>
      </c>
      <c r="M36" s="42"/>
      <c r="N36" s="42">
        <v>4</v>
      </c>
      <c r="O36" s="42">
        <v>17</v>
      </c>
      <c r="P36" s="42"/>
      <c r="Q36" s="43">
        <v>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631</v>
      </c>
      <c r="G42" s="42">
        <v>1</v>
      </c>
      <c r="H42" s="42">
        <v>1</v>
      </c>
      <c r="I42" s="42">
        <v>46</v>
      </c>
      <c r="J42" s="42">
        <v>8</v>
      </c>
      <c r="K42" s="42"/>
      <c r="L42" s="42">
        <v>1</v>
      </c>
      <c r="M42" s="42"/>
      <c r="N42" s="42">
        <v>4</v>
      </c>
      <c r="O42" s="42">
        <v>17</v>
      </c>
      <c r="P42" s="42"/>
      <c r="Q42" s="43">
        <v>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>
        <f>1+17+3+1+80+3+1+25+506+3</f>
        <v>640</v>
      </c>
      <c r="D44" s="103"/>
      <c r="E44" s="103"/>
    </row>
    <row r="45" spans="2:25" x14ac:dyDescent="0.25">
      <c r="B45" s="76" t="s">
        <v>69</v>
      </c>
      <c r="C45" s="103">
        <v>5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50DEB-5F8E-472E-BC2E-BD265725E6D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28C87-3C1F-4291-A42F-0DFDCCD5B063}">
  <dimension ref="B1:AA45"/>
  <sheetViews>
    <sheetView showGridLines="0" zoomScale="160" zoomScaleNormal="160" workbookViewId="0">
      <selection activeCell="L27" sqref="L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D4EE1-54D0-4509-A520-96C791A27A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09CDF-CDC0-4B4F-92E0-2DAE134ABA6C}">
  <dimension ref="B1:AA45"/>
  <sheetViews>
    <sheetView showGridLines="0" topLeftCell="A32" zoomScale="160" zoomScaleNormal="160" workbookViewId="0">
      <selection activeCell="E38" sqref="E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/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41</v>
      </c>
      <c r="I24" s="14"/>
      <c r="J24" s="14"/>
      <c r="K24" s="14"/>
      <c r="L24" s="14">
        <v>48</v>
      </c>
      <c r="M24" s="14">
        <v>649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32</v>
      </c>
      <c r="I31" s="23"/>
      <c r="J31" s="23"/>
      <c r="K31" s="23"/>
      <c r="L31" s="23">
        <v>12</v>
      </c>
      <c r="M31" s="23">
        <v>55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/>
      <c r="L32" s="28">
        <v>36</v>
      </c>
      <c r="M32" s="28">
        <v>594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/>
      <c r="F36" s="42">
        <v>385</v>
      </c>
      <c r="G36" s="42">
        <v>15</v>
      </c>
      <c r="H36" s="42">
        <v>3</v>
      </c>
      <c r="I36" s="42">
        <v>7</v>
      </c>
      <c r="J36" s="42">
        <v>2</v>
      </c>
      <c r="K36" s="42">
        <v>5</v>
      </c>
      <c r="L36" s="42">
        <v>5</v>
      </c>
      <c r="M36" s="42">
        <v>2</v>
      </c>
      <c r="N36" s="42">
        <v>5</v>
      </c>
      <c r="O36" s="42">
        <v>12</v>
      </c>
      <c r="P36" s="42">
        <v>8</v>
      </c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/>
      <c r="F42" s="42">
        <v>385</v>
      </c>
      <c r="G42" s="42">
        <v>15</v>
      </c>
      <c r="H42" s="42">
        <v>3</v>
      </c>
      <c r="I42" s="42">
        <v>7</v>
      </c>
      <c r="J42" s="42">
        <v>2</v>
      </c>
      <c r="K42" s="42">
        <v>5</v>
      </c>
      <c r="L42" s="42">
        <v>5</v>
      </c>
      <c r="M42" s="42">
        <v>2</v>
      </c>
      <c r="N42" s="42">
        <v>5</v>
      </c>
      <c r="O42" s="42">
        <v>12</v>
      </c>
      <c r="P42" s="42">
        <v>8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>
        <f>1+1+20+5+2+1+9+36+594</f>
        <v>669</v>
      </c>
      <c r="D44" s="103"/>
      <c r="E44" s="103"/>
    </row>
    <row r="45" spans="2:25" x14ac:dyDescent="0.25">
      <c r="B45" s="76" t="s">
        <v>69</v>
      </c>
      <c r="C45" s="103">
        <v>1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B177A-F7FB-4DA9-BF63-8BA854EBAF8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45A-AA34-44F9-BDF3-1A583B44AAB2}">
  <dimension ref="B1:AA45"/>
  <sheetViews>
    <sheetView showGridLines="0" topLeftCell="A29" zoomScale="160" zoomScaleNormal="160" workbookViewId="0">
      <selection activeCell="M40" sqref="M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1</v>
      </c>
      <c r="F8" s="14">
        <v>2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1</v>
      </c>
      <c r="F16" s="27">
        <v>2</v>
      </c>
      <c r="G16" s="28"/>
      <c r="H16" s="28" t="s">
        <v>149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5</v>
      </c>
      <c r="G24" s="14"/>
      <c r="H24" s="14">
        <v>130</v>
      </c>
      <c r="I24" s="14">
        <v>1</v>
      </c>
      <c r="J24" s="14"/>
      <c r="K24" s="14">
        <v>5</v>
      </c>
      <c r="L24" s="14">
        <v>10</v>
      </c>
      <c r="M24" s="14">
        <v>461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>
        <v>0</v>
      </c>
      <c r="G31" s="23"/>
      <c r="H31" s="23">
        <v>34</v>
      </c>
      <c r="I31" s="23">
        <v>0</v>
      </c>
      <c r="J31" s="23"/>
      <c r="K31" s="23">
        <v>0</v>
      </c>
      <c r="L31" s="23">
        <v>7</v>
      </c>
      <c r="M31" s="23">
        <v>52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5</v>
      </c>
      <c r="G32" s="28"/>
      <c r="H32" s="28">
        <v>96</v>
      </c>
      <c r="I32" s="28">
        <v>1</v>
      </c>
      <c r="J32" s="28"/>
      <c r="K32" s="28">
        <v>5</v>
      </c>
      <c r="L32" s="28">
        <v>3</v>
      </c>
      <c r="M32" s="28">
        <v>409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911</v>
      </c>
      <c r="G36" s="42">
        <v>7</v>
      </c>
      <c r="H36" s="42">
        <v>3</v>
      </c>
      <c r="I36" s="42">
        <v>9</v>
      </c>
      <c r="J36" s="42"/>
      <c r="K36" s="42"/>
      <c r="L36" s="42">
        <v>4</v>
      </c>
      <c r="M36" s="42"/>
      <c r="N36" s="42"/>
      <c r="O36" s="42">
        <v>14</v>
      </c>
      <c r="P36" s="42">
        <v>14</v>
      </c>
      <c r="Q36" s="43">
        <v>17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911</v>
      </c>
      <c r="G42" s="42">
        <v>7</v>
      </c>
      <c r="H42" s="42">
        <v>3</v>
      </c>
      <c r="I42" s="42">
        <v>9</v>
      </c>
      <c r="J42" s="42"/>
      <c r="K42" s="42"/>
      <c r="L42" s="42">
        <v>4</v>
      </c>
      <c r="M42" s="42"/>
      <c r="N42" s="42"/>
      <c r="O42" s="42">
        <v>14</v>
      </c>
      <c r="P42" s="42">
        <v>14</v>
      </c>
      <c r="Q42" s="43">
        <v>17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3">
        <f>5+1+2+14+1+1+5+96+1+5+3+409+1</f>
        <v>544</v>
      </c>
      <c r="D44" s="103"/>
      <c r="E44" s="103"/>
    </row>
    <row r="45" spans="2:25" x14ac:dyDescent="0.25">
      <c r="B45" s="76" t="s">
        <v>69</v>
      </c>
      <c r="C45" s="103">
        <v>5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107F2-26CE-43D7-8CD8-92465595FB59}">
  <dimension ref="B1:AA45"/>
  <sheetViews>
    <sheetView showGridLines="0" topLeftCell="A27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150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0</v>
      </c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8</v>
      </c>
      <c r="M24" s="14">
        <v>622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121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2</v>
      </c>
      <c r="M32" s="28">
        <v>501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515</v>
      </c>
      <c r="G36" s="42">
        <v>8</v>
      </c>
      <c r="H36" s="42">
        <v>1</v>
      </c>
      <c r="I36" s="42">
        <v>3</v>
      </c>
      <c r="J36" s="42">
        <v>1</v>
      </c>
      <c r="K36" s="42">
        <v>6</v>
      </c>
      <c r="L36" s="42">
        <v>2</v>
      </c>
      <c r="M36" s="42"/>
      <c r="N36" s="42"/>
      <c r="O36" s="42">
        <v>6</v>
      </c>
      <c r="P36" s="42">
        <v>17</v>
      </c>
      <c r="Q36" s="43">
        <v>27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515</v>
      </c>
      <c r="G42" s="42">
        <v>8</v>
      </c>
      <c r="H42" s="42">
        <v>1</v>
      </c>
      <c r="I42" s="42">
        <v>3</v>
      </c>
      <c r="J42" s="42">
        <v>1</v>
      </c>
      <c r="K42" s="42">
        <v>6</v>
      </c>
      <c r="L42" s="42">
        <v>2</v>
      </c>
      <c r="M42" s="42"/>
      <c r="N42" s="42"/>
      <c r="O42" s="42">
        <v>6</v>
      </c>
      <c r="P42" s="42">
        <v>17</v>
      </c>
      <c r="Q42" s="43">
        <v>27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3">
        <f>1+1+17+1+1+1+24+2+501</f>
        <v>549</v>
      </c>
      <c r="D44" s="103"/>
      <c r="E44" s="103"/>
    </row>
    <row r="45" spans="2:25" x14ac:dyDescent="0.25">
      <c r="B45" s="76" t="s">
        <v>69</v>
      </c>
      <c r="C45" s="103">
        <v>18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493B6-0FDF-46D4-9C76-1F9A6D3B9ADD}">
  <dimension ref="B1:AA45"/>
  <sheetViews>
    <sheetView showGridLines="0" topLeftCell="A29" zoomScale="160" zoomScaleNormal="160" workbookViewId="0">
      <selection activeCell="J38" sqref="J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140</v>
      </c>
      <c r="I24" s="14"/>
      <c r="J24" s="14"/>
      <c r="K24" s="14"/>
      <c r="L24" s="14">
        <v>12</v>
      </c>
      <c r="M24" s="14">
        <v>595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</v>
      </c>
      <c r="I31" s="23"/>
      <c r="J31" s="23"/>
      <c r="K31" s="23"/>
      <c r="L31" s="23">
        <v>0</v>
      </c>
      <c r="M31" s="23">
        <v>75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133</v>
      </c>
      <c r="I32" s="28"/>
      <c r="J32" s="28"/>
      <c r="K32" s="28"/>
      <c r="L32" s="28">
        <v>12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456</v>
      </c>
      <c r="G36" s="42">
        <v>26</v>
      </c>
      <c r="H36" s="42"/>
      <c r="I36" s="42">
        <v>10</v>
      </c>
      <c r="J36" s="42"/>
      <c r="K36" s="42">
        <v>1</v>
      </c>
      <c r="L36" s="42"/>
      <c r="M36" s="42"/>
      <c r="N36" s="42">
        <v>4</v>
      </c>
      <c r="O36" s="42">
        <v>19</v>
      </c>
      <c r="P36" s="42"/>
      <c r="Q36" s="43">
        <v>3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456</v>
      </c>
      <c r="G42" s="42">
        <v>26</v>
      </c>
      <c r="H42" s="42"/>
      <c r="I42" s="42">
        <v>10</v>
      </c>
      <c r="J42" s="42"/>
      <c r="K42" s="42">
        <v>1</v>
      </c>
      <c r="L42" s="42"/>
      <c r="M42" s="42"/>
      <c r="N42" s="42">
        <v>4</v>
      </c>
      <c r="O42" s="42">
        <v>19</v>
      </c>
      <c r="P42" s="42"/>
      <c r="Q42" s="43">
        <v>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3">
        <f>12+1+133+12+520</f>
        <v>678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77D8A-0312-4C1E-AE37-EC297F83921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0AF8-6BCA-47B1-BFC9-A0684D7BE184}">
  <dimension ref="B1:AA45"/>
  <sheetViews>
    <sheetView showGridLines="0" topLeftCell="A27" zoomScale="160" zoomScaleNormal="160" workbookViewId="0">
      <selection activeCell="F39" sqref="F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34</v>
      </c>
      <c r="I24" s="14"/>
      <c r="J24" s="14"/>
      <c r="K24" s="14"/>
      <c r="L24" s="14">
        <v>7</v>
      </c>
      <c r="M24" s="14">
        <v>700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34</v>
      </c>
      <c r="I31" s="23"/>
      <c r="J31" s="23"/>
      <c r="K31" s="23"/>
      <c r="L31" s="23">
        <v>0</v>
      </c>
      <c r="M31" s="23">
        <v>27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0</v>
      </c>
      <c r="I32" s="28"/>
      <c r="J32" s="28"/>
      <c r="K32" s="28"/>
      <c r="L32" s="28">
        <v>7</v>
      </c>
      <c r="M32" s="28">
        <v>673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669</v>
      </c>
      <c r="G36" s="42"/>
      <c r="H36" s="42">
        <v>1</v>
      </c>
      <c r="I36" s="42">
        <v>7</v>
      </c>
      <c r="J36" s="42">
        <v>1</v>
      </c>
      <c r="K36" s="42">
        <v>9</v>
      </c>
      <c r="L36" s="42">
        <v>2</v>
      </c>
      <c r="M36" s="42"/>
      <c r="N36" s="42"/>
      <c r="O36" s="42">
        <v>10</v>
      </c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669</v>
      </c>
      <c r="G42" s="42"/>
      <c r="H42" s="42">
        <v>1</v>
      </c>
      <c r="I42" s="42">
        <v>7</v>
      </c>
      <c r="J42" s="42">
        <v>1</v>
      </c>
      <c r="K42" s="42">
        <v>9</v>
      </c>
      <c r="L42" s="42">
        <v>2</v>
      </c>
      <c r="M42" s="42"/>
      <c r="N42" s="42"/>
      <c r="O42" s="42">
        <v>10</v>
      </c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10+7+673+5</f>
        <v>695</v>
      </c>
      <c r="D44" s="103"/>
      <c r="E44" s="103"/>
    </row>
    <row r="45" spans="2:25" x14ac:dyDescent="0.25">
      <c r="B45" s="76" t="s">
        <v>69</v>
      </c>
      <c r="C45" s="103">
        <v>4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E2E95-A132-4E1E-A64D-2BB9F7E0F2C2}">
  <dimension ref="B1:AA45"/>
  <sheetViews>
    <sheetView showGridLines="0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123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 t="s">
        <v>98</v>
      </c>
      <c r="E15" s="23">
        <v>0</v>
      </c>
      <c r="F15" s="23">
        <v>0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>
        <v>1</v>
      </c>
      <c r="F16" s="27">
        <v>1</v>
      </c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29</v>
      </c>
      <c r="I24" s="14"/>
      <c r="J24" s="14"/>
      <c r="K24" s="14">
        <v>2</v>
      </c>
      <c r="L24" s="14">
        <v>8</v>
      </c>
      <c r="M24" s="14">
        <v>444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2</v>
      </c>
      <c r="L31" s="23">
        <v>0</v>
      </c>
      <c r="M31" s="23">
        <v>185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8</v>
      </c>
      <c r="M32" s="28">
        <v>259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12</v>
      </c>
      <c r="H36" s="42">
        <v>4</v>
      </c>
      <c r="I36" s="42">
        <v>8</v>
      </c>
      <c r="J36" s="42"/>
      <c r="K36" s="42">
        <v>14</v>
      </c>
      <c r="L36" s="42">
        <v>2</v>
      </c>
      <c r="M36" s="42"/>
      <c r="N36" s="42">
        <v>4</v>
      </c>
      <c r="O36" s="42">
        <v>4</v>
      </c>
      <c r="P36" s="42">
        <v>6</v>
      </c>
      <c r="Q36" s="43">
        <v>20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12</v>
      </c>
      <c r="H42" s="42">
        <v>4</v>
      </c>
      <c r="I42" s="42">
        <v>8</v>
      </c>
      <c r="J42" s="42"/>
      <c r="K42" s="42">
        <v>14</v>
      </c>
      <c r="L42" s="42">
        <v>2</v>
      </c>
      <c r="M42" s="42"/>
      <c r="N42" s="42">
        <v>4</v>
      </c>
      <c r="O42" s="42">
        <v>4</v>
      </c>
      <c r="P42" s="42">
        <v>6</v>
      </c>
      <c r="Q42" s="43">
        <v>20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1+1+1+7+1+23+8+259+1</f>
        <v>302</v>
      </c>
      <c r="D44" s="103"/>
      <c r="E44" s="103"/>
    </row>
    <row r="45" spans="2:25" x14ac:dyDescent="0.25">
      <c r="B45" s="76" t="s">
        <v>69</v>
      </c>
      <c r="C45" s="103">
        <v>21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54B12-9F8C-47F3-9868-0B47B6335A0F}">
  <dimension ref="B1:AA45"/>
  <sheetViews>
    <sheetView showGridLines="0" topLeftCell="A29" zoomScale="160" zoomScaleNormal="160" workbookViewId="0">
      <selection activeCell="H39" sqref="H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>
        <v>1</v>
      </c>
      <c r="G8" s="14"/>
      <c r="H8" s="14" t="s">
        <v>156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>
        <v>0</v>
      </c>
      <c r="G15" s="23"/>
      <c r="H15" s="23" t="s">
        <v>149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101</v>
      </c>
      <c r="I24" s="14"/>
      <c r="J24" s="14"/>
      <c r="K24" s="14"/>
      <c r="L24" s="14">
        <v>20</v>
      </c>
      <c r="M24" s="14">
        <v>506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66</v>
      </c>
      <c r="I31" s="23"/>
      <c r="J31" s="23"/>
      <c r="K31" s="23"/>
      <c r="L31" s="23">
        <v>19</v>
      </c>
      <c r="M31" s="23">
        <v>232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35</v>
      </c>
      <c r="I32" s="28"/>
      <c r="J32" s="28"/>
      <c r="K32" s="28"/>
      <c r="L32" s="28">
        <v>1</v>
      </c>
      <c r="M32" s="28">
        <v>274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/>
      <c r="H36" s="42"/>
      <c r="I36" s="42">
        <v>8</v>
      </c>
      <c r="J36" s="42"/>
      <c r="K36" s="42"/>
      <c r="L36" s="42"/>
      <c r="M36" s="42"/>
      <c r="N36" s="42"/>
      <c r="O36" s="42">
        <v>8</v>
      </c>
      <c r="P36" s="42">
        <v>1</v>
      </c>
      <c r="Q36" s="43">
        <v>17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/>
      <c r="H42" s="42"/>
      <c r="I42" s="42">
        <v>8</v>
      </c>
      <c r="J42" s="42"/>
      <c r="K42" s="42"/>
      <c r="L42" s="42"/>
      <c r="M42" s="42"/>
      <c r="N42" s="42"/>
      <c r="O42" s="42">
        <v>8</v>
      </c>
      <c r="P42" s="42">
        <v>1</v>
      </c>
      <c r="Q42" s="43">
        <v>17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1+9+1+35+1+274</f>
        <v>321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AC043-D87F-489F-9425-E9F93B1FF8A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3E432-CE9B-4691-8514-3BD5F56CC48B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6</v>
      </c>
      <c r="F8" s="14">
        <v>6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163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6</v>
      </c>
      <c r="F16" s="27">
        <v>6</v>
      </c>
      <c r="G16" s="28"/>
      <c r="H16" s="28" t="s">
        <v>164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70</v>
      </c>
      <c r="I24" s="14"/>
      <c r="J24" s="14"/>
      <c r="K24" s="14">
        <v>47</v>
      </c>
      <c r="L24" s="14">
        <v>10</v>
      </c>
      <c r="M24" s="14">
        <v>407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/>
      <c r="G31" s="23"/>
      <c r="H31" s="23">
        <v>8</v>
      </c>
      <c r="I31" s="23"/>
      <c r="J31" s="23"/>
      <c r="K31" s="23">
        <v>0</v>
      </c>
      <c r="L31" s="23">
        <v>0</v>
      </c>
      <c r="M31" s="23">
        <v>39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/>
      <c r="G32" s="28"/>
      <c r="H32" s="28">
        <v>62</v>
      </c>
      <c r="I32" s="28"/>
      <c r="J32" s="28"/>
      <c r="K32" s="28">
        <v>47</v>
      </c>
      <c r="L32" s="28">
        <v>10</v>
      </c>
      <c r="M32" s="28">
        <v>368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4</v>
      </c>
      <c r="H36" s="42">
        <v>2</v>
      </c>
      <c r="I36" s="42">
        <v>2</v>
      </c>
      <c r="J36" s="42">
        <v>1</v>
      </c>
      <c r="K36" s="42">
        <v>10</v>
      </c>
      <c r="L36" s="42">
        <v>51</v>
      </c>
      <c r="M36" s="42">
        <v>2</v>
      </c>
      <c r="N36" s="42">
        <v>14</v>
      </c>
      <c r="O36" s="42"/>
      <c r="P36" s="42">
        <v>1</v>
      </c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4</v>
      </c>
      <c r="H42" s="42">
        <v>2</v>
      </c>
      <c r="I42" s="42">
        <v>2</v>
      </c>
      <c r="J42" s="42">
        <v>1</v>
      </c>
      <c r="K42" s="42">
        <v>10</v>
      </c>
      <c r="L42" s="42">
        <v>51</v>
      </c>
      <c r="M42" s="42">
        <v>2</v>
      </c>
      <c r="N42" s="42">
        <v>14</v>
      </c>
      <c r="O42" s="42"/>
      <c r="P42" s="42">
        <v>1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>
        <f>6+6+2+3+1+2+1+62+47+10+368</f>
        <v>508</v>
      </c>
      <c r="D44" s="103"/>
      <c r="E44" s="103"/>
    </row>
    <row r="45" spans="2:25" x14ac:dyDescent="0.25">
      <c r="B45" s="76" t="s">
        <v>69</v>
      </c>
      <c r="C45" s="103">
        <v>4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1EE99-D651-4B5B-B4ED-643DA4BAFFC0}">
  <dimension ref="B1:AA45"/>
  <sheetViews>
    <sheetView showGridLines="0" topLeftCell="A28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165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166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15</v>
      </c>
      <c r="I24" s="14"/>
      <c r="J24" s="14"/>
      <c r="K24" s="14">
        <v>2</v>
      </c>
      <c r="L24" s="14">
        <v>8</v>
      </c>
      <c r="M24" s="14">
        <v>449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15</v>
      </c>
      <c r="I31" s="23"/>
      <c r="J31" s="23"/>
      <c r="K31" s="23">
        <v>2</v>
      </c>
      <c r="L31" s="23">
        <v>8</v>
      </c>
      <c r="M31" s="23">
        <v>119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4</v>
      </c>
      <c r="I36" s="42"/>
      <c r="J36" s="42"/>
      <c r="K36" s="42"/>
      <c r="L36" s="42"/>
      <c r="M36" s="42"/>
      <c r="N36" s="42"/>
      <c r="O36" s="42">
        <v>5</v>
      </c>
      <c r="P36" s="42">
        <v>4</v>
      </c>
      <c r="Q36" s="43">
        <v>6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4</v>
      </c>
      <c r="I42" s="42"/>
      <c r="J42" s="42"/>
      <c r="K42" s="42"/>
      <c r="L42" s="42"/>
      <c r="M42" s="42"/>
      <c r="N42" s="42"/>
      <c r="O42" s="42">
        <v>5</v>
      </c>
      <c r="P42" s="42">
        <v>4</v>
      </c>
      <c r="Q42" s="43">
        <v>6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>
        <f>12+330</f>
        <v>342</v>
      </c>
      <c r="D44" s="103"/>
      <c r="E44" s="103"/>
    </row>
    <row r="45" spans="2:25" x14ac:dyDescent="0.25">
      <c r="B45" s="76" t="s">
        <v>69</v>
      </c>
      <c r="C45" s="103">
        <v>3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4B2AC-1CC0-4E80-B862-2EDAAE835A0F}">
  <dimension ref="B1:AA45"/>
  <sheetViews>
    <sheetView showGridLines="0" topLeftCell="A32" zoomScale="160" zoomScaleNormal="160" workbookViewId="0">
      <selection activeCell="M52" sqref="M5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66</v>
      </c>
      <c r="I24" s="14"/>
      <c r="J24" s="14"/>
      <c r="K24" s="14">
        <v>2</v>
      </c>
      <c r="L24" s="14">
        <v>19</v>
      </c>
      <c r="M24" s="14">
        <v>448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4</v>
      </c>
      <c r="M31" s="23">
        <v>131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64</v>
      </c>
      <c r="I32" s="28"/>
      <c r="J32" s="28"/>
      <c r="K32" s="28">
        <v>4</v>
      </c>
      <c r="L32" s="28">
        <v>15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7</v>
      </c>
      <c r="F36" s="42">
        <v>361</v>
      </c>
      <c r="G36" s="42">
        <v>2</v>
      </c>
      <c r="H36" s="42">
        <v>3</v>
      </c>
      <c r="I36" s="42">
        <v>13</v>
      </c>
      <c r="J36" s="42">
        <v>4</v>
      </c>
      <c r="K36" s="42"/>
      <c r="L36" s="42">
        <v>1</v>
      </c>
      <c r="M36" s="42"/>
      <c r="N36" s="42"/>
      <c r="O36" s="42">
        <v>7</v>
      </c>
      <c r="P36" s="42">
        <v>3</v>
      </c>
      <c r="Q36" s="43">
        <v>4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7</v>
      </c>
      <c r="F42" s="42">
        <v>361</v>
      </c>
      <c r="G42" s="42">
        <v>2</v>
      </c>
      <c r="H42" s="42">
        <v>3</v>
      </c>
      <c r="I42" s="42">
        <v>13</v>
      </c>
      <c r="J42" s="42">
        <v>4</v>
      </c>
      <c r="K42" s="42"/>
      <c r="L42" s="42">
        <v>1</v>
      </c>
      <c r="M42" s="42"/>
      <c r="N42" s="42"/>
      <c r="O42" s="42">
        <v>7</v>
      </c>
      <c r="P42" s="42">
        <v>3</v>
      </c>
      <c r="Q42" s="43">
        <v>4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>
        <f>1+9+1+64+15+317</f>
        <v>407</v>
      </c>
      <c r="D44" s="103"/>
      <c r="E44" s="103"/>
    </row>
    <row r="45" spans="2:25" x14ac:dyDescent="0.25">
      <c r="B45" s="76" t="s">
        <v>69</v>
      </c>
      <c r="C45" s="103">
        <v>5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08D61-8A0A-492C-AAB7-B6F7E892DBD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5FCE-3F23-4064-B1BE-AB6B3EEF365C}">
  <dimension ref="B1:AA45"/>
  <sheetViews>
    <sheetView showGridLines="0" topLeftCell="A26" zoomScale="160" zoomScaleNormal="160" workbookViewId="0">
      <selection activeCell="K40" sqref="K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4</v>
      </c>
      <c r="E8" s="14">
        <v>10</v>
      </c>
      <c r="F8" s="14">
        <v>10</v>
      </c>
      <c r="G8" s="14">
        <v>9</v>
      </c>
      <c r="H8" s="14" t="s">
        <v>163</v>
      </c>
      <c r="I8" s="14"/>
      <c r="J8" s="14"/>
      <c r="K8" s="14"/>
      <c r="L8" s="14"/>
      <c r="M8" s="14"/>
      <c r="N8" s="14">
        <v>1</v>
      </c>
      <c r="O8" s="14"/>
      <c r="P8" s="14"/>
      <c r="Q8" s="14">
        <v>1</v>
      </c>
      <c r="R8" s="14"/>
      <c r="S8" s="14"/>
      <c r="T8" s="14">
        <v>2</v>
      </c>
      <c r="U8" s="14"/>
      <c r="V8" s="14">
        <v>1</v>
      </c>
      <c r="W8" s="14"/>
      <c r="X8" s="59">
        <v>11</v>
      </c>
      <c r="Y8" s="15">
        <v>3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>
        <v>0</v>
      </c>
      <c r="H15" s="23">
        <v>10</v>
      </c>
      <c r="I15" s="23"/>
      <c r="J15" s="23"/>
      <c r="K15" s="23"/>
      <c r="L15" s="23"/>
      <c r="M15" s="23"/>
      <c r="N15" s="23">
        <v>0</v>
      </c>
      <c r="O15" s="23"/>
      <c r="P15" s="23"/>
      <c r="Q15" s="23">
        <v>0</v>
      </c>
      <c r="R15" s="23"/>
      <c r="S15" s="23"/>
      <c r="T15" s="23">
        <v>0</v>
      </c>
      <c r="U15" s="23"/>
      <c r="V15" s="23">
        <v>0</v>
      </c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3</v>
      </c>
      <c r="E16" s="27">
        <v>10</v>
      </c>
      <c r="F16" s="27">
        <v>10</v>
      </c>
      <c r="G16" s="28">
        <v>9</v>
      </c>
      <c r="H16" s="28" t="s">
        <v>169</v>
      </c>
      <c r="I16" s="28"/>
      <c r="J16" s="28"/>
      <c r="K16" s="56"/>
      <c r="L16" s="28"/>
      <c r="M16" s="28"/>
      <c r="N16" s="28">
        <v>1</v>
      </c>
      <c r="O16" s="28"/>
      <c r="P16" s="28"/>
      <c r="Q16" s="28">
        <v>1</v>
      </c>
      <c r="R16" s="28"/>
      <c r="S16" s="28"/>
      <c r="T16" s="28">
        <v>2</v>
      </c>
      <c r="U16" s="28"/>
      <c r="V16" s="28">
        <v>1</v>
      </c>
      <c r="W16" s="56"/>
      <c r="X16" s="62">
        <v>11</v>
      </c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48</v>
      </c>
      <c r="I24" s="14"/>
      <c r="J24" s="14"/>
      <c r="K24" s="14">
        <v>1</v>
      </c>
      <c r="L24" s="14">
        <v>27</v>
      </c>
      <c r="M24" s="14">
        <v>746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43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11</v>
      </c>
      <c r="G32" s="28"/>
      <c r="H32" s="28">
        <v>48</v>
      </c>
      <c r="I32" s="28"/>
      <c r="J32" s="28"/>
      <c r="K32" s="28">
        <v>1</v>
      </c>
      <c r="L32" s="28">
        <v>27</v>
      </c>
      <c r="M32" s="28">
        <v>703</v>
      </c>
      <c r="N32" s="28"/>
      <c r="O32" s="23"/>
      <c r="P32" s="28">
        <v>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6</v>
      </c>
      <c r="F36" s="42">
        <v>531</v>
      </c>
      <c r="G36" s="42">
        <v>203</v>
      </c>
      <c r="H36" s="42">
        <v>7</v>
      </c>
      <c r="I36" s="42">
        <v>1</v>
      </c>
      <c r="J36" s="42">
        <v>30</v>
      </c>
      <c r="K36" s="42">
        <v>10</v>
      </c>
      <c r="L36" s="42">
        <v>3</v>
      </c>
      <c r="M36" s="42">
        <v>42</v>
      </c>
      <c r="N36" s="42">
        <v>21</v>
      </c>
      <c r="O36" s="42">
        <v>10</v>
      </c>
      <c r="P36" s="42">
        <v>2</v>
      </c>
      <c r="Q36" s="43">
        <v>2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6</v>
      </c>
      <c r="F42" s="42">
        <v>531</v>
      </c>
      <c r="G42" s="42">
        <v>203</v>
      </c>
      <c r="H42" s="42">
        <v>7</v>
      </c>
      <c r="I42" s="42">
        <v>1</v>
      </c>
      <c r="J42" s="42">
        <v>30</v>
      </c>
      <c r="K42" s="42">
        <v>10</v>
      </c>
      <c r="L42" s="42">
        <v>3</v>
      </c>
      <c r="M42" s="42">
        <v>42</v>
      </c>
      <c r="N42" s="42">
        <v>21</v>
      </c>
      <c r="O42" s="42">
        <v>10</v>
      </c>
      <c r="P42" s="42">
        <v>2</v>
      </c>
      <c r="Q42" s="43">
        <v>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3+10+10+9+12+1+1+2+1+11+3+11+48+1+27+703+13</f>
        <v>866</v>
      </c>
      <c r="D44" s="103"/>
      <c r="E44" s="103"/>
    </row>
    <row r="45" spans="2:25" x14ac:dyDescent="0.25">
      <c r="B45" s="76" t="s">
        <v>69</v>
      </c>
      <c r="C45" s="103">
        <v>10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FDAC-D0B1-4308-829B-6C01CD8F4649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170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171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172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173</v>
      </c>
      <c r="G24" s="14"/>
      <c r="H24" s="14">
        <v>25</v>
      </c>
      <c r="I24" s="14"/>
      <c r="J24" s="14"/>
      <c r="K24" s="14">
        <v>2</v>
      </c>
      <c r="L24" s="14">
        <v>9</v>
      </c>
      <c r="M24" s="14">
        <v>443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3</v>
      </c>
      <c r="M31" s="23">
        <v>372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0</v>
      </c>
      <c r="L32" s="28">
        <v>6</v>
      </c>
      <c r="M32" s="28">
        <v>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24</v>
      </c>
      <c r="F36" s="42">
        <v>102</v>
      </c>
      <c r="G36" s="42">
        <v>1</v>
      </c>
      <c r="H36" s="42">
        <v>1</v>
      </c>
      <c r="I36" s="42"/>
      <c r="J36" s="42"/>
      <c r="K36" s="42"/>
      <c r="L36" s="42"/>
      <c r="M36" s="42"/>
      <c r="N36" s="42"/>
      <c r="O36" s="42">
        <v>1</v>
      </c>
      <c r="P36" s="42">
        <v>2</v>
      </c>
      <c r="Q36" s="43">
        <v>17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24</v>
      </c>
      <c r="F42" s="42">
        <v>102</v>
      </c>
      <c r="G42" s="42">
        <v>1</v>
      </c>
      <c r="H42" s="42">
        <v>1</v>
      </c>
      <c r="I42" s="42"/>
      <c r="J42" s="42"/>
      <c r="K42" s="42"/>
      <c r="L42" s="42"/>
      <c r="M42" s="42"/>
      <c r="N42" s="42"/>
      <c r="O42" s="42">
        <v>1</v>
      </c>
      <c r="P42" s="42">
        <v>2</v>
      </c>
      <c r="Q42" s="43">
        <v>17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3+2+2+21+6+71</f>
        <v>105</v>
      </c>
      <c r="D44" s="103"/>
      <c r="E44" s="103"/>
    </row>
    <row r="45" spans="2:25" x14ac:dyDescent="0.25">
      <c r="B45" s="76" t="s">
        <v>69</v>
      </c>
      <c r="C45" s="103">
        <v>6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B7930-CE48-4773-916A-C0E171EE8AB8}">
  <dimension ref="B1:AA45"/>
  <sheetViews>
    <sheetView showGridLines="0" tabSelected="1" zoomScale="160" zoomScaleNormal="160" workbookViewId="0">
      <selection activeCell="M40" sqref="M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157</v>
      </c>
      <c r="I24" s="14"/>
      <c r="J24" s="14"/>
      <c r="K24" s="14">
        <v>2</v>
      </c>
      <c r="L24" s="14">
        <v>44</v>
      </c>
      <c r="M24" s="14">
        <v>563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47</v>
      </c>
      <c r="I31" s="23"/>
      <c r="J31" s="23"/>
      <c r="K31" s="23">
        <v>0</v>
      </c>
      <c r="L31" s="23">
        <v>0</v>
      </c>
      <c r="M31" s="23">
        <v>98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110</v>
      </c>
      <c r="I32" s="28"/>
      <c r="J32" s="28"/>
      <c r="K32" s="28">
        <v>2</v>
      </c>
      <c r="L32" s="28">
        <v>44</v>
      </c>
      <c r="M32" s="28">
        <v>465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602</v>
      </c>
      <c r="G36" s="42">
        <v>11</v>
      </c>
      <c r="H36" s="42">
        <v>1</v>
      </c>
      <c r="I36" s="42">
        <v>17</v>
      </c>
      <c r="J36" s="42">
        <v>1</v>
      </c>
      <c r="K36" s="42"/>
      <c r="L36" s="42">
        <v>7</v>
      </c>
      <c r="M36" s="42">
        <v>1</v>
      </c>
      <c r="N36" s="42"/>
      <c r="O36" s="42">
        <v>4</v>
      </c>
      <c r="P36" s="42">
        <v>15</v>
      </c>
      <c r="Q36" s="43">
        <v>12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602</v>
      </c>
      <c r="G42" s="42">
        <v>11</v>
      </c>
      <c r="H42" s="42">
        <v>1</v>
      </c>
      <c r="I42" s="42">
        <v>17</v>
      </c>
      <c r="J42" s="42">
        <v>1</v>
      </c>
      <c r="K42" s="42"/>
      <c r="L42" s="42">
        <v>7</v>
      </c>
      <c r="M42" s="42">
        <v>1</v>
      </c>
      <c r="N42" s="42"/>
      <c r="O42" s="42">
        <v>4</v>
      </c>
      <c r="P42" s="42">
        <v>15</v>
      </c>
      <c r="Q42" s="43">
        <v>12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19+2+1+1+110+2+44+465</f>
        <v>644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69</vt:i4>
      </vt:variant>
      <vt:variant>
        <vt:lpstr>Named Ranges</vt:lpstr>
      </vt:variant>
      <vt:variant>
        <vt:i4>68</vt:i4>
      </vt:variant>
    </vt:vector>
  </HeadingPairs>
  <TitlesOfParts>
    <vt:vector size="137" baseType="lpstr">
      <vt:lpstr>CSR | AUGUST</vt:lpstr>
      <vt:lpstr>(01)</vt:lpstr>
      <vt:lpstr>08-01 R1 NO TRIP</vt:lpstr>
      <vt:lpstr>08-01 R2 NO TRIP</vt:lpstr>
      <vt:lpstr>08-01 R3 NO TRIP</vt:lpstr>
      <vt:lpstr>(3)</vt:lpstr>
      <vt:lpstr>08-03 R1</vt:lpstr>
      <vt:lpstr>08-03 R2</vt:lpstr>
      <vt:lpstr>08-03 R3</vt:lpstr>
      <vt:lpstr>(4)</vt:lpstr>
      <vt:lpstr>08-04 R1 NO TRIP</vt:lpstr>
      <vt:lpstr>08-04 R2</vt:lpstr>
      <vt:lpstr>08-04 R3</vt:lpstr>
      <vt:lpstr>(5)</vt:lpstr>
      <vt:lpstr>08-05 R1</vt:lpstr>
      <vt:lpstr>08-05 R2</vt:lpstr>
      <vt:lpstr>08-05 R3 NO TRIP</vt:lpstr>
      <vt:lpstr>(6)</vt:lpstr>
      <vt:lpstr>08-06 R1 NO TRIP</vt:lpstr>
      <vt:lpstr>08-06 R2</vt:lpstr>
      <vt:lpstr>08-06 R3</vt:lpstr>
      <vt:lpstr>(7)</vt:lpstr>
      <vt:lpstr>08-07 R1</vt:lpstr>
      <vt:lpstr>08-07 R2</vt:lpstr>
      <vt:lpstr>08-07 R3</vt:lpstr>
      <vt:lpstr>(8)</vt:lpstr>
      <vt:lpstr>08-08 R1 NO TRIP</vt:lpstr>
      <vt:lpstr>08-08 R2</vt:lpstr>
      <vt:lpstr>08-08 R3</vt:lpstr>
      <vt:lpstr>(10)</vt:lpstr>
      <vt:lpstr>08-10 R1</vt:lpstr>
      <vt:lpstr>08-10 R2</vt:lpstr>
      <vt:lpstr>08-10 R3</vt:lpstr>
      <vt:lpstr>(11)</vt:lpstr>
      <vt:lpstr>08-11 R1</vt:lpstr>
      <vt:lpstr>08-11 R2</vt:lpstr>
      <vt:lpstr>08-11 R3</vt:lpstr>
      <vt:lpstr>(12)</vt:lpstr>
      <vt:lpstr>08-12 R1</vt:lpstr>
      <vt:lpstr>08-12 R2</vt:lpstr>
      <vt:lpstr>08-12 R3</vt:lpstr>
      <vt:lpstr>(13)</vt:lpstr>
      <vt:lpstr>08-13 R1</vt:lpstr>
      <vt:lpstr>08-13 R2</vt:lpstr>
      <vt:lpstr>08-13 R3</vt:lpstr>
      <vt:lpstr>(14)</vt:lpstr>
      <vt:lpstr>08-14 R1</vt:lpstr>
      <vt:lpstr>08-14 R2</vt:lpstr>
      <vt:lpstr>08-14 R3</vt:lpstr>
      <vt:lpstr>(15)</vt:lpstr>
      <vt:lpstr>08-15 R1 COLLECTION ONLY </vt:lpstr>
      <vt:lpstr>08-15 R2 NO TRIP</vt:lpstr>
      <vt:lpstr>08-15 R3</vt:lpstr>
      <vt:lpstr>(17)</vt:lpstr>
      <vt:lpstr>08-17 R1</vt:lpstr>
      <vt:lpstr>08-17 R2 </vt:lpstr>
      <vt:lpstr>08-17 R3</vt:lpstr>
      <vt:lpstr>(18)</vt:lpstr>
      <vt:lpstr>08-18 R1</vt:lpstr>
      <vt:lpstr>08-18 R2</vt:lpstr>
      <vt:lpstr>08-18 R3</vt:lpstr>
      <vt:lpstr>(19)</vt:lpstr>
      <vt:lpstr>08-19 R1</vt:lpstr>
      <vt:lpstr>08-19 R2</vt:lpstr>
      <vt:lpstr>08-19 R3</vt:lpstr>
      <vt:lpstr>(20)</vt:lpstr>
      <vt:lpstr>08-20 R1</vt:lpstr>
      <vt:lpstr>08-20 R2</vt:lpstr>
      <vt:lpstr>08-20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'08-01 R1 NO TRIP'!Print_Area</vt:lpstr>
      <vt:lpstr>'08-01 R2 NO TRIP'!Print_Area</vt:lpstr>
      <vt:lpstr>'08-01 R3 NO TRIP'!Print_Area</vt:lpstr>
      <vt:lpstr>'08-03 R1'!Print_Area</vt:lpstr>
      <vt:lpstr>'08-03 R2'!Print_Area</vt:lpstr>
      <vt:lpstr>'08-03 R3'!Print_Area</vt:lpstr>
      <vt:lpstr>'08-04 R1 NO TRIP'!Print_Area</vt:lpstr>
      <vt:lpstr>'08-04 R2'!Print_Area</vt:lpstr>
      <vt:lpstr>'08-04 R3'!Print_Area</vt:lpstr>
      <vt:lpstr>'08-05 R1'!Print_Area</vt:lpstr>
      <vt:lpstr>'08-05 R2'!Print_Area</vt:lpstr>
      <vt:lpstr>'08-05 R3 NO TRIP'!Print_Area</vt:lpstr>
      <vt:lpstr>'08-06 R1 NO TRIP'!Print_Area</vt:lpstr>
      <vt:lpstr>'08-06 R2'!Print_Area</vt:lpstr>
      <vt:lpstr>'08-06 R3'!Print_Area</vt:lpstr>
      <vt:lpstr>'08-07 R1'!Print_Area</vt:lpstr>
      <vt:lpstr>'08-07 R2'!Print_Area</vt:lpstr>
      <vt:lpstr>'08-07 R3'!Print_Area</vt:lpstr>
      <vt:lpstr>'08-08 R1 NO TRIP'!Print_Area</vt:lpstr>
      <vt:lpstr>'08-08 R2'!Print_Area</vt:lpstr>
      <vt:lpstr>'08-08 R3'!Print_Area</vt:lpstr>
      <vt:lpstr>'08-10 R1'!Print_Area</vt:lpstr>
      <vt:lpstr>'08-10 R2'!Print_Area</vt:lpstr>
      <vt:lpstr>'08-10 R3'!Print_Area</vt:lpstr>
      <vt:lpstr>'08-11 R1'!Print_Area</vt:lpstr>
      <vt:lpstr>'08-11 R2'!Print_Area</vt:lpstr>
      <vt:lpstr>'08-11 R3'!Print_Area</vt:lpstr>
      <vt:lpstr>'08-12 R1'!Print_Area</vt:lpstr>
      <vt:lpstr>'08-12 R2'!Print_Area</vt:lpstr>
      <vt:lpstr>'08-12 R3'!Print_Area</vt:lpstr>
      <vt:lpstr>'08-13 R1'!Print_Area</vt:lpstr>
      <vt:lpstr>'08-13 R2'!Print_Area</vt:lpstr>
      <vt:lpstr>'08-13 R3'!Print_Area</vt:lpstr>
      <vt:lpstr>'08-14 R1'!Print_Area</vt:lpstr>
      <vt:lpstr>'08-14 R2'!Print_Area</vt:lpstr>
      <vt:lpstr>'08-14 R3'!Print_Area</vt:lpstr>
      <vt:lpstr>'08-15 R1 COLLECTION ONLY '!Print_Area</vt:lpstr>
      <vt:lpstr>'08-15 R2 NO TRIP'!Print_Area</vt:lpstr>
      <vt:lpstr>'08-15 R3'!Print_Area</vt:lpstr>
      <vt:lpstr>'08-17 R1'!Print_Area</vt:lpstr>
      <vt:lpstr>'08-17 R2 '!Print_Area</vt:lpstr>
      <vt:lpstr>'08-17 R3'!Print_Area</vt:lpstr>
      <vt:lpstr>'08-18 R1'!Print_Area</vt:lpstr>
      <vt:lpstr>'08-18 R2'!Print_Area</vt:lpstr>
      <vt:lpstr>'08-18 R3'!Print_Area</vt:lpstr>
      <vt:lpstr>'08-19 R1'!Print_Area</vt:lpstr>
      <vt:lpstr>'08-19 R2'!Print_Area</vt:lpstr>
      <vt:lpstr>'08-19 R3'!Print_Area</vt:lpstr>
      <vt:lpstr>'08-20 R1'!Print_Area</vt:lpstr>
      <vt:lpstr>'08-20 R2'!Print_Area</vt:lpstr>
      <vt:lpstr>'08-20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2026-08-19T05:26:28Z</cp:lastPrinted>
  <dcterms:created xsi:type="dcterms:W3CDTF">2024-09-01T22:48:10Z</dcterms:created>
  <dcterms:modified xsi:type="dcterms:W3CDTF">2026-08-21T03:00:24Z</dcterms:modified>
</cp:coreProperties>
</file>