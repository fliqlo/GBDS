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BC8CA92A-E9F8-40BD-81FF-4AC4E339F30D}" xr6:coauthVersionLast="45" xr6:coauthVersionMax="47" xr10:uidLastSave="{00000000-0000-0000-0000-000000000000}"/>
  <bookViews>
    <workbookView xWindow="-120" yWindow="-120" windowWidth="29040" windowHeight="15840" firstSheet="68" activeTab="77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  <sheet name="(18)" sheetId="1908" r:id="rId58"/>
    <sheet name="08-18 R1" sheetId="1909" r:id="rId59"/>
    <sheet name="08-18 R2" sheetId="1910" r:id="rId60"/>
    <sheet name="08-18 R3" sheetId="1911" r:id="rId61"/>
    <sheet name="(19)" sheetId="1912" r:id="rId62"/>
    <sheet name="08-19 R1" sheetId="1913" r:id="rId63"/>
    <sheet name="08-19 R2" sheetId="1914" r:id="rId64"/>
    <sheet name="08-19 R3" sheetId="1915" r:id="rId65"/>
    <sheet name="(20)" sheetId="1916" r:id="rId66"/>
    <sheet name="08-20 R1" sheetId="1917" r:id="rId67"/>
    <sheet name="08-20 R2" sheetId="1918" r:id="rId68"/>
    <sheet name="08-20 R3" sheetId="1919" r:id="rId69"/>
    <sheet name="(21)" sheetId="1920" r:id="rId70"/>
    <sheet name="08-21 R1 NO TRIP" sheetId="1921" r:id="rId71"/>
    <sheet name="08-21 R2" sheetId="1922" r:id="rId72"/>
    <sheet name="08-21 R3" sheetId="1923" r:id="rId73"/>
    <sheet name="08-24 R1" sheetId="1925" r:id="rId74"/>
    <sheet name="08-24 R2" sheetId="1926" r:id="rId75"/>
    <sheet name="08-24 R3" sheetId="1927" r:id="rId76"/>
    <sheet name="(25)" sheetId="1924" r:id="rId77"/>
    <sheet name="08-25 R1" sheetId="1928" r:id="rId78"/>
    <sheet name="08-25 R2" sheetId="1929" r:id="rId79"/>
    <sheet name="08-25 R3" sheetId="1930" r:id="rId80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65">'(20)'!$A$1:$Z$44</definedName>
    <definedName name="_xlnm.Print_Area" localSheetId="69">'(21)'!$A$1:$Z$44</definedName>
    <definedName name="_xlnm.Print_Area" localSheetId="76">'(25)'!$A$1:$Z$44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  <definedName name="_xlnm.Print_Area" localSheetId="58">'08-18 R1'!$A$1:$Z$43</definedName>
    <definedName name="_xlnm.Print_Area" localSheetId="59">'08-18 R2'!$A$1:$V$44</definedName>
    <definedName name="_xlnm.Print_Area" localSheetId="60">'08-18 R3'!$A$1:$V$44</definedName>
    <definedName name="_xlnm.Print_Area" localSheetId="62">'08-19 R1'!$A$1:$Z$43</definedName>
    <definedName name="_xlnm.Print_Area" localSheetId="63">'08-19 R2'!$A$1:$V$44</definedName>
    <definedName name="_xlnm.Print_Area" localSheetId="64">'08-19 R3'!$A$1:$V$44</definedName>
    <definedName name="_xlnm.Print_Area" localSheetId="66">'08-20 R1'!$A$1:$Z$43</definedName>
    <definedName name="_xlnm.Print_Area" localSheetId="67">'08-20 R2'!$A$1:$V$44</definedName>
    <definedName name="_xlnm.Print_Area" localSheetId="68">'08-20 R3'!$A$1:$V$44</definedName>
    <definedName name="_xlnm.Print_Area" localSheetId="70">'08-21 R1 NO TRIP'!$A$1:$Z$43</definedName>
    <definedName name="_xlnm.Print_Area" localSheetId="71">'08-21 R2'!$A$1:$V$44</definedName>
    <definedName name="_xlnm.Print_Area" localSheetId="72">'08-21 R3'!$A$1:$V$44</definedName>
    <definedName name="_xlnm.Print_Area" localSheetId="73">'08-24 R1'!$A$1:$Z$43</definedName>
    <definedName name="_xlnm.Print_Area" localSheetId="74">'08-24 R2'!$A$1:$V$44</definedName>
    <definedName name="_xlnm.Print_Area" localSheetId="75">'08-24 R3'!$A$1:$V$44</definedName>
    <definedName name="_xlnm.Print_Area" localSheetId="77">'08-25 R1'!$A$1:$Z$43</definedName>
    <definedName name="_xlnm.Print_Area" localSheetId="78">'08-25 R2'!$A$1:$V$44</definedName>
    <definedName name="_xlnm.Print_Area" localSheetId="79">'08-25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30" l="1"/>
  <c r="C44" i="1929"/>
  <c r="F21" i="1930"/>
  <c r="F21" i="1929"/>
  <c r="F21" i="1928"/>
  <c r="C44" i="1927" l="1"/>
  <c r="C44" i="1926"/>
  <c r="C44" i="1925"/>
  <c r="F21" i="1927" l="1"/>
  <c r="F21" i="1926"/>
  <c r="F21" i="1925"/>
  <c r="F21" i="1924"/>
  <c r="C44" i="1904" l="1"/>
  <c r="C44" i="1915"/>
  <c r="C44" i="1922"/>
  <c r="C44" i="1923"/>
  <c r="F21" i="1923"/>
  <c r="F21" i="1922"/>
  <c r="F21" i="1921"/>
  <c r="F21" i="1920"/>
  <c r="C44" i="1919" l="1"/>
  <c r="C44" i="1918"/>
  <c r="C44" i="1917"/>
  <c r="F21" i="1919"/>
  <c r="F21" i="1918"/>
  <c r="F21" i="1917"/>
  <c r="F21" i="1916"/>
  <c r="C44" i="1914" l="1"/>
  <c r="C44" i="1913"/>
  <c r="F21" i="1915"/>
  <c r="F21" i="1914"/>
  <c r="F21" i="1913"/>
  <c r="F21" i="1912"/>
  <c r="C44" i="1909" l="1"/>
  <c r="C44" i="1910"/>
  <c r="C44" i="1911"/>
  <c r="F21" i="1911" l="1"/>
  <c r="F21" i="1910"/>
  <c r="F21" i="1909"/>
  <c r="F21" i="1908"/>
  <c r="C44" i="1907" l="1"/>
  <c r="C44" i="1906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<sst xmlns="http://schemas.openxmlformats.org/spreadsheetml/2006/main" count="7176" uniqueCount="192">
  <si>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</si>
  <si>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</si>
  <si>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</si>
  <si>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</si>
  <si>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</si>
  <si>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</si>
  <si>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</si>
  <si>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</si>
  <si>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</si>
  <si>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</si>
  <si>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</si>
  <si>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</si>
  <si>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</si>
  <si>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</si>
  <si>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</si>
  <si>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</si>
  <si>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</si>
  <si>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</si>
  <si>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</si>
  <si>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</si>
  <si>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</si>
  <si>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</si>
  <si>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</si>
  <si>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</si>
  <si>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</si>
  <si>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</si>
  <si>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</si>
  <si>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</si>
  <si>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</si>
  <si>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</si>
  <si>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</si>
  <si>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</si>
  <si>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</si>
  <si>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</si>
  <si>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</si>
  <si>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</si>
  <si>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</si>
  <si>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</si>
  <si>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</si>
  <si>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</si>
  <si>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</si>
  <si>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</si>
  <si>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</si>
  <si>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</si>
  <si>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</si>
  <si>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</si>
  <si>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</si>
  <si>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</si>
  <si>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</si>
  <si>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</si>
  <si>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</si>
  <si>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</si>
  <si>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</si>
  <si>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</si>
  <si>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</si>
  <si>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</si>
  <si>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</si>
  <si>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</si>
  <si>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</si>
  <si>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</si>
  <si>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</si>
  <si>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</si>
  <si>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</si>
  <si>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</si>
  <si>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</si>
  <si>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</si>
  <si>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</si>
  <si>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</si>
  <si>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</si>
  <si>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</si>
  <si>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</si>
  <si>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</si>
  <si>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</si>
  <si>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</si>
  <si>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</si>
  <si>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</si>
  <si>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</si>
  <si>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</si>
  <si>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</si>
  <si>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</si>
  <si>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</si>
  <si>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</si>
  <si>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</si>
  <si>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</si>
  <si>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</si>
  <si>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</si>
  <si>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</si>
  <si>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</si>
  <si>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</si>
  <si>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</si>
  <si>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</si>
  <si>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</si>
  <si>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</si>
  <si>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</si>
  <si>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</si>
  <si>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</si>
  <si>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</si>
  <si>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</si>
  <si>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</si>
  <si>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</si>
  <si>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</si>
  <si>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</si>
  <si>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</si>
  <si>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</si>
  <si>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</si>
  <si>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</si>
  <si>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</si>
  <si>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</si>
  <si>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</si>
  <si>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</si>
  <si>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</si>
  <si>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</si>
  <si>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</si>
  <si>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</si>
  <si>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</si>
  <si>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</si>
  <si>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</si>
  <si>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</si>
  <si>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</si>
  <si>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</si>
  <si>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</si>
  <si>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</si>
  <si>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</si>
  <si>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</si>
  <si>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</si>
  <si>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</si>
  <si>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</si>
  <si>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</si>
  <si>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</si>
  <si>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</si>
  <si>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</si>
  <si>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</si>
  <si>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</si>
  <si>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</si>
  <si>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</si>
  <si>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</si>
  <si>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</si>
  <si>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</si>
  <si>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</si>
  <si>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</si>
  <si>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</si>
  <si>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</si>
  <si>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</si>
  <si>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</si>
  <si>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</si>
  <si>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</si>
  <si>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</si>
  <si>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</si>
  <si>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</si>
  <si>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</si>
  <si>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</si>
  <si>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</si>
  <si>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</si>
  <si>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</si>
  <si>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</si>
  <si>
    <t>DATE ___________08/18/2026___________</t>
  </si>
  <si>
    <t>24/5B</t>
  </si>
  <si>
    <t>10/4B</t>
  </si>
  <si>
    <t>10/15B</t>
  </si>
  <si>
    <t>20/19B</t>
  </si>
  <si>
    <t>7/21B</t>
  </si>
  <si>
    <t>2/21B</t>
  </si>
  <si>
    <t>DATE ___________08/19/2026___________</t>
  </si>
  <si>
    <t>12/20B</t>
  </si>
  <si>
    <t>2/4B</t>
  </si>
  <si>
    <t>12/21B</t>
  </si>
  <si>
    <t>18B</t>
  </si>
  <si>
    <t>9/5B</t>
  </si>
  <si>
    <t>DATE ___________08/20/2026___________</t>
  </si>
  <si>
    <t>12/10B</t>
  </si>
  <si>
    <t>11/18B</t>
  </si>
  <si>
    <t>8/12B</t>
  </si>
  <si>
    <t>3/6B</t>
  </si>
  <si>
    <t>3</t>
  </si>
  <si>
    <t>DATE ___________08/21/2026___________</t>
  </si>
  <si>
    <t>13/12B</t>
  </si>
  <si>
    <t>5</t>
  </si>
  <si>
    <t>DATE ___________08/24/2026___________</t>
  </si>
  <si>
    <t>10B</t>
  </si>
  <si>
    <t>33B</t>
  </si>
  <si>
    <t>21/2B</t>
  </si>
  <si>
    <t>10/7B</t>
  </si>
  <si>
    <t>10/19B</t>
  </si>
  <si>
    <t>15/11B</t>
  </si>
  <si>
    <t>6/12B</t>
  </si>
  <si>
    <t>DATE ___________08/25/2026___________</t>
  </si>
  <si>
    <t>26/17B</t>
  </si>
  <si>
    <t>25/10B</t>
  </si>
  <si>
    <t>25/6B</t>
  </si>
  <si>
    <t>14/7B</t>
  </si>
  <si>
    <t>39/13B</t>
  </si>
  <si>
    <t>31/10B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</si>
</sst>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1+2+1+32+9+283</f>
        <v>328</v>
      </c>
      <c r="D44" s="106"/>
      <c r="E44" s="106"/>
    </row>
    <row r="45" spans="2:25" x14ac:dyDescent="0.25">
      <c r="B45" s="76" t="s">
        <v>69</v>
      </c>
      <c r="C45" s="106">
        <f>8</f>
        <v>8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1+1+25+1+2+168+1+6+487+2+1</f>
        <v>695</v>
      </c>
      <c r="D44" s="106"/>
      <c r="E44" s="106"/>
    </row>
    <row r="45" spans="2:25" x14ac:dyDescent="0.25">
      <c r="B45" s="76" t="s">
        <v>69</v>
      </c>
      <c r="C45" s="106">
        <f>8</f>
        <v>8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17+2+1+2+81+14+428</f>
        <v>545</v>
      </c>
      <c r="D44" s="106"/>
      <c r="E44" s="106"/>
    </row>
    <row r="45" spans="2:25" x14ac:dyDescent="0.25">
      <c r="B45" s="76" t="s">
        <v>69</v>
      </c>
      <c r="C45" s="106">
        <f>3</f>
        <v>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11+20+2+431</f>
        <v>464</v>
      </c>
      <c r="D44" s="106"/>
      <c r="E44" s="106"/>
    </row>
    <row r="45" spans="2:25" x14ac:dyDescent="0.25">
      <c r="B45" s="76" t="s">
        <v>69</v>
      </c>
      <c r="C45" s="106">
        <f>4</f>
        <v>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17+2+4+55+4+548</f>
        <v>630</v>
      </c>
      <c r="D44" s="106"/>
      <c r="E44" s="106"/>
    </row>
    <row r="45" spans="2:25" x14ac:dyDescent="0.25">
      <c r="B45" s="76" t="s">
        <v>69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6">
        <f>8+113+15+236</f>
        <v>372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6">
        <f>2+10+1+1+1+21+1+322+1</f>
        <v>360</v>
      </c>
      <c r="D44" s="106"/>
      <c r="E44" s="106"/>
    </row>
    <row r="45" spans="2:25" x14ac:dyDescent="0.25">
      <c r="B45" s="76" t="s">
        <v>69</v>
      </c>
      <c r="C45" s="106">
        <v>10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v>506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1+11+1+3+20+12+367</f>
        <v>415</v>
      </c>
      <c r="D44" s="106"/>
      <c r="E44" s="106"/>
    </row>
    <row r="45" spans="2:25" x14ac:dyDescent="0.25">
      <c r="B45" s="76" t="s">
        <v>69</v>
      </c>
      <c r="C45" s="106"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3+2+37+15+482</f>
        <v>539</v>
      </c>
      <c r="D44" s="106"/>
      <c r="E44" s="106"/>
    </row>
    <row r="45" spans="2:25" x14ac:dyDescent="0.25">
      <c r="B45" s="76" t="s">
        <v>69</v>
      </c>
      <c r="C45" s="106">
        <v>17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10+1+24+12+373</f>
        <v>420</v>
      </c>
      <c r="D44" s="106"/>
      <c r="E44" s="106"/>
    </row>
    <row r="45" spans="2:25" x14ac:dyDescent="0.25">
      <c r="B45" s="76" t="s">
        <v>69</v>
      </c>
      <c r="C45" s="106"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1+1+14+108+1+4+387</f>
        <v>516</v>
      </c>
      <c r="D44" s="106"/>
      <c r="E44" s="106"/>
    </row>
    <row r="45" spans="2:25" x14ac:dyDescent="0.25">
      <c r="B45" s="76" t="s">
        <v>69</v>
      </c>
      <c r="C45" s="106">
        <v>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11+12+9+273</f>
        <v>305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7+2+2+108+6+280</f>
        <v>405</v>
      </c>
      <c r="D44" s="106"/>
      <c r="E44" s="106"/>
    </row>
    <row r="45" spans="2:25" x14ac:dyDescent="0.25">
      <c r="B45" s="76" t="s">
        <v>69</v>
      </c>
      <c r="C45" s="106">
        <v>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6+1+8+2+323</f>
        <v>340</v>
      </c>
      <c r="D44" s="106"/>
      <c r="E44" s="106"/>
    </row>
    <row r="45" spans="2:25" x14ac:dyDescent="0.25">
      <c r="B45" s="76" t="s">
        <v>69</v>
      </c>
      <c r="C45" s="106">
        <v>7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1+16+6+1+125+2+361</f>
        <v>512</v>
      </c>
      <c r="D44" s="106"/>
      <c r="E44" s="106"/>
    </row>
    <row r="45" spans="2:25" x14ac:dyDescent="0.25">
      <c r="B45" s="76" t="s">
        <v>69</v>
      </c>
      <c r="C45" s="106">
        <v>17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12+92+26+484</f>
        <v>614</v>
      </c>
      <c r="D44" s="106"/>
      <c r="E44" s="106"/>
    </row>
    <row r="45" spans="2:25" x14ac:dyDescent="0.25">
      <c r="B45" s="76" t="s">
        <v>69</v>
      </c>
      <c r="C45" s="106">
        <v>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8+1+1+4+30+2+3+402+6</f>
        <v>457</v>
      </c>
      <c r="D44" s="106"/>
      <c r="E44" s="106"/>
    </row>
    <row r="45" spans="2:25" x14ac:dyDescent="0.25">
      <c r="B45" s="76" t="s">
        <v>69</v>
      </c>
      <c r="C45" s="106"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10+23+3+344</f>
        <v>380</v>
      </c>
      <c r="D44" s="106"/>
      <c r="E44" s="106"/>
    </row>
    <row r="45" spans="2:25" x14ac:dyDescent="0.25">
      <c r="B45" s="76" t="s">
        <v>69</v>
      </c>
      <c r="C45" s="106">
        <v>18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9+32+10+632+5</f>
        <v>688</v>
      </c>
      <c r="D44" s="106"/>
      <c r="E44" s="106"/>
    </row>
    <row r="45" spans="2:25" x14ac:dyDescent="0.25">
      <c r="B45" s="76" t="s">
        <v>69</v>
      </c>
      <c r="C45" s="106">
        <f>10</f>
        <v>10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10+10+362</f>
        <v>382</v>
      </c>
      <c r="D44" s="106"/>
      <c r="E44" s="106"/>
    </row>
    <row r="45" spans="2:25" x14ac:dyDescent="0.25">
      <c r="B45" s="76" t="s">
        <v>69</v>
      </c>
      <c r="C45" s="106">
        <v>13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1+7+2+3+1+1+51+2+292</f>
        <v>360</v>
      </c>
      <c r="D44" s="106"/>
      <c r="E44" s="106"/>
    </row>
    <row r="45" spans="2:25" x14ac:dyDescent="0.25">
      <c r="B45" s="76" t="s">
        <v>69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3+2+1+2+3+20+55+8+347</f>
        <v>441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8+1+26+10+345</f>
        <v>390</v>
      </c>
      <c r="D44" s="106"/>
      <c r="E44" s="106"/>
    </row>
    <row r="45" spans="2:25" x14ac:dyDescent="0.25">
      <c r="B45" s="76" t="s">
        <v>69</v>
      </c>
      <c r="C45" s="106">
        <v>10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2+16+2+1+108+1+12+369+10</f>
        <v>521</v>
      </c>
      <c r="D44" s="106"/>
      <c r="E44" s="106"/>
    </row>
    <row r="45" spans="2:25" x14ac:dyDescent="0.25">
      <c r="B45" s="76" t="s">
        <v>69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1+2+2+1+14+10+412+1+5</f>
        <v>448</v>
      </c>
      <c r="D44" s="106"/>
      <c r="E44" s="106"/>
    </row>
    <row r="45" spans="2:25" x14ac:dyDescent="0.25">
      <c r="B45" s="76" t="s">
        <v>69</v>
      </c>
      <c r="C45" s="106"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9+10+2+288</f>
        <v>309</v>
      </c>
      <c r="D44" s="106"/>
      <c r="E44" s="106"/>
    </row>
    <row r="45" spans="2:25" x14ac:dyDescent="0.25">
      <c r="B45" s="76" t="s">
        <v>69</v>
      </c>
      <c r="C45" s="106"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1+17+3+1+80+3+1+25+506+3</f>
        <v>640</v>
      </c>
      <c r="D44" s="106"/>
      <c r="E44" s="106"/>
    </row>
    <row r="45" spans="2:25" x14ac:dyDescent="0.25">
      <c r="B45" s="76" t="s">
        <v>69</v>
      </c>
      <c r="C45" s="106"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1+1+20+5+2+1+9+36+594</f>
        <v>669</v>
      </c>
      <c r="D44" s="106"/>
      <c r="E44" s="106"/>
    </row>
    <row r="45" spans="2:25" x14ac:dyDescent="0.25">
      <c r="B45" s="76" t="s">
        <v>69</v>
      </c>
      <c r="C45" s="106">
        <v>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4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6">
        <f>5+1+2+14+1+1+5+96+1+5+3+409+1</f>
        <v>544</v>
      </c>
      <c r="D44" s="106"/>
      <c r="E44" s="106"/>
    </row>
    <row r="45" spans="2:25" x14ac:dyDescent="0.25">
      <c r="B45" s="76" t="s">
        <v>69</v>
      </c>
      <c r="C45" s="106"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14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6">
        <f>1+1+17+1+1+1+24+2+501</f>
        <v>549</v>
      </c>
      <c r="D44" s="106"/>
      <c r="E44" s="106"/>
    </row>
    <row r="45" spans="2:25" x14ac:dyDescent="0.25">
      <c r="B45" s="76" t="s">
        <v>69</v>
      </c>
      <c r="C45" s="106">
        <v>18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14" zoomScale="160" zoomScaleNormal="160" workbookViewId="0">
      <selection activeCell="L28" sqref="L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6">
        <f>12+1+133+12+520</f>
        <v>678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7D8A-0312-4C1E-AE37-EC297F83921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0AF8-6BCA-47B1-BFC9-A0684D7BE184}">
  <dimension ref="B1:AA45"/>
  <sheetViews>
    <sheetView showGridLines="0" topLeftCell="A23" zoomScale="160" zoomScaleNormal="160" workbookViewId="0">
      <selection activeCell="J32" sqref="J32: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34</v>
      </c>
      <c r="I24" s="14"/>
      <c r="J24" s="14"/>
      <c r="K24" s="14"/>
      <c r="L24" s="14">
        <v>7</v>
      </c>
      <c r="M24" s="14">
        <v>700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34</v>
      </c>
      <c r="I31" s="23"/>
      <c r="J31" s="23"/>
      <c r="K31" s="23"/>
      <c r="L31" s="23">
        <v>0</v>
      </c>
      <c r="M31" s="23">
        <v>27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7</v>
      </c>
      <c r="M32" s="28">
        <v>673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669</v>
      </c>
      <c r="G36" s="42"/>
      <c r="H36" s="42">
        <v>1</v>
      </c>
      <c r="I36" s="42">
        <v>7</v>
      </c>
      <c r="J36" s="42">
        <v>1</v>
      </c>
      <c r="K36" s="42">
        <v>9</v>
      </c>
      <c r="L36" s="42">
        <v>2</v>
      </c>
      <c r="M36" s="42"/>
      <c r="N36" s="42"/>
      <c r="O36" s="42">
        <v>10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669</v>
      </c>
      <c r="G42" s="42"/>
      <c r="H42" s="42">
        <v>1</v>
      </c>
      <c r="I42" s="42">
        <v>7</v>
      </c>
      <c r="J42" s="42">
        <v>1</v>
      </c>
      <c r="K42" s="42">
        <v>9</v>
      </c>
      <c r="L42" s="42">
        <v>2</v>
      </c>
      <c r="M42" s="42"/>
      <c r="N42" s="42"/>
      <c r="O42" s="42">
        <v>10</v>
      </c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10+7+673+5</f>
        <v>695</v>
      </c>
      <c r="D44" s="106"/>
      <c r="E44" s="106"/>
    </row>
    <row r="45" spans="2:25" x14ac:dyDescent="0.25">
      <c r="B45" s="76" t="s">
        <v>69</v>
      </c>
      <c r="C45" s="106">
        <v>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2E95-A132-4E1E-A64D-2BB9F7E0F2C2}">
  <dimension ref="B1:AA45"/>
  <sheetViews>
    <sheetView showGridLines="0" topLeftCell="A26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 t="s">
        <v>98</v>
      </c>
      <c r="E15" s="23">
        <v>0</v>
      </c>
      <c r="F15" s="23">
        <v>0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>
        <v>1</v>
      </c>
      <c r="F16" s="27">
        <v>1</v>
      </c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29</v>
      </c>
      <c r="I24" s="14"/>
      <c r="J24" s="14"/>
      <c r="K24" s="14">
        <v>2</v>
      </c>
      <c r="L24" s="14">
        <v>8</v>
      </c>
      <c r="M24" s="14">
        <v>444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185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8</v>
      </c>
      <c r="M32" s="28">
        <v>259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12</v>
      </c>
      <c r="H36" s="42">
        <v>4</v>
      </c>
      <c r="I36" s="42">
        <v>8</v>
      </c>
      <c r="J36" s="42"/>
      <c r="K36" s="42">
        <v>14</v>
      </c>
      <c r="L36" s="42">
        <v>2</v>
      </c>
      <c r="M36" s="42"/>
      <c r="N36" s="42">
        <v>4</v>
      </c>
      <c r="O36" s="42">
        <v>4</v>
      </c>
      <c r="P36" s="42">
        <v>6</v>
      </c>
      <c r="Q36" s="43">
        <v>20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12</v>
      </c>
      <c r="H42" s="42">
        <v>4</v>
      </c>
      <c r="I42" s="42">
        <v>8</v>
      </c>
      <c r="J42" s="42"/>
      <c r="K42" s="42">
        <v>14</v>
      </c>
      <c r="L42" s="42">
        <v>2</v>
      </c>
      <c r="M42" s="42"/>
      <c r="N42" s="42">
        <v>4</v>
      </c>
      <c r="O42" s="42">
        <v>4</v>
      </c>
      <c r="P42" s="42">
        <v>6</v>
      </c>
      <c r="Q42" s="43">
        <v>20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1+1+1+7+1+23+8+259+1</f>
        <v>302</v>
      </c>
      <c r="D44" s="106"/>
      <c r="E44" s="106"/>
    </row>
    <row r="45" spans="2:25" x14ac:dyDescent="0.25">
      <c r="B45" s="76" t="s">
        <v>69</v>
      </c>
      <c r="C45" s="106">
        <v>21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4B12-9F8C-47F3-9868-0B47B6335A0F}">
  <dimension ref="B1:AA45"/>
  <sheetViews>
    <sheetView showGridLines="0" topLeftCell="A32" zoomScale="160" zoomScaleNormal="160" workbookViewId="0">
      <selection activeCell="C16" sqref="C16:U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>
        <v>1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>
        <v>0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101</v>
      </c>
      <c r="I24" s="14"/>
      <c r="J24" s="14"/>
      <c r="K24" s="14"/>
      <c r="L24" s="14">
        <v>20</v>
      </c>
      <c r="M24" s="14">
        <v>506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66</v>
      </c>
      <c r="I31" s="23"/>
      <c r="J31" s="23"/>
      <c r="K31" s="23"/>
      <c r="L31" s="23">
        <v>19</v>
      </c>
      <c r="M31" s="23">
        <v>232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35</v>
      </c>
      <c r="I32" s="28"/>
      <c r="J32" s="28"/>
      <c r="K32" s="28"/>
      <c r="L32" s="28">
        <v>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/>
      <c r="H36" s="42"/>
      <c r="I36" s="42">
        <v>8</v>
      </c>
      <c r="J36" s="42"/>
      <c r="K36" s="42"/>
      <c r="L36" s="42"/>
      <c r="M36" s="42"/>
      <c r="N36" s="42"/>
      <c r="O36" s="42">
        <v>8</v>
      </c>
      <c r="P36" s="42">
        <v>1</v>
      </c>
      <c r="Q36" s="43">
        <v>17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/>
      <c r="H42" s="42"/>
      <c r="I42" s="42">
        <v>8</v>
      </c>
      <c r="J42" s="42"/>
      <c r="K42" s="42"/>
      <c r="L42" s="42"/>
      <c r="M42" s="42"/>
      <c r="N42" s="42"/>
      <c r="O42" s="42">
        <v>8</v>
      </c>
      <c r="P42" s="42">
        <v>1</v>
      </c>
      <c r="Q42" s="43">
        <v>17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1+9+1+35+1+274</f>
        <v>321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AC043-D87F-489F-9425-E9F93B1FF8A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3E432-CE9B-4691-8514-3BD5F56CC48B}">
  <dimension ref="B1:AA45"/>
  <sheetViews>
    <sheetView showGridLines="0" topLeftCell="A29" zoomScale="160" zoomScaleNormal="160" workbookViewId="0">
      <selection activeCell="Q16" sqref="Q16:Y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6</v>
      </c>
      <c r="F8" s="14">
        <v>6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163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6</v>
      </c>
      <c r="F16" s="27">
        <v>6</v>
      </c>
      <c r="G16" s="28"/>
      <c r="H16" s="28" t="s">
        <v>164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70</v>
      </c>
      <c r="I24" s="14"/>
      <c r="J24" s="14"/>
      <c r="K24" s="14">
        <v>47</v>
      </c>
      <c r="L24" s="14">
        <v>10</v>
      </c>
      <c r="M24" s="14">
        <v>407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/>
      <c r="G31" s="23"/>
      <c r="H31" s="23">
        <v>8</v>
      </c>
      <c r="I31" s="23"/>
      <c r="J31" s="23"/>
      <c r="K31" s="23">
        <v>0</v>
      </c>
      <c r="L31" s="23">
        <v>0</v>
      </c>
      <c r="M31" s="23">
        <v>39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/>
      <c r="G32" s="28"/>
      <c r="H32" s="28">
        <v>62</v>
      </c>
      <c r="I32" s="28"/>
      <c r="J32" s="28"/>
      <c r="K32" s="28">
        <v>47</v>
      </c>
      <c r="L32" s="28">
        <v>10</v>
      </c>
      <c r="M32" s="28">
        <v>368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4</v>
      </c>
      <c r="H36" s="42">
        <v>2</v>
      </c>
      <c r="I36" s="42">
        <v>2</v>
      </c>
      <c r="J36" s="42">
        <v>1</v>
      </c>
      <c r="K36" s="42">
        <v>10</v>
      </c>
      <c r="L36" s="42">
        <v>51</v>
      </c>
      <c r="M36" s="42">
        <v>2</v>
      </c>
      <c r="N36" s="42">
        <v>14</v>
      </c>
      <c r="O36" s="42"/>
      <c r="P36" s="42">
        <v>1</v>
      </c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4</v>
      </c>
      <c r="H42" s="42">
        <v>2</v>
      </c>
      <c r="I42" s="42">
        <v>2</v>
      </c>
      <c r="J42" s="42">
        <v>1</v>
      </c>
      <c r="K42" s="42">
        <v>10</v>
      </c>
      <c r="L42" s="42">
        <v>51</v>
      </c>
      <c r="M42" s="42">
        <v>2</v>
      </c>
      <c r="N42" s="42">
        <v>14</v>
      </c>
      <c r="O42" s="42"/>
      <c r="P42" s="42">
        <v>1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>
        <f>6+6+2+3+1+2+1+62+47+10+368</f>
        <v>508</v>
      </c>
      <c r="D44" s="106"/>
      <c r="E44" s="106"/>
    </row>
    <row r="45" spans="2:25" x14ac:dyDescent="0.25">
      <c r="B45" s="76" t="s">
        <v>69</v>
      </c>
      <c r="C45" s="106">
        <v>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EE99-D651-4B5B-B4ED-643DA4BAFFC0}">
  <dimension ref="B1:AA45"/>
  <sheetViews>
    <sheetView showGridLines="0" topLeftCell="A29" zoomScale="160" zoomScaleNormal="160" workbookViewId="0">
      <selection activeCell="K32" sqref="K32:N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165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166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15</v>
      </c>
      <c r="I24" s="14"/>
      <c r="J24" s="14"/>
      <c r="K24" s="14">
        <v>2</v>
      </c>
      <c r="L24" s="14">
        <v>8</v>
      </c>
      <c r="M24" s="14">
        <v>449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15</v>
      </c>
      <c r="I31" s="23"/>
      <c r="J31" s="23"/>
      <c r="K31" s="23">
        <v>2</v>
      </c>
      <c r="L31" s="23">
        <v>8</v>
      </c>
      <c r="M31" s="23">
        <v>119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4</v>
      </c>
      <c r="I36" s="42"/>
      <c r="J36" s="42"/>
      <c r="K36" s="42"/>
      <c r="L36" s="42"/>
      <c r="M36" s="42"/>
      <c r="N36" s="42"/>
      <c r="O36" s="42">
        <v>5</v>
      </c>
      <c r="P36" s="42">
        <v>4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4</v>
      </c>
      <c r="Q42" s="43">
        <v>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>
        <f>12+330</f>
        <v>342</v>
      </c>
      <c r="D44" s="106"/>
      <c r="E44" s="106"/>
    </row>
    <row r="45" spans="2:25" x14ac:dyDescent="0.25">
      <c r="B45" s="76" t="s">
        <v>69</v>
      </c>
      <c r="C45" s="106">
        <v>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B2AC-1CC0-4E80-B862-2EDAAE835A0F}">
  <dimension ref="B1:AA45"/>
  <sheetViews>
    <sheetView showGridLines="0" topLeftCell="A32" zoomScale="160" zoomScaleNormal="160" workbookViewId="0">
      <selection activeCell="I27" sqref="I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66</v>
      </c>
      <c r="I24" s="14"/>
      <c r="J24" s="14"/>
      <c r="K24" s="14">
        <v>2</v>
      </c>
      <c r="L24" s="14">
        <v>19</v>
      </c>
      <c r="M24" s="14">
        <v>448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4</v>
      </c>
      <c r="M31" s="23">
        <v>131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64</v>
      </c>
      <c r="I32" s="28"/>
      <c r="J32" s="28"/>
      <c r="K32" s="28">
        <v>4</v>
      </c>
      <c r="L32" s="28">
        <v>15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7</v>
      </c>
      <c r="F36" s="42">
        <v>361</v>
      </c>
      <c r="G36" s="42">
        <v>2</v>
      </c>
      <c r="H36" s="42">
        <v>3</v>
      </c>
      <c r="I36" s="42">
        <v>13</v>
      </c>
      <c r="J36" s="42">
        <v>4</v>
      </c>
      <c r="K36" s="42"/>
      <c r="L36" s="42">
        <v>1</v>
      </c>
      <c r="M36" s="42"/>
      <c r="N36" s="42"/>
      <c r="O36" s="42">
        <v>7</v>
      </c>
      <c r="P36" s="42">
        <v>3</v>
      </c>
      <c r="Q36" s="43">
        <v>4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7</v>
      </c>
      <c r="F42" s="42">
        <v>361</v>
      </c>
      <c r="G42" s="42">
        <v>2</v>
      </c>
      <c r="H42" s="42">
        <v>3</v>
      </c>
      <c r="I42" s="42">
        <v>13</v>
      </c>
      <c r="J42" s="42">
        <v>4</v>
      </c>
      <c r="K42" s="42"/>
      <c r="L42" s="42">
        <v>1</v>
      </c>
      <c r="M42" s="42"/>
      <c r="N42" s="42"/>
      <c r="O42" s="42">
        <v>7</v>
      </c>
      <c r="P42" s="42">
        <v>3</v>
      </c>
      <c r="Q42" s="43">
        <v>4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>
        <f>1+9+1+64+4+15+317</f>
        <v>411</v>
      </c>
      <c r="D44" s="106"/>
      <c r="E44" s="106"/>
    </row>
    <row r="45" spans="2:25" x14ac:dyDescent="0.25">
      <c r="B45" s="76" t="s">
        <v>69</v>
      </c>
      <c r="C45" s="106"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8D61-8A0A-492C-AAB7-B6F7E892DBD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5FCE-3F23-4064-B1BE-AB6B3EEF365C}">
  <dimension ref="B1:AA45"/>
  <sheetViews>
    <sheetView showGridLines="0" topLeftCell="A26" zoomScale="160" zoomScaleNormal="160" workbookViewId="0">
      <selection activeCell="K40" sqref="K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4</v>
      </c>
      <c r="E8" s="14">
        <v>10</v>
      </c>
      <c r="F8" s="14">
        <v>10</v>
      </c>
      <c r="G8" s="14">
        <v>9</v>
      </c>
      <c r="H8" s="14" t="s">
        <v>163</v>
      </c>
      <c r="I8" s="14"/>
      <c r="J8" s="14"/>
      <c r="K8" s="14"/>
      <c r="L8" s="14"/>
      <c r="M8" s="14"/>
      <c r="N8" s="14">
        <v>1</v>
      </c>
      <c r="O8" s="14"/>
      <c r="P8" s="14"/>
      <c r="Q8" s="14">
        <v>1</v>
      </c>
      <c r="R8" s="14"/>
      <c r="S8" s="14"/>
      <c r="T8" s="14">
        <v>2</v>
      </c>
      <c r="U8" s="14"/>
      <c r="V8" s="14">
        <v>1</v>
      </c>
      <c r="W8" s="14"/>
      <c r="X8" s="59">
        <v>11</v>
      </c>
      <c r="Y8" s="15">
        <v>3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>
        <v>0</v>
      </c>
      <c r="H15" s="23">
        <v>10</v>
      </c>
      <c r="I15" s="23"/>
      <c r="J15" s="23"/>
      <c r="K15" s="23"/>
      <c r="L15" s="23"/>
      <c r="M15" s="23"/>
      <c r="N15" s="23">
        <v>0</v>
      </c>
      <c r="O15" s="23"/>
      <c r="P15" s="23"/>
      <c r="Q15" s="23">
        <v>0</v>
      </c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>
        <v>10</v>
      </c>
      <c r="F16" s="27">
        <v>10</v>
      </c>
      <c r="G16" s="28">
        <v>9</v>
      </c>
      <c r="H16" s="28" t="s">
        <v>169</v>
      </c>
      <c r="I16" s="28"/>
      <c r="J16" s="28"/>
      <c r="K16" s="56"/>
      <c r="L16" s="28"/>
      <c r="M16" s="28"/>
      <c r="N16" s="28">
        <v>1</v>
      </c>
      <c r="O16" s="28"/>
      <c r="P16" s="28"/>
      <c r="Q16" s="28">
        <v>1</v>
      </c>
      <c r="R16" s="28"/>
      <c r="S16" s="28"/>
      <c r="T16" s="28">
        <v>2</v>
      </c>
      <c r="U16" s="28"/>
      <c r="V16" s="28">
        <v>1</v>
      </c>
      <c r="W16" s="56"/>
      <c r="X16" s="62">
        <v>11</v>
      </c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48</v>
      </c>
      <c r="I24" s="14"/>
      <c r="J24" s="14"/>
      <c r="K24" s="14">
        <v>1</v>
      </c>
      <c r="L24" s="14">
        <v>27</v>
      </c>
      <c r="M24" s="14">
        <v>746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43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48</v>
      </c>
      <c r="I32" s="28"/>
      <c r="J32" s="28"/>
      <c r="K32" s="28">
        <v>1</v>
      </c>
      <c r="L32" s="28">
        <v>27</v>
      </c>
      <c r="M32" s="28">
        <v>703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6</v>
      </c>
      <c r="F36" s="42">
        <v>531</v>
      </c>
      <c r="G36" s="42">
        <v>203</v>
      </c>
      <c r="H36" s="42">
        <v>7</v>
      </c>
      <c r="I36" s="42">
        <v>1</v>
      </c>
      <c r="J36" s="42">
        <v>30</v>
      </c>
      <c r="K36" s="42">
        <v>10</v>
      </c>
      <c r="L36" s="42">
        <v>3</v>
      </c>
      <c r="M36" s="42">
        <v>42</v>
      </c>
      <c r="N36" s="42">
        <v>21</v>
      </c>
      <c r="O36" s="42">
        <v>10</v>
      </c>
      <c r="P36" s="42">
        <v>2</v>
      </c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6</v>
      </c>
      <c r="F42" s="42">
        <v>531</v>
      </c>
      <c r="G42" s="42">
        <v>203</v>
      </c>
      <c r="H42" s="42">
        <v>7</v>
      </c>
      <c r="I42" s="42">
        <v>1</v>
      </c>
      <c r="J42" s="42">
        <v>30</v>
      </c>
      <c r="K42" s="42">
        <v>10</v>
      </c>
      <c r="L42" s="42">
        <v>3</v>
      </c>
      <c r="M42" s="42">
        <v>42</v>
      </c>
      <c r="N42" s="42">
        <v>21</v>
      </c>
      <c r="O42" s="42">
        <v>10</v>
      </c>
      <c r="P42" s="42">
        <v>2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3+10+10+9+12+1+1+2+1+11+3+11+48+1+27+703+13</f>
        <v>866</v>
      </c>
      <c r="D44" s="106"/>
      <c r="E44" s="106"/>
    </row>
    <row r="45" spans="2:25" x14ac:dyDescent="0.25">
      <c r="B45" s="76" t="s">
        <v>69</v>
      </c>
      <c r="C45" s="106">
        <v>10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FDAC-D0B1-4308-829B-6C01CD8F4649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172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173</v>
      </c>
      <c r="G24" s="14"/>
      <c r="H24" s="14">
        <v>25</v>
      </c>
      <c r="I24" s="14"/>
      <c r="J24" s="14"/>
      <c r="K24" s="14">
        <v>2</v>
      </c>
      <c r="L24" s="14">
        <v>9</v>
      </c>
      <c r="M24" s="14">
        <v>443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3</v>
      </c>
      <c r="M31" s="23">
        <v>372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24</v>
      </c>
      <c r="F36" s="42">
        <v>102</v>
      </c>
      <c r="G36" s="42">
        <v>1</v>
      </c>
      <c r="H36" s="42">
        <v>1</v>
      </c>
      <c r="I36" s="42"/>
      <c r="J36" s="42"/>
      <c r="K36" s="42"/>
      <c r="L36" s="42"/>
      <c r="M36" s="42"/>
      <c r="N36" s="42"/>
      <c r="O36" s="42">
        <v>1</v>
      </c>
      <c r="P36" s="42">
        <v>2</v>
      </c>
      <c r="Q36" s="43">
        <v>17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24</v>
      </c>
      <c r="F42" s="42">
        <v>102</v>
      </c>
      <c r="G42" s="42">
        <v>1</v>
      </c>
      <c r="H42" s="42">
        <v>1</v>
      </c>
      <c r="I42" s="42"/>
      <c r="J42" s="42"/>
      <c r="K42" s="42"/>
      <c r="L42" s="42"/>
      <c r="M42" s="42"/>
      <c r="N42" s="42"/>
      <c r="O42" s="42">
        <v>1</v>
      </c>
      <c r="P42" s="42">
        <v>2</v>
      </c>
      <c r="Q42" s="43">
        <v>17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3+2+2+21+6+71</f>
        <v>105</v>
      </c>
      <c r="D44" s="106"/>
      <c r="E44" s="106"/>
    </row>
    <row r="45" spans="2:25" x14ac:dyDescent="0.25">
      <c r="B45" s="76" t="s">
        <v>69</v>
      </c>
      <c r="C45" s="106">
        <v>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7930-CE48-4773-916A-C0E171EE8AB8}">
  <dimension ref="B1:AA45"/>
  <sheetViews>
    <sheetView showGridLines="0" topLeftCell="A7" zoomScale="160" zoomScaleNormal="160" workbookViewId="0">
      <selection activeCell="J26" sqref="J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157</v>
      </c>
      <c r="I24" s="14"/>
      <c r="J24" s="14"/>
      <c r="K24" s="14">
        <v>2</v>
      </c>
      <c r="L24" s="14">
        <v>44</v>
      </c>
      <c r="M24" s="14">
        <v>563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47</v>
      </c>
      <c r="I31" s="23"/>
      <c r="J31" s="23"/>
      <c r="K31" s="23">
        <v>0</v>
      </c>
      <c r="L31" s="23">
        <v>0</v>
      </c>
      <c r="M31" s="23">
        <v>98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2</v>
      </c>
      <c r="L32" s="28">
        <v>44</v>
      </c>
      <c r="M32" s="28">
        <v>465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602</v>
      </c>
      <c r="G36" s="42">
        <v>11</v>
      </c>
      <c r="H36" s="42">
        <v>1</v>
      </c>
      <c r="I36" s="42">
        <v>17</v>
      </c>
      <c r="J36" s="42">
        <v>1</v>
      </c>
      <c r="K36" s="42"/>
      <c r="L36" s="42">
        <v>7</v>
      </c>
      <c r="M36" s="42">
        <v>1</v>
      </c>
      <c r="N36" s="42"/>
      <c r="O36" s="42">
        <v>4</v>
      </c>
      <c r="P36" s="42">
        <v>15</v>
      </c>
      <c r="Q36" s="43">
        <v>12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602</v>
      </c>
      <c r="G42" s="42">
        <v>11</v>
      </c>
      <c r="H42" s="42">
        <v>1</v>
      </c>
      <c r="I42" s="42">
        <v>17</v>
      </c>
      <c r="J42" s="42">
        <v>1</v>
      </c>
      <c r="K42" s="42"/>
      <c r="L42" s="42">
        <v>7</v>
      </c>
      <c r="M42" s="42">
        <v>1</v>
      </c>
      <c r="N42" s="42"/>
      <c r="O42" s="42">
        <v>4</v>
      </c>
      <c r="P42" s="42">
        <v>15</v>
      </c>
      <c r="Q42" s="43">
        <v>12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19+2+1+1+110+2+44+465</f>
        <v>644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D0490-3188-4F3E-A7CD-F017CC06C83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50A4-C1E0-4C89-B689-B6037C927C70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E62-4072-4F51-83DF-4713D39B5092}">
  <dimension ref="B1:AA45"/>
  <sheetViews>
    <sheetView showGridLines="0" topLeftCell="A32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176</v>
      </c>
      <c r="G24" s="14"/>
      <c r="H24" s="14">
        <v>21</v>
      </c>
      <c r="I24" s="14"/>
      <c r="J24" s="14"/>
      <c r="K24" s="14">
        <v>2</v>
      </c>
      <c r="L24" s="14">
        <v>10</v>
      </c>
      <c r="M24" s="14">
        <v>520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115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51</v>
      </c>
      <c r="I32" s="28"/>
      <c r="J32" s="28"/>
      <c r="K32" s="28">
        <v>1</v>
      </c>
      <c r="L32" s="28">
        <v>0</v>
      </c>
      <c r="M32" s="28">
        <v>405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525</v>
      </c>
      <c r="G36" s="42">
        <v>10</v>
      </c>
      <c r="H36" s="42">
        <v>7</v>
      </c>
      <c r="I36" s="42">
        <v>1</v>
      </c>
      <c r="J36" s="42"/>
      <c r="K36" s="42">
        <v>8</v>
      </c>
      <c r="L36" s="42">
        <v>2</v>
      </c>
      <c r="M36" s="42"/>
      <c r="N36" s="42"/>
      <c r="O36" s="42">
        <v>1</v>
      </c>
      <c r="P36" s="42">
        <v>12</v>
      </c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525</v>
      </c>
      <c r="G42" s="42">
        <v>10</v>
      </c>
      <c r="H42" s="42">
        <v>7</v>
      </c>
      <c r="I42" s="42">
        <v>1</v>
      </c>
      <c r="J42" s="42"/>
      <c r="K42" s="42">
        <v>8</v>
      </c>
      <c r="L42" s="42">
        <v>2</v>
      </c>
      <c r="M42" s="42"/>
      <c r="N42" s="42"/>
      <c r="O42" s="42">
        <v>1</v>
      </c>
      <c r="P42" s="42">
        <v>12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6">
        <f>11+5+51+1+405</f>
        <v>473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B0402-A578-4BDE-857D-30292356DF22}">
  <dimension ref="B1:AA45"/>
  <sheetViews>
    <sheetView showGridLines="0" topLeftCell="A29" zoomScale="160" zoomScaleNormal="160" workbookViewId="0">
      <selection activeCell="J39" sqref="J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6</v>
      </c>
      <c r="E8" s="14">
        <v>15</v>
      </c>
      <c r="F8" s="14">
        <v>5</v>
      </c>
      <c r="G8" s="14"/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/>
      <c r="V8" s="14">
        <v>1</v>
      </c>
      <c r="W8" s="14"/>
      <c r="X8" s="59">
        <v>8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5</v>
      </c>
      <c r="E16" s="27">
        <v>15</v>
      </c>
      <c r="F16" s="27">
        <v>5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/>
      <c r="V16" s="28">
        <v>1</v>
      </c>
      <c r="W16" s="56"/>
      <c r="X16" s="62">
        <v>8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54</v>
      </c>
      <c r="I24" s="14"/>
      <c r="J24" s="14"/>
      <c r="K24" s="14">
        <v>15</v>
      </c>
      <c r="L24" s="14">
        <v>35</v>
      </c>
      <c r="M24" s="14">
        <v>364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4</v>
      </c>
      <c r="I31" s="23"/>
      <c r="J31" s="23"/>
      <c r="K31" s="23">
        <v>0</v>
      </c>
      <c r="L31" s="23">
        <v>0</v>
      </c>
      <c r="M31" s="23">
        <v>11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50</v>
      </c>
      <c r="I32" s="28"/>
      <c r="J32" s="28"/>
      <c r="K32" s="28">
        <v>15</v>
      </c>
      <c r="L32" s="28">
        <v>35</v>
      </c>
      <c r="M32" s="28">
        <v>353</v>
      </c>
      <c r="N32" s="28"/>
      <c r="O32" s="23"/>
      <c r="P32" s="28">
        <v>15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6</v>
      </c>
      <c r="D36" s="41">
        <v>12</v>
      </c>
      <c r="E36" s="42">
        <v>9</v>
      </c>
      <c r="F36" s="42">
        <v>111</v>
      </c>
      <c r="G36" s="42">
        <v>311</v>
      </c>
      <c r="H36" s="42">
        <v>1</v>
      </c>
      <c r="I36" s="42"/>
      <c r="J36" s="42">
        <v>38</v>
      </c>
      <c r="K36" s="42">
        <v>15</v>
      </c>
      <c r="L36" s="42">
        <v>1</v>
      </c>
      <c r="M36" s="42">
        <v>51</v>
      </c>
      <c r="N36" s="42">
        <v>8</v>
      </c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6</v>
      </c>
      <c r="D42" s="41">
        <v>12</v>
      </c>
      <c r="E42" s="42">
        <v>9</v>
      </c>
      <c r="F42" s="42">
        <v>111</v>
      </c>
      <c r="G42" s="42">
        <v>311</v>
      </c>
      <c r="H42" s="42">
        <v>1</v>
      </c>
      <c r="I42" s="42"/>
      <c r="J42" s="42">
        <v>38</v>
      </c>
      <c r="K42" s="42">
        <v>15</v>
      </c>
      <c r="L42" s="42">
        <v>1</v>
      </c>
      <c r="M42" s="42">
        <v>51</v>
      </c>
      <c r="N42" s="42">
        <v>8</v>
      </c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6">
        <f>1+5+15+5+10+1+8+2+20+50+15+35+353+15</f>
        <v>535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39845-027B-4153-BE41-BDAA81E9F8BA}">
  <dimension ref="B1:AA45"/>
  <sheetViews>
    <sheetView showGridLines="0" topLeftCell="A23" zoomScale="160" zoomScaleNormal="160" workbookViewId="0">
      <selection activeCell="P36" sqref="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30</v>
      </c>
      <c r="I24" s="14"/>
      <c r="J24" s="14"/>
      <c r="K24" s="14"/>
      <c r="L24" s="14">
        <v>25</v>
      </c>
      <c r="M24" s="14">
        <v>1015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4</v>
      </c>
      <c r="M31" s="23">
        <v>109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29</v>
      </c>
      <c r="I32" s="28"/>
      <c r="J32" s="28"/>
      <c r="K32" s="28"/>
      <c r="L32" s="28">
        <v>21</v>
      </c>
      <c r="M32" s="28">
        <v>906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589</v>
      </c>
      <c r="G36" s="42">
        <v>6</v>
      </c>
      <c r="H36" s="42">
        <v>3</v>
      </c>
      <c r="I36" s="42">
        <v>8</v>
      </c>
      <c r="J36" s="42">
        <v>1</v>
      </c>
      <c r="K36" s="42">
        <v>6</v>
      </c>
      <c r="L36" s="42">
        <v>6</v>
      </c>
      <c r="M36" s="42"/>
      <c r="N36" s="42"/>
      <c r="O36" s="42">
        <v>10</v>
      </c>
      <c r="P36" s="42">
        <v>15</v>
      </c>
      <c r="Q36" s="43">
        <v>5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589</v>
      </c>
      <c r="G42" s="42">
        <v>6</v>
      </c>
      <c r="H42" s="42">
        <v>3</v>
      </c>
      <c r="I42" s="42">
        <v>8</v>
      </c>
      <c r="J42" s="42">
        <v>1</v>
      </c>
      <c r="K42" s="42">
        <v>6</v>
      </c>
      <c r="L42" s="42">
        <v>6</v>
      </c>
      <c r="M42" s="42"/>
      <c r="N42" s="42"/>
      <c r="O42" s="42">
        <v>10</v>
      </c>
      <c r="P42" s="42">
        <v>15</v>
      </c>
      <c r="Q42" s="43">
        <v>5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6">
        <f>33+29+21+906</f>
        <v>989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069-E28D-4440-8B1D-785EE8E28B5E}">
  <dimension ref="B1:AA45"/>
  <sheetViews>
    <sheetView showGridLines="0" topLeftCell="A29" zoomScale="160" zoomScaleNormal="160" workbookViewId="0">
      <selection activeCell="I48" sqref="I4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/>
      <c r="G24" s="14"/>
      <c r="H24" s="14">
        <v>136</v>
      </c>
      <c r="I24" s="14"/>
      <c r="J24" s="14"/>
      <c r="K24" s="14">
        <v>1</v>
      </c>
      <c r="L24" s="14">
        <v>10</v>
      </c>
      <c r="M24" s="14">
        <v>653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121</v>
      </c>
      <c r="I31" s="23"/>
      <c r="J31" s="23"/>
      <c r="K31" s="23">
        <v>1</v>
      </c>
      <c r="L31" s="23">
        <v>10</v>
      </c>
      <c r="M31" s="23">
        <v>282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>
        <v>0</v>
      </c>
      <c r="L32" s="28">
        <v>0</v>
      </c>
      <c r="M32" s="28">
        <v>371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381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6</v>
      </c>
      <c r="Q36" s="43">
        <v>4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381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6</v>
      </c>
      <c r="Q42" s="43">
        <v>4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6">
        <f>1+1+10+15+371</f>
        <v>398</v>
      </c>
      <c r="D44" s="106"/>
      <c r="E44" s="106"/>
    </row>
    <row r="45" spans="2:25" x14ac:dyDescent="0.25">
      <c r="B45" s="76" t="s">
        <v>69</v>
      </c>
      <c r="C45" s="106">
        <v>19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0E33-4CD9-4B4B-8059-75DD000514E3}">
  <dimension ref="B1:AA45"/>
  <sheetViews>
    <sheetView showGridLines="0" topLeftCell="A29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48</v>
      </c>
      <c r="M24" s="14">
        <v>558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33</v>
      </c>
      <c r="M31" s="23">
        <v>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107</v>
      </c>
      <c r="I32" s="28"/>
      <c r="J32" s="28"/>
      <c r="K32" s="28">
        <v>0</v>
      </c>
      <c r="L32" s="28">
        <v>15</v>
      </c>
      <c r="M32" s="28">
        <v>557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>
        <v>4</v>
      </c>
      <c r="H36" s="42"/>
      <c r="I36" s="42">
        <v>15</v>
      </c>
      <c r="J36" s="42"/>
      <c r="K36" s="42">
        <v>4</v>
      </c>
      <c r="L36" s="42">
        <v>1</v>
      </c>
      <c r="M36" s="42">
        <v>1</v>
      </c>
      <c r="N36" s="42">
        <v>9</v>
      </c>
      <c r="O36" s="42">
        <v>13</v>
      </c>
      <c r="P36" s="42">
        <v>1</v>
      </c>
      <c r="Q36" s="43">
        <v>21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>
        <v>4</v>
      </c>
      <c r="H42" s="42"/>
      <c r="I42" s="42">
        <v>15</v>
      </c>
      <c r="J42" s="42"/>
      <c r="K42" s="42">
        <v>4</v>
      </c>
      <c r="L42" s="42">
        <v>1</v>
      </c>
      <c r="M42" s="42">
        <v>1</v>
      </c>
      <c r="N42" s="42">
        <v>9</v>
      </c>
      <c r="O42" s="42">
        <v>13</v>
      </c>
      <c r="P42" s="42">
        <v>1</v>
      </c>
      <c r="Q42" s="43">
        <v>21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6">
        <f>15+1+3+107+15+557</f>
        <v>698</v>
      </c>
      <c r="D44" s="106"/>
      <c r="E44" s="106"/>
    </row>
    <row r="45" spans="2:25" x14ac:dyDescent="0.25">
      <c r="B45" s="76" t="s">
        <v>69</v>
      </c>
      <c r="C45" s="106"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D1E5E-CF36-4128-9B7C-D9016C670D0E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F8177-D982-4B3F-B38D-08905D2A964F}">
  <dimension ref="B1:AA45"/>
  <sheetViews>
    <sheetView showGridLines="0" tabSelected="1" topLeftCell="A28" zoomScale="160" zoomScaleNormal="160" workbookViewId="0">
      <selection activeCell="S38" sqref="S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191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24</v>
      </c>
      <c r="I24" s="14"/>
      <c r="J24" s="14"/>
      <c r="K24" s="14"/>
      <c r="L24" s="14">
        <v>4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</v>
      </c>
      <c r="I31" s="23"/>
      <c r="J31" s="23"/>
      <c r="K31" s="23"/>
      <c r="L31" s="23">
        <v>4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21</v>
      </c>
      <c r="I32" s="28"/>
      <c r="J32" s="28"/>
      <c r="K32" s="28"/>
      <c r="L32" s="28">
        <v>0</v>
      </c>
      <c r="M32" s="28">
        <v>993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855</v>
      </c>
      <c r="G36" s="42">
        <v>2</v>
      </c>
      <c r="H36" s="42">
        <v>7</v>
      </c>
      <c r="I36" s="42">
        <v>50</v>
      </c>
      <c r="J36" s="42"/>
      <c r="K36" s="42"/>
      <c r="L36" s="42"/>
      <c r="M36" s="42"/>
      <c r="N36" s="42">
        <v>5</v>
      </c>
      <c r="O36" s="42">
        <v>1</v>
      </c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855</v>
      </c>
      <c r="G42" s="42">
        <v>2</v>
      </c>
      <c r="H42" s="42">
        <v>7</v>
      </c>
      <c r="I42" s="42">
        <v>50</v>
      </c>
      <c r="J42" s="42"/>
      <c r="K42" s="42"/>
      <c r="L42" s="42"/>
      <c r="M42" s="42"/>
      <c r="N42" s="42">
        <v>5</v>
      </c>
      <c r="O42" s="42">
        <v>1</v>
      </c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7DD9-E330-40A5-B9BF-F222B4ED81DA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186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/>
      <c r="G24" s="14"/>
      <c r="H24" s="14">
        <v>136</v>
      </c>
      <c r="I24" s="14"/>
      <c r="J24" s="14"/>
      <c r="K24" s="14">
        <v>1</v>
      </c>
      <c r="L24" s="14">
        <v>10</v>
      </c>
      <c r="M24" s="14">
        <v>650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10</v>
      </c>
      <c r="M31" s="23">
        <v>106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136</v>
      </c>
      <c r="I32" s="28"/>
      <c r="J32" s="28"/>
      <c r="K32" s="28">
        <v>0</v>
      </c>
      <c r="L32" s="28">
        <v>0</v>
      </c>
      <c r="M32" s="28">
        <v>544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678</v>
      </c>
      <c r="G36" s="42">
        <v>2</v>
      </c>
      <c r="H36" s="42">
        <v>4</v>
      </c>
      <c r="I36" s="42">
        <v>4</v>
      </c>
      <c r="J36" s="42"/>
      <c r="K36" s="42">
        <v>3</v>
      </c>
      <c r="L36" s="42"/>
      <c r="M36" s="42"/>
      <c r="N36" s="42"/>
      <c r="O36" s="42">
        <v>14</v>
      </c>
      <c r="P36" s="42">
        <v>8</v>
      </c>
      <c r="Q36" s="43">
        <v>1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678</v>
      </c>
      <c r="G42" s="42">
        <v>2</v>
      </c>
      <c r="H42" s="42">
        <v>4</v>
      </c>
      <c r="I42" s="42">
        <v>4</v>
      </c>
      <c r="J42" s="42"/>
      <c r="K42" s="42">
        <v>3</v>
      </c>
      <c r="L42" s="42"/>
      <c r="M42" s="42"/>
      <c r="N42" s="42"/>
      <c r="O42" s="42">
        <v>14</v>
      </c>
      <c r="P42" s="42">
        <v>8</v>
      </c>
      <c r="Q42" s="43">
        <v>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>
        <f>1+1+25+136+544</f>
        <v>707</v>
      </c>
      <c r="D44" s="106"/>
      <c r="E44" s="106"/>
    </row>
    <row r="45" spans="2:25" x14ac:dyDescent="0.25">
      <c r="B45" s="76" t="s">
        <v>69</v>
      </c>
      <c r="C45" s="106">
        <v>10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4CBA-820F-4BE5-98DB-340776C1344E}">
  <dimension ref="B1:AA45"/>
  <sheetViews>
    <sheetView showGridLines="0" topLeftCell="A29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16</v>
      </c>
      <c r="U8" s="14"/>
      <c r="V8" s="14"/>
      <c r="W8" s="14">
        <v>17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188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16</v>
      </c>
      <c r="U16" s="28"/>
      <c r="V16" s="28"/>
      <c r="W16" s="56">
        <v>17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38</v>
      </c>
      <c r="I24" s="14"/>
      <c r="J24" s="14"/>
      <c r="K24" s="14">
        <v>4</v>
      </c>
      <c r="L24" s="14">
        <v>33</v>
      </c>
      <c r="M24" s="14">
        <v>752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4</v>
      </c>
      <c r="L31" s="23">
        <v>27</v>
      </c>
      <c r="M31" s="23">
        <v>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8</v>
      </c>
      <c r="G32" s="28"/>
      <c r="H32" s="28">
        <v>37</v>
      </c>
      <c r="I32" s="28"/>
      <c r="J32" s="28"/>
      <c r="K32" s="28">
        <v>0</v>
      </c>
      <c r="L32" s="28">
        <v>6</v>
      </c>
      <c r="M32" s="28">
        <v>755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>
        <v>7</v>
      </c>
      <c r="D36" s="41"/>
      <c r="E36" s="42"/>
      <c r="F36" s="42">
        <v>781</v>
      </c>
      <c r="G36" s="42">
        <v>8</v>
      </c>
      <c r="H36" s="42">
        <v>3</v>
      </c>
      <c r="I36" s="42">
        <v>20</v>
      </c>
      <c r="J36" s="42"/>
      <c r="K36" s="42">
        <v>6</v>
      </c>
      <c r="L36" s="42">
        <v>35</v>
      </c>
      <c r="M36" s="42"/>
      <c r="N36" s="42"/>
      <c r="O36" s="42">
        <v>20</v>
      </c>
      <c r="P36" s="42">
        <v>3</v>
      </c>
      <c r="Q36" s="43">
        <v>2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>
        <v>7</v>
      </c>
      <c r="D42" s="41"/>
      <c r="E42" s="42"/>
      <c r="F42" s="42">
        <v>781</v>
      </c>
      <c r="G42" s="42">
        <v>8</v>
      </c>
      <c r="H42" s="42">
        <v>3</v>
      </c>
      <c r="I42" s="42">
        <v>20</v>
      </c>
      <c r="J42" s="42"/>
      <c r="K42" s="42">
        <v>6</v>
      </c>
      <c r="L42" s="42">
        <v>35</v>
      </c>
      <c r="M42" s="42"/>
      <c r="N42" s="42"/>
      <c r="O42" s="42">
        <v>20</v>
      </c>
      <c r="P42" s="42">
        <v>3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>
        <f>2+25+16+17+1+8+37+6+755</f>
        <v>867</v>
      </c>
      <c r="D44" s="106"/>
      <c r="E44" s="106"/>
    </row>
    <row r="45" spans="2:25" x14ac:dyDescent="0.25">
      <c r="B45" s="76" t="s">
        <v>69</v>
      </c>
      <c r="C45" s="106">
        <v>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80</vt:i4>
      </vt:variant>
      <vt:variant>
        <vt:lpstr>Named Ranges</vt:lpstr>
      </vt:variant>
      <vt:variant>
        <vt:i4>79</vt:i4>
      </vt:variant>
    </vt:vector>
  </HeadingPairs>
  <TitlesOfParts>
    <vt:vector size="159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(18)</vt:lpstr>
      <vt:lpstr>08-18 R1</vt:lpstr>
      <vt:lpstr>08-18 R2</vt:lpstr>
      <vt:lpstr>08-18 R3</vt:lpstr>
      <vt:lpstr>(19)</vt:lpstr>
      <vt:lpstr>08-19 R1</vt:lpstr>
      <vt:lpstr>08-19 R2</vt:lpstr>
      <vt:lpstr>08-19 R3</vt:lpstr>
      <vt:lpstr>(20)</vt:lpstr>
      <vt:lpstr>08-20 R1</vt:lpstr>
      <vt:lpstr>08-20 R2</vt:lpstr>
      <vt:lpstr>08-20 R3</vt:lpstr>
      <vt:lpstr>(21)</vt:lpstr>
      <vt:lpstr>08-21 R1 NO TRIP</vt:lpstr>
      <vt:lpstr>08-21 R2</vt:lpstr>
      <vt:lpstr>08-21 R3</vt:lpstr>
      <vt:lpstr>08-24 R1</vt:lpstr>
      <vt:lpstr>08-24 R2</vt:lpstr>
      <vt:lpstr>08-24 R3</vt:lpstr>
      <vt:lpstr>(25)</vt:lpstr>
      <vt:lpstr>08-25 R1</vt:lpstr>
      <vt:lpstr>08-25 R2</vt:lpstr>
      <vt:lpstr>08-25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  <vt:lpstr>'08-18 R1'!Print_Area</vt:lpstr>
      <vt:lpstr>'08-18 R2'!Print_Area</vt:lpstr>
      <vt:lpstr>'08-18 R3'!Print_Area</vt:lpstr>
      <vt:lpstr>'08-19 R1'!Print_Area</vt:lpstr>
      <vt:lpstr>'08-19 R2'!Print_Area</vt:lpstr>
      <vt:lpstr>'08-19 R3'!Print_Area</vt:lpstr>
      <vt:lpstr>'08-20 R1'!Print_Area</vt:lpstr>
      <vt:lpstr>'08-20 R2'!Print_Area</vt:lpstr>
      <vt:lpstr>'08-20 R3'!Print_Area</vt:lpstr>
      <vt:lpstr>'08-21 R1 NO TRIP'!Print_Area</vt:lpstr>
      <vt:lpstr>'08-21 R2'!Print_Area</vt:lpstr>
      <vt:lpstr>'08-21 R3'!Print_Area</vt:lpstr>
      <vt:lpstr>'08-24 R1'!Print_Area</vt:lpstr>
      <vt:lpstr>'08-24 R2'!Print_Area</vt:lpstr>
      <vt:lpstr>'08-24 R3'!Print_Area</vt:lpstr>
      <vt:lpstr>'08-25 R1'!Print_Area</vt:lpstr>
      <vt:lpstr>'08-25 R2'!Print_Area</vt:lpstr>
      <vt:lpstr>'08-25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2026-08-26T04:58:49Z</cp:lastPrinted>
  <dcterms:created xsi:type="dcterms:W3CDTF">2024-09-01T22:48:10Z</dcterms:created>
  <dcterms:modified xsi:type="dcterms:W3CDTF">2026-08-26T05:02:20Z</dcterms:modified>
</cp:coreProperties>
</file>