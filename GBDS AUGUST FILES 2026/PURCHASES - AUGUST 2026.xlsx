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0C580E3-46D4-4FBE-BDE9-F6D8ED09938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7" i="6" l="1"/>
  <c r="K46" i="6" l="1"/>
  <c r="K45" i="6" l="1"/>
  <c r="K44" i="6" l="1"/>
  <c r="K43" i="6" l="1"/>
  <c r="K42" i="6" l="1"/>
  <c r="K40" i="6" l="1"/>
  <c r="K41" i="6"/>
  <c r="K61" i="6" l="1"/>
  <c r="K39" i="6" l="1"/>
  <c r="K37" i="6" l="1"/>
  <c r="K38" i="6"/>
  <c r="K36" i="6"/>
  <c r="J7" i="6" l="1"/>
  <c r="I7" i="6"/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28" i="6"/>
  <c r="L82" i="6"/>
  <c r="L55" i="6"/>
  <c r="L109" i="6"/>
</calcChain>
</file>

<file path=xl/sharedStrings.xml><?xml version="1.0" encoding="utf-8"?>
<sst xmlns="http://schemas.openxmlformats.org/spreadsheetml/2006/main" count="525" uniqueCount="109">
  <si>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</si>
  <si>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</si>
  <si>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</si>
  <si>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</si>
  <si>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</si>
  <si>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</si>
  <si>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</si>
  <si>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</si>
  <si>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</si>
  <si>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</si>
  <si>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</si>
  <si>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</si>
  <si>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</si>
  <si>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</si>
  <si>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</si>
  <si>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</si>
  <si>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</si>
  <si>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</si>
  <si>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</si>
  <si>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</si>
  <si>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</si>
  <si>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</si>
  <si>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</si>
  <si>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</si>
  <si>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</si>
  <si>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</si>
  <si>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</si>
  <si>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</si>
  <si>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</si>
  <si>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</si>
  <si>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</si>
  <si>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</si>
  <si>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</si>
  <si>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</si>
  <si>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</si>
  <si>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</si>
  <si>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</si>
  <si>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</si>
  <si>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</si>
  <si>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</si>
  <si>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</si>
  <si>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</si>
  <si>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</si>
  <si>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</si>
  <si>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</si>
  <si>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</si>
  <si>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</si>
  <si>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</si>
  <si>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</si>
  <si>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</si>
  <si>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</si>
  <si>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</si>
  <si>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</si>
  <si>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</si>
  <si>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</si>
  <si>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</si>
  <si>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</si>
  <si>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</si>
  <si>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</si>
  <si>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</si>
  <si>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</si>
  <si>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</si>
  <si>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</si>
  <si>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</si>
  <si>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</si>
  <si>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</si>
  <si>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</si>
  <si>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</si>
  <si>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</si>
  <si>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</si>
  <si>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</si>
  <si>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</si>
  <si>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</si>
  <si>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</si>
  <si>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</si>
  <si>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</si>
  <si>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</si>
  <si>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</si>
  <si>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</si>
  <si>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</si>
  <si>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</si>
  <si>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</si>
  <si>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</si>
  <si>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</si>
  <si>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</si>
  <si>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</si>
  <si>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</si>
  <si>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</si>
  <si>
    <t>R03</t>
  </si>
  <si>
    <t>R07</t>
  </si>
  <si>
    <t>08/15/2026</t>
  </si>
  <si>
    <t>R06</t>
  </si>
  <si>
    <t>R08</t>
  </si>
  <si>
    <t>08/18/2026</t>
  </si>
  <si>
    <t>R10</t>
  </si>
  <si>
    <t>08/19/2026</t>
  </si>
  <si>
    <t>R09</t>
  </si>
  <si>
    <t>08/24/2026</t>
  </si>
  <si>
    <t>R11</t>
  </si>
  <si>
    <t>08/25/2026</t>
  </si>
  <si>
    <t>R12</t>
  </si>
  <si>
    <t>R13</t>
  </si>
  <si>
    <t>08/26/2026</t>
  </si>
  <si>
    <t>08/28/2026</t>
  </si>
  <si>
    <t>08/27/2026</t>
  </si>
  <si>
    <t>R14</t>
  </si>
  <si>
    <t>R16</t>
  </si>
  <si>
    <t>08/29/2026</t>
  </si>
  <si>
    <t>R17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</si>
</sst>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37" zoomScaleNormal="100" workbookViewId="0">
      <selection activeCell="F58" sqref="F5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>
        <v>46334</v>
      </c>
      <c r="D7" s="20" t="s">
        <v>68</v>
      </c>
      <c r="E7" s="12"/>
      <c r="F7" s="20" t="s">
        <v>70</v>
      </c>
      <c r="G7" s="20">
        <v>518900758</v>
      </c>
      <c r="H7" s="20" t="s">
        <v>85</v>
      </c>
      <c r="I7" s="21">
        <f>1318233</f>
        <v>1318233</v>
      </c>
      <c r="J7" s="21">
        <f>53845.98</f>
        <v>53845.98</v>
      </c>
      <c r="K7" s="21">
        <f>I7-J7</f>
        <v>1264387.02</v>
      </c>
      <c r="M7" s="21">
        <f>O7*12</f>
        <v>135470.03785714286</v>
      </c>
      <c r="N7" s="27">
        <f>K7-M7</f>
        <v>1128916.9821428573</v>
      </c>
      <c r="O7" s="33">
        <f>K7/112</f>
        <v>11289.169821428572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90</v>
      </c>
      <c r="D8" s="20" t="s">
        <v>68</v>
      </c>
      <c r="E8" s="20"/>
      <c r="F8" s="20" t="s">
        <v>70</v>
      </c>
      <c r="G8" s="20">
        <v>518912814</v>
      </c>
      <c r="H8" s="20" t="s">
        <v>85</v>
      </c>
      <c r="I8" s="21">
        <v>1397196</v>
      </c>
      <c r="J8" s="21">
        <v>60845.04</v>
      </c>
      <c r="K8" s="21">
        <f t="shared" ref="K8:K27" si="0">I8-J8</f>
        <v>1336350.96</v>
      </c>
      <c r="M8" s="21">
        <f>O8*12</f>
        <v>143180.46</v>
      </c>
      <c r="N8" s="27">
        <f>K8-M8</f>
        <v>1193170.5</v>
      </c>
      <c r="O8" s="33">
        <f t="shared" ref="O8:O26" si="1">K8/112</f>
        <v>11931.705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90</v>
      </c>
      <c r="D9" s="20" t="s">
        <v>68</v>
      </c>
      <c r="E9" s="20"/>
      <c r="F9" s="20" t="s">
        <v>70</v>
      </c>
      <c r="G9" s="20">
        <v>518912586</v>
      </c>
      <c r="H9" s="20" t="s">
        <v>85</v>
      </c>
      <c r="I9" s="21"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93</v>
      </c>
      <c r="D10" s="20" t="s">
        <v>68</v>
      </c>
      <c r="E10" s="20"/>
      <c r="F10" s="20" t="s">
        <v>70</v>
      </c>
      <c r="G10" s="20">
        <v>518918403</v>
      </c>
      <c r="H10" s="20" t="s">
        <v>85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 t="s">
        <v>95</v>
      </c>
      <c r="D11" s="20" t="s">
        <v>68</v>
      </c>
      <c r="E11" s="20"/>
      <c r="F11" s="20" t="s">
        <v>70</v>
      </c>
      <c r="G11" s="20">
        <v>518921976</v>
      </c>
      <c r="H11" s="20" t="s">
        <v>85</v>
      </c>
      <c r="I11" s="21">
        <v>1356048</v>
      </c>
      <c r="J11" s="21">
        <v>58168.62</v>
      </c>
      <c r="K11" s="21">
        <f t="shared" si="0"/>
        <v>1297879.3799999999</v>
      </c>
      <c r="M11" s="21">
        <f t="shared" si="3"/>
        <v>139058.505</v>
      </c>
      <c r="N11" s="27">
        <f t="shared" si="4"/>
        <v>1158820.875</v>
      </c>
      <c r="O11" s="33">
        <f t="shared" si="1"/>
        <v>11588.20875</v>
      </c>
    </row>
    <row r="12" spans="1:17" x14ac:dyDescent="0.25">
      <c r="A12">
        <f t="shared" si="2"/>
        <v>6</v>
      </c>
      <c r="B12" s="23">
        <f t="shared" si="2"/>
        <v>6</v>
      </c>
      <c r="C12" s="19" t="s">
        <v>95</v>
      </c>
      <c r="D12" s="20" t="s">
        <v>68</v>
      </c>
      <c r="E12" s="20"/>
      <c r="F12" s="20" t="s">
        <v>70</v>
      </c>
      <c r="G12" s="20">
        <v>518921567</v>
      </c>
      <c r="H12" s="20" t="s">
        <v>85</v>
      </c>
      <c r="I12" s="21">
        <v>1397196</v>
      </c>
      <c r="J12" s="21">
        <v>60845.04</v>
      </c>
      <c r="K12" s="21">
        <f t="shared" si="0"/>
        <v>1336350.96</v>
      </c>
      <c r="M12" s="21">
        <f t="shared" si="3"/>
        <v>143180.46</v>
      </c>
      <c r="N12" s="27">
        <f t="shared" si="4"/>
        <v>1193170.5</v>
      </c>
      <c r="O12" s="33">
        <f t="shared" si="1"/>
        <v>11931.705</v>
      </c>
    </row>
    <row r="13" spans="1:17" x14ac:dyDescent="0.25">
      <c r="A13">
        <f t="shared" si="2"/>
        <v>7</v>
      </c>
      <c r="B13" s="23">
        <f t="shared" si="2"/>
        <v>7</v>
      </c>
      <c r="C13" s="19" t="s">
        <v>97</v>
      </c>
      <c r="D13" s="20" t="s">
        <v>68</v>
      </c>
      <c r="E13" s="20"/>
      <c r="F13" s="20" t="s">
        <v>70</v>
      </c>
      <c r="G13" s="20">
        <v>518933761</v>
      </c>
      <c r="H13" s="20" t="s">
        <v>85</v>
      </c>
      <c r="I13" s="21">
        <v>1299728</v>
      </c>
      <c r="J13" s="21">
        <v>87768.13</v>
      </c>
      <c r="K13" s="21">
        <f t="shared" si="0"/>
        <v>1211959.8700000001</v>
      </c>
      <c r="M13" s="21">
        <f t="shared" si="3"/>
        <v>129852.84321428572</v>
      </c>
      <c r="N13" s="27">
        <f>K13-M13</f>
        <v>1082107.0267857143</v>
      </c>
      <c r="O13" s="33">
        <f>K13/112</f>
        <v>10821.070267857143</v>
      </c>
    </row>
    <row r="14" spans="1:17" x14ac:dyDescent="0.25">
      <c r="A14">
        <f t="shared" si="2"/>
        <v>8</v>
      </c>
      <c r="B14" s="23">
        <f t="shared" si="2"/>
        <v>8</v>
      </c>
      <c r="C14" s="19" t="s">
        <v>97</v>
      </c>
      <c r="D14" s="20" t="s">
        <v>68</v>
      </c>
      <c r="E14" s="20"/>
      <c r="F14" s="20" t="s">
        <v>70</v>
      </c>
      <c r="G14" s="20">
        <v>518934094</v>
      </c>
      <c r="H14" s="20" t="s">
        <v>85</v>
      </c>
      <c r="I14" s="36">
        <v>1397196</v>
      </c>
      <c r="J14" s="36">
        <v>60845.04</v>
      </c>
      <c r="K14" s="21">
        <f t="shared" si="0"/>
        <v>1336350.96</v>
      </c>
      <c r="M14" s="21">
        <f t="shared" si="3"/>
        <v>143180.46</v>
      </c>
      <c r="N14" s="27">
        <f t="shared" si="4"/>
        <v>1193170.5</v>
      </c>
      <c r="O14" s="33">
        <f t="shared" si="1"/>
        <v>11931.705</v>
      </c>
    </row>
    <row r="15" spans="1:17" x14ac:dyDescent="0.25">
      <c r="A15">
        <f t="shared" si="2"/>
        <v>9</v>
      </c>
      <c r="B15" s="23">
        <f t="shared" si="2"/>
        <v>9</v>
      </c>
      <c r="C15" s="19" t="s">
        <v>99</v>
      </c>
      <c r="D15" s="20" t="s">
        <v>68</v>
      </c>
      <c r="E15" s="20"/>
      <c r="F15" s="20" t="s">
        <v>70</v>
      </c>
      <c r="G15" s="20">
        <v>518937767</v>
      </c>
      <c r="H15" s="20" t="s">
        <v>85</v>
      </c>
      <c r="I15" s="21">
        <v>1341688</v>
      </c>
      <c r="J15" s="21">
        <v>57421.279999999999</v>
      </c>
      <c r="K15" s="21">
        <f t="shared" si="0"/>
        <v>1284266.72</v>
      </c>
      <c r="M15" s="21">
        <f t="shared" si="3"/>
        <v>137600.00571428571</v>
      </c>
      <c r="N15" s="27">
        <f>K15-M15</f>
        <v>1146666.7142857143</v>
      </c>
      <c r="O15" s="33">
        <f>K15/112</f>
        <v>11466.667142857143</v>
      </c>
    </row>
    <row r="16" spans="1:17" x14ac:dyDescent="0.25">
      <c r="A16">
        <f t="shared" si="2"/>
        <v>10</v>
      </c>
      <c r="B16" s="23">
        <f t="shared" si="2"/>
        <v>10</v>
      </c>
      <c r="C16" s="19" t="s">
        <v>99</v>
      </c>
      <c r="D16" s="20" t="s">
        <v>68</v>
      </c>
      <c r="E16" s="20"/>
      <c r="F16" s="20" t="s">
        <v>70</v>
      </c>
      <c r="G16" s="20">
        <v>518938287</v>
      </c>
      <c r="H16" s="20" t="s">
        <v>85</v>
      </c>
      <c r="I16" s="21">
        <v>1414821</v>
      </c>
      <c r="J16" s="21">
        <v>61338.39</v>
      </c>
      <c r="K16" s="21">
        <f t="shared" si="0"/>
        <v>1353482.61</v>
      </c>
      <c r="M16" s="21">
        <f t="shared" si="3"/>
        <v>145015.99392857144</v>
      </c>
      <c r="N16" s="27">
        <f t="shared" si="4"/>
        <v>1208466.6160714286</v>
      </c>
      <c r="O16" s="33">
        <f t="shared" si="1"/>
        <v>12084.666160714287</v>
      </c>
    </row>
    <row r="17" spans="1:15" x14ac:dyDescent="0.25">
      <c r="A17">
        <f t="shared" si="2"/>
        <v>11</v>
      </c>
      <c r="B17" s="23">
        <f t="shared" si="2"/>
        <v>11</v>
      </c>
      <c r="C17" s="19" t="s">
        <v>102</v>
      </c>
      <c r="D17" s="20" t="s">
        <v>68</v>
      </c>
      <c r="E17" s="20"/>
      <c r="F17" s="20" t="s">
        <v>70</v>
      </c>
      <c r="G17" s="20">
        <v>518942028</v>
      </c>
      <c r="H17" s="20" t="s">
        <v>85</v>
      </c>
      <c r="I17" s="21">
        <v>1397196</v>
      </c>
      <c r="J17" s="21">
        <v>60845.04</v>
      </c>
      <c r="K17" s="21">
        <f t="shared" si="0"/>
        <v>1336350.96</v>
      </c>
      <c r="M17" s="21">
        <f t="shared" si="3"/>
        <v>143180.46</v>
      </c>
      <c r="N17" s="27">
        <f t="shared" si="4"/>
        <v>1193170.5</v>
      </c>
      <c r="O17" s="33">
        <f t="shared" si="1"/>
        <v>11931.705</v>
      </c>
    </row>
    <row r="18" spans="1:15" x14ac:dyDescent="0.25">
      <c r="A18">
        <f t="shared" si="2"/>
        <v>12</v>
      </c>
      <c r="B18" s="23">
        <f t="shared" si="2"/>
        <v>12</v>
      </c>
      <c r="C18" s="19" t="s">
        <v>103</v>
      </c>
      <c r="D18" s="20" t="s">
        <v>68</v>
      </c>
      <c r="E18" s="20"/>
      <c r="F18" s="20" t="s">
        <v>70</v>
      </c>
      <c r="G18" s="20">
        <v>518945451</v>
      </c>
      <c r="H18" s="20" t="s">
        <v>85</v>
      </c>
      <c r="I18" s="21">
        <v>1345788</v>
      </c>
      <c r="J18" s="21">
        <v>60845.04</v>
      </c>
      <c r="K18" s="21">
        <f t="shared" si="0"/>
        <v>1284942.96</v>
      </c>
      <c r="M18" s="21">
        <f t="shared" si="3"/>
        <v>137672.46</v>
      </c>
      <c r="N18" s="27">
        <f t="shared" si="4"/>
        <v>1147270.5</v>
      </c>
      <c r="O18" s="33">
        <f t="shared" si="1"/>
        <v>11472.705</v>
      </c>
    </row>
    <row r="19" spans="1:15" x14ac:dyDescent="0.25">
      <c r="A19">
        <f t="shared" si="2"/>
        <v>13</v>
      </c>
      <c r="B19" s="23">
        <f t="shared" si="2"/>
        <v>13</v>
      </c>
      <c r="C19" s="19" t="s">
        <v>104</v>
      </c>
      <c r="D19" s="20" t="s">
        <v>68</v>
      </c>
      <c r="E19" s="20"/>
      <c r="F19" s="20" t="s">
        <v>70</v>
      </c>
      <c r="G19" s="20">
        <v>518945971</v>
      </c>
      <c r="H19" s="20" t="s">
        <v>85</v>
      </c>
      <c r="I19" s="21">
        <v>1381428</v>
      </c>
      <c r="J19" s="21">
        <v>58708.08</v>
      </c>
      <c r="K19" s="21">
        <f t="shared" si="0"/>
        <v>1322719.92</v>
      </c>
      <c r="M19" s="21">
        <f t="shared" si="3"/>
        <v>141719.9914285714</v>
      </c>
      <c r="N19" s="27">
        <f t="shared" si="4"/>
        <v>1180999.9285714286</v>
      </c>
      <c r="O19" s="33">
        <f t="shared" si="1"/>
        <v>11809.999285714284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17037744.240000002</v>
      </c>
      <c r="L28" s="44">
        <f ca="1">SUM(L7:L31)</f>
        <v>0</v>
      </c>
      <c r="M28" s="44">
        <f>SUM(M7:M27)</f>
        <v>1825472.597142857</v>
      </c>
      <c r="N28" s="44">
        <f>SUM(N7:N27)</f>
        <v>15212271.642857144</v>
      </c>
      <c r="O28" s="44">
        <f>SUM(O7:O27)</f>
        <v>152122.71642857144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>
        <v>46334</v>
      </c>
      <c r="D36" s="20" t="s">
        <v>68</v>
      </c>
      <c r="E36" s="20"/>
      <c r="F36" s="20" t="s">
        <v>70</v>
      </c>
      <c r="G36" s="37" t="s">
        <v>88</v>
      </c>
      <c r="H36" s="20" t="s">
        <v>85</v>
      </c>
      <c r="I36" s="20"/>
      <c r="J36" s="20"/>
      <c r="K36" s="21">
        <f>35964+167832</f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 t="s">
        <v>90</v>
      </c>
      <c r="D37" s="20" t="s">
        <v>68</v>
      </c>
      <c r="E37" s="20"/>
      <c r="F37" s="20" t="s">
        <v>70</v>
      </c>
      <c r="G37" s="37" t="s">
        <v>91</v>
      </c>
      <c r="H37" s="20" t="s">
        <v>85</v>
      </c>
      <c r="I37" s="20"/>
      <c r="J37" s="20"/>
      <c r="K37" s="21">
        <f>11988+10656+179820</f>
        <v>202464</v>
      </c>
      <c r="M37" s="21">
        <f t="shared" si="8"/>
        <v>21692.571428571428</v>
      </c>
      <c r="N37" s="27">
        <f t="shared" si="10"/>
        <v>180771.42857142858</v>
      </c>
      <c r="O37" s="33">
        <f t="shared" si="9"/>
        <v>1807.7142857142858</v>
      </c>
    </row>
    <row r="38" spans="1:15" x14ac:dyDescent="0.25">
      <c r="A38">
        <v>6</v>
      </c>
      <c r="C38" s="19" t="s">
        <v>90</v>
      </c>
      <c r="D38" s="20" t="s">
        <v>68</v>
      </c>
      <c r="E38" s="20"/>
      <c r="F38" s="20" t="s">
        <v>70</v>
      </c>
      <c r="G38" s="37" t="s">
        <v>89</v>
      </c>
      <c r="H38" s="20" t="s">
        <v>85</v>
      </c>
      <c r="I38" s="20"/>
      <c r="J38" s="20"/>
      <c r="K38" s="21">
        <f>11988+10656+179820</f>
        <v>202464</v>
      </c>
      <c r="M38" s="21">
        <f t="shared" si="8"/>
        <v>21692.571428571428</v>
      </c>
      <c r="N38" s="27">
        <f t="shared" si="10"/>
        <v>180771.42857142858</v>
      </c>
      <c r="O38" s="33">
        <f t="shared" si="9"/>
        <v>1807.7142857142858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92</v>
      </c>
      <c r="H39" s="20" t="s">
        <v>85</v>
      </c>
      <c r="I39" s="20"/>
      <c r="J39" s="20"/>
      <c r="K39" s="21">
        <f>11988+191808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95</v>
      </c>
      <c r="D40" s="20" t="s">
        <v>68</v>
      </c>
      <c r="E40" s="20"/>
      <c r="F40" s="20" t="s">
        <v>70</v>
      </c>
      <c r="G40" s="37" t="s">
        <v>96</v>
      </c>
      <c r="H40" s="20" t="s">
        <v>85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95</v>
      </c>
      <c r="D41" s="20" t="s">
        <v>68</v>
      </c>
      <c r="E41" s="20"/>
      <c r="F41" s="20" t="s">
        <v>70</v>
      </c>
      <c r="G41" s="37" t="s">
        <v>94</v>
      </c>
      <c r="H41" s="20" t="s">
        <v>85</v>
      </c>
      <c r="I41" s="20"/>
      <c r="J41" s="20"/>
      <c r="K41" s="21">
        <f>11988+143856</f>
        <v>155844</v>
      </c>
      <c r="M41" s="21">
        <f t="shared" si="8"/>
        <v>16697.571428571428</v>
      </c>
      <c r="N41" s="27">
        <f t="shared" si="10"/>
        <v>139146.42857142858</v>
      </c>
      <c r="O41" s="33">
        <f t="shared" si="9"/>
        <v>1391.4642857142858</v>
      </c>
    </row>
    <row r="42" spans="1:15" x14ac:dyDescent="0.25">
      <c r="A42">
        <v>10</v>
      </c>
      <c r="C42" s="19" t="s">
        <v>97</v>
      </c>
      <c r="D42" s="20" t="s">
        <v>68</v>
      </c>
      <c r="E42" s="20"/>
      <c r="F42" s="20" t="s">
        <v>70</v>
      </c>
      <c r="G42" s="37" t="s">
        <v>98</v>
      </c>
      <c r="H42" s="20" t="s">
        <v>85</v>
      </c>
      <c r="I42" s="20"/>
      <c r="J42" s="20"/>
      <c r="K42" s="21">
        <f>23976+179820+2268</f>
        <v>206064</v>
      </c>
      <c r="M42" s="21">
        <f t="shared" si="8"/>
        <v>22078.285714285714</v>
      </c>
      <c r="N42" s="27">
        <f t="shared" si="10"/>
        <v>183985.71428571429</v>
      </c>
      <c r="O42" s="33">
        <f t="shared" si="9"/>
        <v>1839.8571428571429</v>
      </c>
    </row>
    <row r="43" spans="1:15" x14ac:dyDescent="0.25">
      <c r="A43">
        <v>11</v>
      </c>
      <c r="C43" s="19" t="s">
        <v>99</v>
      </c>
      <c r="D43" s="20" t="s">
        <v>68</v>
      </c>
      <c r="E43" s="20"/>
      <c r="F43" s="20" t="s">
        <v>70</v>
      </c>
      <c r="G43" s="37" t="s">
        <v>100</v>
      </c>
      <c r="H43" s="20" t="s">
        <v>85</v>
      </c>
      <c r="I43" s="20"/>
      <c r="J43" s="20"/>
      <c r="K43" s="21">
        <f>11988+119880+5292+6048+36288</f>
        <v>179496</v>
      </c>
      <c r="M43" s="21">
        <f t="shared" si="8"/>
        <v>19231.714285714286</v>
      </c>
      <c r="N43" s="27">
        <f t="shared" si="10"/>
        <v>160264.28571428571</v>
      </c>
      <c r="O43" s="33">
        <f t="shared" si="9"/>
        <v>1602.6428571428571</v>
      </c>
    </row>
    <row r="44" spans="1:15" x14ac:dyDescent="0.25">
      <c r="A44">
        <v>12</v>
      </c>
      <c r="C44" s="19" t="s">
        <v>99</v>
      </c>
      <c r="D44" s="20" t="s">
        <v>68</v>
      </c>
      <c r="E44" s="20"/>
      <c r="F44" s="20" t="s">
        <v>70</v>
      </c>
      <c r="G44" s="37" t="s">
        <v>101</v>
      </c>
      <c r="H44" s="20" t="s">
        <v>85</v>
      </c>
      <c r="I44" s="20"/>
      <c r="J44" s="20"/>
      <c r="K44" s="21">
        <f>7560+15120+59940+9072</f>
        <v>91692</v>
      </c>
      <c r="M44" s="21">
        <f t="shared" si="8"/>
        <v>9824.1428571428569</v>
      </c>
      <c r="N44" s="27">
        <f t="shared" si="10"/>
        <v>81867.857142857145</v>
      </c>
      <c r="O44" s="33">
        <f t="shared" si="9"/>
        <v>818.67857142857144</v>
      </c>
    </row>
    <row r="45" spans="1:15" x14ac:dyDescent="0.25">
      <c r="A45">
        <v>13</v>
      </c>
      <c r="C45" s="19" t="s">
        <v>104</v>
      </c>
      <c r="D45" s="20" t="s">
        <v>68</v>
      </c>
      <c r="E45" s="20"/>
      <c r="F45" s="20" t="s">
        <v>70</v>
      </c>
      <c r="G45" s="37" t="s">
        <v>105</v>
      </c>
      <c r="H45" s="20" t="s">
        <v>85</v>
      </c>
      <c r="I45" s="20"/>
      <c r="J45" s="20"/>
      <c r="K45" s="21">
        <f>35964+143856+9072+8064</f>
        <v>196956</v>
      </c>
      <c r="M45" s="21">
        <f t="shared" si="8"/>
        <v>21102.428571428572</v>
      </c>
      <c r="N45" s="27">
        <f t="shared" si="10"/>
        <v>175853.57142857142</v>
      </c>
      <c r="O45" s="33">
        <f t="shared" si="9"/>
        <v>1758.5357142857142</v>
      </c>
    </row>
    <row r="46" spans="1:15" x14ac:dyDescent="0.25">
      <c r="A46">
        <v>14</v>
      </c>
      <c r="C46" s="19" t="s">
        <v>103</v>
      </c>
      <c r="D46" s="20" t="s">
        <v>68</v>
      </c>
      <c r="E46" s="20"/>
      <c r="F46" s="20" t="s">
        <v>70</v>
      </c>
      <c r="G46" s="37" t="s">
        <v>106</v>
      </c>
      <c r="H46" s="20" t="s">
        <v>85</v>
      </c>
      <c r="I46" s="20"/>
      <c r="J46" s="20"/>
      <c r="K46" s="21">
        <f>23976+179820</f>
        <v>203796</v>
      </c>
      <c r="M46" s="21">
        <f t="shared" si="8"/>
        <v>21835.285714285714</v>
      </c>
      <c r="N46" s="27">
        <f t="shared" si="10"/>
        <v>181960.71428571429</v>
      </c>
      <c r="O46" s="33">
        <f t="shared" si="9"/>
        <v>1819.6071428571429</v>
      </c>
    </row>
    <row r="47" spans="1:15" x14ac:dyDescent="0.25">
      <c r="A47">
        <v>15</v>
      </c>
      <c r="C47" s="19" t="s">
        <v>107</v>
      </c>
      <c r="D47" s="20" t="s">
        <v>68</v>
      </c>
      <c r="E47" s="20"/>
      <c r="F47" s="20" t="s">
        <v>70</v>
      </c>
      <c r="G47" s="37" t="s">
        <v>108</v>
      </c>
      <c r="H47" s="20" t="s">
        <v>85</v>
      </c>
      <c r="I47" s="20"/>
      <c r="J47" s="20"/>
      <c r="K47" s="21">
        <f>7560+23976+155844+9072</f>
        <v>196452</v>
      </c>
      <c r="M47" s="21">
        <f t="shared" si="8"/>
        <v>21048.428571428572</v>
      </c>
      <c r="N47" s="27">
        <f t="shared" si="10"/>
        <v>175403.57142857142</v>
      </c>
      <c r="O47" s="33">
        <f t="shared" si="9"/>
        <v>1754.0357142857142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2643768</v>
      </c>
      <c r="L55" s="44">
        <f ca="1">SUM(L34:L58)</f>
        <v>0</v>
      </c>
      <c r="M55" s="44">
        <f>SUM(M34:M54)</f>
        <v>283260.85714285716</v>
      </c>
      <c r="N55" s="44">
        <f>SUM(N34:N54)</f>
        <v>2360507.1428571427</v>
      </c>
      <c r="O55" s="45">
        <f>SUM(O34:O54)</f>
        <v>23605.071428571431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95</v>
      </c>
      <c r="D61" s="20" t="s">
        <v>68</v>
      </c>
      <c r="E61" s="12"/>
      <c r="F61" s="20" t="s">
        <v>70</v>
      </c>
      <c r="G61" s="37" t="s">
        <v>94</v>
      </c>
      <c r="H61" s="20" t="s">
        <v>85</v>
      </c>
      <c r="I61" s="20"/>
      <c r="J61" s="20"/>
      <c r="K61" s="21">
        <f>11232+11340</f>
        <v>22572</v>
      </c>
      <c r="M61" s="21">
        <f t="shared" ref="M61:M80" si="11">O61*12</f>
        <v>2418.4285714285716</v>
      </c>
      <c r="N61" s="27">
        <f>K61-M61</f>
        <v>20153.571428571428</v>
      </c>
      <c r="O61" s="33">
        <f t="shared" ref="O61:O80" si="12">K61/112</f>
        <v>201.53571428571428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22572</v>
      </c>
      <c r="L82" s="44">
        <f ca="1">SUM(L61:L85)</f>
        <v>0</v>
      </c>
      <c r="M82" s="44">
        <f>SUM(M61:M81)</f>
        <v>2418.4285714285716</v>
      </c>
      <c r="N82" s="44">
        <f>SUM(N61:N81)</f>
        <v>20153.571428571428</v>
      </c>
      <c r="O82" s="45">
        <f>SUM(O61:O81)</f>
        <v>201.53571428571428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2026-08-29T09:42:36Z</dcterms:modified>
</cp:coreProperties>
</file>