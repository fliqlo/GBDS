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131C716-99C9-4092-A9F2-B8954F66C56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5" i="6" l="1"/>
  <c r="K44" i="6" l="1"/>
  <c r="K43" i="6" l="1"/>
  <c r="K42" i="6" l="1"/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109" i="6"/>
  <c r="L55" i="6"/>
  <c r="L28" i="6"/>
</calcChain>
</file>

<file path=xl/sharedStrings.xml><?xml version="1.0" encoding="utf-8"?>
<sst xmlns="http://schemas.openxmlformats.org/spreadsheetml/2006/main" count="521" uniqueCount="106">
  <si>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</si>
  <si>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</si>
  <si>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</si>
  <si>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</si>
  <si>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</si>
  <si>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</si>
  <si>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</si>
  <si>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</si>
  <si>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</si>
  <si>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</si>
  <si>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</si>
  <si>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</si>
  <si>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</si>
  <si>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</si>
  <si>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</si>
  <si>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</si>
  <si>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</si>
  <si>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</si>
  <si>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</si>
  <si>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</si>
  <si>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</si>
  <si>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</si>
  <si>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</si>
  <si>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</si>
  <si>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</si>
  <si>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</si>
  <si>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</si>
  <si>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</si>
  <si>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</si>
  <si>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</si>
  <si>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</si>
  <si>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</si>
  <si>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</si>
  <si>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</si>
  <si>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</si>
  <si>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</si>
  <si>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</si>
  <si>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</si>
  <si>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</si>
  <si>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</si>
  <si>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</si>
  <si>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</si>
  <si>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</si>
  <si>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</si>
  <si>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</si>
  <si>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</si>
  <si>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</si>
  <si>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</si>
  <si>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</si>
  <si>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</si>
  <si>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</si>
  <si>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</si>
  <si>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</si>
  <si>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</si>
  <si>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</si>
  <si>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</si>
  <si>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</si>
  <si>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</si>
  <si>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</si>
  <si>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</si>
  <si>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</si>
  <si>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</si>
  <si>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</si>
  <si>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</si>
  <si>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</si>
  <si>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</si>
  <si>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</si>
  <si>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</si>
  <si>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</si>
  <si>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</si>
  <si>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</si>
  <si>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</si>
  <si>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</si>
  <si>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</si>
  <si>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</si>
  <si>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</si>
  <si>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</si>
  <si>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</si>
  <si>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</si>
  <si>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</si>
  <si>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</si>
  <si>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</si>
  <si>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</si>
  <si>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</si>
  <si>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</si>
  <si>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</si>
  <si>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</si>
  <si>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</si>
  <si>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</si>
  <si>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</si>
  <si>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</si>
  <si>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</si>
  <si>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</si>
  <si>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</si>
  <si>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R10</t>
  </si>
  <si>
    <t>08/19/2026</t>
  </si>
  <si>
    <t>R09</t>
  </si>
  <si>
    <t>08/24/2026</t>
  </si>
  <si>
    <t>R11</t>
  </si>
  <si>
    <t>08/25/2026</t>
  </si>
  <si>
    <t>R12</t>
  </si>
  <si>
    <t>R13</t>
  </si>
  <si>
    <t>08/26/2026</t>
  </si>
  <si>
    <t>08/28/2026</t>
  </si>
  <si>
    <t>08/27/2026</t>
  </si>
  <si>
    <t>R14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</si>
</sst>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0" zoomScaleNormal="100" workbookViewId="0">
      <selection activeCell="C20" sqref="C2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95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95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97</v>
      </c>
      <c r="D13" s="20" t="s">
        <v>68</v>
      </c>
      <c r="E13" s="20"/>
      <c r="F13" s="20" t="s">
        <v>70</v>
      </c>
      <c r="G13" s="20">
        <v>518933761</v>
      </c>
      <c r="H13" s="20" t="s">
        <v>85</v>
      </c>
      <c r="I13" s="21">
        <v>1299728</v>
      </c>
      <c r="J13" s="21">
        <v>87768.13</v>
      </c>
      <c r="K13" s="21">
        <f t="shared" si="0"/>
        <v>1211959.8700000001</v>
      </c>
      <c r="M13" s="21">
        <f t="shared" si="3"/>
        <v>129852.84321428572</v>
      </c>
      <c r="N13" s="27">
        <f>K13-M13</f>
        <v>1082107.0267857143</v>
      </c>
      <c r="O13" s="33">
        <f>K13/112</f>
        <v>10821.070267857143</v>
      </c>
    </row>
    <row r="14" spans="1:17" x14ac:dyDescent="0.25">
      <c r="A14">
        <f t="shared" si="2"/>
        <v>8</v>
      </c>
      <c r="B14" s="23">
        <f t="shared" si="2"/>
        <v>8</v>
      </c>
      <c r="C14" s="19" t="s">
        <v>97</v>
      </c>
      <c r="D14" s="20" t="s">
        <v>68</v>
      </c>
      <c r="E14" s="20"/>
      <c r="F14" s="20" t="s">
        <v>70</v>
      </c>
      <c r="G14" s="20">
        <v>518934094</v>
      </c>
      <c r="H14" s="20" t="s">
        <v>85</v>
      </c>
      <c r="I14" s="36">
        <v>1397196</v>
      </c>
      <c r="J14" s="36">
        <v>60845.04</v>
      </c>
      <c r="K14" s="21">
        <f t="shared" si="0"/>
        <v>1336350.96</v>
      </c>
      <c r="M14" s="21">
        <f t="shared" si="3"/>
        <v>143180.46</v>
      </c>
      <c r="N14" s="27">
        <f t="shared" si="4"/>
        <v>1193170.5</v>
      </c>
      <c r="O14" s="33">
        <f t="shared" si="1"/>
        <v>11931.705</v>
      </c>
    </row>
    <row r="15" spans="1:17" x14ac:dyDescent="0.25">
      <c r="A15">
        <f t="shared" si="2"/>
        <v>9</v>
      </c>
      <c r="B15" s="23">
        <f t="shared" si="2"/>
        <v>9</v>
      </c>
      <c r="C15" s="19" t="s">
        <v>99</v>
      </c>
      <c r="D15" s="20" t="s">
        <v>68</v>
      </c>
      <c r="E15" s="20"/>
      <c r="F15" s="20" t="s">
        <v>70</v>
      </c>
      <c r="G15" s="20">
        <v>518937767</v>
      </c>
      <c r="H15" s="20" t="s">
        <v>85</v>
      </c>
      <c r="I15" s="21">
        <v>1341688</v>
      </c>
      <c r="J15" s="21">
        <v>57421.279999999999</v>
      </c>
      <c r="K15" s="21">
        <f t="shared" si="0"/>
        <v>1284266.72</v>
      </c>
      <c r="M15" s="21">
        <f t="shared" si="3"/>
        <v>137600.00571428571</v>
      </c>
      <c r="N15" s="27">
        <f>K15-M15</f>
        <v>1146666.7142857143</v>
      </c>
      <c r="O15" s="33">
        <f>K15/112</f>
        <v>11466.667142857143</v>
      </c>
    </row>
    <row r="16" spans="1:17" x14ac:dyDescent="0.25">
      <c r="A16">
        <f t="shared" si="2"/>
        <v>10</v>
      </c>
      <c r="B16" s="23">
        <f t="shared" si="2"/>
        <v>10</v>
      </c>
      <c r="C16" s="19" t="s">
        <v>99</v>
      </c>
      <c r="D16" s="20" t="s">
        <v>68</v>
      </c>
      <c r="E16" s="20"/>
      <c r="F16" s="20" t="s">
        <v>70</v>
      </c>
      <c r="G16" s="20">
        <v>518938287</v>
      </c>
      <c r="H16" s="20" t="s">
        <v>85</v>
      </c>
      <c r="I16" s="21">
        <v>1414821</v>
      </c>
      <c r="J16" s="21">
        <v>61338.39</v>
      </c>
      <c r="K16" s="21">
        <f t="shared" si="0"/>
        <v>1353482.61</v>
      </c>
      <c r="M16" s="21">
        <f t="shared" si="3"/>
        <v>145015.99392857144</v>
      </c>
      <c r="N16" s="27">
        <f t="shared" si="4"/>
        <v>1208466.6160714286</v>
      </c>
      <c r="O16" s="33">
        <f t="shared" si="1"/>
        <v>12084.666160714287</v>
      </c>
    </row>
    <row r="17" spans="1:15" x14ac:dyDescent="0.25">
      <c r="A17">
        <f t="shared" si="2"/>
        <v>11</v>
      </c>
      <c r="B17" s="23">
        <f t="shared" si="2"/>
        <v>11</v>
      </c>
      <c r="C17" s="19" t="s">
        <v>102</v>
      </c>
      <c r="D17" s="20" t="s">
        <v>68</v>
      </c>
      <c r="E17" s="20"/>
      <c r="F17" s="20" t="s">
        <v>70</v>
      </c>
      <c r="G17" s="20">
        <v>518942028</v>
      </c>
      <c r="H17" s="20" t="s">
        <v>85</v>
      </c>
      <c r="I17" s="21">
        <v>1397196</v>
      </c>
      <c r="J17" s="21">
        <v>60845.04</v>
      </c>
      <c r="K17" s="21">
        <f t="shared" si="0"/>
        <v>1336350.96</v>
      </c>
      <c r="M17" s="21">
        <f t="shared" si="3"/>
        <v>143180.46</v>
      </c>
      <c r="N17" s="27">
        <f t="shared" si="4"/>
        <v>1193170.5</v>
      </c>
      <c r="O17" s="33">
        <f t="shared" si="1"/>
        <v>11931.705</v>
      </c>
    </row>
    <row r="18" spans="1:15" x14ac:dyDescent="0.25">
      <c r="A18">
        <f t="shared" si="2"/>
        <v>12</v>
      </c>
      <c r="B18" s="23">
        <f t="shared" si="2"/>
        <v>12</v>
      </c>
      <c r="C18" s="19" t="s">
        <v>103</v>
      </c>
      <c r="D18" s="20" t="s">
        <v>68</v>
      </c>
      <c r="E18" s="20"/>
      <c r="F18" s="20" t="s">
        <v>70</v>
      </c>
      <c r="G18" s="20">
        <v>518945451</v>
      </c>
      <c r="H18" s="20" t="s">
        <v>85</v>
      </c>
      <c r="I18" s="21">
        <v>1345788</v>
      </c>
      <c r="J18" s="21">
        <v>60845.04</v>
      </c>
      <c r="K18" s="21">
        <f t="shared" si="0"/>
        <v>1284942.96</v>
      </c>
      <c r="M18" s="21">
        <f t="shared" si="3"/>
        <v>137672.46</v>
      </c>
      <c r="N18" s="27">
        <f t="shared" si="4"/>
        <v>1147270.5</v>
      </c>
      <c r="O18" s="33">
        <f t="shared" si="1"/>
        <v>11472.705</v>
      </c>
    </row>
    <row r="19" spans="1:15" x14ac:dyDescent="0.25">
      <c r="A19">
        <f t="shared" si="2"/>
        <v>13</v>
      </c>
      <c r="B19" s="23">
        <f t="shared" si="2"/>
        <v>13</v>
      </c>
      <c r="C19" s="19" t="s">
        <v>104</v>
      </c>
      <c r="D19" s="20" t="s">
        <v>68</v>
      </c>
      <c r="E19" s="20"/>
      <c r="F19" s="20" t="s">
        <v>70</v>
      </c>
      <c r="G19" s="20">
        <v>518945971</v>
      </c>
      <c r="H19" s="20" t="s">
        <v>85</v>
      </c>
      <c r="I19" s="21">
        <v>1381428</v>
      </c>
      <c r="J19" s="21">
        <v>58708.08</v>
      </c>
      <c r="K19" s="21">
        <f t="shared" si="0"/>
        <v>1322719.92</v>
      </c>
      <c r="M19" s="21">
        <f t="shared" si="3"/>
        <v>141719.9914285714</v>
      </c>
      <c r="N19" s="27">
        <f t="shared" si="4"/>
        <v>1180999.9285714286</v>
      </c>
      <c r="O19" s="33">
        <f t="shared" si="1"/>
        <v>11809.999285714284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17037744.240000002</v>
      </c>
      <c r="L28" s="44">
        <f ca="1">SUM(L7:L31)</f>
        <v>0</v>
      </c>
      <c r="M28" s="44">
        <f>SUM(M7:M27)</f>
        <v>1825472.597142857</v>
      </c>
      <c r="N28" s="44">
        <f>SUM(N7:N27)</f>
        <v>15212271.642857144</v>
      </c>
      <c r="O28" s="44">
        <f>SUM(O7:O27)</f>
        <v>152122.71642857144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95</v>
      </c>
      <c r="D41" s="20" t="s">
        <v>68</v>
      </c>
      <c r="E41" s="20"/>
      <c r="F41" s="20" t="s">
        <v>70</v>
      </c>
      <c r="G41" s="37" t="s">
        <v>94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 t="s">
        <v>97</v>
      </c>
      <c r="D42" s="20" t="s">
        <v>68</v>
      </c>
      <c r="E42" s="20"/>
      <c r="F42" s="20" t="s">
        <v>70</v>
      </c>
      <c r="G42" s="37" t="s">
        <v>98</v>
      </c>
      <c r="H42" s="20" t="s">
        <v>85</v>
      </c>
      <c r="I42" s="20"/>
      <c r="J42" s="20"/>
      <c r="K42" s="21">
        <f>23976+179820+2268</f>
        <v>206064</v>
      </c>
      <c r="M42" s="21">
        <f t="shared" si="8"/>
        <v>22078.285714285714</v>
      </c>
      <c r="N42" s="27">
        <f t="shared" si="10"/>
        <v>183985.71428571429</v>
      </c>
      <c r="O42" s="33">
        <f t="shared" si="9"/>
        <v>1839.8571428571429</v>
      </c>
    </row>
    <row r="43" spans="1:15" x14ac:dyDescent="0.25">
      <c r="A43">
        <v>11</v>
      </c>
      <c r="C43" s="19" t="s">
        <v>99</v>
      </c>
      <c r="D43" s="20" t="s">
        <v>68</v>
      </c>
      <c r="E43" s="20"/>
      <c r="F43" s="20" t="s">
        <v>70</v>
      </c>
      <c r="G43" s="37" t="s">
        <v>100</v>
      </c>
      <c r="H43" s="20" t="s">
        <v>85</v>
      </c>
      <c r="I43" s="20"/>
      <c r="J43" s="20"/>
      <c r="K43" s="21">
        <f>11988+119880+5292+6048+36288</f>
        <v>179496</v>
      </c>
      <c r="M43" s="21">
        <f t="shared" si="8"/>
        <v>19231.714285714286</v>
      </c>
      <c r="N43" s="27">
        <f t="shared" si="10"/>
        <v>160264.28571428571</v>
      </c>
      <c r="O43" s="33">
        <f t="shared" si="9"/>
        <v>1602.6428571428571</v>
      </c>
    </row>
    <row r="44" spans="1:15" x14ac:dyDescent="0.25">
      <c r="A44">
        <v>12</v>
      </c>
      <c r="C44" s="19" t="s">
        <v>99</v>
      </c>
      <c r="D44" s="20" t="s">
        <v>68</v>
      </c>
      <c r="E44" s="20"/>
      <c r="F44" s="20" t="s">
        <v>70</v>
      </c>
      <c r="G44" s="37" t="s">
        <v>101</v>
      </c>
      <c r="H44" s="20" t="s">
        <v>85</v>
      </c>
      <c r="I44" s="20"/>
      <c r="J44" s="20"/>
      <c r="K44" s="21">
        <f>7560+15120+59940+9072</f>
        <v>91692</v>
      </c>
      <c r="M44" s="21">
        <f t="shared" si="8"/>
        <v>9824.1428571428569</v>
      </c>
      <c r="N44" s="27">
        <f t="shared" si="10"/>
        <v>81867.857142857145</v>
      </c>
      <c r="O44" s="33">
        <f t="shared" si="9"/>
        <v>818.67857142857144</v>
      </c>
    </row>
    <row r="45" spans="1:15" x14ac:dyDescent="0.25">
      <c r="A45">
        <v>13</v>
      </c>
      <c r="C45" s="19" t="s">
        <v>104</v>
      </c>
      <c r="D45" s="20" t="s">
        <v>68</v>
      </c>
      <c r="E45" s="20"/>
      <c r="F45" s="20" t="s">
        <v>70</v>
      </c>
      <c r="G45" s="37" t="s">
        <v>105</v>
      </c>
      <c r="H45" s="20" t="s">
        <v>85</v>
      </c>
      <c r="I45" s="20"/>
      <c r="J45" s="20"/>
      <c r="K45" s="21">
        <f>35964+143856+9072+8064</f>
        <v>196956</v>
      </c>
      <c r="M45" s="21">
        <f t="shared" si="8"/>
        <v>21102.428571428572</v>
      </c>
      <c r="N45" s="27">
        <f t="shared" si="10"/>
        <v>175853.57142857142</v>
      </c>
      <c r="O45" s="33">
        <f t="shared" si="9"/>
        <v>1758.5357142857142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2243520</v>
      </c>
      <c r="L55" s="44">
        <f ca="1">SUM(L34:L58)</f>
        <v>0</v>
      </c>
      <c r="M55" s="44">
        <f>SUM(M34:M54)</f>
        <v>240377.14285714284</v>
      </c>
      <c r="N55" s="44">
        <f>SUM(N34:N54)</f>
        <v>2003142.8571428573</v>
      </c>
      <c r="O55" s="45">
        <f>SUM(O34:O54)</f>
        <v>20031.428571428576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95</v>
      </c>
      <c r="D61" s="20" t="s">
        <v>68</v>
      </c>
      <c r="E61" s="12"/>
      <c r="F61" s="20" t="s">
        <v>70</v>
      </c>
      <c r="G61" s="37" t="s">
        <v>94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2026-08-28T08:40:16Z</dcterms:modified>
</cp:coreProperties>
</file>