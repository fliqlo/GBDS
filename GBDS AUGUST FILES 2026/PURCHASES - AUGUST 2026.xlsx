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8FFD3BF0-31A8-412F-A279-BBE3407FE486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AUGUST" sheetId="6" r:id="rId2"/>
  </sheets>
  <definedNames>
    <definedName name="_xlnm.Print_Area" localSheetId="1">'PE, AUGUST'!#REF!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6" i="6" l="1"/>
  <c r="K45" i="6" l="1"/>
  <c r="K44" i="6" l="1"/>
  <c r="K43" i="6" l="1"/>
  <c r="K42" i="6" l="1"/>
  <c r="K40" i="6" l="1"/>
  <c r="K41" i="6"/>
  <c r="K61" i="6" l="1"/>
  <c r="K39" i="6" l="1"/>
  <c r="K37" i="6" l="1"/>
  <c r="K38" i="6"/>
  <c r="K36" i="6"/>
  <c r="J7" i="6" l="1"/>
  <c r="I7" i="6"/>
  <c r="K35" i="6" l="1"/>
  <c r="K34" i="6" l="1"/>
  <c r="K55" i="6" l="1"/>
  <c r="K8" i="6" l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7" i="6"/>
  <c r="K82" i="6"/>
  <c r="K109" i="6"/>
  <c r="K28" i="6" l="1"/>
  <c r="M109" i="6"/>
  <c r="P107" i="6"/>
  <c r="N107" i="6" s="1"/>
  <c r="O107" i="6" s="1"/>
  <c r="P106" i="6"/>
  <c r="N106" i="6" s="1"/>
  <c r="O106" i="6" s="1"/>
  <c r="P105" i="6"/>
  <c r="N105" i="6"/>
  <c r="O105" i="6" s="1"/>
  <c r="P104" i="6"/>
  <c r="N104" i="6" s="1"/>
  <c r="O104" i="6" s="1"/>
  <c r="P103" i="6"/>
  <c r="N103" i="6" s="1"/>
  <c r="O103" i="6" s="1"/>
  <c r="P102" i="6"/>
  <c r="N102" i="6"/>
  <c r="O102" i="6" s="1"/>
  <c r="P101" i="6"/>
  <c r="N101" i="6" s="1"/>
  <c r="O101" i="6" s="1"/>
  <c r="P100" i="6"/>
  <c r="N100" i="6" s="1"/>
  <c r="O100" i="6" s="1"/>
  <c r="P99" i="6"/>
  <c r="N99" i="6" s="1"/>
  <c r="O99" i="6" s="1"/>
  <c r="P98" i="6"/>
  <c r="N98" i="6" s="1"/>
  <c r="O98" i="6" s="1"/>
  <c r="P97" i="6"/>
  <c r="N97" i="6" s="1"/>
  <c r="O97" i="6" s="1"/>
  <c r="P96" i="6"/>
  <c r="N96" i="6" s="1"/>
  <c r="O96" i="6" s="1"/>
  <c r="P95" i="6"/>
  <c r="N95" i="6" s="1"/>
  <c r="O95" i="6" s="1"/>
  <c r="P94" i="6"/>
  <c r="N94" i="6"/>
  <c r="O94" i="6" s="1"/>
  <c r="P93" i="6"/>
  <c r="N93" i="6" s="1"/>
  <c r="O93" i="6" s="1"/>
  <c r="P92" i="6"/>
  <c r="N92" i="6" s="1"/>
  <c r="O92" i="6" s="1"/>
  <c r="P91" i="6"/>
  <c r="N91" i="6" s="1"/>
  <c r="O91" i="6" s="1"/>
  <c r="P90" i="6"/>
  <c r="N90" i="6" s="1"/>
  <c r="O90" i="6" s="1"/>
  <c r="P89" i="6"/>
  <c r="N89" i="6" s="1"/>
  <c r="O89" i="6" s="1"/>
  <c r="P88" i="6"/>
  <c r="O80" i="6"/>
  <c r="M80" i="6" s="1"/>
  <c r="N80" i="6" s="1"/>
  <c r="O79" i="6"/>
  <c r="M79" i="6" s="1"/>
  <c r="N79" i="6" s="1"/>
  <c r="O78" i="6"/>
  <c r="M78" i="6"/>
  <c r="N78" i="6" s="1"/>
  <c r="O77" i="6"/>
  <c r="M77" i="6" s="1"/>
  <c r="N77" i="6" s="1"/>
  <c r="O76" i="6"/>
  <c r="M76" i="6" s="1"/>
  <c r="N76" i="6" s="1"/>
  <c r="O75" i="6"/>
  <c r="M75" i="6" s="1"/>
  <c r="N75" i="6" s="1"/>
  <c r="O74" i="6"/>
  <c r="M74" i="6" s="1"/>
  <c r="N74" i="6" s="1"/>
  <c r="O73" i="6"/>
  <c r="M73" i="6"/>
  <c r="N73" i="6" s="1"/>
  <c r="O72" i="6"/>
  <c r="M72" i="6" s="1"/>
  <c r="N72" i="6" s="1"/>
  <c r="O71" i="6"/>
  <c r="M71" i="6" s="1"/>
  <c r="N71" i="6" s="1"/>
  <c r="O70" i="6"/>
  <c r="M70" i="6"/>
  <c r="N70" i="6" s="1"/>
  <c r="O69" i="6"/>
  <c r="M69" i="6" s="1"/>
  <c r="N69" i="6" s="1"/>
  <c r="O68" i="6"/>
  <c r="M68" i="6" s="1"/>
  <c r="N68" i="6" s="1"/>
  <c r="O67" i="6"/>
  <c r="M67" i="6" s="1"/>
  <c r="N67" i="6" s="1"/>
  <c r="O66" i="6"/>
  <c r="M66" i="6" s="1"/>
  <c r="N66" i="6" s="1"/>
  <c r="O65" i="6"/>
  <c r="M65" i="6" s="1"/>
  <c r="N65" i="6" s="1"/>
  <c r="O64" i="6"/>
  <c r="M64" i="6" s="1"/>
  <c r="N64" i="6" s="1"/>
  <c r="O63" i="6"/>
  <c r="M63" i="6" s="1"/>
  <c r="N63" i="6" s="1"/>
  <c r="O62" i="6"/>
  <c r="M62" i="6" s="1"/>
  <c r="N62" i="6" s="1"/>
  <c r="O61" i="6"/>
  <c r="M61" i="6" s="1"/>
  <c r="O53" i="6"/>
  <c r="M53" i="6" s="1"/>
  <c r="N53" i="6" s="1"/>
  <c r="O52" i="6"/>
  <c r="M52" i="6" s="1"/>
  <c r="N52" i="6" s="1"/>
  <c r="O51" i="6"/>
  <c r="M51" i="6"/>
  <c r="N51" i="6" s="1"/>
  <c r="O50" i="6"/>
  <c r="M50" i="6"/>
  <c r="N50" i="6" s="1"/>
  <c r="O49" i="6"/>
  <c r="M49" i="6" s="1"/>
  <c r="N49" i="6" s="1"/>
  <c r="O48" i="6"/>
  <c r="M48" i="6" s="1"/>
  <c r="N48" i="6" s="1"/>
  <c r="O47" i="6"/>
  <c r="M47" i="6" s="1"/>
  <c r="N47" i="6" s="1"/>
  <c r="O46" i="6"/>
  <c r="M46" i="6" s="1"/>
  <c r="N46" i="6" s="1"/>
  <c r="O45" i="6"/>
  <c r="M45" i="6" s="1"/>
  <c r="N45" i="6" s="1"/>
  <c r="O44" i="6"/>
  <c r="M44" i="6" s="1"/>
  <c r="N44" i="6" s="1"/>
  <c r="O43" i="6"/>
  <c r="M43" i="6" s="1"/>
  <c r="N43" i="6" s="1"/>
  <c r="O42" i="6"/>
  <c r="M42" i="6" s="1"/>
  <c r="N42" i="6" s="1"/>
  <c r="O41" i="6"/>
  <c r="M41" i="6" s="1"/>
  <c r="N41" i="6" s="1"/>
  <c r="O40" i="6"/>
  <c r="M40" i="6" s="1"/>
  <c r="N40" i="6" s="1"/>
  <c r="O39" i="6"/>
  <c r="M39" i="6" s="1"/>
  <c r="N39" i="6" s="1"/>
  <c r="O38" i="6"/>
  <c r="M38" i="6" s="1"/>
  <c r="N38" i="6" s="1"/>
  <c r="O37" i="6"/>
  <c r="M37" i="6" s="1"/>
  <c r="N37" i="6" s="1"/>
  <c r="O36" i="6"/>
  <c r="M36" i="6" s="1"/>
  <c r="N36" i="6" s="1"/>
  <c r="O35" i="6"/>
  <c r="M35" i="6" s="1"/>
  <c r="N35" i="6" s="1"/>
  <c r="O34" i="6"/>
  <c r="M34" i="6" s="1"/>
  <c r="P109" i="6" l="1"/>
  <c r="M82" i="6"/>
  <c r="O82" i="6"/>
  <c r="M55" i="6"/>
  <c r="O55" i="6"/>
  <c r="N88" i="6"/>
  <c r="O88" i="6" s="1"/>
  <c r="O109" i="6" s="1"/>
  <c r="N61" i="6"/>
  <c r="N82" i="6" s="1"/>
  <c r="N34" i="6"/>
  <c r="N55" i="6" s="1"/>
  <c r="N109" i="6" l="1"/>
  <c r="O27" i="6"/>
  <c r="M27" i="6" s="1"/>
  <c r="N27" i="6" s="1"/>
  <c r="B8" i="6" l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O7" i="6" l="1"/>
  <c r="M7" i="6" l="1"/>
  <c r="N7" i="6" s="1"/>
  <c r="O8" i="6"/>
  <c r="M8" i="6" s="1"/>
  <c r="N8" i="6" s="1"/>
  <c r="O9" i="6"/>
  <c r="M9" i="6" s="1"/>
  <c r="N9" i="6" s="1"/>
  <c r="O10" i="6"/>
  <c r="M10" i="6" s="1"/>
  <c r="N10" i="6" s="1"/>
  <c r="O11" i="6"/>
  <c r="M11" i="6" s="1"/>
  <c r="N11" i="6" s="1"/>
  <c r="O12" i="6"/>
  <c r="M12" i="6" s="1"/>
  <c r="N12" i="6" s="1"/>
  <c r="O13" i="6"/>
  <c r="M13" i="6" s="1"/>
  <c r="N13" i="6" s="1"/>
  <c r="O14" i="6"/>
  <c r="M14" i="6" s="1"/>
  <c r="N14" i="6" s="1"/>
  <c r="O15" i="6"/>
  <c r="M15" i="6" s="1"/>
  <c r="N15" i="6" s="1"/>
  <c r="O16" i="6"/>
  <c r="M16" i="6" s="1"/>
  <c r="N16" i="6" s="1"/>
  <c r="O17" i="6"/>
  <c r="M17" i="6" s="1"/>
  <c r="N17" i="6" s="1"/>
  <c r="O18" i="6"/>
  <c r="M18" i="6" s="1"/>
  <c r="N18" i="6" s="1"/>
  <c r="O19" i="6"/>
  <c r="M19" i="6" s="1"/>
  <c r="N19" i="6" s="1"/>
  <c r="O20" i="6"/>
  <c r="M20" i="6" s="1"/>
  <c r="N20" i="6" s="1"/>
  <c r="O21" i="6"/>
  <c r="M21" i="6" s="1"/>
  <c r="N21" i="6" s="1"/>
  <c r="O22" i="6"/>
  <c r="M22" i="6" s="1"/>
  <c r="N22" i="6" s="1"/>
  <c r="O23" i="6"/>
  <c r="M23" i="6" s="1"/>
  <c r="N23" i="6" s="1"/>
  <c r="O24" i="6"/>
  <c r="M24" i="6" s="1"/>
  <c r="N24" i="6" s="1"/>
  <c r="O25" i="6"/>
  <c r="M25" i="6" s="1"/>
  <c r="N25" i="6" s="1"/>
  <c r="O26" i="6"/>
  <c r="M26" i="6" s="1"/>
  <c r="N26" i="6" s="1"/>
  <c r="O28" i="6" l="1"/>
  <c r="N28" i="6"/>
  <c r="M28" i="6"/>
  <c r="H59" i="4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  <c r="L28" i="6"/>
  <c r="L109" i="6"/>
  <c r="L55" i="6"/>
  <c r="L82" i="6"/>
</calcChain>
</file>

<file path=xl/sharedStrings.xml><?xml version="1.0" encoding="utf-8"?>
<sst xmlns="http://schemas.openxmlformats.org/spreadsheetml/2006/main" count="523" uniqueCount="107">
  <si>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</si>
  <si>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</si>
  <si>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</si>
  <si>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</si>
  <si>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</si>
  <si>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</si>
  <si>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</si>
  <si>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</si>
  <si>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</si>
  <si>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</si>
  <si>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</si>
  <si>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</si>
  <si>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</si>
  <si>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</si>
  <si>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</si>
  <si>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</si>
  <si>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</si>
  <si>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</si>
  <si>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</si>
  <si>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</si>
  <si>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</si>
  <si>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</si>
  <si>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</si>
  <si>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</si>
  <si>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</si>
  <si>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</si>
  <si>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</si>
  <si>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</si>
  <si>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</si>
  <si>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</si>
  <si>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</si>
  <si>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</si>
  <si>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</si>
  <si>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</si>
  <si>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</si>
  <si>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</si>
  <si>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</si>
  <si>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</si>
  <si>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</si>
  <si>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</si>
  <si>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</si>
  <si>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</si>
  <si>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</si>
  <si>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</si>
  <si>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</si>
  <si>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</si>
  <si>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</si>
  <si>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</si>
  <si>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</si>
  <si>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</si>
  <si>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</si>
  <si>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</si>
  <si>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</si>
  <si>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</si>
  <si>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</si>
  <si>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</si>
  <si>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</si>
  <si>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</si>
  <si>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</si>
  <si>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</si>
  <si>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</si>
  <si>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</si>
  <si>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</si>
  <si>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</si>
  <si>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</si>
  <si>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</si>
  <si>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</si>
  <si>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</si>
  <si>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</si>
  <si>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</si>
  <si>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</si>
  <si>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</si>
  <si>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</si>
  <si>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</si>
  <si>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MONTHLY PURCHASES</t>
  </si>
  <si>
    <t>MONTHLY PURCHASES BEER EMPTIES</t>
  </si>
  <si>
    <t>MONTHLY PURCHASES NAB EMPTIES</t>
  </si>
  <si>
    <t>R01</t>
  </si>
  <si>
    <t>MONTHLY PURCHASES SMB LILOY WW</t>
  </si>
  <si>
    <t>TOTAL AMOUNT</t>
  </si>
  <si>
    <t>JULY 2026</t>
  </si>
  <si>
    <t>AMOUNT</t>
  </si>
  <si>
    <t>OF PRODUCTS</t>
  </si>
  <si>
    <t>TOTAL</t>
  </si>
  <si>
    <t>DISCOUNT</t>
  </si>
  <si>
    <t>166-562-025-0005</t>
  </si>
  <si>
    <t>AUGUST 2026</t>
  </si>
  <si>
    <t>R02</t>
  </si>
  <si>
    <t>R03</t>
  </si>
  <si>
    <t>R07</t>
  </si>
  <si>
    <t>08/15/2026</t>
  </si>
  <si>
    <t>R06</t>
  </si>
  <si>
    <t>R08</t>
  </si>
  <si>
    <t>08/18/2026</t>
  </si>
  <si>
    <t>R10</t>
  </si>
  <si>
    <t>08/19/2026</t>
  </si>
  <si>
    <t>R09</t>
  </si>
  <si>
    <t>08/24/2026</t>
  </si>
  <si>
    <t>R11</t>
  </si>
  <si>
    <t>08/25/2026</t>
  </si>
  <si>
    <t>R12</t>
  </si>
  <si>
    <t>R13</t>
  </si>
  <si>
    <t>08/26/2026</t>
  </si>
  <si>
    <t>08/28/2026</t>
  </si>
  <si>
    <t>08/27/2026</t>
  </si>
  <si>
    <t>R14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</si>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</sst>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7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0" fontId="5" fillId="4" borderId="0" xfId="1" applyFont="1" applyFill="1"/>
    <xf numFmtId="0" fontId="6" fillId="4" borderId="0" xfId="1" applyFont="1" applyFill="1"/>
    <xf numFmtId="0" fontId="12" fillId="0" borderId="0" xfId="1" applyFont="1"/>
    <xf numFmtId="0" fontId="13" fillId="0" borderId="0" xfId="1" applyFont="1"/>
    <xf numFmtId="49" fontId="12" fillId="0" borderId="0" xfId="1" applyNumberFormat="1" applyFont="1"/>
    <xf numFmtId="164" fontId="9" fillId="5" borderId="0" xfId="0" applyNumberFormat="1" applyFont="1" applyFill="1"/>
    <xf numFmtId="164" fontId="9" fillId="5" borderId="0" xfId="0" applyNumberFormat="1" applyFont="1" applyFill="1" applyProtection="1"/>
    <xf numFmtId="0" fontId="10" fillId="0" borderId="0" xfId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Q109"/>
  <sheetViews>
    <sheetView tabSelected="1" topLeftCell="A34" zoomScaleNormal="100" workbookViewId="0">
      <selection activeCell="C47" sqref="C47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38" bestFit="1" customWidth="1"/>
    <col min="8" max="8" width="22" bestFit="1" customWidth="1"/>
    <col min="9" max="11" width="17.42578125" customWidth="1"/>
    <col min="12" max="12" width="0" hidden="1" customWidth="1"/>
    <col min="13" max="14" width="14" customWidth="1"/>
    <col min="15" max="15" width="14" style="35" customWidth="1"/>
    <col min="16" max="16" width="13.140625" bestFit="1" customWidth="1"/>
    <col min="17" max="17" width="11.28515625" bestFit="1" customWidth="1"/>
  </cols>
  <sheetData>
    <row r="1" spans="1:17" x14ac:dyDescent="0.25">
      <c r="C1" s="39" t="s">
        <v>67</v>
      </c>
      <c r="D1" s="40"/>
      <c r="E1" s="40"/>
      <c r="F1" s="1"/>
      <c r="G1" s="1"/>
      <c r="H1" s="1"/>
      <c r="I1" s="1"/>
      <c r="J1" s="1"/>
      <c r="K1" s="1"/>
      <c r="M1" s="1"/>
      <c r="N1" s="1"/>
      <c r="O1" s="28"/>
    </row>
    <row r="2" spans="1:17" x14ac:dyDescent="0.25">
      <c r="C2" s="2"/>
      <c r="D2" s="2"/>
      <c r="E2" s="2"/>
      <c r="F2" s="2"/>
      <c r="G2" s="2"/>
      <c r="H2" s="2"/>
      <c r="I2" s="2"/>
      <c r="J2" s="2"/>
      <c r="K2" s="2"/>
      <c r="M2" s="2"/>
      <c r="N2" s="2"/>
      <c r="O2" s="29"/>
    </row>
    <row r="3" spans="1:17" ht="15.75" x14ac:dyDescent="0.25">
      <c r="C3" s="41" t="s">
        <v>74</v>
      </c>
      <c r="D3" s="42"/>
      <c r="E3" s="42"/>
      <c r="F3" s="43" t="s">
        <v>86</v>
      </c>
      <c r="G3" s="1"/>
      <c r="H3" s="1"/>
      <c r="I3" s="1"/>
      <c r="J3" s="1"/>
      <c r="K3" s="1"/>
      <c r="M3" s="1"/>
      <c r="N3" s="1"/>
      <c r="O3" s="28"/>
    </row>
    <row r="4" spans="1:17" x14ac:dyDescent="0.25">
      <c r="C4" s="8"/>
      <c r="D4" s="8"/>
      <c r="E4" s="8"/>
      <c r="F4" s="8"/>
      <c r="G4" s="8"/>
      <c r="H4" s="8"/>
      <c r="I4" s="8"/>
      <c r="J4" s="8"/>
      <c r="K4" s="8"/>
      <c r="M4" s="8"/>
      <c r="N4" s="8"/>
      <c r="O4" s="30"/>
    </row>
    <row r="5" spans="1:17" x14ac:dyDescent="0.25">
      <c r="C5" s="9"/>
      <c r="D5" s="9"/>
      <c r="E5" s="9"/>
      <c r="F5" s="1"/>
      <c r="G5" s="9" t="s">
        <v>2</v>
      </c>
      <c r="H5" s="9"/>
      <c r="I5" s="9" t="s">
        <v>81</v>
      </c>
      <c r="J5" s="9" t="s">
        <v>83</v>
      </c>
      <c r="K5" s="10" t="s">
        <v>3</v>
      </c>
      <c r="M5" s="10"/>
      <c r="N5" s="10" t="s">
        <v>4</v>
      </c>
      <c r="O5" s="31"/>
    </row>
    <row r="6" spans="1:17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82</v>
      </c>
      <c r="J6" s="9" t="s">
        <v>84</v>
      </c>
      <c r="K6" s="10" t="s">
        <v>11</v>
      </c>
      <c r="M6" s="10" t="s">
        <v>12</v>
      </c>
      <c r="N6" s="10" t="s">
        <v>13</v>
      </c>
      <c r="O6" s="32">
        <v>2307</v>
      </c>
    </row>
    <row r="7" spans="1:17" x14ac:dyDescent="0.25">
      <c r="A7">
        <v>1</v>
      </c>
      <c r="B7" s="23">
        <v>1</v>
      </c>
      <c r="C7" s="19">
        <v>46334</v>
      </c>
      <c r="D7" s="20" t="s">
        <v>68</v>
      </c>
      <c r="E7" s="12"/>
      <c r="F7" s="20" t="s">
        <v>70</v>
      </c>
      <c r="G7" s="20">
        <v>518900758</v>
      </c>
      <c r="H7" s="20" t="s">
        <v>85</v>
      </c>
      <c r="I7" s="21">
        <f>1318233</f>
        <v>1318233</v>
      </c>
      <c r="J7" s="21">
        <f>53845.98</f>
        <v>53845.98</v>
      </c>
      <c r="K7" s="21">
        <f>I7-J7</f>
        <v>1264387.02</v>
      </c>
      <c r="M7" s="21">
        <f>O7*12</f>
        <v>135470.03785714286</v>
      </c>
      <c r="N7" s="27">
        <f>K7-M7</f>
        <v>1128916.9821428573</v>
      </c>
      <c r="O7" s="33">
        <f>K7/112</f>
        <v>11289.169821428572</v>
      </c>
      <c r="P7" s="26"/>
      <c r="Q7" s="26"/>
    </row>
    <row r="8" spans="1:17" x14ac:dyDescent="0.25">
      <c r="A8">
        <f>A7+1</f>
        <v>2</v>
      </c>
      <c r="B8" s="23">
        <f>B7+1</f>
        <v>2</v>
      </c>
      <c r="C8" s="19" t="s">
        <v>90</v>
      </c>
      <c r="D8" s="20" t="s">
        <v>68</v>
      </c>
      <c r="E8" s="20"/>
      <c r="F8" s="20" t="s">
        <v>70</v>
      </c>
      <c r="G8" s="20">
        <v>518912814</v>
      </c>
      <c r="H8" s="20" t="s">
        <v>85</v>
      </c>
      <c r="I8" s="21">
        <v>1397196</v>
      </c>
      <c r="J8" s="21">
        <v>60845.04</v>
      </c>
      <c r="K8" s="21">
        <f t="shared" ref="K8:K27" si="0">I8-J8</f>
        <v>1336350.96</v>
      </c>
      <c r="M8" s="21">
        <f>O8*12</f>
        <v>143180.46</v>
      </c>
      <c r="N8" s="27">
        <f>K8-M8</f>
        <v>1193170.5</v>
      </c>
      <c r="O8" s="33">
        <f t="shared" ref="O8:O26" si="1">K8/112</f>
        <v>11931.705</v>
      </c>
    </row>
    <row r="9" spans="1:17" x14ac:dyDescent="0.25">
      <c r="A9">
        <f t="shared" ref="A9:B27" si="2">A8+1</f>
        <v>3</v>
      </c>
      <c r="B9" s="23">
        <f t="shared" si="2"/>
        <v>3</v>
      </c>
      <c r="C9" s="19" t="s">
        <v>90</v>
      </c>
      <c r="D9" s="20" t="s">
        <v>68</v>
      </c>
      <c r="E9" s="20"/>
      <c r="F9" s="20" t="s">
        <v>70</v>
      </c>
      <c r="G9" s="20">
        <v>518912586</v>
      </c>
      <c r="H9" s="20" t="s">
        <v>85</v>
      </c>
      <c r="I9" s="21">
        <v>1397196</v>
      </c>
      <c r="J9" s="21">
        <v>60845.04</v>
      </c>
      <c r="K9" s="21">
        <f t="shared" si="0"/>
        <v>1336350.96</v>
      </c>
      <c r="M9" s="21">
        <f t="shared" ref="M9:M26" si="3">O9*12</f>
        <v>143180.46</v>
      </c>
      <c r="N9" s="27">
        <f t="shared" ref="N9:N26" si="4">K9-M9</f>
        <v>1193170.5</v>
      </c>
      <c r="O9" s="33">
        <f t="shared" si="1"/>
        <v>11931.705</v>
      </c>
    </row>
    <row r="10" spans="1:17" x14ac:dyDescent="0.25">
      <c r="A10">
        <f t="shared" si="2"/>
        <v>4</v>
      </c>
      <c r="B10" s="23">
        <f t="shared" si="2"/>
        <v>4</v>
      </c>
      <c r="C10" s="19" t="s">
        <v>93</v>
      </c>
      <c r="D10" s="20" t="s">
        <v>68</v>
      </c>
      <c r="E10" s="20"/>
      <c r="F10" s="20" t="s">
        <v>70</v>
      </c>
      <c r="G10" s="20">
        <v>518918403</v>
      </c>
      <c r="H10" s="20" t="s">
        <v>85</v>
      </c>
      <c r="I10" s="21">
        <v>1397196</v>
      </c>
      <c r="J10" s="21">
        <v>60845.04</v>
      </c>
      <c r="K10" s="21">
        <f t="shared" si="0"/>
        <v>1336350.96</v>
      </c>
      <c r="M10" s="21">
        <f t="shared" si="3"/>
        <v>143180.46</v>
      </c>
      <c r="N10" s="27">
        <f t="shared" si="4"/>
        <v>1193170.5</v>
      </c>
      <c r="O10" s="33">
        <f t="shared" si="1"/>
        <v>11931.705</v>
      </c>
    </row>
    <row r="11" spans="1:17" x14ac:dyDescent="0.25">
      <c r="A11">
        <f t="shared" si="2"/>
        <v>5</v>
      </c>
      <c r="B11" s="23">
        <f t="shared" si="2"/>
        <v>5</v>
      </c>
      <c r="C11" s="19" t="s">
        <v>95</v>
      </c>
      <c r="D11" s="20" t="s">
        <v>68</v>
      </c>
      <c r="E11" s="20"/>
      <c r="F11" s="20" t="s">
        <v>70</v>
      </c>
      <c r="G11" s="20">
        <v>518921976</v>
      </c>
      <c r="H11" s="20" t="s">
        <v>85</v>
      </c>
      <c r="I11" s="21">
        <v>1356048</v>
      </c>
      <c r="J11" s="21">
        <v>58168.62</v>
      </c>
      <c r="K11" s="21">
        <f t="shared" si="0"/>
        <v>1297879.3799999999</v>
      </c>
      <c r="M11" s="21">
        <f t="shared" si="3"/>
        <v>139058.505</v>
      </c>
      <c r="N11" s="27">
        <f t="shared" si="4"/>
        <v>1158820.875</v>
      </c>
      <c r="O11" s="33">
        <f t="shared" si="1"/>
        <v>11588.20875</v>
      </c>
    </row>
    <row r="12" spans="1:17" x14ac:dyDescent="0.25">
      <c r="A12">
        <f t="shared" si="2"/>
        <v>6</v>
      </c>
      <c r="B12" s="23">
        <f t="shared" si="2"/>
        <v>6</v>
      </c>
      <c r="C12" s="19" t="s">
        <v>95</v>
      </c>
      <c r="D12" s="20" t="s">
        <v>68</v>
      </c>
      <c r="E12" s="20"/>
      <c r="F12" s="20" t="s">
        <v>70</v>
      </c>
      <c r="G12" s="20">
        <v>518921567</v>
      </c>
      <c r="H12" s="20" t="s">
        <v>85</v>
      </c>
      <c r="I12" s="21">
        <v>1397196</v>
      </c>
      <c r="J12" s="21">
        <v>60845.04</v>
      </c>
      <c r="K12" s="21">
        <f t="shared" si="0"/>
        <v>1336350.96</v>
      </c>
      <c r="M12" s="21">
        <f t="shared" si="3"/>
        <v>143180.46</v>
      </c>
      <c r="N12" s="27">
        <f t="shared" si="4"/>
        <v>1193170.5</v>
      </c>
      <c r="O12" s="33">
        <f t="shared" si="1"/>
        <v>11931.705</v>
      </c>
    </row>
    <row r="13" spans="1:17" x14ac:dyDescent="0.25">
      <c r="A13">
        <f t="shared" si="2"/>
        <v>7</v>
      </c>
      <c r="B13" s="23">
        <f t="shared" si="2"/>
        <v>7</v>
      </c>
      <c r="C13" s="19" t="s">
        <v>97</v>
      </c>
      <c r="D13" s="20" t="s">
        <v>68</v>
      </c>
      <c r="E13" s="20"/>
      <c r="F13" s="20" t="s">
        <v>70</v>
      </c>
      <c r="G13" s="20">
        <v>518933761</v>
      </c>
      <c r="H13" s="20" t="s">
        <v>85</v>
      </c>
      <c r="I13" s="21">
        <v>1299728</v>
      </c>
      <c r="J13" s="21">
        <v>87768.13</v>
      </c>
      <c r="K13" s="21">
        <f t="shared" si="0"/>
        <v>1211959.8700000001</v>
      </c>
      <c r="M13" s="21">
        <f t="shared" si="3"/>
        <v>129852.84321428572</v>
      </c>
      <c r="N13" s="27">
        <f>K13-M13</f>
        <v>1082107.0267857143</v>
      </c>
      <c r="O13" s="33">
        <f>K13/112</f>
        <v>10821.070267857143</v>
      </c>
    </row>
    <row r="14" spans="1:17" x14ac:dyDescent="0.25">
      <c r="A14">
        <f t="shared" si="2"/>
        <v>8</v>
      </c>
      <c r="B14" s="23">
        <f t="shared" si="2"/>
        <v>8</v>
      </c>
      <c r="C14" s="19" t="s">
        <v>97</v>
      </c>
      <c r="D14" s="20" t="s">
        <v>68</v>
      </c>
      <c r="E14" s="20"/>
      <c r="F14" s="20" t="s">
        <v>70</v>
      </c>
      <c r="G14" s="20">
        <v>518934094</v>
      </c>
      <c r="H14" s="20" t="s">
        <v>85</v>
      </c>
      <c r="I14" s="36">
        <v>1397196</v>
      </c>
      <c r="J14" s="36">
        <v>60845.04</v>
      </c>
      <c r="K14" s="21">
        <f t="shared" si="0"/>
        <v>1336350.96</v>
      </c>
      <c r="M14" s="21">
        <f t="shared" si="3"/>
        <v>143180.46</v>
      </c>
      <c r="N14" s="27">
        <f t="shared" si="4"/>
        <v>1193170.5</v>
      </c>
      <c r="O14" s="33">
        <f t="shared" si="1"/>
        <v>11931.705</v>
      </c>
    </row>
    <row r="15" spans="1:17" x14ac:dyDescent="0.25">
      <c r="A15">
        <f t="shared" si="2"/>
        <v>9</v>
      </c>
      <c r="B15" s="23">
        <f t="shared" si="2"/>
        <v>9</v>
      </c>
      <c r="C15" s="19" t="s">
        <v>99</v>
      </c>
      <c r="D15" s="20" t="s">
        <v>68</v>
      </c>
      <c r="E15" s="20"/>
      <c r="F15" s="20" t="s">
        <v>70</v>
      </c>
      <c r="G15" s="20">
        <v>518937767</v>
      </c>
      <c r="H15" s="20" t="s">
        <v>85</v>
      </c>
      <c r="I15" s="21">
        <v>1341688</v>
      </c>
      <c r="J15" s="21">
        <v>57421.279999999999</v>
      </c>
      <c r="K15" s="21">
        <f t="shared" si="0"/>
        <v>1284266.72</v>
      </c>
      <c r="M15" s="21">
        <f t="shared" si="3"/>
        <v>137600.00571428571</v>
      </c>
      <c r="N15" s="27">
        <f>K15-M15</f>
        <v>1146666.7142857143</v>
      </c>
      <c r="O15" s="33">
        <f>K15/112</f>
        <v>11466.667142857143</v>
      </c>
    </row>
    <row r="16" spans="1:17" x14ac:dyDescent="0.25">
      <c r="A16">
        <f t="shared" si="2"/>
        <v>10</v>
      </c>
      <c r="B16" s="23">
        <f t="shared" si="2"/>
        <v>10</v>
      </c>
      <c r="C16" s="19" t="s">
        <v>99</v>
      </c>
      <c r="D16" s="20" t="s">
        <v>68</v>
      </c>
      <c r="E16" s="20"/>
      <c r="F16" s="20" t="s">
        <v>70</v>
      </c>
      <c r="G16" s="20">
        <v>518938287</v>
      </c>
      <c r="H16" s="20" t="s">
        <v>85</v>
      </c>
      <c r="I16" s="21">
        <v>1414821</v>
      </c>
      <c r="J16" s="21">
        <v>61338.39</v>
      </c>
      <c r="K16" s="21">
        <f t="shared" si="0"/>
        <v>1353482.61</v>
      </c>
      <c r="M16" s="21">
        <f t="shared" si="3"/>
        <v>145015.99392857144</v>
      </c>
      <c r="N16" s="27">
        <f t="shared" si="4"/>
        <v>1208466.6160714286</v>
      </c>
      <c r="O16" s="33">
        <f t="shared" si="1"/>
        <v>12084.666160714287</v>
      </c>
    </row>
    <row r="17" spans="1:15" x14ac:dyDescent="0.25">
      <c r="A17">
        <f t="shared" si="2"/>
        <v>11</v>
      </c>
      <c r="B17" s="23">
        <f t="shared" si="2"/>
        <v>11</v>
      </c>
      <c r="C17" s="19" t="s">
        <v>102</v>
      </c>
      <c r="D17" s="20" t="s">
        <v>68</v>
      </c>
      <c r="E17" s="20"/>
      <c r="F17" s="20" t="s">
        <v>70</v>
      </c>
      <c r="G17" s="20">
        <v>518942028</v>
      </c>
      <c r="H17" s="20" t="s">
        <v>85</v>
      </c>
      <c r="I17" s="21">
        <v>1397196</v>
      </c>
      <c r="J17" s="21">
        <v>60845.04</v>
      </c>
      <c r="K17" s="21">
        <f t="shared" si="0"/>
        <v>1336350.96</v>
      </c>
      <c r="M17" s="21">
        <f t="shared" si="3"/>
        <v>143180.46</v>
      </c>
      <c r="N17" s="27">
        <f t="shared" si="4"/>
        <v>1193170.5</v>
      </c>
      <c r="O17" s="33">
        <f t="shared" si="1"/>
        <v>11931.705</v>
      </c>
    </row>
    <row r="18" spans="1:15" x14ac:dyDescent="0.25">
      <c r="A18">
        <f t="shared" si="2"/>
        <v>12</v>
      </c>
      <c r="B18" s="23">
        <f t="shared" si="2"/>
        <v>12</v>
      </c>
      <c r="C18" s="19" t="s">
        <v>103</v>
      </c>
      <c r="D18" s="20" t="s">
        <v>68</v>
      </c>
      <c r="E18" s="20"/>
      <c r="F18" s="20" t="s">
        <v>70</v>
      </c>
      <c r="G18" s="20">
        <v>518945451</v>
      </c>
      <c r="H18" s="20" t="s">
        <v>85</v>
      </c>
      <c r="I18" s="21">
        <v>1345788</v>
      </c>
      <c r="J18" s="21">
        <v>60845.04</v>
      </c>
      <c r="K18" s="21">
        <f t="shared" si="0"/>
        <v>1284942.96</v>
      </c>
      <c r="M18" s="21">
        <f t="shared" si="3"/>
        <v>137672.46</v>
      </c>
      <c r="N18" s="27">
        <f t="shared" si="4"/>
        <v>1147270.5</v>
      </c>
      <c r="O18" s="33">
        <f t="shared" si="1"/>
        <v>11472.705</v>
      </c>
    </row>
    <row r="19" spans="1:15" x14ac:dyDescent="0.25">
      <c r="A19">
        <f t="shared" si="2"/>
        <v>13</v>
      </c>
      <c r="B19" s="23">
        <f t="shared" si="2"/>
        <v>13</v>
      </c>
      <c r="C19" s="19" t="s">
        <v>104</v>
      </c>
      <c r="D19" s="20" t="s">
        <v>68</v>
      </c>
      <c r="E19" s="20"/>
      <c r="F19" s="20" t="s">
        <v>70</v>
      </c>
      <c r="G19" s="20">
        <v>518945971</v>
      </c>
      <c r="H19" s="20" t="s">
        <v>85</v>
      </c>
      <c r="I19" s="21">
        <v>1381428</v>
      </c>
      <c r="J19" s="21">
        <v>58708.08</v>
      </c>
      <c r="K19" s="21">
        <f t="shared" si="0"/>
        <v>1322719.92</v>
      </c>
      <c r="M19" s="21">
        <f t="shared" si="3"/>
        <v>141719.9914285714</v>
      </c>
      <c r="N19" s="27">
        <f t="shared" si="4"/>
        <v>1180999.9285714286</v>
      </c>
      <c r="O19" s="33">
        <f t="shared" si="1"/>
        <v>11809.999285714284</v>
      </c>
    </row>
    <row r="20" spans="1:15" x14ac:dyDescent="0.25">
      <c r="A20">
        <f t="shared" si="2"/>
        <v>14</v>
      </c>
      <c r="B20" s="23">
        <f t="shared" si="2"/>
        <v>14</v>
      </c>
      <c r="C20" s="19"/>
      <c r="D20" s="20" t="s">
        <v>68</v>
      </c>
      <c r="E20" s="20"/>
      <c r="F20" s="20" t="s">
        <v>70</v>
      </c>
      <c r="G20" s="20"/>
      <c r="H20" s="20" t="s">
        <v>85</v>
      </c>
      <c r="I20" s="21"/>
      <c r="J20" s="21"/>
      <c r="K20" s="21">
        <f t="shared" si="0"/>
        <v>0</v>
      </c>
      <c r="M20" s="21">
        <f t="shared" si="3"/>
        <v>0</v>
      </c>
      <c r="N20" s="27">
        <f t="shared" si="4"/>
        <v>0</v>
      </c>
      <c r="O20" s="33">
        <f t="shared" si="1"/>
        <v>0</v>
      </c>
    </row>
    <row r="21" spans="1:15" x14ac:dyDescent="0.25">
      <c r="A21">
        <f t="shared" si="2"/>
        <v>15</v>
      </c>
      <c r="B21" s="23">
        <f t="shared" si="2"/>
        <v>15</v>
      </c>
      <c r="C21" s="19"/>
      <c r="D21" s="20" t="s">
        <v>68</v>
      </c>
      <c r="E21" s="20"/>
      <c r="F21" s="20" t="s">
        <v>70</v>
      </c>
      <c r="G21" s="20"/>
      <c r="H21" s="20" t="s">
        <v>85</v>
      </c>
      <c r="I21" s="21"/>
      <c r="J21" s="21"/>
      <c r="K21" s="21">
        <f t="shared" si="0"/>
        <v>0</v>
      </c>
      <c r="M21" s="21">
        <f t="shared" si="3"/>
        <v>0</v>
      </c>
      <c r="N21" s="27">
        <f t="shared" si="4"/>
        <v>0</v>
      </c>
      <c r="O21" s="33">
        <f t="shared" si="1"/>
        <v>0</v>
      </c>
    </row>
    <row r="22" spans="1:15" x14ac:dyDescent="0.25">
      <c r="A22">
        <f t="shared" si="2"/>
        <v>16</v>
      </c>
      <c r="B22" s="23">
        <f t="shared" si="2"/>
        <v>16</v>
      </c>
      <c r="C22" s="19"/>
      <c r="D22" s="20" t="s">
        <v>68</v>
      </c>
      <c r="E22" s="20"/>
      <c r="F22" s="20" t="s">
        <v>70</v>
      </c>
      <c r="G22" s="20"/>
      <c r="H22" s="20" t="s">
        <v>85</v>
      </c>
      <c r="I22" s="21"/>
      <c r="J22" s="21"/>
      <c r="K22" s="21">
        <f t="shared" si="0"/>
        <v>0</v>
      </c>
      <c r="M22" s="21">
        <f t="shared" si="3"/>
        <v>0</v>
      </c>
      <c r="N22" s="27">
        <f t="shared" si="4"/>
        <v>0</v>
      </c>
      <c r="O22" s="33">
        <f t="shared" si="1"/>
        <v>0</v>
      </c>
    </row>
    <row r="23" spans="1:15" x14ac:dyDescent="0.25">
      <c r="A23">
        <f t="shared" si="2"/>
        <v>17</v>
      </c>
      <c r="B23" s="23">
        <f t="shared" si="2"/>
        <v>17</v>
      </c>
      <c r="C23" s="19"/>
      <c r="D23" s="20" t="s">
        <v>68</v>
      </c>
      <c r="E23" s="20"/>
      <c r="F23" s="20" t="s">
        <v>70</v>
      </c>
      <c r="G23" s="20"/>
      <c r="H23" s="20" t="s">
        <v>85</v>
      </c>
      <c r="I23" s="21"/>
      <c r="J23" s="21"/>
      <c r="K23" s="21">
        <f t="shared" si="0"/>
        <v>0</v>
      </c>
      <c r="M23" s="21">
        <f t="shared" si="3"/>
        <v>0</v>
      </c>
      <c r="N23" s="27">
        <f t="shared" si="4"/>
        <v>0</v>
      </c>
      <c r="O23" s="33">
        <f t="shared" si="1"/>
        <v>0</v>
      </c>
    </row>
    <row r="24" spans="1:15" x14ac:dyDescent="0.25">
      <c r="A24">
        <f t="shared" si="2"/>
        <v>18</v>
      </c>
      <c r="B24" s="23">
        <f t="shared" si="2"/>
        <v>18</v>
      </c>
      <c r="C24" s="19"/>
      <c r="D24" s="20" t="s">
        <v>68</v>
      </c>
      <c r="E24" s="20"/>
      <c r="F24" s="20" t="s">
        <v>70</v>
      </c>
      <c r="G24" s="20"/>
      <c r="H24" s="20" t="s">
        <v>85</v>
      </c>
      <c r="I24" s="21"/>
      <c r="J24" s="21"/>
      <c r="K24" s="21">
        <f t="shared" si="0"/>
        <v>0</v>
      </c>
      <c r="M24" s="21">
        <f t="shared" si="3"/>
        <v>0</v>
      </c>
      <c r="N24" s="27">
        <f t="shared" si="4"/>
        <v>0</v>
      </c>
      <c r="O24" s="33">
        <f t="shared" si="1"/>
        <v>0</v>
      </c>
    </row>
    <row r="25" spans="1:15" x14ac:dyDescent="0.25">
      <c r="A25">
        <f t="shared" si="2"/>
        <v>19</v>
      </c>
      <c r="B25" s="23">
        <f t="shared" si="2"/>
        <v>19</v>
      </c>
      <c r="C25" s="19"/>
      <c r="D25" s="20" t="s">
        <v>68</v>
      </c>
      <c r="E25" s="20"/>
      <c r="F25" s="20" t="s">
        <v>70</v>
      </c>
      <c r="G25" s="20"/>
      <c r="H25" s="20" t="s">
        <v>85</v>
      </c>
      <c r="I25" s="21"/>
      <c r="J25" s="21"/>
      <c r="K25" s="21">
        <f t="shared" si="0"/>
        <v>0</v>
      </c>
      <c r="M25" s="21">
        <f t="shared" si="3"/>
        <v>0</v>
      </c>
      <c r="N25" s="27">
        <f t="shared" si="4"/>
        <v>0</v>
      </c>
      <c r="O25" s="33">
        <f t="shared" si="1"/>
        <v>0</v>
      </c>
    </row>
    <row r="26" spans="1:15" x14ac:dyDescent="0.25">
      <c r="A26">
        <f t="shared" si="2"/>
        <v>20</v>
      </c>
      <c r="B26" s="23">
        <f t="shared" si="2"/>
        <v>20</v>
      </c>
      <c r="C26" s="19"/>
      <c r="D26" s="20" t="s">
        <v>68</v>
      </c>
      <c r="E26" s="20"/>
      <c r="F26" s="20" t="s">
        <v>70</v>
      </c>
      <c r="G26" s="20"/>
      <c r="H26" s="20" t="s">
        <v>85</v>
      </c>
      <c r="I26" s="21"/>
      <c r="J26" s="21"/>
      <c r="K26" s="21">
        <f t="shared" si="0"/>
        <v>0</v>
      </c>
      <c r="M26" s="21">
        <f t="shared" si="3"/>
        <v>0</v>
      </c>
      <c r="N26" s="27">
        <f t="shared" si="4"/>
        <v>0</v>
      </c>
      <c r="O26" s="33">
        <f t="shared" si="1"/>
        <v>0</v>
      </c>
    </row>
    <row r="27" spans="1:15" x14ac:dyDescent="0.25">
      <c r="A27">
        <f t="shared" si="2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85</v>
      </c>
      <c r="I27" s="21"/>
      <c r="J27" s="21"/>
      <c r="K27" s="21">
        <f t="shared" si="0"/>
        <v>0</v>
      </c>
      <c r="M27" s="21">
        <f t="shared" ref="M27" si="5">O27*12</f>
        <v>0</v>
      </c>
      <c r="N27" s="27">
        <f t="shared" ref="N27" si="6">K27-M27</f>
        <v>0</v>
      </c>
      <c r="O27" s="33">
        <f t="shared" ref="O27" si="7">K27/112</f>
        <v>0</v>
      </c>
    </row>
    <row r="28" spans="1:15" x14ac:dyDescent="0.25">
      <c r="G28"/>
      <c r="I28" s="44"/>
      <c r="J28" s="44"/>
      <c r="K28" s="44">
        <f>SUM(K7:K27)</f>
        <v>17037744.240000002</v>
      </c>
      <c r="L28" s="44">
        <f ca="1">SUM(L7:L31)</f>
        <v>0</v>
      </c>
      <c r="M28" s="44">
        <f>SUM(M7:M27)</f>
        <v>1825472.597142857</v>
      </c>
      <c r="N28" s="44">
        <f>SUM(N7:N27)</f>
        <v>15212271.642857144</v>
      </c>
      <c r="O28" s="44">
        <f>SUM(O7:O27)</f>
        <v>152122.71642857144</v>
      </c>
    </row>
    <row r="29" spans="1:15" x14ac:dyDescent="0.25">
      <c r="G29"/>
      <c r="O29" s="34"/>
    </row>
    <row r="30" spans="1:15" ht="15.75" x14ac:dyDescent="0.25">
      <c r="C30" s="41" t="s">
        <v>75</v>
      </c>
      <c r="D30" s="42"/>
      <c r="E30" s="42"/>
      <c r="F30" s="43" t="s">
        <v>86</v>
      </c>
      <c r="G30" s="1"/>
      <c r="H30" s="1"/>
      <c r="I30" s="1"/>
      <c r="J30" s="1"/>
      <c r="K30" s="1"/>
      <c r="M30" s="1"/>
      <c r="N30" s="1"/>
      <c r="O30" s="28"/>
    </row>
    <row r="31" spans="1:15" x14ac:dyDescent="0.25">
      <c r="C31" s="8"/>
      <c r="D31" s="8"/>
      <c r="E31" s="8"/>
      <c r="F31" s="8"/>
      <c r="G31" s="8"/>
      <c r="H31" s="8"/>
      <c r="I31" s="8"/>
      <c r="J31" s="8"/>
      <c r="K31" s="8"/>
      <c r="M31" s="8"/>
      <c r="N31" s="8"/>
      <c r="O31" s="30"/>
    </row>
    <row r="32" spans="1:15" x14ac:dyDescent="0.25">
      <c r="C32" s="9"/>
      <c r="D32" s="9"/>
      <c r="E32" s="9"/>
      <c r="F32" s="1"/>
      <c r="G32" s="9" t="s">
        <v>2</v>
      </c>
      <c r="H32" s="9"/>
      <c r="I32" s="9" t="s">
        <v>81</v>
      </c>
      <c r="J32" s="9" t="s">
        <v>83</v>
      </c>
      <c r="K32" s="10" t="s">
        <v>3</v>
      </c>
      <c r="M32" s="10"/>
      <c r="N32" s="10" t="s">
        <v>4</v>
      </c>
      <c r="O32" s="31"/>
    </row>
    <row r="33" spans="1:15" x14ac:dyDescent="0.25">
      <c r="A33" t="s">
        <v>73</v>
      </c>
      <c r="C33" s="9" t="s">
        <v>5</v>
      </c>
      <c r="D33" s="9" t="s">
        <v>6</v>
      </c>
      <c r="E33" s="9" t="s">
        <v>7</v>
      </c>
      <c r="F33" s="9" t="s">
        <v>8</v>
      </c>
      <c r="G33" s="9" t="s">
        <v>9</v>
      </c>
      <c r="H33" s="9" t="s">
        <v>10</v>
      </c>
      <c r="I33" s="9" t="s">
        <v>82</v>
      </c>
      <c r="J33" s="9" t="s">
        <v>84</v>
      </c>
      <c r="K33" s="10" t="s">
        <v>11</v>
      </c>
      <c r="M33" s="10" t="s">
        <v>12</v>
      </c>
      <c r="N33" s="10" t="s">
        <v>13</v>
      </c>
      <c r="O33" s="32">
        <v>2307</v>
      </c>
    </row>
    <row r="34" spans="1:15" x14ac:dyDescent="0.25">
      <c r="A34">
        <v>2</v>
      </c>
      <c r="C34" s="19">
        <v>46150</v>
      </c>
      <c r="D34" s="20" t="s">
        <v>68</v>
      </c>
      <c r="E34" s="12"/>
      <c r="F34" s="20" t="s">
        <v>70</v>
      </c>
      <c r="G34" s="37" t="s">
        <v>77</v>
      </c>
      <c r="H34" s="20" t="s">
        <v>85</v>
      </c>
      <c r="I34" s="20"/>
      <c r="J34" s="20"/>
      <c r="K34" s="21">
        <f>23976+10656+167832</f>
        <v>202464</v>
      </c>
      <c r="M34" s="21">
        <f t="shared" ref="M34:M53" si="8">O34*12</f>
        <v>21692.571428571428</v>
      </c>
      <c r="N34" s="27">
        <f>K34-M34</f>
        <v>180771.42857142858</v>
      </c>
      <c r="O34" s="33">
        <f t="shared" ref="O34:O53" si="9">K34/112</f>
        <v>1807.7142857142858</v>
      </c>
    </row>
    <row r="35" spans="1:15" x14ac:dyDescent="0.25">
      <c r="A35">
        <v>3</v>
      </c>
      <c r="C35" s="19">
        <v>46211</v>
      </c>
      <c r="D35" s="20" t="s">
        <v>68</v>
      </c>
      <c r="E35" s="20"/>
      <c r="F35" s="20" t="s">
        <v>70</v>
      </c>
      <c r="G35" s="37" t="s">
        <v>87</v>
      </c>
      <c r="H35" s="20" t="s">
        <v>85</v>
      </c>
      <c r="I35" s="20"/>
      <c r="J35" s="20"/>
      <c r="K35" s="21">
        <f>8640+11988+7560+167832</f>
        <v>196020</v>
      </c>
      <c r="M35" s="21">
        <f t="shared" si="8"/>
        <v>21002.142857142855</v>
      </c>
      <c r="N35" s="27">
        <f t="shared" ref="N35:N53" si="10">K35-M35</f>
        <v>175017.85714285716</v>
      </c>
      <c r="O35" s="33">
        <f t="shared" si="9"/>
        <v>1750.1785714285713</v>
      </c>
    </row>
    <row r="36" spans="1:15" x14ac:dyDescent="0.25">
      <c r="A36">
        <v>4</v>
      </c>
      <c r="C36" s="19">
        <v>46334</v>
      </c>
      <c r="D36" s="20" t="s">
        <v>68</v>
      </c>
      <c r="E36" s="20"/>
      <c r="F36" s="20" t="s">
        <v>70</v>
      </c>
      <c r="G36" s="37" t="s">
        <v>88</v>
      </c>
      <c r="H36" s="20" t="s">
        <v>85</v>
      </c>
      <c r="I36" s="20"/>
      <c r="J36" s="20"/>
      <c r="K36" s="21">
        <f>35964+167832</f>
        <v>203796</v>
      </c>
      <c r="M36" s="21">
        <f t="shared" si="8"/>
        <v>21835.285714285714</v>
      </c>
      <c r="N36" s="27">
        <f t="shared" si="10"/>
        <v>181960.71428571429</v>
      </c>
      <c r="O36" s="33">
        <f t="shared" si="9"/>
        <v>1819.6071428571429</v>
      </c>
    </row>
    <row r="37" spans="1:15" x14ac:dyDescent="0.25">
      <c r="A37">
        <v>5</v>
      </c>
      <c r="C37" s="19" t="s">
        <v>90</v>
      </c>
      <c r="D37" s="20" t="s">
        <v>68</v>
      </c>
      <c r="E37" s="20"/>
      <c r="F37" s="20" t="s">
        <v>70</v>
      </c>
      <c r="G37" s="37" t="s">
        <v>91</v>
      </c>
      <c r="H37" s="20" t="s">
        <v>85</v>
      </c>
      <c r="I37" s="20"/>
      <c r="J37" s="20"/>
      <c r="K37" s="21">
        <f>11988+10656+179820</f>
        <v>202464</v>
      </c>
      <c r="M37" s="21">
        <f t="shared" si="8"/>
        <v>21692.571428571428</v>
      </c>
      <c r="N37" s="27">
        <f t="shared" si="10"/>
        <v>180771.42857142858</v>
      </c>
      <c r="O37" s="33">
        <f t="shared" si="9"/>
        <v>1807.7142857142858</v>
      </c>
    </row>
    <row r="38" spans="1:15" x14ac:dyDescent="0.25">
      <c r="A38">
        <v>6</v>
      </c>
      <c r="C38" s="19" t="s">
        <v>90</v>
      </c>
      <c r="D38" s="20" t="s">
        <v>68</v>
      </c>
      <c r="E38" s="20"/>
      <c r="F38" s="20" t="s">
        <v>70</v>
      </c>
      <c r="G38" s="37" t="s">
        <v>89</v>
      </c>
      <c r="H38" s="20" t="s">
        <v>85</v>
      </c>
      <c r="I38" s="20"/>
      <c r="J38" s="20"/>
      <c r="K38" s="21">
        <f>11988+10656+179820</f>
        <v>202464</v>
      </c>
      <c r="M38" s="21">
        <f t="shared" si="8"/>
        <v>21692.571428571428</v>
      </c>
      <c r="N38" s="27">
        <f t="shared" si="10"/>
        <v>180771.42857142858</v>
      </c>
      <c r="O38" s="33">
        <f t="shared" si="9"/>
        <v>1807.7142857142858</v>
      </c>
    </row>
    <row r="39" spans="1:15" x14ac:dyDescent="0.25">
      <c r="A39">
        <v>7</v>
      </c>
      <c r="C39" s="19" t="s">
        <v>93</v>
      </c>
      <c r="D39" s="20" t="s">
        <v>68</v>
      </c>
      <c r="E39" s="20"/>
      <c r="F39" s="20" t="s">
        <v>70</v>
      </c>
      <c r="G39" s="37" t="s">
        <v>92</v>
      </c>
      <c r="H39" s="20" t="s">
        <v>85</v>
      </c>
      <c r="I39" s="20"/>
      <c r="J39" s="20"/>
      <c r="K39" s="21">
        <f>11988+191808</f>
        <v>203796</v>
      </c>
      <c r="M39" s="21">
        <f t="shared" si="8"/>
        <v>21835.285714285714</v>
      </c>
      <c r="N39" s="27">
        <f t="shared" si="10"/>
        <v>181960.71428571429</v>
      </c>
      <c r="O39" s="33">
        <f t="shared" si="9"/>
        <v>1819.6071428571429</v>
      </c>
    </row>
    <row r="40" spans="1:15" x14ac:dyDescent="0.25">
      <c r="A40">
        <v>8</v>
      </c>
      <c r="C40" s="19" t="s">
        <v>95</v>
      </c>
      <c r="D40" s="20" t="s">
        <v>68</v>
      </c>
      <c r="E40" s="20"/>
      <c r="F40" s="20" t="s">
        <v>70</v>
      </c>
      <c r="G40" s="37" t="s">
        <v>96</v>
      </c>
      <c r="H40" s="20" t="s">
        <v>85</v>
      </c>
      <c r="I40" s="20"/>
      <c r="J40" s="20"/>
      <c r="K40" s="21">
        <f>11988+10656+179820</f>
        <v>202464</v>
      </c>
      <c r="M40" s="21">
        <f t="shared" si="8"/>
        <v>21692.571428571428</v>
      </c>
      <c r="N40" s="27">
        <f t="shared" si="10"/>
        <v>180771.42857142858</v>
      </c>
      <c r="O40" s="33">
        <f t="shared" si="9"/>
        <v>1807.7142857142858</v>
      </c>
    </row>
    <row r="41" spans="1:15" x14ac:dyDescent="0.25">
      <c r="A41">
        <v>9</v>
      </c>
      <c r="C41" s="19" t="s">
        <v>95</v>
      </c>
      <c r="D41" s="20" t="s">
        <v>68</v>
      </c>
      <c r="E41" s="20"/>
      <c r="F41" s="20" t="s">
        <v>70</v>
      </c>
      <c r="G41" s="37" t="s">
        <v>94</v>
      </c>
      <c r="H41" s="20" t="s">
        <v>85</v>
      </c>
      <c r="I41" s="20"/>
      <c r="J41" s="20"/>
      <c r="K41" s="21">
        <f>11988+143856</f>
        <v>155844</v>
      </c>
      <c r="M41" s="21">
        <f t="shared" si="8"/>
        <v>16697.571428571428</v>
      </c>
      <c r="N41" s="27">
        <f t="shared" si="10"/>
        <v>139146.42857142858</v>
      </c>
      <c r="O41" s="33">
        <f t="shared" si="9"/>
        <v>1391.4642857142858</v>
      </c>
    </row>
    <row r="42" spans="1:15" x14ac:dyDescent="0.25">
      <c r="A42">
        <v>10</v>
      </c>
      <c r="C42" s="19" t="s">
        <v>97</v>
      </c>
      <c r="D42" s="20" t="s">
        <v>68</v>
      </c>
      <c r="E42" s="20"/>
      <c r="F42" s="20" t="s">
        <v>70</v>
      </c>
      <c r="G42" s="37" t="s">
        <v>98</v>
      </c>
      <c r="H42" s="20" t="s">
        <v>85</v>
      </c>
      <c r="I42" s="20"/>
      <c r="J42" s="20"/>
      <c r="K42" s="21">
        <f>23976+179820+2268</f>
        <v>206064</v>
      </c>
      <c r="M42" s="21">
        <f t="shared" si="8"/>
        <v>22078.285714285714</v>
      </c>
      <c r="N42" s="27">
        <f t="shared" si="10"/>
        <v>183985.71428571429</v>
      </c>
      <c r="O42" s="33">
        <f t="shared" si="9"/>
        <v>1839.8571428571429</v>
      </c>
    </row>
    <row r="43" spans="1:15" x14ac:dyDescent="0.25">
      <c r="A43">
        <v>11</v>
      </c>
      <c r="C43" s="19" t="s">
        <v>99</v>
      </c>
      <c r="D43" s="20" t="s">
        <v>68</v>
      </c>
      <c r="E43" s="20"/>
      <c r="F43" s="20" t="s">
        <v>70</v>
      </c>
      <c r="G43" s="37" t="s">
        <v>100</v>
      </c>
      <c r="H43" s="20" t="s">
        <v>85</v>
      </c>
      <c r="I43" s="20"/>
      <c r="J43" s="20"/>
      <c r="K43" s="21">
        <f>11988+119880+5292+6048+36288</f>
        <v>179496</v>
      </c>
      <c r="M43" s="21">
        <f t="shared" si="8"/>
        <v>19231.714285714286</v>
      </c>
      <c r="N43" s="27">
        <f t="shared" si="10"/>
        <v>160264.28571428571</v>
      </c>
      <c r="O43" s="33">
        <f t="shared" si="9"/>
        <v>1602.6428571428571</v>
      </c>
    </row>
    <row r="44" spans="1:15" x14ac:dyDescent="0.25">
      <c r="A44">
        <v>12</v>
      </c>
      <c r="C44" s="19" t="s">
        <v>99</v>
      </c>
      <c r="D44" s="20" t="s">
        <v>68</v>
      </c>
      <c r="E44" s="20"/>
      <c r="F44" s="20" t="s">
        <v>70</v>
      </c>
      <c r="G44" s="37" t="s">
        <v>101</v>
      </c>
      <c r="H44" s="20" t="s">
        <v>85</v>
      </c>
      <c r="I44" s="20"/>
      <c r="J44" s="20"/>
      <c r="K44" s="21">
        <f>7560+15120+59940+9072</f>
        <v>91692</v>
      </c>
      <c r="M44" s="21">
        <f t="shared" si="8"/>
        <v>9824.1428571428569</v>
      </c>
      <c r="N44" s="27">
        <f t="shared" si="10"/>
        <v>81867.857142857145</v>
      </c>
      <c r="O44" s="33">
        <f t="shared" si="9"/>
        <v>818.67857142857144</v>
      </c>
    </row>
    <row r="45" spans="1:15" x14ac:dyDescent="0.25">
      <c r="A45">
        <v>13</v>
      </c>
      <c r="C45" s="19" t="s">
        <v>104</v>
      </c>
      <c r="D45" s="20" t="s">
        <v>68</v>
      </c>
      <c r="E45" s="20"/>
      <c r="F45" s="20" t="s">
        <v>70</v>
      </c>
      <c r="G45" s="37" t="s">
        <v>105</v>
      </c>
      <c r="H45" s="20" t="s">
        <v>85</v>
      </c>
      <c r="I45" s="20"/>
      <c r="J45" s="20"/>
      <c r="K45" s="21">
        <f>35964+143856+9072+8064</f>
        <v>196956</v>
      </c>
      <c r="M45" s="21">
        <f t="shared" si="8"/>
        <v>21102.428571428572</v>
      </c>
      <c r="N45" s="27">
        <f t="shared" si="10"/>
        <v>175853.57142857142</v>
      </c>
      <c r="O45" s="33">
        <f t="shared" si="9"/>
        <v>1758.5357142857142</v>
      </c>
    </row>
    <row r="46" spans="1:15" x14ac:dyDescent="0.25">
      <c r="A46">
        <v>14</v>
      </c>
      <c r="C46" s="19" t="s">
        <v>103</v>
      </c>
      <c r="D46" s="20" t="s">
        <v>68</v>
      </c>
      <c r="E46" s="20"/>
      <c r="F46" s="20" t="s">
        <v>70</v>
      </c>
      <c r="G46" s="37" t="s">
        <v>106</v>
      </c>
      <c r="H46" s="20" t="s">
        <v>85</v>
      </c>
      <c r="I46" s="20"/>
      <c r="J46" s="20"/>
      <c r="K46" s="21">
        <f>23976+179820</f>
        <v>203796</v>
      </c>
      <c r="M46" s="21">
        <f t="shared" si="8"/>
        <v>21835.285714285714</v>
      </c>
      <c r="N46" s="27">
        <f t="shared" si="10"/>
        <v>181960.71428571429</v>
      </c>
      <c r="O46" s="33">
        <f t="shared" si="9"/>
        <v>1819.6071428571429</v>
      </c>
    </row>
    <row r="47" spans="1:15" x14ac:dyDescent="0.25">
      <c r="A47">
        <v>15</v>
      </c>
      <c r="C47" s="19"/>
      <c r="D47" s="20" t="s">
        <v>68</v>
      </c>
      <c r="E47" s="20"/>
      <c r="F47" s="20" t="s">
        <v>70</v>
      </c>
      <c r="G47" s="37"/>
      <c r="H47" s="20" t="s">
        <v>85</v>
      </c>
      <c r="I47" s="20"/>
      <c r="J47" s="20"/>
      <c r="K47" s="21"/>
      <c r="M47" s="21">
        <f t="shared" si="8"/>
        <v>0</v>
      </c>
      <c r="N47" s="27">
        <f t="shared" si="10"/>
        <v>0</v>
      </c>
      <c r="O47" s="33">
        <f t="shared" si="9"/>
        <v>0</v>
      </c>
    </row>
    <row r="48" spans="1:15" x14ac:dyDescent="0.25">
      <c r="A48">
        <v>16</v>
      </c>
      <c r="C48" s="19"/>
      <c r="D48" s="20" t="s">
        <v>68</v>
      </c>
      <c r="E48" s="20"/>
      <c r="F48" s="20" t="s">
        <v>70</v>
      </c>
      <c r="G48" s="37"/>
      <c r="H48" s="20" t="s">
        <v>85</v>
      </c>
      <c r="I48" s="20"/>
      <c r="J48" s="20"/>
      <c r="K48" s="21"/>
      <c r="M48" s="21">
        <f t="shared" si="8"/>
        <v>0</v>
      </c>
      <c r="N48" s="27">
        <f t="shared" si="10"/>
        <v>0</v>
      </c>
      <c r="O48" s="33">
        <f t="shared" si="9"/>
        <v>0</v>
      </c>
    </row>
    <row r="49" spans="1:15" x14ac:dyDescent="0.25">
      <c r="A49">
        <v>17</v>
      </c>
      <c r="C49" s="19"/>
      <c r="D49" s="20" t="s">
        <v>68</v>
      </c>
      <c r="E49" s="20"/>
      <c r="F49" s="20" t="s">
        <v>70</v>
      </c>
      <c r="G49" s="37"/>
      <c r="H49" s="20" t="s">
        <v>85</v>
      </c>
      <c r="I49" s="20"/>
      <c r="J49" s="20"/>
      <c r="K49" s="21"/>
      <c r="M49" s="21">
        <f t="shared" si="8"/>
        <v>0</v>
      </c>
      <c r="N49" s="27">
        <f t="shared" si="10"/>
        <v>0</v>
      </c>
      <c r="O49" s="33">
        <f t="shared" si="9"/>
        <v>0</v>
      </c>
    </row>
    <row r="50" spans="1:15" x14ac:dyDescent="0.25">
      <c r="A50">
        <v>18</v>
      </c>
      <c r="C50" s="19"/>
      <c r="D50" s="20" t="s">
        <v>68</v>
      </c>
      <c r="E50" s="20"/>
      <c r="F50" s="20" t="s">
        <v>70</v>
      </c>
      <c r="G50" s="37"/>
      <c r="H50" s="20" t="s">
        <v>85</v>
      </c>
      <c r="I50" s="20"/>
      <c r="J50" s="20"/>
      <c r="K50" s="21"/>
      <c r="M50" s="21">
        <f t="shared" si="8"/>
        <v>0</v>
      </c>
      <c r="N50" s="27">
        <f t="shared" si="10"/>
        <v>0</v>
      </c>
      <c r="O50" s="33">
        <f t="shared" si="9"/>
        <v>0</v>
      </c>
    </row>
    <row r="51" spans="1:15" x14ac:dyDescent="0.25">
      <c r="A51">
        <v>19</v>
      </c>
      <c r="C51" s="19"/>
      <c r="D51" s="20" t="s">
        <v>68</v>
      </c>
      <c r="E51" s="20"/>
      <c r="F51" s="20" t="s">
        <v>70</v>
      </c>
      <c r="G51" s="37"/>
      <c r="H51" s="20" t="s">
        <v>85</v>
      </c>
      <c r="I51" s="20"/>
      <c r="J51" s="20"/>
      <c r="K51" s="21"/>
      <c r="M51" s="21">
        <f t="shared" si="8"/>
        <v>0</v>
      </c>
      <c r="N51" s="27">
        <f t="shared" si="10"/>
        <v>0</v>
      </c>
      <c r="O51" s="33">
        <f t="shared" si="9"/>
        <v>0</v>
      </c>
    </row>
    <row r="52" spans="1:15" x14ac:dyDescent="0.25">
      <c r="A52">
        <v>20</v>
      </c>
      <c r="C52" s="19"/>
      <c r="D52" s="20" t="s">
        <v>68</v>
      </c>
      <c r="E52" s="20"/>
      <c r="F52" s="20" t="s">
        <v>70</v>
      </c>
      <c r="G52" s="37"/>
      <c r="H52" s="20" t="s">
        <v>85</v>
      </c>
      <c r="I52" s="20"/>
      <c r="J52" s="20"/>
      <c r="K52" s="21"/>
      <c r="M52" s="21">
        <f t="shared" si="8"/>
        <v>0</v>
      </c>
      <c r="N52" s="27">
        <f t="shared" si="10"/>
        <v>0</v>
      </c>
      <c r="O52" s="33">
        <f t="shared" si="9"/>
        <v>0</v>
      </c>
    </row>
    <row r="53" spans="1:15" x14ac:dyDescent="0.25">
      <c r="A53">
        <v>21</v>
      </c>
      <c r="C53" s="19"/>
      <c r="D53" s="20" t="s">
        <v>68</v>
      </c>
      <c r="E53" s="20"/>
      <c r="F53" s="20" t="s">
        <v>70</v>
      </c>
      <c r="G53" s="37"/>
      <c r="H53" s="20" t="s">
        <v>85</v>
      </c>
      <c r="I53" s="20"/>
      <c r="J53" s="20"/>
      <c r="K53" s="21"/>
      <c r="M53" s="21">
        <f t="shared" si="8"/>
        <v>0</v>
      </c>
      <c r="N53" s="27">
        <f t="shared" si="10"/>
        <v>0</v>
      </c>
      <c r="O53" s="33">
        <f t="shared" si="9"/>
        <v>0</v>
      </c>
    </row>
    <row r="54" spans="1:15" x14ac:dyDescent="0.25">
      <c r="A54">
        <v>22</v>
      </c>
      <c r="C54" s="19"/>
      <c r="D54" s="20" t="s">
        <v>68</v>
      </c>
      <c r="E54" s="20"/>
      <c r="F54" s="20" t="s">
        <v>70</v>
      </c>
      <c r="G54" s="37"/>
      <c r="H54" s="20" t="s">
        <v>85</v>
      </c>
      <c r="I54" s="20"/>
      <c r="J54" s="20"/>
      <c r="K54" s="21"/>
      <c r="M54" s="21"/>
      <c r="N54" s="21"/>
      <c r="O54" s="33"/>
    </row>
    <row r="55" spans="1:15" x14ac:dyDescent="0.25">
      <c r="K55" s="44">
        <f>SUM(K34:K54)</f>
        <v>2447316</v>
      </c>
      <c r="L55" s="44">
        <f ca="1">SUM(L34:L58)</f>
        <v>0</v>
      </c>
      <c r="M55" s="44">
        <f>SUM(M34:M54)</f>
        <v>262212.42857142858</v>
      </c>
      <c r="N55" s="44">
        <f>SUM(N34:N54)</f>
        <v>2185103.5714285714</v>
      </c>
      <c r="O55" s="45">
        <f>SUM(O34:O54)</f>
        <v>21851.035714285717</v>
      </c>
    </row>
    <row r="56" spans="1:15" x14ac:dyDescent="0.25">
      <c r="O56" s="34"/>
    </row>
    <row r="57" spans="1:15" ht="15.75" x14ac:dyDescent="0.25">
      <c r="C57" s="41" t="s">
        <v>76</v>
      </c>
      <c r="D57" s="42"/>
      <c r="E57" s="42"/>
      <c r="F57" s="43" t="s">
        <v>86</v>
      </c>
      <c r="G57" s="1"/>
      <c r="H57" s="1"/>
      <c r="I57" s="1"/>
      <c r="J57" s="1"/>
      <c r="K57" s="1"/>
      <c r="M57" s="1"/>
      <c r="N57" s="1"/>
      <c r="O57" s="28"/>
    </row>
    <row r="58" spans="1:15" x14ac:dyDescent="0.25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30"/>
    </row>
    <row r="59" spans="1:15" x14ac:dyDescent="0.25">
      <c r="C59" s="9"/>
      <c r="D59" s="9"/>
      <c r="E59" s="9"/>
      <c r="F59" s="1"/>
      <c r="G59" s="9" t="s">
        <v>2</v>
      </c>
      <c r="H59" s="9"/>
      <c r="I59" s="9" t="s">
        <v>81</v>
      </c>
      <c r="J59" s="9" t="s">
        <v>83</v>
      </c>
      <c r="K59" s="10" t="s">
        <v>3</v>
      </c>
      <c r="M59" s="10"/>
      <c r="N59" s="10" t="s">
        <v>4</v>
      </c>
      <c r="O59" s="31"/>
    </row>
    <row r="60" spans="1:15" x14ac:dyDescent="0.25">
      <c r="A60" t="s">
        <v>73</v>
      </c>
      <c r="C60" s="9" t="s">
        <v>5</v>
      </c>
      <c r="D60" s="9" t="s">
        <v>6</v>
      </c>
      <c r="E60" s="9" t="s">
        <v>7</v>
      </c>
      <c r="F60" s="9" t="s">
        <v>8</v>
      </c>
      <c r="G60" s="9" t="s">
        <v>9</v>
      </c>
      <c r="H60" s="9" t="s">
        <v>10</v>
      </c>
      <c r="I60" s="9" t="s">
        <v>82</v>
      </c>
      <c r="J60" s="9" t="s">
        <v>84</v>
      </c>
      <c r="K60" s="10" t="s">
        <v>11</v>
      </c>
      <c r="M60" s="10" t="s">
        <v>12</v>
      </c>
      <c r="N60" s="10" t="s">
        <v>13</v>
      </c>
      <c r="O60" s="32">
        <v>2307</v>
      </c>
    </row>
    <row r="61" spans="1:15" x14ac:dyDescent="0.25">
      <c r="A61">
        <v>2</v>
      </c>
      <c r="C61" s="19" t="s">
        <v>95</v>
      </c>
      <c r="D61" s="20" t="s">
        <v>68</v>
      </c>
      <c r="E61" s="12"/>
      <c r="F61" s="20" t="s">
        <v>70</v>
      </c>
      <c r="G61" s="37" t="s">
        <v>94</v>
      </c>
      <c r="H61" s="20" t="s">
        <v>85</v>
      </c>
      <c r="I61" s="20"/>
      <c r="J61" s="20"/>
      <c r="K61" s="21">
        <f>11232+11340</f>
        <v>22572</v>
      </c>
      <c r="M61" s="21">
        <f t="shared" ref="M61:M80" si="11">O61*12</f>
        <v>2418.4285714285716</v>
      </c>
      <c r="N61" s="27">
        <f>K61-M61</f>
        <v>20153.571428571428</v>
      </c>
      <c r="O61" s="33">
        <f t="shared" ref="O61:O80" si="12">K61/112</f>
        <v>201.53571428571428</v>
      </c>
    </row>
    <row r="62" spans="1:15" x14ac:dyDescent="0.25">
      <c r="A62">
        <v>3</v>
      </c>
      <c r="C62" s="19"/>
      <c r="D62" s="20" t="s">
        <v>68</v>
      </c>
      <c r="E62" s="20"/>
      <c r="F62" s="20" t="s">
        <v>70</v>
      </c>
      <c r="G62" s="37"/>
      <c r="H62" s="20" t="s">
        <v>85</v>
      </c>
      <c r="I62" s="20"/>
      <c r="J62" s="20"/>
      <c r="K62" s="21"/>
      <c r="M62" s="21">
        <f t="shared" si="11"/>
        <v>0</v>
      </c>
      <c r="N62" s="27">
        <f t="shared" ref="N62:N80" si="13">K62-M62</f>
        <v>0</v>
      </c>
      <c r="O62" s="33">
        <f t="shared" si="12"/>
        <v>0</v>
      </c>
    </row>
    <row r="63" spans="1:15" x14ac:dyDescent="0.25">
      <c r="A63">
        <v>4</v>
      </c>
      <c r="C63" s="19"/>
      <c r="D63" s="20" t="s">
        <v>68</v>
      </c>
      <c r="E63" s="20"/>
      <c r="F63" s="20" t="s">
        <v>70</v>
      </c>
      <c r="G63" s="37"/>
      <c r="H63" s="20" t="s">
        <v>85</v>
      </c>
      <c r="I63" s="20"/>
      <c r="J63" s="20"/>
      <c r="K63" s="21"/>
      <c r="M63" s="21">
        <f t="shared" si="11"/>
        <v>0</v>
      </c>
      <c r="N63" s="27">
        <f t="shared" si="13"/>
        <v>0</v>
      </c>
      <c r="O63" s="33">
        <f t="shared" si="12"/>
        <v>0</v>
      </c>
    </row>
    <row r="64" spans="1:15" x14ac:dyDescent="0.25">
      <c r="A64">
        <v>5</v>
      </c>
      <c r="C64" s="19"/>
      <c r="D64" s="20" t="s">
        <v>68</v>
      </c>
      <c r="E64" s="20"/>
      <c r="F64" s="20" t="s">
        <v>70</v>
      </c>
      <c r="G64" s="37"/>
      <c r="H64" s="20" t="s">
        <v>85</v>
      </c>
      <c r="I64" s="20"/>
      <c r="J64" s="20"/>
      <c r="K64" s="21"/>
      <c r="M64" s="21">
        <f t="shared" si="11"/>
        <v>0</v>
      </c>
      <c r="N64" s="27">
        <f t="shared" si="13"/>
        <v>0</v>
      </c>
      <c r="O64" s="33">
        <f t="shared" si="12"/>
        <v>0</v>
      </c>
    </row>
    <row r="65" spans="1:15" x14ac:dyDescent="0.25">
      <c r="A65">
        <v>6</v>
      </c>
      <c r="C65" s="19"/>
      <c r="D65" s="20" t="s">
        <v>68</v>
      </c>
      <c r="E65" s="20"/>
      <c r="F65" s="20" t="s">
        <v>70</v>
      </c>
      <c r="G65" s="37"/>
      <c r="H65" s="20" t="s">
        <v>85</v>
      </c>
      <c r="I65" s="20"/>
      <c r="J65" s="20"/>
      <c r="K65" s="21"/>
      <c r="M65" s="21">
        <f t="shared" si="11"/>
        <v>0</v>
      </c>
      <c r="N65" s="27">
        <f t="shared" si="13"/>
        <v>0</v>
      </c>
      <c r="O65" s="33">
        <f t="shared" si="12"/>
        <v>0</v>
      </c>
    </row>
    <row r="66" spans="1:15" x14ac:dyDescent="0.25">
      <c r="A66">
        <v>7</v>
      </c>
      <c r="C66" s="19"/>
      <c r="D66" s="20" t="s">
        <v>68</v>
      </c>
      <c r="E66" s="20"/>
      <c r="F66" s="20" t="s">
        <v>70</v>
      </c>
      <c r="G66" s="37"/>
      <c r="H66" s="20" t="s">
        <v>85</v>
      </c>
      <c r="I66" s="20"/>
      <c r="J66" s="20"/>
      <c r="K66" s="21"/>
      <c r="M66" s="21">
        <f t="shared" si="11"/>
        <v>0</v>
      </c>
      <c r="N66" s="27">
        <f t="shared" si="13"/>
        <v>0</v>
      </c>
      <c r="O66" s="33">
        <f t="shared" si="12"/>
        <v>0</v>
      </c>
    </row>
    <row r="67" spans="1:15" x14ac:dyDescent="0.25">
      <c r="A67">
        <v>8</v>
      </c>
      <c r="C67" s="19"/>
      <c r="D67" s="20" t="s">
        <v>68</v>
      </c>
      <c r="E67" s="20"/>
      <c r="F67" s="20" t="s">
        <v>70</v>
      </c>
      <c r="G67" s="37"/>
      <c r="H67" s="20" t="s">
        <v>85</v>
      </c>
      <c r="I67" s="20"/>
      <c r="J67" s="20"/>
      <c r="K67" s="21"/>
      <c r="M67" s="21">
        <f t="shared" si="11"/>
        <v>0</v>
      </c>
      <c r="N67" s="27">
        <f t="shared" si="13"/>
        <v>0</v>
      </c>
      <c r="O67" s="33">
        <f t="shared" si="12"/>
        <v>0</v>
      </c>
    </row>
    <row r="68" spans="1:15" x14ac:dyDescent="0.25">
      <c r="A68">
        <v>9</v>
      </c>
      <c r="C68" s="19"/>
      <c r="D68" s="20" t="s">
        <v>68</v>
      </c>
      <c r="E68" s="20"/>
      <c r="F68" s="20" t="s">
        <v>70</v>
      </c>
      <c r="G68" s="37"/>
      <c r="H68" s="20" t="s">
        <v>85</v>
      </c>
      <c r="I68" s="20"/>
      <c r="J68" s="20"/>
      <c r="K68" s="21"/>
      <c r="M68" s="21">
        <f t="shared" si="11"/>
        <v>0</v>
      </c>
      <c r="N68" s="27">
        <f t="shared" si="13"/>
        <v>0</v>
      </c>
      <c r="O68" s="33">
        <f t="shared" si="12"/>
        <v>0</v>
      </c>
    </row>
    <row r="69" spans="1:15" x14ac:dyDescent="0.25">
      <c r="A69">
        <v>10</v>
      </c>
      <c r="C69" s="19"/>
      <c r="D69" s="20" t="s">
        <v>68</v>
      </c>
      <c r="E69" s="20"/>
      <c r="F69" s="20" t="s">
        <v>70</v>
      </c>
      <c r="G69" s="37"/>
      <c r="H69" s="20" t="s">
        <v>85</v>
      </c>
      <c r="I69" s="20"/>
      <c r="J69" s="20"/>
      <c r="K69" s="21"/>
      <c r="M69" s="21">
        <f t="shared" si="11"/>
        <v>0</v>
      </c>
      <c r="N69" s="27">
        <f t="shared" si="13"/>
        <v>0</v>
      </c>
      <c r="O69" s="33">
        <f t="shared" si="12"/>
        <v>0</v>
      </c>
    </row>
    <row r="70" spans="1:15" x14ac:dyDescent="0.25">
      <c r="A70">
        <v>11</v>
      </c>
      <c r="C70" s="19"/>
      <c r="D70" s="20" t="s">
        <v>68</v>
      </c>
      <c r="E70" s="20"/>
      <c r="F70" s="20" t="s">
        <v>70</v>
      </c>
      <c r="G70" s="37"/>
      <c r="H70" s="20" t="s">
        <v>85</v>
      </c>
      <c r="I70" s="20"/>
      <c r="J70" s="20"/>
      <c r="K70" s="21"/>
      <c r="M70" s="21">
        <f t="shared" si="11"/>
        <v>0</v>
      </c>
      <c r="N70" s="27">
        <f t="shared" si="13"/>
        <v>0</v>
      </c>
      <c r="O70" s="33">
        <f t="shared" si="12"/>
        <v>0</v>
      </c>
    </row>
    <row r="71" spans="1:15" x14ac:dyDescent="0.25">
      <c r="A71">
        <v>12</v>
      </c>
      <c r="C71" s="19"/>
      <c r="D71" s="20" t="s">
        <v>68</v>
      </c>
      <c r="E71" s="20"/>
      <c r="F71" s="20" t="s">
        <v>70</v>
      </c>
      <c r="G71" s="37"/>
      <c r="H71" s="20" t="s">
        <v>85</v>
      </c>
      <c r="I71" s="20"/>
      <c r="J71" s="20"/>
      <c r="K71" s="21"/>
      <c r="M71" s="21">
        <f t="shared" si="11"/>
        <v>0</v>
      </c>
      <c r="N71" s="27">
        <f t="shared" si="13"/>
        <v>0</v>
      </c>
      <c r="O71" s="33">
        <f t="shared" si="12"/>
        <v>0</v>
      </c>
    </row>
    <row r="72" spans="1:15" x14ac:dyDescent="0.25">
      <c r="A72">
        <v>13</v>
      </c>
      <c r="C72" s="19"/>
      <c r="D72" s="20" t="s">
        <v>68</v>
      </c>
      <c r="E72" s="20"/>
      <c r="F72" s="20" t="s">
        <v>70</v>
      </c>
      <c r="G72" s="37"/>
      <c r="H72" s="20" t="s">
        <v>85</v>
      </c>
      <c r="I72" s="20"/>
      <c r="J72" s="20"/>
      <c r="K72" s="21"/>
      <c r="M72" s="21">
        <f t="shared" si="11"/>
        <v>0</v>
      </c>
      <c r="N72" s="27">
        <f t="shared" si="13"/>
        <v>0</v>
      </c>
      <c r="O72" s="33">
        <f t="shared" si="12"/>
        <v>0</v>
      </c>
    </row>
    <row r="73" spans="1:15" x14ac:dyDescent="0.25">
      <c r="A73">
        <v>14</v>
      </c>
      <c r="C73" s="19"/>
      <c r="D73" s="20" t="s">
        <v>68</v>
      </c>
      <c r="E73" s="20"/>
      <c r="F73" s="20" t="s">
        <v>70</v>
      </c>
      <c r="G73" s="37"/>
      <c r="H73" s="20" t="s">
        <v>85</v>
      </c>
      <c r="I73" s="20"/>
      <c r="J73" s="20"/>
      <c r="K73" s="21"/>
      <c r="M73" s="21">
        <f t="shared" si="11"/>
        <v>0</v>
      </c>
      <c r="N73" s="27">
        <f t="shared" si="13"/>
        <v>0</v>
      </c>
      <c r="O73" s="33">
        <f t="shared" si="12"/>
        <v>0</v>
      </c>
    </row>
    <row r="74" spans="1:15" x14ac:dyDescent="0.25">
      <c r="A74">
        <v>15</v>
      </c>
      <c r="C74" s="19"/>
      <c r="D74" s="20" t="s">
        <v>68</v>
      </c>
      <c r="E74" s="20"/>
      <c r="F74" s="20" t="s">
        <v>70</v>
      </c>
      <c r="G74" s="37"/>
      <c r="H74" s="20" t="s">
        <v>85</v>
      </c>
      <c r="I74" s="20"/>
      <c r="J74" s="20"/>
      <c r="K74" s="21"/>
      <c r="M74" s="21">
        <f t="shared" si="11"/>
        <v>0</v>
      </c>
      <c r="N74" s="27">
        <f t="shared" si="13"/>
        <v>0</v>
      </c>
      <c r="O74" s="33">
        <f t="shared" si="12"/>
        <v>0</v>
      </c>
    </row>
    <row r="75" spans="1:15" x14ac:dyDescent="0.25">
      <c r="A75">
        <v>16</v>
      </c>
      <c r="C75" s="19"/>
      <c r="D75" s="20" t="s">
        <v>68</v>
      </c>
      <c r="E75" s="20"/>
      <c r="F75" s="20" t="s">
        <v>70</v>
      </c>
      <c r="G75" s="37"/>
      <c r="H75" s="20" t="s">
        <v>85</v>
      </c>
      <c r="I75" s="20"/>
      <c r="J75" s="20"/>
      <c r="K75" s="21"/>
      <c r="M75" s="21">
        <f t="shared" si="11"/>
        <v>0</v>
      </c>
      <c r="N75" s="27">
        <f t="shared" si="13"/>
        <v>0</v>
      </c>
      <c r="O75" s="33">
        <f t="shared" si="12"/>
        <v>0</v>
      </c>
    </row>
    <row r="76" spans="1:15" x14ac:dyDescent="0.25">
      <c r="A76">
        <v>17</v>
      </c>
      <c r="C76" s="19"/>
      <c r="D76" s="20" t="s">
        <v>68</v>
      </c>
      <c r="E76" s="20"/>
      <c r="F76" s="20" t="s">
        <v>70</v>
      </c>
      <c r="G76" s="37"/>
      <c r="H76" s="20" t="s">
        <v>85</v>
      </c>
      <c r="I76" s="20"/>
      <c r="J76" s="20"/>
      <c r="K76" s="21"/>
      <c r="M76" s="21">
        <f t="shared" si="11"/>
        <v>0</v>
      </c>
      <c r="N76" s="27">
        <f t="shared" si="13"/>
        <v>0</v>
      </c>
      <c r="O76" s="33">
        <f t="shared" si="12"/>
        <v>0</v>
      </c>
    </row>
    <row r="77" spans="1:15" x14ac:dyDescent="0.25">
      <c r="A77">
        <v>18</v>
      </c>
      <c r="C77" s="19"/>
      <c r="D77" s="20" t="s">
        <v>68</v>
      </c>
      <c r="E77" s="20"/>
      <c r="F77" s="20" t="s">
        <v>70</v>
      </c>
      <c r="G77" s="37"/>
      <c r="H77" s="20" t="s">
        <v>85</v>
      </c>
      <c r="I77" s="20"/>
      <c r="J77" s="20"/>
      <c r="K77" s="21"/>
      <c r="M77" s="21">
        <f t="shared" si="11"/>
        <v>0</v>
      </c>
      <c r="N77" s="27">
        <f t="shared" si="13"/>
        <v>0</v>
      </c>
      <c r="O77" s="33">
        <f t="shared" si="12"/>
        <v>0</v>
      </c>
    </row>
    <row r="78" spans="1:15" x14ac:dyDescent="0.25">
      <c r="A78">
        <v>19</v>
      </c>
      <c r="C78" s="19"/>
      <c r="D78" s="20" t="s">
        <v>68</v>
      </c>
      <c r="E78" s="20"/>
      <c r="F78" s="20" t="s">
        <v>70</v>
      </c>
      <c r="G78" s="37"/>
      <c r="H78" s="20" t="s">
        <v>85</v>
      </c>
      <c r="I78" s="20"/>
      <c r="J78" s="20"/>
      <c r="K78" s="21"/>
      <c r="M78" s="21">
        <f t="shared" si="11"/>
        <v>0</v>
      </c>
      <c r="N78" s="27">
        <f t="shared" si="13"/>
        <v>0</v>
      </c>
      <c r="O78" s="33">
        <f t="shared" si="12"/>
        <v>0</v>
      </c>
    </row>
    <row r="79" spans="1:15" x14ac:dyDescent="0.25">
      <c r="A79">
        <v>20</v>
      </c>
      <c r="C79" s="19"/>
      <c r="D79" s="20" t="s">
        <v>68</v>
      </c>
      <c r="E79" s="20"/>
      <c r="F79" s="20" t="s">
        <v>70</v>
      </c>
      <c r="G79" s="37"/>
      <c r="H79" s="20" t="s">
        <v>85</v>
      </c>
      <c r="I79" s="20"/>
      <c r="J79" s="20"/>
      <c r="K79" s="21"/>
      <c r="M79" s="21">
        <f t="shared" si="11"/>
        <v>0</v>
      </c>
      <c r="N79" s="27">
        <f t="shared" si="13"/>
        <v>0</v>
      </c>
      <c r="O79" s="33">
        <f t="shared" si="12"/>
        <v>0</v>
      </c>
    </row>
    <row r="80" spans="1:15" x14ac:dyDescent="0.25">
      <c r="A80">
        <v>21</v>
      </c>
      <c r="C80" s="19"/>
      <c r="D80" s="20" t="s">
        <v>68</v>
      </c>
      <c r="E80" s="20"/>
      <c r="F80" s="20" t="s">
        <v>70</v>
      </c>
      <c r="G80" s="37"/>
      <c r="H80" s="20" t="s">
        <v>85</v>
      </c>
      <c r="I80" s="20"/>
      <c r="J80" s="20"/>
      <c r="K80" s="21"/>
      <c r="M80" s="21">
        <f t="shared" si="11"/>
        <v>0</v>
      </c>
      <c r="N80" s="27">
        <f t="shared" si="13"/>
        <v>0</v>
      </c>
      <c r="O80" s="33">
        <f t="shared" si="12"/>
        <v>0</v>
      </c>
    </row>
    <row r="81" spans="1:16" x14ac:dyDescent="0.25">
      <c r="A81">
        <v>22</v>
      </c>
      <c r="C81" s="19"/>
      <c r="D81" s="20" t="s">
        <v>68</v>
      </c>
      <c r="E81" s="20"/>
      <c r="F81" s="20" t="s">
        <v>70</v>
      </c>
      <c r="G81" s="37"/>
      <c r="H81" s="20" t="s">
        <v>85</v>
      </c>
      <c r="I81" s="20"/>
      <c r="J81" s="20"/>
      <c r="K81" s="21"/>
      <c r="M81" s="21"/>
      <c r="N81" s="21"/>
      <c r="O81" s="33"/>
    </row>
    <row r="82" spans="1:16" x14ac:dyDescent="0.25">
      <c r="K82" s="44">
        <f>SUM(K61:K81)</f>
        <v>22572</v>
      </c>
      <c r="L82" s="44">
        <f ca="1">SUM(L61:L85)</f>
        <v>0</v>
      </c>
      <c r="M82" s="44">
        <f>SUM(M61:M81)</f>
        <v>2418.4285714285716</v>
      </c>
      <c r="N82" s="44">
        <f>SUM(N61:N81)</f>
        <v>20153.571428571428</v>
      </c>
      <c r="O82" s="45">
        <f>SUM(O61:O81)</f>
        <v>201.53571428571428</v>
      </c>
    </row>
    <row r="84" spans="1:16" ht="15.75" x14ac:dyDescent="0.25">
      <c r="C84" s="41" t="s">
        <v>78</v>
      </c>
      <c r="D84" s="42"/>
      <c r="E84" s="42"/>
      <c r="F84" s="43" t="s">
        <v>80</v>
      </c>
      <c r="G84" s="1"/>
      <c r="H84" s="1"/>
      <c r="I84" s="1"/>
      <c r="J84" s="1"/>
      <c r="K84" s="1"/>
      <c r="M84" s="1"/>
      <c r="N84" s="1"/>
      <c r="O84" s="28"/>
    </row>
    <row r="85" spans="1:16" x14ac:dyDescent="0.25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30"/>
    </row>
    <row r="86" spans="1:16" x14ac:dyDescent="0.25">
      <c r="C86" s="9"/>
      <c r="D86" s="9"/>
      <c r="E86" s="9"/>
      <c r="F86" s="1"/>
      <c r="G86" s="9" t="s">
        <v>2</v>
      </c>
      <c r="H86" s="9"/>
      <c r="I86" s="9" t="s">
        <v>81</v>
      </c>
      <c r="J86" s="9" t="s">
        <v>83</v>
      </c>
      <c r="M86" s="10" t="s">
        <v>3</v>
      </c>
      <c r="N86" s="10"/>
      <c r="O86" s="10" t="s">
        <v>4</v>
      </c>
      <c r="P86" s="31"/>
    </row>
    <row r="87" spans="1:16" x14ac:dyDescent="0.25">
      <c r="A87" t="s">
        <v>73</v>
      </c>
      <c r="C87" s="9" t="s">
        <v>5</v>
      </c>
      <c r="D87" s="9" t="s">
        <v>6</v>
      </c>
      <c r="E87" s="9" t="s">
        <v>7</v>
      </c>
      <c r="F87" s="9" t="s">
        <v>8</v>
      </c>
      <c r="G87" s="9" t="s">
        <v>9</v>
      </c>
      <c r="H87" s="9" t="s">
        <v>10</v>
      </c>
      <c r="I87" s="9" t="s">
        <v>82</v>
      </c>
      <c r="J87" s="9" t="s">
        <v>84</v>
      </c>
      <c r="K87" s="46" t="s">
        <v>79</v>
      </c>
      <c r="M87" s="10" t="s">
        <v>11</v>
      </c>
      <c r="N87" s="10" t="s">
        <v>12</v>
      </c>
      <c r="O87" s="10" t="s">
        <v>13</v>
      </c>
      <c r="P87" s="32">
        <v>2307</v>
      </c>
    </row>
    <row r="88" spans="1:16" x14ac:dyDescent="0.25">
      <c r="A88">
        <v>2</v>
      </c>
      <c r="C88" s="19"/>
      <c r="D88" s="20" t="s">
        <v>68</v>
      </c>
      <c r="E88" s="12"/>
      <c r="F88" s="20" t="s">
        <v>70</v>
      </c>
      <c r="G88" s="37"/>
      <c r="H88" s="20" t="s">
        <v>85</v>
      </c>
      <c r="I88" s="20"/>
      <c r="J88" s="20"/>
      <c r="K88" s="21"/>
      <c r="L88" s="21"/>
      <c r="M88" s="21"/>
      <c r="N88" s="21">
        <f t="shared" ref="N88:N107" si="14">P88*12</f>
        <v>0</v>
      </c>
      <c r="O88" s="27">
        <f t="shared" ref="O88:O107" si="15">M88-N88</f>
        <v>0</v>
      </c>
      <c r="P88" s="33">
        <f t="shared" ref="P88:P107" si="16">M88/112</f>
        <v>0</v>
      </c>
    </row>
    <row r="89" spans="1:16" x14ac:dyDescent="0.25">
      <c r="A89">
        <v>3</v>
      </c>
      <c r="C89" s="19"/>
      <c r="D89" s="20" t="s">
        <v>68</v>
      </c>
      <c r="E89" s="20"/>
      <c r="F89" s="20" t="s">
        <v>70</v>
      </c>
      <c r="G89" s="37"/>
      <c r="H89" s="20" t="s">
        <v>85</v>
      </c>
      <c r="I89" s="20"/>
      <c r="J89" s="20"/>
      <c r="K89" s="21"/>
      <c r="L89" s="21"/>
      <c r="M89" s="21"/>
      <c r="N89" s="21">
        <f t="shared" si="14"/>
        <v>0</v>
      </c>
      <c r="O89" s="27">
        <f t="shared" si="15"/>
        <v>0</v>
      </c>
      <c r="P89" s="33">
        <f t="shared" si="16"/>
        <v>0</v>
      </c>
    </row>
    <row r="90" spans="1:16" x14ac:dyDescent="0.25">
      <c r="A90">
        <v>4</v>
      </c>
      <c r="C90" s="19"/>
      <c r="D90" s="20" t="s">
        <v>68</v>
      </c>
      <c r="E90" s="20"/>
      <c r="F90" s="20" t="s">
        <v>70</v>
      </c>
      <c r="G90" s="37"/>
      <c r="H90" s="20" t="s">
        <v>85</v>
      </c>
      <c r="I90" s="20"/>
      <c r="J90" s="20"/>
      <c r="K90" s="21"/>
      <c r="L90" s="21"/>
      <c r="M90" s="21"/>
      <c r="N90" s="21">
        <f t="shared" si="14"/>
        <v>0</v>
      </c>
      <c r="O90" s="27">
        <f t="shared" si="15"/>
        <v>0</v>
      </c>
      <c r="P90" s="33">
        <f t="shared" si="16"/>
        <v>0</v>
      </c>
    </row>
    <row r="91" spans="1:16" x14ac:dyDescent="0.25">
      <c r="A91">
        <v>5</v>
      </c>
      <c r="C91" s="19"/>
      <c r="D91" s="20" t="s">
        <v>68</v>
      </c>
      <c r="E91" s="20"/>
      <c r="F91" s="20" t="s">
        <v>70</v>
      </c>
      <c r="G91" s="37"/>
      <c r="H91" s="20" t="s">
        <v>85</v>
      </c>
      <c r="I91" s="20"/>
      <c r="J91" s="20"/>
      <c r="K91" s="21"/>
      <c r="L91" s="21"/>
      <c r="M91" s="21"/>
      <c r="N91" s="21">
        <f t="shared" si="14"/>
        <v>0</v>
      </c>
      <c r="O91" s="27">
        <f t="shared" si="15"/>
        <v>0</v>
      </c>
      <c r="P91" s="33">
        <f t="shared" si="16"/>
        <v>0</v>
      </c>
    </row>
    <row r="92" spans="1:16" x14ac:dyDescent="0.25">
      <c r="A92">
        <v>6</v>
      </c>
      <c r="C92" s="19"/>
      <c r="D92" s="20" t="s">
        <v>68</v>
      </c>
      <c r="E92" s="20"/>
      <c r="F92" s="20" t="s">
        <v>70</v>
      </c>
      <c r="G92" s="37"/>
      <c r="H92" s="20" t="s">
        <v>85</v>
      </c>
      <c r="I92" s="20"/>
      <c r="J92" s="20"/>
      <c r="K92" s="21"/>
      <c r="L92" s="21"/>
      <c r="M92" s="21"/>
      <c r="N92" s="21">
        <f t="shared" si="14"/>
        <v>0</v>
      </c>
      <c r="O92" s="27">
        <f t="shared" si="15"/>
        <v>0</v>
      </c>
      <c r="P92" s="33">
        <f t="shared" si="16"/>
        <v>0</v>
      </c>
    </row>
    <row r="93" spans="1:16" x14ac:dyDescent="0.25">
      <c r="A93">
        <v>7</v>
      </c>
      <c r="C93" s="19"/>
      <c r="D93" s="20" t="s">
        <v>68</v>
      </c>
      <c r="E93" s="20"/>
      <c r="F93" s="20" t="s">
        <v>70</v>
      </c>
      <c r="G93" s="37"/>
      <c r="H93" s="20" t="s">
        <v>85</v>
      </c>
      <c r="I93" s="20"/>
      <c r="J93" s="20"/>
      <c r="K93" s="21"/>
      <c r="L93" s="21"/>
      <c r="M93" s="21"/>
      <c r="N93" s="21">
        <f t="shared" si="14"/>
        <v>0</v>
      </c>
      <c r="O93" s="27">
        <f t="shared" si="15"/>
        <v>0</v>
      </c>
      <c r="P93" s="33">
        <f t="shared" si="16"/>
        <v>0</v>
      </c>
    </row>
    <row r="94" spans="1:16" x14ac:dyDescent="0.25">
      <c r="A94">
        <v>8</v>
      </c>
      <c r="C94" s="19"/>
      <c r="D94" s="20" t="s">
        <v>68</v>
      </c>
      <c r="E94" s="20"/>
      <c r="F94" s="20" t="s">
        <v>70</v>
      </c>
      <c r="G94" s="37"/>
      <c r="H94" s="20" t="s">
        <v>85</v>
      </c>
      <c r="I94" s="20"/>
      <c r="J94" s="20"/>
      <c r="K94" s="21"/>
      <c r="L94" s="21"/>
      <c r="M94" s="21"/>
      <c r="N94" s="21">
        <f t="shared" si="14"/>
        <v>0</v>
      </c>
      <c r="O94" s="27">
        <f t="shared" si="15"/>
        <v>0</v>
      </c>
      <c r="P94" s="33">
        <f t="shared" si="16"/>
        <v>0</v>
      </c>
    </row>
    <row r="95" spans="1:16" x14ac:dyDescent="0.25">
      <c r="A95">
        <v>9</v>
      </c>
      <c r="C95" s="19"/>
      <c r="D95" s="20" t="s">
        <v>68</v>
      </c>
      <c r="E95" s="20"/>
      <c r="F95" s="20" t="s">
        <v>70</v>
      </c>
      <c r="G95" s="37"/>
      <c r="H95" s="20" t="s">
        <v>85</v>
      </c>
      <c r="I95" s="20"/>
      <c r="J95" s="20"/>
      <c r="K95" s="21"/>
      <c r="L95" s="21"/>
      <c r="M95" s="21"/>
      <c r="N95" s="21">
        <f t="shared" si="14"/>
        <v>0</v>
      </c>
      <c r="O95" s="27">
        <f t="shared" si="15"/>
        <v>0</v>
      </c>
      <c r="P95" s="33">
        <f t="shared" si="16"/>
        <v>0</v>
      </c>
    </row>
    <row r="96" spans="1:16" x14ac:dyDescent="0.25">
      <c r="A96">
        <v>10</v>
      </c>
      <c r="C96" s="19"/>
      <c r="D96" s="20" t="s">
        <v>68</v>
      </c>
      <c r="E96" s="20"/>
      <c r="F96" s="20" t="s">
        <v>70</v>
      </c>
      <c r="G96" s="37"/>
      <c r="H96" s="20" t="s">
        <v>85</v>
      </c>
      <c r="I96" s="20"/>
      <c r="J96" s="20"/>
      <c r="K96" s="21"/>
      <c r="L96" s="21"/>
      <c r="M96" s="21"/>
      <c r="N96" s="21">
        <f t="shared" si="14"/>
        <v>0</v>
      </c>
      <c r="O96" s="27">
        <f t="shared" si="15"/>
        <v>0</v>
      </c>
      <c r="P96" s="33">
        <f t="shared" si="16"/>
        <v>0</v>
      </c>
    </row>
    <row r="97" spans="1:16" x14ac:dyDescent="0.25">
      <c r="A97">
        <v>11</v>
      </c>
      <c r="C97" s="19"/>
      <c r="D97" s="20" t="s">
        <v>68</v>
      </c>
      <c r="E97" s="20"/>
      <c r="F97" s="20" t="s">
        <v>70</v>
      </c>
      <c r="G97" s="37"/>
      <c r="H97" s="20" t="s">
        <v>85</v>
      </c>
      <c r="I97" s="20"/>
      <c r="J97" s="20"/>
      <c r="K97" s="21"/>
      <c r="L97" s="21"/>
      <c r="M97" s="21"/>
      <c r="N97" s="21">
        <f t="shared" si="14"/>
        <v>0</v>
      </c>
      <c r="O97" s="27">
        <f t="shared" si="15"/>
        <v>0</v>
      </c>
      <c r="P97" s="33">
        <f t="shared" si="16"/>
        <v>0</v>
      </c>
    </row>
    <row r="98" spans="1:16" x14ac:dyDescent="0.25">
      <c r="A98">
        <v>12</v>
      </c>
      <c r="C98" s="19"/>
      <c r="D98" s="20" t="s">
        <v>68</v>
      </c>
      <c r="E98" s="20"/>
      <c r="F98" s="20" t="s">
        <v>70</v>
      </c>
      <c r="G98" s="37"/>
      <c r="H98" s="20" t="s">
        <v>85</v>
      </c>
      <c r="I98" s="20"/>
      <c r="J98" s="20"/>
      <c r="K98" s="21"/>
      <c r="L98" s="21"/>
      <c r="M98" s="21"/>
      <c r="N98" s="21">
        <f t="shared" si="14"/>
        <v>0</v>
      </c>
      <c r="O98" s="27">
        <f t="shared" si="15"/>
        <v>0</v>
      </c>
      <c r="P98" s="33">
        <f t="shared" si="16"/>
        <v>0</v>
      </c>
    </row>
    <row r="99" spans="1:16" x14ac:dyDescent="0.25">
      <c r="A99">
        <v>13</v>
      </c>
      <c r="C99" s="19"/>
      <c r="D99" s="20" t="s">
        <v>68</v>
      </c>
      <c r="E99" s="20"/>
      <c r="F99" s="20" t="s">
        <v>70</v>
      </c>
      <c r="G99" s="37"/>
      <c r="H99" s="20" t="s">
        <v>85</v>
      </c>
      <c r="I99" s="20"/>
      <c r="J99" s="20"/>
      <c r="K99" s="21"/>
      <c r="L99" s="21"/>
      <c r="M99" s="21"/>
      <c r="N99" s="21">
        <f t="shared" si="14"/>
        <v>0</v>
      </c>
      <c r="O99" s="27">
        <f t="shared" si="15"/>
        <v>0</v>
      </c>
      <c r="P99" s="33">
        <f t="shared" si="16"/>
        <v>0</v>
      </c>
    </row>
    <row r="100" spans="1:16" x14ac:dyDescent="0.25">
      <c r="A100">
        <v>14</v>
      </c>
      <c r="C100" s="19"/>
      <c r="D100" s="20" t="s">
        <v>68</v>
      </c>
      <c r="E100" s="20"/>
      <c r="F100" s="20" t="s">
        <v>70</v>
      </c>
      <c r="G100" s="37"/>
      <c r="H100" s="20" t="s">
        <v>85</v>
      </c>
      <c r="I100" s="20"/>
      <c r="J100" s="20"/>
      <c r="K100" s="21"/>
      <c r="L100" s="21"/>
      <c r="M100" s="21"/>
      <c r="N100" s="21">
        <f t="shared" si="14"/>
        <v>0</v>
      </c>
      <c r="O100" s="27">
        <f t="shared" si="15"/>
        <v>0</v>
      </c>
      <c r="P100" s="33">
        <f t="shared" si="16"/>
        <v>0</v>
      </c>
    </row>
    <row r="101" spans="1:16" x14ac:dyDescent="0.25">
      <c r="A101">
        <v>15</v>
      </c>
      <c r="C101" s="19"/>
      <c r="D101" s="20" t="s">
        <v>68</v>
      </c>
      <c r="E101" s="20"/>
      <c r="F101" s="20" t="s">
        <v>70</v>
      </c>
      <c r="G101" s="37"/>
      <c r="H101" s="20" t="s">
        <v>85</v>
      </c>
      <c r="I101" s="20"/>
      <c r="J101" s="20"/>
      <c r="K101" s="21"/>
      <c r="L101" s="21"/>
      <c r="M101" s="21"/>
      <c r="N101" s="21">
        <f t="shared" si="14"/>
        <v>0</v>
      </c>
      <c r="O101" s="27">
        <f t="shared" si="15"/>
        <v>0</v>
      </c>
      <c r="P101" s="33">
        <f t="shared" si="16"/>
        <v>0</v>
      </c>
    </row>
    <row r="102" spans="1:16" x14ac:dyDescent="0.25">
      <c r="A102">
        <v>16</v>
      </c>
      <c r="C102" s="19"/>
      <c r="D102" s="20" t="s">
        <v>68</v>
      </c>
      <c r="E102" s="20"/>
      <c r="F102" s="20" t="s">
        <v>70</v>
      </c>
      <c r="G102" s="37"/>
      <c r="H102" s="20" t="s">
        <v>85</v>
      </c>
      <c r="I102" s="20"/>
      <c r="J102" s="20"/>
      <c r="K102" s="21"/>
      <c r="L102" s="21"/>
      <c r="M102" s="21"/>
      <c r="N102" s="21">
        <f t="shared" si="14"/>
        <v>0</v>
      </c>
      <c r="O102" s="27">
        <f t="shared" si="15"/>
        <v>0</v>
      </c>
      <c r="P102" s="33">
        <f t="shared" si="16"/>
        <v>0</v>
      </c>
    </row>
    <row r="103" spans="1:16" x14ac:dyDescent="0.25">
      <c r="A103">
        <v>17</v>
      </c>
      <c r="C103" s="19"/>
      <c r="D103" s="20" t="s">
        <v>68</v>
      </c>
      <c r="E103" s="20"/>
      <c r="F103" s="20" t="s">
        <v>70</v>
      </c>
      <c r="G103" s="37"/>
      <c r="H103" s="20" t="s">
        <v>85</v>
      </c>
      <c r="I103" s="20"/>
      <c r="J103" s="20"/>
      <c r="K103" s="21"/>
      <c r="L103" s="21"/>
      <c r="M103" s="21"/>
      <c r="N103" s="21">
        <f t="shared" si="14"/>
        <v>0</v>
      </c>
      <c r="O103" s="27">
        <f t="shared" si="15"/>
        <v>0</v>
      </c>
      <c r="P103" s="33">
        <f t="shared" si="16"/>
        <v>0</v>
      </c>
    </row>
    <row r="104" spans="1:16" x14ac:dyDescent="0.25">
      <c r="A104">
        <v>18</v>
      </c>
      <c r="C104" s="19"/>
      <c r="D104" s="20" t="s">
        <v>68</v>
      </c>
      <c r="E104" s="20"/>
      <c r="F104" s="20" t="s">
        <v>70</v>
      </c>
      <c r="G104" s="37"/>
      <c r="H104" s="20" t="s">
        <v>85</v>
      </c>
      <c r="I104" s="20"/>
      <c r="J104" s="20"/>
      <c r="K104" s="21"/>
      <c r="L104" s="21"/>
      <c r="M104" s="21"/>
      <c r="N104" s="21">
        <f t="shared" si="14"/>
        <v>0</v>
      </c>
      <c r="O104" s="27">
        <f t="shared" si="15"/>
        <v>0</v>
      </c>
      <c r="P104" s="33">
        <f t="shared" si="16"/>
        <v>0</v>
      </c>
    </row>
    <row r="105" spans="1:16" x14ac:dyDescent="0.25">
      <c r="A105">
        <v>19</v>
      </c>
      <c r="C105" s="19"/>
      <c r="D105" s="20" t="s">
        <v>68</v>
      </c>
      <c r="E105" s="20"/>
      <c r="F105" s="20" t="s">
        <v>70</v>
      </c>
      <c r="G105" s="37"/>
      <c r="H105" s="20" t="s">
        <v>85</v>
      </c>
      <c r="I105" s="20"/>
      <c r="J105" s="20"/>
      <c r="K105" s="21"/>
      <c r="L105" s="21"/>
      <c r="M105" s="21"/>
      <c r="N105" s="21">
        <f t="shared" si="14"/>
        <v>0</v>
      </c>
      <c r="O105" s="27">
        <f t="shared" si="15"/>
        <v>0</v>
      </c>
      <c r="P105" s="33">
        <f t="shared" si="16"/>
        <v>0</v>
      </c>
    </row>
    <row r="106" spans="1:16" x14ac:dyDescent="0.25">
      <c r="A106">
        <v>20</v>
      </c>
      <c r="C106" s="19"/>
      <c r="D106" s="20" t="s">
        <v>68</v>
      </c>
      <c r="E106" s="20"/>
      <c r="F106" s="20" t="s">
        <v>70</v>
      </c>
      <c r="G106" s="37"/>
      <c r="H106" s="20" t="s">
        <v>85</v>
      </c>
      <c r="I106" s="20"/>
      <c r="J106" s="20"/>
      <c r="K106" s="21"/>
      <c r="L106" s="21"/>
      <c r="M106" s="21"/>
      <c r="N106" s="21">
        <f t="shared" si="14"/>
        <v>0</v>
      </c>
      <c r="O106" s="27">
        <f t="shared" si="15"/>
        <v>0</v>
      </c>
      <c r="P106" s="33">
        <f t="shared" si="16"/>
        <v>0</v>
      </c>
    </row>
    <row r="107" spans="1:16" x14ac:dyDescent="0.25">
      <c r="A107">
        <v>21</v>
      </c>
      <c r="C107" s="19"/>
      <c r="D107" s="20" t="s">
        <v>68</v>
      </c>
      <c r="E107" s="20"/>
      <c r="F107" s="20" t="s">
        <v>70</v>
      </c>
      <c r="G107" s="37"/>
      <c r="H107" s="20" t="s">
        <v>85</v>
      </c>
      <c r="I107" s="20"/>
      <c r="J107" s="20"/>
      <c r="K107" s="21"/>
      <c r="L107" s="21"/>
      <c r="M107" s="21"/>
      <c r="N107" s="21">
        <f t="shared" si="14"/>
        <v>0</v>
      </c>
      <c r="O107" s="27">
        <f t="shared" si="15"/>
        <v>0</v>
      </c>
      <c r="P107" s="33">
        <f t="shared" si="16"/>
        <v>0</v>
      </c>
    </row>
    <row r="108" spans="1:16" x14ac:dyDescent="0.25">
      <c r="A108">
        <v>22</v>
      </c>
      <c r="C108" s="19"/>
      <c r="D108" s="20" t="s">
        <v>68</v>
      </c>
      <c r="E108" s="20"/>
      <c r="F108" s="20" t="s">
        <v>70</v>
      </c>
      <c r="G108" s="37"/>
      <c r="H108" s="20" t="s">
        <v>85</v>
      </c>
      <c r="I108" s="20"/>
      <c r="J108" s="20"/>
      <c r="K108" s="21"/>
      <c r="L108" s="21"/>
      <c r="M108" s="21"/>
      <c r="N108" s="21"/>
      <c r="O108" s="21"/>
      <c r="P108" s="33"/>
    </row>
    <row r="109" spans="1:16" x14ac:dyDescent="0.25">
      <c r="K109" s="44">
        <f>SUM(K88:K108)</f>
        <v>0</v>
      </c>
      <c r="L109" s="44">
        <f ca="1">SUM(L88:L112)</f>
        <v>0</v>
      </c>
      <c r="M109" s="44">
        <f>SUM(M88:M108)</f>
        <v>0</v>
      </c>
      <c r="N109" s="44">
        <f>SUM(N88:N108)</f>
        <v>0</v>
      </c>
      <c r="O109" s="45">
        <f>SUM(O88:O108)</f>
        <v>0</v>
      </c>
      <c r="P109" s="45">
        <f>SUM(P88:P108)</f>
        <v>0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2026-08-29T01:58:40Z</dcterms:modified>
</cp:coreProperties>
</file>