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3DD74A1-4DFB-4869-A93E-08BE172FE9D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AUGUST" sheetId="6" r:id="rId2"/>
  </sheets>
  <definedNames>
    <definedName name="_xlnm.Print_Area" localSheetId="1">'PE, AUGUST'!#REF!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2" i="6" l="1"/>
  <c r="K40" i="6" l="1"/>
  <c r="K41" i="6"/>
  <c r="K61" i="6" l="1"/>
  <c r="K39" i="6" l="1"/>
  <c r="K37" i="6" l="1"/>
  <c r="K38" i="6"/>
  <c r="K36" i="6"/>
  <c r="J7" i="6" l="1"/>
  <c r="I7" i="6"/>
  <c r="K35" i="6" l="1"/>
  <c r="K34" i="6" l="1"/>
  <c r="K55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 s="1"/>
  <c r="P109" i="6" l="1"/>
  <c r="M82" i="6"/>
  <c r="O82" i="6"/>
  <c r="M55" i="6"/>
  <c r="O55" i="6"/>
  <c r="N88" i="6"/>
  <c r="O88" i="6" s="1"/>
  <c r="O109" i="6" s="1"/>
  <c r="N61" i="6"/>
  <c r="N82" i="6" s="1"/>
  <c r="N34" i="6"/>
  <c r="N55" i="6" s="1"/>
  <c r="N109" i="6" l="1"/>
  <c r="O27" i="6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109" i="6"/>
  <c r="L55" i="6"/>
  <c r="L82" i="6"/>
  <c r="L28" i="6"/>
</calcChain>
</file>

<file path=xl/sharedStrings.xml><?xml version="1.0" encoding="utf-8"?>
<sst xmlns="http://schemas.openxmlformats.org/spreadsheetml/2006/main" count="510" uniqueCount="99">
  <si>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</si>
  <si>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</si>
  <si>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</si>
  <si>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</si>
  <si>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</si>
  <si>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</si>
  <si>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</si>
  <si>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</si>
  <si>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</si>
  <si>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</si>
  <si>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</si>
  <si>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</si>
  <si>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</si>
  <si>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</si>
  <si>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</si>
  <si>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</si>
  <si>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</si>
  <si>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</si>
  <si>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</si>
  <si>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</si>
  <si>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</si>
  <si>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</si>
  <si>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</si>
  <si>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</si>
  <si>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</si>
  <si>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</si>
  <si>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</si>
  <si>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</si>
  <si>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</si>
  <si>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</si>
  <si>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</si>
  <si>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</si>
  <si>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</si>
  <si>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</si>
  <si>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</si>
  <si>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</si>
  <si>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</si>
  <si>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</si>
  <si>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</si>
  <si>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</si>
  <si>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</si>
  <si>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</si>
  <si>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</si>
  <si>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</si>
  <si>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</si>
  <si>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</si>
  <si>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</si>
  <si>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</si>
  <si>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</si>
  <si>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</si>
  <si>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</si>
  <si>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</si>
  <si>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</si>
  <si>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</si>
  <si>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</si>
  <si>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</si>
  <si>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</si>
  <si>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</si>
  <si>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</si>
  <si>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</si>
  <si>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</si>
  <si>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</si>
  <si>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</si>
  <si>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</si>
  <si>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</si>
  <si>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</si>
  <si>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</si>
  <si>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</si>
  <si>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</si>
  <si>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</si>
  <si>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</si>
  <si>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</si>
  <si>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</si>
  <si>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</si>
  <si>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MONTHLY PURCHASES</t>
  </si>
  <si>
    <t>MONTHLY PURCHASES BEER EMPTIES</t>
  </si>
  <si>
    <t>MONTHLY PURCHASES NAB EMPTIES</t>
  </si>
  <si>
    <t>R01</t>
  </si>
  <si>
    <t>MONTHLY PURCHASES SMB LILOY WW</t>
  </si>
  <si>
    <t>TOTAL AMOUNT</t>
  </si>
  <si>
    <t>JULY 2026</t>
  </si>
  <si>
    <t>AMOUNT</t>
  </si>
  <si>
    <t>OF PRODUCTS</t>
  </si>
  <si>
    <t>TOTAL</t>
  </si>
  <si>
    <t>DISCOUNT</t>
  </si>
  <si>
    <t>166-562-025-0005</t>
  </si>
  <si>
    <t>AUGUST 2026</t>
  </si>
  <si>
    <t>R02</t>
  </si>
  <si>
    <t>R03</t>
  </si>
  <si>
    <t>R07</t>
  </si>
  <si>
    <t>08/15/2026</t>
  </si>
  <si>
    <t>R06</t>
  </si>
  <si>
    <t>R08</t>
  </si>
  <si>
    <t>08/18/2026</t>
  </si>
  <si>
    <t>R10</t>
  </si>
  <si>
    <t>08/19/2026</t>
  </si>
  <si>
    <t>R09</t>
  </si>
  <si>
    <t>08/24/2026</t>
  </si>
  <si>
    <t>R11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</si>
</sst>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9" zoomScaleNormal="100" workbookViewId="0">
      <selection activeCell="G48" sqref="G4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74</v>
      </c>
      <c r="D3" s="42"/>
      <c r="E3" s="42"/>
      <c r="F3" s="43" t="s">
        <v>86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81</v>
      </c>
      <c r="J5" s="9" t="s">
        <v>83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82</v>
      </c>
      <c r="J6" s="9" t="s">
        <v>84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>
        <v>46334</v>
      </c>
      <c r="D7" s="20" t="s">
        <v>68</v>
      </c>
      <c r="E7" s="12"/>
      <c r="F7" s="20" t="s">
        <v>70</v>
      </c>
      <c r="G7" s="20">
        <v>518900758</v>
      </c>
      <c r="H7" s="20" t="s">
        <v>85</v>
      </c>
      <c r="I7" s="21">
        <f>1318233</f>
        <v>1318233</v>
      </c>
      <c r="J7" s="21">
        <f>53845.98</f>
        <v>53845.98</v>
      </c>
      <c r="K7" s="21">
        <f>I7-J7</f>
        <v>1264387.02</v>
      </c>
      <c r="M7" s="21">
        <f>O7*12</f>
        <v>135470.03785714286</v>
      </c>
      <c r="N7" s="27">
        <f>K7-M7</f>
        <v>1128916.9821428573</v>
      </c>
      <c r="O7" s="33">
        <f>K7/112</f>
        <v>11289.169821428572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90</v>
      </c>
      <c r="D8" s="20" t="s">
        <v>68</v>
      </c>
      <c r="E8" s="20"/>
      <c r="F8" s="20" t="s">
        <v>70</v>
      </c>
      <c r="G8" s="20">
        <v>518912814</v>
      </c>
      <c r="H8" s="20" t="s">
        <v>85</v>
      </c>
      <c r="I8" s="21">
        <v>1397196</v>
      </c>
      <c r="J8" s="21">
        <v>60845.04</v>
      </c>
      <c r="K8" s="21">
        <f t="shared" ref="K8:K27" si="0">I8-J8</f>
        <v>1336350.96</v>
      </c>
      <c r="M8" s="21">
        <f>O8*12</f>
        <v>143180.46</v>
      </c>
      <c r="N8" s="27">
        <f>K8-M8</f>
        <v>1193170.5</v>
      </c>
      <c r="O8" s="33">
        <f t="shared" ref="O8:O26" si="1">K8/112</f>
        <v>11931.705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90</v>
      </c>
      <c r="D9" s="20" t="s">
        <v>68</v>
      </c>
      <c r="E9" s="20"/>
      <c r="F9" s="20" t="s">
        <v>70</v>
      </c>
      <c r="G9" s="20">
        <v>518912586</v>
      </c>
      <c r="H9" s="20" t="s">
        <v>85</v>
      </c>
      <c r="I9" s="21"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93</v>
      </c>
      <c r="D10" s="20" t="s">
        <v>68</v>
      </c>
      <c r="E10" s="20"/>
      <c r="F10" s="20" t="s">
        <v>70</v>
      </c>
      <c r="G10" s="20">
        <v>518918403</v>
      </c>
      <c r="H10" s="20" t="s">
        <v>85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 t="s">
        <v>95</v>
      </c>
      <c r="D11" s="20" t="s">
        <v>68</v>
      </c>
      <c r="E11" s="20"/>
      <c r="F11" s="20" t="s">
        <v>70</v>
      </c>
      <c r="G11" s="20">
        <v>518921976</v>
      </c>
      <c r="H11" s="20" t="s">
        <v>85</v>
      </c>
      <c r="I11" s="21">
        <v>1356048</v>
      </c>
      <c r="J11" s="21">
        <v>58168.62</v>
      </c>
      <c r="K11" s="21">
        <f t="shared" si="0"/>
        <v>1297879.3799999999</v>
      </c>
      <c r="M11" s="21">
        <f t="shared" si="3"/>
        <v>139058.505</v>
      </c>
      <c r="N11" s="27">
        <f t="shared" si="4"/>
        <v>1158820.875</v>
      </c>
      <c r="O11" s="33">
        <f t="shared" si="1"/>
        <v>11588.20875</v>
      </c>
    </row>
    <row r="12" spans="1:17" x14ac:dyDescent="0.25">
      <c r="A12">
        <f t="shared" si="2"/>
        <v>6</v>
      </c>
      <c r="B12" s="23">
        <f t="shared" si="2"/>
        <v>6</v>
      </c>
      <c r="C12" s="19" t="s">
        <v>95</v>
      </c>
      <c r="D12" s="20" t="s">
        <v>68</v>
      </c>
      <c r="E12" s="20"/>
      <c r="F12" s="20" t="s">
        <v>70</v>
      </c>
      <c r="G12" s="20">
        <v>518921567</v>
      </c>
      <c r="H12" s="20" t="s">
        <v>85</v>
      </c>
      <c r="I12" s="21">
        <v>1397196</v>
      </c>
      <c r="J12" s="21">
        <v>60845.04</v>
      </c>
      <c r="K12" s="21">
        <f t="shared" si="0"/>
        <v>1336350.96</v>
      </c>
      <c r="M12" s="21">
        <f t="shared" si="3"/>
        <v>143180.46</v>
      </c>
      <c r="N12" s="27">
        <f t="shared" si="4"/>
        <v>1193170.5</v>
      </c>
      <c r="O12" s="33">
        <f t="shared" si="1"/>
        <v>11931.705</v>
      </c>
    </row>
    <row r="13" spans="1:17" x14ac:dyDescent="0.25">
      <c r="A13">
        <f t="shared" si="2"/>
        <v>7</v>
      </c>
      <c r="B13" s="23">
        <f t="shared" si="2"/>
        <v>7</v>
      </c>
      <c r="C13" s="19" t="s">
        <v>97</v>
      </c>
      <c r="D13" s="20" t="s">
        <v>68</v>
      </c>
      <c r="E13" s="20"/>
      <c r="F13" s="20" t="s">
        <v>70</v>
      </c>
      <c r="G13" s="20">
        <v>518933761</v>
      </c>
      <c r="H13" s="20" t="s">
        <v>85</v>
      </c>
      <c r="I13" s="21">
        <v>1299728</v>
      </c>
      <c r="J13" s="21">
        <v>87768.13</v>
      </c>
      <c r="K13" s="21">
        <f t="shared" si="0"/>
        <v>1211959.8700000001</v>
      </c>
      <c r="M13" s="21">
        <f t="shared" si="3"/>
        <v>129852.84321428572</v>
      </c>
      <c r="N13" s="27">
        <f>K13-M13</f>
        <v>1082107.0267857143</v>
      </c>
      <c r="O13" s="33">
        <f>K13/112</f>
        <v>10821.070267857143</v>
      </c>
    </row>
    <row r="14" spans="1:17" x14ac:dyDescent="0.25">
      <c r="A14">
        <f t="shared" si="2"/>
        <v>8</v>
      </c>
      <c r="B14" s="23">
        <f t="shared" si="2"/>
        <v>8</v>
      </c>
      <c r="C14" s="19" t="s">
        <v>97</v>
      </c>
      <c r="D14" s="20" t="s">
        <v>68</v>
      </c>
      <c r="E14" s="20"/>
      <c r="F14" s="20" t="s">
        <v>70</v>
      </c>
      <c r="G14" s="20">
        <v>518934094</v>
      </c>
      <c r="H14" s="20" t="s">
        <v>85</v>
      </c>
      <c r="I14" s="36">
        <v>1397196</v>
      </c>
      <c r="J14" s="36">
        <v>60845.04</v>
      </c>
      <c r="K14" s="21">
        <f t="shared" si="0"/>
        <v>1336350.96</v>
      </c>
      <c r="M14" s="21">
        <f t="shared" si="3"/>
        <v>143180.46</v>
      </c>
      <c r="N14" s="27">
        <f t="shared" si="4"/>
        <v>1193170.5</v>
      </c>
      <c r="O14" s="33">
        <f t="shared" si="1"/>
        <v>11931.705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85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85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85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85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85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85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85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85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85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85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85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85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85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10455981.07</v>
      </c>
      <c r="L28" s="44">
        <f ca="1">SUM(L7:L31)</f>
        <v>0</v>
      </c>
      <c r="M28" s="44">
        <f>SUM(M7:M27)</f>
        <v>1120283.6860714285</v>
      </c>
      <c r="N28" s="44">
        <f>SUM(N7:N27)</f>
        <v>9335697.3839285709</v>
      </c>
      <c r="O28" s="44">
        <f>SUM(O7:O27)</f>
        <v>93356.973839285711</v>
      </c>
    </row>
    <row r="29" spans="1:15" x14ac:dyDescent="0.25">
      <c r="G29"/>
      <c r="O29" s="34"/>
    </row>
    <row r="30" spans="1:15" ht="15.75" x14ac:dyDescent="0.25">
      <c r="C30" s="41" t="s">
        <v>75</v>
      </c>
      <c r="D30" s="42"/>
      <c r="E30" s="42"/>
      <c r="F30" s="43" t="s">
        <v>86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81</v>
      </c>
      <c r="J32" s="9" t="s">
        <v>83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82</v>
      </c>
      <c r="J33" s="9" t="s">
        <v>84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46150</v>
      </c>
      <c r="D34" s="20" t="s">
        <v>68</v>
      </c>
      <c r="E34" s="12"/>
      <c r="F34" s="20" t="s">
        <v>70</v>
      </c>
      <c r="G34" s="37" t="s">
        <v>77</v>
      </c>
      <c r="H34" s="20" t="s">
        <v>85</v>
      </c>
      <c r="I34" s="20"/>
      <c r="J34" s="20"/>
      <c r="K34" s="21">
        <f>23976+10656+167832</f>
        <v>202464</v>
      </c>
      <c r="M34" s="21">
        <f t="shared" ref="M34:M53" si="8">O34*12</f>
        <v>21692.571428571428</v>
      </c>
      <c r="N34" s="27">
        <f>K34-M34</f>
        <v>180771.42857142858</v>
      </c>
      <c r="O34" s="33">
        <f t="shared" ref="O34:O53" si="9">K34/112</f>
        <v>1807.7142857142858</v>
      </c>
    </row>
    <row r="35" spans="1:15" x14ac:dyDescent="0.25">
      <c r="A35">
        <v>3</v>
      </c>
      <c r="C35" s="19">
        <v>46211</v>
      </c>
      <c r="D35" s="20" t="s">
        <v>68</v>
      </c>
      <c r="E35" s="20"/>
      <c r="F35" s="20" t="s">
        <v>70</v>
      </c>
      <c r="G35" s="37" t="s">
        <v>87</v>
      </c>
      <c r="H35" s="20" t="s">
        <v>85</v>
      </c>
      <c r="I35" s="20"/>
      <c r="J35" s="20"/>
      <c r="K35" s="21">
        <f>8640+11988+7560+167832</f>
        <v>196020</v>
      </c>
      <c r="M35" s="21">
        <f t="shared" si="8"/>
        <v>21002.142857142855</v>
      </c>
      <c r="N35" s="27">
        <f t="shared" ref="N35:N53" si="10">K35-M35</f>
        <v>175017.85714285716</v>
      </c>
      <c r="O35" s="33">
        <f t="shared" si="9"/>
        <v>1750.1785714285713</v>
      </c>
    </row>
    <row r="36" spans="1:15" x14ac:dyDescent="0.25">
      <c r="A36">
        <v>4</v>
      </c>
      <c r="C36" s="19">
        <v>46334</v>
      </c>
      <c r="D36" s="20" t="s">
        <v>68</v>
      </c>
      <c r="E36" s="20"/>
      <c r="F36" s="20" t="s">
        <v>70</v>
      </c>
      <c r="G36" s="37" t="s">
        <v>88</v>
      </c>
      <c r="H36" s="20" t="s">
        <v>85</v>
      </c>
      <c r="I36" s="20"/>
      <c r="J36" s="20"/>
      <c r="K36" s="21">
        <f>35964+167832</f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 t="s">
        <v>90</v>
      </c>
      <c r="D37" s="20" t="s">
        <v>68</v>
      </c>
      <c r="E37" s="20"/>
      <c r="F37" s="20" t="s">
        <v>70</v>
      </c>
      <c r="G37" s="37" t="s">
        <v>91</v>
      </c>
      <c r="H37" s="20" t="s">
        <v>85</v>
      </c>
      <c r="I37" s="20"/>
      <c r="J37" s="20"/>
      <c r="K37" s="21">
        <f>11988+10656+179820</f>
        <v>202464</v>
      </c>
      <c r="M37" s="21">
        <f t="shared" si="8"/>
        <v>21692.571428571428</v>
      </c>
      <c r="N37" s="27">
        <f t="shared" si="10"/>
        <v>180771.42857142858</v>
      </c>
      <c r="O37" s="33">
        <f t="shared" si="9"/>
        <v>1807.7142857142858</v>
      </c>
    </row>
    <row r="38" spans="1:15" x14ac:dyDescent="0.25">
      <c r="A38">
        <v>6</v>
      </c>
      <c r="C38" s="19" t="s">
        <v>90</v>
      </c>
      <c r="D38" s="20" t="s">
        <v>68</v>
      </c>
      <c r="E38" s="20"/>
      <c r="F38" s="20" t="s">
        <v>70</v>
      </c>
      <c r="G38" s="37" t="s">
        <v>89</v>
      </c>
      <c r="H38" s="20" t="s">
        <v>85</v>
      </c>
      <c r="I38" s="20"/>
      <c r="J38" s="20"/>
      <c r="K38" s="21">
        <f>11988+10656+179820</f>
        <v>202464</v>
      </c>
      <c r="M38" s="21">
        <f t="shared" si="8"/>
        <v>21692.571428571428</v>
      </c>
      <c r="N38" s="27">
        <f t="shared" si="10"/>
        <v>180771.42857142858</v>
      </c>
      <c r="O38" s="33">
        <f t="shared" si="9"/>
        <v>1807.7142857142858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92</v>
      </c>
      <c r="H39" s="20" t="s">
        <v>85</v>
      </c>
      <c r="I39" s="20"/>
      <c r="J39" s="20"/>
      <c r="K39" s="21">
        <f>11988+191808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95</v>
      </c>
      <c r="D40" s="20" t="s">
        <v>68</v>
      </c>
      <c r="E40" s="20"/>
      <c r="F40" s="20" t="s">
        <v>70</v>
      </c>
      <c r="G40" s="37" t="s">
        <v>96</v>
      </c>
      <c r="H40" s="20" t="s">
        <v>85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95</v>
      </c>
      <c r="D41" s="20" t="s">
        <v>68</v>
      </c>
      <c r="E41" s="20"/>
      <c r="F41" s="20" t="s">
        <v>70</v>
      </c>
      <c r="G41" s="37" t="s">
        <v>94</v>
      </c>
      <c r="H41" s="20" t="s">
        <v>85</v>
      </c>
      <c r="I41" s="20"/>
      <c r="J41" s="20"/>
      <c r="K41" s="21">
        <f>11988+143856</f>
        <v>155844</v>
      </c>
      <c r="M41" s="21">
        <f t="shared" si="8"/>
        <v>16697.571428571428</v>
      </c>
      <c r="N41" s="27">
        <f t="shared" si="10"/>
        <v>139146.42857142858</v>
      </c>
      <c r="O41" s="33">
        <f t="shared" si="9"/>
        <v>1391.4642857142858</v>
      </c>
    </row>
    <row r="42" spans="1:15" x14ac:dyDescent="0.25">
      <c r="A42">
        <v>10</v>
      </c>
      <c r="C42" s="19" t="s">
        <v>97</v>
      </c>
      <c r="D42" s="20" t="s">
        <v>68</v>
      </c>
      <c r="E42" s="20"/>
      <c r="F42" s="20" t="s">
        <v>70</v>
      </c>
      <c r="G42" s="37" t="s">
        <v>98</v>
      </c>
      <c r="H42" s="20" t="s">
        <v>85</v>
      </c>
      <c r="I42" s="20"/>
      <c r="J42" s="20"/>
      <c r="K42" s="21">
        <f>23976+179820+2268</f>
        <v>206064</v>
      </c>
      <c r="M42" s="21">
        <f t="shared" si="8"/>
        <v>22078.285714285714</v>
      </c>
      <c r="N42" s="27">
        <f t="shared" si="10"/>
        <v>183985.71428571429</v>
      </c>
      <c r="O42" s="33">
        <f t="shared" si="9"/>
        <v>1839.8571428571429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85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85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85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85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85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85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85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85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85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85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85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85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1775376</v>
      </c>
      <c r="L55" s="44">
        <f ca="1">SUM(L34:L58)</f>
        <v>0</v>
      </c>
      <c r="M55" s="44">
        <f>SUM(M34:M54)</f>
        <v>190218.8571428571</v>
      </c>
      <c r="N55" s="44">
        <f>SUM(N34:N54)</f>
        <v>1585157.1428571432</v>
      </c>
      <c r="O55" s="45">
        <f>SUM(O34:O54)</f>
        <v>15851.571428571431</v>
      </c>
    </row>
    <row r="56" spans="1:15" x14ac:dyDescent="0.25">
      <c r="O56" s="34"/>
    </row>
    <row r="57" spans="1:15" ht="15.75" x14ac:dyDescent="0.25">
      <c r="C57" s="41" t="s">
        <v>76</v>
      </c>
      <c r="D57" s="42"/>
      <c r="E57" s="42"/>
      <c r="F57" s="43" t="s">
        <v>86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81</v>
      </c>
      <c r="J59" s="9" t="s">
        <v>83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82</v>
      </c>
      <c r="J60" s="9" t="s">
        <v>84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95</v>
      </c>
      <c r="D61" s="20" t="s">
        <v>68</v>
      </c>
      <c r="E61" s="12"/>
      <c r="F61" s="20" t="s">
        <v>70</v>
      </c>
      <c r="G61" s="37" t="s">
        <v>94</v>
      </c>
      <c r="H61" s="20" t="s">
        <v>85</v>
      </c>
      <c r="I61" s="20"/>
      <c r="J61" s="20"/>
      <c r="K61" s="21">
        <f>11232+11340</f>
        <v>22572</v>
      </c>
      <c r="M61" s="21">
        <f t="shared" ref="M61:M80" si="11">O61*12</f>
        <v>2418.4285714285716</v>
      </c>
      <c r="N61" s="27">
        <f>K61-M61</f>
        <v>20153.571428571428</v>
      </c>
      <c r="O61" s="33">
        <f t="shared" ref="O61:O80" si="12">K61/112</f>
        <v>201.53571428571428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85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85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85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85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85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85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85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85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85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85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85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85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85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85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85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85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85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85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85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85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22572</v>
      </c>
      <c r="L82" s="44">
        <f ca="1">SUM(L61:L85)</f>
        <v>0</v>
      </c>
      <c r="M82" s="44">
        <f>SUM(M61:M81)</f>
        <v>2418.4285714285716</v>
      </c>
      <c r="N82" s="44">
        <f>SUM(N61:N81)</f>
        <v>20153.571428571428</v>
      </c>
      <c r="O82" s="45">
        <f>SUM(O61:O81)</f>
        <v>201.53571428571428</v>
      </c>
    </row>
    <row r="84" spans="1:16" ht="15.75" x14ac:dyDescent="0.25">
      <c r="C84" s="41" t="s">
        <v>78</v>
      </c>
      <c r="D84" s="42"/>
      <c r="E84" s="42"/>
      <c r="F84" s="43" t="s">
        <v>80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81</v>
      </c>
      <c r="J86" s="9" t="s">
        <v>83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82</v>
      </c>
      <c r="J87" s="9" t="s">
        <v>84</v>
      </c>
      <c r="K87" s="46" t="s">
        <v>79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/>
      <c r="D88" s="20" t="s">
        <v>68</v>
      </c>
      <c r="E88" s="12"/>
      <c r="F88" s="20" t="s">
        <v>70</v>
      </c>
      <c r="G88" s="37"/>
      <c r="H88" s="20" t="s">
        <v>85</v>
      </c>
      <c r="I88" s="20"/>
      <c r="J88" s="20"/>
      <c r="K88" s="21"/>
      <c r="L88" s="21"/>
      <c r="M88" s="21"/>
      <c r="N88" s="21">
        <f t="shared" ref="N88:N107" si="14">P88*12</f>
        <v>0</v>
      </c>
      <c r="O88" s="27">
        <f t="shared" ref="O88:O107" si="15">M88-N88</f>
        <v>0</v>
      </c>
      <c r="P88" s="33">
        <f t="shared" ref="P88:P107" si="16">M88/112</f>
        <v>0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85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85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85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85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85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85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85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85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85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85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85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85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85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85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85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85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85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85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85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85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0</v>
      </c>
      <c r="L109" s="44">
        <f ca="1">SUM(L88:L112)</f>
        <v>0</v>
      </c>
      <c r="M109" s="44">
        <f>SUM(M88:M108)</f>
        <v>0</v>
      </c>
      <c r="N109" s="44">
        <f>SUM(N88:N108)</f>
        <v>0</v>
      </c>
      <c r="O109" s="45">
        <f>SUM(O88:O108)</f>
        <v>0</v>
      </c>
      <c r="P109" s="45">
        <f>SUM(P88:P108)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AUGUST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2026-08-25T04:24:20Z</dcterms:modified>
</cp:coreProperties>
</file>