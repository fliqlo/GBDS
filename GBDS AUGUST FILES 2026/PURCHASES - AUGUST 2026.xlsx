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87BF8414-A1E7-42B1-A4DB-B9DFB362CD9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0" i="6" l="1"/>
  <c r="K41" i="6"/>
  <c r="K61" i="6" l="1"/>
  <c r="K39" i="6" l="1"/>
  <c r="K37" i="6" l="1"/>
  <c r="K38" i="6"/>
  <c r="K36" i="6"/>
  <c r="J7" i="6" l="1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28" i="6"/>
  <c r="L109" i="6"/>
  <c r="L82" i="6"/>
  <c r="L55" i="6"/>
</calcChain>
</file>

<file path=xl/sharedStrings.xml><?xml version="1.0" encoding="utf-8"?>
<sst xmlns="http://schemas.openxmlformats.org/spreadsheetml/2006/main" count="506" uniqueCount="98">
  <si>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</si>
  <si>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</si>
  <si>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</si>
  <si>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</si>
  <si>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</si>
  <si>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</si>
  <si>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</si>
  <si>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</si>
  <si>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</si>
  <si>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</si>
  <si>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</si>
  <si>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</si>
  <si>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</si>
  <si>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</si>
  <si>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</si>
  <si>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</si>
  <si>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</si>
  <si>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</si>
  <si>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</si>
  <si>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</si>
  <si>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</si>
  <si>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</si>
  <si>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</si>
  <si>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</si>
  <si>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</si>
  <si>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</si>
  <si>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</si>
  <si>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</si>
  <si>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</si>
  <si>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</si>
  <si>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</si>
  <si>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</si>
  <si>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</si>
  <si>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</si>
  <si>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</si>
  <si>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</si>
  <si>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</si>
  <si>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</si>
  <si>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</si>
  <si>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</si>
  <si>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</si>
  <si>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</si>
  <si>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</si>
  <si>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</si>
  <si>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</si>
  <si>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</si>
  <si>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</si>
  <si>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</si>
  <si>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</si>
  <si>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</si>
  <si>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</si>
  <si>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</si>
  <si>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</si>
  <si>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</si>
  <si>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</si>
  <si>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</si>
  <si>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</si>
  <si>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</si>
  <si>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</si>
  <si>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</si>
  <si>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</si>
  <si>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</si>
  <si>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</si>
  <si>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</si>
  <si>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</si>
  <si>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</si>
  <si>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</si>
  <si>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</si>
  <si>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</si>
  <si>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</si>
  <si>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</si>
  <si>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</si>
  <si>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</si>
  <si>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</si>
  <si>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</si>
  <si>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</si>
  <si>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</si>
  <si>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</si>
  <si>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</si>
  <si>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</si>
  <si>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</si>
  <si>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</si>
  <si>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</si>
  <si>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</si>
  <si>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</si>
  <si>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</si>
  <si>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</si>
  <si>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</si>
  <si>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</si>
  <si>
    <t>R07</t>
  </si>
  <si>
    <t>08/15/2026</t>
  </si>
  <si>
    <t>R06</t>
  </si>
  <si>
    <t>R08</t>
  </si>
  <si>
    <t>08/18/2026</t>
  </si>
  <si>
    <t>18/19/2026</t>
  </si>
  <si>
    <t>R10</t>
  </si>
  <si>
    <t>08/19/2026</t>
  </si>
  <si>
    <t>R09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</si>
</sst>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4" zoomScaleNormal="100" workbookViewId="0">
      <selection activeCell="E22" sqref="E22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90</v>
      </c>
      <c r="D8" s="20" t="s">
        <v>68</v>
      </c>
      <c r="E8" s="20"/>
      <c r="F8" s="20" t="s">
        <v>70</v>
      </c>
      <c r="G8" s="20">
        <v>518912814</v>
      </c>
      <c r="H8" s="20" t="s">
        <v>85</v>
      </c>
      <c r="I8" s="21">
        <v>1397196</v>
      </c>
      <c r="J8" s="21">
        <v>60845.04</v>
      </c>
      <c r="K8" s="21">
        <f t="shared" ref="K8:K27" si="0">I8-J8</f>
        <v>1336350.96</v>
      </c>
      <c r="M8" s="21">
        <f>O8*12</f>
        <v>143180.46</v>
      </c>
      <c r="N8" s="27">
        <f>K8-M8</f>
        <v>1193170.5</v>
      </c>
      <c r="O8" s="33">
        <f t="shared" ref="O8:O26" si="1">K8/112</f>
        <v>11931.705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90</v>
      </c>
      <c r="D9" s="20" t="s">
        <v>68</v>
      </c>
      <c r="E9" s="20"/>
      <c r="F9" s="20" t="s">
        <v>70</v>
      </c>
      <c r="G9" s="20">
        <v>518912586</v>
      </c>
      <c r="H9" s="20" t="s">
        <v>85</v>
      </c>
      <c r="I9" s="21"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93</v>
      </c>
      <c r="D10" s="20" t="s">
        <v>68</v>
      </c>
      <c r="E10" s="20"/>
      <c r="F10" s="20" t="s">
        <v>70</v>
      </c>
      <c r="G10" s="20">
        <v>518918403</v>
      </c>
      <c r="H10" s="20" t="s">
        <v>85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96</v>
      </c>
      <c r="D11" s="20" t="s">
        <v>68</v>
      </c>
      <c r="E11" s="20"/>
      <c r="F11" s="20" t="s">
        <v>70</v>
      </c>
      <c r="G11" s="20">
        <v>518921976</v>
      </c>
      <c r="H11" s="20" t="s">
        <v>85</v>
      </c>
      <c r="I11" s="21">
        <v>1356048</v>
      </c>
      <c r="J11" s="21">
        <v>58168.62</v>
      </c>
      <c r="K11" s="21">
        <f t="shared" si="0"/>
        <v>1297879.3799999999</v>
      </c>
      <c r="M11" s="21">
        <f t="shared" si="3"/>
        <v>139058.505</v>
      </c>
      <c r="N11" s="27">
        <f t="shared" si="4"/>
        <v>1158820.875</v>
      </c>
      <c r="O11" s="33">
        <f t="shared" si="1"/>
        <v>11588.20875</v>
      </c>
    </row>
    <row r="12" spans="1:17" x14ac:dyDescent="0.25">
      <c r="A12">
        <f t="shared" si="2"/>
        <v>6</v>
      </c>
      <c r="B12" s="23">
        <f t="shared" si="2"/>
        <v>6</v>
      </c>
      <c r="C12" s="19" t="s">
        <v>96</v>
      </c>
      <c r="D12" s="20" t="s">
        <v>68</v>
      </c>
      <c r="E12" s="20"/>
      <c r="F12" s="20" t="s">
        <v>70</v>
      </c>
      <c r="G12" s="20">
        <v>518921567</v>
      </c>
      <c r="H12" s="20" t="s">
        <v>85</v>
      </c>
      <c r="I12" s="21">
        <v>1397196</v>
      </c>
      <c r="J12" s="21">
        <v>60845.04</v>
      </c>
      <c r="K12" s="21">
        <f t="shared" si="0"/>
        <v>1336350.96</v>
      </c>
      <c r="M12" s="21">
        <f t="shared" si="3"/>
        <v>143180.46</v>
      </c>
      <c r="N12" s="27">
        <f t="shared" si="4"/>
        <v>1193170.5</v>
      </c>
      <c r="O12" s="33">
        <f t="shared" si="1"/>
        <v>11931.705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85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85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7907670.2400000002</v>
      </c>
      <c r="L28" s="44">
        <f ca="1">SUM(L7:L31)</f>
        <v>0</v>
      </c>
      <c r="M28" s="44">
        <f>SUM(M7:M27)</f>
        <v>847250.38285714271</v>
      </c>
      <c r="N28" s="44">
        <f>SUM(N7:N27)</f>
        <v>7060419.8571428573</v>
      </c>
      <c r="O28" s="44">
        <f>SUM(O7:O27)</f>
        <v>70604.198571428569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>
        <v>46334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 t="s">
        <v>90</v>
      </c>
      <c r="D37" s="20" t="s">
        <v>68</v>
      </c>
      <c r="E37" s="20"/>
      <c r="F37" s="20" t="s">
        <v>70</v>
      </c>
      <c r="G37" s="37" t="s">
        <v>91</v>
      </c>
      <c r="H37" s="20" t="s">
        <v>85</v>
      </c>
      <c r="I37" s="20"/>
      <c r="J37" s="20"/>
      <c r="K37" s="21">
        <f>11988+10656+179820</f>
        <v>202464</v>
      </c>
      <c r="M37" s="21">
        <f t="shared" si="8"/>
        <v>21692.571428571428</v>
      </c>
      <c r="N37" s="27">
        <f t="shared" si="10"/>
        <v>180771.42857142858</v>
      </c>
      <c r="O37" s="33">
        <f t="shared" si="9"/>
        <v>1807.7142857142858</v>
      </c>
    </row>
    <row r="38" spans="1:15" x14ac:dyDescent="0.25">
      <c r="A38">
        <v>6</v>
      </c>
      <c r="C38" s="19" t="s">
        <v>90</v>
      </c>
      <c r="D38" s="20" t="s">
        <v>68</v>
      </c>
      <c r="E38" s="20"/>
      <c r="F38" s="20" t="s">
        <v>70</v>
      </c>
      <c r="G38" s="37" t="s">
        <v>89</v>
      </c>
      <c r="H38" s="20" t="s">
        <v>85</v>
      </c>
      <c r="I38" s="20"/>
      <c r="J38" s="20"/>
      <c r="K38" s="21">
        <f>11988+10656+179820</f>
        <v>202464</v>
      </c>
      <c r="M38" s="21">
        <f t="shared" si="8"/>
        <v>21692.571428571428</v>
      </c>
      <c r="N38" s="27">
        <f t="shared" si="10"/>
        <v>180771.42857142858</v>
      </c>
      <c r="O38" s="33">
        <f t="shared" si="9"/>
        <v>1807.7142857142858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92</v>
      </c>
      <c r="H39" s="20" t="s">
        <v>85</v>
      </c>
      <c r="I39" s="20"/>
      <c r="J39" s="20"/>
      <c r="K39" s="21">
        <f>11988+191808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94</v>
      </c>
      <c r="D40" s="20" t="s">
        <v>68</v>
      </c>
      <c r="E40" s="20"/>
      <c r="F40" s="20" t="s">
        <v>70</v>
      </c>
      <c r="G40" s="37" t="s">
        <v>97</v>
      </c>
      <c r="H40" s="20" t="s">
        <v>85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94</v>
      </c>
      <c r="D41" s="20" t="s">
        <v>68</v>
      </c>
      <c r="E41" s="20"/>
      <c r="F41" s="20" t="s">
        <v>70</v>
      </c>
      <c r="G41" s="37" t="s">
        <v>95</v>
      </c>
      <c r="H41" s="20" t="s">
        <v>85</v>
      </c>
      <c r="I41" s="20"/>
      <c r="J41" s="20"/>
      <c r="K41" s="21">
        <f>11988+143856</f>
        <v>155844</v>
      </c>
      <c r="M41" s="21">
        <f t="shared" si="8"/>
        <v>16697.571428571428</v>
      </c>
      <c r="N41" s="27">
        <f t="shared" si="10"/>
        <v>139146.42857142858</v>
      </c>
      <c r="O41" s="33">
        <f t="shared" si="9"/>
        <v>1391.4642857142858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85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1569312</v>
      </c>
      <c r="L55" s="44">
        <f ca="1">SUM(L34:L58)</f>
        <v>0</v>
      </c>
      <c r="M55" s="44">
        <f>SUM(M34:M54)</f>
        <v>168140.57142857139</v>
      </c>
      <c r="N55" s="44">
        <f>SUM(N34:N54)</f>
        <v>1401171.4285714289</v>
      </c>
      <c r="O55" s="45">
        <f>SUM(O34:O54)</f>
        <v>14011.714285714288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96</v>
      </c>
      <c r="D61" s="20" t="s">
        <v>68</v>
      </c>
      <c r="E61" s="12"/>
      <c r="F61" s="20" t="s">
        <v>70</v>
      </c>
      <c r="G61" s="37" t="s">
        <v>95</v>
      </c>
      <c r="H61" s="20" t="s">
        <v>85</v>
      </c>
      <c r="I61" s="20"/>
      <c r="J61" s="20"/>
      <c r="K61" s="21">
        <f>11232+11340</f>
        <v>22572</v>
      </c>
      <c r="M61" s="21">
        <f t="shared" ref="M61:M80" si="11">O61*12</f>
        <v>2418.4285714285716</v>
      </c>
      <c r="N61" s="27">
        <f>K61-M61</f>
        <v>20153.571428571428</v>
      </c>
      <c r="O61" s="33">
        <f t="shared" ref="O61:O80" si="12">K61/112</f>
        <v>201.53571428571428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22572</v>
      </c>
      <c r="L82" s="44">
        <f ca="1">SUM(L61:L85)</f>
        <v>0</v>
      </c>
      <c r="M82" s="44">
        <f>SUM(M61:M81)</f>
        <v>2418.4285714285716</v>
      </c>
      <c r="N82" s="44">
        <f>SUM(N61:N81)</f>
        <v>20153.571428571428</v>
      </c>
      <c r="O82" s="45">
        <f>SUM(O61:O81)</f>
        <v>201.53571428571428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2026-08-20T06:17:52Z</dcterms:modified>
</cp:coreProperties>
</file>