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DE52F288-F6EE-49AF-825C-B36CBEEE5FAB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8-05-2026" sheetId="214" r:id="rId1"/>
    <sheet name="08-07-2026" sheetId="215" r:id="rId2"/>
    <sheet name="08-01-2026 (3)" sheetId="216" r:id="rId3"/>
    <sheet name="4th Trip GBDS" sheetId="207" state="hidden" r:id="rId4"/>
    <sheet name="5th Trip GBDS" sheetId="208" state="hidden" r:id="rId5"/>
  </sheets>
  <definedNames>
    <definedName name="_xlnm.Print_Area" localSheetId="2">'08-01-2026 (3)'!$A$1:$V$99</definedName>
    <definedName name="_xlnm.Print_Area" localSheetId="0">'08-05-2026'!$A$1:$V$99</definedName>
    <definedName name="_xlnm.Print_Area" localSheetId="1">'08-07-2026'!$A$1:$V$99</definedName>
    <definedName name="_xlnm.Print_Area" localSheetId="3">'4th Trip GBDS'!$A$1:$V$99</definedName>
    <definedName name="_xlnm.Print_Area" localSheetId="4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6" l="1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T77" i="216" s="1"/>
  <c r="X12" i="216"/>
  <c r="T79" i="216" s="1"/>
  <c r="Q12" i="216"/>
  <c r="O75" i="216" s="1"/>
  <c r="P12" i="216"/>
  <c r="I12" i="216"/>
  <c r="H12" i="216"/>
  <c r="E12" i="216"/>
  <c r="F77" i="216" l="1"/>
  <c r="T75" i="216"/>
  <c r="T81" i="216" s="1"/>
  <c r="F75" i="216"/>
  <c r="F79" i="216" s="1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O75" i="215" l="1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<sst xmlns="http://schemas.openxmlformats.org/spreadsheetml/2006/main" count="721" uniqueCount="142">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</sst>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 t="s">
        <v>138</v>
      </c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46235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6" t="s">
        <v>7</v>
      </c>
      <c r="U6" s="11" t="s">
        <v>137</v>
      </c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6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202464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178488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-202464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 t="str">
        <f>IF(U6&gt;0,"",T4+30)</f>
        <v/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T75+T77+T79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abSelected="1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139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 t="s">
        <v>140</v>
      </c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46241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 t="s">
        <v>141</v>
      </c>
      <c r="G6" s="208"/>
      <c r="H6" s="208"/>
      <c r="I6" s="208"/>
      <c r="J6" s="208"/>
      <c r="K6" s="208"/>
      <c r="L6" s="208"/>
      <c r="M6" s="208"/>
      <c r="S6" s="10" t="s">
        <v>6</v>
      </c>
      <c r="T6" s="197" t="s">
        <v>7</v>
      </c>
      <c r="U6" s="11" t="s">
        <v>137</v>
      </c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7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196020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175392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-196020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 t="str">
        <f>IF(U6&gt;0,"",T4+30)</f>
        <v/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T75+T77+T79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zoomScale="85" zoomScaleNormal="85" workbookViewId="0">
      <pane xSplit="2" topLeftCell="C1" activePane="topRight" state="frozen"/>
      <selection activeCell="U2" sqref="U2"/>
      <selection pane="topRight" activeCell="C26" sqref="C2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 t="s">
        <v>138</v>
      </c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46235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8" t="s">
        <v>7</v>
      </c>
      <c r="U6" s="11" t="s">
        <v>137</v>
      </c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8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0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0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0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 t="str">
        <f>IF(U6&gt;0,"",T4+30)</f>
        <v/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T75+T77+T79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133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4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4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0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0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0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>
        <f>IF(U6&gt;0,"",T4+30)</f>
        <v>46233</v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T79+T75+T77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134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4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4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1" t="s">
        <v>101</v>
      </c>
      <c r="C74" s="241"/>
      <c r="D74" s="241"/>
      <c r="E74" s="241"/>
      <c r="F74" s="241"/>
      <c r="G74" s="241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2">
        <f>SUM(I12:I73)</f>
        <v>382606</v>
      </c>
      <c r="G76" s="232"/>
      <c r="H76" s="232"/>
      <c r="I76" s="233"/>
      <c r="J76" s="157"/>
      <c r="K76" s="157"/>
      <c r="L76" s="157"/>
      <c r="M76" s="234" t="s">
        <v>103</v>
      </c>
      <c r="N76" s="235"/>
      <c r="O76" s="232">
        <f>SUM(Q12:Q73)</f>
        <v>0</v>
      </c>
      <c r="P76" s="232"/>
      <c r="Q76" s="233"/>
      <c r="R76" s="151"/>
      <c r="S76" s="158" t="s">
        <v>104</v>
      </c>
      <c r="T76" s="236">
        <f>SUM(Y12:Y71)</f>
        <v>11997.239999999998</v>
      </c>
      <c r="U76" s="237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2">
        <f>SUM(I14:I75)</f>
        <v>154834</v>
      </c>
      <c r="G78" s="232"/>
      <c r="H78" s="232"/>
      <c r="I78" s="233"/>
      <c r="J78" s="157"/>
      <c r="K78" s="157"/>
      <c r="L78" s="157"/>
      <c r="M78" s="234" t="s">
        <v>103</v>
      </c>
      <c r="N78" s="235"/>
      <c r="O78" s="232">
        <f>SUM(Q14:Q75)</f>
        <v>0</v>
      </c>
      <c r="P78" s="232"/>
      <c r="Q78" s="233"/>
      <c r="R78" s="151"/>
      <c r="S78" s="158" t="s">
        <v>129</v>
      </c>
      <c r="T78" s="236">
        <f>SUM(Z12:Z73)</f>
        <v>0</v>
      </c>
      <c r="U78" s="237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2">
        <f>IF(U7&gt;0,"",(F76-O76-T82-P82))</f>
        <v>370608.76</v>
      </c>
      <c r="G80" s="232"/>
      <c r="H80" s="232"/>
      <c r="I80" s="233"/>
      <c r="J80" s="163"/>
      <c r="K80" s="163"/>
      <c r="L80" s="163"/>
      <c r="M80" s="257" t="s">
        <v>106</v>
      </c>
      <c r="N80" s="257"/>
      <c r="O80" s="167" t="s">
        <v>107</v>
      </c>
      <c r="P80" s="249"/>
      <c r="Q80" s="250"/>
      <c r="R80" s="151"/>
      <c r="S80" s="158" t="s">
        <v>108</v>
      </c>
      <c r="T80" s="236">
        <f>IF(SUM(X12:X71)*0.15&gt;P80,P80,SUM(X12:X71)*0.15)</f>
        <v>0</v>
      </c>
      <c r="U80" s="237"/>
      <c r="V80" s="159"/>
      <c r="W80" s="203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2"/>
      <c r="G82" s="232"/>
      <c r="H82" s="232"/>
      <c r="I82" s="233"/>
      <c r="J82" s="163"/>
      <c r="K82" s="163"/>
      <c r="L82" s="163"/>
      <c r="M82" s="247">
        <f>IF(U6&gt;0,"",T4+30)</f>
        <v>46233</v>
      </c>
      <c r="N82" s="248"/>
      <c r="O82" s="167" t="s">
        <v>111</v>
      </c>
      <c r="P82" s="249"/>
      <c r="Q82" s="250"/>
      <c r="R82" s="151"/>
      <c r="S82" s="158" t="s">
        <v>112</v>
      </c>
      <c r="T82" s="236">
        <f>T80+T76+T78</f>
        <v>11997.239999999998</v>
      </c>
      <c r="U82" s="237"/>
      <c r="V82" s="159"/>
      <c r="W82" s="205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3" t="s">
        <v>113</v>
      </c>
      <c r="C84" s="274"/>
      <c r="D84" s="274"/>
      <c r="E84" s="274"/>
      <c r="F84" s="274"/>
      <c r="G84" s="274"/>
      <c r="H84" s="275"/>
      <c r="I84" s="282" t="s">
        <v>114</v>
      </c>
      <c r="J84" s="170"/>
      <c r="K84" s="170"/>
      <c r="L84" s="170"/>
      <c r="M84" s="284"/>
      <c r="N84" s="287" t="s">
        <v>115</v>
      </c>
      <c r="O84" s="290"/>
      <c r="P84" s="284"/>
      <c r="Q84" s="251" t="s">
        <v>116</v>
      </c>
      <c r="R84" s="252"/>
      <c r="S84" s="267"/>
      <c r="T84" s="251" t="s">
        <v>117</v>
      </c>
      <c r="U84" s="270"/>
    </row>
    <row r="85" spans="2:35" ht="15" customHeight="1" x14ac:dyDescent="0.25">
      <c r="B85" s="276"/>
      <c r="C85" s="277"/>
      <c r="D85" s="277"/>
      <c r="E85" s="277"/>
      <c r="F85" s="277"/>
      <c r="G85" s="277"/>
      <c r="H85" s="278"/>
      <c r="I85" s="264"/>
      <c r="J85" s="2"/>
      <c r="K85" s="2"/>
      <c r="L85" s="2"/>
      <c r="M85" s="285"/>
      <c r="N85" s="288"/>
      <c r="O85" s="291"/>
      <c r="P85" s="285"/>
      <c r="Q85" s="253"/>
      <c r="R85" s="254"/>
      <c r="S85" s="268"/>
      <c r="T85" s="253"/>
      <c r="U85" s="271"/>
    </row>
    <row r="86" spans="2:35" ht="15.75" customHeight="1" thickBot="1" x14ac:dyDescent="0.3">
      <c r="B86" s="279"/>
      <c r="C86" s="280"/>
      <c r="D86" s="280"/>
      <c r="E86" s="280"/>
      <c r="F86" s="280"/>
      <c r="G86" s="280"/>
      <c r="H86" s="281"/>
      <c r="I86" s="283"/>
      <c r="J86" s="171"/>
      <c r="K86" s="171"/>
      <c r="L86" s="171"/>
      <c r="M86" s="286"/>
      <c r="N86" s="289"/>
      <c r="O86" s="292"/>
      <c r="P86" s="286"/>
      <c r="Q86" s="255"/>
      <c r="R86" s="256"/>
      <c r="S86" s="269"/>
      <c r="T86" s="255"/>
      <c r="U86" s="272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58" t="s">
        <v>131</v>
      </c>
      <c r="C91" s="259"/>
      <c r="D91" s="259"/>
      <c r="E91" s="259"/>
      <c r="F91" s="259"/>
      <c r="G91" s="259"/>
      <c r="H91" s="259"/>
      <c r="I91" s="260"/>
      <c r="J91" s="184"/>
      <c r="K91" s="184"/>
      <c r="L91" s="184"/>
      <c r="M91" s="258"/>
      <c r="N91" s="259"/>
      <c r="O91" s="259"/>
      <c r="P91" s="259"/>
      <c r="Q91" s="260"/>
      <c r="R91" s="186"/>
      <c r="S91" s="187"/>
      <c r="T91" s="187"/>
      <c r="U91" s="188"/>
    </row>
    <row r="92" spans="2:35" ht="18" x14ac:dyDescent="0.25">
      <c r="B92" s="261" t="s">
        <v>122</v>
      </c>
      <c r="C92" s="262"/>
      <c r="D92" s="262"/>
      <c r="E92" s="262"/>
      <c r="F92" s="262"/>
      <c r="G92" s="262"/>
      <c r="H92" s="262"/>
      <c r="I92" s="263"/>
      <c r="M92" s="261" t="s">
        <v>122</v>
      </c>
      <c r="N92" s="262"/>
      <c r="O92" s="262"/>
      <c r="P92" s="262"/>
      <c r="Q92" s="263"/>
      <c r="R92" s="264" t="s">
        <v>123</v>
      </c>
      <c r="S92" s="265"/>
      <c r="T92" s="265"/>
      <c r="U92" s="266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58" t="s">
        <v>132</v>
      </c>
      <c r="C96" s="259"/>
      <c r="D96" s="259"/>
      <c r="E96" s="259"/>
      <c r="F96" s="259"/>
      <c r="G96" s="259"/>
      <c r="H96" s="259"/>
      <c r="I96" s="260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1" t="s">
        <v>126</v>
      </c>
      <c r="C97" s="262"/>
      <c r="D97" s="262"/>
      <c r="E97" s="262"/>
      <c r="F97" s="262"/>
      <c r="G97" s="262"/>
      <c r="H97" s="262"/>
      <c r="I97" s="263"/>
      <c r="M97" s="178"/>
      <c r="Q97" s="179"/>
      <c r="R97" s="264" t="s">
        <v>127</v>
      </c>
      <c r="S97" s="265"/>
      <c r="T97" s="265"/>
      <c r="U97" s="266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08-05-2026</vt:lpstr>
      <vt:lpstr>08-07-2026</vt:lpstr>
      <vt:lpstr>08-01-2026 (3)</vt:lpstr>
      <vt:lpstr>4th Trip GBDS</vt:lpstr>
      <vt:lpstr>5th Trip GBDS</vt:lpstr>
      <vt:lpstr>'08-01-2026 (3)'!Print_Area</vt:lpstr>
      <vt:lpstr>'08-05-2026'!Print_Area</vt:lpstr>
      <vt:lpstr>'08-07-2026'!Print_Area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2026-08-07T03:14:29Z</dcterms:modified>
</cp:coreProperties>
</file>