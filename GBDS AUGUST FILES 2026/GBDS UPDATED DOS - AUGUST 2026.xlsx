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wdp" ContentType="image/vnd.ms-photo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UGUST FILES 2026\"/>
    </mc:Choice>
  </mc:AlternateContent>
  <xr:revisionPtr revIDLastSave="0" documentId="13_ncr:1_{EFE6B528-AAA5-4383-BE79-65C0CAD62ADD}" xr6:coauthVersionLast="45" xr6:coauthVersionMax="47" xr10:uidLastSave="{00000000-0000-0000-0000-000000000000}"/>
  <bookViews>
    <workbookView xWindow="-120" yWindow="-120" windowWidth="29040" windowHeight="15840" activeTab="2" xr2:uid="{EAA847CC-C244-4239-B005-CBB8C204AC80}"/>
  </bookViews>
  <sheets>
    <sheet name="08-05-2026" sheetId="214" r:id="rId1"/>
    <sheet name="08-07-2026" sheetId="215" r:id="rId2"/>
    <sheet name="08-11-2026" sheetId="216" r:id="rId3"/>
    <sheet name="4th Trip GBDS" sheetId="207" state="hidden" r:id="rId4"/>
    <sheet name="5th Trip GBDS" sheetId="208" state="hidden" r:id="rId5"/>
  </sheets>
  <definedNames>
    <definedName name="_xlnm.Print_Area" localSheetId="0">'08-05-2026'!$A$1:$V$99</definedName>
    <definedName name="_xlnm.Print_Area" localSheetId="1">'08-07-2026'!$A$1:$V$99</definedName>
    <definedName name="_xlnm.Print_Area" localSheetId="2">'08-11-2026'!$A$1:$V$99</definedName>
    <definedName name="_xlnm.Print_Area" localSheetId="3">'4th Trip GBDS'!$A$1:$V$99</definedName>
    <definedName name="_xlnm.Print_Area" localSheetId="4">'5th Trip GBDS'!$A$1:$V$100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81" i="216" l="1"/>
  <c r="P73" i="216"/>
  <c r="H73" i="216"/>
  <c r="Q72" i="216"/>
  <c r="P72" i="216"/>
  <c r="I72" i="216"/>
  <c r="H72" i="216"/>
  <c r="E72" i="216"/>
  <c r="Q71" i="216"/>
  <c r="P71" i="216"/>
  <c r="I71" i="216"/>
  <c r="H71" i="216"/>
  <c r="E71" i="216"/>
  <c r="AD70" i="216"/>
  <c r="AC70" i="216"/>
  <c r="AB70" i="216"/>
  <c r="AE70" i="216" s="1"/>
  <c r="AI70" i="216" s="1"/>
  <c r="Y70" i="216" s="1"/>
  <c r="Z70" i="216"/>
  <c r="X70" i="216"/>
  <c r="Q70" i="216"/>
  <c r="P70" i="216"/>
  <c r="H70" i="216"/>
  <c r="E70" i="216"/>
  <c r="I70" i="216" s="1"/>
  <c r="AE69" i="216"/>
  <c r="AI69" i="216" s="1"/>
  <c r="Y69" i="216" s="1"/>
  <c r="AD69" i="216"/>
  <c r="AC69" i="216"/>
  <c r="AB69" i="216"/>
  <c r="Z69" i="216"/>
  <c r="X69" i="216"/>
  <c r="Q69" i="216"/>
  <c r="P69" i="216"/>
  <c r="H69" i="216"/>
  <c r="E69" i="216"/>
  <c r="I69" i="216" s="1"/>
  <c r="AE68" i="216"/>
  <c r="AI68" i="216" s="1"/>
  <c r="Y68" i="216" s="1"/>
  <c r="AD68" i="216"/>
  <c r="AC68" i="216"/>
  <c r="AB68" i="216"/>
  <c r="Z68" i="216"/>
  <c r="X68" i="216"/>
  <c r="Q68" i="216"/>
  <c r="P68" i="216"/>
  <c r="I68" i="216"/>
  <c r="H68" i="216"/>
  <c r="E68" i="216"/>
  <c r="AD67" i="216"/>
  <c r="AC67" i="216"/>
  <c r="AB67" i="216"/>
  <c r="AE67" i="216" s="1"/>
  <c r="AI67" i="216" s="1"/>
  <c r="Y67" i="216" s="1"/>
  <c r="Z67" i="216"/>
  <c r="X67" i="216"/>
  <c r="Q67" i="216"/>
  <c r="P67" i="216"/>
  <c r="H67" i="216"/>
  <c r="E67" i="216"/>
  <c r="I67" i="216" s="1"/>
  <c r="AI66" i="216"/>
  <c r="Y66" i="216" s="1"/>
  <c r="AE66" i="216"/>
  <c r="AD66" i="216"/>
  <c r="AC66" i="216"/>
  <c r="AB66" i="216"/>
  <c r="Z66" i="216"/>
  <c r="X66" i="216"/>
  <c r="Q66" i="216"/>
  <c r="P66" i="216"/>
  <c r="I66" i="216"/>
  <c r="H66" i="216"/>
  <c r="E66" i="216"/>
  <c r="AD65" i="216"/>
  <c r="AC65" i="216"/>
  <c r="AB65" i="216"/>
  <c r="AE65" i="216" s="1"/>
  <c r="AI65" i="216" s="1"/>
  <c r="Y65" i="216" s="1"/>
  <c r="Z65" i="216"/>
  <c r="X65" i="216"/>
  <c r="Q65" i="216"/>
  <c r="P65" i="216"/>
  <c r="I65" i="216"/>
  <c r="H65" i="216"/>
  <c r="E65" i="216"/>
  <c r="AD64" i="216"/>
  <c r="AC64" i="216"/>
  <c r="AB64" i="216"/>
  <c r="AE64" i="216" s="1"/>
  <c r="AI64" i="216" s="1"/>
  <c r="Y64" i="216" s="1"/>
  <c r="Z64" i="216"/>
  <c r="X64" i="216"/>
  <c r="Q64" i="216"/>
  <c r="P64" i="216"/>
  <c r="H64" i="216"/>
  <c r="E64" i="216"/>
  <c r="I64" i="216" s="1"/>
  <c r="AC63" i="216"/>
  <c r="AE63" i="216" s="1"/>
  <c r="AI63" i="216" s="1"/>
  <c r="Y63" i="216" s="1"/>
  <c r="AB63" i="216"/>
  <c r="X63" i="216"/>
  <c r="Q63" i="216"/>
  <c r="P63" i="216"/>
  <c r="H63" i="216"/>
  <c r="E63" i="216"/>
  <c r="I63" i="216" s="1"/>
  <c r="AI62" i="216"/>
  <c r="Y62" i="216" s="1"/>
  <c r="AE62" i="216"/>
  <c r="X62" i="216"/>
  <c r="Q62" i="216"/>
  <c r="P62" i="216"/>
  <c r="I62" i="216"/>
  <c r="H62" i="216"/>
  <c r="E62" i="216"/>
  <c r="AC61" i="216"/>
  <c r="AB61" i="216"/>
  <c r="AE61" i="216" s="1"/>
  <c r="AI61" i="216" s="1"/>
  <c r="Y61" i="216" s="1"/>
  <c r="X61" i="216"/>
  <c r="Q61" i="216"/>
  <c r="P61" i="216"/>
  <c r="H61" i="216"/>
  <c r="E61" i="216"/>
  <c r="I61" i="216" s="1"/>
  <c r="AE60" i="216"/>
  <c r="AI60" i="216" s="1"/>
  <c r="Y60" i="216" s="1"/>
  <c r="AC60" i="216"/>
  <c r="AB60" i="216"/>
  <c r="X60" i="216"/>
  <c r="Q60" i="216"/>
  <c r="P60" i="216"/>
  <c r="E60" i="216"/>
  <c r="I60" i="216" s="1"/>
  <c r="AI59" i="216"/>
  <c r="Y59" i="216" s="1"/>
  <c r="AE59" i="216"/>
  <c r="AC59" i="216"/>
  <c r="AB59" i="216"/>
  <c r="X59" i="216"/>
  <c r="Q59" i="216"/>
  <c r="P59" i="216"/>
  <c r="I59" i="216"/>
  <c r="H59" i="216"/>
  <c r="E59" i="216"/>
  <c r="AD58" i="216"/>
  <c r="AC58" i="216"/>
  <c r="AB58" i="216"/>
  <c r="AE58" i="216" s="1"/>
  <c r="AI58" i="216" s="1"/>
  <c r="Y58" i="216" s="1"/>
  <c r="Z58" i="216"/>
  <c r="X58" i="216"/>
  <c r="Q58" i="216"/>
  <c r="P58" i="216"/>
  <c r="I58" i="216"/>
  <c r="H58" i="216"/>
  <c r="E58" i="216"/>
  <c r="AE57" i="216"/>
  <c r="AI57" i="216" s="1"/>
  <c r="Y57" i="216" s="1"/>
  <c r="AD57" i="216"/>
  <c r="AC57" i="216"/>
  <c r="AB57" i="216"/>
  <c r="Z57" i="216"/>
  <c r="X57" i="216"/>
  <c r="Q57" i="216"/>
  <c r="P57" i="216"/>
  <c r="H57" i="216"/>
  <c r="E57" i="216"/>
  <c r="I57" i="216" s="1"/>
  <c r="AD56" i="216"/>
  <c r="AC56" i="216"/>
  <c r="AB56" i="216"/>
  <c r="AE56" i="216" s="1"/>
  <c r="AI56" i="216" s="1"/>
  <c r="Y56" i="216" s="1"/>
  <c r="Z56" i="216"/>
  <c r="X56" i="216"/>
  <c r="Q56" i="216"/>
  <c r="P56" i="216"/>
  <c r="H56" i="216"/>
  <c r="E56" i="216"/>
  <c r="I56" i="216" s="1"/>
  <c r="AD55" i="216"/>
  <c r="AC55" i="216"/>
  <c r="AB55" i="216"/>
  <c r="AE55" i="216" s="1"/>
  <c r="AI55" i="216" s="1"/>
  <c r="Y55" i="216" s="1"/>
  <c r="Z55" i="216"/>
  <c r="X55" i="216"/>
  <c r="Q55" i="216"/>
  <c r="P55" i="216"/>
  <c r="H55" i="216"/>
  <c r="E55" i="216"/>
  <c r="I55" i="216" s="1"/>
  <c r="AE54" i="216"/>
  <c r="AI54" i="216" s="1"/>
  <c r="Y54" i="216" s="1"/>
  <c r="Z54" i="216"/>
  <c r="X54" i="216"/>
  <c r="Q54" i="216"/>
  <c r="P54" i="216"/>
  <c r="H54" i="216"/>
  <c r="E54" i="216"/>
  <c r="I54" i="216" s="1"/>
  <c r="AI53" i="216"/>
  <c r="Y53" i="216" s="1"/>
  <c r="AE53" i="216"/>
  <c r="AD53" i="216"/>
  <c r="AC53" i="216"/>
  <c r="AB53" i="216"/>
  <c r="Z53" i="216"/>
  <c r="X53" i="216"/>
  <c r="Q53" i="216"/>
  <c r="P53" i="216"/>
  <c r="H53" i="216"/>
  <c r="E53" i="216"/>
  <c r="I53" i="216" s="1"/>
  <c r="AE52" i="216"/>
  <c r="AI52" i="216" s="1"/>
  <c r="Y52" i="216" s="1"/>
  <c r="AD52" i="216"/>
  <c r="AC52" i="216"/>
  <c r="AB52" i="216"/>
  <c r="Z52" i="216"/>
  <c r="X52" i="216"/>
  <c r="Q52" i="216"/>
  <c r="P52" i="216"/>
  <c r="I52" i="216"/>
  <c r="H52" i="216"/>
  <c r="E52" i="216"/>
  <c r="AE51" i="216"/>
  <c r="AI51" i="216" s="1"/>
  <c r="Y51" i="216" s="1"/>
  <c r="Z51" i="216"/>
  <c r="X51" i="216"/>
  <c r="Q51" i="216"/>
  <c r="P51" i="216"/>
  <c r="I51" i="216"/>
  <c r="H51" i="216"/>
  <c r="E51" i="216"/>
  <c r="AE50" i="216"/>
  <c r="AI50" i="216" s="1"/>
  <c r="Y50" i="216" s="1"/>
  <c r="Z50" i="216"/>
  <c r="X50" i="216"/>
  <c r="Q50" i="216"/>
  <c r="P50" i="216"/>
  <c r="I50" i="216"/>
  <c r="H50" i="216"/>
  <c r="E50" i="216"/>
  <c r="AI49" i="216"/>
  <c r="Y49" i="216" s="1"/>
  <c r="AE49" i="216"/>
  <c r="Z49" i="216"/>
  <c r="X49" i="216"/>
  <c r="Q49" i="216"/>
  <c r="P49" i="216"/>
  <c r="H49" i="216"/>
  <c r="E49" i="216"/>
  <c r="I49" i="216" s="1"/>
  <c r="AD48" i="216"/>
  <c r="AC48" i="216"/>
  <c r="AB48" i="216"/>
  <c r="AE48" i="216" s="1"/>
  <c r="AI48" i="216" s="1"/>
  <c r="Y48" i="216" s="1"/>
  <c r="Z48" i="216"/>
  <c r="X48" i="216"/>
  <c r="Q48" i="216"/>
  <c r="P48" i="216"/>
  <c r="H48" i="216"/>
  <c r="E48" i="216"/>
  <c r="I48" i="216" s="1"/>
  <c r="AD47" i="216"/>
  <c r="AC47" i="216"/>
  <c r="AB47" i="216"/>
  <c r="AE47" i="216" s="1"/>
  <c r="AI47" i="216" s="1"/>
  <c r="Y47" i="216" s="1"/>
  <c r="Z47" i="216"/>
  <c r="X47" i="216"/>
  <c r="Q47" i="216"/>
  <c r="P47" i="216"/>
  <c r="H47" i="216"/>
  <c r="E47" i="216"/>
  <c r="I47" i="216" s="1"/>
  <c r="AD46" i="216"/>
  <c r="AC46" i="216"/>
  <c r="AB46" i="216"/>
  <c r="AE46" i="216" s="1"/>
  <c r="AI46" i="216" s="1"/>
  <c r="Y46" i="216" s="1"/>
  <c r="Z46" i="216"/>
  <c r="X46" i="216"/>
  <c r="Q46" i="216"/>
  <c r="P46" i="216"/>
  <c r="I46" i="216"/>
  <c r="H46" i="216"/>
  <c r="E46" i="216"/>
  <c r="AE45" i="216"/>
  <c r="AI45" i="216" s="1"/>
  <c r="Y45" i="216" s="1"/>
  <c r="AD45" i="216"/>
  <c r="AC45" i="216"/>
  <c r="AB45" i="216"/>
  <c r="Z45" i="216"/>
  <c r="X45" i="216"/>
  <c r="Q45" i="216"/>
  <c r="P45" i="216"/>
  <c r="H45" i="216"/>
  <c r="E45" i="216"/>
  <c r="I45" i="216" s="1"/>
  <c r="AD44" i="216"/>
  <c r="AC44" i="216"/>
  <c r="AB44" i="216"/>
  <c r="AE44" i="216" s="1"/>
  <c r="AI44" i="216" s="1"/>
  <c r="Y44" i="216" s="1"/>
  <c r="Z44" i="216"/>
  <c r="X44" i="216"/>
  <c r="Q44" i="216"/>
  <c r="P44" i="216"/>
  <c r="H44" i="216"/>
  <c r="E44" i="216"/>
  <c r="I44" i="216" s="1"/>
  <c r="AD43" i="216"/>
  <c r="AC43" i="216"/>
  <c r="AB43" i="216"/>
  <c r="AE43" i="216" s="1"/>
  <c r="AI43" i="216" s="1"/>
  <c r="Y43" i="216" s="1"/>
  <c r="Z43" i="216"/>
  <c r="X43" i="216"/>
  <c r="Q43" i="216"/>
  <c r="P43" i="216"/>
  <c r="H43" i="216"/>
  <c r="E43" i="216"/>
  <c r="I43" i="216" s="1"/>
  <c r="AE42" i="216"/>
  <c r="AI42" i="216" s="1"/>
  <c r="Y42" i="216" s="1"/>
  <c r="AD42" i="216"/>
  <c r="AC42" i="216"/>
  <c r="AB42" i="216"/>
  <c r="Z42" i="216"/>
  <c r="X42" i="216"/>
  <c r="Q42" i="216"/>
  <c r="P42" i="216"/>
  <c r="I42" i="216"/>
  <c r="H42" i="216"/>
  <c r="E42" i="216"/>
  <c r="AD41" i="216"/>
  <c r="AC41" i="216"/>
  <c r="AB41" i="216"/>
  <c r="AE41" i="216" s="1"/>
  <c r="AI41" i="216" s="1"/>
  <c r="Y41" i="216" s="1"/>
  <c r="Z41" i="216"/>
  <c r="X41" i="216"/>
  <c r="Q41" i="216"/>
  <c r="P41" i="216"/>
  <c r="I41" i="216"/>
  <c r="H41" i="216"/>
  <c r="E41" i="216"/>
  <c r="AI40" i="216"/>
  <c r="Y40" i="216" s="1"/>
  <c r="AE40" i="216"/>
  <c r="AD40" i="216"/>
  <c r="AC40" i="216"/>
  <c r="AB40" i="216"/>
  <c r="Z40" i="216"/>
  <c r="X40" i="216"/>
  <c r="Q40" i="216"/>
  <c r="P40" i="216"/>
  <c r="H40" i="216"/>
  <c r="E40" i="216"/>
  <c r="I40" i="216" s="1"/>
  <c r="AE39" i="216"/>
  <c r="AI39" i="216" s="1"/>
  <c r="Y39" i="216" s="1"/>
  <c r="AD39" i="216"/>
  <c r="AC39" i="216"/>
  <c r="AB39" i="216"/>
  <c r="Z39" i="216"/>
  <c r="X39" i="216"/>
  <c r="Q39" i="216"/>
  <c r="P39" i="216"/>
  <c r="I39" i="216"/>
  <c r="H39" i="216"/>
  <c r="E39" i="216"/>
  <c r="AD38" i="216"/>
  <c r="AC38" i="216"/>
  <c r="AB38" i="216"/>
  <c r="AE38" i="216" s="1"/>
  <c r="AI38" i="216" s="1"/>
  <c r="Y38" i="216" s="1"/>
  <c r="Z38" i="216"/>
  <c r="X38" i="216"/>
  <c r="Q38" i="216"/>
  <c r="P38" i="216"/>
  <c r="H38" i="216"/>
  <c r="E38" i="216"/>
  <c r="I38" i="216" s="1"/>
  <c r="AI37" i="216"/>
  <c r="Y37" i="216" s="1"/>
  <c r="AE37" i="216"/>
  <c r="AD37" i="216"/>
  <c r="AC37" i="216"/>
  <c r="AB37" i="216"/>
  <c r="Z37" i="216"/>
  <c r="X37" i="216"/>
  <c r="Q37" i="216"/>
  <c r="P37" i="216"/>
  <c r="I37" i="216"/>
  <c r="H37" i="216"/>
  <c r="E37" i="216"/>
  <c r="AD36" i="216"/>
  <c r="AC36" i="216"/>
  <c r="AB36" i="216"/>
  <c r="AE36" i="216" s="1"/>
  <c r="AI36" i="216" s="1"/>
  <c r="Y36" i="216" s="1"/>
  <c r="Z36" i="216"/>
  <c r="X36" i="216"/>
  <c r="Q36" i="216"/>
  <c r="P36" i="216"/>
  <c r="I36" i="216"/>
  <c r="H36" i="216"/>
  <c r="E36" i="216"/>
  <c r="AI35" i="216"/>
  <c r="AE35" i="216"/>
  <c r="AD35" i="216"/>
  <c r="AC35" i="216"/>
  <c r="AB35" i="216"/>
  <c r="Z35" i="216"/>
  <c r="Y35" i="216"/>
  <c r="X35" i="216"/>
  <c r="Q35" i="216"/>
  <c r="P35" i="216"/>
  <c r="H35" i="216"/>
  <c r="E35" i="216"/>
  <c r="I35" i="216" s="1"/>
  <c r="AD34" i="216"/>
  <c r="AC34" i="216"/>
  <c r="AE34" i="216" s="1"/>
  <c r="AI34" i="216" s="1"/>
  <c r="Y34" i="216" s="1"/>
  <c r="AB34" i="216"/>
  <c r="Z34" i="216"/>
  <c r="X34" i="216"/>
  <c r="Q34" i="216"/>
  <c r="P34" i="216"/>
  <c r="I34" i="216"/>
  <c r="H34" i="216"/>
  <c r="E34" i="216"/>
  <c r="AE33" i="216"/>
  <c r="AI33" i="216" s="1"/>
  <c r="Y33" i="216" s="1"/>
  <c r="AD33" i="216"/>
  <c r="AC33" i="216"/>
  <c r="AB33" i="216"/>
  <c r="Z33" i="216"/>
  <c r="X33" i="216"/>
  <c r="Q33" i="216"/>
  <c r="P33" i="216"/>
  <c r="H33" i="216"/>
  <c r="E33" i="216"/>
  <c r="I33" i="216" s="1"/>
  <c r="AD32" i="216"/>
  <c r="AC32" i="216"/>
  <c r="AB32" i="216"/>
  <c r="AE32" i="216" s="1"/>
  <c r="AI32" i="216" s="1"/>
  <c r="Y32" i="216" s="1"/>
  <c r="Z32" i="216"/>
  <c r="X32" i="216"/>
  <c r="Q32" i="216"/>
  <c r="P32" i="216"/>
  <c r="H32" i="216"/>
  <c r="E32" i="216"/>
  <c r="I32" i="216" s="1"/>
  <c r="AE31" i="216"/>
  <c r="AI31" i="216" s="1"/>
  <c r="Y31" i="216" s="1"/>
  <c r="Z31" i="216"/>
  <c r="X31" i="216"/>
  <c r="Q31" i="216"/>
  <c r="P31" i="216"/>
  <c r="I31" i="216"/>
  <c r="H31" i="216"/>
  <c r="E31" i="216"/>
  <c r="AE30" i="216"/>
  <c r="AI30" i="216" s="1"/>
  <c r="Y30" i="216" s="1"/>
  <c r="AD30" i="216"/>
  <c r="AC30" i="216"/>
  <c r="AB30" i="216"/>
  <c r="Z30" i="216"/>
  <c r="X30" i="216"/>
  <c r="Q30" i="216"/>
  <c r="P30" i="216"/>
  <c r="H30" i="216"/>
  <c r="E30" i="216"/>
  <c r="I30" i="216" s="1"/>
  <c r="AD29" i="216"/>
  <c r="AE29" i="216" s="1"/>
  <c r="AI29" i="216" s="1"/>
  <c r="Y29" i="216" s="1"/>
  <c r="AC29" i="216"/>
  <c r="AB29" i="216"/>
  <c r="Z29" i="216"/>
  <c r="X29" i="216"/>
  <c r="Q29" i="216"/>
  <c r="P29" i="216"/>
  <c r="H29" i="216"/>
  <c r="E29" i="216"/>
  <c r="I29" i="216" s="1"/>
  <c r="AD28" i="216"/>
  <c r="AC28" i="216"/>
  <c r="AB28" i="216"/>
  <c r="AE28" i="216" s="1"/>
  <c r="AI28" i="216" s="1"/>
  <c r="Y28" i="216" s="1"/>
  <c r="Z28" i="216"/>
  <c r="X28" i="216"/>
  <c r="Q28" i="216"/>
  <c r="P28" i="216"/>
  <c r="H28" i="216"/>
  <c r="E28" i="216"/>
  <c r="I28" i="216" s="1"/>
  <c r="AE27" i="216"/>
  <c r="AI27" i="216" s="1"/>
  <c r="Y27" i="216" s="1"/>
  <c r="AD27" i="216"/>
  <c r="AC27" i="216"/>
  <c r="AB27" i="216"/>
  <c r="Z27" i="216"/>
  <c r="X27" i="216"/>
  <c r="Q27" i="216"/>
  <c r="P27" i="216"/>
  <c r="I27" i="216"/>
  <c r="H27" i="216"/>
  <c r="E27" i="216"/>
  <c r="AD26" i="216"/>
  <c r="AC26" i="216"/>
  <c r="AB26" i="216"/>
  <c r="AE26" i="216" s="1"/>
  <c r="AI26" i="216" s="1"/>
  <c r="Y26" i="216" s="1"/>
  <c r="Z26" i="216"/>
  <c r="X26" i="216"/>
  <c r="Q26" i="216"/>
  <c r="P26" i="216"/>
  <c r="I26" i="216"/>
  <c r="H26" i="216"/>
  <c r="E26" i="216"/>
  <c r="AE25" i="216"/>
  <c r="AI25" i="216" s="1"/>
  <c r="Y25" i="216" s="1"/>
  <c r="AD25" i="216"/>
  <c r="AC25" i="216"/>
  <c r="AB25" i="216"/>
  <c r="Z25" i="216"/>
  <c r="X25" i="216"/>
  <c r="Q25" i="216"/>
  <c r="P25" i="216"/>
  <c r="H25" i="216"/>
  <c r="E25" i="216"/>
  <c r="I25" i="216" s="1"/>
  <c r="AE24" i="216"/>
  <c r="AI24" i="216" s="1"/>
  <c r="Y24" i="216" s="1"/>
  <c r="AD24" i="216"/>
  <c r="AC24" i="216"/>
  <c r="AB24" i="216"/>
  <c r="Z24" i="216"/>
  <c r="X24" i="216"/>
  <c r="Q24" i="216"/>
  <c r="P24" i="216"/>
  <c r="I24" i="216"/>
  <c r="H24" i="216"/>
  <c r="E24" i="216"/>
  <c r="AD23" i="216"/>
  <c r="AC23" i="216"/>
  <c r="AB23" i="216"/>
  <c r="AE23" i="216" s="1"/>
  <c r="AI23" i="216" s="1"/>
  <c r="Y23" i="216" s="1"/>
  <c r="Z23" i="216"/>
  <c r="X23" i="216"/>
  <c r="Q23" i="216"/>
  <c r="P23" i="216"/>
  <c r="H23" i="216"/>
  <c r="E23" i="216"/>
  <c r="I23" i="216" s="1"/>
  <c r="AI22" i="216"/>
  <c r="Y22" i="216" s="1"/>
  <c r="AE22" i="216"/>
  <c r="AD22" i="216"/>
  <c r="AC22" i="216"/>
  <c r="AB22" i="216"/>
  <c r="Z22" i="216"/>
  <c r="X22" i="216"/>
  <c r="Q22" i="216"/>
  <c r="P22" i="216"/>
  <c r="I22" i="216"/>
  <c r="H22" i="216"/>
  <c r="E22" i="216"/>
  <c r="AD21" i="216"/>
  <c r="AC21" i="216"/>
  <c r="AB21" i="216"/>
  <c r="AE21" i="216" s="1"/>
  <c r="AI21" i="216" s="1"/>
  <c r="Y21" i="216" s="1"/>
  <c r="Z21" i="216"/>
  <c r="X21" i="216"/>
  <c r="Q21" i="216"/>
  <c r="P21" i="216"/>
  <c r="I21" i="216"/>
  <c r="H21" i="216"/>
  <c r="E21" i="216"/>
  <c r="AD20" i="216"/>
  <c r="AC20" i="216"/>
  <c r="AB20" i="216"/>
  <c r="AE20" i="216" s="1"/>
  <c r="AI20" i="216" s="1"/>
  <c r="Y20" i="216" s="1"/>
  <c r="Z20" i="216"/>
  <c r="X20" i="216"/>
  <c r="Q20" i="216"/>
  <c r="P20" i="216"/>
  <c r="H20" i="216"/>
  <c r="E20" i="216"/>
  <c r="I20" i="216" s="1"/>
  <c r="AD19" i="216"/>
  <c r="AE19" i="216" s="1"/>
  <c r="AI19" i="216" s="1"/>
  <c r="Y19" i="216" s="1"/>
  <c r="AC19" i="216"/>
  <c r="AB19" i="216"/>
  <c r="Z19" i="216"/>
  <c r="X19" i="216"/>
  <c r="Q19" i="216"/>
  <c r="P19" i="216"/>
  <c r="I19" i="216"/>
  <c r="H19" i="216"/>
  <c r="E19" i="216"/>
  <c r="AE18" i="216"/>
  <c r="AI18" i="216" s="1"/>
  <c r="Y18" i="216" s="1"/>
  <c r="AD18" i="216"/>
  <c r="AC18" i="216"/>
  <c r="AB18" i="216"/>
  <c r="Z18" i="216"/>
  <c r="X18" i="216"/>
  <c r="Q18" i="216"/>
  <c r="P18" i="216"/>
  <c r="H18" i="216"/>
  <c r="E18" i="216"/>
  <c r="I18" i="216" s="1"/>
  <c r="AD17" i="216"/>
  <c r="AC17" i="216"/>
  <c r="AB17" i="216"/>
  <c r="AE17" i="216" s="1"/>
  <c r="AI17" i="216" s="1"/>
  <c r="Y17" i="216" s="1"/>
  <c r="Z17" i="216"/>
  <c r="X17" i="216"/>
  <c r="Q17" i="216"/>
  <c r="P17" i="216"/>
  <c r="H17" i="216"/>
  <c r="E17" i="216"/>
  <c r="I17" i="216" s="1"/>
  <c r="AD16" i="216"/>
  <c r="AC16" i="216"/>
  <c r="AE16" i="216" s="1"/>
  <c r="AI16" i="216" s="1"/>
  <c r="Y16" i="216" s="1"/>
  <c r="AB16" i="216"/>
  <c r="Z16" i="216"/>
  <c r="X16" i="216"/>
  <c r="Q16" i="216"/>
  <c r="P16" i="216"/>
  <c r="E16" i="216"/>
  <c r="I16" i="216" s="1"/>
  <c r="AD15" i="216"/>
  <c r="AC15" i="216"/>
  <c r="AB15" i="216"/>
  <c r="AE15" i="216" s="1"/>
  <c r="AI15" i="216" s="1"/>
  <c r="Y15" i="216" s="1"/>
  <c r="Z15" i="216"/>
  <c r="X15" i="216"/>
  <c r="Q15" i="216"/>
  <c r="P15" i="216"/>
  <c r="E15" i="216"/>
  <c r="I15" i="216" s="1"/>
  <c r="AE14" i="216"/>
  <c r="AI14" i="216" s="1"/>
  <c r="Y14" i="216" s="1"/>
  <c r="AD14" i="216"/>
  <c r="AC14" i="216"/>
  <c r="AB14" i="216"/>
  <c r="Z14" i="216"/>
  <c r="X14" i="216"/>
  <c r="Q14" i="216"/>
  <c r="O77" i="216" s="1"/>
  <c r="P14" i="216"/>
  <c r="I14" i="216"/>
  <c r="H14" i="216"/>
  <c r="E14" i="216"/>
  <c r="AD13" i="216"/>
  <c r="AC13" i="216"/>
  <c r="AB13" i="216"/>
  <c r="AE13" i="216" s="1"/>
  <c r="AI13" i="216" s="1"/>
  <c r="Y13" i="216" s="1"/>
  <c r="Z13" i="216"/>
  <c r="X13" i="216"/>
  <c r="Q13" i="216"/>
  <c r="P13" i="216"/>
  <c r="H13" i="216"/>
  <c r="E13" i="216"/>
  <c r="I13" i="216" s="1"/>
  <c r="AI12" i="216"/>
  <c r="Y12" i="216" s="1"/>
  <c r="AE12" i="216"/>
  <c r="AD12" i="216"/>
  <c r="AC12" i="216"/>
  <c r="AB12" i="216"/>
  <c r="Z12" i="216"/>
  <c r="X12" i="216"/>
  <c r="Q12" i="216"/>
  <c r="P12" i="216"/>
  <c r="I12" i="216"/>
  <c r="H12" i="216"/>
  <c r="E12" i="216"/>
  <c r="T79" i="216" l="1"/>
  <c r="T77" i="216"/>
  <c r="O75" i="216"/>
  <c r="F77" i="216"/>
  <c r="T75" i="216"/>
  <c r="F75" i="216"/>
  <c r="M81" i="215"/>
  <c r="P73" i="215"/>
  <c r="H73" i="215"/>
  <c r="Q72" i="215"/>
  <c r="P72" i="215"/>
  <c r="H72" i="215"/>
  <c r="E72" i="215"/>
  <c r="I72" i="215" s="1"/>
  <c r="Q71" i="215"/>
  <c r="P71" i="215"/>
  <c r="H71" i="215"/>
  <c r="E71" i="215"/>
  <c r="I71" i="215" s="1"/>
  <c r="AD70" i="215"/>
  <c r="AC70" i="215"/>
  <c r="AB70" i="215"/>
  <c r="AE70" i="215" s="1"/>
  <c r="AI70" i="215" s="1"/>
  <c r="Y70" i="215" s="1"/>
  <c r="Z70" i="215"/>
  <c r="X70" i="215"/>
  <c r="Q70" i="215"/>
  <c r="P70" i="215"/>
  <c r="I70" i="215"/>
  <c r="H70" i="215"/>
  <c r="E70" i="215"/>
  <c r="AE69" i="215"/>
  <c r="AI69" i="215" s="1"/>
  <c r="Y69" i="215" s="1"/>
  <c r="AD69" i="215"/>
  <c r="AC69" i="215"/>
  <c r="AB69" i="215"/>
  <c r="Z69" i="215"/>
  <c r="X69" i="215"/>
  <c r="Q69" i="215"/>
  <c r="P69" i="215"/>
  <c r="H69" i="215"/>
  <c r="E69" i="215"/>
  <c r="I69" i="215" s="1"/>
  <c r="AD68" i="215"/>
  <c r="AC68" i="215"/>
  <c r="AB68" i="215"/>
  <c r="AE68" i="215" s="1"/>
  <c r="AI68" i="215" s="1"/>
  <c r="Y68" i="215" s="1"/>
  <c r="Z68" i="215"/>
  <c r="X68" i="215"/>
  <c r="Q68" i="215"/>
  <c r="P68" i="215"/>
  <c r="H68" i="215"/>
  <c r="E68" i="215"/>
  <c r="I68" i="215" s="1"/>
  <c r="AD67" i="215"/>
  <c r="AC67" i="215"/>
  <c r="AB67" i="215"/>
  <c r="AE67" i="215" s="1"/>
  <c r="AI67" i="215" s="1"/>
  <c r="Y67" i="215" s="1"/>
  <c r="Z67" i="215"/>
  <c r="X67" i="215"/>
  <c r="Q67" i="215"/>
  <c r="P67" i="215"/>
  <c r="H67" i="215"/>
  <c r="E67" i="215"/>
  <c r="I67" i="215" s="1"/>
  <c r="AD66" i="215"/>
  <c r="AC66" i="215"/>
  <c r="AB66" i="215"/>
  <c r="AE66" i="215" s="1"/>
  <c r="AI66" i="215" s="1"/>
  <c r="Y66" i="215" s="1"/>
  <c r="Z66" i="215"/>
  <c r="X66" i="215"/>
  <c r="Q66" i="215"/>
  <c r="P66" i="215"/>
  <c r="I66" i="215"/>
  <c r="H66" i="215"/>
  <c r="E66" i="215"/>
  <c r="AE65" i="215"/>
  <c r="AI65" i="215" s="1"/>
  <c r="Y65" i="215" s="1"/>
  <c r="AD65" i="215"/>
  <c r="AC65" i="215"/>
  <c r="AB65" i="215"/>
  <c r="Z65" i="215"/>
  <c r="X65" i="215"/>
  <c r="Q65" i="215"/>
  <c r="P65" i="215"/>
  <c r="I65" i="215"/>
  <c r="H65" i="215"/>
  <c r="E65" i="215"/>
  <c r="AD64" i="215"/>
  <c r="AC64" i="215"/>
  <c r="AB64" i="215"/>
  <c r="AE64" i="215" s="1"/>
  <c r="AI64" i="215" s="1"/>
  <c r="Y64" i="215" s="1"/>
  <c r="Z64" i="215"/>
  <c r="X64" i="215"/>
  <c r="Q64" i="215"/>
  <c r="P64" i="215"/>
  <c r="H64" i="215"/>
  <c r="E64" i="215"/>
  <c r="I64" i="215" s="1"/>
  <c r="AC63" i="215"/>
  <c r="AB63" i="215"/>
  <c r="AE63" i="215" s="1"/>
  <c r="AI63" i="215" s="1"/>
  <c r="Y63" i="215" s="1"/>
  <c r="X63" i="215"/>
  <c r="Q63" i="215"/>
  <c r="P63" i="215"/>
  <c r="I63" i="215"/>
  <c r="H63" i="215"/>
  <c r="E63" i="215"/>
  <c r="AI62" i="215"/>
  <c r="Y62" i="215" s="1"/>
  <c r="AE62" i="215"/>
  <c r="X62" i="215"/>
  <c r="Q62" i="215"/>
  <c r="P62" i="215"/>
  <c r="H62" i="215"/>
  <c r="E62" i="215"/>
  <c r="I62" i="215" s="1"/>
  <c r="AC61" i="215"/>
  <c r="AB61" i="215"/>
  <c r="AE61" i="215" s="1"/>
  <c r="AI61" i="215" s="1"/>
  <c r="Y61" i="215" s="1"/>
  <c r="X61" i="215"/>
  <c r="Q61" i="215"/>
  <c r="P61" i="215"/>
  <c r="H61" i="215"/>
  <c r="E61" i="215"/>
  <c r="I61" i="215" s="1"/>
  <c r="AC60" i="215"/>
  <c r="AE60" i="215" s="1"/>
  <c r="AI60" i="215" s="1"/>
  <c r="Y60" i="215" s="1"/>
  <c r="AB60" i="215"/>
  <c r="X60" i="215"/>
  <c r="Q60" i="215"/>
  <c r="P60" i="215"/>
  <c r="I60" i="215"/>
  <c r="E60" i="215"/>
  <c r="AC59" i="215"/>
  <c r="AB59" i="215"/>
  <c r="AE59" i="215" s="1"/>
  <c r="AI59" i="215" s="1"/>
  <c r="Y59" i="215" s="1"/>
  <c r="X59" i="215"/>
  <c r="Q59" i="215"/>
  <c r="P59" i="215"/>
  <c r="H59" i="215"/>
  <c r="E59" i="215"/>
  <c r="I59" i="215" s="1"/>
  <c r="AD58" i="215"/>
  <c r="AC58" i="215"/>
  <c r="AB58" i="215"/>
  <c r="AE58" i="215" s="1"/>
  <c r="AI58" i="215" s="1"/>
  <c r="Y58" i="215" s="1"/>
  <c r="Z58" i="215"/>
  <c r="X58" i="215"/>
  <c r="Q58" i="215"/>
  <c r="P58" i="215"/>
  <c r="I58" i="215"/>
  <c r="H58" i="215"/>
  <c r="E58" i="215"/>
  <c r="AD57" i="215"/>
  <c r="AC57" i="215"/>
  <c r="AE57" i="215" s="1"/>
  <c r="AI57" i="215" s="1"/>
  <c r="Y57" i="215" s="1"/>
  <c r="AB57" i="215"/>
  <c r="Z57" i="215"/>
  <c r="X57" i="215"/>
  <c r="Q57" i="215"/>
  <c r="P57" i="215"/>
  <c r="I57" i="215"/>
  <c r="H57" i="215"/>
  <c r="E57" i="215"/>
  <c r="AI56" i="215"/>
  <c r="Y56" i="215" s="1"/>
  <c r="AE56" i="215"/>
  <c r="AD56" i="215"/>
  <c r="AC56" i="215"/>
  <c r="AB56" i="215"/>
  <c r="Z56" i="215"/>
  <c r="X56" i="215"/>
  <c r="Q56" i="215"/>
  <c r="P56" i="215"/>
  <c r="I56" i="215"/>
  <c r="H56" i="215"/>
  <c r="E56" i="215"/>
  <c r="AD55" i="215"/>
  <c r="AC55" i="215"/>
  <c r="AB55" i="215"/>
  <c r="AE55" i="215" s="1"/>
  <c r="AI55" i="215" s="1"/>
  <c r="Y55" i="215" s="1"/>
  <c r="Z55" i="215"/>
  <c r="X55" i="215"/>
  <c r="Q55" i="215"/>
  <c r="P55" i="215"/>
  <c r="H55" i="215"/>
  <c r="E55" i="215"/>
  <c r="I55" i="215" s="1"/>
  <c r="AI54" i="215"/>
  <c r="AE54" i="215"/>
  <c r="Z54" i="215"/>
  <c r="Y54" i="215"/>
  <c r="X54" i="215"/>
  <c r="Q54" i="215"/>
  <c r="P54" i="215"/>
  <c r="I54" i="215"/>
  <c r="H54" i="215"/>
  <c r="E54" i="215"/>
  <c r="AD53" i="215"/>
  <c r="AE53" i="215" s="1"/>
  <c r="AI53" i="215" s="1"/>
  <c r="Y53" i="215" s="1"/>
  <c r="AC53" i="215"/>
  <c r="AB53" i="215"/>
  <c r="Z53" i="215"/>
  <c r="X53" i="215"/>
  <c r="Q53" i="215"/>
  <c r="P53" i="215"/>
  <c r="H53" i="215"/>
  <c r="E53" i="215"/>
  <c r="I53" i="215" s="1"/>
  <c r="AD52" i="215"/>
  <c r="AC52" i="215"/>
  <c r="AB52" i="215"/>
  <c r="AE52" i="215" s="1"/>
  <c r="AI52" i="215" s="1"/>
  <c r="Y52" i="215" s="1"/>
  <c r="Z52" i="215"/>
  <c r="X52" i="215"/>
  <c r="Q52" i="215"/>
  <c r="P52" i="215"/>
  <c r="H52" i="215"/>
  <c r="E52" i="215"/>
  <c r="I52" i="215" s="1"/>
  <c r="AI51" i="215"/>
  <c r="AE51" i="215"/>
  <c r="Z51" i="215"/>
  <c r="Y51" i="215"/>
  <c r="X51" i="215"/>
  <c r="Q51" i="215"/>
  <c r="P51" i="215"/>
  <c r="I51" i="215"/>
  <c r="H51" i="215"/>
  <c r="E51" i="215"/>
  <c r="AE50" i="215"/>
  <c r="AI50" i="215" s="1"/>
  <c r="Y50" i="215" s="1"/>
  <c r="Z50" i="215"/>
  <c r="X50" i="215"/>
  <c r="Q50" i="215"/>
  <c r="P50" i="215"/>
  <c r="H50" i="215"/>
  <c r="E50" i="215"/>
  <c r="I50" i="215" s="1"/>
  <c r="AI49" i="215"/>
  <c r="Y49" i="215" s="1"/>
  <c r="AE49" i="215"/>
  <c r="Z49" i="215"/>
  <c r="X49" i="215"/>
  <c r="Q49" i="215"/>
  <c r="P49" i="215"/>
  <c r="I49" i="215"/>
  <c r="H49" i="215"/>
  <c r="E49" i="215"/>
  <c r="AD48" i="215"/>
  <c r="AC48" i="215"/>
  <c r="AB48" i="215"/>
  <c r="AE48" i="215" s="1"/>
  <c r="AI48" i="215" s="1"/>
  <c r="Y48" i="215" s="1"/>
  <c r="Z48" i="215"/>
  <c r="X48" i="215"/>
  <c r="Q48" i="215"/>
  <c r="P48" i="215"/>
  <c r="I48" i="215"/>
  <c r="H48" i="215"/>
  <c r="E48" i="215"/>
  <c r="AD47" i="215"/>
  <c r="AC47" i="215"/>
  <c r="AB47" i="215"/>
  <c r="AE47" i="215" s="1"/>
  <c r="AI47" i="215" s="1"/>
  <c r="Y47" i="215" s="1"/>
  <c r="Z47" i="215"/>
  <c r="X47" i="215"/>
  <c r="Q47" i="215"/>
  <c r="P47" i="215"/>
  <c r="H47" i="215"/>
  <c r="E47" i="215"/>
  <c r="I47" i="215" s="1"/>
  <c r="AD46" i="215"/>
  <c r="AC46" i="215"/>
  <c r="AB46" i="215"/>
  <c r="AE46" i="215" s="1"/>
  <c r="AI46" i="215" s="1"/>
  <c r="Y46" i="215" s="1"/>
  <c r="Z46" i="215"/>
  <c r="X46" i="215"/>
  <c r="Q46" i="215"/>
  <c r="P46" i="215"/>
  <c r="I46" i="215"/>
  <c r="H46" i="215"/>
  <c r="E46" i="215"/>
  <c r="AD45" i="215"/>
  <c r="AC45" i="215"/>
  <c r="AE45" i="215" s="1"/>
  <c r="AI45" i="215" s="1"/>
  <c r="Y45" i="215" s="1"/>
  <c r="AB45" i="215"/>
  <c r="Z45" i="215"/>
  <c r="X45" i="215"/>
  <c r="Q45" i="215"/>
  <c r="P45" i="215"/>
  <c r="I45" i="215"/>
  <c r="H45" i="215"/>
  <c r="E45" i="215"/>
  <c r="AI44" i="215"/>
  <c r="Y44" i="215" s="1"/>
  <c r="AE44" i="215"/>
  <c r="AD44" i="215"/>
  <c r="AC44" i="215"/>
  <c r="AB44" i="215"/>
  <c r="Z44" i="215"/>
  <c r="X44" i="215"/>
  <c r="Q44" i="215"/>
  <c r="P44" i="215"/>
  <c r="I44" i="215"/>
  <c r="H44" i="215"/>
  <c r="E44" i="215"/>
  <c r="AD43" i="215"/>
  <c r="AC43" i="215"/>
  <c r="AB43" i="215"/>
  <c r="AE43" i="215" s="1"/>
  <c r="AI43" i="215" s="1"/>
  <c r="Y43" i="215" s="1"/>
  <c r="Z43" i="215"/>
  <c r="X43" i="215"/>
  <c r="Q43" i="215"/>
  <c r="P43" i="215"/>
  <c r="H43" i="215"/>
  <c r="E43" i="215"/>
  <c r="I43" i="215" s="1"/>
  <c r="AD42" i="215"/>
  <c r="AC42" i="215"/>
  <c r="AB42" i="215"/>
  <c r="AE42" i="215" s="1"/>
  <c r="AI42" i="215" s="1"/>
  <c r="Y42" i="215" s="1"/>
  <c r="Z42" i="215"/>
  <c r="X42" i="215"/>
  <c r="Q42" i="215"/>
  <c r="P42" i="215"/>
  <c r="H42" i="215"/>
  <c r="E42" i="215"/>
  <c r="I42" i="215" s="1"/>
  <c r="AD41" i="215"/>
  <c r="AE41" i="215" s="1"/>
  <c r="AI41" i="215" s="1"/>
  <c r="Y41" i="215" s="1"/>
  <c r="AC41" i="215"/>
  <c r="AB41" i="215"/>
  <c r="Z41" i="215"/>
  <c r="X41" i="215"/>
  <c r="Q41" i="215"/>
  <c r="P41" i="215"/>
  <c r="I41" i="215"/>
  <c r="H41" i="215"/>
  <c r="E41" i="215"/>
  <c r="AE40" i="215"/>
  <c r="AI40" i="215" s="1"/>
  <c r="Y40" i="215" s="1"/>
  <c r="AD40" i="215"/>
  <c r="AC40" i="215"/>
  <c r="AB40" i="215"/>
  <c r="Z40" i="215"/>
  <c r="X40" i="215"/>
  <c r="Q40" i="215"/>
  <c r="P40" i="215"/>
  <c r="H40" i="215"/>
  <c r="E40" i="215"/>
  <c r="I40" i="215" s="1"/>
  <c r="AD39" i="215"/>
  <c r="AC39" i="215"/>
  <c r="AB39" i="215"/>
  <c r="AE39" i="215" s="1"/>
  <c r="AI39" i="215" s="1"/>
  <c r="Y39" i="215" s="1"/>
  <c r="Z39" i="215"/>
  <c r="X39" i="215"/>
  <c r="Q39" i="215"/>
  <c r="P39" i="215"/>
  <c r="H39" i="215"/>
  <c r="E39" i="215"/>
  <c r="I39" i="215" s="1"/>
  <c r="AD38" i="215"/>
  <c r="AC38" i="215"/>
  <c r="AB38" i="215"/>
  <c r="AE38" i="215" s="1"/>
  <c r="AI38" i="215" s="1"/>
  <c r="Y38" i="215" s="1"/>
  <c r="Z38" i="215"/>
  <c r="X38" i="215"/>
  <c r="Q38" i="215"/>
  <c r="P38" i="215"/>
  <c r="I38" i="215"/>
  <c r="H38" i="215"/>
  <c r="E38" i="215"/>
  <c r="AD37" i="215"/>
  <c r="AC37" i="215"/>
  <c r="AB37" i="215"/>
  <c r="AE37" i="215" s="1"/>
  <c r="AI37" i="215" s="1"/>
  <c r="Y37" i="215" s="1"/>
  <c r="Z37" i="215"/>
  <c r="X37" i="215"/>
  <c r="Q37" i="215"/>
  <c r="P37" i="215"/>
  <c r="I37" i="215"/>
  <c r="H37" i="215"/>
  <c r="E37" i="215"/>
  <c r="AE36" i="215"/>
  <c r="AI36" i="215" s="1"/>
  <c r="Y36" i="215" s="1"/>
  <c r="AD36" i="215"/>
  <c r="AC36" i="215"/>
  <c r="AB36" i="215"/>
  <c r="Z36" i="215"/>
  <c r="X36" i="215"/>
  <c r="Q36" i="215"/>
  <c r="P36" i="215"/>
  <c r="I36" i="215"/>
  <c r="H36" i="215"/>
  <c r="E36" i="215"/>
  <c r="AD35" i="215"/>
  <c r="AC35" i="215"/>
  <c r="AB35" i="215"/>
  <c r="AE35" i="215" s="1"/>
  <c r="AI35" i="215" s="1"/>
  <c r="Y35" i="215" s="1"/>
  <c r="Z35" i="215"/>
  <c r="X35" i="215"/>
  <c r="Q35" i="215"/>
  <c r="P35" i="215"/>
  <c r="H35" i="215"/>
  <c r="E35" i="215"/>
  <c r="I35" i="215" s="1"/>
  <c r="AD34" i="215"/>
  <c r="AC34" i="215"/>
  <c r="AB34" i="215"/>
  <c r="AE34" i="215" s="1"/>
  <c r="AI34" i="215" s="1"/>
  <c r="Y34" i="215" s="1"/>
  <c r="Z34" i="215"/>
  <c r="X34" i="215"/>
  <c r="Q34" i="215"/>
  <c r="P34" i="215"/>
  <c r="H34" i="215"/>
  <c r="E34" i="215"/>
  <c r="I34" i="215" s="1"/>
  <c r="AE33" i="215"/>
  <c r="AI33" i="215" s="1"/>
  <c r="Y33" i="215" s="1"/>
  <c r="AD33" i="215"/>
  <c r="AC33" i="215"/>
  <c r="AB33" i="215"/>
  <c r="Z33" i="215"/>
  <c r="X33" i="215"/>
  <c r="Q33" i="215"/>
  <c r="P33" i="215"/>
  <c r="I33" i="215"/>
  <c r="H33" i="215"/>
  <c r="E33" i="215"/>
  <c r="AD32" i="215"/>
  <c r="AC32" i="215"/>
  <c r="AB32" i="215"/>
  <c r="AE32" i="215" s="1"/>
  <c r="AI32" i="215" s="1"/>
  <c r="Y32" i="215" s="1"/>
  <c r="Z32" i="215"/>
  <c r="X32" i="215"/>
  <c r="Q32" i="215"/>
  <c r="P32" i="215"/>
  <c r="I32" i="215"/>
  <c r="H32" i="215"/>
  <c r="E32" i="215"/>
  <c r="AI31" i="215"/>
  <c r="Y31" i="215" s="1"/>
  <c r="AE31" i="215"/>
  <c r="Z31" i="215"/>
  <c r="X31" i="215"/>
  <c r="Q31" i="215"/>
  <c r="P31" i="215"/>
  <c r="I31" i="215"/>
  <c r="H31" i="215"/>
  <c r="E31" i="215"/>
  <c r="AD30" i="215"/>
  <c r="AC30" i="215"/>
  <c r="AE30" i="215" s="1"/>
  <c r="AI30" i="215" s="1"/>
  <c r="Y30" i="215" s="1"/>
  <c r="AB30" i="215"/>
  <c r="Z30" i="215"/>
  <c r="X30" i="215"/>
  <c r="Q30" i="215"/>
  <c r="P30" i="215"/>
  <c r="I30" i="215"/>
  <c r="H30" i="215"/>
  <c r="E30" i="215"/>
  <c r="AI29" i="215"/>
  <c r="Y29" i="215" s="1"/>
  <c r="AE29" i="215"/>
  <c r="AD29" i="215"/>
  <c r="AC29" i="215"/>
  <c r="AB29" i="215"/>
  <c r="Z29" i="215"/>
  <c r="X29" i="215"/>
  <c r="Q29" i="215"/>
  <c r="P29" i="215"/>
  <c r="I29" i="215"/>
  <c r="H29" i="215"/>
  <c r="E29" i="215"/>
  <c r="AD28" i="215"/>
  <c r="AC28" i="215"/>
  <c r="AB28" i="215"/>
  <c r="AE28" i="215" s="1"/>
  <c r="AI28" i="215" s="1"/>
  <c r="Y28" i="215" s="1"/>
  <c r="Z28" i="215"/>
  <c r="X28" i="215"/>
  <c r="Q28" i="215"/>
  <c r="P28" i="215"/>
  <c r="H28" i="215"/>
  <c r="E28" i="215"/>
  <c r="I28" i="215" s="1"/>
  <c r="AD27" i="215"/>
  <c r="AC27" i="215"/>
  <c r="AB27" i="215"/>
  <c r="AE27" i="215" s="1"/>
  <c r="AI27" i="215" s="1"/>
  <c r="Y27" i="215" s="1"/>
  <c r="Z27" i="215"/>
  <c r="X27" i="215"/>
  <c r="Q27" i="215"/>
  <c r="P27" i="215"/>
  <c r="H27" i="215"/>
  <c r="E27" i="215"/>
  <c r="I27" i="215" s="1"/>
  <c r="AD26" i="215"/>
  <c r="AE26" i="215" s="1"/>
  <c r="AI26" i="215" s="1"/>
  <c r="Y26" i="215" s="1"/>
  <c r="AC26" i="215"/>
  <c r="AB26" i="215"/>
  <c r="Z26" i="215"/>
  <c r="X26" i="215"/>
  <c r="Q26" i="215"/>
  <c r="P26" i="215"/>
  <c r="I26" i="215"/>
  <c r="H26" i="215"/>
  <c r="E26" i="215"/>
  <c r="AD25" i="215"/>
  <c r="AE25" i="215" s="1"/>
  <c r="AI25" i="215" s="1"/>
  <c r="Y25" i="215" s="1"/>
  <c r="AC25" i="215"/>
  <c r="AB25" i="215"/>
  <c r="Z25" i="215"/>
  <c r="X25" i="215"/>
  <c r="Q25" i="215"/>
  <c r="P25" i="215"/>
  <c r="H25" i="215"/>
  <c r="E25" i="215"/>
  <c r="I25" i="215" s="1"/>
  <c r="AD24" i="215"/>
  <c r="AC24" i="215"/>
  <c r="AB24" i="215"/>
  <c r="AE24" i="215" s="1"/>
  <c r="AI24" i="215" s="1"/>
  <c r="Y24" i="215" s="1"/>
  <c r="Z24" i="215"/>
  <c r="X24" i="215"/>
  <c r="Q24" i="215"/>
  <c r="P24" i="215"/>
  <c r="H24" i="215"/>
  <c r="E24" i="215"/>
  <c r="I24" i="215" s="1"/>
  <c r="AD23" i="215"/>
  <c r="AC23" i="215"/>
  <c r="AB23" i="215"/>
  <c r="AE23" i="215" s="1"/>
  <c r="AI23" i="215" s="1"/>
  <c r="Y23" i="215" s="1"/>
  <c r="Z23" i="215"/>
  <c r="X23" i="215"/>
  <c r="Q23" i="215"/>
  <c r="P23" i="215"/>
  <c r="I23" i="215"/>
  <c r="H23" i="215"/>
  <c r="E23" i="215"/>
  <c r="AD22" i="215"/>
  <c r="AC22" i="215"/>
  <c r="AB22" i="215"/>
  <c r="AE22" i="215" s="1"/>
  <c r="AI22" i="215" s="1"/>
  <c r="Y22" i="215" s="1"/>
  <c r="Z22" i="215"/>
  <c r="X22" i="215"/>
  <c r="Q22" i="215"/>
  <c r="P22" i="215"/>
  <c r="I22" i="215"/>
  <c r="H22" i="215"/>
  <c r="E22" i="215"/>
  <c r="AE21" i="215"/>
  <c r="AI21" i="215" s="1"/>
  <c r="Y21" i="215" s="1"/>
  <c r="AD21" i="215"/>
  <c r="AC21" i="215"/>
  <c r="AB21" i="215"/>
  <c r="Z21" i="215"/>
  <c r="X21" i="215"/>
  <c r="Q21" i="215"/>
  <c r="P21" i="215"/>
  <c r="I21" i="215"/>
  <c r="H21" i="215"/>
  <c r="E21" i="215"/>
  <c r="AE20" i="215"/>
  <c r="AI20" i="215" s="1"/>
  <c r="Y20" i="215" s="1"/>
  <c r="AD20" i="215"/>
  <c r="AC20" i="215"/>
  <c r="AB20" i="215"/>
  <c r="Z20" i="215"/>
  <c r="X20" i="215"/>
  <c r="Q20" i="215"/>
  <c r="P20" i="215"/>
  <c r="H20" i="215"/>
  <c r="E20" i="215"/>
  <c r="I20" i="215" s="1"/>
  <c r="AD19" i="215"/>
  <c r="AC19" i="215"/>
  <c r="AB19" i="215"/>
  <c r="AE19" i="215" s="1"/>
  <c r="AI19" i="215" s="1"/>
  <c r="Y19" i="215" s="1"/>
  <c r="Z19" i="215"/>
  <c r="X19" i="215"/>
  <c r="Q19" i="215"/>
  <c r="P19" i="215"/>
  <c r="H19" i="215"/>
  <c r="E19" i="215"/>
  <c r="I19" i="215" s="1"/>
  <c r="AE18" i="215"/>
  <c r="AI18" i="215" s="1"/>
  <c r="Y18" i="215" s="1"/>
  <c r="AD18" i="215"/>
  <c r="AC18" i="215"/>
  <c r="AB18" i="215"/>
  <c r="Z18" i="215"/>
  <c r="X18" i="215"/>
  <c r="Q18" i="215"/>
  <c r="P18" i="215"/>
  <c r="I18" i="215"/>
  <c r="H18" i="215"/>
  <c r="E18" i="215"/>
  <c r="AD17" i="215"/>
  <c r="AC17" i="215"/>
  <c r="AB17" i="215"/>
  <c r="AE17" i="215" s="1"/>
  <c r="AI17" i="215" s="1"/>
  <c r="Y17" i="215" s="1"/>
  <c r="Z17" i="215"/>
  <c r="X17" i="215"/>
  <c r="Q17" i="215"/>
  <c r="P17" i="215"/>
  <c r="I17" i="215"/>
  <c r="H17" i="215"/>
  <c r="E17" i="215"/>
  <c r="AD16" i="215"/>
  <c r="AC16" i="215"/>
  <c r="AB16" i="215"/>
  <c r="AE16" i="215" s="1"/>
  <c r="AI16" i="215" s="1"/>
  <c r="Y16" i="215" s="1"/>
  <c r="Z16" i="215"/>
  <c r="X16" i="215"/>
  <c r="Q16" i="215"/>
  <c r="P16" i="215"/>
  <c r="E16" i="215"/>
  <c r="I16" i="215" s="1"/>
  <c r="AE15" i="215"/>
  <c r="AI15" i="215" s="1"/>
  <c r="Y15" i="215" s="1"/>
  <c r="AD15" i="215"/>
  <c r="AC15" i="215"/>
  <c r="AB15" i="215"/>
  <c r="Z15" i="215"/>
  <c r="X15" i="215"/>
  <c r="Q15" i="215"/>
  <c r="P15" i="215"/>
  <c r="E15" i="215"/>
  <c r="I15" i="215" s="1"/>
  <c r="AI14" i="215"/>
  <c r="Y14" i="215" s="1"/>
  <c r="AE14" i="215"/>
  <c r="AD14" i="215"/>
  <c r="AC14" i="215"/>
  <c r="AB14" i="215"/>
  <c r="Z14" i="215"/>
  <c r="X14" i="215"/>
  <c r="Q14" i="215"/>
  <c r="O77" i="215" s="1"/>
  <c r="P14" i="215"/>
  <c r="H14" i="215"/>
  <c r="E14" i="215"/>
  <c r="I14" i="215" s="1"/>
  <c r="AD13" i="215"/>
  <c r="AC13" i="215"/>
  <c r="AB13" i="215"/>
  <c r="AE13" i="215" s="1"/>
  <c r="AI13" i="215" s="1"/>
  <c r="Y13" i="215" s="1"/>
  <c r="Z13" i="215"/>
  <c r="X13" i="215"/>
  <c r="Q13" i="215"/>
  <c r="P13" i="215"/>
  <c r="H13" i="215"/>
  <c r="E13" i="215"/>
  <c r="I13" i="215" s="1"/>
  <c r="AD12" i="215"/>
  <c r="AC12" i="215"/>
  <c r="AE12" i="215" s="1"/>
  <c r="AI12" i="215" s="1"/>
  <c r="Y12" i="215" s="1"/>
  <c r="AB12" i="215"/>
  <c r="Z12" i="215"/>
  <c r="T77" i="215" s="1"/>
  <c r="X12" i="215"/>
  <c r="T79" i="215" s="1"/>
  <c r="Q12" i="215"/>
  <c r="P12" i="215"/>
  <c r="I12" i="215"/>
  <c r="H12" i="215"/>
  <c r="E12" i="215"/>
  <c r="T81" i="216" l="1"/>
  <c r="F79" i="216" s="1"/>
  <c r="O75" i="215"/>
  <c r="F75" i="215"/>
  <c r="F77" i="215"/>
  <c r="T75" i="215"/>
  <c r="T81" i="215" s="1"/>
  <c r="M81" i="214"/>
  <c r="P73" i="214"/>
  <c r="H73" i="214"/>
  <c r="Q72" i="214"/>
  <c r="P72" i="214"/>
  <c r="H72" i="214"/>
  <c r="E72" i="214"/>
  <c r="I72" i="214" s="1"/>
  <c r="Q71" i="214"/>
  <c r="P71" i="214"/>
  <c r="I71" i="214"/>
  <c r="H71" i="214"/>
  <c r="E71" i="214"/>
  <c r="AD70" i="214"/>
  <c r="AC70" i="214"/>
  <c r="AB70" i="214"/>
  <c r="AE70" i="214" s="1"/>
  <c r="AI70" i="214" s="1"/>
  <c r="Y70" i="214" s="1"/>
  <c r="Z70" i="214"/>
  <c r="X70" i="214"/>
  <c r="Q70" i="214"/>
  <c r="P70" i="214"/>
  <c r="H70" i="214"/>
  <c r="E70" i="214"/>
  <c r="I70" i="214" s="1"/>
  <c r="AE69" i="214"/>
  <c r="AI69" i="214" s="1"/>
  <c r="Y69" i="214" s="1"/>
  <c r="AD69" i="214"/>
  <c r="AC69" i="214"/>
  <c r="AB69" i="214"/>
  <c r="Z69" i="214"/>
  <c r="X69" i="214"/>
  <c r="Q69" i="214"/>
  <c r="P69" i="214"/>
  <c r="H69" i="214"/>
  <c r="E69" i="214"/>
  <c r="I69" i="214" s="1"/>
  <c r="AE68" i="214"/>
  <c r="AI68" i="214" s="1"/>
  <c r="Y68" i="214" s="1"/>
  <c r="AD68" i="214"/>
  <c r="AC68" i="214"/>
  <c r="AB68" i="214"/>
  <c r="Z68" i="214"/>
  <c r="X68" i="214"/>
  <c r="Q68" i="214"/>
  <c r="P68" i="214"/>
  <c r="H68" i="214"/>
  <c r="E68" i="214"/>
  <c r="I68" i="214" s="1"/>
  <c r="AD67" i="214"/>
  <c r="AC67" i="214"/>
  <c r="AB67" i="214"/>
  <c r="AE67" i="214" s="1"/>
  <c r="AI67" i="214" s="1"/>
  <c r="Y67" i="214" s="1"/>
  <c r="Z67" i="214"/>
  <c r="X67" i="214"/>
  <c r="Q67" i="214"/>
  <c r="P67" i="214"/>
  <c r="H67" i="214"/>
  <c r="E67" i="214"/>
  <c r="I67" i="214" s="1"/>
  <c r="AE66" i="214"/>
  <c r="AI66" i="214" s="1"/>
  <c r="Y66" i="214" s="1"/>
  <c r="AD66" i="214"/>
  <c r="AC66" i="214"/>
  <c r="AB66" i="214"/>
  <c r="Z66" i="214"/>
  <c r="X66" i="214"/>
  <c r="Q66" i="214"/>
  <c r="P66" i="214"/>
  <c r="I66" i="214"/>
  <c r="H66" i="214"/>
  <c r="E66" i="214"/>
  <c r="AE65" i="214"/>
  <c r="AI65" i="214" s="1"/>
  <c r="Y65" i="214" s="1"/>
  <c r="AD65" i="214"/>
  <c r="AC65" i="214"/>
  <c r="AB65" i="214"/>
  <c r="Z65" i="214"/>
  <c r="X65" i="214"/>
  <c r="Q65" i="214"/>
  <c r="P65" i="214"/>
  <c r="I65" i="214"/>
  <c r="H65" i="214"/>
  <c r="E65" i="214"/>
  <c r="AD64" i="214"/>
  <c r="AC64" i="214"/>
  <c r="AB64" i="214"/>
  <c r="AE64" i="214" s="1"/>
  <c r="AI64" i="214" s="1"/>
  <c r="Y64" i="214" s="1"/>
  <c r="Z64" i="214"/>
  <c r="X64" i="214"/>
  <c r="Q64" i="214"/>
  <c r="P64" i="214"/>
  <c r="I64" i="214"/>
  <c r="H64" i="214"/>
  <c r="E64" i="214"/>
  <c r="AE63" i="214"/>
  <c r="AI63" i="214" s="1"/>
  <c r="Y63" i="214" s="1"/>
  <c r="AC63" i="214"/>
  <c r="AB63" i="214"/>
  <c r="X63" i="214"/>
  <c r="Q63" i="214"/>
  <c r="P63" i="214"/>
  <c r="H63" i="214"/>
  <c r="E63" i="214"/>
  <c r="I63" i="214" s="1"/>
  <c r="AI62" i="214"/>
  <c r="Y62" i="214" s="1"/>
  <c r="AE62" i="214"/>
  <c r="X62" i="214"/>
  <c r="Q62" i="214"/>
  <c r="P62" i="214"/>
  <c r="I62" i="214"/>
  <c r="H62" i="214"/>
  <c r="E62" i="214"/>
  <c r="AC61" i="214"/>
  <c r="AB61" i="214"/>
  <c r="AE61" i="214" s="1"/>
  <c r="AI61" i="214" s="1"/>
  <c r="Y61" i="214" s="1"/>
  <c r="X61" i="214"/>
  <c r="Q61" i="214"/>
  <c r="P61" i="214"/>
  <c r="H61" i="214"/>
  <c r="E61" i="214"/>
  <c r="I61" i="214" s="1"/>
  <c r="AE60" i="214"/>
  <c r="AI60" i="214" s="1"/>
  <c r="Y60" i="214" s="1"/>
  <c r="AC60" i="214"/>
  <c r="AB60" i="214"/>
  <c r="X60" i="214"/>
  <c r="Q60" i="214"/>
  <c r="P60" i="214"/>
  <c r="I60" i="214"/>
  <c r="E60" i="214"/>
  <c r="AE59" i="214"/>
  <c r="AI59" i="214" s="1"/>
  <c r="Y59" i="214" s="1"/>
  <c r="AC59" i="214"/>
  <c r="AB59" i="214"/>
  <c r="X59" i="214"/>
  <c r="Q59" i="214"/>
  <c r="P59" i="214"/>
  <c r="I59" i="214"/>
  <c r="H59" i="214"/>
  <c r="E59" i="214"/>
  <c r="AD58" i="214"/>
  <c r="AC58" i="214"/>
  <c r="AB58" i="214"/>
  <c r="AE58" i="214" s="1"/>
  <c r="AI58" i="214" s="1"/>
  <c r="Y58" i="214" s="1"/>
  <c r="Z58" i="214"/>
  <c r="X58" i="214"/>
  <c r="Q58" i="214"/>
  <c r="P58" i="214"/>
  <c r="H58" i="214"/>
  <c r="E58" i="214"/>
  <c r="I58" i="214" s="1"/>
  <c r="AI57" i="214"/>
  <c r="AE57" i="214"/>
  <c r="AD57" i="214"/>
  <c r="AC57" i="214"/>
  <c r="AB57" i="214"/>
  <c r="Z57" i="214"/>
  <c r="Y57" i="214"/>
  <c r="X57" i="214"/>
  <c r="Q57" i="214"/>
  <c r="P57" i="214"/>
  <c r="I57" i="214"/>
  <c r="H57" i="214"/>
  <c r="E57" i="214"/>
  <c r="AD56" i="214"/>
  <c r="AC56" i="214"/>
  <c r="AB56" i="214"/>
  <c r="AE56" i="214" s="1"/>
  <c r="AI56" i="214" s="1"/>
  <c r="Y56" i="214" s="1"/>
  <c r="Z56" i="214"/>
  <c r="X56" i="214"/>
  <c r="Q56" i="214"/>
  <c r="P56" i="214"/>
  <c r="H56" i="214"/>
  <c r="E56" i="214"/>
  <c r="I56" i="214" s="1"/>
  <c r="AD55" i="214"/>
  <c r="AC55" i="214"/>
  <c r="AB55" i="214"/>
  <c r="AE55" i="214" s="1"/>
  <c r="AI55" i="214" s="1"/>
  <c r="Y55" i="214" s="1"/>
  <c r="Z55" i="214"/>
  <c r="X55" i="214"/>
  <c r="Q55" i="214"/>
  <c r="P55" i="214"/>
  <c r="H55" i="214"/>
  <c r="E55" i="214"/>
  <c r="I55" i="214" s="1"/>
  <c r="AE54" i="214"/>
  <c r="AI54" i="214" s="1"/>
  <c r="Y54" i="214" s="1"/>
  <c r="Z54" i="214"/>
  <c r="X54" i="214"/>
  <c r="Q54" i="214"/>
  <c r="P54" i="214"/>
  <c r="H54" i="214"/>
  <c r="E54" i="214"/>
  <c r="I54" i="214" s="1"/>
  <c r="AD53" i="214"/>
  <c r="AC53" i="214"/>
  <c r="AB53" i="214"/>
  <c r="AE53" i="214" s="1"/>
  <c r="AI53" i="214" s="1"/>
  <c r="Y53" i="214" s="1"/>
  <c r="Z53" i="214"/>
  <c r="X53" i="214"/>
  <c r="Q53" i="214"/>
  <c r="P53" i="214"/>
  <c r="H53" i="214"/>
  <c r="E53" i="214"/>
  <c r="I53" i="214" s="1"/>
  <c r="AE52" i="214"/>
  <c r="AI52" i="214" s="1"/>
  <c r="Y52" i="214" s="1"/>
  <c r="AD52" i="214"/>
  <c r="AC52" i="214"/>
  <c r="AB52" i="214"/>
  <c r="Z52" i="214"/>
  <c r="X52" i="214"/>
  <c r="Q52" i="214"/>
  <c r="P52" i="214"/>
  <c r="H52" i="214"/>
  <c r="E52" i="214"/>
  <c r="I52" i="214" s="1"/>
  <c r="AE51" i="214"/>
  <c r="AI51" i="214" s="1"/>
  <c r="Y51" i="214" s="1"/>
  <c r="Z51" i="214"/>
  <c r="X51" i="214"/>
  <c r="Q51" i="214"/>
  <c r="P51" i="214"/>
  <c r="I51" i="214"/>
  <c r="H51" i="214"/>
  <c r="E51" i="214"/>
  <c r="AE50" i="214"/>
  <c r="AI50" i="214" s="1"/>
  <c r="Y50" i="214" s="1"/>
  <c r="Z50" i="214"/>
  <c r="X50" i="214"/>
  <c r="Q50" i="214"/>
  <c r="P50" i="214"/>
  <c r="I50" i="214"/>
  <c r="H50" i="214"/>
  <c r="E50" i="214"/>
  <c r="AI49" i="214"/>
  <c r="Y49" i="214" s="1"/>
  <c r="AE49" i="214"/>
  <c r="Z49" i="214"/>
  <c r="X49" i="214"/>
  <c r="Q49" i="214"/>
  <c r="P49" i="214"/>
  <c r="I49" i="214"/>
  <c r="H49" i="214"/>
  <c r="E49" i="214"/>
  <c r="AI48" i="214"/>
  <c r="Y48" i="214" s="1"/>
  <c r="AE48" i="214"/>
  <c r="AD48" i="214"/>
  <c r="AC48" i="214"/>
  <c r="AB48" i="214"/>
  <c r="Z48" i="214"/>
  <c r="X48" i="214"/>
  <c r="Q48" i="214"/>
  <c r="P48" i="214"/>
  <c r="H48" i="214"/>
  <c r="E48" i="214"/>
  <c r="I48" i="214" s="1"/>
  <c r="AD47" i="214"/>
  <c r="AC47" i="214"/>
  <c r="AB47" i="214"/>
  <c r="AE47" i="214" s="1"/>
  <c r="AI47" i="214" s="1"/>
  <c r="Y47" i="214" s="1"/>
  <c r="Z47" i="214"/>
  <c r="X47" i="214"/>
  <c r="Q47" i="214"/>
  <c r="P47" i="214"/>
  <c r="I47" i="214"/>
  <c r="H47" i="214"/>
  <c r="E47" i="214"/>
  <c r="AD46" i="214"/>
  <c r="AC46" i="214"/>
  <c r="AB46" i="214"/>
  <c r="AE46" i="214" s="1"/>
  <c r="AI46" i="214" s="1"/>
  <c r="Y46" i="214" s="1"/>
  <c r="Z46" i="214"/>
  <c r="X46" i="214"/>
  <c r="Q46" i="214"/>
  <c r="P46" i="214"/>
  <c r="H46" i="214"/>
  <c r="E46" i="214"/>
  <c r="I46" i="214" s="1"/>
  <c r="AI45" i="214"/>
  <c r="AE45" i="214"/>
  <c r="AD45" i="214"/>
  <c r="AC45" i="214"/>
  <c r="AB45" i="214"/>
  <c r="Z45" i="214"/>
  <c r="Y45" i="214"/>
  <c r="X45" i="214"/>
  <c r="Q45" i="214"/>
  <c r="P45" i="214"/>
  <c r="I45" i="214"/>
  <c r="H45" i="214"/>
  <c r="E45" i="214"/>
  <c r="AD44" i="214"/>
  <c r="AC44" i="214"/>
  <c r="AB44" i="214"/>
  <c r="AE44" i="214" s="1"/>
  <c r="AI44" i="214" s="1"/>
  <c r="Y44" i="214" s="1"/>
  <c r="Z44" i="214"/>
  <c r="X44" i="214"/>
  <c r="Q44" i="214"/>
  <c r="P44" i="214"/>
  <c r="H44" i="214"/>
  <c r="E44" i="214"/>
  <c r="I44" i="214" s="1"/>
  <c r="AD43" i="214"/>
  <c r="AC43" i="214"/>
  <c r="AE43" i="214" s="1"/>
  <c r="AI43" i="214" s="1"/>
  <c r="Y43" i="214" s="1"/>
  <c r="AB43" i="214"/>
  <c r="Z43" i="214"/>
  <c r="X43" i="214"/>
  <c r="Q43" i="214"/>
  <c r="P43" i="214"/>
  <c r="H43" i="214"/>
  <c r="E43" i="214"/>
  <c r="I43" i="214" s="1"/>
  <c r="AD42" i="214"/>
  <c r="AC42" i="214"/>
  <c r="AE42" i="214" s="1"/>
  <c r="AI42" i="214" s="1"/>
  <c r="Y42" i="214" s="1"/>
  <c r="AB42" i="214"/>
  <c r="Z42" i="214"/>
  <c r="X42" i="214"/>
  <c r="Q42" i="214"/>
  <c r="P42" i="214"/>
  <c r="I42" i="214"/>
  <c r="H42" i="214"/>
  <c r="E42" i="214"/>
  <c r="AD41" i="214"/>
  <c r="AE41" i="214" s="1"/>
  <c r="AI41" i="214" s="1"/>
  <c r="Y41" i="214" s="1"/>
  <c r="AC41" i="214"/>
  <c r="AB41" i="214"/>
  <c r="Z41" i="214"/>
  <c r="X41" i="214"/>
  <c r="Q41" i="214"/>
  <c r="P41" i="214"/>
  <c r="H41" i="214"/>
  <c r="E41" i="214"/>
  <c r="I41" i="214" s="1"/>
  <c r="AD40" i="214"/>
  <c r="AC40" i="214"/>
  <c r="AB40" i="214"/>
  <c r="AE40" i="214" s="1"/>
  <c r="AI40" i="214" s="1"/>
  <c r="Y40" i="214" s="1"/>
  <c r="Z40" i="214"/>
  <c r="X40" i="214"/>
  <c r="Q40" i="214"/>
  <c r="P40" i="214"/>
  <c r="H40" i="214"/>
  <c r="E40" i="214"/>
  <c r="I40" i="214" s="1"/>
  <c r="AE39" i="214"/>
  <c r="AI39" i="214" s="1"/>
  <c r="Y39" i="214" s="1"/>
  <c r="AD39" i="214"/>
  <c r="AC39" i="214"/>
  <c r="AB39" i="214"/>
  <c r="Z39" i="214"/>
  <c r="X39" i="214"/>
  <c r="Q39" i="214"/>
  <c r="P39" i="214"/>
  <c r="H39" i="214"/>
  <c r="E39" i="214"/>
  <c r="I39" i="214" s="1"/>
  <c r="AD38" i="214"/>
  <c r="AC38" i="214"/>
  <c r="AB38" i="214"/>
  <c r="AE38" i="214" s="1"/>
  <c r="AI38" i="214" s="1"/>
  <c r="Y38" i="214" s="1"/>
  <c r="Z38" i="214"/>
  <c r="X38" i="214"/>
  <c r="Q38" i="214"/>
  <c r="P38" i="214"/>
  <c r="I38" i="214"/>
  <c r="H38" i="214"/>
  <c r="E38" i="214"/>
  <c r="AE37" i="214"/>
  <c r="AI37" i="214" s="1"/>
  <c r="Y37" i="214" s="1"/>
  <c r="AD37" i="214"/>
  <c r="AC37" i="214"/>
  <c r="AB37" i="214"/>
  <c r="Z37" i="214"/>
  <c r="X37" i="214"/>
  <c r="Q37" i="214"/>
  <c r="P37" i="214"/>
  <c r="I37" i="214"/>
  <c r="H37" i="214"/>
  <c r="E37" i="214"/>
  <c r="AE36" i="214"/>
  <c r="AI36" i="214" s="1"/>
  <c r="Y36" i="214" s="1"/>
  <c r="AD36" i="214"/>
  <c r="AC36" i="214"/>
  <c r="AB36" i="214"/>
  <c r="Z36" i="214"/>
  <c r="X36" i="214"/>
  <c r="Q36" i="214"/>
  <c r="P36" i="214"/>
  <c r="I36" i="214"/>
  <c r="H36" i="214"/>
  <c r="E36" i="214"/>
  <c r="AD35" i="214"/>
  <c r="AC35" i="214"/>
  <c r="AB35" i="214"/>
  <c r="AE35" i="214" s="1"/>
  <c r="AI35" i="214" s="1"/>
  <c r="Y35" i="214" s="1"/>
  <c r="Z35" i="214"/>
  <c r="X35" i="214"/>
  <c r="Q35" i="214"/>
  <c r="P35" i="214"/>
  <c r="I35" i="214"/>
  <c r="H35" i="214"/>
  <c r="E35" i="214"/>
  <c r="AE34" i="214"/>
  <c r="AI34" i="214" s="1"/>
  <c r="Y34" i="214" s="1"/>
  <c r="AD34" i="214"/>
  <c r="AC34" i="214"/>
  <c r="AB34" i="214"/>
  <c r="Z34" i="214"/>
  <c r="X34" i="214"/>
  <c r="Q34" i="214"/>
  <c r="P34" i="214"/>
  <c r="I34" i="214"/>
  <c r="H34" i="214"/>
  <c r="E34" i="214"/>
  <c r="AE33" i="214"/>
  <c r="AI33" i="214" s="1"/>
  <c r="Y33" i="214" s="1"/>
  <c r="AD33" i="214"/>
  <c r="AC33" i="214"/>
  <c r="AB33" i="214"/>
  <c r="Z33" i="214"/>
  <c r="X33" i="214"/>
  <c r="Q33" i="214"/>
  <c r="P33" i="214"/>
  <c r="I33" i="214"/>
  <c r="H33" i="214"/>
  <c r="E33" i="214"/>
  <c r="AI32" i="214"/>
  <c r="Y32" i="214" s="1"/>
  <c r="AE32" i="214"/>
  <c r="AD32" i="214"/>
  <c r="AC32" i="214"/>
  <c r="AB32" i="214"/>
  <c r="Z32" i="214"/>
  <c r="X32" i="214"/>
  <c r="Q32" i="214"/>
  <c r="P32" i="214"/>
  <c r="H32" i="214"/>
  <c r="E32" i="214"/>
  <c r="I32" i="214" s="1"/>
  <c r="AI31" i="214"/>
  <c r="Y31" i="214" s="1"/>
  <c r="AE31" i="214"/>
  <c r="Z31" i="214"/>
  <c r="X31" i="214"/>
  <c r="Q31" i="214"/>
  <c r="P31" i="214"/>
  <c r="I31" i="214"/>
  <c r="H31" i="214"/>
  <c r="E31" i="214"/>
  <c r="AI30" i="214"/>
  <c r="AE30" i="214"/>
  <c r="AD30" i="214"/>
  <c r="AC30" i="214"/>
  <c r="AB30" i="214"/>
  <c r="Z30" i="214"/>
  <c r="Y30" i="214"/>
  <c r="X30" i="214"/>
  <c r="Q30" i="214"/>
  <c r="P30" i="214"/>
  <c r="I30" i="214"/>
  <c r="H30" i="214"/>
  <c r="E30" i="214"/>
  <c r="AD29" i="214"/>
  <c r="AC29" i="214"/>
  <c r="AB29" i="214"/>
  <c r="AE29" i="214" s="1"/>
  <c r="AI29" i="214" s="1"/>
  <c r="Y29" i="214" s="1"/>
  <c r="Z29" i="214"/>
  <c r="X29" i="214"/>
  <c r="Q29" i="214"/>
  <c r="P29" i="214"/>
  <c r="H29" i="214"/>
  <c r="E29" i="214"/>
  <c r="I29" i="214" s="1"/>
  <c r="AD28" i="214"/>
  <c r="AC28" i="214"/>
  <c r="AE28" i="214" s="1"/>
  <c r="AI28" i="214" s="1"/>
  <c r="Y28" i="214" s="1"/>
  <c r="AB28" i="214"/>
  <c r="Z28" i="214"/>
  <c r="X28" i="214"/>
  <c r="Q28" i="214"/>
  <c r="P28" i="214"/>
  <c r="H28" i="214"/>
  <c r="E28" i="214"/>
  <c r="I28" i="214" s="1"/>
  <c r="AD27" i="214"/>
  <c r="AC27" i="214"/>
  <c r="AE27" i="214" s="1"/>
  <c r="AI27" i="214" s="1"/>
  <c r="Y27" i="214" s="1"/>
  <c r="AB27" i="214"/>
  <c r="Z27" i="214"/>
  <c r="X27" i="214"/>
  <c r="Q27" i="214"/>
  <c r="P27" i="214"/>
  <c r="I27" i="214"/>
  <c r="H27" i="214"/>
  <c r="E27" i="214"/>
  <c r="AD26" i="214"/>
  <c r="AE26" i="214" s="1"/>
  <c r="AI26" i="214" s="1"/>
  <c r="Y26" i="214" s="1"/>
  <c r="AC26" i="214"/>
  <c r="AB26" i="214"/>
  <c r="Z26" i="214"/>
  <c r="X26" i="214"/>
  <c r="Q26" i="214"/>
  <c r="P26" i="214"/>
  <c r="H26" i="214"/>
  <c r="E26" i="214"/>
  <c r="I26" i="214" s="1"/>
  <c r="AD25" i="214"/>
  <c r="AC25" i="214"/>
  <c r="AB25" i="214"/>
  <c r="AE25" i="214" s="1"/>
  <c r="AI25" i="214" s="1"/>
  <c r="Y25" i="214" s="1"/>
  <c r="Z25" i="214"/>
  <c r="X25" i="214"/>
  <c r="Q25" i="214"/>
  <c r="P25" i="214"/>
  <c r="H25" i="214"/>
  <c r="E25" i="214"/>
  <c r="I25" i="214" s="1"/>
  <c r="AE24" i="214"/>
  <c r="AI24" i="214" s="1"/>
  <c r="Y24" i="214" s="1"/>
  <c r="AD24" i="214"/>
  <c r="AC24" i="214"/>
  <c r="AB24" i="214"/>
  <c r="Z24" i="214"/>
  <c r="X24" i="214"/>
  <c r="Q24" i="214"/>
  <c r="P24" i="214"/>
  <c r="H24" i="214"/>
  <c r="E24" i="214"/>
  <c r="I24" i="214" s="1"/>
  <c r="AD23" i="214"/>
  <c r="AC23" i="214"/>
  <c r="AB23" i="214"/>
  <c r="AE23" i="214" s="1"/>
  <c r="AI23" i="214" s="1"/>
  <c r="Y23" i="214" s="1"/>
  <c r="Z23" i="214"/>
  <c r="X23" i="214"/>
  <c r="Q23" i="214"/>
  <c r="P23" i="214"/>
  <c r="I23" i="214"/>
  <c r="H23" i="214"/>
  <c r="E23" i="214"/>
  <c r="AE22" i="214"/>
  <c r="AI22" i="214" s="1"/>
  <c r="Y22" i="214" s="1"/>
  <c r="AD22" i="214"/>
  <c r="AC22" i="214"/>
  <c r="AB22" i="214"/>
  <c r="Z22" i="214"/>
  <c r="X22" i="214"/>
  <c r="Q22" i="214"/>
  <c r="P22" i="214"/>
  <c r="I22" i="214"/>
  <c r="H22" i="214"/>
  <c r="E22" i="214"/>
  <c r="AD21" i="214"/>
  <c r="AC21" i="214"/>
  <c r="AB21" i="214"/>
  <c r="AE21" i="214" s="1"/>
  <c r="AI21" i="214" s="1"/>
  <c r="Y21" i="214" s="1"/>
  <c r="Z21" i="214"/>
  <c r="X21" i="214"/>
  <c r="Q21" i="214"/>
  <c r="P21" i="214"/>
  <c r="I21" i="214"/>
  <c r="H21" i="214"/>
  <c r="E21" i="214"/>
  <c r="AD20" i="214"/>
  <c r="AC20" i="214"/>
  <c r="AB20" i="214"/>
  <c r="AE20" i="214" s="1"/>
  <c r="AI20" i="214" s="1"/>
  <c r="Y20" i="214" s="1"/>
  <c r="Z20" i="214"/>
  <c r="X20" i="214"/>
  <c r="Q20" i="214"/>
  <c r="P20" i="214"/>
  <c r="I20" i="214"/>
  <c r="H20" i="214"/>
  <c r="E20" i="214"/>
  <c r="AE19" i="214"/>
  <c r="AI19" i="214" s="1"/>
  <c r="Y19" i="214" s="1"/>
  <c r="AD19" i="214"/>
  <c r="AC19" i="214"/>
  <c r="AB19" i="214"/>
  <c r="Z19" i="214"/>
  <c r="X19" i="214"/>
  <c r="Q19" i="214"/>
  <c r="P19" i="214"/>
  <c r="I19" i="214"/>
  <c r="H19" i="214"/>
  <c r="E19" i="214"/>
  <c r="AE18" i="214"/>
  <c r="AI18" i="214" s="1"/>
  <c r="Y18" i="214" s="1"/>
  <c r="AD18" i="214"/>
  <c r="AC18" i="214"/>
  <c r="AB18" i="214"/>
  <c r="Z18" i="214"/>
  <c r="X18" i="214"/>
  <c r="Q18" i="214"/>
  <c r="P18" i="214"/>
  <c r="I18" i="214"/>
  <c r="H18" i="214"/>
  <c r="E18" i="214"/>
  <c r="AI17" i="214"/>
  <c r="Y17" i="214" s="1"/>
  <c r="AE17" i="214"/>
  <c r="AD17" i="214"/>
  <c r="AC17" i="214"/>
  <c r="AB17" i="214"/>
  <c r="Z17" i="214"/>
  <c r="X17" i="214"/>
  <c r="Q17" i="214"/>
  <c r="P17" i="214"/>
  <c r="H17" i="214"/>
  <c r="E17" i="214"/>
  <c r="I17" i="214" s="1"/>
  <c r="AD16" i="214"/>
  <c r="AC16" i="214"/>
  <c r="AB16" i="214"/>
  <c r="AE16" i="214" s="1"/>
  <c r="AI16" i="214" s="1"/>
  <c r="Y16" i="214" s="1"/>
  <c r="Z16" i="214"/>
  <c r="X16" i="214"/>
  <c r="Q16" i="214"/>
  <c r="P16" i="214"/>
  <c r="I16" i="214"/>
  <c r="E16" i="214"/>
  <c r="AD15" i="214"/>
  <c r="AC15" i="214"/>
  <c r="AB15" i="214"/>
  <c r="AE15" i="214" s="1"/>
  <c r="AI15" i="214" s="1"/>
  <c r="Y15" i="214" s="1"/>
  <c r="Z15" i="214"/>
  <c r="X15" i="214"/>
  <c r="Q15" i="214"/>
  <c r="P15" i="214"/>
  <c r="E15" i="214"/>
  <c r="I15" i="214" s="1"/>
  <c r="AD14" i="214"/>
  <c r="AE14" i="214" s="1"/>
  <c r="AI14" i="214" s="1"/>
  <c r="Y14" i="214" s="1"/>
  <c r="AC14" i="214"/>
  <c r="AB14" i="214"/>
  <c r="Z14" i="214"/>
  <c r="X14" i="214"/>
  <c r="Q14" i="214"/>
  <c r="P14" i="214"/>
  <c r="H14" i="214"/>
  <c r="E14" i="214"/>
  <c r="I14" i="214" s="1"/>
  <c r="AD13" i="214"/>
  <c r="AC13" i="214"/>
  <c r="AB13" i="214"/>
  <c r="AE13" i="214" s="1"/>
  <c r="AI13" i="214" s="1"/>
  <c r="Y13" i="214" s="1"/>
  <c r="Z13" i="214"/>
  <c r="X13" i="214"/>
  <c r="Q13" i="214"/>
  <c r="P13" i="214"/>
  <c r="I13" i="214"/>
  <c r="H13" i="214"/>
  <c r="E13" i="214"/>
  <c r="AE12" i="214"/>
  <c r="AI12" i="214" s="1"/>
  <c r="Y12" i="214" s="1"/>
  <c r="AD12" i="214"/>
  <c r="AC12" i="214"/>
  <c r="AB12" i="214"/>
  <c r="Z12" i="214"/>
  <c r="T77" i="214" s="1"/>
  <c r="X12" i="214"/>
  <c r="T79" i="214" s="1"/>
  <c r="Q12" i="214"/>
  <c r="P12" i="214"/>
  <c r="H12" i="214"/>
  <c r="E12" i="214"/>
  <c r="I12" i="214" s="1"/>
  <c r="F79" i="215" l="1"/>
  <c r="O77" i="214"/>
  <c r="O75" i="214"/>
  <c r="T75" i="214"/>
  <c r="F77" i="214"/>
  <c r="F75" i="214"/>
  <c r="T81" i="214"/>
  <c r="F79" i="214" l="1"/>
  <c r="I35" i="208" l="1"/>
  <c r="E35" i="207"/>
  <c r="I35" i="207" s="1"/>
  <c r="E34" i="207"/>
  <c r="I34" i="207" s="1"/>
  <c r="E35" i="208"/>
  <c r="E34" i="208"/>
  <c r="I34" i="208" s="1"/>
  <c r="AD35" i="207"/>
  <c r="AD34" i="207"/>
  <c r="AD35" i="208"/>
  <c r="AE35" i="208" s="1"/>
  <c r="AI35" i="208" s="1"/>
  <c r="Y35" i="208" s="1"/>
  <c r="AD34" i="208"/>
  <c r="AC35" i="207"/>
  <c r="AC34" i="207"/>
  <c r="AE34" i="207" s="1"/>
  <c r="AI34" i="207" s="1"/>
  <c r="Y34" i="207" s="1"/>
  <c r="AC35" i="208"/>
  <c r="AC34" i="208"/>
  <c r="AB35" i="207"/>
  <c r="AE35" i="207" s="1"/>
  <c r="AI35" i="207" s="1"/>
  <c r="Y35" i="207" s="1"/>
  <c r="AB34" i="207"/>
  <c r="AB35" i="208"/>
  <c r="AB34" i="208"/>
  <c r="AE34" i="208" s="1"/>
  <c r="AI34" i="208" s="1"/>
  <c r="Y34" i="208" s="1"/>
  <c r="AB33" i="207"/>
  <c r="AB33" i="208"/>
  <c r="Z35" i="207"/>
  <c r="Z34" i="207"/>
  <c r="Z35" i="208"/>
  <c r="Z34" i="208"/>
  <c r="X35" i="207"/>
  <c r="X34" i="207"/>
  <c r="X35" i="208"/>
  <c r="X34" i="208"/>
  <c r="Q35" i="207"/>
  <c r="P35" i="207"/>
  <c r="Q34" i="207"/>
  <c r="P34" i="207"/>
  <c r="Q35" i="208"/>
  <c r="P35" i="208"/>
  <c r="Q34" i="208"/>
  <c r="P34" i="208"/>
  <c r="H35" i="207"/>
  <c r="H34" i="207"/>
  <c r="H35" i="208"/>
  <c r="H34" i="208"/>
  <c r="AD36" i="208"/>
  <c r="AC36" i="208"/>
  <c r="AE36" i="208" s="1"/>
  <c r="AI36" i="208" s="1"/>
  <c r="Y36" i="208" s="1"/>
  <c r="Z36" i="208"/>
  <c r="X36" i="208"/>
  <c r="Q36" i="208"/>
  <c r="E36" i="208"/>
  <c r="I36" i="208" s="1"/>
  <c r="H36" i="208"/>
  <c r="M82" i="208"/>
  <c r="P74" i="208"/>
  <c r="H74" i="208"/>
  <c r="Q73" i="208"/>
  <c r="P73" i="208"/>
  <c r="H73" i="208"/>
  <c r="E73" i="208"/>
  <c r="I73" i="208" s="1"/>
  <c r="Q72" i="208"/>
  <c r="P72" i="208"/>
  <c r="H72" i="208"/>
  <c r="E72" i="208"/>
  <c r="I72" i="208" s="1"/>
  <c r="AD71" i="208"/>
  <c r="AC71" i="208"/>
  <c r="AB71" i="208"/>
  <c r="AE71" i="208" s="1"/>
  <c r="AI71" i="208" s="1"/>
  <c r="Y71" i="208" s="1"/>
  <c r="Z71" i="208"/>
  <c r="X71" i="208"/>
  <c r="Q71" i="208"/>
  <c r="P71" i="208"/>
  <c r="H71" i="208"/>
  <c r="E71" i="208"/>
  <c r="I71" i="208" s="1"/>
  <c r="AD70" i="208"/>
  <c r="AC70" i="208"/>
  <c r="AB70" i="208"/>
  <c r="Z70" i="208"/>
  <c r="X70" i="208"/>
  <c r="Q70" i="208"/>
  <c r="P70" i="208"/>
  <c r="H70" i="208"/>
  <c r="E70" i="208"/>
  <c r="I70" i="208" s="1"/>
  <c r="AD69" i="208"/>
  <c r="AC69" i="208"/>
  <c r="AB69" i="208"/>
  <c r="Z69" i="208"/>
  <c r="X69" i="208"/>
  <c r="Q69" i="208"/>
  <c r="P69" i="208"/>
  <c r="H69" i="208"/>
  <c r="E69" i="208"/>
  <c r="I69" i="208" s="1"/>
  <c r="AD68" i="208"/>
  <c r="AC68" i="208"/>
  <c r="AB68" i="208"/>
  <c r="AE68" i="208" s="1"/>
  <c r="AI68" i="208" s="1"/>
  <c r="Y68" i="208" s="1"/>
  <c r="Z68" i="208"/>
  <c r="X68" i="208"/>
  <c r="Q68" i="208"/>
  <c r="P68" i="208"/>
  <c r="H68" i="208"/>
  <c r="E68" i="208"/>
  <c r="I68" i="208" s="1"/>
  <c r="AD67" i="208"/>
  <c r="AC67" i="208"/>
  <c r="AB67" i="208"/>
  <c r="Z67" i="208"/>
  <c r="X67" i="208"/>
  <c r="Q67" i="208"/>
  <c r="P67" i="208"/>
  <c r="H67" i="208"/>
  <c r="E67" i="208"/>
  <c r="I67" i="208" s="1"/>
  <c r="AD66" i="208"/>
  <c r="AC66" i="208"/>
  <c r="AB66" i="208"/>
  <c r="Z66" i="208"/>
  <c r="X66" i="208"/>
  <c r="Q66" i="208"/>
  <c r="P66" i="208"/>
  <c r="H66" i="208"/>
  <c r="E66" i="208"/>
  <c r="I66" i="208" s="1"/>
  <c r="AD65" i="208"/>
  <c r="AC65" i="208"/>
  <c r="AB65" i="208"/>
  <c r="Z65" i="208"/>
  <c r="X65" i="208"/>
  <c r="Q65" i="208"/>
  <c r="P65" i="208"/>
  <c r="H65" i="208"/>
  <c r="E65" i="208"/>
  <c r="I65" i="208" s="1"/>
  <c r="AC64" i="208"/>
  <c r="AB64" i="208"/>
  <c r="X64" i="208"/>
  <c r="Q64" i="208"/>
  <c r="P64" i="208"/>
  <c r="H64" i="208"/>
  <c r="E64" i="208"/>
  <c r="I64" i="208" s="1"/>
  <c r="AE63" i="208"/>
  <c r="AI63" i="208" s="1"/>
  <c r="Y63" i="208" s="1"/>
  <c r="X63" i="208"/>
  <c r="Q63" i="208"/>
  <c r="P63" i="208"/>
  <c r="H63" i="208"/>
  <c r="E63" i="208"/>
  <c r="I63" i="208" s="1"/>
  <c r="AC62" i="208"/>
  <c r="AB62" i="208"/>
  <c r="AE62" i="208" s="1"/>
  <c r="AI62" i="208" s="1"/>
  <c r="Y62" i="208" s="1"/>
  <c r="X62" i="208"/>
  <c r="Q62" i="208"/>
  <c r="P62" i="208"/>
  <c r="H62" i="208"/>
  <c r="E62" i="208"/>
  <c r="I62" i="208" s="1"/>
  <c r="AC61" i="208"/>
  <c r="AB61" i="208"/>
  <c r="AE61" i="208" s="1"/>
  <c r="AI61" i="208" s="1"/>
  <c r="Y61" i="208" s="1"/>
  <c r="X61" i="208"/>
  <c r="Q61" i="208"/>
  <c r="P61" i="208"/>
  <c r="E61" i="208"/>
  <c r="I61" i="208" s="1"/>
  <c r="AC60" i="208"/>
  <c r="AB60" i="208"/>
  <c r="X60" i="208"/>
  <c r="Q60" i="208"/>
  <c r="P60" i="208"/>
  <c r="H60" i="208"/>
  <c r="E60" i="208"/>
  <c r="I60" i="208" s="1"/>
  <c r="AD59" i="208"/>
  <c r="AC59" i="208"/>
  <c r="AB59" i="208"/>
  <c r="Z59" i="208"/>
  <c r="X59" i="208"/>
  <c r="Q59" i="208"/>
  <c r="P59" i="208"/>
  <c r="H59" i="208"/>
  <c r="E59" i="208"/>
  <c r="I59" i="208" s="1"/>
  <c r="AD58" i="208"/>
  <c r="AC58" i="208"/>
  <c r="AB58" i="208"/>
  <c r="AE58" i="208" s="1"/>
  <c r="AI58" i="208" s="1"/>
  <c r="Y58" i="208" s="1"/>
  <c r="Z58" i="208"/>
  <c r="X58" i="208"/>
  <c r="Q58" i="208"/>
  <c r="P58" i="208"/>
  <c r="H58" i="208"/>
  <c r="E58" i="208"/>
  <c r="I58" i="208" s="1"/>
  <c r="AD57" i="208"/>
  <c r="AC57" i="208"/>
  <c r="AB57" i="208"/>
  <c r="Z57" i="208"/>
  <c r="X57" i="208"/>
  <c r="Q57" i="208"/>
  <c r="P57" i="208"/>
  <c r="H57" i="208"/>
  <c r="E57" i="208"/>
  <c r="I57" i="208" s="1"/>
  <c r="AD56" i="208"/>
  <c r="AC56" i="208"/>
  <c r="AB56" i="208"/>
  <c r="Z56" i="208"/>
  <c r="X56" i="208"/>
  <c r="Q56" i="208"/>
  <c r="P56" i="208"/>
  <c r="H56" i="208"/>
  <c r="E56" i="208"/>
  <c r="I56" i="208" s="1"/>
  <c r="AE55" i="208"/>
  <c r="AI55" i="208" s="1"/>
  <c r="Y55" i="208" s="1"/>
  <c r="Z55" i="208"/>
  <c r="X55" i="208"/>
  <c r="Q55" i="208"/>
  <c r="P55" i="208"/>
  <c r="H55" i="208"/>
  <c r="E55" i="208"/>
  <c r="I55" i="208" s="1"/>
  <c r="AD54" i="208"/>
  <c r="AC54" i="208"/>
  <c r="AB54" i="208"/>
  <c r="Z54" i="208"/>
  <c r="X54" i="208"/>
  <c r="Q54" i="208"/>
  <c r="P54" i="208"/>
  <c r="H54" i="208"/>
  <c r="E54" i="208"/>
  <c r="I54" i="208" s="1"/>
  <c r="AD53" i="208"/>
  <c r="AC53" i="208"/>
  <c r="AB53" i="208"/>
  <c r="Z53" i="208"/>
  <c r="X53" i="208"/>
  <c r="Q53" i="208"/>
  <c r="P53" i="208"/>
  <c r="H53" i="208"/>
  <c r="E53" i="208"/>
  <c r="I53" i="208" s="1"/>
  <c r="AE52" i="208"/>
  <c r="AI52" i="208" s="1"/>
  <c r="Y52" i="208" s="1"/>
  <c r="Z52" i="208"/>
  <c r="X52" i="208"/>
  <c r="Q52" i="208"/>
  <c r="P52" i="208"/>
  <c r="H52" i="208"/>
  <c r="E52" i="208"/>
  <c r="I52" i="208" s="1"/>
  <c r="AE51" i="208"/>
  <c r="AI51" i="208" s="1"/>
  <c r="Y51" i="208" s="1"/>
  <c r="Z51" i="208"/>
  <c r="X51" i="208"/>
  <c r="Q51" i="208"/>
  <c r="P51" i="208"/>
  <c r="H51" i="208"/>
  <c r="E51" i="208"/>
  <c r="I51" i="208" s="1"/>
  <c r="AE50" i="208"/>
  <c r="AI50" i="208" s="1"/>
  <c r="Y50" i="208" s="1"/>
  <c r="Z50" i="208"/>
  <c r="X50" i="208"/>
  <c r="Q50" i="208"/>
  <c r="P50" i="208"/>
  <c r="H50" i="208"/>
  <c r="E50" i="208"/>
  <c r="I50" i="208" s="1"/>
  <c r="AD49" i="208"/>
  <c r="AC49" i="208"/>
  <c r="AB49" i="208"/>
  <c r="Z49" i="208"/>
  <c r="X49" i="208"/>
  <c r="Q49" i="208"/>
  <c r="P49" i="208"/>
  <c r="H49" i="208"/>
  <c r="E49" i="208"/>
  <c r="I49" i="208" s="1"/>
  <c r="AD48" i="208"/>
  <c r="AC48" i="208"/>
  <c r="AB48" i="208"/>
  <c r="Z48" i="208"/>
  <c r="X48" i="208"/>
  <c r="Q48" i="208"/>
  <c r="P48" i="208"/>
  <c r="H48" i="208"/>
  <c r="E48" i="208"/>
  <c r="I48" i="208" s="1"/>
  <c r="AD47" i="208"/>
  <c r="AC47" i="208"/>
  <c r="AB47" i="208"/>
  <c r="Z47" i="208"/>
  <c r="X47" i="208"/>
  <c r="Q47" i="208"/>
  <c r="P47" i="208"/>
  <c r="H47" i="208"/>
  <c r="E47" i="208"/>
  <c r="I47" i="208" s="1"/>
  <c r="AD46" i="208"/>
  <c r="AC46" i="208"/>
  <c r="AB46" i="208"/>
  <c r="Z46" i="208"/>
  <c r="X46" i="208"/>
  <c r="Q46" i="208"/>
  <c r="P46" i="208"/>
  <c r="H46" i="208"/>
  <c r="E46" i="208"/>
  <c r="I46" i="208" s="1"/>
  <c r="AD45" i="208"/>
  <c r="AC45" i="208"/>
  <c r="AB45" i="208"/>
  <c r="Z45" i="208"/>
  <c r="X45" i="208"/>
  <c r="Q45" i="208"/>
  <c r="P45" i="208"/>
  <c r="H45" i="208"/>
  <c r="E45" i="208"/>
  <c r="I45" i="208" s="1"/>
  <c r="AD44" i="208"/>
  <c r="AC44" i="208"/>
  <c r="AB44" i="208"/>
  <c r="Z44" i="208"/>
  <c r="X44" i="208"/>
  <c r="Q44" i="208"/>
  <c r="P44" i="208"/>
  <c r="H44" i="208"/>
  <c r="E44" i="208"/>
  <c r="I44" i="208" s="1"/>
  <c r="AD43" i="208"/>
  <c r="AC43" i="208"/>
  <c r="AB43" i="208"/>
  <c r="Z43" i="208"/>
  <c r="X43" i="208"/>
  <c r="Q43" i="208"/>
  <c r="P43" i="208"/>
  <c r="H43" i="208"/>
  <c r="E43" i="208"/>
  <c r="I43" i="208" s="1"/>
  <c r="AD42" i="208"/>
  <c r="AC42" i="208"/>
  <c r="AB42" i="208"/>
  <c r="Z42" i="208"/>
  <c r="X42" i="208"/>
  <c r="Q42" i="208"/>
  <c r="P42" i="208"/>
  <c r="H42" i="208"/>
  <c r="E42" i="208"/>
  <c r="I42" i="208" s="1"/>
  <c r="AD41" i="208"/>
  <c r="AC41" i="208"/>
  <c r="AB41" i="208"/>
  <c r="Z41" i="208"/>
  <c r="X41" i="208"/>
  <c r="Q41" i="208"/>
  <c r="P41" i="208"/>
  <c r="H41" i="208"/>
  <c r="E41" i="208"/>
  <c r="I41" i="208" s="1"/>
  <c r="AD40" i="208"/>
  <c r="AC40" i="208"/>
  <c r="AB40" i="208"/>
  <c r="Z40" i="208"/>
  <c r="X40" i="208"/>
  <c r="Q40" i="208"/>
  <c r="P40" i="208"/>
  <c r="H40" i="208"/>
  <c r="E40" i="208"/>
  <c r="I40" i="208" s="1"/>
  <c r="AD39" i="208"/>
  <c r="AC39" i="208"/>
  <c r="AB39" i="208"/>
  <c r="Z39" i="208"/>
  <c r="X39" i="208"/>
  <c r="Q39" i="208"/>
  <c r="P39" i="208"/>
  <c r="H39" i="208"/>
  <c r="E39" i="208"/>
  <c r="I39" i="208" s="1"/>
  <c r="AD38" i="208"/>
  <c r="AC38" i="208"/>
  <c r="AB38" i="208"/>
  <c r="Z38" i="208"/>
  <c r="X38" i="208"/>
  <c r="Q38" i="208"/>
  <c r="P38" i="208"/>
  <c r="I38" i="208"/>
  <c r="H38" i="208"/>
  <c r="E38" i="208"/>
  <c r="AD37" i="208"/>
  <c r="AC37" i="208"/>
  <c r="AB37" i="208"/>
  <c r="Z37" i="208"/>
  <c r="X37" i="208"/>
  <c r="Q37" i="208"/>
  <c r="P37" i="208"/>
  <c r="H37" i="208"/>
  <c r="E37" i="208"/>
  <c r="I37" i="208" s="1"/>
  <c r="AD33" i="208"/>
  <c r="AC33" i="208"/>
  <c r="Z33" i="208"/>
  <c r="X33" i="208"/>
  <c r="Q33" i="208"/>
  <c r="P33" i="208"/>
  <c r="H33" i="208"/>
  <c r="E33" i="208"/>
  <c r="I33" i="208" s="1"/>
  <c r="AD32" i="208"/>
  <c r="AC32" i="208"/>
  <c r="AB32" i="208"/>
  <c r="Z32" i="208"/>
  <c r="X32" i="208"/>
  <c r="Q32" i="208"/>
  <c r="P32" i="208"/>
  <c r="H32" i="208"/>
  <c r="E32" i="208"/>
  <c r="I32" i="208" s="1"/>
  <c r="AE31" i="208"/>
  <c r="AI31" i="208" s="1"/>
  <c r="Y31" i="208" s="1"/>
  <c r="Z31" i="208"/>
  <c r="X31" i="208"/>
  <c r="Q31" i="208"/>
  <c r="P31" i="208"/>
  <c r="H31" i="208"/>
  <c r="E31" i="208"/>
  <c r="I31" i="208" s="1"/>
  <c r="AD30" i="208"/>
  <c r="AC30" i="208"/>
  <c r="AB30" i="208"/>
  <c r="Z30" i="208"/>
  <c r="X30" i="208"/>
  <c r="Q30" i="208"/>
  <c r="P30" i="208"/>
  <c r="H30" i="208"/>
  <c r="E30" i="208"/>
  <c r="I30" i="208" s="1"/>
  <c r="AD29" i="208"/>
  <c r="AC29" i="208"/>
  <c r="AB29" i="208"/>
  <c r="Z29" i="208"/>
  <c r="X29" i="208"/>
  <c r="Q29" i="208"/>
  <c r="P29" i="208"/>
  <c r="H29" i="208"/>
  <c r="E29" i="208"/>
  <c r="I29" i="208" s="1"/>
  <c r="AD28" i="208"/>
  <c r="AC28" i="208"/>
  <c r="AB28" i="208"/>
  <c r="Z28" i="208"/>
  <c r="X28" i="208"/>
  <c r="Q28" i="208"/>
  <c r="P28" i="208"/>
  <c r="H28" i="208"/>
  <c r="E28" i="208"/>
  <c r="I28" i="208" s="1"/>
  <c r="AD27" i="208"/>
  <c r="AC27" i="208"/>
  <c r="AB27" i="208"/>
  <c r="AE27" i="208" s="1"/>
  <c r="AI27" i="208" s="1"/>
  <c r="Y27" i="208" s="1"/>
  <c r="Z27" i="208"/>
  <c r="X27" i="208"/>
  <c r="Q27" i="208"/>
  <c r="P27" i="208"/>
  <c r="H27" i="208"/>
  <c r="E27" i="208"/>
  <c r="I27" i="208" s="1"/>
  <c r="AD26" i="208"/>
  <c r="AC26" i="208"/>
  <c r="AB26" i="208"/>
  <c r="Z26" i="208"/>
  <c r="X26" i="208"/>
  <c r="Q26" i="208"/>
  <c r="P26" i="208"/>
  <c r="H26" i="208"/>
  <c r="E26" i="208"/>
  <c r="I26" i="208" s="1"/>
  <c r="AD25" i="208"/>
  <c r="AC25" i="208"/>
  <c r="AB25" i="208"/>
  <c r="Z25" i="208"/>
  <c r="X25" i="208"/>
  <c r="Q25" i="208"/>
  <c r="P25" i="208"/>
  <c r="H25" i="208"/>
  <c r="E25" i="208"/>
  <c r="I25" i="208" s="1"/>
  <c r="AD24" i="208"/>
  <c r="AC24" i="208"/>
  <c r="AB24" i="208"/>
  <c r="Z24" i="208"/>
  <c r="X24" i="208"/>
  <c r="Q24" i="208"/>
  <c r="P24" i="208"/>
  <c r="H24" i="208"/>
  <c r="E24" i="208"/>
  <c r="I24" i="208" s="1"/>
  <c r="AD23" i="208"/>
  <c r="AC23" i="208"/>
  <c r="AB23" i="208"/>
  <c r="Z23" i="208"/>
  <c r="X23" i="208"/>
  <c r="Q23" i="208"/>
  <c r="P23" i="208"/>
  <c r="H23" i="208"/>
  <c r="E23" i="208"/>
  <c r="I23" i="208" s="1"/>
  <c r="AD22" i="208"/>
  <c r="AC22" i="208"/>
  <c r="AB22" i="208"/>
  <c r="Z22" i="208"/>
  <c r="X22" i="208"/>
  <c r="Q22" i="208"/>
  <c r="P22" i="208"/>
  <c r="H22" i="208"/>
  <c r="E22" i="208"/>
  <c r="I22" i="208" s="1"/>
  <c r="AD21" i="208"/>
  <c r="AC21" i="208"/>
  <c r="AB21" i="208"/>
  <c r="Z21" i="208"/>
  <c r="X21" i="208"/>
  <c r="Q21" i="208"/>
  <c r="P21" i="208"/>
  <c r="H21" i="208"/>
  <c r="E21" i="208"/>
  <c r="I21" i="208" s="1"/>
  <c r="AD20" i="208"/>
  <c r="AC20" i="208"/>
  <c r="AB20" i="208"/>
  <c r="Z20" i="208"/>
  <c r="X20" i="208"/>
  <c r="Q20" i="208"/>
  <c r="P20" i="208"/>
  <c r="I20" i="208"/>
  <c r="H20" i="208"/>
  <c r="E20" i="208"/>
  <c r="AD19" i="208"/>
  <c r="AC19" i="208"/>
  <c r="AB19" i="208"/>
  <c r="Z19" i="208"/>
  <c r="X19" i="208"/>
  <c r="Q19" i="208"/>
  <c r="P19" i="208"/>
  <c r="H19" i="208"/>
  <c r="E19" i="208"/>
  <c r="I19" i="208" s="1"/>
  <c r="AD18" i="208"/>
  <c r="AC18" i="208"/>
  <c r="AB18" i="208"/>
  <c r="Z18" i="208"/>
  <c r="X18" i="208"/>
  <c r="Q18" i="208"/>
  <c r="P18" i="208"/>
  <c r="H18" i="208"/>
  <c r="E18" i="208"/>
  <c r="I18" i="208" s="1"/>
  <c r="AD17" i="208"/>
  <c r="AC17" i="208"/>
  <c r="AB17" i="208"/>
  <c r="Z17" i="208"/>
  <c r="X17" i="208"/>
  <c r="Q17" i="208"/>
  <c r="P17" i="208"/>
  <c r="H17" i="208"/>
  <c r="E17" i="208"/>
  <c r="I17" i="208" s="1"/>
  <c r="AD16" i="208"/>
  <c r="AC16" i="208"/>
  <c r="AB16" i="208"/>
  <c r="Z16" i="208"/>
  <c r="X16" i="208"/>
  <c r="Q16" i="208"/>
  <c r="P16" i="208"/>
  <c r="E16" i="208"/>
  <c r="I16" i="208" s="1"/>
  <c r="AD15" i="208"/>
  <c r="AC15" i="208"/>
  <c r="AB15" i="208"/>
  <c r="Z15" i="208"/>
  <c r="X15" i="208"/>
  <c r="Q15" i="208"/>
  <c r="P15" i="208"/>
  <c r="E15" i="208"/>
  <c r="I15" i="208" s="1"/>
  <c r="AD14" i="208"/>
  <c r="AC14" i="208"/>
  <c r="AB14" i="208"/>
  <c r="Z14" i="208"/>
  <c r="X14" i="208"/>
  <c r="Q14" i="208"/>
  <c r="P14" i="208"/>
  <c r="H14" i="208"/>
  <c r="E14" i="208"/>
  <c r="I14" i="208" s="1"/>
  <c r="AD13" i="208"/>
  <c r="AC13" i="208"/>
  <c r="AB13" i="208"/>
  <c r="Z13" i="208"/>
  <c r="X13" i="208"/>
  <c r="Q13" i="208"/>
  <c r="P13" i="208"/>
  <c r="H13" i="208"/>
  <c r="E13" i="208"/>
  <c r="I13" i="208" s="1"/>
  <c r="AD12" i="208"/>
  <c r="AC12" i="208"/>
  <c r="AB12" i="208"/>
  <c r="Z12" i="208"/>
  <c r="X12" i="208"/>
  <c r="Q12" i="208"/>
  <c r="P12" i="208"/>
  <c r="H12" i="208"/>
  <c r="E12" i="208"/>
  <c r="I12" i="208" s="1"/>
  <c r="M81" i="207"/>
  <c r="P73" i="207"/>
  <c r="H73" i="207"/>
  <c r="Q72" i="207"/>
  <c r="P72" i="207"/>
  <c r="H72" i="207"/>
  <c r="E72" i="207"/>
  <c r="I72" i="207" s="1"/>
  <c r="Q71" i="207"/>
  <c r="P71" i="207"/>
  <c r="H71" i="207"/>
  <c r="E71" i="207"/>
  <c r="I71" i="207" s="1"/>
  <c r="AD70" i="207"/>
  <c r="AC70" i="207"/>
  <c r="AB70" i="207"/>
  <c r="AE70" i="207" s="1"/>
  <c r="AI70" i="207" s="1"/>
  <c r="Y70" i="207" s="1"/>
  <c r="Z70" i="207"/>
  <c r="X70" i="207"/>
  <c r="Q70" i="207"/>
  <c r="P70" i="207"/>
  <c r="H70" i="207"/>
  <c r="E70" i="207"/>
  <c r="I70" i="207" s="1"/>
  <c r="AD69" i="207"/>
  <c r="AC69" i="207"/>
  <c r="AB69" i="207"/>
  <c r="Z69" i="207"/>
  <c r="X69" i="207"/>
  <c r="Q69" i="207"/>
  <c r="P69" i="207"/>
  <c r="H69" i="207"/>
  <c r="E69" i="207"/>
  <c r="I69" i="207" s="1"/>
  <c r="AD68" i="207"/>
  <c r="AC68" i="207"/>
  <c r="AB68" i="207"/>
  <c r="Z68" i="207"/>
  <c r="X68" i="207"/>
  <c r="Q68" i="207"/>
  <c r="P68" i="207"/>
  <c r="H68" i="207"/>
  <c r="E68" i="207"/>
  <c r="I68" i="207" s="1"/>
  <c r="AD67" i="207"/>
  <c r="AC67" i="207"/>
  <c r="AB67" i="207"/>
  <c r="Z67" i="207"/>
  <c r="X67" i="207"/>
  <c r="Q67" i="207"/>
  <c r="P67" i="207"/>
  <c r="I67" i="207"/>
  <c r="H67" i="207"/>
  <c r="E67" i="207"/>
  <c r="AD66" i="207"/>
  <c r="AC66" i="207"/>
  <c r="AB66" i="207"/>
  <c r="Z66" i="207"/>
  <c r="X66" i="207"/>
  <c r="Q66" i="207"/>
  <c r="P66" i="207"/>
  <c r="H66" i="207"/>
  <c r="E66" i="207"/>
  <c r="I66" i="207" s="1"/>
  <c r="AD65" i="207"/>
  <c r="AC65" i="207"/>
  <c r="AB65" i="207"/>
  <c r="Z65" i="207"/>
  <c r="X65" i="207"/>
  <c r="Q65" i="207"/>
  <c r="P65" i="207"/>
  <c r="H65" i="207"/>
  <c r="E65" i="207"/>
  <c r="I65" i="207" s="1"/>
  <c r="AD64" i="207"/>
  <c r="AC64" i="207"/>
  <c r="AB64" i="207"/>
  <c r="Z64" i="207"/>
  <c r="X64" i="207"/>
  <c r="Q64" i="207"/>
  <c r="P64" i="207"/>
  <c r="H64" i="207"/>
  <c r="E64" i="207"/>
  <c r="I64" i="207" s="1"/>
  <c r="AC63" i="207"/>
  <c r="AB63" i="207"/>
  <c r="AE63" i="207" s="1"/>
  <c r="AI63" i="207" s="1"/>
  <c r="Y63" i="207" s="1"/>
  <c r="X63" i="207"/>
  <c r="Q63" i="207"/>
  <c r="P63" i="207"/>
  <c r="H63" i="207"/>
  <c r="E63" i="207"/>
  <c r="I63" i="207" s="1"/>
  <c r="AE62" i="207"/>
  <c r="AI62" i="207" s="1"/>
  <c r="Y62" i="207" s="1"/>
  <c r="X62" i="207"/>
  <c r="Q62" i="207"/>
  <c r="P62" i="207"/>
  <c r="H62" i="207"/>
  <c r="E62" i="207"/>
  <c r="I62" i="207" s="1"/>
  <c r="AC61" i="207"/>
  <c r="AB61" i="207"/>
  <c r="AE61" i="207" s="1"/>
  <c r="AI61" i="207" s="1"/>
  <c r="Y61" i="207" s="1"/>
  <c r="X61" i="207"/>
  <c r="Q61" i="207"/>
  <c r="P61" i="207"/>
  <c r="H61" i="207"/>
  <c r="E61" i="207"/>
  <c r="I61" i="207" s="1"/>
  <c r="AC60" i="207"/>
  <c r="AB60" i="207"/>
  <c r="X60" i="207"/>
  <c r="Q60" i="207"/>
  <c r="P60" i="207"/>
  <c r="E60" i="207"/>
  <c r="I60" i="207" s="1"/>
  <c r="AC59" i="207"/>
  <c r="AB59" i="207"/>
  <c r="AE59" i="207" s="1"/>
  <c r="AI59" i="207" s="1"/>
  <c r="Y59" i="207" s="1"/>
  <c r="X59" i="207"/>
  <c r="Q59" i="207"/>
  <c r="P59" i="207"/>
  <c r="H59" i="207"/>
  <c r="E59" i="207"/>
  <c r="I59" i="207" s="1"/>
  <c r="AD58" i="207"/>
  <c r="AC58" i="207"/>
  <c r="AB58" i="207"/>
  <c r="Z58" i="207"/>
  <c r="X58" i="207"/>
  <c r="Q58" i="207"/>
  <c r="P58" i="207"/>
  <c r="H58" i="207"/>
  <c r="E58" i="207"/>
  <c r="I58" i="207" s="1"/>
  <c r="AD57" i="207"/>
  <c r="AC57" i="207"/>
  <c r="AE57" i="207" s="1"/>
  <c r="AI57" i="207" s="1"/>
  <c r="Y57" i="207" s="1"/>
  <c r="AB57" i="207"/>
  <c r="Z57" i="207"/>
  <c r="X57" i="207"/>
  <c r="Q57" i="207"/>
  <c r="P57" i="207"/>
  <c r="H57" i="207"/>
  <c r="E57" i="207"/>
  <c r="I57" i="207" s="1"/>
  <c r="AD56" i="207"/>
  <c r="AC56" i="207"/>
  <c r="AB56" i="207"/>
  <c r="Z56" i="207"/>
  <c r="X56" i="207"/>
  <c r="Q56" i="207"/>
  <c r="P56" i="207"/>
  <c r="H56" i="207"/>
  <c r="E56" i="207"/>
  <c r="I56" i="207" s="1"/>
  <c r="AD55" i="207"/>
  <c r="AC55" i="207"/>
  <c r="AB55" i="207"/>
  <c r="Z55" i="207"/>
  <c r="X55" i="207"/>
  <c r="Q55" i="207"/>
  <c r="P55" i="207"/>
  <c r="H55" i="207"/>
  <c r="E55" i="207"/>
  <c r="I55" i="207" s="1"/>
  <c r="AE54" i="207"/>
  <c r="AI54" i="207" s="1"/>
  <c r="Y54" i="207" s="1"/>
  <c r="Z54" i="207"/>
  <c r="X54" i="207"/>
  <c r="Q54" i="207"/>
  <c r="P54" i="207"/>
  <c r="H54" i="207"/>
  <c r="E54" i="207"/>
  <c r="I54" i="207" s="1"/>
  <c r="AD53" i="207"/>
  <c r="AC53" i="207"/>
  <c r="AB53" i="207"/>
  <c r="Z53" i="207"/>
  <c r="X53" i="207"/>
  <c r="Q53" i="207"/>
  <c r="P53" i="207"/>
  <c r="H53" i="207"/>
  <c r="E53" i="207"/>
  <c r="I53" i="207" s="1"/>
  <c r="AD52" i="207"/>
  <c r="AC52" i="207"/>
  <c r="AB52" i="207"/>
  <c r="Z52" i="207"/>
  <c r="X52" i="207"/>
  <c r="Q52" i="207"/>
  <c r="P52" i="207"/>
  <c r="H52" i="207"/>
  <c r="E52" i="207"/>
  <c r="I52" i="207" s="1"/>
  <c r="AE51" i="207"/>
  <c r="AI51" i="207" s="1"/>
  <c r="Y51" i="207" s="1"/>
  <c r="Z51" i="207"/>
  <c r="X51" i="207"/>
  <c r="Q51" i="207"/>
  <c r="P51" i="207"/>
  <c r="H51" i="207"/>
  <c r="E51" i="207"/>
  <c r="I51" i="207" s="1"/>
  <c r="AI50" i="207"/>
  <c r="Y50" i="207" s="1"/>
  <c r="AE50" i="207"/>
  <c r="Z50" i="207"/>
  <c r="X50" i="207"/>
  <c r="Q50" i="207"/>
  <c r="P50" i="207"/>
  <c r="H50" i="207"/>
  <c r="E50" i="207"/>
  <c r="I50" i="207" s="1"/>
  <c r="AE49" i="207"/>
  <c r="AI49" i="207" s="1"/>
  <c r="Y49" i="207" s="1"/>
  <c r="Z49" i="207"/>
  <c r="X49" i="207"/>
  <c r="Q49" i="207"/>
  <c r="P49" i="207"/>
  <c r="H49" i="207"/>
  <c r="E49" i="207"/>
  <c r="I49" i="207" s="1"/>
  <c r="AD48" i="207"/>
  <c r="AC48" i="207"/>
  <c r="AB48" i="207"/>
  <c r="Z48" i="207"/>
  <c r="X48" i="207"/>
  <c r="Q48" i="207"/>
  <c r="P48" i="207"/>
  <c r="H48" i="207"/>
  <c r="E48" i="207"/>
  <c r="I48" i="207" s="1"/>
  <c r="AD47" i="207"/>
  <c r="AC47" i="207"/>
  <c r="AB47" i="207"/>
  <c r="Z47" i="207"/>
  <c r="X47" i="207"/>
  <c r="Q47" i="207"/>
  <c r="P47" i="207"/>
  <c r="H47" i="207"/>
  <c r="E47" i="207"/>
  <c r="I47" i="207" s="1"/>
  <c r="AD46" i="207"/>
  <c r="AC46" i="207"/>
  <c r="AB46" i="207"/>
  <c r="Z46" i="207"/>
  <c r="X46" i="207"/>
  <c r="Q46" i="207"/>
  <c r="P46" i="207"/>
  <c r="H46" i="207"/>
  <c r="E46" i="207"/>
  <c r="I46" i="207" s="1"/>
  <c r="AD45" i="207"/>
  <c r="AC45" i="207"/>
  <c r="AB45" i="207"/>
  <c r="AE45" i="207" s="1"/>
  <c r="AI45" i="207" s="1"/>
  <c r="Y45" i="207" s="1"/>
  <c r="Z45" i="207"/>
  <c r="X45" i="207"/>
  <c r="Q45" i="207"/>
  <c r="P45" i="207"/>
  <c r="H45" i="207"/>
  <c r="E45" i="207"/>
  <c r="I45" i="207" s="1"/>
  <c r="AD44" i="207"/>
  <c r="AC44" i="207"/>
  <c r="AB44" i="207"/>
  <c r="Z44" i="207"/>
  <c r="X44" i="207"/>
  <c r="Q44" i="207"/>
  <c r="P44" i="207"/>
  <c r="H44" i="207"/>
  <c r="E44" i="207"/>
  <c r="I44" i="207" s="1"/>
  <c r="AD43" i="207"/>
  <c r="AC43" i="207"/>
  <c r="AB43" i="207"/>
  <c r="AE43" i="207" s="1"/>
  <c r="AI43" i="207" s="1"/>
  <c r="Y43" i="207" s="1"/>
  <c r="Z43" i="207"/>
  <c r="X43" i="207"/>
  <c r="Q43" i="207"/>
  <c r="P43" i="207"/>
  <c r="H43" i="207"/>
  <c r="E43" i="207"/>
  <c r="I43" i="207" s="1"/>
  <c r="AD42" i="207"/>
  <c r="AC42" i="207"/>
  <c r="AB42" i="207"/>
  <c r="AE42" i="207" s="1"/>
  <c r="AI42" i="207" s="1"/>
  <c r="Y42" i="207" s="1"/>
  <c r="Z42" i="207"/>
  <c r="X42" i="207"/>
  <c r="Q42" i="207"/>
  <c r="P42" i="207"/>
  <c r="H42" i="207"/>
  <c r="E42" i="207"/>
  <c r="I42" i="207" s="1"/>
  <c r="AD41" i="207"/>
  <c r="AC41" i="207"/>
  <c r="AB41" i="207"/>
  <c r="Z41" i="207"/>
  <c r="X41" i="207"/>
  <c r="Q41" i="207"/>
  <c r="P41" i="207"/>
  <c r="H41" i="207"/>
  <c r="E41" i="207"/>
  <c r="I41" i="207" s="1"/>
  <c r="AD40" i="207"/>
  <c r="AC40" i="207"/>
  <c r="AB40" i="207"/>
  <c r="Z40" i="207"/>
  <c r="X40" i="207"/>
  <c r="Q40" i="207"/>
  <c r="P40" i="207"/>
  <c r="H40" i="207"/>
  <c r="E40" i="207"/>
  <c r="I40" i="207" s="1"/>
  <c r="AD39" i="207"/>
  <c r="AC39" i="207"/>
  <c r="AB39" i="207"/>
  <c r="Z39" i="207"/>
  <c r="X39" i="207"/>
  <c r="Q39" i="207"/>
  <c r="P39" i="207"/>
  <c r="H39" i="207"/>
  <c r="E39" i="207"/>
  <c r="I39" i="207" s="1"/>
  <c r="AD38" i="207"/>
  <c r="AC38" i="207"/>
  <c r="AB38" i="207"/>
  <c r="Z38" i="207"/>
  <c r="X38" i="207"/>
  <c r="Q38" i="207"/>
  <c r="P38" i="207"/>
  <c r="H38" i="207"/>
  <c r="E38" i="207"/>
  <c r="I38" i="207" s="1"/>
  <c r="AD37" i="207"/>
  <c r="AC37" i="207"/>
  <c r="AB37" i="207"/>
  <c r="Z37" i="207"/>
  <c r="X37" i="207"/>
  <c r="Q37" i="207"/>
  <c r="P37" i="207"/>
  <c r="H37" i="207"/>
  <c r="E37" i="207"/>
  <c r="I37" i="207" s="1"/>
  <c r="AD36" i="207"/>
  <c r="AC36" i="207"/>
  <c r="AB36" i="207"/>
  <c r="AE36" i="207" s="1"/>
  <c r="AI36" i="207" s="1"/>
  <c r="Y36" i="207" s="1"/>
  <c r="Z36" i="207"/>
  <c r="X36" i="207"/>
  <c r="Q36" i="207"/>
  <c r="P36" i="207"/>
  <c r="H36" i="207"/>
  <c r="E36" i="207"/>
  <c r="I36" i="207" s="1"/>
  <c r="AD33" i="207"/>
  <c r="AC33" i="207"/>
  <c r="Z33" i="207"/>
  <c r="X33" i="207"/>
  <c r="Q33" i="207"/>
  <c r="P33" i="207"/>
  <c r="H33" i="207"/>
  <c r="E33" i="207"/>
  <c r="I33" i="207" s="1"/>
  <c r="AD32" i="207"/>
  <c r="AC32" i="207"/>
  <c r="AB32" i="207"/>
  <c r="Z32" i="207"/>
  <c r="X32" i="207"/>
  <c r="Q32" i="207"/>
  <c r="P32" i="207"/>
  <c r="H32" i="207"/>
  <c r="E32" i="207"/>
  <c r="I32" i="207" s="1"/>
  <c r="AE31" i="207"/>
  <c r="AI31" i="207" s="1"/>
  <c r="Y31" i="207" s="1"/>
  <c r="Z31" i="207"/>
  <c r="X31" i="207"/>
  <c r="Q31" i="207"/>
  <c r="P31" i="207"/>
  <c r="H31" i="207"/>
  <c r="E31" i="207"/>
  <c r="I31" i="207" s="1"/>
  <c r="AD30" i="207"/>
  <c r="AC30" i="207"/>
  <c r="AB30" i="207"/>
  <c r="Z30" i="207"/>
  <c r="X30" i="207"/>
  <c r="Q30" i="207"/>
  <c r="P30" i="207"/>
  <c r="H30" i="207"/>
  <c r="E30" i="207"/>
  <c r="I30" i="207" s="1"/>
  <c r="AD29" i="207"/>
  <c r="AC29" i="207"/>
  <c r="AB29" i="207"/>
  <c r="Z29" i="207"/>
  <c r="X29" i="207"/>
  <c r="Q29" i="207"/>
  <c r="P29" i="207"/>
  <c r="H29" i="207"/>
  <c r="E29" i="207"/>
  <c r="I29" i="207" s="1"/>
  <c r="AD28" i="207"/>
  <c r="AC28" i="207"/>
  <c r="AB28" i="207"/>
  <c r="Z28" i="207"/>
  <c r="X28" i="207"/>
  <c r="Q28" i="207"/>
  <c r="P28" i="207"/>
  <c r="H28" i="207"/>
  <c r="E28" i="207"/>
  <c r="I28" i="207" s="1"/>
  <c r="AD27" i="207"/>
  <c r="AC27" i="207"/>
  <c r="AB27" i="207"/>
  <c r="Z27" i="207"/>
  <c r="X27" i="207"/>
  <c r="Q27" i="207"/>
  <c r="P27" i="207"/>
  <c r="H27" i="207"/>
  <c r="E27" i="207"/>
  <c r="I27" i="207" s="1"/>
  <c r="AD26" i="207"/>
  <c r="AC26" i="207"/>
  <c r="AB26" i="207"/>
  <c r="Z26" i="207"/>
  <c r="X26" i="207"/>
  <c r="Q26" i="207"/>
  <c r="P26" i="207"/>
  <c r="I26" i="207"/>
  <c r="H26" i="207"/>
  <c r="E26" i="207"/>
  <c r="AD25" i="207"/>
  <c r="AC25" i="207"/>
  <c r="AB25" i="207"/>
  <c r="Z25" i="207"/>
  <c r="X25" i="207"/>
  <c r="Q25" i="207"/>
  <c r="P25" i="207"/>
  <c r="H25" i="207"/>
  <c r="E25" i="207"/>
  <c r="I25" i="207" s="1"/>
  <c r="AD24" i="207"/>
  <c r="AC24" i="207"/>
  <c r="AB24" i="207"/>
  <c r="Z24" i="207"/>
  <c r="X24" i="207"/>
  <c r="Q24" i="207"/>
  <c r="P24" i="207"/>
  <c r="H24" i="207"/>
  <c r="E24" i="207"/>
  <c r="I24" i="207" s="1"/>
  <c r="AD23" i="207"/>
  <c r="AC23" i="207"/>
  <c r="AB23" i="207"/>
  <c r="Z23" i="207"/>
  <c r="X23" i="207"/>
  <c r="Q23" i="207"/>
  <c r="P23" i="207"/>
  <c r="H23" i="207"/>
  <c r="E23" i="207"/>
  <c r="I23" i="207" s="1"/>
  <c r="AD22" i="207"/>
  <c r="AC22" i="207"/>
  <c r="AB22" i="207"/>
  <c r="AE22" i="207" s="1"/>
  <c r="AI22" i="207" s="1"/>
  <c r="Y22" i="207" s="1"/>
  <c r="Z22" i="207"/>
  <c r="X22" i="207"/>
  <c r="Q22" i="207"/>
  <c r="P22" i="207"/>
  <c r="H22" i="207"/>
  <c r="E22" i="207"/>
  <c r="I22" i="207" s="1"/>
  <c r="AD21" i="207"/>
  <c r="AC21" i="207"/>
  <c r="AB21" i="207"/>
  <c r="AE21" i="207" s="1"/>
  <c r="AI21" i="207" s="1"/>
  <c r="Y21" i="207" s="1"/>
  <c r="Z21" i="207"/>
  <c r="X21" i="207"/>
  <c r="Q21" i="207"/>
  <c r="P21" i="207"/>
  <c r="H21" i="207"/>
  <c r="E21" i="207"/>
  <c r="I21" i="207" s="1"/>
  <c r="AD20" i="207"/>
  <c r="AC20" i="207"/>
  <c r="AB20" i="207"/>
  <c r="Z20" i="207"/>
  <c r="X20" i="207"/>
  <c r="Q20" i="207"/>
  <c r="P20" i="207"/>
  <c r="H20" i="207"/>
  <c r="E20" i="207"/>
  <c r="I20" i="207" s="1"/>
  <c r="AD19" i="207"/>
  <c r="AC19" i="207"/>
  <c r="AB19" i="207"/>
  <c r="Z19" i="207"/>
  <c r="X19" i="207"/>
  <c r="Q19" i="207"/>
  <c r="P19" i="207"/>
  <c r="I19" i="207"/>
  <c r="H19" i="207"/>
  <c r="E19" i="207"/>
  <c r="AD18" i="207"/>
  <c r="AC18" i="207"/>
  <c r="AB18" i="207"/>
  <c r="Z18" i="207"/>
  <c r="X18" i="207"/>
  <c r="Q18" i="207"/>
  <c r="P18" i="207"/>
  <c r="H18" i="207"/>
  <c r="E18" i="207"/>
  <c r="I18" i="207" s="1"/>
  <c r="AD17" i="207"/>
  <c r="AC17" i="207"/>
  <c r="AB17" i="207"/>
  <c r="Z17" i="207"/>
  <c r="X17" i="207"/>
  <c r="Q17" i="207"/>
  <c r="P17" i="207"/>
  <c r="H17" i="207"/>
  <c r="E17" i="207"/>
  <c r="I17" i="207" s="1"/>
  <c r="AD16" i="207"/>
  <c r="AE16" i="207" s="1"/>
  <c r="AI16" i="207" s="1"/>
  <c r="Y16" i="207" s="1"/>
  <c r="AC16" i="207"/>
  <c r="AB16" i="207"/>
  <c r="Z16" i="207"/>
  <c r="X16" i="207"/>
  <c r="Q16" i="207"/>
  <c r="P16" i="207"/>
  <c r="E16" i="207"/>
  <c r="I16" i="207" s="1"/>
  <c r="AD15" i="207"/>
  <c r="AC15" i="207"/>
  <c r="AB15" i="207"/>
  <c r="AE15" i="207" s="1"/>
  <c r="AI15" i="207" s="1"/>
  <c r="Y15" i="207" s="1"/>
  <c r="Z15" i="207"/>
  <c r="X15" i="207"/>
  <c r="Q15" i="207"/>
  <c r="P15" i="207"/>
  <c r="E15" i="207"/>
  <c r="I15" i="207" s="1"/>
  <c r="AD14" i="207"/>
  <c r="AC14" i="207"/>
  <c r="AB14" i="207"/>
  <c r="Z14" i="207"/>
  <c r="X14" i="207"/>
  <c r="Q14" i="207"/>
  <c r="P14" i="207"/>
  <c r="H14" i="207"/>
  <c r="E14" i="207"/>
  <c r="I14" i="207" s="1"/>
  <c r="AD13" i="207"/>
  <c r="AC13" i="207"/>
  <c r="AB13" i="207"/>
  <c r="AE13" i="207" s="1"/>
  <c r="AI13" i="207" s="1"/>
  <c r="Y13" i="207" s="1"/>
  <c r="Z13" i="207"/>
  <c r="X13" i="207"/>
  <c r="Q13" i="207"/>
  <c r="P13" i="207"/>
  <c r="H13" i="207"/>
  <c r="E13" i="207"/>
  <c r="I13" i="207" s="1"/>
  <c r="AD12" i="207"/>
  <c r="AC12" i="207"/>
  <c r="AB12" i="207"/>
  <c r="Z12" i="207"/>
  <c r="X12" i="207"/>
  <c r="Q12" i="207"/>
  <c r="P12" i="207"/>
  <c r="H12" i="207"/>
  <c r="E12" i="207"/>
  <c r="I12" i="207" s="1"/>
  <c r="AE18" i="207" l="1"/>
  <c r="AI18" i="207" s="1"/>
  <c r="Y18" i="207" s="1"/>
  <c r="AE68" i="207"/>
  <c r="AI68" i="207" s="1"/>
  <c r="Y68" i="207" s="1"/>
  <c r="AE13" i="208"/>
  <c r="AI13" i="208" s="1"/>
  <c r="Y13" i="208" s="1"/>
  <c r="AE20" i="207"/>
  <c r="AI20" i="207" s="1"/>
  <c r="Y20" i="207" s="1"/>
  <c r="AE27" i="207"/>
  <c r="AI27" i="207" s="1"/>
  <c r="Y27" i="207" s="1"/>
  <c r="AE60" i="208"/>
  <c r="AI60" i="208" s="1"/>
  <c r="Y60" i="208" s="1"/>
  <c r="AE47" i="207"/>
  <c r="AI47" i="207" s="1"/>
  <c r="Y47" i="207" s="1"/>
  <c r="AE33" i="207"/>
  <c r="AI33" i="207" s="1"/>
  <c r="Y33" i="207" s="1"/>
  <c r="AE44" i="207"/>
  <c r="AI44" i="207" s="1"/>
  <c r="Y44" i="207" s="1"/>
  <c r="AE65" i="207"/>
  <c r="AI65" i="207" s="1"/>
  <c r="Y65" i="207" s="1"/>
  <c r="AE57" i="208"/>
  <c r="AI57" i="208" s="1"/>
  <c r="Y57" i="208" s="1"/>
  <c r="AE17" i="207"/>
  <c r="AI17" i="207" s="1"/>
  <c r="Y17" i="207" s="1"/>
  <c r="AE12" i="207"/>
  <c r="AI12" i="207" s="1"/>
  <c r="Y12" i="207" s="1"/>
  <c r="AE69" i="207"/>
  <c r="AI69" i="207" s="1"/>
  <c r="Y69" i="207" s="1"/>
  <c r="AE32" i="208"/>
  <c r="AI32" i="208" s="1"/>
  <c r="Y32" i="208" s="1"/>
  <c r="AE14" i="207"/>
  <c r="AI14" i="207" s="1"/>
  <c r="Y14" i="207" s="1"/>
  <c r="AE28" i="207"/>
  <c r="AI28" i="207" s="1"/>
  <c r="Y28" i="207" s="1"/>
  <c r="AE46" i="207"/>
  <c r="AI46" i="207" s="1"/>
  <c r="Y46" i="207" s="1"/>
  <c r="AE66" i="208"/>
  <c r="AI66" i="208" s="1"/>
  <c r="Y66" i="208" s="1"/>
  <c r="AE23" i="207"/>
  <c r="AI23" i="207" s="1"/>
  <c r="Y23" i="207" s="1"/>
  <c r="AE46" i="208"/>
  <c r="AI46" i="208" s="1"/>
  <c r="Y46" i="208" s="1"/>
  <c r="AE24" i="207"/>
  <c r="AI24" i="207" s="1"/>
  <c r="Y24" i="207" s="1"/>
  <c r="AE39" i="207"/>
  <c r="AI39" i="207" s="1"/>
  <c r="Y39" i="207" s="1"/>
  <c r="AE55" i="207"/>
  <c r="AI55" i="207" s="1"/>
  <c r="Y55" i="207" s="1"/>
  <c r="AE64" i="207"/>
  <c r="AI64" i="207" s="1"/>
  <c r="Y64" i="207" s="1"/>
  <c r="AE26" i="208"/>
  <c r="AI26" i="208" s="1"/>
  <c r="Y26" i="208" s="1"/>
  <c r="AE19" i="207"/>
  <c r="AI19" i="207" s="1"/>
  <c r="Y19" i="207" s="1"/>
  <c r="AE29" i="207"/>
  <c r="AI29" i="207" s="1"/>
  <c r="Y29" i="207" s="1"/>
  <c r="AE48" i="207"/>
  <c r="AI48" i="207" s="1"/>
  <c r="Y48" i="207" s="1"/>
  <c r="AE14" i="208"/>
  <c r="AI14" i="208" s="1"/>
  <c r="Y14" i="208" s="1"/>
  <c r="AE21" i="208"/>
  <c r="AI21" i="208" s="1"/>
  <c r="Y21" i="208" s="1"/>
  <c r="AE33" i="208"/>
  <c r="AI33" i="208" s="1"/>
  <c r="Y33" i="208" s="1"/>
  <c r="AE40" i="208"/>
  <c r="AI40" i="208" s="1"/>
  <c r="Y40" i="208" s="1"/>
  <c r="AE54" i="208"/>
  <c r="AI54" i="208" s="1"/>
  <c r="Y54" i="208" s="1"/>
  <c r="O77" i="207"/>
  <c r="AE32" i="207"/>
  <c r="AI32" i="207" s="1"/>
  <c r="Y32" i="207" s="1"/>
  <c r="AE38" i="207"/>
  <c r="AI38" i="207" s="1"/>
  <c r="Y38" i="207" s="1"/>
  <c r="AE16" i="208"/>
  <c r="AI16" i="208" s="1"/>
  <c r="Y16" i="208" s="1"/>
  <c r="AE67" i="207"/>
  <c r="AI67" i="207" s="1"/>
  <c r="Y67" i="207" s="1"/>
  <c r="AE20" i="208"/>
  <c r="AI20" i="208" s="1"/>
  <c r="Y20" i="208" s="1"/>
  <c r="AE24" i="208"/>
  <c r="AI24" i="208" s="1"/>
  <c r="Y24" i="208" s="1"/>
  <c r="AE39" i="208"/>
  <c r="AI39" i="208" s="1"/>
  <c r="Y39" i="208" s="1"/>
  <c r="AE43" i="208"/>
  <c r="AI43" i="208" s="1"/>
  <c r="Y43" i="208" s="1"/>
  <c r="O75" i="207"/>
  <c r="AE69" i="208"/>
  <c r="AI69" i="208" s="1"/>
  <c r="Y69" i="208" s="1"/>
  <c r="T79" i="207"/>
  <c r="AE37" i="207"/>
  <c r="AI37" i="207" s="1"/>
  <c r="Y37" i="207" s="1"/>
  <c r="AE58" i="207"/>
  <c r="AI58" i="207" s="1"/>
  <c r="Y58" i="207" s="1"/>
  <c r="AE19" i="208"/>
  <c r="AI19" i="208" s="1"/>
  <c r="Y19" i="208" s="1"/>
  <c r="AE28" i="208"/>
  <c r="AI28" i="208" s="1"/>
  <c r="Y28" i="208" s="1"/>
  <c r="T77" i="207"/>
  <c r="AE26" i="207"/>
  <c r="AI26" i="207" s="1"/>
  <c r="Y26" i="207" s="1"/>
  <c r="AE41" i="207"/>
  <c r="AI41" i="207" s="1"/>
  <c r="Y41" i="207" s="1"/>
  <c r="AE53" i="207"/>
  <c r="AI53" i="207" s="1"/>
  <c r="Y53" i="207" s="1"/>
  <c r="AE60" i="207"/>
  <c r="AI60" i="207" s="1"/>
  <c r="Y60" i="207" s="1"/>
  <c r="AE66" i="207"/>
  <c r="AI66" i="207" s="1"/>
  <c r="Y66" i="207" s="1"/>
  <c r="AE15" i="208"/>
  <c r="AI15" i="208" s="1"/>
  <c r="Y15" i="208" s="1"/>
  <c r="AE38" i="208"/>
  <c r="AI38" i="208" s="1"/>
  <c r="Y38" i="208" s="1"/>
  <c r="AE42" i="208"/>
  <c r="AI42" i="208" s="1"/>
  <c r="Y42" i="208" s="1"/>
  <c r="AE64" i="208"/>
  <c r="AI64" i="208" s="1"/>
  <c r="Y64" i="208" s="1"/>
  <c r="AE25" i="207"/>
  <c r="AI25" i="207" s="1"/>
  <c r="Y25" i="207" s="1"/>
  <c r="AE30" i="207"/>
  <c r="AI30" i="207" s="1"/>
  <c r="Y30" i="207" s="1"/>
  <c r="AE40" i="207"/>
  <c r="AI40" i="207" s="1"/>
  <c r="Y40" i="207" s="1"/>
  <c r="AE56" i="207"/>
  <c r="AI56" i="207" s="1"/>
  <c r="Y56" i="207" s="1"/>
  <c r="AE37" i="208"/>
  <c r="AI37" i="208" s="1"/>
  <c r="Y37" i="208" s="1"/>
  <c r="AE52" i="207"/>
  <c r="AI52" i="207" s="1"/>
  <c r="Y52" i="207" s="1"/>
  <c r="AE18" i="208"/>
  <c r="AI18" i="208" s="1"/>
  <c r="Y18" i="208" s="1"/>
  <c r="AE22" i="208"/>
  <c r="AI22" i="208" s="1"/>
  <c r="Y22" i="208" s="1"/>
  <c r="AE41" i="208"/>
  <c r="AI41" i="208" s="1"/>
  <c r="Y41" i="208" s="1"/>
  <c r="AE12" i="208"/>
  <c r="AI12" i="208" s="1"/>
  <c r="Y12" i="208" s="1"/>
  <c r="AE59" i="208"/>
  <c r="AI59" i="208" s="1"/>
  <c r="Y59" i="208" s="1"/>
  <c r="AE44" i="208"/>
  <c r="AI44" i="208" s="1"/>
  <c r="Y44" i="208" s="1"/>
  <c r="AE67" i="208"/>
  <c r="AI67" i="208" s="1"/>
  <c r="Y67" i="208" s="1"/>
  <c r="O78" i="208"/>
  <c r="AE25" i="208"/>
  <c r="AI25" i="208" s="1"/>
  <c r="Y25" i="208" s="1"/>
  <c r="AE30" i="208"/>
  <c r="AI30" i="208" s="1"/>
  <c r="Y30" i="208" s="1"/>
  <c r="AE47" i="208"/>
  <c r="AI47" i="208" s="1"/>
  <c r="Y47" i="208" s="1"/>
  <c r="AE53" i="208"/>
  <c r="AI53" i="208" s="1"/>
  <c r="Y53" i="208" s="1"/>
  <c r="O76" i="208"/>
  <c r="T80" i="208"/>
  <c r="AE17" i="208"/>
  <c r="AI17" i="208" s="1"/>
  <c r="Y17" i="208" s="1"/>
  <c r="AE23" i="208"/>
  <c r="AI23" i="208" s="1"/>
  <c r="Y23" i="208" s="1"/>
  <c r="AE45" i="208"/>
  <c r="AI45" i="208" s="1"/>
  <c r="Y45" i="208" s="1"/>
  <c r="AE48" i="208"/>
  <c r="AI48" i="208" s="1"/>
  <c r="Y48" i="208" s="1"/>
  <c r="AE29" i="208"/>
  <c r="AI29" i="208" s="1"/>
  <c r="Y29" i="208" s="1"/>
  <c r="AE49" i="208"/>
  <c r="AI49" i="208" s="1"/>
  <c r="Y49" i="208" s="1"/>
  <c r="AE56" i="208"/>
  <c r="AI56" i="208" s="1"/>
  <c r="Y56" i="208" s="1"/>
  <c r="AE65" i="208"/>
  <c r="AI65" i="208" s="1"/>
  <c r="Y65" i="208" s="1"/>
  <c r="AE70" i="208"/>
  <c r="AI70" i="208" s="1"/>
  <c r="Y70" i="208" s="1"/>
  <c r="T78" i="208"/>
  <c r="F78" i="208"/>
  <c r="F76" i="208"/>
  <c r="F77" i="207"/>
  <c r="F75" i="207"/>
  <c r="T75" i="207" l="1"/>
  <c r="T81" i="207"/>
  <c r="T76" i="208"/>
  <c r="T82" i="208" s="1"/>
  <c r="F80" i="208" s="1"/>
  <c r="F79" i="207"/>
</calcChain>
</file>

<file path=xl/sharedStrings.xml><?xml version="1.0" encoding="utf-8"?>
<sst xmlns="http://schemas.openxmlformats.org/spreadsheetml/2006/main" count="722" uniqueCount="143">
  <si>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</si>
  <si>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</si>
  <si>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</si>
  <si>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</si>
  <si>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</si>
  <si>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</si>
  <si>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</si>
  <si>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</si>
  <si>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</si>
  <si>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</si>
  <si>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</si>
  <si>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</si>
  <si>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</si>
  <si>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</si>
  <si>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</si>
  <si>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</si>
  <si>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</si>
  <si>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</si>
  <si>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</si>
  <si>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</si>
  <si>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</si>
  <si>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</si>
  <si>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</si>
  <si>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</si>
  <si>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</si>
  <si>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</si>
  <si>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</si>
  <si>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</si>
  <si>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</si>
  <si>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</si>
  <si>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</si>
  <si>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</si>
  <si>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</si>
  <si>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</si>
  <si>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</si>
  <si>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</si>
  <si>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</si>
  <si>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</si>
  <si>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</si>
  <si>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</si>
  <si>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</si>
  <si>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</si>
  <si>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</si>
  <si>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</si>
  <si>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</si>
  <si>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</si>
  <si>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</si>
  <si>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</si>
  <si>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</si>
  <si>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</si>
  <si>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</si>
  <si>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</si>
  <si>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</si>
  <si>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</si>
  <si>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</si>
  <si>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</si>
  <si>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</si>
  <si>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</si>
  <si>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</si>
  <si>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</si>
  <si>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</si>
  <si>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</si>
  <si>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</si>
  <si>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</si>
  <si>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</si>
  <si>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</si>
  <si>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</si>
  <si>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</si>
  <si>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</si>
  <si>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</si>
  <si>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</si>
  <si>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</si>
  <si>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</si>
  <si>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</si>
  <si>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</si>
  <si>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</si>
  <si>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</si>
  <si>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</si>
  <si>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</si>
  <si>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</si>
  <si>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</si>
  <si>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</si>
  <si>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</si>
  <si>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</si>
  <si>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</si>
  <si>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</si>
  <si>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</si>
  <si>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</si>
  <si>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</si>
  <si>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</si>
  <si>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</si>
  <si>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</si>
  <si>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</si>
  <si>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</si>
  <si>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</si>
  <si>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</si>
  <si>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</si>
  <si>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</si>
  <si>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</si>
  <si>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</si>
  <si>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</si>
  <si>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</si>
  <si>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</si>
  <si>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</si>
  <si>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</si>
  <si>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</si>
  <si>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</si>
  <si>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</si>
  <si>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</si>
  <si>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</si>
  <si>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</si>
  <si>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</si>
  <si>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</si>
  <si>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</si>
  <si>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</si>
  <si>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</si>
  <si>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</si>
  <si>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</si>
  <si>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</si>
  <si>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</si>
  <si>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</si>
  <si>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</si>
  <si>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</si>
  <si>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</si>
  <si>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</si>
  <si>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</si>
  <si>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</si>
  <si>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</si>
  <si>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</si>
  <si>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</si>
  <si>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</si>
  <si>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ROBERTO CHIONG</t>
  </si>
  <si>
    <t>NEILVIN BAGUIO</t>
  </si>
  <si>
    <t>0619</t>
  </si>
  <si>
    <t>0620</t>
  </si>
  <si>
    <t>SML KING CAN 500</t>
  </si>
  <si>
    <t>PP KING CAN 500</t>
  </si>
  <si>
    <t>x</t>
  </si>
  <si>
    <t>PASAMANTE, JOHN</t>
  </si>
  <si>
    <t>R#2</t>
  </si>
  <si>
    <t>CAGALITAN, ARNEL</t>
  </si>
  <si>
    <t>CCN8168</t>
  </si>
  <si>
    <t>NLB4409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</si>
</sst>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293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8" fillId="2" borderId="1" xfId="2" quotePrefix="1" applyFont="1" applyFill="1" applyBorder="1" applyAlignment="1" applyProtection="1">
      <alignment horizontal="center" vertical="center"/>
      <protection locked="0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2" Type="http://schemas.microsoft.com/office/2007/relationships/hdphoto" Target="../media/hdphoto1.wdp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C8A002B-B0B2-4CCF-B071-F8F4F3762F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07757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648AE2-08D0-4971-9803-7EE1B95ABF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13F357-F33D-4105-9317-F0E615E1303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4420721" y="28471905"/>
          <a:ext cx="1617935" cy="1419449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89</xdr:row>
      <xdr:rowOff>277905</xdr:rowOff>
    </xdr:from>
    <xdr:to>
      <xdr:col>7</xdr:col>
      <xdr:colOff>980881</xdr:colOff>
      <xdr:row>96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38BC77F-3AF3-4097-898A-640480049E9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439271</xdr:colOff>
      <xdr:row>90</xdr:row>
      <xdr:rowOff>277905</xdr:rowOff>
    </xdr:from>
    <xdr:to>
      <xdr:col>7</xdr:col>
      <xdr:colOff>873305</xdr:colOff>
      <xdr:row>97</xdr:row>
      <xdr:rowOff>30479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1C3A6B-191F-4175-9030-DA5D92B5973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BEBA8EAE-BF5A-486C-A8C5-ECC9F3942E4B}">
              <a14:imgProps xmlns:a14="http://schemas.microsoft.com/office/drawing/2010/main">
                <a14:imgLayer r:embed="rId2">
                  <a14:imgEffect>
                    <a14:backgroundRemoval t="10000" b="90000" l="10000" r="90000">
                      <a14:foregroundMark x1="67041" y1="27409" x2="66854" y2="28266"/>
                    </a14:backgroundRemoval>
                  </a14:imgEffect>
                </a14:imgLayer>
              </a14:imgProps>
            </a:ext>
          </a:extLst>
        </a:blip>
        <a:stretch>
          <a:fillRect/>
        </a:stretch>
      </xdr:blipFill>
      <xdr:spPr>
        <a:xfrm>
          <a:off x="2123291" y="27839445"/>
          <a:ext cx="1646510" cy="139849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95A9D9-2D6B-4A51-84B7-85F7FD1D427E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C1" activePane="topRight" state="frozen"/>
      <selection activeCell="U2" sqref="U2"/>
      <selection pane="topRight" activeCell="L13" sqref="L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9" t="s">
        <v>130</v>
      </c>
      <c r="G2" s="289"/>
      <c r="H2" s="289"/>
      <c r="I2" s="289"/>
      <c r="J2" s="289"/>
      <c r="K2" s="289"/>
      <c r="L2" s="289"/>
      <c r="M2" s="289"/>
      <c r="N2" s="289"/>
      <c r="O2" s="289"/>
      <c r="P2" s="289"/>
      <c r="Q2" s="289"/>
      <c r="R2" s="289"/>
      <c r="S2" s="289"/>
      <c r="T2" s="6" t="s">
        <v>1</v>
      </c>
      <c r="U2" s="195"/>
      <c r="W2" s="24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0" t="s">
        <v>138</v>
      </c>
      <c r="G4" s="290"/>
      <c r="H4" s="290"/>
      <c r="I4" s="290"/>
      <c r="J4" s="290"/>
      <c r="K4" s="290"/>
      <c r="L4" s="290"/>
      <c r="M4" s="290"/>
      <c r="S4" s="2" t="s">
        <v>4</v>
      </c>
      <c r="T4" s="291">
        <v>46235</v>
      </c>
      <c r="U4" s="291"/>
      <c r="W4" s="24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2"/>
      <c r="G6" s="292"/>
      <c r="H6" s="292"/>
      <c r="I6" s="292"/>
      <c r="J6" s="292"/>
      <c r="K6" s="292"/>
      <c r="L6" s="292"/>
      <c r="M6" s="292"/>
      <c r="S6" s="10" t="s">
        <v>6</v>
      </c>
      <c r="T6" s="196" t="s">
        <v>7</v>
      </c>
      <c r="U6" s="11" t="s">
        <v>137</v>
      </c>
      <c r="W6" s="24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2"/>
      <c r="G7" s="292"/>
      <c r="H7" s="292"/>
      <c r="I7" s="292"/>
      <c r="J7" s="292"/>
      <c r="K7" s="292"/>
      <c r="L7" s="292"/>
      <c r="M7" s="292"/>
      <c r="N7" s="13"/>
      <c r="O7" s="13"/>
      <c r="P7" s="13"/>
      <c r="Q7" s="14"/>
      <c r="S7" s="13"/>
      <c r="T7" s="196" t="s">
        <v>11</v>
      </c>
      <c r="U7" s="11"/>
      <c r="W7" s="24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1" t="s">
        <v>14</v>
      </c>
      <c r="C9" s="264" t="s">
        <v>15</v>
      </c>
      <c r="D9" s="264" t="s">
        <v>16</v>
      </c>
      <c r="E9" s="264" t="s">
        <v>17</v>
      </c>
      <c r="F9" s="267" t="s">
        <v>18</v>
      </c>
      <c r="G9" s="268"/>
      <c r="H9" s="268"/>
      <c r="I9" s="268"/>
      <c r="J9" s="268"/>
      <c r="K9" s="268"/>
      <c r="L9" s="268"/>
      <c r="M9" s="268"/>
      <c r="N9" s="268"/>
      <c r="O9" s="268"/>
      <c r="P9" s="268"/>
      <c r="Q9" s="269"/>
      <c r="S9" s="267" t="s">
        <v>19</v>
      </c>
      <c r="T9" s="268"/>
      <c r="U9" s="269"/>
      <c r="X9" s="274" t="s">
        <v>20</v>
      </c>
      <c r="Y9" s="277" t="s">
        <v>21</v>
      </c>
      <c r="Z9" s="277" t="s">
        <v>128</v>
      </c>
      <c r="AA9" s="16"/>
      <c r="AB9" s="254" t="s">
        <v>22</v>
      </c>
      <c r="AC9" s="280" t="s">
        <v>23</v>
      </c>
      <c r="AD9" s="283" t="s">
        <v>24</v>
      </c>
      <c r="AE9" s="254" t="s">
        <v>25</v>
      </c>
      <c r="AG9" s="254" t="s">
        <v>26</v>
      </c>
      <c r="AH9" s="16"/>
      <c r="AI9" s="254" t="s">
        <v>27</v>
      </c>
    </row>
    <row r="10" spans="2:35" s="15" customFormat="1" ht="20.25" customHeight="1" x14ac:dyDescent="0.25">
      <c r="B10" s="262"/>
      <c r="C10" s="265"/>
      <c r="D10" s="265"/>
      <c r="E10" s="265"/>
      <c r="F10" s="271" t="s">
        <v>28</v>
      </c>
      <c r="G10" s="271" t="s">
        <v>29</v>
      </c>
      <c r="H10" s="271" t="s">
        <v>30</v>
      </c>
      <c r="I10" s="272" t="s">
        <v>31</v>
      </c>
      <c r="J10" s="272" t="s">
        <v>32</v>
      </c>
      <c r="K10" s="272" t="s">
        <v>33</v>
      </c>
      <c r="L10" s="272" t="s">
        <v>34</v>
      </c>
      <c r="M10" s="286" t="s">
        <v>35</v>
      </c>
      <c r="N10" s="287"/>
      <c r="O10" s="287"/>
      <c r="P10" s="287"/>
      <c r="Q10" s="288"/>
      <c r="S10" s="257" t="s">
        <v>36</v>
      </c>
      <c r="T10" s="258"/>
      <c r="U10" s="259"/>
      <c r="X10" s="275"/>
      <c r="Y10" s="278"/>
      <c r="Z10" s="278"/>
      <c r="AA10" s="16"/>
      <c r="AB10" s="255"/>
      <c r="AC10" s="281"/>
      <c r="AD10" s="284"/>
      <c r="AE10" s="255"/>
      <c r="AG10" s="255"/>
      <c r="AH10" s="16"/>
      <c r="AI10" s="255"/>
    </row>
    <row r="11" spans="2:35" s="20" customFormat="1" ht="12.75" customHeight="1" thickBot="1" x14ac:dyDescent="0.3">
      <c r="B11" s="263"/>
      <c r="C11" s="266"/>
      <c r="D11" s="266"/>
      <c r="E11" s="266"/>
      <c r="F11" s="266"/>
      <c r="G11" s="266"/>
      <c r="H11" s="266"/>
      <c r="I11" s="273"/>
      <c r="J11" s="273"/>
      <c r="K11" s="273"/>
      <c r="L11" s="273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76"/>
      <c r="Y11" s="279"/>
      <c r="Z11" s="279"/>
      <c r="AA11" s="16"/>
      <c r="AB11" s="256"/>
      <c r="AC11" s="282"/>
      <c r="AD11" s="285"/>
      <c r="AE11" s="256"/>
      <c r="AG11" s="270"/>
      <c r="AH11" s="16"/>
      <c r="AI11" s="25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216</v>
      </c>
      <c r="N13" s="50"/>
      <c r="O13" s="50"/>
      <c r="P13" s="51" t="str">
        <f t="shared" ref="P13:P70" si="5">IF(M13&amp;N13="","",ROUND(((M13+N13)/G13),1)&amp;" pallets")</f>
        <v>2 pallets</v>
      </c>
      <c r="Q13" s="52">
        <f t="shared" ref="Q13:Q72" si="6">(J13*M13)+(K13*N13)+(O13*L13)</f>
        <v>23976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>
        <v>96</v>
      </c>
      <c r="N15" s="50"/>
      <c r="O15" s="50"/>
      <c r="P15" s="51" t="str">
        <f t="shared" si="5"/>
        <v>1 pallets</v>
      </c>
      <c r="Q15" s="52">
        <f t="shared" si="6"/>
        <v>10656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1512</v>
      </c>
      <c r="N16" s="192"/>
      <c r="O16" s="50"/>
      <c r="P16" s="51" t="str">
        <f t="shared" si="5"/>
        <v>14 pallets</v>
      </c>
      <c r="Q16" s="52">
        <f t="shared" si="6"/>
        <v>167832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0" t="s">
        <v>101</v>
      </c>
      <c r="C73" s="260"/>
      <c r="D73" s="260"/>
      <c r="E73" s="260"/>
      <c r="F73" s="260"/>
      <c r="G73" s="260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6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0">
        <f>SUM(I12:I72)</f>
        <v>0</v>
      </c>
      <c r="G75" s="240"/>
      <c r="H75" s="240"/>
      <c r="I75" s="241"/>
      <c r="J75" s="157"/>
      <c r="K75" s="157"/>
      <c r="L75" s="157"/>
      <c r="M75" s="252" t="s">
        <v>103</v>
      </c>
      <c r="N75" s="253"/>
      <c r="O75" s="240">
        <f>SUM(Q12:Q72)</f>
        <v>202464</v>
      </c>
      <c r="P75" s="240"/>
      <c r="Q75" s="241"/>
      <c r="R75" s="151"/>
      <c r="S75" s="158" t="s">
        <v>104</v>
      </c>
      <c r="T75" s="245">
        <f>SUM(Y12:Y70)</f>
        <v>0</v>
      </c>
      <c r="U75" s="246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0">
        <f>SUM(I14:I74)</f>
        <v>0</v>
      </c>
      <c r="G77" s="240"/>
      <c r="H77" s="240"/>
      <c r="I77" s="241"/>
      <c r="J77" s="157"/>
      <c r="K77" s="157"/>
      <c r="L77" s="157"/>
      <c r="M77" s="252" t="s">
        <v>103</v>
      </c>
      <c r="N77" s="253"/>
      <c r="O77" s="240">
        <f>SUM(Q14:Q74)</f>
        <v>178488</v>
      </c>
      <c r="P77" s="240"/>
      <c r="Q77" s="241"/>
      <c r="R77" s="151"/>
      <c r="S77" s="158" t="s">
        <v>129</v>
      </c>
      <c r="T77" s="245">
        <f>SUM(Z12:Z72)</f>
        <v>0</v>
      </c>
      <c r="U77" s="246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0">
        <f>IF(U7&gt;0,"",(F75-O75-T81-P81))</f>
        <v>-202464</v>
      </c>
      <c r="G79" s="240"/>
      <c r="H79" s="240"/>
      <c r="I79" s="241"/>
      <c r="J79" s="163"/>
      <c r="K79" s="163"/>
      <c r="L79" s="163"/>
      <c r="M79" s="242" t="s">
        <v>106</v>
      </c>
      <c r="N79" s="242"/>
      <c r="O79" s="167" t="s">
        <v>107</v>
      </c>
      <c r="P79" s="243"/>
      <c r="Q79" s="244"/>
      <c r="R79" s="151"/>
      <c r="S79" s="158" t="s">
        <v>108</v>
      </c>
      <c r="T79" s="245">
        <f>IF(SUM(X12:X70)*0.15&gt;P79,P79,SUM(X12:X70)*0.15)</f>
        <v>0</v>
      </c>
      <c r="U79" s="246"/>
      <c r="V79" s="159"/>
      <c r="W79" s="24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4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0"/>
      <c r="G81" s="240"/>
      <c r="H81" s="240"/>
      <c r="I81" s="241"/>
      <c r="J81" s="163"/>
      <c r="K81" s="163"/>
      <c r="L81" s="163"/>
      <c r="M81" s="250" t="str">
        <f>IF(U6&gt;0,"",T4+30)</f>
        <v/>
      </c>
      <c r="N81" s="251"/>
      <c r="O81" s="167" t="s">
        <v>111</v>
      </c>
      <c r="P81" s="243"/>
      <c r="Q81" s="244"/>
      <c r="R81" s="151"/>
      <c r="S81" s="158" t="s">
        <v>112</v>
      </c>
      <c r="T81" s="245">
        <f>T75+T77+T79</f>
        <v>0</v>
      </c>
      <c r="U81" s="246"/>
      <c r="V81" s="159"/>
      <c r="W81" s="24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17" t="s">
        <v>113</v>
      </c>
      <c r="C83" s="218"/>
      <c r="D83" s="218"/>
      <c r="E83" s="218"/>
      <c r="F83" s="218"/>
      <c r="G83" s="218"/>
      <c r="H83" s="219"/>
      <c r="I83" s="226" t="s">
        <v>114</v>
      </c>
      <c r="J83" s="170"/>
      <c r="K83" s="170"/>
      <c r="L83" s="170"/>
      <c r="M83" s="228"/>
      <c r="N83" s="231" t="s">
        <v>115</v>
      </c>
      <c r="O83" s="234"/>
      <c r="P83" s="228"/>
      <c r="Q83" s="211" t="s">
        <v>116</v>
      </c>
      <c r="R83" s="237"/>
      <c r="S83" s="208"/>
      <c r="T83" s="211" t="s">
        <v>117</v>
      </c>
      <c r="U83" s="214"/>
    </row>
    <row r="84" spans="2:35" ht="15" customHeight="1" x14ac:dyDescent="0.25">
      <c r="B84" s="220"/>
      <c r="C84" s="221"/>
      <c r="D84" s="221"/>
      <c r="E84" s="221"/>
      <c r="F84" s="221"/>
      <c r="G84" s="221"/>
      <c r="H84" s="222"/>
      <c r="I84" s="205"/>
      <c r="J84" s="2"/>
      <c r="K84" s="2"/>
      <c r="L84" s="2"/>
      <c r="M84" s="229"/>
      <c r="N84" s="232"/>
      <c r="O84" s="235"/>
      <c r="P84" s="229"/>
      <c r="Q84" s="212"/>
      <c r="R84" s="238"/>
      <c r="S84" s="209"/>
      <c r="T84" s="212"/>
      <c r="U84" s="215"/>
    </row>
    <row r="85" spans="2:35" ht="15.75" customHeight="1" thickBot="1" x14ac:dyDescent="0.3">
      <c r="B85" s="223"/>
      <c r="C85" s="224"/>
      <c r="D85" s="224"/>
      <c r="E85" s="224"/>
      <c r="F85" s="224"/>
      <c r="G85" s="224"/>
      <c r="H85" s="225"/>
      <c r="I85" s="227"/>
      <c r="J85" s="171"/>
      <c r="K85" s="171"/>
      <c r="L85" s="171"/>
      <c r="M85" s="230"/>
      <c r="N85" s="233"/>
      <c r="O85" s="236"/>
      <c r="P85" s="230"/>
      <c r="Q85" s="213"/>
      <c r="R85" s="239"/>
      <c r="S85" s="210"/>
      <c r="T85" s="213"/>
      <c r="U85" s="21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199" t="s">
        <v>131</v>
      </c>
      <c r="C90" s="200"/>
      <c r="D90" s="200"/>
      <c r="E90" s="200"/>
      <c r="F90" s="200"/>
      <c r="G90" s="200"/>
      <c r="H90" s="200"/>
      <c r="I90" s="201"/>
      <c r="J90" s="184"/>
      <c r="K90" s="184"/>
      <c r="L90" s="184"/>
      <c r="M90" s="199"/>
      <c r="N90" s="200"/>
      <c r="O90" s="200"/>
      <c r="P90" s="200"/>
      <c r="Q90" s="201"/>
      <c r="R90" s="186"/>
      <c r="S90" s="187"/>
      <c r="T90" s="187"/>
      <c r="U90" s="188"/>
    </row>
    <row r="91" spans="2:35" ht="18" x14ac:dyDescent="0.25">
      <c r="B91" s="202" t="s">
        <v>122</v>
      </c>
      <c r="C91" s="203"/>
      <c r="D91" s="203"/>
      <c r="E91" s="203"/>
      <c r="F91" s="203"/>
      <c r="G91" s="203"/>
      <c r="H91" s="203"/>
      <c r="I91" s="204"/>
      <c r="M91" s="202" t="s">
        <v>122</v>
      </c>
      <c r="N91" s="203"/>
      <c r="O91" s="203"/>
      <c r="P91" s="203"/>
      <c r="Q91" s="204"/>
      <c r="R91" s="205" t="s">
        <v>123</v>
      </c>
      <c r="S91" s="206"/>
      <c r="T91" s="206"/>
      <c r="U91" s="207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199" t="s">
        <v>132</v>
      </c>
      <c r="C95" s="200"/>
      <c r="D95" s="200"/>
      <c r="E95" s="200"/>
      <c r="F95" s="200"/>
      <c r="G95" s="200"/>
      <c r="H95" s="200"/>
      <c r="I95" s="201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2" t="s">
        <v>126</v>
      </c>
      <c r="C96" s="203"/>
      <c r="D96" s="203"/>
      <c r="E96" s="203"/>
      <c r="F96" s="203"/>
      <c r="G96" s="203"/>
      <c r="H96" s="203"/>
      <c r="I96" s="204"/>
      <c r="M96" s="178"/>
      <c r="Q96" s="179"/>
      <c r="R96" s="205" t="s">
        <v>127</v>
      </c>
      <c r="S96" s="206"/>
      <c r="T96" s="206"/>
      <c r="U96" s="207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3B2CD3-0F58-4E0C-ACA9-A1D914E78E50}">
  <sheetPr>
    <tabColor rgb="FF00B050"/>
    <pageSetUpPr fitToPage="1"/>
  </sheetPr>
  <dimension ref="A1:AJ102"/>
  <sheetViews>
    <sheetView showGridLines="0" topLeftCell="A58" zoomScale="85" zoomScaleNormal="85" workbookViewId="0">
      <pane xSplit="2" topLeftCell="E1" activePane="topRight" state="frozen"/>
      <selection activeCell="U2" sqref="U2"/>
      <selection pane="topRight" activeCell="T4" sqref="T4:U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9" t="s">
        <v>130</v>
      </c>
      <c r="G2" s="289"/>
      <c r="H2" s="289"/>
      <c r="I2" s="289"/>
      <c r="J2" s="289"/>
      <c r="K2" s="289"/>
      <c r="L2" s="289"/>
      <c r="M2" s="289"/>
      <c r="N2" s="289"/>
      <c r="O2" s="289"/>
      <c r="P2" s="289"/>
      <c r="Q2" s="289"/>
      <c r="R2" s="289"/>
      <c r="S2" s="289"/>
      <c r="T2" s="6" t="s">
        <v>1</v>
      </c>
      <c r="U2" s="195" t="s">
        <v>139</v>
      </c>
      <c r="W2" s="24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0" t="s">
        <v>140</v>
      </c>
      <c r="G4" s="290"/>
      <c r="H4" s="290"/>
      <c r="I4" s="290"/>
      <c r="J4" s="290"/>
      <c r="K4" s="290"/>
      <c r="L4" s="290"/>
      <c r="M4" s="290"/>
      <c r="S4" s="2" t="s">
        <v>4</v>
      </c>
      <c r="T4" s="291">
        <v>46241</v>
      </c>
      <c r="U4" s="291"/>
      <c r="W4" s="24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2" t="s">
        <v>141</v>
      </c>
      <c r="G6" s="292"/>
      <c r="H6" s="292"/>
      <c r="I6" s="292"/>
      <c r="J6" s="292"/>
      <c r="K6" s="292"/>
      <c r="L6" s="292"/>
      <c r="M6" s="292"/>
      <c r="S6" s="10" t="s">
        <v>6</v>
      </c>
      <c r="T6" s="197" t="s">
        <v>7</v>
      </c>
      <c r="U6" s="11" t="s">
        <v>137</v>
      </c>
      <c r="W6" s="24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2"/>
      <c r="G7" s="292"/>
      <c r="H7" s="292"/>
      <c r="I7" s="292"/>
      <c r="J7" s="292"/>
      <c r="K7" s="292"/>
      <c r="L7" s="292"/>
      <c r="M7" s="292"/>
      <c r="N7" s="13"/>
      <c r="O7" s="13"/>
      <c r="P7" s="13"/>
      <c r="Q7" s="14"/>
      <c r="S7" s="13"/>
      <c r="T7" s="197" t="s">
        <v>11</v>
      </c>
      <c r="U7" s="11"/>
      <c r="W7" s="24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1" t="s">
        <v>14</v>
      </c>
      <c r="C9" s="264" t="s">
        <v>15</v>
      </c>
      <c r="D9" s="264" t="s">
        <v>16</v>
      </c>
      <c r="E9" s="264" t="s">
        <v>17</v>
      </c>
      <c r="F9" s="267" t="s">
        <v>18</v>
      </c>
      <c r="G9" s="268"/>
      <c r="H9" s="268"/>
      <c r="I9" s="268"/>
      <c r="J9" s="268"/>
      <c r="K9" s="268"/>
      <c r="L9" s="268"/>
      <c r="M9" s="268"/>
      <c r="N9" s="268"/>
      <c r="O9" s="268"/>
      <c r="P9" s="268"/>
      <c r="Q9" s="269"/>
      <c r="S9" s="267" t="s">
        <v>19</v>
      </c>
      <c r="T9" s="268"/>
      <c r="U9" s="269"/>
      <c r="X9" s="274" t="s">
        <v>20</v>
      </c>
      <c r="Y9" s="277" t="s">
        <v>21</v>
      </c>
      <c r="Z9" s="277" t="s">
        <v>128</v>
      </c>
      <c r="AA9" s="16"/>
      <c r="AB9" s="254" t="s">
        <v>22</v>
      </c>
      <c r="AC9" s="280" t="s">
        <v>23</v>
      </c>
      <c r="AD9" s="283" t="s">
        <v>24</v>
      </c>
      <c r="AE9" s="254" t="s">
        <v>25</v>
      </c>
      <c r="AG9" s="254" t="s">
        <v>26</v>
      </c>
      <c r="AH9" s="16"/>
      <c r="AI9" s="254" t="s">
        <v>27</v>
      </c>
    </row>
    <row r="10" spans="2:35" s="15" customFormat="1" ht="20.25" customHeight="1" x14ac:dyDescent="0.25">
      <c r="B10" s="262"/>
      <c r="C10" s="265"/>
      <c r="D10" s="265"/>
      <c r="E10" s="265"/>
      <c r="F10" s="271" t="s">
        <v>28</v>
      </c>
      <c r="G10" s="271" t="s">
        <v>29</v>
      </c>
      <c r="H10" s="271" t="s">
        <v>30</v>
      </c>
      <c r="I10" s="272" t="s">
        <v>31</v>
      </c>
      <c r="J10" s="272" t="s">
        <v>32</v>
      </c>
      <c r="K10" s="272" t="s">
        <v>33</v>
      </c>
      <c r="L10" s="272" t="s">
        <v>34</v>
      </c>
      <c r="M10" s="286" t="s">
        <v>35</v>
      </c>
      <c r="N10" s="287"/>
      <c r="O10" s="287"/>
      <c r="P10" s="287"/>
      <c r="Q10" s="288"/>
      <c r="S10" s="257" t="s">
        <v>36</v>
      </c>
      <c r="T10" s="258"/>
      <c r="U10" s="259"/>
      <c r="X10" s="275"/>
      <c r="Y10" s="278"/>
      <c r="Z10" s="278"/>
      <c r="AA10" s="16"/>
      <c r="AB10" s="255"/>
      <c r="AC10" s="281"/>
      <c r="AD10" s="284"/>
      <c r="AE10" s="255"/>
      <c r="AG10" s="255"/>
      <c r="AH10" s="16"/>
      <c r="AI10" s="255"/>
    </row>
    <row r="11" spans="2:35" s="20" customFormat="1" ht="12.75" customHeight="1" thickBot="1" x14ac:dyDescent="0.3">
      <c r="B11" s="263"/>
      <c r="C11" s="266"/>
      <c r="D11" s="266"/>
      <c r="E11" s="266"/>
      <c r="F11" s="266"/>
      <c r="G11" s="266"/>
      <c r="H11" s="266"/>
      <c r="I11" s="273"/>
      <c r="J11" s="273"/>
      <c r="K11" s="273"/>
      <c r="L11" s="273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76"/>
      <c r="Y11" s="279"/>
      <c r="Z11" s="279"/>
      <c r="AA11" s="16"/>
      <c r="AB11" s="256"/>
      <c r="AC11" s="282"/>
      <c r="AD11" s="285"/>
      <c r="AE11" s="256"/>
      <c r="AG11" s="270"/>
      <c r="AH11" s="16"/>
      <c r="AI11" s="25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>
        <v>72</v>
      </c>
      <c r="N12" s="29"/>
      <c r="O12" s="29"/>
      <c r="P12" s="30" t="str">
        <f>IF(M12&amp;N12="","",ROUND(((M12+N12)/G12),1)&amp;" pallets")</f>
        <v>1 pallets</v>
      </c>
      <c r="Q12" s="31">
        <f>(J12*M12)+(K12*N12)+(O12*L12)</f>
        <v>8640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>
        <v>108</v>
      </c>
      <c r="N13" s="50"/>
      <c r="O13" s="50"/>
      <c r="P13" s="51" t="str">
        <f t="shared" ref="P13:P70" si="5">IF(M13&amp;N13="","",ROUND(((M13+N13)/G13),1)&amp;" pallets")</f>
        <v>1 pallets</v>
      </c>
      <c r="Q13" s="52">
        <f t="shared" ref="Q13:Q72" si="6">(J13*M13)+(K13*N13)+(O13*L13)</f>
        <v>11988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/>
      <c r="G14" s="46">
        <v>63</v>
      </c>
      <c r="H14" s="63" t="str">
        <f>IF(F14="","",(ROUND((F14/G14),1)&amp;" pallets"))</f>
        <v/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>
        <v>63</v>
      </c>
      <c r="N14" s="50"/>
      <c r="O14" s="50"/>
      <c r="P14" s="51" t="str">
        <f t="shared" si="5"/>
        <v>1 pallets</v>
      </c>
      <c r="Q14" s="52">
        <f t="shared" si="6"/>
        <v>7560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>
        <f t="shared" si="8"/>
        <v>0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/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>
        <f t="shared" si="8"/>
        <v>0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/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>
        <v>1512</v>
      </c>
      <c r="N16" s="192"/>
      <c r="O16" s="50"/>
      <c r="P16" s="51" t="str">
        <f t="shared" si="5"/>
        <v>14 pallets</v>
      </c>
      <c r="Q16" s="52">
        <f t="shared" si="6"/>
        <v>167832</v>
      </c>
      <c r="S16" s="53"/>
      <c r="T16" s="66"/>
      <c r="U16" s="54"/>
      <c r="X16" s="55">
        <f t="shared" si="7"/>
        <v>0</v>
      </c>
      <c r="Y16" s="56">
        <f>F16*AI16</f>
        <v>0</v>
      </c>
      <c r="Z16" s="35">
        <f t="shared" si="8"/>
        <v>0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/>
      <c r="G36" s="46">
        <v>100</v>
      </c>
      <c r="H36" s="63" t="str">
        <f t="shared" si="11"/>
        <v/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>
        <f t="shared" si="8"/>
        <v>0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/>
      <c r="G37" s="46">
        <v>100</v>
      </c>
      <c r="H37" s="63" t="str">
        <f t="shared" si="11"/>
        <v/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>
        <f t="shared" si="8"/>
        <v>0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/>
      <c r="G38" s="46">
        <v>100</v>
      </c>
      <c r="H38" s="63" t="str">
        <f t="shared" si="11"/>
        <v/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>
        <f t="shared" si="8"/>
        <v>0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0" t="s">
        <v>101</v>
      </c>
      <c r="C73" s="260"/>
      <c r="D73" s="260"/>
      <c r="E73" s="260"/>
      <c r="F73" s="260"/>
      <c r="G73" s="260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7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0">
        <f>SUM(I12:I72)</f>
        <v>0</v>
      </c>
      <c r="G75" s="240"/>
      <c r="H75" s="240"/>
      <c r="I75" s="241"/>
      <c r="J75" s="157"/>
      <c r="K75" s="157"/>
      <c r="L75" s="157"/>
      <c r="M75" s="252" t="s">
        <v>103</v>
      </c>
      <c r="N75" s="253"/>
      <c r="O75" s="240">
        <f>SUM(Q12:Q72)</f>
        <v>196020</v>
      </c>
      <c r="P75" s="240"/>
      <c r="Q75" s="241"/>
      <c r="R75" s="151"/>
      <c r="S75" s="158" t="s">
        <v>104</v>
      </c>
      <c r="T75" s="245">
        <f>SUM(Y12:Y70)</f>
        <v>0</v>
      </c>
      <c r="U75" s="246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0">
        <f>SUM(I14:I74)</f>
        <v>0</v>
      </c>
      <c r="G77" s="240"/>
      <c r="H77" s="240"/>
      <c r="I77" s="241"/>
      <c r="J77" s="157"/>
      <c r="K77" s="157"/>
      <c r="L77" s="157"/>
      <c r="M77" s="252" t="s">
        <v>103</v>
      </c>
      <c r="N77" s="253"/>
      <c r="O77" s="240">
        <f>SUM(Q14:Q74)</f>
        <v>175392</v>
      </c>
      <c r="P77" s="240"/>
      <c r="Q77" s="241"/>
      <c r="R77" s="151"/>
      <c r="S77" s="158" t="s">
        <v>129</v>
      </c>
      <c r="T77" s="245">
        <f>SUM(Z12:Z72)</f>
        <v>0</v>
      </c>
      <c r="U77" s="246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0">
        <f>IF(U7&gt;0,"",(F75-O75-T81-P81))</f>
        <v>-196020</v>
      </c>
      <c r="G79" s="240"/>
      <c r="H79" s="240"/>
      <c r="I79" s="241"/>
      <c r="J79" s="163"/>
      <c r="K79" s="163"/>
      <c r="L79" s="163"/>
      <c r="M79" s="242" t="s">
        <v>106</v>
      </c>
      <c r="N79" s="242"/>
      <c r="O79" s="167" t="s">
        <v>107</v>
      </c>
      <c r="P79" s="243"/>
      <c r="Q79" s="244"/>
      <c r="R79" s="151"/>
      <c r="S79" s="158" t="s">
        <v>108</v>
      </c>
      <c r="T79" s="245">
        <f>IF(SUM(X12:X70)*0.15&gt;P79,P79,SUM(X12:X70)*0.15)</f>
        <v>0</v>
      </c>
      <c r="U79" s="246"/>
      <c r="V79" s="159"/>
      <c r="W79" s="24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4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0"/>
      <c r="G81" s="240"/>
      <c r="H81" s="240"/>
      <c r="I81" s="241"/>
      <c r="J81" s="163"/>
      <c r="K81" s="163"/>
      <c r="L81" s="163"/>
      <c r="M81" s="250" t="str">
        <f>IF(U6&gt;0,"",T4+30)</f>
        <v/>
      </c>
      <c r="N81" s="251"/>
      <c r="O81" s="167" t="s">
        <v>111</v>
      </c>
      <c r="P81" s="243"/>
      <c r="Q81" s="244"/>
      <c r="R81" s="151"/>
      <c r="S81" s="158" t="s">
        <v>112</v>
      </c>
      <c r="T81" s="245">
        <f>T75+T77+T79</f>
        <v>0</v>
      </c>
      <c r="U81" s="246"/>
      <c r="V81" s="159"/>
      <c r="W81" s="24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17" t="s">
        <v>113</v>
      </c>
      <c r="C83" s="218"/>
      <c r="D83" s="218"/>
      <c r="E83" s="218"/>
      <c r="F83" s="218"/>
      <c r="G83" s="218"/>
      <c r="H83" s="219"/>
      <c r="I83" s="226" t="s">
        <v>114</v>
      </c>
      <c r="J83" s="170"/>
      <c r="K83" s="170"/>
      <c r="L83" s="170"/>
      <c r="M83" s="228"/>
      <c r="N83" s="231" t="s">
        <v>115</v>
      </c>
      <c r="O83" s="234"/>
      <c r="P83" s="228"/>
      <c r="Q83" s="211" t="s">
        <v>116</v>
      </c>
      <c r="R83" s="237"/>
      <c r="S83" s="208"/>
      <c r="T83" s="211" t="s">
        <v>117</v>
      </c>
      <c r="U83" s="214"/>
    </row>
    <row r="84" spans="2:35" ht="15" customHeight="1" x14ac:dyDescent="0.25">
      <c r="B84" s="220"/>
      <c r="C84" s="221"/>
      <c r="D84" s="221"/>
      <c r="E84" s="221"/>
      <c r="F84" s="221"/>
      <c r="G84" s="221"/>
      <c r="H84" s="222"/>
      <c r="I84" s="205"/>
      <c r="J84" s="2"/>
      <c r="K84" s="2"/>
      <c r="L84" s="2"/>
      <c r="M84" s="229"/>
      <c r="N84" s="232"/>
      <c r="O84" s="235"/>
      <c r="P84" s="229"/>
      <c r="Q84" s="212"/>
      <c r="R84" s="238"/>
      <c r="S84" s="209"/>
      <c r="T84" s="212"/>
      <c r="U84" s="215"/>
    </row>
    <row r="85" spans="2:35" ht="15.75" customHeight="1" thickBot="1" x14ac:dyDescent="0.3">
      <c r="B85" s="223"/>
      <c r="C85" s="224"/>
      <c r="D85" s="224"/>
      <c r="E85" s="224"/>
      <c r="F85" s="224"/>
      <c r="G85" s="224"/>
      <c r="H85" s="225"/>
      <c r="I85" s="227"/>
      <c r="J85" s="171"/>
      <c r="K85" s="171"/>
      <c r="L85" s="171"/>
      <c r="M85" s="230"/>
      <c r="N85" s="233"/>
      <c r="O85" s="236"/>
      <c r="P85" s="230"/>
      <c r="Q85" s="213"/>
      <c r="R85" s="239"/>
      <c r="S85" s="210"/>
      <c r="T85" s="213"/>
      <c r="U85" s="21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199" t="s">
        <v>131</v>
      </c>
      <c r="C90" s="200"/>
      <c r="D90" s="200"/>
      <c r="E90" s="200"/>
      <c r="F90" s="200"/>
      <c r="G90" s="200"/>
      <c r="H90" s="200"/>
      <c r="I90" s="201"/>
      <c r="J90" s="184"/>
      <c r="K90" s="184"/>
      <c r="L90" s="184"/>
      <c r="M90" s="199"/>
      <c r="N90" s="200"/>
      <c r="O90" s="200"/>
      <c r="P90" s="200"/>
      <c r="Q90" s="201"/>
      <c r="R90" s="186"/>
      <c r="S90" s="187"/>
      <c r="T90" s="187"/>
      <c r="U90" s="188"/>
    </row>
    <row r="91" spans="2:35" ht="18" x14ac:dyDescent="0.25">
      <c r="B91" s="202" t="s">
        <v>122</v>
      </c>
      <c r="C91" s="203"/>
      <c r="D91" s="203"/>
      <c r="E91" s="203"/>
      <c r="F91" s="203"/>
      <c r="G91" s="203"/>
      <c r="H91" s="203"/>
      <c r="I91" s="204"/>
      <c r="M91" s="202" t="s">
        <v>122</v>
      </c>
      <c r="N91" s="203"/>
      <c r="O91" s="203"/>
      <c r="P91" s="203"/>
      <c r="Q91" s="204"/>
      <c r="R91" s="205" t="s">
        <v>123</v>
      </c>
      <c r="S91" s="206"/>
      <c r="T91" s="206"/>
      <c r="U91" s="207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199" t="s">
        <v>132</v>
      </c>
      <c r="C95" s="200"/>
      <c r="D95" s="200"/>
      <c r="E95" s="200"/>
      <c r="F95" s="200"/>
      <c r="G95" s="200"/>
      <c r="H95" s="200"/>
      <c r="I95" s="201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2" t="s">
        <v>126</v>
      </c>
      <c r="C96" s="203"/>
      <c r="D96" s="203"/>
      <c r="E96" s="203"/>
      <c r="F96" s="203"/>
      <c r="G96" s="203"/>
      <c r="H96" s="203"/>
      <c r="I96" s="204"/>
      <c r="M96" s="178"/>
      <c r="Q96" s="179"/>
      <c r="R96" s="205" t="s">
        <v>127</v>
      </c>
      <c r="S96" s="206"/>
      <c r="T96" s="206"/>
      <c r="U96" s="207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B9AC5-6D94-4388-A583-D689CFEAD82D}">
  <sheetPr>
    <tabColor rgb="FF00B050"/>
    <pageSetUpPr fitToPage="1"/>
  </sheetPr>
  <dimension ref="A1:AJ102"/>
  <sheetViews>
    <sheetView showGridLines="0" tabSelected="1" topLeftCell="A58" zoomScale="85" zoomScaleNormal="85" workbookViewId="0">
      <pane xSplit="2" topLeftCell="F1" activePane="topRight" state="frozen"/>
      <selection activeCell="U2" sqref="U2"/>
      <selection pane="topRight" activeCell="P81" sqref="P81:Q81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9" t="s">
        <v>130</v>
      </c>
      <c r="G2" s="289"/>
      <c r="H2" s="289"/>
      <c r="I2" s="289"/>
      <c r="J2" s="289"/>
      <c r="K2" s="289"/>
      <c r="L2" s="289"/>
      <c r="M2" s="289"/>
      <c r="N2" s="289"/>
      <c r="O2" s="289"/>
      <c r="P2" s="289"/>
      <c r="Q2" s="289"/>
      <c r="R2" s="289"/>
      <c r="S2" s="289"/>
      <c r="T2" s="6" t="s">
        <v>1</v>
      </c>
      <c r="U2" s="195">
        <v>801</v>
      </c>
      <c r="W2" s="24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0" t="s">
        <v>138</v>
      </c>
      <c r="G4" s="290"/>
      <c r="H4" s="290"/>
      <c r="I4" s="290"/>
      <c r="J4" s="290"/>
      <c r="K4" s="290"/>
      <c r="L4" s="290"/>
      <c r="M4" s="290"/>
      <c r="S4" s="2" t="s">
        <v>4</v>
      </c>
      <c r="T4" s="291">
        <v>46245</v>
      </c>
      <c r="U4" s="291"/>
      <c r="W4" s="24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2" t="s">
        <v>142</v>
      </c>
      <c r="G6" s="292"/>
      <c r="H6" s="292"/>
      <c r="I6" s="292"/>
      <c r="J6" s="292"/>
      <c r="K6" s="292"/>
      <c r="L6" s="292"/>
      <c r="M6" s="292"/>
      <c r="S6" s="10" t="s">
        <v>6</v>
      </c>
      <c r="T6" s="198" t="s">
        <v>7</v>
      </c>
      <c r="U6" s="11" t="s">
        <v>137</v>
      </c>
      <c r="W6" s="24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2"/>
      <c r="G7" s="292"/>
      <c r="H7" s="292"/>
      <c r="I7" s="292"/>
      <c r="J7" s="292"/>
      <c r="K7" s="292"/>
      <c r="L7" s="292"/>
      <c r="M7" s="292"/>
      <c r="N7" s="13"/>
      <c r="O7" s="13"/>
      <c r="P7" s="13"/>
      <c r="Q7" s="14"/>
      <c r="S7" s="13"/>
      <c r="T7" s="198" t="s">
        <v>11</v>
      </c>
      <c r="U7" s="11"/>
      <c r="W7" s="24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1" t="s">
        <v>14</v>
      </c>
      <c r="C9" s="264" t="s">
        <v>15</v>
      </c>
      <c r="D9" s="264" t="s">
        <v>16</v>
      </c>
      <c r="E9" s="264" t="s">
        <v>17</v>
      </c>
      <c r="F9" s="267" t="s">
        <v>18</v>
      </c>
      <c r="G9" s="268"/>
      <c r="H9" s="268"/>
      <c r="I9" s="268"/>
      <c r="J9" s="268"/>
      <c r="K9" s="268"/>
      <c r="L9" s="268"/>
      <c r="M9" s="268"/>
      <c r="N9" s="268"/>
      <c r="O9" s="268"/>
      <c r="P9" s="268"/>
      <c r="Q9" s="269"/>
      <c r="S9" s="267" t="s">
        <v>19</v>
      </c>
      <c r="T9" s="268"/>
      <c r="U9" s="269"/>
      <c r="X9" s="274" t="s">
        <v>20</v>
      </c>
      <c r="Y9" s="277" t="s">
        <v>21</v>
      </c>
      <c r="Z9" s="277" t="s">
        <v>128</v>
      </c>
      <c r="AA9" s="16"/>
      <c r="AB9" s="254" t="s">
        <v>22</v>
      </c>
      <c r="AC9" s="280" t="s">
        <v>23</v>
      </c>
      <c r="AD9" s="283" t="s">
        <v>24</v>
      </c>
      <c r="AE9" s="254" t="s">
        <v>25</v>
      </c>
      <c r="AG9" s="254" t="s">
        <v>26</v>
      </c>
      <c r="AH9" s="16"/>
      <c r="AI9" s="254" t="s">
        <v>27</v>
      </c>
    </row>
    <row r="10" spans="2:35" s="15" customFormat="1" ht="20.25" customHeight="1" x14ac:dyDescent="0.25">
      <c r="B10" s="262"/>
      <c r="C10" s="265"/>
      <c r="D10" s="265"/>
      <c r="E10" s="265"/>
      <c r="F10" s="271" t="s">
        <v>28</v>
      </c>
      <c r="G10" s="271" t="s">
        <v>29</v>
      </c>
      <c r="H10" s="271" t="s">
        <v>30</v>
      </c>
      <c r="I10" s="272" t="s">
        <v>31</v>
      </c>
      <c r="J10" s="272" t="s">
        <v>32</v>
      </c>
      <c r="K10" s="272" t="s">
        <v>33</v>
      </c>
      <c r="L10" s="272" t="s">
        <v>34</v>
      </c>
      <c r="M10" s="286" t="s">
        <v>35</v>
      </c>
      <c r="N10" s="287"/>
      <c r="O10" s="287"/>
      <c r="P10" s="287"/>
      <c r="Q10" s="288"/>
      <c r="S10" s="257" t="s">
        <v>36</v>
      </c>
      <c r="T10" s="258"/>
      <c r="U10" s="259"/>
      <c r="X10" s="275"/>
      <c r="Y10" s="278"/>
      <c r="Z10" s="278"/>
      <c r="AA10" s="16"/>
      <c r="AB10" s="255"/>
      <c r="AC10" s="281"/>
      <c r="AD10" s="284"/>
      <c r="AE10" s="255"/>
      <c r="AG10" s="255"/>
      <c r="AH10" s="16"/>
      <c r="AI10" s="255"/>
    </row>
    <row r="11" spans="2:35" s="20" customFormat="1" ht="12.75" customHeight="1" thickBot="1" x14ac:dyDescent="0.3">
      <c r="B11" s="263"/>
      <c r="C11" s="266"/>
      <c r="D11" s="266"/>
      <c r="E11" s="266"/>
      <c r="F11" s="266"/>
      <c r="G11" s="266"/>
      <c r="H11" s="266"/>
      <c r="I11" s="273"/>
      <c r="J11" s="273"/>
      <c r="K11" s="273"/>
      <c r="L11" s="273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76"/>
      <c r="Y11" s="279"/>
      <c r="Z11" s="279"/>
      <c r="AA11" s="16"/>
      <c r="AB11" s="256"/>
      <c r="AC11" s="282"/>
      <c r="AD11" s="285"/>
      <c r="AE11" s="256"/>
      <c r="AG11" s="270"/>
      <c r="AH11" s="16"/>
      <c r="AI11" s="25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/>
      <c r="G12" s="25">
        <v>72</v>
      </c>
      <c r="H12" s="26" t="str">
        <f>IF(F12="","",(ROUND((F12/G12),1)&amp;" pallets"))</f>
        <v/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>
        <f>IF($U$6="x",(F12*3.5),"")</f>
        <v>0</v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/>
      <c r="G13" s="46">
        <v>108</v>
      </c>
      <c r="H13" s="47" t="str">
        <f t="shared" ref="H13" si="3">IF(F13="","",(ROUND((F13/G13),1)&amp;" pallets"))</f>
        <v/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>
        <f t="shared" ref="Z13:Z58" si="8">IF($U$6="x",(F13*3.5),"")</f>
        <v>0</v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252</v>
      </c>
      <c r="G14" s="46">
        <v>63</v>
      </c>
      <c r="H14" s="63" t="str">
        <f>IF(F14="","",(ROUND((F14/G14),1)&amp;" pallets"))</f>
        <v>4 pallets</v>
      </c>
      <c r="I14" s="48">
        <f t="shared" si="4"/>
        <v>275436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245196</v>
      </c>
      <c r="Y14" s="56">
        <f t="shared" si="0"/>
        <v>8081.64</v>
      </c>
      <c r="Z14" s="35">
        <f t="shared" si="8"/>
        <v>882</v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576</v>
      </c>
      <c r="G15" s="46">
        <v>96</v>
      </c>
      <c r="H15" s="63"/>
      <c r="I15" s="48">
        <f t="shared" si="4"/>
        <v>449856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385920</v>
      </c>
      <c r="Y15" s="56">
        <f>F15*AI15</f>
        <v>17337.600000000002</v>
      </c>
      <c r="Z15" s="35">
        <f t="shared" si="8"/>
        <v>2016</v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756</v>
      </c>
      <c r="G16" s="46">
        <v>108</v>
      </c>
      <c r="H16" s="63"/>
      <c r="I16" s="48">
        <f t="shared" si="4"/>
        <v>575316</v>
      </c>
      <c r="J16" s="49">
        <v>111</v>
      </c>
      <c r="K16" s="64"/>
      <c r="L16" s="49">
        <v>4.5</v>
      </c>
      <c r="M16" s="50">
        <v>1836</v>
      </c>
      <c r="N16" s="192"/>
      <c r="O16" s="50"/>
      <c r="P16" s="51" t="str">
        <f t="shared" si="5"/>
        <v>17 pallets</v>
      </c>
      <c r="Q16" s="52">
        <f t="shared" si="6"/>
        <v>203796</v>
      </c>
      <c r="S16" s="53"/>
      <c r="T16" s="66"/>
      <c r="U16" s="54"/>
      <c r="X16" s="55">
        <f t="shared" si="7"/>
        <v>491400</v>
      </c>
      <c r="Y16" s="56">
        <f>F16*AI16</f>
        <v>22407.84</v>
      </c>
      <c r="Z16" s="35">
        <f t="shared" si="8"/>
        <v>2646</v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>
        <f t="shared" si="8"/>
        <v>0</v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>
        <f t="shared" si="8"/>
        <v>0</v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>
        <f t="shared" si="8"/>
        <v>0</v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>
        <f t="shared" si="8"/>
        <v>0</v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>
        <f t="shared" si="8"/>
        <v>0</v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>
        <f t="shared" si="8"/>
        <v>0</v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>
        <f t="shared" si="8"/>
        <v>0</v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>
        <f t="shared" si="8"/>
        <v>0</v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>
        <f t="shared" si="8"/>
        <v>0</v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1582</v>
      </c>
      <c r="D26" s="44">
        <v>120</v>
      </c>
      <c r="E26" s="44">
        <f t="shared" si="2"/>
        <v>1702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>
        <f t="shared" si="8"/>
        <v>0</v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>
        <f t="shared" si="8"/>
        <v>0</v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>
        <f t="shared" si="8"/>
        <v>0</v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>
        <f t="shared" si="8"/>
        <v>0</v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>
        <f t="shared" si="8"/>
        <v>0</v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>
        <f t="shared" si="8"/>
        <v>0</v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>
        <f t="shared" si="8"/>
        <v>0</v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>
        <f t="shared" si="8"/>
        <v>0</v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si="5"/>
        <v/>
      </c>
      <c r="Q34" s="52">
        <f t="shared" si="6"/>
        <v>0</v>
      </c>
      <c r="S34" s="66"/>
      <c r="T34" s="66"/>
      <c r="U34" s="84"/>
      <c r="X34" s="55">
        <f t="shared" si="7"/>
        <v>0</v>
      </c>
      <c r="Y34" s="56">
        <f t="shared" si="0"/>
        <v>0</v>
      </c>
      <c r="Z34" s="35">
        <f t="shared" si="8"/>
        <v>0</v>
      </c>
      <c r="AA34" s="36"/>
      <c r="AB34" s="57">
        <f t="shared" ref="AB34:AB35" si="14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5"/>
        <v/>
      </c>
      <c r="Q35" s="52">
        <f t="shared" si="6"/>
        <v>0</v>
      </c>
      <c r="S35" s="66"/>
      <c r="T35" s="66"/>
      <c r="U35" s="84"/>
      <c r="X35" s="55">
        <f t="shared" si="7"/>
        <v>0</v>
      </c>
      <c r="Y35" s="56">
        <f t="shared" si="0"/>
        <v>0</v>
      </c>
      <c r="Z35" s="35">
        <f t="shared" si="8"/>
        <v>0</v>
      </c>
      <c r="AA35" s="36"/>
      <c r="AB35" s="57">
        <f t="shared" si="14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5</v>
      </c>
      <c r="G36" s="46">
        <v>100</v>
      </c>
      <c r="H36" s="63" t="str">
        <f t="shared" si="11"/>
        <v>0.1 pallets</v>
      </c>
      <c r="I36" s="48">
        <f t="shared" si="4"/>
        <v>5875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5875</v>
      </c>
      <c r="Y36" s="56">
        <f t="shared" si="0"/>
        <v>140.80000000000001</v>
      </c>
      <c r="Z36" s="35">
        <f t="shared" si="8"/>
        <v>17.5</v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5</v>
      </c>
      <c r="G37" s="46">
        <v>100</v>
      </c>
      <c r="H37" s="63" t="str">
        <f t="shared" si="11"/>
        <v>0.1 pallets</v>
      </c>
      <c r="I37" s="48">
        <f t="shared" si="4"/>
        <v>5875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5875</v>
      </c>
      <c r="Y37" s="56">
        <f t="shared" si="0"/>
        <v>140.80000000000001</v>
      </c>
      <c r="Z37" s="35">
        <f t="shared" si="8"/>
        <v>17.5</v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5</v>
      </c>
      <c r="G38" s="46">
        <v>100</v>
      </c>
      <c r="H38" s="63" t="str">
        <f t="shared" si="11"/>
        <v>0.1 pallets</v>
      </c>
      <c r="I38" s="48">
        <f t="shared" si="4"/>
        <v>5875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5875</v>
      </c>
      <c r="Y38" s="56">
        <f t="shared" si="0"/>
        <v>140.80000000000001</v>
      </c>
      <c r="Z38" s="35">
        <f t="shared" si="8"/>
        <v>17.5</v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/>
      <c r="G39" s="46">
        <v>100</v>
      </c>
      <c r="H39" s="63" t="str">
        <f t="shared" si="11"/>
        <v/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>
        <f t="shared" si="8"/>
        <v>0</v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/>
      <c r="G40" s="70">
        <v>100</v>
      </c>
      <c r="H40" s="71" t="str">
        <f t="shared" si="11"/>
        <v/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>
        <f t="shared" si="8"/>
        <v>0</v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>
        <f t="shared" si="8"/>
        <v>0</v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>
        <f t="shared" si="8"/>
        <v>0</v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>
        <f t="shared" si="8"/>
        <v>0</v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/>
      <c r="G44" s="86">
        <v>100</v>
      </c>
      <c r="H44" s="87" t="str">
        <f t="shared" si="11"/>
        <v/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>
        <f t="shared" si="8"/>
        <v>0</v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/>
      <c r="G45" s="46">
        <v>100</v>
      </c>
      <c r="H45" s="63" t="str">
        <f t="shared" si="11"/>
        <v/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>
        <f t="shared" si="8"/>
        <v>0</v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/>
      <c r="G46" s="46">
        <v>100</v>
      </c>
      <c r="H46" s="63" t="str">
        <f>IF(F46="","",(ROUND((F46/G46),1)&amp;" pallets"))</f>
        <v/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>
        <f t="shared" si="8"/>
        <v>0</v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>
        <f t="shared" si="8"/>
        <v>0</v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>
        <f t="shared" si="8"/>
        <v>0</v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>
        <f t="shared" si="8"/>
        <v>0</v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>
        <f t="shared" si="8"/>
        <v>0</v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>
        <f t="shared" si="8"/>
        <v>0</v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>
        <f t="shared" si="8"/>
        <v>0</v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>
        <f t="shared" si="8"/>
        <v>0</v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>
        <f t="shared" si="8"/>
        <v>0</v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>
        <f t="shared" si="8"/>
        <v>0</v>
      </c>
      <c r="AA55" s="36"/>
      <c r="AB55" s="57">
        <f t="shared" ref="AB55:AD58" si="15">AB$6</f>
        <v>1.85</v>
      </c>
      <c r="AC55" s="58">
        <f t="shared" si="15"/>
        <v>0</v>
      </c>
      <c r="AD55" s="58">
        <f t="shared" si="15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>
        <f t="shared" si="8"/>
        <v>0</v>
      </c>
      <c r="AA56" s="36"/>
      <c r="AB56" s="57">
        <f t="shared" si="15"/>
        <v>1.85</v>
      </c>
      <c r="AC56" s="58">
        <f t="shared" si="15"/>
        <v>0</v>
      </c>
      <c r="AD56" s="58">
        <f t="shared" si="15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>
        <f t="shared" si="8"/>
        <v>0</v>
      </c>
      <c r="AA57" s="36"/>
      <c r="AB57" s="57">
        <f t="shared" si="15"/>
        <v>1.85</v>
      </c>
      <c r="AC57" s="58">
        <f t="shared" si="15"/>
        <v>0</v>
      </c>
      <c r="AD57" s="58">
        <f t="shared" si="15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>
        <f t="shared" si="8"/>
        <v>0</v>
      </c>
      <c r="AA58" s="36"/>
      <c r="AB58" s="57">
        <f t="shared" si="15"/>
        <v>1.85</v>
      </c>
      <c r="AC58" s="58">
        <f t="shared" si="15"/>
        <v>0</v>
      </c>
      <c r="AD58" s="58">
        <f t="shared" si="15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16">AB$1</f>
        <v>5.0599999999999996</v>
      </c>
      <c r="AC59" s="58">
        <f t="shared" si="16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16"/>
        <v>5.0599999999999996</v>
      </c>
      <c r="AC60" s="58">
        <f t="shared" si="16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16"/>
        <v>5.0599999999999996</v>
      </c>
      <c r="AC61" s="58">
        <f t="shared" si="16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>
        <f>IF($U$6="x",(F64*3.5),"")</f>
        <v>0</v>
      </c>
      <c r="AA64" s="36"/>
      <c r="AB64" s="57">
        <f t="shared" ref="AB64:AD70" si="17">AB$6</f>
        <v>1.85</v>
      </c>
      <c r="AC64" s="58">
        <f t="shared" si="17"/>
        <v>0</v>
      </c>
      <c r="AD64" s="58">
        <f t="shared" si="17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>
        <f t="shared" ref="Z65:Z70" si="18">IF($U$6="x",(F65*3.5),"")</f>
        <v>0</v>
      </c>
      <c r="AA65" s="36"/>
      <c r="AB65" s="57">
        <f t="shared" si="17"/>
        <v>1.85</v>
      </c>
      <c r="AC65" s="58">
        <f t="shared" si="17"/>
        <v>0</v>
      </c>
      <c r="AD65" s="58">
        <f t="shared" si="17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>
        <f t="shared" si="18"/>
        <v>0</v>
      </c>
      <c r="AA66" s="36"/>
      <c r="AB66" s="57">
        <f t="shared" si="17"/>
        <v>1.85</v>
      </c>
      <c r="AC66" s="58">
        <f t="shared" si="17"/>
        <v>0</v>
      </c>
      <c r="AD66" s="58">
        <f t="shared" si="17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>
        <f t="shared" si="18"/>
        <v>0</v>
      </c>
      <c r="AA67" s="36"/>
      <c r="AB67" s="57">
        <f t="shared" si="17"/>
        <v>1.85</v>
      </c>
      <c r="AC67" s="58">
        <f t="shared" si="17"/>
        <v>0</v>
      </c>
      <c r="AD67" s="58">
        <f t="shared" si="17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>
        <f t="shared" si="18"/>
        <v>0</v>
      </c>
      <c r="AA68" s="36"/>
      <c r="AB68" s="57">
        <f t="shared" si="17"/>
        <v>1.85</v>
      </c>
      <c r="AC68" s="58">
        <f t="shared" si="17"/>
        <v>0</v>
      </c>
      <c r="AD68" s="58">
        <f t="shared" si="17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>
        <f t="shared" si="18"/>
        <v>0</v>
      </c>
      <c r="AA69" s="36"/>
      <c r="AB69" s="57">
        <f t="shared" si="17"/>
        <v>1.85</v>
      </c>
      <c r="AC69" s="58">
        <f t="shared" si="17"/>
        <v>0</v>
      </c>
      <c r="AD69" s="58">
        <f t="shared" si="17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>
        <f t="shared" si="18"/>
        <v>0</v>
      </c>
      <c r="AA70" s="36"/>
      <c r="AB70" s="130">
        <f t="shared" si="17"/>
        <v>1.85</v>
      </c>
      <c r="AC70" s="131">
        <f t="shared" si="17"/>
        <v>0</v>
      </c>
      <c r="AD70" s="131">
        <f t="shared" si="17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19">+D71-C71</f>
        <v>262.5</v>
      </c>
      <c r="F71" s="135"/>
      <c r="G71" s="86">
        <v>72</v>
      </c>
      <c r="H71" s="136" t="str">
        <f t="shared" ref="H71:H72" si="20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1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19"/>
        <v>262.5</v>
      </c>
      <c r="F72" s="141"/>
      <c r="G72" s="114">
        <v>72</v>
      </c>
      <c r="H72" s="142" t="str">
        <f t="shared" si="20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1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0" t="s">
        <v>101</v>
      </c>
      <c r="C73" s="260"/>
      <c r="D73" s="260"/>
      <c r="E73" s="260"/>
      <c r="F73" s="260"/>
      <c r="G73" s="260"/>
      <c r="H73" s="146" t="str">
        <f>ROUND(((F12+F30+F54+F59+F60+F61+F62+F63)/72+(F13+F16+F18)/108+(F14+SUM(F19:F29)+F31+F32+F22+F52+F47)/63+F15/96+SUM(F36:F45)/100+SUM(F49:F51)/24+SUM(F64:F70)/100+(F53+F48+F46)/100),1)&amp;" pallets"</f>
        <v>17.2 pallets</v>
      </c>
      <c r="I73" s="147"/>
      <c r="J73" s="148"/>
      <c r="K73" s="149"/>
      <c r="L73" s="148"/>
      <c r="M73" s="150"/>
      <c r="N73" s="151"/>
      <c r="O73" s="151"/>
      <c r="P73" s="198" t="str">
        <f>ROUND((((M12+N12+M30+M59+M60+M61+M62+M63+N59)/72+(M13+N13+M16+M18)/108+(M15+N15)/96+SUM(M14,M19:M29,M31:M32,M52,N14)/63)),1)&amp;" pallets"</f>
        <v>17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0">
        <f>SUM(I12:I72)</f>
        <v>1318233</v>
      </c>
      <c r="G75" s="240"/>
      <c r="H75" s="240"/>
      <c r="I75" s="241"/>
      <c r="J75" s="157"/>
      <c r="K75" s="157"/>
      <c r="L75" s="157"/>
      <c r="M75" s="252" t="s">
        <v>103</v>
      </c>
      <c r="N75" s="253"/>
      <c r="O75" s="240">
        <f>SUM(Q12:Q72)</f>
        <v>203796</v>
      </c>
      <c r="P75" s="240"/>
      <c r="Q75" s="241"/>
      <c r="R75" s="151"/>
      <c r="S75" s="158" t="s">
        <v>104</v>
      </c>
      <c r="T75" s="245">
        <f>SUM(Y12:Y70)</f>
        <v>48249.48000000001</v>
      </c>
      <c r="U75" s="246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0">
        <f>SUM(I14:I74)</f>
        <v>1318233</v>
      </c>
      <c r="G77" s="240"/>
      <c r="H77" s="240"/>
      <c r="I77" s="241"/>
      <c r="J77" s="157"/>
      <c r="K77" s="157"/>
      <c r="L77" s="157"/>
      <c r="M77" s="252" t="s">
        <v>103</v>
      </c>
      <c r="N77" s="253"/>
      <c r="O77" s="240">
        <f>SUM(Q14:Q74)</f>
        <v>203796</v>
      </c>
      <c r="P77" s="240"/>
      <c r="Q77" s="241"/>
      <c r="R77" s="151"/>
      <c r="S77" s="158" t="s">
        <v>129</v>
      </c>
      <c r="T77" s="245">
        <f>SUM(Z12:Z72)</f>
        <v>5596.5</v>
      </c>
      <c r="U77" s="246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0">
        <f>IF(U7&gt;0,"",(F75-O75-T81-P81))</f>
        <v>662107.02</v>
      </c>
      <c r="G79" s="240"/>
      <c r="H79" s="240"/>
      <c r="I79" s="241"/>
      <c r="J79" s="163"/>
      <c r="K79" s="163"/>
      <c r="L79" s="163"/>
      <c r="M79" s="242" t="s">
        <v>106</v>
      </c>
      <c r="N79" s="242"/>
      <c r="O79" s="167" t="s">
        <v>107</v>
      </c>
      <c r="P79" s="243"/>
      <c r="Q79" s="244"/>
      <c r="R79" s="151"/>
      <c r="S79" s="158" t="s">
        <v>108</v>
      </c>
      <c r="T79" s="245">
        <f>IF(SUM(X12:X70)*0.15&gt;P79,P79,SUM(X12:X70)*0.15)</f>
        <v>0</v>
      </c>
      <c r="U79" s="246"/>
      <c r="V79" s="159"/>
      <c r="W79" s="24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4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0"/>
      <c r="G81" s="240"/>
      <c r="H81" s="240"/>
      <c r="I81" s="241"/>
      <c r="J81" s="163"/>
      <c r="K81" s="163"/>
      <c r="L81" s="163"/>
      <c r="M81" s="250" t="str">
        <f>IF(U6&gt;0,"",T4+30)</f>
        <v/>
      </c>
      <c r="N81" s="251"/>
      <c r="O81" s="167" t="s">
        <v>111</v>
      </c>
      <c r="P81" s="243">
        <v>398484</v>
      </c>
      <c r="Q81" s="244"/>
      <c r="R81" s="151"/>
      <c r="S81" s="158" t="s">
        <v>112</v>
      </c>
      <c r="T81" s="245">
        <f>T75+T77+T79</f>
        <v>53845.98000000001</v>
      </c>
      <c r="U81" s="246"/>
      <c r="V81" s="159"/>
      <c r="W81" s="24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17" t="s">
        <v>113</v>
      </c>
      <c r="C83" s="218"/>
      <c r="D83" s="218"/>
      <c r="E83" s="218"/>
      <c r="F83" s="218"/>
      <c r="G83" s="218"/>
      <c r="H83" s="219"/>
      <c r="I83" s="226" t="s">
        <v>114</v>
      </c>
      <c r="J83" s="170"/>
      <c r="K83" s="170"/>
      <c r="L83" s="170"/>
      <c r="M83" s="228"/>
      <c r="N83" s="231" t="s">
        <v>115</v>
      </c>
      <c r="O83" s="234"/>
      <c r="P83" s="228"/>
      <c r="Q83" s="211" t="s">
        <v>116</v>
      </c>
      <c r="R83" s="237"/>
      <c r="S83" s="208"/>
      <c r="T83" s="211" t="s">
        <v>117</v>
      </c>
      <c r="U83" s="214"/>
    </row>
    <row r="84" spans="2:35" ht="15" customHeight="1" x14ac:dyDescent="0.25">
      <c r="B84" s="220"/>
      <c r="C84" s="221"/>
      <c r="D84" s="221"/>
      <c r="E84" s="221"/>
      <c r="F84" s="221"/>
      <c r="G84" s="221"/>
      <c r="H84" s="222"/>
      <c r="I84" s="205"/>
      <c r="J84" s="2"/>
      <c r="K84" s="2"/>
      <c r="L84" s="2"/>
      <c r="M84" s="229"/>
      <c r="N84" s="232"/>
      <c r="O84" s="235"/>
      <c r="P84" s="229"/>
      <c r="Q84" s="212"/>
      <c r="R84" s="238"/>
      <c r="S84" s="209"/>
      <c r="T84" s="212"/>
      <c r="U84" s="215"/>
    </row>
    <row r="85" spans="2:35" ht="15.75" customHeight="1" thickBot="1" x14ac:dyDescent="0.3">
      <c r="B85" s="223"/>
      <c r="C85" s="224"/>
      <c r="D85" s="224"/>
      <c r="E85" s="224"/>
      <c r="F85" s="224"/>
      <c r="G85" s="224"/>
      <c r="H85" s="225"/>
      <c r="I85" s="227"/>
      <c r="J85" s="171"/>
      <c r="K85" s="171"/>
      <c r="L85" s="171"/>
      <c r="M85" s="230"/>
      <c r="N85" s="233"/>
      <c r="O85" s="236"/>
      <c r="P85" s="230"/>
      <c r="Q85" s="213"/>
      <c r="R85" s="239"/>
      <c r="S85" s="210"/>
      <c r="T85" s="213"/>
      <c r="U85" s="21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199" t="s">
        <v>131</v>
      </c>
      <c r="C90" s="200"/>
      <c r="D90" s="200"/>
      <c r="E90" s="200"/>
      <c r="F90" s="200"/>
      <c r="G90" s="200"/>
      <c r="H90" s="200"/>
      <c r="I90" s="201"/>
      <c r="J90" s="184"/>
      <c r="K90" s="184"/>
      <c r="L90" s="184"/>
      <c r="M90" s="199"/>
      <c r="N90" s="200"/>
      <c r="O90" s="200"/>
      <c r="P90" s="200"/>
      <c r="Q90" s="201"/>
      <c r="R90" s="186"/>
      <c r="S90" s="187"/>
      <c r="T90" s="187"/>
      <c r="U90" s="188"/>
    </row>
    <row r="91" spans="2:35" ht="18" x14ac:dyDescent="0.25">
      <c r="B91" s="202" t="s">
        <v>122</v>
      </c>
      <c r="C91" s="203"/>
      <c r="D91" s="203"/>
      <c r="E91" s="203"/>
      <c r="F91" s="203"/>
      <c r="G91" s="203"/>
      <c r="H91" s="203"/>
      <c r="I91" s="204"/>
      <c r="M91" s="202" t="s">
        <v>122</v>
      </c>
      <c r="N91" s="203"/>
      <c r="O91" s="203"/>
      <c r="P91" s="203"/>
      <c r="Q91" s="204"/>
      <c r="R91" s="205" t="s">
        <v>123</v>
      </c>
      <c r="S91" s="206"/>
      <c r="T91" s="206"/>
      <c r="U91" s="207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199" t="s">
        <v>132</v>
      </c>
      <c r="C95" s="200"/>
      <c r="D95" s="200"/>
      <c r="E95" s="200"/>
      <c r="F95" s="200"/>
      <c r="G95" s="200"/>
      <c r="H95" s="200"/>
      <c r="I95" s="201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2" t="s">
        <v>126</v>
      </c>
      <c r="C96" s="203"/>
      <c r="D96" s="203"/>
      <c r="E96" s="203"/>
      <c r="F96" s="203"/>
      <c r="G96" s="203"/>
      <c r="H96" s="203"/>
      <c r="I96" s="204"/>
      <c r="M96" s="178"/>
      <c r="Q96" s="179"/>
      <c r="R96" s="205" t="s">
        <v>127</v>
      </c>
      <c r="S96" s="206"/>
      <c r="T96" s="206"/>
      <c r="U96" s="207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W79:W81"/>
    <mergeCell ref="F81:I81"/>
    <mergeCell ref="M81:N81"/>
    <mergeCell ref="P81:Q81"/>
    <mergeCell ref="T81:U81"/>
    <mergeCell ref="Q83:R85"/>
    <mergeCell ref="F79:I79"/>
    <mergeCell ref="M79:N79"/>
    <mergeCell ref="P79:Q79"/>
    <mergeCell ref="T79:U79"/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9DA289-E10A-4214-BFF5-B3359410A8B5}">
  <sheetPr>
    <tabColor rgb="FF00B050"/>
    <pageSetUpPr fitToPage="1"/>
  </sheetPr>
  <dimension ref="A1:AJ102"/>
  <sheetViews>
    <sheetView showGridLines="0" topLeftCell="A65" zoomScale="85" zoomScaleNormal="85" workbookViewId="0">
      <pane xSplit="2" topLeftCell="F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6.140625" style="2" customWidth="1"/>
    <col min="7" max="7" width="18.7109375" style="2" hidden="1" customWidth="1"/>
    <col min="8" max="8" width="24.42578125" style="2" customWidth="1"/>
    <col min="9" max="9" width="17.5703125" style="3" customWidth="1"/>
    <col min="10" max="12" width="18.7109375" style="3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9" t="s">
        <v>130</v>
      </c>
      <c r="G2" s="289"/>
      <c r="H2" s="289"/>
      <c r="I2" s="289"/>
      <c r="J2" s="289"/>
      <c r="K2" s="289"/>
      <c r="L2" s="289"/>
      <c r="M2" s="289"/>
      <c r="N2" s="289"/>
      <c r="O2" s="289"/>
      <c r="P2" s="289"/>
      <c r="Q2" s="289"/>
      <c r="R2" s="289"/>
      <c r="S2" s="289"/>
      <c r="T2" s="6" t="s">
        <v>1</v>
      </c>
      <c r="U2" s="195" t="s">
        <v>133</v>
      </c>
      <c r="W2" s="24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0"/>
      <c r="G4" s="290"/>
      <c r="H4" s="290"/>
      <c r="I4" s="290"/>
      <c r="J4" s="290"/>
      <c r="K4" s="290"/>
      <c r="L4" s="290"/>
      <c r="M4" s="290"/>
      <c r="S4" s="2" t="s">
        <v>4</v>
      </c>
      <c r="T4" s="291">
        <v>46203</v>
      </c>
      <c r="U4" s="291"/>
      <c r="W4" s="24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2"/>
      <c r="G6" s="292"/>
      <c r="H6" s="292"/>
      <c r="I6" s="292"/>
      <c r="J6" s="292"/>
      <c r="K6" s="292"/>
      <c r="L6" s="292"/>
      <c r="M6" s="292"/>
      <c r="S6" s="10" t="s">
        <v>6</v>
      </c>
      <c r="T6" s="194" t="s">
        <v>7</v>
      </c>
      <c r="U6" s="11"/>
      <c r="W6" s="24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2"/>
      <c r="G7" s="292"/>
      <c r="H7" s="292"/>
      <c r="I7" s="292"/>
      <c r="J7" s="292"/>
      <c r="K7" s="292"/>
      <c r="L7" s="292"/>
      <c r="M7" s="292"/>
      <c r="N7" s="13"/>
      <c r="O7" s="13"/>
      <c r="P7" s="13"/>
      <c r="Q7" s="14"/>
      <c r="S7" s="13"/>
      <c r="T7" s="194" t="s">
        <v>11</v>
      </c>
      <c r="U7" s="11"/>
      <c r="W7" s="24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1" t="s">
        <v>14</v>
      </c>
      <c r="C9" s="264" t="s">
        <v>15</v>
      </c>
      <c r="D9" s="264" t="s">
        <v>16</v>
      </c>
      <c r="E9" s="264" t="s">
        <v>17</v>
      </c>
      <c r="F9" s="267" t="s">
        <v>18</v>
      </c>
      <c r="G9" s="268"/>
      <c r="H9" s="268"/>
      <c r="I9" s="268"/>
      <c r="J9" s="268"/>
      <c r="K9" s="268"/>
      <c r="L9" s="268"/>
      <c r="M9" s="268"/>
      <c r="N9" s="268"/>
      <c r="O9" s="268"/>
      <c r="P9" s="268"/>
      <c r="Q9" s="269"/>
      <c r="S9" s="267" t="s">
        <v>19</v>
      </c>
      <c r="T9" s="268"/>
      <c r="U9" s="269"/>
      <c r="X9" s="274" t="s">
        <v>20</v>
      </c>
      <c r="Y9" s="277" t="s">
        <v>21</v>
      </c>
      <c r="Z9" s="277" t="s">
        <v>128</v>
      </c>
      <c r="AA9" s="16"/>
      <c r="AB9" s="254" t="s">
        <v>22</v>
      </c>
      <c r="AC9" s="280" t="s">
        <v>23</v>
      </c>
      <c r="AD9" s="283" t="s">
        <v>24</v>
      </c>
      <c r="AE9" s="254" t="s">
        <v>25</v>
      </c>
      <c r="AG9" s="254" t="s">
        <v>26</v>
      </c>
      <c r="AH9" s="16"/>
      <c r="AI9" s="254" t="s">
        <v>27</v>
      </c>
    </row>
    <row r="10" spans="2:35" s="15" customFormat="1" ht="20.25" customHeight="1" x14ac:dyDescent="0.25">
      <c r="B10" s="262"/>
      <c r="C10" s="265"/>
      <c r="D10" s="265"/>
      <c r="E10" s="265"/>
      <c r="F10" s="271" t="s">
        <v>28</v>
      </c>
      <c r="G10" s="271" t="s">
        <v>29</v>
      </c>
      <c r="H10" s="271" t="s">
        <v>30</v>
      </c>
      <c r="I10" s="272" t="s">
        <v>31</v>
      </c>
      <c r="J10" s="272" t="s">
        <v>32</v>
      </c>
      <c r="K10" s="272" t="s">
        <v>33</v>
      </c>
      <c r="L10" s="272" t="s">
        <v>34</v>
      </c>
      <c r="M10" s="286" t="s">
        <v>35</v>
      </c>
      <c r="N10" s="287"/>
      <c r="O10" s="287"/>
      <c r="P10" s="287"/>
      <c r="Q10" s="288"/>
      <c r="S10" s="257" t="s">
        <v>36</v>
      </c>
      <c r="T10" s="258"/>
      <c r="U10" s="259"/>
      <c r="X10" s="275"/>
      <c r="Y10" s="278"/>
      <c r="Z10" s="278"/>
      <c r="AA10" s="16"/>
      <c r="AB10" s="255"/>
      <c r="AC10" s="281"/>
      <c r="AD10" s="284"/>
      <c r="AE10" s="255"/>
      <c r="AG10" s="255"/>
      <c r="AH10" s="16"/>
      <c r="AI10" s="255"/>
    </row>
    <row r="11" spans="2:35" s="20" customFormat="1" ht="12.75" customHeight="1" thickBot="1" x14ac:dyDescent="0.3">
      <c r="B11" s="263"/>
      <c r="C11" s="266"/>
      <c r="D11" s="266"/>
      <c r="E11" s="266"/>
      <c r="F11" s="266"/>
      <c r="G11" s="266"/>
      <c r="H11" s="266"/>
      <c r="I11" s="273"/>
      <c r="J11" s="273"/>
      <c r="K11" s="273"/>
      <c r="L11" s="273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76"/>
      <c r="Y11" s="279"/>
      <c r="Z11" s="279"/>
      <c r="AA11" s="16"/>
      <c r="AB11" s="256"/>
      <c r="AC11" s="282"/>
      <c r="AD11" s="285"/>
      <c r="AE11" s="256"/>
      <c r="AG11" s="270"/>
      <c r="AH11" s="16"/>
      <c r="AI11" s="25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0</v>
      </c>
      <c r="G12" s="25">
        <v>72</v>
      </c>
      <c r="H12" s="26" t="str">
        <f>IF(F12="","",(ROUND((F12/G12),1)&amp;" pallets"))</f>
        <v>0 pallets</v>
      </c>
      <c r="I12" s="27">
        <f>E12*F12</f>
        <v>0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0</v>
      </c>
      <c r="Y12" s="35">
        <f t="shared" ref="Y12:Y70" si="0">F12*AI12</f>
        <v>0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0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0" si="2">C13+D13</f>
        <v>733</v>
      </c>
      <c r="F13" s="45">
        <v>0</v>
      </c>
      <c r="G13" s="46">
        <v>108</v>
      </c>
      <c r="H13" s="47" t="str">
        <f t="shared" ref="H13" si="3">IF(F13="","",(ROUND((F13/G13),1)&amp;" pallets"))</f>
        <v>0 pallets</v>
      </c>
      <c r="I13" s="48">
        <f t="shared" ref="I13:I72" si="4">E13*F13</f>
        <v>0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0" si="5">IF(M13&amp;N13="","",ROUND(((M13+N13)/G13),1)&amp;" pallets")</f>
        <v/>
      </c>
      <c r="Q13" s="52">
        <f t="shared" ref="Q13:Q72" si="6">(J13*M13)+(K13*N13)+(O13*L13)</f>
        <v>0</v>
      </c>
      <c r="S13" s="53"/>
      <c r="T13" s="53"/>
      <c r="U13" s="54"/>
      <c r="X13" s="55">
        <f t="shared" ref="X13:X70" si="7">F13*C13</f>
        <v>0</v>
      </c>
      <c r="Y13" s="56">
        <f>F13*AI13</f>
        <v>0</v>
      </c>
      <c r="Z13" s="35" t="str">
        <f t="shared" ref="Z13:Z58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0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0</v>
      </c>
      <c r="G14" s="46">
        <v>63</v>
      </c>
      <c r="H14" s="63" t="str">
        <f>IF(F14="","",(ROUND((F14/G14),1)&amp;" pallets"))</f>
        <v>0 pallets</v>
      </c>
      <c r="I14" s="48">
        <f t="shared" si="4"/>
        <v>0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0</v>
      </c>
      <c r="Y14" s="56">
        <f t="shared" si="0"/>
        <v>0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0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/>
      <c r="G19" s="70">
        <v>63</v>
      </c>
      <c r="H19" s="71" t="str">
        <f t="shared" si="11"/>
        <v/>
      </c>
      <c r="I19" s="72">
        <f t="shared" si="4"/>
        <v>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0</v>
      </c>
      <c r="Y19" s="56">
        <f>F19*AI19</f>
        <v>0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/>
      <c r="G33" s="46">
        <v>100</v>
      </c>
      <c r="H33" s="63" t="str">
        <f t="shared" si="11"/>
        <v/>
      </c>
      <c r="I33" s="48">
        <f t="shared" si="4"/>
        <v>0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0</v>
      </c>
      <c r="Y33" s="56">
        <f t="shared" si="0"/>
        <v>0</v>
      </c>
      <c r="Z33" s="35" t="str">
        <f t="shared" si="8"/>
        <v/>
      </c>
      <c r="AA33" s="36"/>
      <c r="AB33" s="57">
        <f>$AB$8</f>
        <v>2.67</v>
      </c>
      <c r="AC33" s="58">
        <f t="shared" ref="AB33:AD45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22" t="s">
        <v>64</v>
      </c>
      <c r="C36" s="23">
        <v>1175</v>
      </c>
      <c r="D36" s="23"/>
      <c r="E36" s="23">
        <f t="shared" si="2"/>
        <v>1175</v>
      </c>
      <c r="F36" s="45">
        <v>0</v>
      </c>
      <c r="G36" s="46">
        <v>100</v>
      </c>
      <c r="H36" s="63" t="str">
        <f t="shared" si="11"/>
        <v>0 pallets</v>
      </c>
      <c r="I36" s="48">
        <f t="shared" si="4"/>
        <v>0</v>
      </c>
      <c r="J36" s="83"/>
      <c r="K36" s="64"/>
      <c r="L36" s="83"/>
      <c r="M36" s="65"/>
      <c r="N36" s="65"/>
      <c r="O36" s="65"/>
      <c r="P36" s="51" t="str">
        <f t="shared" si="5"/>
        <v/>
      </c>
      <c r="Q36" s="52">
        <f t="shared" si="6"/>
        <v>0</v>
      </c>
      <c r="S36" s="66"/>
      <c r="T36" s="66"/>
      <c r="U36" s="84"/>
      <c r="X36" s="55">
        <f t="shared" si="7"/>
        <v>0</v>
      </c>
      <c r="Y36" s="56">
        <f t="shared" si="0"/>
        <v>0</v>
      </c>
      <c r="Z36" s="35" t="str">
        <f t="shared" si="8"/>
        <v/>
      </c>
      <c r="AA36" s="36"/>
      <c r="AB36" s="57">
        <f t="shared" si="13"/>
        <v>1.85</v>
      </c>
      <c r="AC36" s="58">
        <f t="shared" si="13"/>
        <v>0</v>
      </c>
      <c r="AD36" s="58">
        <f t="shared" si="13"/>
        <v>0.31</v>
      </c>
      <c r="AE36" s="59">
        <f t="shared" si="9"/>
        <v>2.16</v>
      </c>
      <c r="AF36" s="60"/>
      <c r="AG36" s="41">
        <v>26</v>
      </c>
      <c r="AH36" s="36"/>
      <c r="AI36" s="42">
        <f t="shared" si="1"/>
        <v>28.16</v>
      </c>
    </row>
    <row r="37" spans="2:35" s="20" customFormat="1" ht="32.1" customHeight="1" thickBot="1" x14ac:dyDescent="0.3">
      <c r="B37" s="43" t="s">
        <v>65</v>
      </c>
      <c r="C37" s="44">
        <v>1175</v>
      </c>
      <c r="D37" s="44"/>
      <c r="E37" s="44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62">
        <f t="shared" si="1"/>
        <v>28.16</v>
      </c>
    </row>
    <row r="38" spans="2:35" s="20" customFormat="1" ht="32.1" customHeight="1" thickBot="1" x14ac:dyDescent="0.3">
      <c r="B38" s="43" t="s">
        <v>66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67</v>
      </c>
      <c r="C39" s="44">
        <v>1582</v>
      </c>
      <c r="D39" s="44"/>
      <c r="E39" s="44">
        <f t="shared" si="2"/>
        <v>1582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67" t="s">
        <v>68</v>
      </c>
      <c r="C40" s="68">
        <v>1582</v>
      </c>
      <c r="D40" s="68"/>
      <c r="E40" s="68">
        <f t="shared" si="2"/>
        <v>1582</v>
      </c>
      <c r="F40" s="69">
        <v>0</v>
      </c>
      <c r="G40" s="70">
        <v>100</v>
      </c>
      <c r="H40" s="71" t="str">
        <f t="shared" si="11"/>
        <v>0 pallets</v>
      </c>
      <c r="I40" s="72">
        <f t="shared" si="4"/>
        <v>0</v>
      </c>
      <c r="J40" s="99"/>
      <c r="K40" s="74"/>
      <c r="L40" s="99"/>
      <c r="M40" s="76"/>
      <c r="N40" s="76"/>
      <c r="O40" s="76"/>
      <c r="P40" s="77" t="str">
        <f t="shared" si="5"/>
        <v/>
      </c>
      <c r="Q40" s="78">
        <f t="shared" si="6"/>
        <v>0</v>
      </c>
      <c r="S40" s="80"/>
      <c r="T40" s="80"/>
      <c r="U40" s="100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82">
        <f t="shared" si="1"/>
        <v>28.16</v>
      </c>
    </row>
    <row r="41" spans="2:35" s="20" customFormat="1" ht="32.1" customHeight="1" thickBot="1" x14ac:dyDescent="0.3">
      <c r="B41" s="22" t="s">
        <v>69</v>
      </c>
      <c r="C41" s="23">
        <v>650</v>
      </c>
      <c r="D41" s="23"/>
      <c r="E41" s="23">
        <f t="shared" si="2"/>
        <v>650</v>
      </c>
      <c r="F41" s="85"/>
      <c r="G41" s="86">
        <v>100</v>
      </c>
      <c r="H41" s="87" t="str">
        <f t="shared" si="11"/>
        <v/>
      </c>
      <c r="I41" s="88">
        <f t="shared" si="4"/>
        <v>0</v>
      </c>
      <c r="J41" s="101"/>
      <c r="K41" s="90"/>
      <c r="L41" s="101"/>
      <c r="M41" s="92"/>
      <c r="N41" s="92"/>
      <c r="O41" s="92"/>
      <c r="P41" s="93" t="str">
        <f t="shared" si="5"/>
        <v/>
      </c>
      <c r="Q41" s="94">
        <f t="shared" si="6"/>
        <v>0</v>
      </c>
      <c r="S41" s="96"/>
      <c r="T41" s="96"/>
      <c r="U41" s="102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42">
        <f t="shared" si="1"/>
        <v>28.16</v>
      </c>
    </row>
    <row r="42" spans="2:35" s="20" customFormat="1" ht="32.1" customHeight="1" thickBot="1" x14ac:dyDescent="0.3">
      <c r="B42" s="43" t="s">
        <v>70</v>
      </c>
      <c r="C42" s="103">
        <v>650</v>
      </c>
      <c r="D42" s="103"/>
      <c r="E42" s="103">
        <f t="shared" si="2"/>
        <v>650</v>
      </c>
      <c r="F42" s="45"/>
      <c r="G42" s="46">
        <v>100</v>
      </c>
      <c r="H42" s="63" t="str">
        <f t="shared" si="11"/>
        <v/>
      </c>
      <c r="I42" s="48">
        <f t="shared" si="4"/>
        <v>0</v>
      </c>
      <c r="J42" s="83"/>
      <c r="K42" s="64"/>
      <c r="L42" s="83"/>
      <c r="M42" s="65"/>
      <c r="N42" s="65"/>
      <c r="O42" s="65"/>
      <c r="P42" s="51" t="str">
        <f t="shared" si="5"/>
        <v/>
      </c>
      <c r="Q42" s="52">
        <f t="shared" si="6"/>
        <v>0</v>
      </c>
      <c r="S42" s="66"/>
      <c r="T42" s="66"/>
      <c r="U42" s="84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62">
        <f t="shared" si="1"/>
        <v>28.16</v>
      </c>
    </row>
    <row r="43" spans="2:35" s="20" customFormat="1" ht="32.1" customHeight="1" thickBot="1" x14ac:dyDescent="0.3">
      <c r="B43" s="67" t="s">
        <v>71</v>
      </c>
      <c r="C43" s="98">
        <v>650</v>
      </c>
      <c r="D43" s="98"/>
      <c r="E43" s="98">
        <f t="shared" si="2"/>
        <v>650</v>
      </c>
      <c r="F43" s="69"/>
      <c r="G43" s="70">
        <v>100</v>
      </c>
      <c r="H43" s="71" t="str">
        <f t="shared" si="11"/>
        <v/>
      </c>
      <c r="I43" s="72">
        <f t="shared" si="4"/>
        <v>0</v>
      </c>
      <c r="J43" s="99"/>
      <c r="K43" s="74"/>
      <c r="L43" s="99"/>
      <c r="M43" s="76"/>
      <c r="N43" s="76"/>
      <c r="O43" s="76"/>
      <c r="P43" s="77" t="str">
        <f t="shared" si="5"/>
        <v/>
      </c>
      <c r="Q43" s="78">
        <f t="shared" si="6"/>
        <v>0</v>
      </c>
      <c r="S43" s="80"/>
      <c r="T43" s="80"/>
      <c r="U43" s="100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82">
        <f t="shared" si="1"/>
        <v>28.16</v>
      </c>
    </row>
    <row r="44" spans="2:35" s="20" customFormat="1" ht="32.1" customHeight="1" thickBot="1" x14ac:dyDescent="0.3">
      <c r="B44" s="104" t="s">
        <v>72</v>
      </c>
      <c r="C44" s="105">
        <v>1102</v>
      </c>
      <c r="D44" s="105"/>
      <c r="E44" s="105">
        <f t="shared" si="2"/>
        <v>1102</v>
      </c>
      <c r="F44" s="85">
        <v>0</v>
      </c>
      <c r="G44" s="86">
        <v>100</v>
      </c>
      <c r="H44" s="87" t="str">
        <f t="shared" si="11"/>
        <v>0 pallets</v>
      </c>
      <c r="I44" s="88">
        <f t="shared" si="4"/>
        <v>0</v>
      </c>
      <c r="J44" s="101"/>
      <c r="K44" s="90"/>
      <c r="L44" s="101"/>
      <c r="M44" s="92"/>
      <c r="N44" s="92"/>
      <c r="O44" s="92"/>
      <c r="P44" s="93" t="str">
        <f t="shared" si="5"/>
        <v/>
      </c>
      <c r="Q44" s="94">
        <f t="shared" si="6"/>
        <v>0</v>
      </c>
      <c r="S44" s="96"/>
      <c r="T44" s="96"/>
      <c r="U44" s="102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106">
        <f t="shared" si="1"/>
        <v>28.16</v>
      </c>
    </row>
    <row r="45" spans="2:35" s="20" customFormat="1" ht="32.1" customHeight="1" thickBot="1" x14ac:dyDescent="0.3">
      <c r="B45" s="107" t="s">
        <v>73</v>
      </c>
      <c r="C45" s="108">
        <v>1102</v>
      </c>
      <c r="D45" s="108"/>
      <c r="E45" s="108">
        <f t="shared" si="2"/>
        <v>1102</v>
      </c>
      <c r="F45" s="45">
        <v>0</v>
      </c>
      <c r="G45" s="46">
        <v>100</v>
      </c>
      <c r="H45" s="63" t="str">
        <f t="shared" si="11"/>
        <v>0 pallets</v>
      </c>
      <c r="I45" s="48">
        <f t="shared" si="4"/>
        <v>0</v>
      </c>
      <c r="J45" s="83"/>
      <c r="K45" s="64"/>
      <c r="L45" s="83"/>
      <c r="M45" s="65"/>
      <c r="N45" s="65"/>
      <c r="O45" s="65"/>
      <c r="P45" s="51" t="str">
        <f t="shared" si="5"/>
        <v/>
      </c>
      <c r="Q45" s="52">
        <f t="shared" si="6"/>
        <v>0</v>
      </c>
      <c r="S45" s="66"/>
      <c r="T45" s="66"/>
      <c r="U45" s="84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9">
        <f t="shared" si="1"/>
        <v>28.16</v>
      </c>
    </row>
    <row r="46" spans="2:35" s="20" customFormat="1" ht="32.1" customHeight="1" thickBot="1" x14ac:dyDescent="0.3">
      <c r="B46" s="43" t="s">
        <v>74</v>
      </c>
      <c r="C46" s="108">
        <v>1102</v>
      </c>
      <c r="D46" s="44"/>
      <c r="E46" s="44">
        <f>C46+D46</f>
        <v>1102</v>
      </c>
      <c r="F46" s="45">
        <v>0</v>
      </c>
      <c r="G46" s="46">
        <v>100</v>
      </c>
      <c r="H46" s="63" t="str">
        <f>IF(F46="","",(ROUND((F46/G46),1)&amp;" pallets"))</f>
        <v>0 pallets</v>
      </c>
      <c r="I46" s="48">
        <f>E46*F46</f>
        <v>0</v>
      </c>
      <c r="J46" s="83"/>
      <c r="K46" s="64"/>
      <c r="L46" s="83"/>
      <c r="M46" s="65"/>
      <c r="N46" s="65"/>
      <c r="O46" s="65"/>
      <c r="P46" s="51" t="str">
        <f>IF(M46&amp;N46="","",ROUND(((M46+N46)/G46),1)&amp;" pallets")</f>
        <v/>
      </c>
      <c r="Q46" s="52">
        <f>(J46*M46)+(K46*N46)+(O46*L46)</f>
        <v>0</v>
      </c>
      <c r="S46" s="66"/>
      <c r="T46" s="66"/>
      <c r="U46" s="84"/>
      <c r="X46" s="55">
        <f>F46*C46</f>
        <v>0</v>
      </c>
      <c r="Y46" s="56">
        <f>F46*AI46</f>
        <v>0</v>
      </c>
      <c r="Z46" s="35" t="str">
        <f t="shared" si="8"/>
        <v/>
      </c>
      <c r="AA46" s="36"/>
      <c r="AB46" s="57">
        <f>AB$6</f>
        <v>1.85</v>
      </c>
      <c r="AC46" s="58">
        <f>AC$6</f>
        <v>0</v>
      </c>
      <c r="AD46" s="58">
        <f>AD$6</f>
        <v>0.31</v>
      </c>
      <c r="AE46" s="59">
        <f>AB46+AC46+AD46</f>
        <v>2.16</v>
      </c>
      <c r="AF46" s="60"/>
      <c r="AG46" s="41">
        <v>26</v>
      </c>
      <c r="AH46" s="36"/>
      <c r="AI46" s="62">
        <f>AG46+AE46</f>
        <v>28.16</v>
      </c>
    </row>
    <row r="47" spans="2:35" s="20" customFormat="1" ht="32.1" customHeight="1" thickBot="1" x14ac:dyDescent="0.3">
      <c r="B47" s="107" t="s">
        <v>75</v>
      </c>
      <c r="C47" s="108">
        <v>1770</v>
      </c>
      <c r="D47" s="108"/>
      <c r="E47" s="108">
        <f t="shared" si="2"/>
        <v>1770</v>
      </c>
      <c r="F47" s="45"/>
      <c r="G47" s="46">
        <v>63</v>
      </c>
      <c r="H47" s="63" t="str">
        <f t="shared" si="11"/>
        <v/>
      </c>
      <c r="I47" s="48">
        <f t="shared" si="4"/>
        <v>0</v>
      </c>
      <c r="J47" s="83"/>
      <c r="K47" s="64"/>
      <c r="L47" s="83"/>
      <c r="M47" s="65"/>
      <c r="N47" s="65"/>
      <c r="O47" s="65"/>
      <c r="P47" s="51" t="str">
        <f t="shared" si="5"/>
        <v/>
      </c>
      <c r="Q47" s="52">
        <f t="shared" si="6"/>
        <v>0</v>
      </c>
      <c r="S47" s="66"/>
      <c r="T47" s="66"/>
      <c r="U47" s="84"/>
      <c r="X47" s="55">
        <f t="shared" si="7"/>
        <v>0</v>
      </c>
      <c r="Y47" s="56">
        <f t="shared" si="0"/>
        <v>0</v>
      </c>
      <c r="Z47" s="35" t="str">
        <f t="shared" si="8"/>
        <v/>
      </c>
      <c r="AA47" s="36"/>
      <c r="AB47" s="57">
        <f>AB$7</f>
        <v>3.46</v>
      </c>
      <c r="AC47" s="58">
        <f>AC$7</f>
        <v>0</v>
      </c>
      <c r="AD47" s="58">
        <f>AD$6</f>
        <v>0.31</v>
      </c>
      <c r="AE47" s="59">
        <f t="shared" si="9"/>
        <v>3.77</v>
      </c>
      <c r="AF47" s="60"/>
      <c r="AG47" s="41">
        <v>26</v>
      </c>
      <c r="AH47" s="36"/>
      <c r="AI47" s="109">
        <f t="shared" si="1"/>
        <v>29.77</v>
      </c>
    </row>
    <row r="48" spans="2:35" s="20" customFormat="1" ht="32.1" customHeight="1" thickBot="1" x14ac:dyDescent="0.3">
      <c r="B48" s="67" t="s">
        <v>76</v>
      </c>
      <c r="C48" s="68">
        <v>1770</v>
      </c>
      <c r="D48" s="68"/>
      <c r="E48" s="68">
        <f t="shared" si="2"/>
        <v>1770</v>
      </c>
      <c r="F48" s="69"/>
      <c r="G48" s="70">
        <v>100</v>
      </c>
      <c r="H48" s="71" t="str">
        <f t="shared" si="11"/>
        <v/>
      </c>
      <c r="I48" s="72">
        <f t="shared" si="4"/>
        <v>0</v>
      </c>
      <c r="J48" s="99"/>
      <c r="K48" s="74"/>
      <c r="L48" s="99"/>
      <c r="M48" s="76"/>
      <c r="N48" s="76"/>
      <c r="O48" s="76"/>
      <c r="P48" s="77" t="str">
        <f t="shared" si="5"/>
        <v/>
      </c>
      <c r="Q48" s="78">
        <f t="shared" si="6"/>
        <v>0</v>
      </c>
      <c r="S48" s="80"/>
      <c r="T48" s="80"/>
      <c r="U48" s="100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AB$6</f>
        <v>1.85</v>
      </c>
      <c r="AC48" s="58">
        <f>AC$6</f>
        <v>0</v>
      </c>
      <c r="AD48" s="58">
        <f>AD$6</f>
        <v>0.31</v>
      </c>
      <c r="AE48" s="59">
        <f t="shared" si="9"/>
        <v>2.16</v>
      </c>
      <c r="AF48" s="60"/>
      <c r="AG48" s="41">
        <v>26</v>
      </c>
      <c r="AH48" s="36"/>
      <c r="AI48" s="82">
        <f t="shared" si="1"/>
        <v>28.16</v>
      </c>
    </row>
    <row r="49" spans="2:35" s="20" customFormat="1" ht="32.1" hidden="1" customHeight="1" x14ac:dyDescent="0.25">
      <c r="B49" s="104" t="s">
        <v>77</v>
      </c>
      <c r="C49" s="105"/>
      <c r="D49" s="105"/>
      <c r="E49" s="105">
        <f t="shared" si="2"/>
        <v>0</v>
      </c>
      <c r="F49" s="45"/>
      <c r="G49" s="46">
        <v>6</v>
      </c>
      <c r="H49" s="63" t="str">
        <f t="shared" si="11"/>
        <v/>
      </c>
      <c r="I49" s="48">
        <f t="shared" si="4"/>
        <v>0</v>
      </c>
      <c r="J49" s="49">
        <v>1</v>
      </c>
      <c r="K49" s="64"/>
      <c r="L49" s="83"/>
      <c r="M49" s="50"/>
      <c r="N49" s="65"/>
      <c r="O49" s="65"/>
      <c r="P49" s="51" t="str">
        <f t="shared" si="5"/>
        <v/>
      </c>
      <c r="Q49" s="52">
        <f t="shared" si="6"/>
        <v>0</v>
      </c>
      <c r="S49" s="53"/>
      <c r="T49" s="66"/>
      <c r="U49" s="84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/>
      <c r="AC49" s="58"/>
      <c r="AD49" s="58"/>
      <c r="AE49" s="59">
        <f t="shared" si="9"/>
        <v>0</v>
      </c>
      <c r="AF49" s="60"/>
      <c r="AG49" s="41">
        <v>26</v>
      </c>
      <c r="AH49" s="36"/>
      <c r="AI49" s="106">
        <f t="shared" si="1"/>
        <v>26</v>
      </c>
    </row>
    <row r="50" spans="2:35" s="20" customFormat="1" ht="32.1" hidden="1" customHeight="1" x14ac:dyDescent="0.25">
      <c r="B50" s="107" t="s">
        <v>78</v>
      </c>
      <c r="C50" s="110"/>
      <c r="D50" s="110"/>
      <c r="E50" s="110">
        <f t="shared" si="2"/>
        <v>0</v>
      </c>
      <c r="F50" s="45"/>
      <c r="G50" s="46">
        <v>12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9">
        <f t="shared" si="1"/>
        <v>26</v>
      </c>
    </row>
    <row r="51" spans="2:35" s="20" customFormat="1" ht="32.1" hidden="1" customHeight="1" x14ac:dyDescent="0.25">
      <c r="B51" s="67" t="s">
        <v>79</v>
      </c>
      <c r="C51" s="68"/>
      <c r="D51" s="68"/>
      <c r="E51" s="68">
        <f t="shared" si="2"/>
        <v>0</v>
      </c>
      <c r="F51" s="69"/>
      <c r="G51" s="70">
        <v>6</v>
      </c>
      <c r="H51" s="71" t="str">
        <f t="shared" si="11"/>
        <v/>
      </c>
      <c r="I51" s="72">
        <f t="shared" si="4"/>
        <v>0</v>
      </c>
      <c r="J51" s="73">
        <v>1</v>
      </c>
      <c r="K51" s="74"/>
      <c r="L51" s="99"/>
      <c r="M51" s="75"/>
      <c r="N51" s="76"/>
      <c r="O51" s="76"/>
      <c r="P51" s="77" t="str">
        <f t="shared" si="5"/>
        <v/>
      </c>
      <c r="Q51" s="78">
        <f t="shared" si="6"/>
        <v>0</v>
      </c>
      <c r="S51" s="79"/>
      <c r="T51" s="80"/>
      <c r="U51" s="100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82">
        <f t="shared" si="1"/>
        <v>26</v>
      </c>
    </row>
    <row r="52" spans="2:35" s="20" customFormat="1" ht="32.1" customHeight="1" thickBot="1" x14ac:dyDescent="0.3">
      <c r="B52" s="43" t="s">
        <v>80</v>
      </c>
      <c r="C52" s="44">
        <v>851</v>
      </c>
      <c r="D52" s="44">
        <v>120</v>
      </c>
      <c r="E52" s="44">
        <f t="shared" si="2"/>
        <v>971</v>
      </c>
      <c r="F52" s="45"/>
      <c r="G52" s="46">
        <v>63</v>
      </c>
      <c r="H52" s="63" t="str">
        <f t="shared" si="11"/>
        <v/>
      </c>
      <c r="I52" s="48">
        <f t="shared" si="4"/>
        <v>0</v>
      </c>
      <c r="J52" s="49">
        <v>120</v>
      </c>
      <c r="K52" s="64"/>
      <c r="L52" s="83"/>
      <c r="M52" s="50"/>
      <c r="N52" s="65"/>
      <c r="O52" s="65"/>
      <c r="P52" s="51" t="str">
        <f t="shared" si="5"/>
        <v/>
      </c>
      <c r="Q52" s="52">
        <f t="shared" si="6"/>
        <v>0</v>
      </c>
      <c r="S52" s="53"/>
      <c r="T52" s="66"/>
      <c r="U52" s="84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>
        <f>AB$2</f>
        <v>5.76</v>
      </c>
      <c r="AC52" s="58">
        <f>AC$2</f>
        <v>0</v>
      </c>
      <c r="AD52" s="58">
        <f>AD$2</f>
        <v>0.31</v>
      </c>
      <c r="AE52" s="59">
        <f t="shared" si="9"/>
        <v>6.0699999999999994</v>
      </c>
      <c r="AF52" s="60"/>
      <c r="AG52" s="41">
        <v>26</v>
      </c>
      <c r="AH52" s="36"/>
      <c r="AI52" s="62">
        <f t="shared" si="1"/>
        <v>32.07</v>
      </c>
    </row>
    <row r="53" spans="2:35" s="20" customFormat="1" ht="32.1" customHeight="1" thickBot="1" x14ac:dyDescent="0.3">
      <c r="B53" s="111" t="s">
        <v>81</v>
      </c>
      <c r="C53" s="112">
        <v>1102</v>
      </c>
      <c r="D53" s="112">
        <v>0</v>
      </c>
      <c r="E53" s="112">
        <f t="shared" si="2"/>
        <v>1102</v>
      </c>
      <c r="F53" s="113"/>
      <c r="G53" s="114">
        <v>100</v>
      </c>
      <c r="H53" s="115" t="str">
        <f t="shared" si="11"/>
        <v/>
      </c>
      <c r="I53" s="116">
        <f t="shared" si="4"/>
        <v>0</v>
      </c>
      <c r="J53" s="117"/>
      <c r="K53" s="118"/>
      <c r="L53" s="117"/>
      <c r="M53" s="119"/>
      <c r="N53" s="119"/>
      <c r="O53" s="119"/>
      <c r="P53" s="120" t="str">
        <f t="shared" si="5"/>
        <v/>
      </c>
      <c r="Q53" s="121">
        <f t="shared" si="6"/>
        <v>0</v>
      </c>
      <c r="S53" s="122"/>
      <c r="T53" s="122"/>
      <c r="U53" s="123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AB$6</f>
        <v>1.85</v>
      </c>
      <c r="AC53" s="58">
        <f>AC$6</f>
        <v>0</v>
      </c>
      <c r="AD53" s="58">
        <f>AD$6</f>
        <v>0.31</v>
      </c>
      <c r="AE53" s="59">
        <f t="shared" si="9"/>
        <v>2.16</v>
      </c>
      <c r="AF53" s="60"/>
      <c r="AG53" s="41">
        <v>26</v>
      </c>
      <c r="AH53" s="36"/>
      <c r="AI53" s="124">
        <f t="shared" si="1"/>
        <v>28.16</v>
      </c>
    </row>
    <row r="54" spans="2:35" s="20" customFormat="1" ht="32.1" hidden="1" customHeight="1" x14ac:dyDescent="0.25">
      <c r="B54" s="22" t="s">
        <v>82</v>
      </c>
      <c r="C54" s="23"/>
      <c r="D54" s="23"/>
      <c r="E54" s="23">
        <f t="shared" si="2"/>
        <v>0</v>
      </c>
      <c r="F54" s="85"/>
      <c r="G54" s="86">
        <v>72</v>
      </c>
      <c r="H54" s="87" t="str">
        <f t="shared" si="11"/>
        <v/>
      </c>
      <c r="I54" s="88">
        <f t="shared" si="4"/>
        <v>0</v>
      </c>
      <c r="J54" s="101"/>
      <c r="K54" s="90"/>
      <c r="L54" s="101"/>
      <c r="M54" s="92"/>
      <c r="N54" s="92"/>
      <c r="O54" s="92"/>
      <c r="P54" s="93" t="str">
        <f t="shared" si="5"/>
        <v/>
      </c>
      <c r="Q54" s="94">
        <f t="shared" si="6"/>
        <v>0</v>
      </c>
      <c r="S54" s="96"/>
      <c r="T54" s="96"/>
      <c r="U54" s="102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v>1.69</v>
      </c>
      <c r="AC54" s="58">
        <v>1.69</v>
      </c>
      <c r="AD54" s="58">
        <v>1.69</v>
      </c>
      <c r="AE54" s="59">
        <f t="shared" si="9"/>
        <v>5.07</v>
      </c>
      <c r="AF54" s="60"/>
      <c r="AG54" s="41">
        <v>26</v>
      </c>
      <c r="AH54" s="36"/>
      <c r="AI54" s="42">
        <f t="shared" si="1"/>
        <v>31.07</v>
      </c>
    </row>
    <row r="55" spans="2:35" s="20" customFormat="1" ht="32.1" customHeight="1" thickBot="1" x14ac:dyDescent="0.3">
      <c r="B55" s="111" t="s">
        <v>83</v>
      </c>
      <c r="C55" s="112">
        <v>1142</v>
      </c>
      <c r="D55" s="112">
        <v>0</v>
      </c>
      <c r="E55" s="112">
        <f t="shared" si="2"/>
        <v>1142</v>
      </c>
      <c r="F55" s="113"/>
      <c r="G55" s="114">
        <v>100</v>
      </c>
      <c r="H55" s="115" t="str">
        <f t="shared" si="11"/>
        <v/>
      </c>
      <c r="I55" s="116">
        <f t="shared" si="4"/>
        <v>0</v>
      </c>
      <c r="J55" s="117"/>
      <c r="K55" s="118"/>
      <c r="L55" s="117"/>
      <c r="M55" s="119"/>
      <c r="N55" s="119"/>
      <c r="O55" s="119"/>
      <c r="P55" s="120" t="str">
        <f t="shared" si="5"/>
        <v/>
      </c>
      <c r="Q55" s="121">
        <f t="shared" si="6"/>
        <v>0</v>
      </c>
      <c r="S55" s="122"/>
      <c r="T55" s="122"/>
      <c r="U55" s="123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f t="shared" ref="AB55:AD58" si="19">AB$6</f>
        <v>1.85</v>
      </c>
      <c r="AC55" s="58">
        <f t="shared" si="19"/>
        <v>0</v>
      </c>
      <c r="AD55" s="58">
        <f t="shared" si="19"/>
        <v>0.31</v>
      </c>
      <c r="AE55" s="59">
        <f t="shared" si="9"/>
        <v>2.16</v>
      </c>
      <c r="AF55" s="60"/>
      <c r="AG55" s="41">
        <v>26</v>
      </c>
      <c r="AH55" s="36"/>
      <c r="AI55" s="124">
        <f t="shared" si="1"/>
        <v>28.16</v>
      </c>
    </row>
    <row r="56" spans="2:35" s="20" customFormat="1" ht="32.1" customHeight="1" thickBot="1" x14ac:dyDescent="0.3">
      <c r="B56" s="111" t="s">
        <v>84</v>
      </c>
      <c r="C56" s="112">
        <v>1582</v>
      </c>
      <c r="D56" s="112">
        <v>0</v>
      </c>
      <c r="E56" s="112">
        <f t="shared" si="2"/>
        <v>1582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si="19"/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85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86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x14ac:dyDescent="0.25">
      <c r="B59" s="43" t="s">
        <v>87</v>
      </c>
      <c r="C59" s="44">
        <v>229</v>
      </c>
      <c r="D59" s="44">
        <v>78</v>
      </c>
      <c r="E59" s="44">
        <f t="shared" si="2"/>
        <v>307</v>
      </c>
      <c r="F59" s="45"/>
      <c r="G59" s="46">
        <v>72</v>
      </c>
      <c r="H59" s="63" t="str">
        <f t="shared" si="11"/>
        <v/>
      </c>
      <c r="I59" s="48">
        <f t="shared" si="4"/>
        <v>0</v>
      </c>
      <c r="J59" s="49">
        <v>78</v>
      </c>
      <c r="K59" s="125">
        <v>42</v>
      </c>
      <c r="L59" s="49">
        <v>1.5</v>
      </c>
      <c r="M59" s="50"/>
      <c r="N59" s="50"/>
      <c r="O59" s="50"/>
      <c r="P59" s="51" t="str">
        <f t="shared" si="5"/>
        <v/>
      </c>
      <c r="Q59" s="52">
        <f>(J59*M59)+(K59*N59)+(O59*L59)</f>
        <v>0</v>
      </c>
      <c r="S59" s="53"/>
      <c r="T59" s="53"/>
      <c r="U59" s="54"/>
      <c r="X59" s="55">
        <f t="shared" si="7"/>
        <v>0</v>
      </c>
      <c r="Y59" s="56">
        <f t="shared" si="0"/>
        <v>0</v>
      </c>
      <c r="Z59" s="56"/>
      <c r="AA59" s="36"/>
      <c r="AB59" s="57">
        <f t="shared" ref="AB59:AC61" si="20">AB$1</f>
        <v>5.0599999999999996</v>
      </c>
      <c r="AC59" s="58">
        <f t="shared" si="20"/>
        <v>0</v>
      </c>
      <c r="AD59" s="58"/>
      <c r="AE59" s="59">
        <f t="shared" si="9"/>
        <v>5.0599999999999996</v>
      </c>
      <c r="AF59" s="60"/>
      <c r="AG59" s="61">
        <v>20.5</v>
      </c>
      <c r="AH59" s="36"/>
      <c r="AI59" s="62">
        <f>AG59+AE59</f>
        <v>25.56</v>
      </c>
    </row>
    <row r="60" spans="2:35" s="20" customFormat="1" ht="32.1" customHeight="1" x14ac:dyDescent="0.25">
      <c r="B60" s="43" t="s">
        <v>88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/>
      <c r="I60" s="48">
        <f t="shared" si="4"/>
        <v>0</v>
      </c>
      <c r="J60" s="83"/>
      <c r="K60" s="64"/>
      <c r="L60" s="49">
        <v>1.5</v>
      </c>
      <c r="M60" s="92"/>
      <c r="N60" s="65"/>
      <c r="O60" s="50"/>
      <c r="P60" s="51" t="str">
        <f t="shared" si="5"/>
        <v/>
      </c>
      <c r="Q60" s="52">
        <f t="shared" si="6"/>
        <v>0</v>
      </c>
      <c r="S60" s="53"/>
      <c r="T60" s="66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si="20"/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 t="shared" si="1"/>
        <v>25.56</v>
      </c>
    </row>
    <row r="61" spans="2:35" s="20" customFormat="1" ht="32.1" customHeight="1" x14ac:dyDescent="0.25">
      <c r="B61" s="43" t="s">
        <v>89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 t="str">
        <f t="shared" si="11"/>
        <v/>
      </c>
      <c r="I61" s="48">
        <f t="shared" si="4"/>
        <v>0</v>
      </c>
      <c r="J61" s="83"/>
      <c r="K61" s="64"/>
      <c r="L61" s="49">
        <v>1.5</v>
      </c>
      <c r="M61" s="65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hidden="1" customHeight="1" x14ac:dyDescent="0.25">
      <c r="B62" s="43" t="s">
        <v>90</v>
      </c>
      <c r="C62" s="44">
        <v>229</v>
      </c>
      <c r="D62" s="44">
        <v>283</v>
      </c>
      <c r="E62" s="44">
        <f t="shared" si="2"/>
        <v>512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v>1.69</v>
      </c>
      <c r="AC62" s="58">
        <v>1.69</v>
      </c>
      <c r="AD62" s="58"/>
      <c r="AE62" s="59">
        <f t="shared" si="9"/>
        <v>3.38</v>
      </c>
      <c r="AF62" s="60"/>
      <c r="AG62" s="61">
        <v>20.5</v>
      </c>
      <c r="AH62" s="36"/>
      <c r="AI62" s="62">
        <f t="shared" si="1"/>
        <v>23.88</v>
      </c>
    </row>
    <row r="63" spans="2:35" s="20" customFormat="1" ht="32.1" customHeight="1" x14ac:dyDescent="0.25">
      <c r="B63" s="67" t="s">
        <v>91</v>
      </c>
      <c r="C63" s="44">
        <v>229</v>
      </c>
      <c r="D63" s="68">
        <v>78</v>
      </c>
      <c r="E63" s="68">
        <f t="shared" si="2"/>
        <v>307</v>
      </c>
      <c r="F63" s="69"/>
      <c r="G63" s="70">
        <v>72</v>
      </c>
      <c r="H63" s="71" t="str">
        <f t="shared" si="11"/>
        <v/>
      </c>
      <c r="I63" s="72">
        <f t="shared" si="4"/>
        <v>0</v>
      </c>
      <c r="J63" s="99"/>
      <c r="K63" s="74"/>
      <c r="L63" s="73">
        <v>1.5</v>
      </c>
      <c r="M63" s="92"/>
      <c r="N63" s="76"/>
      <c r="O63" s="75"/>
      <c r="P63" s="77" t="str">
        <f t="shared" si="5"/>
        <v/>
      </c>
      <c r="Q63" s="78">
        <f t="shared" si="6"/>
        <v>0</v>
      </c>
      <c r="S63" s="79"/>
      <c r="T63" s="80"/>
      <c r="U63" s="81"/>
      <c r="X63" s="55">
        <f t="shared" si="7"/>
        <v>0</v>
      </c>
      <c r="Y63" s="56">
        <f t="shared" si="0"/>
        <v>0</v>
      </c>
      <c r="Z63" s="56"/>
      <c r="AA63" s="36"/>
      <c r="AB63" s="57">
        <f>AB$1</f>
        <v>5.0599999999999996</v>
      </c>
      <c r="AC63" s="58">
        <f>AC$1</f>
        <v>0</v>
      </c>
      <c r="AD63" s="58"/>
      <c r="AE63" s="59">
        <f t="shared" si="9"/>
        <v>5.0599999999999996</v>
      </c>
      <c r="AF63" s="60"/>
      <c r="AG63" s="61">
        <v>20.5</v>
      </c>
      <c r="AH63" s="36"/>
      <c r="AI63" s="82">
        <f t="shared" si="1"/>
        <v>25.56</v>
      </c>
    </row>
    <row r="64" spans="2:35" s="20" customFormat="1" ht="32.1" customHeight="1" x14ac:dyDescent="0.25">
      <c r="B64" s="22" t="s">
        <v>92</v>
      </c>
      <c r="C64" s="23">
        <v>1582</v>
      </c>
      <c r="D64" s="23"/>
      <c r="E64" s="23">
        <f t="shared" si="2"/>
        <v>1582</v>
      </c>
      <c r="F64" s="85"/>
      <c r="G64" s="86">
        <v>110</v>
      </c>
      <c r="H64" s="87" t="str">
        <f t="shared" si="11"/>
        <v/>
      </c>
      <c r="I64" s="88">
        <f t="shared" si="4"/>
        <v>0</v>
      </c>
      <c r="J64" s="101"/>
      <c r="K64" s="90"/>
      <c r="L64" s="101"/>
      <c r="M64" s="92"/>
      <c r="N64" s="92"/>
      <c r="O64" s="92"/>
      <c r="P64" s="93" t="str">
        <f t="shared" si="5"/>
        <v/>
      </c>
      <c r="Q64" s="94">
        <f t="shared" si="6"/>
        <v>0</v>
      </c>
      <c r="S64" s="96"/>
      <c r="T64" s="96"/>
      <c r="U64" s="102"/>
      <c r="X64" s="55">
        <f t="shared" si="7"/>
        <v>0</v>
      </c>
      <c r="Y64" s="56">
        <f t="shared" si="0"/>
        <v>0</v>
      </c>
      <c r="Z64" s="56" t="str">
        <f>IF($U$6="x",(F64*3.5),"")</f>
        <v/>
      </c>
      <c r="AA64" s="36"/>
      <c r="AB64" s="57">
        <f t="shared" ref="AB64:AD70" si="21">AB$6</f>
        <v>1.85</v>
      </c>
      <c r="AC64" s="58">
        <f t="shared" si="21"/>
        <v>0</v>
      </c>
      <c r="AD64" s="58">
        <f t="shared" si="21"/>
        <v>0.31</v>
      </c>
      <c r="AE64" s="59">
        <f t="shared" si="9"/>
        <v>2.16</v>
      </c>
      <c r="AF64" s="60"/>
      <c r="AG64" s="61">
        <v>26</v>
      </c>
      <c r="AH64" s="36"/>
      <c r="AI64" s="42">
        <f t="shared" si="1"/>
        <v>28.16</v>
      </c>
    </row>
    <row r="65" spans="2:35" s="20" customFormat="1" ht="32.1" customHeight="1" x14ac:dyDescent="0.25">
      <c r="B65" s="43" t="s">
        <v>93</v>
      </c>
      <c r="C65" s="44">
        <v>1582</v>
      </c>
      <c r="D65" s="44"/>
      <c r="E65" s="44">
        <f t="shared" si="2"/>
        <v>1582</v>
      </c>
      <c r="F65" s="45"/>
      <c r="G65" s="46">
        <v>100</v>
      </c>
      <c r="H65" s="63" t="str">
        <f t="shared" si="11"/>
        <v/>
      </c>
      <c r="I65" s="48">
        <f t="shared" si="4"/>
        <v>0</v>
      </c>
      <c r="J65" s="83"/>
      <c r="K65" s="64"/>
      <c r="L65" s="83"/>
      <c r="M65" s="65"/>
      <c r="N65" s="65"/>
      <c r="O65" s="92"/>
      <c r="P65" s="51" t="str">
        <f t="shared" si="5"/>
        <v/>
      </c>
      <c r="Q65" s="52">
        <f t="shared" si="6"/>
        <v>0</v>
      </c>
      <c r="S65" s="66"/>
      <c r="T65" s="66"/>
      <c r="U65" s="102"/>
      <c r="X65" s="55">
        <f t="shared" si="7"/>
        <v>0</v>
      </c>
      <c r="Y65" s="56">
        <f t="shared" si="0"/>
        <v>0</v>
      </c>
      <c r="Z65" s="56" t="str">
        <f t="shared" ref="Z65:Z70" si="22">IF($U$6="x",(F65*3.5),"")</f>
        <v/>
      </c>
      <c r="AA65" s="36"/>
      <c r="AB65" s="57">
        <f t="shared" si="21"/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62">
        <f t="shared" si="1"/>
        <v>28.16</v>
      </c>
    </row>
    <row r="66" spans="2:35" s="20" customFormat="1" ht="32.1" customHeight="1" x14ac:dyDescent="0.25">
      <c r="B66" s="43" t="s">
        <v>94</v>
      </c>
      <c r="C66" s="44">
        <v>1102</v>
      </c>
      <c r="D66" s="44"/>
      <c r="E66" s="44">
        <f t="shared" si="2"/>
        <v>1102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si="22"/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95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96</v>
      </c>
      <c r="C68" s="44">
        <v>1175</v>
      </c>
      <c r="D68" s="44"/>
      <c r="E68" s="44">
        <f t="shared" si="2"/>
        <v>1175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97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thickBot="1" x14ac:dyDescent="0.3">
      <c r="B70" s="111" t="s">
        <v>98</v>
      </c>
      <c r="C70" s="112">
        <v>1175</v>
      </c>
      <c r="D70" s="112"/>
      <c r="E70" s="112">
        <f t="shared" si="2"/>
        <v>1175</v>
      </c>
      <c r="F70" s="113"/>
      <c r="G70" s="114">
        <v>100</v>
      </c>
      <c r="H70" s="115" t="str">
        <f t="shared" si="11"/>
        <v/>
      </c>
      <c r="I70" s="116">
        <f t="shared" si="4"/>
        <v>0</v>
      </c>
      <c r="J70" s="117"/>
      <c r="K70" s="118"/>
      <c r="L70" s="117"/>
      <c r="M70" s="119"/>
      <c r="N70" s="119"/>
      <c r="O70" s="126"/>
      <c r="P70" s="120" t="str">
        <f t="shared" si="5"/>
        <v/>
      </c>
      <c r="Q70" s="121">
        <f t="shared" si="6"/>
        <v>0</v>
      </c>
      <c r="S70" s="122"/>
      <c r="T70" s="122"/>
      <c r="U70" s="127"/>
      <c r="X70" s="128">
        <f t="shared" si="7"/>
        <v>0</v>
      </c>
      <c r="Y70" s="129">
        <f t="shared" si="0"/>
        <v>0</v>
      </c>
      <c r="Z70" s="56" t="str">
        <f t="shared" si="22"/>
        <v/>
      </c>
      <c r="AA70" s="36"/>
      <c r="AB70" s="130">
        <f t="shared" si="21"/>
        <v>1.85</v>
      </c>
      <c r="AC70" s="131">
        <f t="shared" si="21"/>
        <v>0</v>
      </c>
      <c r="AD70" s="131">
        <f t="shared" si="21"/>
        <v>0.31</v>
      </c>
      <c r="AE70" s="132">
        <f t="shared" si="9"/>
        <v>2.16</v>
      </c>
      <c r="AF70" s="60"/>
      <c r="AG70" s="133">
        <v>26</v>
      </c>
      <c r="AH70" s="36"/>
      <c r="AI70" s="124">
        <f t="shared" si="1"/>
        <v>28.16</v>
      </c>
    </row>
    <row r="71" spans="2:35" s="20" customFormat="1" ht="13.5" hidden="1" thickBot="1" x14ac:dyDescent="0.3">
      <c r="B71" s="134" t="s">
        <v>99</v>
      </c>
      <c r="C71" s="23">
        <v>20.5</v>
      </c>
      <c r="D71" s="23">
        <v>283</v>
      </c>
      <c r="E71" s="23">
        <f t="shared" ref="E71:E72" si="23">+D71-C71</f>
        <v>262.5</v>
      </c>
      <c r="F71" s="135"/>
      <c r="G71" s="86">
        <v>72</v>
      </c>
      <c r="H71" s="136" t="str">
        <f t="shared" ref="H71:H72" si="24">(F71/G71)&amp;" pallets"</f>
        <v>0 pallets</v>
      </c>
      <c r="I71" s="89">
        <f t="shared" si="4"/>
        <v>0</v>
      </c>
      <c r="J71" s="101"/>
      <c r="K71" s="90"/>
      <c r="L71" s="101"/>
      <c r="M71" s="137"/>
      <c r="N71" s="90"/>
      <c r="O71" s="137"/>
      <c r="P71" s="136" t="str">
        <f t="shared" ref="P71:P72" si="25">((M71+N71)/G71)&amp;" pallets"</f>
        <v>0 pallets</v>
      </c>
      <c r="Q71" s="138">
        <f t="shared" si="6"/>
        <v>0</v>
      </c>
      <c r="S71" s="137"/>
      <c r="T71" s="90"/>
      <c r="U71" s="137"/>
      <c r="AB71" s="20">
        <v>0.61</v>
      </c>
    </row>
    <row r="72" spans="2:35" s="20" customFormat="1" ht="13.5" hidden="1" thickBot="1" x14ac:dyDescent="0.3">
      <c r="B72" s="139" t="s">
        <v>100</v>
      </c>
      <c r="C72" s="140">
        <v>20.5</v>
      </c>
      <c r="D72" s="140">
        <v>283</v>
      </c>
      <c r="E72" s="140">
        <f t="shared" si="23"/>
        <v>262.5</v>
      </c>
      <c r="F72" s="141"/>
      <c r="G72" s="114">
        <v>72</v>
      </c>
      <c r="H72" s="142" t="str">
        <f t="shared" si="24"/>
        <v>0 pallets</v>
      </c>
      <c r="I72" s="143">
        <f t="shared" si="4"/>
        <v>0</v>
      </c>
      <c r="J72" s="117"/>
      <c r="K72" s="118"/>
      <c r="L72" s="117"/>
      <c r="M72" s="144"/>
      <c r="N72" s="118"/>
      <c r="O72" s="144"/>
      <c r="P72" s="142" t="str">
        <f t="shared" si="25"/>
        <v>0 pallets</v>
      </c>
      <c r="Q72" s="145">
        <f t="shared" si="6"/>
        <v>0</v>
      </c>
      <c r="S72" s="144"/>
      <c r="T72" s="118"/>
      <c r="U72" s="144"/>
      <c r="AB72" s="20">
        <v>0.61</v>
      </c>
    </row>
    <row r="73" spans="2:35" s="20" customFormat="1" ht="15.75" x14ac:dyDescent="0.25">
      <c r="B73" s="260" t="s">
        <v>101</v>
      </c>
      <c r="C73" s="260"/>
      <c r="D73" s="260"/>
      <c r="E73" s="260"/>
      <c r="F73" s="260"/>
      <c r="G73" s="260"/>
      <c r="H73" s="146" t="str">
        <f>ROUND(((F12+F30+F54+F59+F60+F61+F62+F63)/72+(F13+F16+F18)/108+(F14+SUM(F19:F29)+F31+F32+F22+F52+F47)/63+F15/96+SUM(F36:F45)/100+SUM(F49:F51)/24+SUM(F64:F70)/100+(F53+F48+F46)/100),1)&amp;" pallets"</f>
        <v>0 pallets</v>
      </c>
      <c r="I73" s="147"/>
      <c r="J73" s="148"/>
      <c r="K73" s="149"/>
      <c r="L73" s="148"/>
      <c r="M73" s="150"/>
      <c r="N73" s="151"/>
      <c r="O73" s="151"/>
      <c r="P73" s="194" t="str">
        <f>ROUND((((M12+N12+M30+M59+M60+M61+M62+M63+N59)/72+(M13+N13+M16+M18)/108+(M15+N15)/96+SUM(M14,M19:M29,M31:M32,M52,N14)/63)),1)&amp;" pallets"</f>
        <v>0 pallets</v>
      </c>
      <c r="Q73" s="152"/>
      <c r="R73" s="151"/>
      <c r="S73" s="151"/>
      <c r="T73" s="151"/>
      <c r="U73" s="151"/>
      <c r="V73" s="151"/>
      <c r="W73" s="151"/>
      <c r="Y73" s="151"/>
      <c r="Z73" s="151"/>
      <c r="AA73" s="151"/>
      <c r="AB73" s="151"/>
      <c r="AC73" s="151"/>
      <c r="AD73" s="151"/>
      <c r="AE73" s="151"/>
      <c r="AF73" s="151"/>
      <c r="AG73" s="151"/>
      <c r="AH73" s="151"/>
    </row>
    <row r="74" spans="2:35" s="20" customFormat="1" ht="13.5" thickBot="1" x14ac:dyDescent="0.3">
      <c r="B74" s="153"/>
      <c r="C74" s="154"/>
      <c r="D74" s="154"/>
      <c r="E74" s="154"/>
      <c r="F74" s="150"/>
      <c r="G74" s="150"/>
      <c r="H74" s="150"/>
      <c r="I74" s="147"/>
      <c r="J74" s="148"/>
      <c r="K74" s="149"/>
      <c r="L74" s="148"/>
      <c r="M74" s="150"/>
      <c r="N74" s="151"/>
      <c r="O74" s="151"/>
      <c r="P74" s="151"/>
      <c r="Q74" s="152"/>
      <c r="R74" s="151"/>
      <c r="S74" s="151"/>
      <c r="T74" s="151"/>
      <c r="U74" s="151"/>
      <c r="V74" s="151"/>
      <c r="W74" s="151"/>
      <c r="X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160" customFormat="1" ht="36.75" customHeight="1" thickBot="1" x14ac:dyDescent="0.3">
      <c r="B75" s="155" t="s">
        <v>102</v>
      </c>
      <c r="C75" s="156"/>
      <c r="D75" s="156"/>
      <c r="E75" s="156"/>
      <c r="F75" s="240">
        <f>SUM(I12:I72)</f>
        <v>0</v>
      </c>
      <c r="G75" s="240"/>
      <c r="H75" s="240"/>
      <c r="I75" s="241"/>
      <c r="J75" s="157"/>
      <c r="K75" s="157"/>
      <c r="L75" s="157"/>
      <c r="M75" s="252" t="s">
        <v>103</v>
      </c>
      <c r="N75" s="253"/>
      <c r="O75" s="240">
        <f>SUM(Q12:Q72)</f>
        <v>0</v>
      </c>
      <c r="P75" s="240"/>
      <c r="Q75" s="241"/>
      <c r="R75" s="151"/>
      <c r="S75" s="158" t="s">
        <v>104</v>
      </c>
      <c r="T75" s="245">
        <f>SUM(Y12:Y70)</f>
        <v>0</v>
      </c>
      <c r="U75" s="246"/>
      <c r="V75" s="159"/>
      <c r="W75" s="159"/>
      <c r="X75" s="159"/>
      <c r="Y75" s="159"/>
      <c r="Z75" s="159"/>
      <c r="AA75" s="159"/>
      <c r="AB75" s="159"/>
      <c r="AC75" s="159"/>
      <c r="AD75" s="159"/>
      <c r="AE75" s="159"/>
      <c r="AF75" s="159"/>
      <c r="AG75" s="159"/>
      <c r="AH75" s="159"/>
      <c r="AI75" s="159"/>
    </row>
    <row r="76" spans="2:35" s="160" customFormat="1" ht="6" customHeight="1" thickBot="1" x14ac:dyDescent="0.3">
      <c r="B76" s="161"/>
      <c r="F76" s="162"/>
      <c r="G76" s="162"/>
      <c r="H76" s="162"/>
      <c r="I76" s="162"/>
      <c r="J76" s="163"/>
      <c r="K76" s="163"/>
      <c r="L76" s="163"/>
      <c r="M76" s="164"/>
      <c r="N76" s="164"/>
      <c r="O76" s="162"/>
      <c r="P76" s="162"/>
      <c r="Q76" s="162"/>
      <c r="R76" s="162"/>
      <c r="S76" s="161"/>
      <c r="T76" s="165"/>
      <c r="U76" s="165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36.75" customHeight="1" thickBot="1" x14ac:dyDescent="0.3">
      <c r="B77" s="155" t="s">
        <v>102</v>
      </c>
      <c r="C77" s="156"/>
      <c r="D77" s="156"/>
      <c r="E77" s="156"/>
      <c r="F77" s="240">
        <f>SUM(I14:I74)</f>
        <v>0</v>
      </c>
      <c r="G77" s="240"/>
      <c r="H77" s="240"/>
      <c r="I77" s="241"/>
      <c r="J77" s="157"/>
      <c r="K77" s="157"/>
      <c r="L77" s="157"/>
      <c r="M77" s="252" t="s">
        <v>103</v>
      </c>
      <c r="N77" s="253"/>
      <c r="O77" s="240">
        <f>SUM(Q14:Q74)</f>
        <v>0</v>
      </c>
      <c r="P77" s="240"/>
      <c r="Q77" s="241"/>
      <c r="R77" s="151"/>
      <c r="S77" s="158" t="s">
        <v>129</v>
      </c>
      <c r="T77" s="245">
        <f>SUM(Z12:Z72)</f>
        <v>0</v>
      </c>
      <c r="U77" s="246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6" customHeight="1" thickBot="1" x14ac:dyDescent="0.3">
      <c r="B78" s="161"/>
      <c r="F78" s="162"/>
      <c r="G78" s="162"/>
      <c r="H78" s="162"/>
      <c r="I78" s="162"/>
      <c r="J78" s="163"/>
      <c r="K78" s="163"/>
      <c r="L78" s="163"/>
      <c r="M78" s="164"/>
      <c r="N78" s="164"/>
      <c r="O78" s="162"/>
      <c r="P78" s="162"/>
      <c r="Q78" s="162"/>
      <c r="R78" s="162"/>
      <c r="S78" s="161"/>
      <c r="T78" s="165"/>
      <c r="U78" s="165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36.75" customHeight="1" thickBot="1" x14ac:dyDescent="0.3">
      <c r="B79" s="166" t="s">
        <v>105</v>
      </c>
      <c r="C79" s="156"/>
      <c r="D79" s="156"/>
      <c r="E79" s="156"/>
      <c r="F79" s="240">
        <f>IF(U7&gt;0,"",(F75-O75-T81-P81))</f>
        <v>0</v>
      </c>
      <c r="G79" s="240"/>
      <c r="H79" s="240"/>
      <c r="I79" s="241"/>
      <c r="J79" s="163"/>
      <c r="K79" s="163"/>
      <c r="L79" s="163"/>
      <c r="M79" s="242" t="s">
        <v>106</v>
      </c>
      <c r="N79" s="242"/>
      <c r="O79" s="167" t="s">
        <v>107</v>
      </c>
      <c r="P79" s="243"/>
      <c r="Q79" s="244"/>
      <c r="R79" s="151"/>
      <c r="S79" s="158" t="s">
        <v>108</v>
      </c>
      <c r="T79" s="245">
        <f>IF(SUM(X12:X70)*0.15&gt;P79,P79,SUM(X12:X70)*0.15)</f>
        <v>0</v>
      </c>
      <c r="U79" s="246"/>
      <c r="V79" s="159"/>
      <c r="W79" s="247" t="s">
        <v>109</v>
      </c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6" customHeight="1" thickBot="1" x14ac:dyDescent="0.3">
      <c r="B80" s="161"/>
      <c r="F80" s="162"/>
      <c r="G80" s="162"/>
      <c r="H80" s="162"/>
      <c r="I80" s="162"/>
      <c r="J80" s="163"/>
      <c r="K80" s="163"/>
      <c r="L80" s="163"/>
      <c r="M80" s="164"/>
      <c r="N80" s="164"/>
      <c r="O80" s="168"/>
      <c r="P80" s="162"/>
      <c r="Q80" s="162"/>
      <c r="R80" s="162"/>
      <c r="S80" s="161"/>
      <c r="T80" s="165"/>
      <c r="U80" s="165"/>
      <c r="V80" s="159"/>
      <c r="W80" s="248"/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36.75" customHeight="1" thickBot="1" x14ac:dyDescent="0.3">
      <c r="B81" s="166" t="s">
        <v>110</v>
      </c>
      <c r="C81" s="156"/>
      <c r="D81" s="156"/>
      <c r="E81" s="156"/>
      <c r="F81" s="240"/>
      <c r="G81" s="240"/>
      <c r="H81" s="240"/>
      <c r="I81" s="241"/>
      <c r="J81" s="163"/>
      <c r="K81" s="163"/>
      <c r="L81" s="163"/>
      <c r="M81" s="250">
        <f>IF(U6&gt;0,"",T4+30)</f>
        <v>46233</v>
      </c>
      <c r="N81" s="251"/>
      <c r="O81" s="167" t="s">
        <v>111</v>
      </c>
      <c r="P81" s="243"/>
      <c r="Q81" s="244"/>
      <c r="R81" s="151"/>
      <c r="S81" s="158" t="s">
        <v>112</v>
      </c>
      <c r="T81" s="245">
        <f>T79+T75+T77</f>
        <v>0</v>
      </c>
      <c r="U81" s="246"/>
      <c r="V81" s="159"/>
      <c r="W81" s="249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6" customHeight="1" thickBot="1" x14ac:dyDescent="0.3">
      <c r="B82" s="169"/>
      <c r="C82" s="169"/>
      <c r="D82" s="169"/>
      <c r="E82" s="169"/>
      <c r="F82" s="169"/>
      <c r="G82" s="169"/>
      <c r="H82" s="169"/>
      <c r="I82" s="169"/>
      <c r="J82" s="169"/>
      <c r="K82" s="169"/>
      <c r="L82" s="169"/>
      <c r="M82" s="169"/>
      <c r="N82" s="169"/>
      <c r="O82" s="169"/>
      <c r="P82" s="169"/>
      <c r="Q82" s="169"/>
      <c r="R82" s="169"/>
      <c r="S82" s="169"/>
      <c r="T82" s="169"/>
      <c r="U82" s="169"/>
      <c r="V82" s="159"/>
      <c r="W82" s="16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ht="15" customHeight="1" x14ac:dyDescent="0.25">
      <c r="B83" s="217" t="s">
        <v>113</v>
      </c>
      <c r="C83" s="218"/>
      <c r="D83" s="218"/>
      <c r="E83" s="218"/>
      <c r="F83" s="218"/>
      <c r="G83" s="218"/>
      <c r="H83" s="219"/>
      <c r="I83" s="226" t="s">
        <v>114</v>
      </c>
      <c r="J83" s="170"/>
      <c r="K83" s="170"/>
      <c r="L83" s="170"/>
      <c r="M83" s="228"/>
      <c r="N83" s="231" t="s">
        <v>115</v>
      </c>
      <c r="O83" s="234"/>
      <c r="P83" s="228"/>
      <c r="Q83" s="211" t="s">
        <v>116</v>
      </c>
      <c r="R83" s="237"/>
      <c r="S83" s="208"/>
      <c r="T83" s="211" t="s">
        <v>117</v>
      </c>
      <c r="U83" s="214"/>
    </row>
    <row r="84" spans="2:35" ht="15" customHeight="1" x14ac:dyDescent="0.25">
      <c r="B84" s="220"/>
      <c r="C84" s="221"/>
      <c r="D84" s="221"/>
      <c r="E84" s="221"/>
      <c r="F84" s="221"/>
      <c r="G84" s="221"/>
      <c r="H84" s="222"/>
      <c r="I84" s="205"/>
      <c r="J84" s="2"/>
      <c r="K84" s="2"/>
      <c r="L84" s="2"/>
      <c r="M84" s="229"/>
      <c r="N84" s="232"/>
      <c r="O84" s="235"/>
      <c r="P84" s="229"/>
      <c r="Q84" s="212"/>
      <c r="R84" s="238"/>
      <c r="S84" s="209"/>
      <c r="T84" s="212"/>
      <c r="U84" s="215"/>
    </row>
    <row r="85" spans="2:35" ht="15.75" customHeight="1" thickBot="1" x14ac:dyDescent="0.3">
      <c r="B85" s="223"/>
      <c r="C85" s="224"/>
      <c r="D85" s="224"/>
      <c r="E85" s="224"/>
      <c r="F85" s="224"/>
      <c r="G85" s="224"/>
      <c r="H85" s="225"/>
      <c r="I85" s="227"/>
      <c r="J85" s="171"/>
      <c r="K85" s="171"/>
      <c r="L85" s="171"/>
      <c r="M85" s="230"/>
      <c r="N85" s="233"/>
      <c r="O85" s="236"/>
      <c r="P85" s="230"/>
      <c r="Q85" s="213"/>
      <c r="R85" s="239"/>
      <c r="S85" s="210"/>
      <c r="T85" s="213"/>
      <c r="U85" s="216"/>
    </row>
    <row r="86" spans="2:35" ht="13.5" thickBot="1" x14ac:dyDescent="0.3"/>
    <row r="87" spans="2:35" s="177" customFormat="1" ht="18" x14ac:dyDescent="0.25">
      <c r="B87" s="172" t="s">
        <v>118</v>
      </c>
      <c r="C87" s="173"/>
      <c r="D87" s="173"/>
      <c r="E87" s="173"/>
      <c r="F87" s="173"/>
      <c r="G87" s="173"/>
      <c r="H87" s="173"/>
      <c r="I87" s="174"/>
      <c r="J87" s="175"/>
      <c r="K87" s="175"/>
      <c r="L87" s="175"/>
      <c r="M87" s="172" t="s">
        <v>119</v>
      </c>
      <c r="N87" s="173"/>
      <c r="O87" s="173"/>
      <c r="P87" s="173"/>
      <c r="Q87" s="174"/>
      <c r="R87" s="172" t="s">
        <v>120</v>
      </c>
      <c r="S87" s="173"/>
      <c r="T87" s="173"/>
      <c r="U87" s="176"/>
    </row>
    <row r="88" spans="2:35" ht="12.75" x14ac:dyDescent="0.25">
      <c r="B88" s="178"/>
      <c r="I88" s="179"/>
      <c r="M88" s="178"/>
      <c r="Q88" s="179"/>
      <c r="R88" s="178"/>
      <c r="U88" s="180"/>
    </row>
    <row r="89" spans="2:35" s="182" customFormat="1" ht="23.25" x14ac:dyDescent="0.25">
      <c r="B89" s="181" t="s">
        <v>121</v>
      </c>
      <c r="I89" s="183"/>
      <c r="J89" s="184"/>
      <c r="K89" s="184"/>
      <c r="L89" s="184"/>
      <c r="M89" s="181" t="s">
        <v>121</v>
      </c>
      <c r="Q89" s="183"/>
      <c r="R89" s="181"/>
      <c r="U89" s="185"/>
    </row>
    <row r="90" spans="2:35" s="182" customFormat="1" ht="23.25" x14ac:dyDescent="0.25">
      <c r="B90" s="199" t="s">
        <v>131</v>
      </c>
      <c r="C90" s="200"/>
      <c r="D90" s="200"/>
      <c r="E90" s="200"/>
      <c r="F90" s="200"/>
      <c r="G90" s="200"/>
      <c r="H90" s="200"/>
      <c r="I90" s="201"/>
      <c r="J90" s="184"/>
      <c r="K90" s="184"/>
      <c r="L90" s="184"/>
      <c r="M90" s="199"/>
      <c r="N90" s="200"/>
      <c r="O90" s="200"/>
      <c r="P90" s="200"/>
      <c r="Q90" s="201"/>
      <c r="R90" s="186"/>
      <c r="S90" s="187"/>
      <c r="T90" s="187"/>
      <c r="U90" s="188"/>
    </row>
    <row r="91" spans="2:35" ht="18" x14ac:dyDescent="0.25">
      <c r="B91" s="202" t="s">
        <v>122</v>
      </c>
      <c r="C91" s="203"/>
      <c r="D91" s="203"/>
      <c r="E91" s="203"/>
      <c r="F91" s="203"/>
      <c r="G91" s="203"/>
      <c r="H91" s="203"/>
      <c r="I91" s="204"/>
      <c r="M91" s="202" t="s">
        <v>122</v>
      </c>
      <c r="N91" s="203"/>
      <c r="O91" s="203"/>
      <c r="P91" s="203"/>
      <c r="Q91" s="204"/>
      <c r="R91" s="205" t="s">
        <v>123</v>
      </c>
      <c r="S91" s="206"/>
      <c r="T91" s="206"/>
      <c r="U91" s="207"/>
    </row>
    <row r="92" spans="2:35" ht="12.75" x14ac:dyDescent="0.25">
      <c r="B92" s="178"/>
      <c r="I92" s="179"/>
      <c r="M92" s="178"/>
      <c r="Q92" s="179"/>
      <c r="R92" s="178"/>
      <c r="U92" s="180"/>
    </row>
    <row r="93" spans="2:35" s="182" customFormat="1" ht="23.25" x14ac:dyDescent="0.25">
      <c r="B93" s="181" t="s">
        <v>124</v>
      </c>
      <c r="I93" s="183"/>
      <c r="J93" s="184"/>
      <c r="K93" s="184"/>
      <c r="L93" s="184"/>
      <c r="M93" s="181"/>
      <c r="Q93" s="183"/>
      <c r="R93" s="181" t="s">
        <v>125</v>
      </c>
      <c r="U93" s="185"/>
    </row>
    <row r="94" spans="2:35" ht="12.75" x14ac:dyDescent="0.25">
      <c r="B94" s="178"/>
      <c r="I94" s="179"/>
      <c r="M94" s="178"/>
      <c r="Q94" s="179"/>
      <c r="R94" s="178"/>
      <c r="U94" s="180"/>
    </row>
    <row r="95" spans="2:35" s="182" customFormat="1" ht="23.25" x14ac:dyDescent="0.25">
      <c r="B95" s="199" t="s">
        <v>132</v>
      </c>
      <c r="C95" s="200"/>
      <c r="D95" s="200"/>
      <c r="E95" s="200"/>
      <c r="F95" s="200"/>
      <c r="G95" s="200"/>
      <c r="H95" s="200"/>
      <c r="I95" s="201"/>
      <c r="J95" s="184"/>
      <c r="K95" s="184"/>
      <c r="L95" s="184"/>
      <c r="M95" s="178"/>
      <c r="N95" s="2"/>
      <c r="O95" s="2"/>
      <c r="P95" s="2"/>
      <c r="Q95" s="179"/>
      <c r="R95" s="186"/>
      <c r="S95" s="187"/>
      <c r="T95" s="187"/>
      <c r="U95" s="188"/>
    </row>
    <row r="96" spans="2:35" ht="18" x14ac:dyDescent="0.25">
      <c r="B96" s="202" t="s">
        <v>126</v>
      </c>
      <c r="C96" s="203"/>
      <c r="D96" s="203"/>
      <c r="E96" s="203"/>
      <c r="F96" s="203"/>
      <c r="G96" s="203"/>
      <c r="H96" s="203"/>
      <c r="I96" s="204"/>
      <c r="M96" s="178"/>
      <c r="Q96" s="179"/>
      <c r="R96" s="205" t="s">
        <v>127</v>
      </c>
      <c r="S96" s="206"/>
      <c r="T96" s="206"/>
      <c r="U96" s="207"/>
    </row>
    <row r="97" spans="2:21" ht="12.75" x14ac:dyDescent="0.25">
      <c r="B97" s="178"/>
      <c r="I97" s="179"/>
      <c r="M97" s="178"/>
      <c r="Q97" s="179"/>
      <c r="R97" s="178"/>
      <c r="U97" s="180"/>
    </row>
    <row r="98" spans="2:21" ht="13.5" thickBot="1" x14ac:dyDescent="0.3">
      <c r="B98" s="189"/>
      <c r="C98" s="171"/>
      <c r="D98" s="171"/>
      <c r="E98" s="171"/>
      <c r="F98" s="171"/>
      <c r="G98" s="171"/>
      <c r="H98" s="171"/>
      <c r="I98" s="190"/>
      <c r="M98" s="189"/>
      <c r="N98" s="171"/>
      <c r="O98" s="171"/>
      <c r="P98" s="171"/>
      <c r="Q98" s="190"/>
      <c r="R98" s="189"/>
      <c r="S98" s="171"/>
      <c r="T98" s="171"/>
      <c r="U98" s="191"/>
    </row>
    <row r="99" spans="2:21" ht="12.75" x14ac:dyDescent="0.25"/>
    <row r="100" spans="2:21" ht="12.75" x14ac:dyDescent="0.25"/>
    <row r="101" spans="2:21" ht="12.75" x14ac:dyDescent="0.25"/>
    <row r="102" spans="2:21" ht="12.75" x14ac:dyDescent="0.25"/>
  </sheetData>
  <mergeCells count="66">
    <mergeCell ref="B95:I95"/>
    <mergeCell ref="B96:I96"/>
    <mergeCell ref="R96:U96"/>
    <mergeCell ref="S83:S85"/>
    <mergeCell ref="T83:T85"/>
    <mergeCell ref="U83:U85"/>
    <mergeCell ref="B90:I90"/>
    <mergeCell ref="M90:Q90"/>
    <mergeCell ref="B91:I91"/>
    <mergeCell ref="M91:Q91"/>
    <mergeCell ref="R91:U91"/>
    <mergeCell ref="B83:H85"/>
    <mergeCell ref="I83:I85"/>
    <mergeCell ref="M83:M85"/>
    <mergeCell ref="N83:N85"/>
    <mergeCell ref="O83:P85"/>
    <mergeCell ref="Q83:R85"/>
    <mergeCell ref="F79:I79"/>
    <mergeCell ref="M79:N79"/>
    <mergeCell ref="P79:Q79"/>
    <mergeCell ref="T79:U79"/>
    <mergeCell ref="W79:W81"/>
    <mergeCell ref="F81:I81"/>
    <mergeCell ref="M81:N81"/>
    <mergeCell ref="P81:Q81"/>
    <mergeCell ref="T81:U81"/>
    <mergeCell ref="F77:I77"/>
    <mergeCell ref="M77:N77"/>
    <mergeCell ref="O77:Q77"/>
    <mergeCell ref="T77:U77"/>
    <mergeCell ref="AE9:AE11"/>
    <mergeCell ref="S10:U10"/>
    <mergeCell ref="B73:G73"/>
    <mergeCell ref="F75:I75"/>
    <mergeCell ref="M75:N75"/>
    <mergeCell ref="O75:Q75"/>
    <mergeCell ref="T75:U75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2736D-9DAB-4E75-8A69-2C210057A7AA}">
  <sheetPr>
    <tabColor rgb="FF00B050"/>
    <pageSetUpPr fitToPage="1"/>
  </sheetPr>
  <dimension ref="A1:AJ103"/>
  <sheetViews>
    <sheetView showGridLines="0" topLeftCell="A69" zoomScale="85" zoomScaleNormal="85" workbookViewId="0">
      <pane xSplit="2" topLeftCell="C1" activePane="topRight" state="frozen"/>
      <selection activeCell="F60" sqref="F60"/>
      <selection pane="topRight" activeCell="F60" sqref="F60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hidden="1" customWidth="1"/>
    <col min="6" max="6" width="17.7109375" style="2" bestFit="1" customWidth="1"/>
    <col min="7" max="7" width="24.85546875" style="2" hidden="1" customWidth="1"/>
    <col min="8" max="8" width="22.5703125" style="2" bestFit="1" customWidth="1"/>
    <col min="9" max="9" width="21.85546875" style="3" customWidth="1"/>
    <col min="10" max="10" width="15.42578125" style="3" bestFit="1" customWidth="1"/>
    <col min="11" max="11" width="15.7109375" style="3" bestFit="1" customWidth="1"/>
    <col min="12" max="12" width="8" style="3" bestFit="1" customWidth="1"/>
    <col min="13" max="13" width="23.140625" style="2" bestFit="1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89" t="s">
        <v>130</v>
      </c>
      <c r="G2" s="289"/>
      <c r="H2" s="289"/>
      <c r="I2" s="289"/>
      <c r="J2" s="289"/>
      <c r="K2" s="289"/>
      <c r="L2" s="289"/>
      <c r="M2" s="289"/>
      <c r="N2" s="289"/>
      <c r="O2" s="289"/>
      <c r="P2" s="289"/>
      <c r="Q2" s="289"/>
      <c r="R2" s="289"/>
      <c r="S2" s="289"/>
      <c r="T2" s="6" t="s">
        <v>1</v>
      </c>
      <c r="U2" s="195" t="s">
        <v>134</v>
      </c>
      <c r="W2" s="247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48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90"/>
      <c r="G4" s="290"/>
      <c r="H4" s="290"/>
      <c r="I4" s="290"/>
      <c r="J4" s="290"/>
      <c r="K4" s="290"/>
      <c r="L4" s="290"/>
      <c r="M4" s="290"/>
      <c r="S4" s="2" t="s">
        <v>4</v>
      </c>
      <c r="T4" s="291">
        <v>46203</v>
      </c>
      <c r="U4" s="291"/>
      <c r="W4" s="249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7"/>
      <c r="C5" s="7"/>
      <c r="D5" s="7"/>
      <c r="E5" s="7"/>
      <c r="F5" s="7"/>
      <c r="G5" s="7"/>
      <c r="H5" s="7"/>
      <c r="I5" s="8"/>
      <c r="J5" s="8"/>
      <c r="K5" s="8"/>
      <c r="L5" s="8"/>
      <c r="M5" s="7"/>
      <c r="N5" s="7"/>
      <c r="O5" s="7"/>
      <c r="P5" s="7"/>
      <c r="Q5" s="8"/>
      <c r="S5" s="7"/>
      <c r="T5" s="7"/>
      <c r="U5" s="7"/>
      <c r="W5" s="9"/>
      <c r="AB5" s="4"/>
      <c r="AD5" s="4">
        <v>0.31</v>
      </c>
    </row>
    <row r="6" spans="2:35" ht="22.5" customHeight="1" x14ac:dyDescent="0.25">
      <c r="B6" s="2" t="s">
        <v>5</v>
      </c>
      <c r="F6" s="292"/>
      <c r="G6" s="292"/>
      <c r="H6" s="292"/>
      <c r="I6" s="292"/>
      <c r="J6" s="292"/>
      <c r="K6" s="292"/>
      <c r="L6" s="292"/>
      <c r="M6" s="292"/>
      <c r="S6" s="10" t="s">
        <v>6</v>
      </c>
      <c r="T6" s="194" t="s">
        <v>7</v>
      </c>
      <c r="U6" s="11"/>
      <c r="W6" s="247" t="s">
        <v>8</v>
      </c>
      <c r="AB6" s="4">
        <v>1.85</v>
      </c>
      <c r="AD6" s="4">
        <v>0.31</v>
      </c>
      <c r="AE6" s="10" t="s">
        <v>9</v>
      </c>
    </row>
    <row r="7" spans="2:35" ht="22.5" customHeight="1" thickBot="1" x14ac:dyDescent="0.3">
      <c r="B7" s="2" t="s">
        <v>10</v>
      </c>
      <c r="C7" s="12"/>
      <c r="D7" s="12"/>
      <c r="E7" s="12"/>
      <c r="F7" s="292"/>
      <c r="G7" s="292"/>
      <c r="H7" s="292"/>
      <c r="I7" s="292"/>
      <c r="J7" s="292"/>
      <c r="K7" s="292"/>
      <c r="L7" s="292"/>
      <c r="M7" s="292"/>
      <c r="N7" s="13"/>
      <c r="O7" s="13"/>
      <c r="P7" s="13"/>
      <c r="Q7" s="14"/>
      <c r="S7" s="13"/>
      <c r="T7" s="194" t="s">
        <v>11</v>
      </c>
      <c r="U7" s="11"/>
      <c r="W7" s="249"/>
      <c r="AB7" s="4">
        <v>3.46</v>
      </c>
      <c r="AD7" s="2">
        <v>0.31</v>
      </c>
      <c r="AE7" s="10" t="s">
        <v>12</v>
      </c>
    </row>
    <row r="8" spans="2:35" ht="12.75" customHeight="1" thickBot="1" x14ac:dyDescent="0.3">
      <c r="B8" s="7"/>
      <c r="C8" s="7"/>
      <c r="D8" s="7"/>
      <c r="E8" s="7"/>
      <c r="F8" s="7"/>
      <c r="G8" s="7"/>
      <c r="H8" s="7"/>
      <c r="I8" s="8"/>
      <c r="J8" s="8"/>
      <c r="K8" s="8"/>
      <c r="L8" s="8"/>
      <c r="M8" s="7"/>
      <c r="N8" s="7"/>
      <c r="O8" s="7"/>
      <c r="P8" s="7"/>
      <c r="Q8" s="8"/>
      <c r="S8" s="7"/>
      <c r="T8" s="7"/>
      <c r="U8" s="7"/>
      <c r="AB8" s="2">
        <v>2.67</v>
      </c>
      <c r="AD8" s="2">
        <v>0.31</v>
      </c>
      <c r="AE8" s="10" t="s">
        <v>13</v>
      </c>
    </row>
    <row r="9" spans="2:35" s="15" customFormat="1" ht="20.25" x14ac:dyDescent="0.25">
      <c r="B9" s="261" t="s">
        <v>14</v>
      </c>
      <c r="C9" s="264" t="s">
        <v>15</v>
      </c>
      <c r="D9" s="264" t="s">
        <v>16</v>
      </c>
      <c r="E9" s="264" t="s">
        <v>17</v>
      </c>
      <c r="F9" s="267" t="s">
        <v>18</v>
      </c>
      <c r="G9" s="268"/>
      <c r="H9" s="268"/>
      <c r="I9" s="268"/>
      <c r="J9" s="268"/>
      <c r="K9" s="268"/>
      <c r="L9" s="268"/>
      <c r="M9" s="268"/>
      <c r="N9" s="268"/>
      <c r="O9" s="268"/>
      <c r="P9" s="268"/>
      <c r="Q9" s="269"/>
      <c r="S9" s="267" t="s">
        <v>19</v>
      </c>
      <c r="T9" s="268"/>
      <c r="U9" s="269"/>
      <c r="X9" s="274" t="s">
        <v>20</v>
      </c>
      <c r="Y9" s="277" t="s">
        <v>21</v>
      </c>
      <c r="Z9" s="277" t="s">
        <v>128</v>
      </c>
      <c r="AA9" s="16"/>
      <c r="AB9" s="254" t="s">
        <v>22</v>
      </c>
      <c r="AC9" s="280" t="s">
        <v>23</v>
      </c>
      <c r="AD9" s="283" t="s">
        <v>24</v>
      </c>
      <c r="AE9" s="254" t="s">
        <v>25</v>
      </c>
      <c r="AG9" s="254" t="s">
        <v>26</v>
      </c>
      <c r="AH9" s="16"/>
      <c r="AI9" s="254" t="s">
        <v>27</v>
      </c>
    </row>
    <row r="10" spans="2:35" s="15" customFormat="1" ht="20.25" customHeight="1" x14ac:dyDescent="0.25">
      <c r="B10" s="262"/>
      <c r="C10" s="265"/>
      <c r="D10" s="265"/>
      <c r="E10" s="265"/>
      <c r="F10" s="271" t="s">
        <v>28</v>
      </c>
      <c r="G10" s="271" t="s">
        <v>29</v>
      </c>
      <c r="H10" s="271" t="s">
        <v>30</v>
      </c>
      <c r="I10" s="272" t="s">
        <v>31</v>
      </c>
      <c r="J10" s="272" t="s">
        <v>32</v>
      </c>
      <c r="K10" s="272" t="s">
        <v>33</v>
      </c>
      <c r="L10" s="272" t="s">
        <v>34</v>
      </c>
      <c r="M10" s="286" t="s">
        <v>35</v>
      </c>
      <c r="N10" s="287"/>
      <c r="O10" s="287"/>
      <c r="P10" s="287"/>
      <c r="Q10" s="288"/>
      <c r="S10" s="257" t="s">
        <v>36</v>
      </c>
      <c r="T10" s="258"/>
      <c r="U10" s="259"/>
      <c r="X10" s="275"/>
      <c r="Y10" s="278"/>
      <c r="Z10" s="278"/>
      <c r="AA10" s="16"/>
      <c r="AB10" s="255"/>
      <c r="AC10" s="281"/>
      <c r="AD10" s="284"/>
      <c r="AE10" s="255"/>
      <c r="AG10" s="255"/>
      <c r="AH10" s="16"/>
      <c r="AI10" s="255"/>
    </row>
    <row r="11" spans="2:35" s="20" customFormat="1" ht="12.75" customHeight="1" thickBot="1" x14ac:dyDescent="0.3">
      <c r="B11" s="263"/>
      <c r="C11" s="266"/>
      <c r="D11" s="266"/>
      <c r="E11" s="266"/>
      <c r="F11" s="266"/>
      <c r="G11" s="266"/>
      <c r="H11" s="266"/>
      <c r="I11" s="273"/>
      <c r="J11" s="273"/>
      <c r="K11" s="273"/>
      <c r="L11" s="273"/>
      <c r="M11" s="17" t="s">
        <v>37</v>
      </c>
      <c r="N11" s="17" t="s">
        <v>38</v>
      </c>
      <c r="O11" s="17" t="s">
        <v>39</v>
      </c>
      <c r="P11" s="18" t="s">
        <v>40</v>
      </c>
      <c r="Q11" s="19" t="s">
        <v>41</v>
      </c>
      <c r="S11" s="17" t="s">
        <v>37</v>
      </c>
      <c r="T11" s="17" t="s">
        <v>38</v>
      </c>
      <c r="U11" s="21" t="s">
        <v>39</v>
      </c>
      <c r="X11" s="276"/>
      <c r="Y11" s="279"/>
      <c r="Z11" s="279"/>
      <c r="AA11" s="16"/>
      <c r="AB11" s="256"/>
      <c r="AC11" s="282"/>
      <c r="AD11" s="285"/>
      <c r="AE11" s="256"/>
      <c r="AG11" s="270"/>
      <c r="AH11" s="16"/>
      <c r="AI11" s="256"/>
    </row>
    <row r="12" spans="2:35" s="20" customFormat="1" ht="32.1" customHeight="1" thickBot="1" x14ac:dyDescent="0.3">
      <c r="B12" s="22" t="s">
        <v>42</v>
      </c>
      <c r="C12" s="23">
        <v>912</v>
      </c>
      <c r="D12" s="23">
        <v>120</v>
      </c>
      <c r="E12" s="23">
        <f>C12+D12</f>
        <v>1032</v>
      </c>
      <c r="F12" s="24">
        <v>144</v>
      </c>
      <c r="G12" s="25">
        <v>72</v>
      </c>
      <c r="H12" s="26" t="str">
        <f>IF(F12="","",(ROUND((F12/G12),1)&amp;" pallets"))</f>
        <v>2 pallets</v>
      </c>
      <c r="I12" s="27">
        <f>E12*F12</f>
        <v>148608</v>
      </c>
      <c r="J12" s="28">
        <v>120</v>
      </c>
      <c r="K12" s="28">
        <v>84</v>
      </c>
      <c r="L12" s="28">
        <v>1.5</v>
      </c>
      <c r="M12" s="29"/>
      <c r="N12" s="29"/>
      <c r="O12" s="29"/>
      <c r="P12" s="30" t="str">
        <f>IF(M12&amp;N12="","",ROUND(((M12+N12)/G12),1)&amp;" pallets")</f>
        <v/>
      </c>
      <c r="Q12" s="31">
        <f>(J12*M12)+(K12*N12)+(O12*L12)</f>
        <v>0</v>
      </c>
      <c r="S12" s="32"/>
      <c r="T12" s="32"/>
      <c r="U12" s="33"/>
      <c r="X12" s="34">
        <f>F12*C12</f>
        <v>131328</v>
      </c>
      <c r="Y12" s="35">
        <f t="shared" ref="Y12:Y71" si="0">F12*AI12</f>
        <v>4517.28</v>
      </c>
      <c r="Z12" s="35" t="str">
        <f>IF($U$6="x",(F12*3.5),"")</f>
        <v/>
      </c>
      <c r="AA12" s="36"/>
      <c r="AB12" s="37">
        <f>AB$1</f>
        <v>5.0599999999999996</v>
      </c>
      <c r="AC12" s="38">
        <f>AC$1</f>
        <v>0</v>
      </c>
      <c r="AD12" s="38">
        <f>AD$1</f>
        <v>0.31</v>
      </c>
      <c r="AE12" s="39">
        <f>AB12+AC12+AD12</f>
        <v>5.3699999999999992</v>
      </c>
      <c r="AF12" s="40"/>
      <c r="AG12" s="41">
        <v>26</v>
      </c>
      <c r="AH12" s="36"/>
      <c r="AI12" s="42">
        <f t="shared" ref="AI12:AI71" si="1">AG12+AE12</f>
        <v>31.369999999999997</v>
      </c>
    </row>
    <row r="13" spans="2:35" s="20" customFormat="1" ht="32.1" customHeight="1" thickBot="1" x14ac:dyDescent="0.3">
      <c r="B13" s="43" t="s">
        <v>43</v>
      </c>
      <c r="C13" s="44">
        <v>622</v>
      </c>
      <c r="D13" s="44">
        <v>111</v>
      </c>
      <c r="E13" s="44">
        <f t="shared" ref="E13:E71" si="2">C13+D13</f>
        <v>733</v>
      </c>
      <c r="F13" s="45">
        <v>108</v>
      </c>
      <c r="G13" s="46">
        <v>108</v>
      </c>
      <c r="H13" s="47" t="str">
        <f t="shared" ref="H13" si="3">IF(F13="","",(ROUND((F13/G13),1)&amp;" pallets"))</f>
        <v>1 pallets</v>
      </c>
      <c r="I13" s="48">
        <f t="shared" ref="I13:I73" si="4">E13*F13</f>
        <v>79164</v>
      </c>
      <c r="J13" s="49">
        <v>111</v>
      </c>
      <c r="K13" s="49">
        <v>84</v>
      </c>
      <c r="L13" s="49">
        <v>4.5</v>
      </c>
      <c r="M13" s="50"/>
      <c r="N13" s="50"/>
      <c r="O13" s="50"/>
      <c r="P13" s="51" t="str">
        <f t="shared" ref="P13:P71" si="5">IF(M13&amp;N13="","",ROUND(((M13+N13)/G13),1)&amp;" pallets")</f>
        <v/>
      </c>
      <c r="Q13" s="52">
        <f t="shared" ref="Q13:Q73" si="6">(J13*M13)+(K13*N13)+(O13*L13)</f>
        <v>0</v>
      </c>
      <c r="S13" s="53"/>
      <c r="T13" s="53"/>
      <c r="U13" s="54"/>
      <c r="X13" s="55">
        <f t="shared" ref="X13:X71" si="7">F13*C13</f>
        <v>67176</v>
      </c>
      <c r="Y13" s="56">
        <f>F13*AI13</f>
        <v>3201.12</v>
      </c>
      <c r="Z13" s="35" t="str">
        <f t="shared" ref="Z13:Z59" si="8">IF($U$6="x",(F13*3.5),"")</f>
        <v/>
      </c>
      <c r="AA13" s="36"/>
      <c r="AB13" s="57">
        <f>AB$4</f>
        <v>3.33</v>
      </c>
      <c r="AC13" s="58">
        <f>AC$4</f>
        <v>0</v>
      </c>
      <c r="AD13" s="58">
        <f>AD$4</f>
        <v>0.31</v>
      </c>
      <c r="AE13" s="59">
        <f t="shared" ref="AE13:AE71" si="9">AB13+AC13+AD13</f>
        <v>3.64</v>
      </c>
      <c r="AF13" s="60"/>
      <c r="AG13" s="41">
        <v>26</v>
      </c>
      <c r="AH13" s="36"/>
      <c r="AI13" s="62">
        <f t="shared" si="1"/>
        <v>29.64</v>
      </c>
    </row>
    <row r="14" spans="2:35" s="20" customFormat="1" ht="32.1" customHeight="1" thickBot="1" x14ac:dyDescent="0.3">
      <c r="B14" s="43" t="s">
        <v>44</v>
      </c>
      <c r="C14" s="44">
        <v>973</v>
      </c>
      <c r="D14" s="44">
        <v>120</v>
      </c>
      <c r="E14" s="44">
        <f t="shared" si="2"/>
        <v>1093</v>
      </c>
      <c r="F14" s="45">
        <v>64</v>
      </c>
      <c r="G14" s="46">
        <v>63</v>
      </c>
      <c r="H14" s="63" t="str">
        <f>IF(F14="","",(ROUND((F14/G14),1)&amp;" pallets"))</f>
        <v>1 pallets</v>
      </c>
      <c r="I14" s="48">
        <f t="shared" si="4"/>
        <v>69952</v>
      </c>
      <c r="J14" s="49">
        <v>120</v>
      </c>
      <c r="K14" s="49">
        <v>84</v>
      </c>
      <c r="L14" s="49">
        <v>1.5</v>
      </c>
      <c r="M14" s="50"/>
      <c r="N14" s="50"/>
      <c r="O14" s="50"/>
      <c r="P14" s="51" t="str">
        <f t="shared" si="5"/>
        <v/>
      </c>
      <c r="Q14" s="52">
        <f t="shared" si="6"/>
        <v>0</v>
      </c>
      <c r="S14" s="53"/>
      <c r="T14" s="53"/>
      <c r="U14" s="54"/>
      <c r="X14" s="55">
        <f t="shared" si="7"/>
        <v>62272</v>
      </c>
      <c r="Y14" s="56">
        <f t="shared" si="0"/>
        <v>2052.48</v>
      </c>
      <c r="Z14" s="35" t="str">
        <f t="shared" si="8"/>
        <v/>
      </c>
      <c r="AA14" s="36"/>
      <c r="AB14" s="57">
        <f>AB$2</f>
        <v>5.76</v>
      </c>
      <c r="AC14" s="58">
        <f>AC$2</f>
        <v>0</v>
      </c>
      <c r="AD14" s="58">
        <f>AD$2</f>
        <v>0.31</v>
      </c>
      <c r="AE14" s="59">
        <f t="shared" si="9"/>
        <v>6.0699999999999994</v>
      </c>
      <c r="AF14" s="60"/>
      <c r="AG14" s="41">
        <v>26</v>
      </c>
      <c r="AH14" s="36"/>
      <c r="AI14" s="62">
        <f t="shared" si="1"/>
        <v>32.07</v>
      </c>
    </row>
    <row r="15" spans="2:35" s="20" customFormat="1" ht="32.1" customHeight="1" thickBot="1" x14ac:dyDescent="0.3">
      <c r="B15" s="43" t="s">
        <v>45</v>
      </c>
      <c r="C15" s="44">
        <v>670</v>
      </c>
      <c r="D15" s="44">
        <v>111</v>
      </c>
      <c r="E15" s="44">
        <f t="shared" si="2"/>
        <v>781</v>
      </c>
      <c r="F15" s="45">
        <v>0</v>
      </c>
      <c r="G15" s="46">
        <v>96</v>
      </c>
      <c r="H15" s="63"/>
      <c r="I15" s="48">
        <f t="shared" si="4"/>
        <v>0</v>
      </c>
      <c r="J15" s="49">
        <v>111</v>
      </c>
      <c r="K15" s="49">
        <v>84</v>
      </c>
      <c r="L15" s="49">
        <v>2.25</v>
      </c>
      <c r="M15" s="50"/>
      <c r="N15" s="50"/>
      <c r="O15" s="50"/>
      <c r="P15" s="51" t="str">
        <f t="shared" si="5"/>
        <v/>
      </c>
      <c r="Q15" s="52">
        <f t="shared" si="6"/>
        <v>0</v>
      </c>
      <c r="S15" s="53"/>
      <c r="T15" s="53"/>
      <c r="U15" s="54"/>
      <c r="X15" s="55">
        <f t="shared" si="7"/>
        <v>0</v>
      </c>
      <c r="Y15" s="56">
        <f>F15*AI15</f>
        <v>0</v>
      </c>
      <c r="Z15" s="35" t="str">
        <f t="shared" si="8"/>
        <v/>
      </c>
      <c r="AA15" s="36"/>
      <c r="AB15" s="57">
        <f>AB$3</f>
        <v>3.79</v>
      </c>
      <c r="AC15" s="58">
        <f>AC$3</f>
        <v>0</v>
      </c>
      <c r="AD15" s="58">
        <f>AD$3</f>
        <v>0.31</v>
      </c>
      <c r="AE15" s="59">
        <f t="shared" si="9"/>
        <v>4.0999999999999996</v>
      </c>
      <c r="AF15" s="60"/>
      <c r="AG15" s="41">
        <v>26</v>
      </c>
      <c r="AH15" s="36"/>
      <c r="AI15" s="62">
        <f t="shared" si="1"/>
        <v>30.1</v>
      </c>
    </row>
    <row r="16" spans="2:35" s="20" customFormat="1" ht="32.1" customHeight="1" thickBot="1" x14ac:dyDescent="0.3">
      <c r="B16" s="43" t="s">
        <v>46</v>
      </c>
      <c r="C16" s="44">
        <v>650</v>
      </c>
      <c r="D16" s="44">
        <v>111</v>
      </c>
      <c r="E16" s="44">
        <f t="shared" si="2"/>
        <v>761</v>
      </c>
      <c r="F16" s="45">
        <v>0</v>
      </c>
      <c r="G16" s="46">
        <v>108</v>
      </c>
      <c r="H16" s="63"/>
      <c r="I16" s="48">
        <f t="shared" si="4"/>
        <v>0</v>
      </c>
      <c r="J16" s="49">
        <v>111</v>
      </c>
      <c r="K16" s="64"/>
      <c r="L16" s="49">
        <v>4.5</v>
      </c>
      <c r="M16" s="50"/>
      <c r="N16" s="192"/>
      <c r="O16" s="50"/>
      <c r="P16" s="51" t="str">
        <f t="shared" si="5"/>
        <v/>
      </c>
      <c r="Q16" s="52">
        <f t="shared" si="6"/>
        <v>0</v>
      </c>
      <c r="S16" s="53"/>
      <c r="T16" s="66"/>
      <c r="U16" s="54"/>
      <c r="X16" s="55">
        <f t="shared" si="7"/>
        <v>0</v>
      </c>
      <c r="Y16" s="56">
        <f>F16*AI16</f>
        <v>0</v>
      </c>
      <c r="Z16" s="35" t="str">
        <f t="shared" si="8"/>
        <v/>
      </c>
      <c r="AA16" s="36"/>
      <c r="AB16" s="57">
        <f t="shared" ref="AB16:AD18" si="10">AB$4</f>
        <v>3.33</v>
      </c>
      <c r="AC16" s="58">
        <f t="shared" si="10"/>
        <v>0</v>
      </c>
      <c r="AD16" s="58">
        <f t="shared" si="10"/>
        <v>0.31</v>
      </c>
      <c r="AE16" s="59">
        <f t="shared" si="9"/>
        <v>3.64</v>
      </c>
      <c r="AF16" s="60"/>
      <c r="AG16" s="41">
        <v>26</v>
      </c>
      <c r="AH16" s="36"/>
      <c r="AI16" s="62">
        <f t="shared" si="1"/>
        <v>29.64</v>
      </c>
    </row>
    <row r="17" spans="2:35" s="20" customFormat="1" ht="32.1" customHeight="1" thickBot="1" x14ac:dyDescent="0.3">
      <c r="B17" s="43" t="s">
        <v>47</v>
      </c>
      <c r="C17" s="44">
        <v>700</v>
      </c>
      <c r="D17" s="44">
        <v>111</v>
      </c>
      <c r="E17" s="44">
        <f t="shared" si="2"/>
        <v>811</v>
      </c>
      <c r="F17" s="45"/>
      <c r="G17" s="46">
        <v>108</v>
      </c>
      <c r="H17" s="63" t="str">
        <f t="shared" ref="H17:H71" si="11">IF(F17="","",(ROUND((F17/G17),1)&amp;" pallets"))</f>
        <v/>
      </c>
      <c r="I17" s="48">
        <f t="shared" si="4"/>
        <v>0</v>
      </c>
      <c r="J17" s="49">
        <v>111</v>
      </c>
      <c r="K17" s="64"/>
      <c r="L17" s="49">
        <v>4.5</v>
      </c>
      <c r="M17" s="50"/>
      <c r="N17" s="192"/>
      <c r="O17" s="50"/>
      <c r="P17" s="51" t="str">
        <f t="shared" si="5"/>
        <v/>
      </c>
      <c r="Q17" s="52">
        <f t="shared" si="6"/>
        <v>0</v>
      </c>
      <c r="S17" s="53"/>
      <c r="T17" s="66"/>
      <c r="U17" s="54"/>
      <c r="X17" s="55">
        <f t="shared" si="7"/>
        <v>0</v>
      </c>
      <c r="Y17" s="56">
        <f t="shared" si="0"/>
        <v>0</v>
      </c>
      <c r="Z17" s="35" t="str">
        <f t="shared" si="8"/>
        <v/>
      </c>
      <c r="AA17" s="36"/>
      <c r="AB17" s="57">
        <f t="shared" si="10"/>
        <v>3.33</v>
      </c>
      <c r="AC17" s="58">
        <f t="shared" si="10"/>
        <v>0</v>
      </c>
      <c r="AD17" s="58">
        <f t="shared" si="10"/>
        <v>0.31</v>
      </c>
      <c r="AE17" s="59">
        <f t="shared" si="9"/>
        <v>3.64</v>
      </c>
      <c r="AF17" s="60"/>
      <c r="AG17" s="41">
        <v>26</v>
      </c>
      <c r="AH17" s="36"/>
      <c r="AI17" s="62">
        <f t="shared" si="1"/>
        <v>29.64</v>
      </c>
    </row>
    <row r="18" spans="2:35" s="20" customFormat="1" ht="32.1" customHeight="1" thickBot="1" x14ac:dyDescent="0.3">
      <c r="B18" s="43" t="s">
        <v>48</v>
      </c>
      <c r="C18" s="44">
        <v>559</v>
      </c>
      <c r="D18" s="44">
        <v>111</v>
      </c>
      <c r="E18" s="44">
        <f t="shared" si="2"/>
        <v>670</v>
      </c>
      <c r="F18" s="45"/>
      <c r="G18" s="46">
        <v>108</v>
      </c>
      <c r="H18" s="63" t="str">
        <f t="shared" si="11"/>
        <v/>
      </c>
      <c r="I18" s="48">
        <f t="shared" si="4"/>
        <v>0</v>
      </c>
      <c r="J18" s="49">
        <v>111</v>
      </c>
      <c r="K18" s="64"/>
      <c r="L18" s="49">
        <v>4.5</v>
      </c>
      <c r="M18" s="50"/>
      <c r="N18" s="192"/>
      <c r="O18" s="50"/>
      <c r="P18" s="51" t="str">
        <f t="shared" si="5"/>
        <v/>
      </c>
      <c r="Q18" s="52">
        <f t="shared" si="6"/>
        <v>0</v>
      </c>
      <c r="S18" s="53"/>
      <c r="T18" s="66"/>
      <c r="U18" s="54"/>
      <c r="X18" s="55">
        <f t="shared" si="7"/>
        <v>0</v>
      </c>
      <c r="Y18" s="56">
        <f t="shared" si="0"/>
        <v>0</v>
      </c>
      <c r="Z18" s="35" t="str">
        <f t="shared" si="8"/>
        <v/>
      </c>
      <c r="AA18" s="36"/>
      <c r="AB18" s="57">
        <f t="shared" si="10"/>
        <v>3.33</v>
      </c>
      <c r="AC18" s="58">
        <f t="shared" si="10"/>
        <v>0</v>
      </c>
      <c r="AD18" s="58">
        <f t="shared" si="10"/>
        <v>0.31</v>
      </c>
      <c r="AE18" s="59">
        <f t="shared" si="9"/>
        <v>3.64</v>
      </c>
      <c r="AF18" s="60"/>
      <c r="AG18" s="41">
        <v>26</v>
      </c>
      <c r="AH18" s="36"/>
      <c r="AI18" s="62">
        <f t="shared" si="1"/>
        <v>29.64</v>
      </c>
    </row>
    <row r="19" spans="2:35" s="20" customFormat="1" ht="32.1" customHeight="1" thickBot="1" x14ac:dyDescent="0.3">
      <c r="B19" s="67" t="s">
        <v>49</v>
      </c>
      <c r="C19" s="68">
        <v>1050</v>
      </c>
      <c r="D19" s="68">
        <v>120</v>
      </c>
      <c r="E19" s="68">
        <f t="shared" si="2"/>
        <v>1170</v>
      </c>
      <c r="F19" s="69">
        <v>64</v>
      </c>
      <c r="G19" s="70">
        <v>63</v>
      </c>
      <c r="H19" s="71" t="str">
        <f t="shared" si="11"/>
        <v>1 pallets</v>
      </c>
      <c r="I19" s="72">
        <f t="shared" si="4"/>
        <v>74880</v>
      </c>
      <c r="J19" s="73">
        <v>120</v>
      </c>
      <c r="K19" s="74"/>
      <c r="L19" s="73">
        <v>1.5</v>
      </c>
      <c r="M19" s="75"/>
      <c r="N19" s="193"/>
      <c r="O19" s="75"/>
      <c r="P19" s="51" t="str">
        <f t="shared" si="5"/>
        <v/>
      </c>
      <c r="Q19" s="52">
        <f t="shared" si="6"/>
        <v>0</v>
      </c>
      <c r="S19" s="79"/>
      <c r="T19" s="80"/>
      <c r="U19" s="81"/>
      <c r="X19" s="55">
        <f>F19*C19</f>
        <v>67200</v>
      </c>
      <c r="Y19" s="56">
        <f>F19*AI19</f>
        <v>2052.48</v>
      </c>
      <c r="Z19" s="35" t="str">
        <f t="shared" si="8"/>
        <v/>
      </c>
      <c r="AA19" s="36"/>
      <c r="AB19" s="57">
        <f t="shared" ref="AB19:AD29" si="12">AB$2</f>
        <v>5.76</v>
      </c>
      <c r="AC19" s="58">
        <f t="shared" si="12"/>
        <v>0</v>
      </c>
      <c r="AD19" s="58">
        <f t="shared" si="12"/>
        <v>0.31</v>
      </c>
      <c r="AE19" s="59">
        <f t="shared" si="9"/>
        <v>6.0699999999999994</v>
      </c>
      <c r="AF19" s="60"/>
      <c r="AG19" s="41">
        <v>26</v>
      </c>
      <c r="AH19" s="36"/>
      <c r="AI19" s="82">
        <f t="shared" si="1"/>
        <v>32.07</v>
      </c>
    </row>
    <row r="20" spans="2:35" s="20" customFormat="1" ht="32.1" customHeight="1" thickBot="1" x14ac:dyDescent="0.3">
      <c r="B20" s="43" t="s">
        <v>50</v>
      </c>
      <c r="C20" s="44">
        <v>872</v>
      </c>
      <c r="D20" s="44">
        <v>120</v>
      </c>
      <c r="E20" s="44">
        <f t="shared" si="2"/>
        <v>992</v>
      </c>
      <c r="F20" s="45"/>
      <c r="G20" s="46">
        <v>63</v>
      </c>
      <c r="H20" s="63" t="str">
        <f t="shared" si="11"/>
        <v/>
      </c>
      <c r="I20" s="48">
        <f t="shared" si="4"/>
        <v>0</v>
      </c>
      <c r="J20" s="49">
        <v>120</v>
      </c>
      <c r="K20" s="64"/>
      <c r="L20" s="49">
        <v>1.5</v>
      </c>
      <c r="M20" s="50"/>
      <c r="N20" s="65"/>
      <c r="O20" s="50"/>
      <c r="P20" s="51" t="str">
        <f t="shared" si="5"/>
        <v/>
      </c>
      <c r="Q20" s="52">
        <f t="shared" si="6"/>
        <v>0</v>
      </c>
      <c r="S20" s="53"/>
      <c r="T20" s="66"/>
      <c r="U20" s="54"/>
      <c r="X20" s="55">
        <f t="shared" si="7"/>
        <v>0</v>
      </c>
      <c r="Y20" s="56">
        <f t="shared" si="0"/>
        <v>0</v>
      </c>
      <c r="Z20" s="35" t="str">
        <f t="shared" si="8"/>
        <v/>
      </c>
      <c r="AA20" s="36"/>
      <c r="AB20" s="57">
        <f t="shared" si="12"/>
        <v>5.76</v>
      </c>
      <c r="AC20" s="58">
        <f t="shared" si="12"/>
        <v>0</v>
      </c>
      <c r="AD20" s="58">
        <f t="shared" si="12"/>
        <v>0.31</v>
      </c>
      <c r="AE20" s="59">
        <f t="shared" si="9"/>
        <v>6.0699999999999994</v>
      </c>
      <c r="AF20" s="60"/>
      <c r="AG20" s="41">
        <v>26</v>
      </c>
      <c r="AH20" s="36"/>
      <c r="AI20" s="62">
        <f t="shared" si="1"/>
        <v>32.07</v>
      </c>
    </row>
    <row r="21" spans="2:35" s="20" customFormat="1" ht="32.1" customHeight="1" thickBot="1" x14ac:dyDescent="0.3">
      <c r="B21" s="67" t="s">
        <v>51</v>
      </c>
      <c r="C21" s="44">
        <v>872</v>
      </c>
      <c r="D21" s="68">
        <v>120</v>
      </c>
      <c r="E21" s="68">
        <f t="shared" si="2"/>
        <v>992</v>
      </c>
      <c r="F21" s="69"/>
      <c r="G21" s="70">
        <v>63</v>
      </c>
      <c r="H21" s="71" t="str">
        <f t="shared" si="11"/>
        <v/>
      </c>
      <c r="I21" s="72">
        <f t="shared" si="4"/>
        <v>0</v>
      </c>
      <c r="J21" s="73">
        <v>120</v>
      </c>
      <c r="K21" s="74"/>
      <c r="L21" s="73">
        <v>1.5</v>
      </c>
      <c r="M21" s="75"/>
      <c r="N21" s="76"/>
      <c r="O21" s="75"/>
      <c r="P21" s="77" t="str">
        <f t="shared" si="5"/>
        <v/>
      </c>
      <c r="Q21" s="78">
        <f t="shared" si="6"/>
        <v>0</v>
      </c>
      <c r="S21" s="79"/>
      <c r="T21" s="80"/>
      <c r="U21" s="81"/>
      <c r="X21" s="55">
        <f t="shared" si="7"/>
        <v>0</v>
      </c>
      <c r="Y21" s="56">
        <f t="shared" si="0"/>
        <v>0</v>
      </c>
      <c r="Z21" s="35" t="str">
        <f t="shared" si="8"/>
        <v/>
      </c>
      <c r="AA21" s="36"/>
      <c r="AB21" s="57">
        <f t="shared" si="12"/>
        <v>5.76</v>
      </c>
      <c r="AC21" s="58">
        <f t="shared" si="12"/>
        <v>0</v>
      </c>
      <c r="AD21" s="58">
        <f t="shared" si="12"/>
        <v>0.31</v>
      </c>
      <c r="AE21" s="59">
        <f t="shared" si="9"/>
        <v>6.0699999999999994</v>
      </c>
      <c r="AF21" s="60"/>
      <c r="AG21" s="41">
        <v>26</v>
      </c>
      <c r="AH21" s="36"/>
      <c r="AI21" s="82">
        <f t="shared" si="1"/>
        <v>32.07</v>
      </c>
    </row>
    <row r="22" spans="2:35" s="20" customFormat="1" ht="32.1" customHeight="1" thickBot="1" x14ac:dyDescent="0.3">
      <c r="B22" s="22" t="s">
        <v>52</v>
      </c>
      <c r="C22" s="23">
        <v>832</v>
      </c>
      <c r="D22" s="23">
        <v>120</v>
      </c>
      <c r="E22" s="23">
        <f>C22+D22</f>
        <v>952</v>
      </c>
      <c r="F22" s="45"/>
      <c r="G22" s="46">
        <v>63</v>
      </c>
      <c r="H22" s="63" t="str">
        <f>IF(F22="","",(ROUND((F22/G22),1)&amp;" pallets"))</f>
        <v/>
      </c>
      <c r="I22" s="48">
        <f>E22*F22</f>
        <v>0</v>
      </c>
      <c r="J22" s="49">
        <v>120</v>
      </c>
      <c r="K22" s="64"/>
      <c r="L22" s="83"/>
      <c r="M22" s="50"/>
      <c r="N22" s="65"/>
      <c r="O22" s="65"/>
      <c r="P22" s="51" t="str">
        <f>IF(M22&amp;N22="","",ROUND(((M22+N22)/G22),1)&amp;" pallets")</f>
        <v/>
      </c>
      <c r="Q22" s="52">
        <f>(J22*M22)+(K22*N22)+(O22*L22)</f>
        <v>0</v>
      </c>
      <c r="S22" s="53"/>
      <c r="T22" s="66"/>
      <c r="U22" s="84"/>
      <c r="X22" s="55">
        <f>F22*C22</f>
        <v>0</v>
      </c>
      <c r="Y22" s="56">
        <f>F22*AI22</f>
        <v>0</v>
      </c>
      <c r="Z22" s="35" t="str">
        <f t="shared" si="8"/>
        <v/>
      </c>
      <c r="AA22" s="36"/>
      <c r="AB22" s="57">
        <f>AB$2</f>
        <v>5.76</v>
      </c>
      <c r="AC22" s="58">
        <f>AC$2</f>
        <v>0</v>
      </c>
      <c r="AD22" s="58">
        <f>AD$2</f>
        <v>0.31</v>
      </c>
      <c r="AE22" s="59">
        <f>AB22+AC22+AD22</f>
        <v>6.0699999999999994</v>
      </c>
      <c r="AF22" s="60"/>
      <c r="AG22" s="41">
        <v>26</v>
      </c>
      <c r="AH22" s="36"/>
      <c r="AI22" s="42">
        <f>AG22+AE22</f>
        <v>32.07</v>
      </c>
    </row>
    <row r="23" spans="2:35" s="20" customFormat="1" ht="32.1" customHeight="1" thickBot="1" x14ac:dyDescent="0.3">
      <c r="B23" s="22" t="s">
        <v>53</v>
      </c>
      <c r="C23" s="23">
        <v>1447</v>
      </c>
      <c r="D23" s="23">
        <v>120</v>
      </c>
      <c r="E23" s="23">
        <f t="shared" si="2"/>
        <v>1567</v>
      </c>
      <c r="F23" s="85"/>
      <c r="G23" s="86">
        <v>63</v>
      </c>
      <c r="H23" s="87" t="str">
        <f t="shared" si="11"/>
        <v/>
      </c>
      <c r="I23" s="88">
        <f t="shared" si="4"/>
        <v>0</v>
      </c>
      <c r="J23" s="89">
        <v>120</v>
      </c>
      <c r="K23" s="90"/>
      <c r="L23" s="89">
        <v>1.5</v>
      </c>
      <c r="M23" s="91"/>
      <c r="N23" s="92"/>
      <c r="O23" s="91"/>
      <c r="P23" s="93" t="str">
        <f t="shared" si="5"/>
        <v/>
      </c>
      <c r="Q23" s="94">
        <f t="shared" si="6"/>
        <v>0</v>
      </c>
      <c r="S23" s="95"/>
      <c r="T23" s="96"/>
      <c r="U23" s="97"/>
      <c r="X23" s="55">
        <f t="shared" si="7"/>
        <v>0</v>
      </c>
      <c r="Y23" s="56">
        <f t="shared" si="0"/>
        <v>0</v>
      </c>
      <c r="Z23" s="35" t="str">
        <f t="shared" si="8"/>
        <v/>
      </c>
      <c r="AA23" s="36"/>
      <c r="AB23" s="57">
        <f t="shared" si="12"/>
        <v>5.76</v>
      </c>
      <c r="AC23" s="58">
        <f t="shared" si="12"/>
        <v>0</v>
      </c>
      <c r="AD23" s="58">
        <f t="shared" si="12"/>
        <v>0.31</v>
      </c>
      <c r="AE23" s="59">
        <f t="shared" si="9"/>
        <v>6.0699999999999994</v>
      </c>
      <c r="AF23" s="60"/>
      <c r="AG23" s="41">
        <v>26</v>
      </c>
      <c r="AH23" s="36"/>
      <c r="AI23" s="42">
        <f t="shared" si="1"/>
        <v>32.07</v>
      </c>
    </row>
    <row r="24" spans="2:35" s="20" customFormat="1" ht="32.1" customHeight="1" thickBot="1" x14ac:dyDescent="0.3">
      <c r="B24" s="43" t="s">
        <v>54</v>
      </c>
      <c r="C24" s="44">
        <v>1447</v>
      </c>
      <c r="D24" s="44">
        <v>120</v>
      </c>
      <c r="E24" s="44">
        <f t="shared" si="2"/>
        <v>1567</v>
      </c>
      <c r="F24" s="45"/>
      <c r="G24" s="46">
        <v>63</v>
      </c>
      <c r="H24" s="63" t="str">
        <f t="shared" si="11"/>
        <v/>
      </c>
      <c r="I24" s="48">
        <f t="shared" si="4"/>
        <v>0</v>
      </c>
      <c r="J24" s="49">
        <v>120</v>
      </c>
      <c r="K24" s="64"/>
      <c r="L24" s="49">
        <v>1.5</v>
      </c>
      <c r="M24" s="50"/>
      <c r="N24" s="65"/>
      <c r="O24" s="50"/>
      <c r="P24" s="51" t="str">
        <f t="shared" si="5"/>
        <v/>
      </c>
      <c r="Q24" s="52">
        <f t="shared" si="6"/>
        <v>0</v>
      </c>
      <c r="S24" s="53"/>
      <c r="T24" s="66"/>
      <c r="U24" s="54"/>
      <c r="X24" s="55">
        <f t="shared" si="7"/>
        <v>0</v>
      </c>
      <c r="Y24" s="56">
        <f t="shared" si="0"/>
        <v>0</v>
      </c>
      <c r="Z24" s="35" t="str">
        <f t="shared" si="8"/>
        <v/>
      </c>
      <c r="AA24" s="36"/>
      <c r="AB24" s="57">
        <f t="shared" si="12"/>
        <v>5.76</v>
      </c>
      <c r="AC24" s="58">
        <f t="shared" si="12"/>
        <v>0</v>
      </c>
      <c r="AD24" s="58">
        <f t="shared" si="12"/>
        <v>0.31</v>
      </c>
      <c r="AE24" s="59">
        <f t="shared" si="9"/>
        <v>6.0699999999999994</v>
      </c>
      <c r="AF24" s="60"/>
      <c r="AG24" s="41">
        <v>26</v>
      </c>
      <c r="AH24" s="36"/>
      <c r="AI24" s="62">
        <f t="shared" si="1"/>
        <v>32.07</v>
      </c>
    </row>
    <row r="25" spans="2:35" s="20" customFormat="1" ht="32.1" customHeight="1" thickBot="1" x14ac:dyDescent="0.3">
      <c r="B25" s="43" t="s">
        <v>55</v>
      </c>
      <c r="C25" s="44">
        <v>1020</v>
      </c>
      <c r="D25" s="44">
        <v>120</v>
      </c>
      <c r="E25" s="44">
        <f t="shared" si="2"/>
        <v>1140</v>
      </c>
      <c r="F25" s="45"/>
      <c r="G25" s="46">
        <v>63</v>
      </c>
      <c r="H25" s="63" t="str">
        <f t="shared" si="11"/>
        <v/>
      </c>
      <c r="I25" s="48">
        <f t="shared" si="4"/>
        <v>0</v>
      </c>
      <c r="J25" s="49">
        <v>120</v>
      </c>
      <c r="K25" s="64"/>
      <c r="L25" s="49">
        <v>1.5</v>
      </c>
      <c r="M25" s="50"/>
      <c r="N25" s="65"/>
      <c r="O25" s="50"/>
      <c r="P25" s="51" t="str">
        <f t="shared" si="5"/>
        <v/>
      </c>
      <c r="Q25" s="52">
        <f t="shared" si="6"/>
        <v>0</v>
      </c>
      <c r="S25" s="53"/>
      <c r="T25" s="66"/>
      <c r="U25" s="54"/>
      <c r="X25" s="55">
        <f t="shared" si="7"/>
        <v>0</v>
      </c>
      <c r="Y25" s="56">
        <f t="shared" si="0"/>
        <v>0</v>
      </c>
      <c r="Z25" s="35" t="str">
        <f t="shared" si="8"/>
        <v/>
      </c>
      <c r="AA25" s="36"/>
      <c r="AB25" s="57">
        <f t="shared" si="12"/>
        <v>5.76</v>
      </c>
      <c r="AC25" s="58">
        <f t="shared" si="12"/>
        <v>0</v>
      </c>
      <c r="AD25" s="58">
        <f t="shared" si="12"/>
        <v>0.31</v>
      </c>
      <c r="AE25" s="59">
        <f t="shared" si="9"/>
        <v>6.0699999999999994</v>
      </c>
      <c r="AF25" s="60"/>
      <c r="AG25" s="41">
        <v>26</v>
      </c>
      <c r="AH25" s="36"/>
      <c r="AI25" s="62">
        <f t="shared" si="1"/>
        <v>32.07</v>
      </c>
    </row>
    <row r="26" spans="2:35" s="20" customFormat="1" ht="32.1" customHeight="1" thickBot="1" x14ac:dyDescent="0.3">
      <c r="B26" s="43" t="s">
        <v>56</v>
      </c>
      <c r="C26" s="44">
        <v>1447</v>
      </c>
      <c r="D26" s="44">
        <v>120</v>
      </c>
      <c r="E26" s="44">
        <f t="shared" si="2"/>
        <v>1567</v>
      </c>
      <c r="F26" s="45"/>
      <c r="G26" s="46">
        <v>63</v>
      </c>
      <c r="H26" s="63" t="str">
        <f t="shared" si="11"/>
        <v/>
      </c>
      <c r="I26" s="48">
        <f t="shared" si="4"/>
        <v>0</v>
      </c>
      <c r="J26" s="49">
        <v>120</v>
      </c>
      <c r="K26" s="64"/>
      <c r="L26" s="49">
        <v>1.5</v>
      </c>
      <c r="M26" s="50"/>
      <c r="N26" s="65"/>
      <c r="O26" s="50"/>
      <c r="P26" s="51" t="str">
        <f t="shared" si="5"/>
        <v/>
      </c>
      <c r="Q26" s="52">
        <f t="shared" si="6"/>
        <v>0</v>
      </c>
      <c r="S26" s="53"/>
      <c r="T26" s="66"/>
      <c r="U26" s="54"/>
      <c r="X26" s="55">
        <f t="shared" si="7"/>
        <v>0</v>
      </c>
      <c r="Y26" s="56">
        <f t="shared" si="0"/>
        <v>0</v>
      </c>
      <c r="Z26" s="35" t="str">
        <f t="shared" si="8"/>
        <v/>
      </c>
      <c r="AA26" s="36"/>
      <c r="AB26" s="57">
        <f t="shared" si="12"/>
        <v>5.76</v>
      </c>
      <c r="AC26" s="58">
        <f t="shared" si="12"/>
        <v>0</v>
      </c>
      <c r="AD26" s="58">
        <f t="shared" si="12"/>
        <v>0.31</v>
      </c>
      <c r="AE26" s="59">
        <f t="shared" si="9"/>
        <v>6.0699999999999994</v>
      </c>
      <c r="AF26" s="60"/>
      <c r="AG26" s="41">
        <v>26</v>
      </c>
      <c r="AH26" s="36"/>
      <c r="AI26" s="62">
        <f t="shared" si="1"/>
        <v>32.07</v>
      </c>
    </row>
    <row r="27" spans="2:35" s="20" customFormat="1" ht="32.1" customHeight="1" thickBot="1" x14ac:dyDescent="0.3">
      <c r="B27" s="67" t="s">
        <v>57</v>
      </c>
      <c r="C27" s="68">
        <v>1447</v>
      </c>
      <c r="D27" s="68">
        <v>120</v>
      </c>
      <c r="E27" s="68">
        <f t="shared" si="2"/>
        <v>1567</v>
      </c>
      <c r="F27" s="69"/>
      <c r="G27" s="70">
        <v>63</v>
      </c>
      <c r="H27" s="71" t="str">
        <f t="shared" si="11"/>
        <v/>
      </c>
      <c r="I27" s="72">
        <f t="shared" si="4"/>
        <v>0</v>
      </c>
      <c r="J27" s="73">
        <v>120</v>
      </c>
      <c r="K27" s="74"/>
      <c r="L27" s="73">
        <v>1.5</v>
      </c>
      <c r="M27" s="75"/>
      <c r="N27" s="76"/>
      <c r="O27" s="75"/>
      <c r="P27" s="77" t="str">
        <f t="shared" si="5"/>
        <v/>
      </c>
      <c r="Q27" s="78">
        <f t="shared" si="6"/>
        <v>0</v>
      </c>
      <c r="S27" s="79"/>
      <c r="T27" s="80"/>
      <c r="U27" s="81"/>
      <c r="X27" s="55">
        <f t="shared" si="7"/>
        <v>0</v>
      </c>
      <c r="Y27" s="56">
        <f t="shared" si="0"/>
        <v>0</v>
      </c>
      <c r="Z27" s="35" t="str">
        <f t="shared" si="8"/>
        <v/>
      </c>
      <c r="AA27" s="36"/>
      <c r="AB27" s="57">
        <f t="shared" si="12"/>
        <v>5.76</v>
      </c>
      <c r="AC27" s="58">
        <f t="shared" si="12"/>
        <v>0</v>
      </c>
      <c r="AD27" s="58">
        <f t="shared" si="12"/>
        <v>0.31</v>
      </c>
      <c r="AE27" s="59">
        <f t="shared" si="9"/>
        <v>6.0699999999999994</v>
      </c>
      <c r="AF27" s="60"/>
      <c r="AG27" s="41">
        <v>26</v>
      </c>
      <c r="AH27" s="36"/>
      <c r="AI27" s="82">
        <f t="shared" si="1"/>
        <v>32.07</v>
      </c>
    </row>
    <row r="28" spans="2:35" s="20" customFormat="1" ht="32.1" customHeight="1" thickBot="1" x14ac:dyDescent="0.3">
      <c r="B28" s="22" t="s">
        <v>58</v>
      </c>
      <c r="C28" s="23">
        <v>500</v>
      </c>
      <c r="D28" s="23">
        <v>120</v>
      </c>
      <c r="E28" s="23">
        <f t="shared" si="2"/>
        <v>620</v>
      </c>
      <c r="F28" s="85"/>
      <c r="G28" s="86">
        <v>63</v>
      </c>
      <c r="H28" s="87" t="str">
        <f t="shared" si="11"/>
        <v/>
      </c>
      <c r="I28" s="88">
        <f t="shared" si="4"/>
        <v>0</v>
      </c>
      <c r="J28" s="89">
        <v>120</v>
      </c>
      <c r="K28" s="90"/>
      <c r="L28" s="89">
        <v>1.5</v>
      </c>
      <c r="M28" s="91"/>
      <c r="N28" s="92"/>
      <c r="O28" s="91"/>
      <c r="P28" s="93" t="str">
        <f t="shared" si="5"/>
        <v/>
      </c>
      <c r="Q28" s="94">
        <f t="shared" si="6"/>
        <v>0</v>
      </c>
      <c r="S28" s="95"/>
      <c r="T28" s="96"/>
      <c r="U28" s="97"/>
      <c r="X28" s="55">
        <f t="shared" si="7"/>
        <v>0</v>
      </c>
      <c r="Y28" s="56">
        <f t="shared" si="0"/>
        <v>0</v>
      </c>
      <c r="Z28" s="35" t="str">
        <f t="shared" si="8"/>
        <v/>
      </c>
      <c r="AA28" s="36"/>
      <c r="AB28" s="57">
        <f t="shared" si="12"/>
        <v>5.76</v>
      </c>
      <c r="AC28" s="58">
        <f t="shared" si="12"/>
        <v>0</v>
      </c>
      <c r="AD28" s="58">
        <f t="shared" si="12"/>
        <v>0.31</v>
      </c>
      <c r="AE28" s="59">
        <f t="shared" si="9"/>
        <v>6.0699999999999994</v>
      </c>
      <c r="AF28" s="60"/>
      <c r="AG28" s="41">
        <v>26</v>
      </c>
      <c r="AH28" s="36"/>
      <c r="AI28" s="42">
        <f t="shared" si="1"/>
        <v>32.07</v>
      </c>
    </row>
    <row r="29" spans="2:35" s="20" customFormat="1" ht="32.1" customHeight="1" thickBot="1" x14ac:dyDescent="0.3">
      <c r="B29" s="67" t="s">
        <v>59</v>
      </c>
      <c r="C29" s="98">
        <v>500</v>
      </c>
      <c r="D29" s="98">
        <v>120</v>
      </c>
      <c r="E29" s="98">
        <f t="shared" si="2"/>
        <v>620</v>
      </c>
      <c r="F29" s="69"/>
      <c r="G29" s="70">
        <v>63</v>
      </c>
      <c r="H29" s="71" t="str">
        <f t="shared" si="11"/>
        <v/>
      </c>
      <c r="I29" s="72">
        <f t="shared" si="4"/>
        <v>0</v>
      </c>
      <c r="J29" s="73">
        <v>120</v>
      </c>
      <c r="K29" s="74"/>
      <c r="L29" s="73">
        <v>1.5</v>
      </c>
      <c r="M29" s="75"/>
      <c r="N29" s="76"/>
      <c r="O29" s="75"/>
      <c r="P29" s="77" t="str">
        <f t="shared" si="5"/>
        <v/>
      </c>
      <c r="Q29" s="78">
        <f t="shared" si="6"/>
        <v>0</v>
      </c>
      <c r="S29" s="79"/>
      <c r="T29" s="80"/>
      <c r="U29" s="81"/>
      <c r="X29" s="55">
        <f t="shared" si="7"/>
        <v>0</v>
      </c>
      <c r="Y29" s="56">
        <f t="shared" si="0"/>
        <v>0</v>
      </c>
      <c r="Z29" s="35" t="str">
        <f t="shared" si="8"/>
        <v/>
      </c>
      <c r="AA29" s="36"/>
      <c r="AB29" s="57">
        <f t="shared" si="12"/>
        <v>5.76</v>
      </c>
      <c r="AC29" s="58">
        <f t="shared" si="12"/>
        <v>0</v>
      </c>
      <c r="AD29" s="58">
        <f t="shared" si="12"/>
        <v>0.31</v>
      </c>
      <c r="AE29" s="59">
        <f t="shared" si="9"/>
        <v>6.0699999999999994</v>
      </c>
      <c r="AF29" s="60"/>
      <c r="AG29" s="41">
        <v>26</v>
      </c>
      <c r="AH29" s="36"/>
      <c r="AI29" s="82">
        <f t="shared" si="1"/>
        <v>32.07</v>
      </c>
    </row>
    <row r="30" spans="2:35" s="20" customFormat="1" ht="32.1" customHeight="1" thickBot="1" x14ac:dyDescent="0.3">
      <c r="B30" s="22" t="s">
        <v>60</v>
      </c>
      <c r="C30" s="23">
        <v>703</v>
      </c>
      <c r="D30" s="23">
        <v>120</v>
      </c>
      <c r="E30" s="23">
        <f t="shared" si="2"/>
        <v>823</v>
      </c>
      <c r="F30" s="85"/>
      <c r="G30" s="86">
        <v>72</v>
      </c>
      <c r="H30" s="87" t="str">
        <f t="shared" si="11"/>
        <v/>
      </c>
      <c r="I30" s="88">
        <f t="shared" si="4"/>
        <v>0</v>
      </c>
      <c r="J30" s="89">
        <v>120</v>
      </c>
      <c r="K30" s="90"/>
      <c r="L30" s="89">
        <v>1.5</v>
      </c>
      <c r="M30" s="91"/>
      <c r="N30" s="92"/>
      <c r="O30" s="91"/>
      <c r="P30" s="93" t="str">
        <f t="shared" si="5"/>
        <v/>
      </c>
      <c r="Q30" s="94">
        <f t="shared" si="6"/>
        <v>0</v>
      </c>
      <c r="S30" s="95"/>
      <c r="T30" s="96"/>
      <c r="U30" s="97"/>
      <c r="X30" s="55">
        <f t="shared" si="7"/>
        <v>0</v>
      </c>
      <c r="Y30" s="56">
        <f t="shared" si="0"/>
        <v>0</v>
      </c>
      <c r="Z30" s="35" t="str">
        <f t="shared" si="8"/>
        <v/>
      </c>
      <c r="AA30" s="36"/>
      <c r="AB30" s="57">
        <f>AB$1</f>
        <v>5.0599999999999996</v>
      </c>
      <c r="AC30" s="58">
        <f>AC$1</f>
        <v>0</v>
      </c>
      <c r="AD30" s="58">
        <f>AD$1</f>
        <v>0.31</v>
      </c>
      <c r="AE30" s="59">
        <f t="shared" si="9"/>
        <v>5.3699999999999992</v>
      </c>
      <c r="AF30" s="60"/>
      <c r="AG30" s="41">
        <v>26</v>
      </c>
      <c r="AH30" s="36"/>
      <c r="AI30" s="42">
        <f t="shared" si="1"/>
        <v>31.369999999999997</v>
      </c>
    </row>
    <row r="31" spans="2:35" s="20" customFormat="1" ht="32.1" customHeight="1" thickBot="1" x14ac:dyDescent="0.3">
      <c r="B31" s="43" t="s">
        <v>61</v>
      </c>
      <c r="C31" s="44">
        <v>-610</v>
      </c>
      <c r="D31" s="44">
        <v>610</v>
      </c>
      <c r="E31" s="44">
        <f t="shared" si="2"/>
        <v>0</v>
      </c>
      <c r="F31" s="45"/>
      <c r="G31" s="46">
        <v>63</v>
      </c>
      <c r="H31" s="63" t="str">
        <f t="shared" si="11"/>
        <v/>
      </c>
      <c r="I31" s="48">
        <f t="shared" si="4"/>
        <v>0</v>
      </c>
      <c r="J31" s="49">
        <v>120</v>
      </c>
      <c r="K31" s="64"/>
      <c r="L31" s="49">
        <v>1.5</v>
      </c>
      <c r="M31" s="50"/>
      <c r="N31" s="65"/>
      <c r="O31" s="50"/>
      <c r="P31" s="51" t="str">
        <f t="shared" si="5"/>
        <v/>
      </c>
      <c r="Q31" s="52">
        <f t="shared" si="6"/>
        <v>0</v>
      </c>
      <c r="S31" s="53"/>
      <c r="T31" s="66"/>
      <c r="U31" s="54"/>
      <c r="X31" s="55">
        <f t="shared" si="7"/>
        <v>0</v>
      </c>
      <c r="Y31" s="56">
        <f t="shared" si="0"/>
        <v>0</v>
      </c>
      <c r="Z31" s="35" t="str">
        <f t="shared" si="8"/>
        <v/>
      </c>
      <c r="AA31" s="36"/>
      <c r="AB31" s="57">
        <v>1.92</v>
      </c>
      <c r="AC31" s="58">
        <v>1.92</v>
      </c>
      <c r="AD31" s="58">
        <v>1.92</v>
      </c>
      <c r="AE31" s="59">
        <f t="shared" si="9"/>
        <v>5.76</v>
      </c>
      <c r="AF31" s="60"/>
      <c r="AG31" s="41">
        <v>26</v>
      </c>
      <c r="AH31" s="36"/>
      <c r="AI31" s="62">
        <f t="shared" si="1"/>
        <v>31.759999999999998</v>
      </c>
    </row>
    <row r="32" spans="2:35" s="20" customFormat="1" ht="32.1" customHeight="1" thickBot="1" x14ac:dyDescent="0.3">
      <c r="B32" s="43" t="s">
        <v>62</v>
      </c>
      <c r="C32" s="44">
        <v>1052</v>
      </c>
      <c r="D32" s="44">
        <v>120</v>
      </c>
      <c r="E32" s="44">
        <f t="shared" si="2"/>
        <v>1172</v>
      </c>
      <c r="F32" s="45"/>
      <c r="G32" s="46">
        <v>63</v>
      </c>
      <c r="H32" s="63" t="str">
        <f t="shared" si="11"/>
        <v/>
      </c>
      <c r="I32" s="48">
        <f t="shared" si="4"/>
        <v>0</v>
      </c>
      <c r="J32" s="49">
        <v>120</v>
      </c>
      <c r="K32" s="64"/>
      <c r="L32" s="49">
        <v>1.5</v>
      </c>
      <c r="M32" s="50"/>
      <c r="N32" s="65"/>
      <c r="O32" s="50"/>
      <c r="P32" s="51" t="str">
        <f t="shared" si="5"/>
        <v/>
      </c>
      <c r="Q32" s="52">
        <f t="shared" si="6"/>
        <v>0</v>
      </c>
      <c r="S32" s="53"/>
      <c r="T32" s="66"/>
      <c r="U32" s="54"/>
      <c r="X32" s="55">
        <f t="shared" si="7"/>
        <v>0</v>
      </c>
      <c r="Y32" s="56">
        <f t="shared" si="0"/>
        <v>0</v>
      </c>
      <c r="Z32" s="35" t="str">
        <f t="shared" si="8"/>
        <v/>
      </c>
      <c r="AA32" s="36"/>
      <c r="AB32" s="57">
        <f>AB$2</f>
        <v>5.76</v>
      </c>
      <c r="AC32" s="58">
        <f>AC$2</f>
        <v>0</v>
      </c>
      <c r="AD32" s="58">
        <f>AD$2</f>
        <v>0.31</v>
      </c>
      <c r="AE32" s="59">
        <f t="shared" si="9"/>
        <v>6.0699999999999994</v>
      </c>
      <c r="AF32" s="60"/>
      <c r="AG32" s="41">
        <v>26</v>
      </c>
      <c r="AH32" s="36"/>
      <c r="AI32" s="62">
        <f t="shared" si="1"/>
        <v>32.07</v>
      </c>
    </row>
    <row r="33" spans="2:35" s="20" customFormat="1" ht="32.1" customHeight="1" thickBot="1" x14ac:dyDescent="0.3">
      <c r="B33" s="43" t="s">
        <v>63</v>
      </c>
      <c r="C33" s="23">
        <v>1667</v>
      </c>
      <c r="D33" s="23"/>
      <c r="E33" s="23">
        <f t="shared" si="2"/>
        <v>1667</v>
      </c>
      <c r="F33" s="45">
        <v>4</v>
      </c>
      <c r="G33" s="46">
        <v>100</v>
      </c>
      <c r="H33" s="63" t="str">
        <f t="shared" si="11"/>
        <v>0 pallets</v>
      </c>
      <c r="I33" s="48">
        <f t="shared" si="4"/>
        <v>6668</v>
      </c>
      <c r="J33" s="83"/>
      <c r="K33" s="64"/>
      <c r="L33" s="83"/>
      <c r="M33" s="65"/>
      <c r="N33" s="65"/>
      <c r="O33" s="65"/>
      <c r="P33" s="51" t="str">
        <f t="shared" si="5"/>
        <v/>
      </c>
      <c r="Q33" s="52">
        <f t="shared" si="6"/>
        <v>0</v>
      </c>
      <c r="S33" s="66"/>
      <c r="T33" s="66"/>
      <c r="U33" s="84"/>
      <c r="X33" s="55">
        <f t="shared" si="7"/>
        <v>6668</v>
      </c>
      <c r="Y33" s="56">
        <f t="shared" si="0"/>
        <v>115.92</v>
      </c>
      <c r="Z33" s="35" t="str">
        <f t="shared" si="8"/>
        <v/>
      </c>
      <c r="AA33" s="36"/>
      <c r="AB33" s="57">
        <f>$AB$8</f>
        <v>2.67</v>
      </c>
      <c r="AC33" s="58">
        <f t="shared" ref="AB33:AD46" si="13">AC$6</f>
        <v>0</v>
      </c>
      <c r="AD33" s="58">
        <f t="shared" si="13"/>
        <v>0.31</v>
      </c>
      <c r="AE33" s="59">
        <f t="shared" si="9"/>
        <v>2.98</v>
      </c>
      <c r="AF33" s="60"/>
      <c r="AG33" s="41">
        <v>26</v>
      </c>
      <c r="AH33" s="36"/>
      <c r="AI33" s="42">
        <f t="shared" si="1"/>
        <v>28.98</v>
      </c>
    </row>
    <row r="34" spans="2:35" s="20" customFormat="1" ht="32.1" customHeight="1" thickBot="1" x14ac:dyDescent="0.3">
      <c r="B34" s="43" t="s">
        <v>135</v>
      </c>
      <c r="C34" s="23">
        <v>1667</v>
      </c>
      <c r="D34" s="23"/>
      <c r="E34" s="23">
        <f t="shared" si="2"/>
        <v>1667</v>
      </c>
      <c r="F34" s="45"/>
      <c r="G34" s="46">
        <v>100</v>
      </c>
      <c r="H34" s="63" t="str">
        <f t="shared" si="11"/>
        <v/>
      </c>
      <c r="I34" s="48">
        <f t="shared" si="4"/>
        <v>0</v>
      </c>
      <c r="J34" s="83"/>
      <c r="K34" s="64"/>
      <c r="L34" s="83"/>
      <c r="M34" s="65"/>
      <c r="N34" s="65"/>
      <c r="O34" s="65"/>
      <c r="P34" s="51" t="str">
        <f t="shared" ref="P34:P35" si="14">IF(M34&amp;N34="","",ROUND(((M34+N34)/G34),1)&amp;" pallets")</f>
        <v/>
      </c>
      <c r="Q34" s="52">
        <f t="shared" ref="Q34:Q35" si="15">(J34*M34)+(K34*N34)+(O34*L34)</f>
        <v>0</v>
      </c>
      <c r="S34" s="66"/>
      <c r="T34" s="66"/>
      <c r="U34" s="84"/>
      <c r="X34" s="55">
        <f t="shared" ref="X34:X35" si="16">F34*C34</f>
        <v>0</v>
      </c>
      <c r="Y34" s="56">
        <f t="shared" ref="Y34:Y35" si="17">F34*AI34</f>
        <v>0</v>
      </c>
      <c r="Z34" s="35" t="str">
        <f t="shared" si="8"/>
        <v/>
      </c>
      <c r="AA34" s="36"/>
      <c r="AB34" s="57">
        <f t="shared" ref="AB34:AB35" si="18">$AB$8</f>
        <v>2.67</v>
      </c>
      <c r="AC34" s="58">
        <f t="shared" si="13"/>
        <v>0</v>
      </c>
      <c r="AD34" s="58">
        <f t="shared" si="13"/>
        <v>0.31</v>
      </c>
      <c r="AE34" s="59">
        <f t="shared" si="9"/>
        <v>2.98</v>
      </c>
      <c r="AF34" s="60"/>
      <c r="AG34" s="41">
        <v>26</v>
      </c>
      <c r="AH34" s="36"/>
      <c r="AI34" s="42">
        <f t="shared" si="1"/>
        <v>28.98</v>
      </c>
    </row>
    <row r="35" spans="2:35" s="20" customFormat="1" ht="32.1" customHeight="1" thickBot="1" x14ac:dyDescent="0.3">
      <c r="B35" s="43" t="s">
        <v>136</v>
      </c>
      <c r="C35" s="23">
        <v>1667</v>
      </c>
      <c r="D35" s="23"/>
      <c r="E35" s="23">
        <f t="shared" si="2"/>
        <v>1667</v>
      </c>
      <c r="F35" s="45"/>
      <c r="G35" s="46">
        <v>100</v>
      </c>
      <c r="H35" s="63" t="str">
        <f t="shared" si="11"/>
        <v/>
      </c>
      <c r="I35" s="48">
        <f t="shared" si="4"/>
        <v>0</v>
      </c>
      <c r="J35" s="83"/>
      <c r="K35" s="64"/>
      <c r="L35" s="83"/>
      <c r="M35" s="65"/>
      <c r="N35" s="65"/>
      <c r="O35" s="65"/>
      <c r="P35" s="51" t="str">
        <f t="shared" si="14"/>
        <v/>
      </c>
      <c r="Q35" s="52">
        <f t="shared" si="15"/>
        <v>0</v>
      </c>
      <c r="S35" s="66"/>
      <c r="T35" s="66"/>
      <c r="U35" s="84"/>
      <c r="X35" s="55">
        <f t="shared" si="16"/>
        <v>0</v>
      </c>
      <c r="Y35" s="56">
        <f t="shared" si="17"/>
        <v>0</v>
      </c>
      <c r="Z35" s="35" t="str">
        <f t="shared" si="8"/>
        <v/>
      </c>
      <c r="AA35" s="36"/>
      <c r="AB35" s="57">
        <f t="shared" si="18"/>
        <v>2.67</v>
      </c>
      <c r="AC35" s="58">
        <f t="shared" si="13"/>
        <v>0</v>
      </c>
      <c r="AD35" s="58">
        <f t="shared" si="13"/>
        <v>0.31</v>
      </c>
      <c r="AE35" s="59">
        <f t="shared" si="9"/>
        <v>2.98</v>
      </c>
      <c r="AF35" s="60"/>
      <c r="AG35" s="41">
        <v>26</v>
      </c>
      <c r="AH35" s="36"/>
      <c r="AI35" s="42">
        <f t="shared" si="1"/>
        <v>28.98</v>
      </c>
    </row>
    <row r="36" spans="2:35" s="20" customFormat="1" ht="32.1" customHeight="1" thickBot="1" x14ac:dyDescent="0.3">
      <c r="B36" s="43" t="s">
        <v>135</v>
      </c>
      <c r="C36" s="23">
        <v>1667</v>
      </c>
      <c r="D36" s="23"/>
      <c r="E36" s="23">
        <f t="shared" si="2"/>
        <v>1667</v>
      </c>
      <c r="F36" s="45">
        <v>2</v>
      </c>
      <c r="G36" s="46">
        <v>100</v>
      </c>
      <c r="H36" s="63" t="str">
        <f t="shared" si="11"/>
        <v>0 pallets</v>
      </c>
      <c r="I36" s="48">
        <f t="shared" si="4"/>
        <v>3334</v>
      </c>
      <c r="J36" s="83"/>
      <c r="K36" s="64"/>
      <c r="L36" s="83"/>
      <c r="M36" s="65"/>
      <c r="N36" s="65"/>
      <c r="O36" s="65"/>
      <c r="P36" s="51"/>
      <c r="Q36" s="52">
        <f t="shared" si="6"/>
        <v>0</v>
      </c>
      <c r="S36" s="66"/>
      <c r="T36" s="66"/>
      <c r="U36" s="84"/>
      <c r="X36" s="55">
        <f t="shared" si="7"/>
        <v>3334</v>
      </c>
      <c r="Y36" s="56">
        <f t="shared" si="0"/>
        <v>57.96</v>
      </c>
      <c r="Z36" s="35" t="str">
        <f t="shared" si="8"/>
        <v/>
      </c>
      <c r="AA36" s="36"/>
      <c r="AB36" s="57">
        <v>2.67</v>
      </c>
      <c r="AC36" s="58">
        <f t="shared" si="13"/>
        <v>0</v>
      </c>
      <c r="AD36" s="58">
        <f t="shared" si="13"/>
        <v>0.31</v>
      </c>
      <c r="AE36" s="59">
        <f t="shared" si="9"/>
        <v>2.98</v>
      </c>
      <c r="AF36" s="60"/>
      <c r="AG36" s="41">
        <v>26</v>
      </c>
      <c r="AH36" s="36"/>
      <c r="AI36" s="42">
        <f t="shared" si="1"/>
        <v>28.98</v>
      </c>
    </row>
    <row r="37" spans="2:35" s="20" customFormat="1" ht="32.1" customHeight="1" thickBot="1" x14ac:dyDescent="0.3">
      <c r="B37" s="22" t="s">
        <v>64</v>
      </c>
      <c r="C37" s="23">
        <v>1175</v>
      </c>
      <c r="D37" s="23"/>
      <c r="E37" s="23">
        <f t="shared" si="2"/>
        <v>1175</v>
      </c>
      <c r="F37" s="45">
        <v>0</v>
      </c>
      <c r="G37" s="46">
        <v>100</v>
      </c>
      <c r="H37" s="63" t="str">
        <f t="shared" si="11"/>
        <v>0 pallets</v>
      </c>
      <c r="I37" s="48">
        <f t="shared" si="4"/>
        <v>0</v>
      </c>
      <c r="J37" s="83"/>
      <c r="K37" s="64"/>
      <c r="L37" s="83"/>
      <c r="M37" s="65"/>
      <c r="N37" s="65"/>
      <c r="O37" s="65"/>
      <c r="P37" s="51" t="str">
        <f t="shared" si="5"/>
        <v/>
      </c>
      <c r="Q37" s="52">
        <f t="shared" si="6"/>
        <v>0</v>
      </c>
      <c r="S37" s="66"/>
      <c r="T37" s="66"/>
      <c r="U37" s="84"/>
      <c r="X37" s="55">
        <f t="shared" si="7"/>
        <v>0</v>
      </c>
      <c r="Y37" s="56">
        <f t="shared" si="0"/>
        <v>0</v>
      </c>
      <c r="Z37" s="35" t="str">
        <f t="shared" si="8"/>
        <v/>
      </c>
      <c r="AA37" s="36"/>
      <c r="AB37" s="57">
        <f t="shared" si="13"/>
        <v>1.85</v>
      </c>
      <c r="AC37" s="58">
        <f t="shared" si="13"/>
        <v>0</v>
      </c>
      <c r="AD37" s="58">
        <f t="shared" si="13"/>
        <v>0.31</v>
      </c>
      <c r="AE37" s="59">
        <f t="shared" si="9"/>
        <v>2.16</v>
      </c>
      <c r="AF37" s="60"/>
      <c r="AG37" s="41">
        <v>26</v>
      </c>
      <c r="AH37" s="36"/>
      <c r="AI37" s="42">
        <f t="shared" si="1"/>
        <v>28.16</v>
      </c>
    </row>
    <row r="38" spans="2:35" s="20" customFormat="1" ht="32.1" customHeight="1" thickBot="1" x14ac:dyDescent="0.3">
      <c r="B38" s="43" t="s">
        <v>65</v>
      </c>
      <c r="C38" s="44">
        <v>1175</v>
      </c>
      <c r="D38" s="44"/>
      <c r="E38" s="44">
        <f t="shared" si="2"/>
        <v>1175</v>
      </c>
      <c r="F38" s="45">
        <v>0</v>
      </c>
      <c r="G38" s="46">
        <v>100</v>
      </c>
      <c r="H38" s="63" t="str">
        <f t="shared" si="11"/>
        <v>0 pallets</v>
      </c>
      <c r="I38" s="48">
        <f t="shared" si="4"/>
        <v>0</v>
      </c>
      <c r="J38" s="83"/>
      <c r="K38" s="64"/>
      <c r="L38" s="83"/>
      <c r="M38" s="65"/>
      <c r="N38" s="65"/>
      <c r="O38" s="65"/>
      <c r="P38" s="51" t="str">
        <f t="shared" si="5"/>
        <v/>
      </c>
      <c r="Q38" s="52">
        <f t="shared" si="6"/>
        <v>0</v>
      </c>
      <c r="S38" s="66"/>
      <c r="T38" s="66"/>
      <c r="U38" s="84"/>
      <c r="X38" s="55">
        <f t="shared" si="7"/>
        <v>0</v>
      </c>
      <c r="Y38" s="56">
        <f t="shared" si="0"/>
        <v>0</v>
      </c>
      <c r="Z38" s="35" t="str">
        <f t="shared" si="8"/>
        <v/>
      </c>
      <c r="AA38" s="36"/>
      <c r="AB38" s="57">
        <f t="shared" si="13"/>
        <v>1.85</v>
      </c>
      <c r="AC38" s="58">
        <f t="shared" si="13"/>
        <v>0</v>
      </c>
      <c r="AD38" s="58">
        <f t="shared" si="13"/>
        <v>0.31</v>
      </c>
      <c r="AE38" s="59">
        <f t="shared" si="9"/>
        <v>2.16</v>
      </c>
      <c r="AF38" s="60"/>
      <c r="AG38" s="41">
        <v>26</v>
      </c>
      <c r="AH38" s="36"/>
      <c r="AI38" s="62">
        <f t="shared" si="1"/>
        <v>28.16</v>
      </c>
    </row>
    <row r="39" spans="2:35" s="20" customFormat="1" ht="32.1" customHeight="1" thickBot="1" x14ac:dyDescent="0.3">
      <c r="B39" s="43" t="s">
        <v>66</v>
      </c>
      <c r="C39" s="44">
        <v>1175</v>
      </c>
      <c r="D39" s="44"/>
      <c r="E39" s="44">
        <f t="shared" si="2"/>
        <v>1175</v>
      </c>
      <c r="F39" s="45">
        <v>0</v>
      </c>
      <c r="G39" s="46">
        <v>100</v>
      </c>
      <c r="H39" s="63" t="str">
        <f t="shared" si="11"/>
        <v>0 pallets</v>
      </c>
      <c r="I39" s="48">
        <f t="shared" si="4"/>
        <v>0</v>
      </c>
      <c r="J39" s="83"/>
      <c r="K39" s="64"/>
      <c r="L39" s="83"/>
      <c r="M39" s="65"/>
      <c r="N39" s="65"/>
      <c r="O39" s="65"/>
      <c r="P39" s="51" t="str">
        <f t="shared" si="5"/>
        <v/>
      </c>
      <c r="Q39" s="52">
        <f t="shared" si="6"/>
        <v>0</v>
      </c>
      <c r="S39" s="66"/>
      <c r="T39" s="66"/>
      <c r="U39" s="84"/>
      <c r="X39" s="55">
        <f t="shared" si="7"/>
        <v>0</v>
      </c>
      <c r="Y39" s="56">
        <f t="shared" si="0"/>
        <v>0</v>
      </c>
      <c r="Z39" s="35" t="str">
        <f t="shared" si="8"/>
        <v/>
      </c>
      <c r="AA39" s="36"/>
      <c r="AB39" s="57">
        <f t="shared" si="13"/>
        <v>1.85</v>
      </c>
      <c r="AC39" s="58">
        <f t="shared" si="13"/>
        <v>0</v>
      </c>
      <c r="AD39" s="58">
        <f t="shared" si="13"/>
        <v>0.31</v>
      </c>
      <c r="AE39" s="59">
        <f t="shared" si="9"/>
        <v>2.16</v>
      </c>
      <c r="AF39" s="60"/>
      <c r="AG39" s="41">
        <v>26</v>
      </c>
      <c r="AH39" s="36"/>
      <c r="AI39" s="62">
        <f t="shared" si="1"/>
        <v>28.16</v>
      </c>
    </row>
    <row r="40" spans="2:35" s="20" customFormat="1" ht="32.1" customHeight="1" thickBot="1" x14ac:dyDescent="0.3">
      <c r="B40" s="43" t="s">
        <v>67</v>
      </c>
      <c r="C40" s="44">
        <v>1582</v>
      </c>
      <c r="D40" s="44"/>
      <c r="E40" s="44">
        <f t="shared" si="2"/>
        <v>1582</v>
      </c>
      <c r="F40" s="45">
        <v>0</v>
      </c>
      <c r="G40" s="46">
        <v>100</v>
      </c>
      <c r="H40" s="63" t="str">
        <f t="shared" si="11"/>
        <v>0 pallets</v>
      </c>
      <c r="I40" s="48">
        <f t="shared" si="4"/>
        <v>0</v>
      </c>
      <c r="J40" s="83"/>
      <c r="K40" s="64"/>
      <c r="L40" s="83"/>
      <c r="M40" s="65"/>
      <c r="N40" s="65"/>
      <c r="O40" s="65"/>
      <c r="P40" s="51" t="str">
        <f t="shared" si="5"/>
        <v/>
      </c>
      <c r="Q40" s="52">
        <f t="shared" si="6"/>
        <v>0</v>
      </c>
      <c r="S40" s="66"/>
      <c r="T40" s="66"/>
      <c r="U40" s="84"/>
      <c r="X40" s="55">
        <f t="shared" si="7"/>
        <v>0</v>
      </c>
      <c r="Y40" s="56">
        <f t="shared" si="0"/>
        <v>0</v>
      </c>
      <c r="Z40" s="35" t="str">
        <f t="shared" si="8"/>
        <v/>
      </c>
      <c r="AA40" s="36"/>
      <c r="AB40" s="57">
        <f t="shared" si="13"/>
        <v>1.85</v>
      </c>
      <c r="AC40" s="58">
        <f t="shared" si="13"/>
        <v>0</v>
      </c>
      <c r="AD40" s="58">
        <f t="shared" si="13"/>
        <v>0.31</v>
      </c>
      <c r="AE40" s="59">
        <f t="shared" si="9"/>
        <v>2.16</v>
      </c>
      <c r="AF40" s="60"/>
      <c r="AG40" s="41">
        <v>26</v>
      </c>
      <c r="AH40" s="36"/>
      <c r="AI40" s="62">
        <f t="shared" si="1"/>
        <v>28.16</v>
      </c>
    </row>
    <row r="41" spans="2:35" s="20" customFormat="1" ht="32.1" customHeight="1" thickBot="1" x14ac:dyDescent="0.3">
      <c r="B41" s="67" t="s">
        <v>68</v>
      </c>
      <c r="C41" s="68">
        <v>1582</v>
      </c>
      <c r="D41" s="68"/>
      <c r="E41" s="68">
        <f t="shared" si="2"/>
        <v>1582</v>
      </c>
      <c r="F41" s="69">
        <v>0</v>
      </c>
      <c r="G41" s="70">
        <v>100</v>
      </c>
      <c r="H41" s="71" t="str">
        <f t="shared" si="11"/>
        <v>0 pallets</v>
      </c>
      <c r="I41" s="72">
        <f t="shared" si="4"/>
        <v>0</v>
      </c>
      <c r="J41" s="99"/>
      <c r="K41" s="74"/>
      <c r="L41" s="99"/>
      <c r="M41" s="76"/>
      <c r="N41" s="76"/>
      <c r="O41" s="76"/>
      <c r="P41" s="77" t="str">
        <f t="shared" si="5"/>
        <v/>
      </c>
      <c r="Q41" s="78">
        <f t="shared" si="6"/>
        <v>0</v>
      </c>
      <c r="S41" s="80"/>
      <c r="T41" s="80"/>
      <c r="U41" s="100"/>
      <c r="X41" s="55">
        <f t="shared" si="7"/>
        <v>0</v>
      </c>
      <c r="Y41" s="56">
        <f t="shared" si="0"/>
        <v>0</v>
      </c>
      <c r="Z41" s="35" t="str">
        <f t="shared" si="8"/>
        <v/>
      </c>
      <c r="AA41" s="36"/>
      <c r="AB41" s="57">
        <f t="shared" si="13"/>
        <v>1.85</v>
      </c>
      <c r="AC41" s="58">
        <f t="shared" si="13"/>
        <v>0</v>
      </c>
      <c r="AD41" s="58">
        <f t="shared" si="13"/>
        <v>0.31</v>
      </c>
      <c r="AE41" s="59">
        <f t="shared" si="9"/>
        <v>2.16</v>
      </c>
      <c r="AF41" s="60"/>
      <c r="AG41" s="41">
        <v>26</v>
      </c>
      <c r="AH41" s="36"/>
      <c r="AI41" s="82">
        <f t="shared" si="1"/>
        <v>28.16</v>
      </c>
    </row>
    <row r="42" spans="2:35" s="20" customFormat="1" ht="32.1" customHeight="1" thickBot="1" x14ac:dyDescent="0.3">
      <c r="B42" s="22" t="s">
        <v>69</v>
      </c>
      <c r="C42" s="23">
        <v>650</v>
      </c>
      <c r="D42" s="23"/>
      <c r="E42" s="23">
        <f t="shared" si="2"/>
        <v>650</v>
      </c>
      <c r="F42" s="85"/>
      <c r="G42" s="86">
        <v>100</v>
      </c>
      <c r="H42" s="87" t="str">
        <f t="shared" si="11"/>
        <v/>
      </c>
      <c r="I42" s="88">
        <f t="shared" si="4"/>
        <v>0</v>
      </c>
      <c r="J42" s="101"/>
      <c r="K42" s="90"/>
      <c r="L42" s="101"/>
      <c r="M42" s="92"/>
      <c r="N42" s="92"/>
      <c r="O42" s="92"/>
      <c r="P42" s="93" t="str">
        <f t="shared" si="5"/>
        <v/>
      </c>
      <c r="Q42" s="94">
        <f t="shared" si="6"/>
        <v>0</v>
      </c>
      <c r="S42" s="96"/>
      <c r="T42" s="96"/>
      <c r="U42" s="102"/>
      <c r="X42" s="55">
        <f t="shared" si="7"/>
        <v>0</v>
      </c>
      <c r="Y42" s="56">
        <f t="shared" si="0"/>
        <v>0</v>
      </c>
      <c r="Z42" s="35" t="str">
        <f t="shared" si="8"/>
        <v/>
      </c>
      <c r="AA42" s="36"/>
      <c r="AB42" s="57">
        <f t="shared" si="13"/>
        <v>1.85</v>
      </c>
      <c r="AC42" s="58">
        <f t="shared" si="13"/>
        <v>0</v>
      </c>
      <c r="AD42" s="58">
        <f t="shared" si="13"/>
        <v>0.31</v>
      </c>
      <c r="AE42" s="59">
        <f t="shared" si="9"/>
        <v>2.16</v>
      </c>
      <c r="AF42" s="60"/>
      <c r="AG42" s="41">
        <v>26</v>
      </c>
      <c r="AH42" s="36"/>
      <c r="AI42" s="42">
        <f t="shared" si="1"/>
        <v>28.16</v>
      </c>
    </row>
    <row r="43" spans="2:35" s="20" customFormat="1" ht="32.1" customHeight="1" thickBot="1" x14ac:dyDescent="0.3">
      <c r="B43" s="43" t="s">
        <v>70</v>
      </c>
      <c r="C43" s="103">
        <v>650</v>
      </c>
      <c r="D43" s="103"/>
      <c r="E43" s="103">
        <f t="shared" si="2"/>
        <v>650</v>
      </c>
      <c r="F43" s="45"/>
      <c r="G43" s="46">
        <v>100</v>
      </c>
      <c r="H43" s="63" t="str">
        <f t="shared" si="11"/>
        <v/>
      </c>
      <c r="I43" s="48">
        <f t="shared" si="4"/>
        <v>0</v>
      </c>
      <c r="J43" s="83"/>
      <c r="K43" s="64"/>
      <c r="L43" s="83"/>
      <c r="M43" s="65"/>
      <c r="N43" s="65"/>
      <c r="O43" s="65"/>
      <c r="P43" s="51" t="str">
        <f t="shared" si="5"/>
        <v/>
      </c>
      <c r="Q43" s="52">
        <f t="shared" si="6"/>
        <v>0</v>
      </c>
      <c r="S43" s="66"/>
      <c r="T43" s="66"/>
      <c r="U43" s="84"/>
      <c r="X43" s="55">
        <f t="shared" si="7"/>
        <v>0</v>
      </c>
      <c r="Y43" s="56">
        <f t="shared" si="0"/>
        <v>0</v>
      </c>
      <c r="Z43" s="35" t="str">
        <f t="shared" si="8"/>
        <v/>
      </c>
      <c r="AA43" s="36"/>
      <c r="AB43" s="57">
        <f t="shared" si="13"/>
        <v>1.85</v>
      </c>
      <c r="AC43" s="58">
        <f t="shared" si="13"/>
        <v>0</v>
      </c>
      <c r="AD43" s="58">
        <f t="shared" si="13"/>
        <v>0.31</v>
      </c>
      <c r="AE43" s="59">
        <f t="shared" si="9"/>
        <v>2.16</v>
      </c>
      <c r="AF43" s="60"/>
      <c r="AG43" s="41">
        <v>26</v>
      </c>
      <c r="AH43" s="36"/>
      <c r="AI43" s="62">
        <f t="shared" si="1"/>
        <v>28.16</v>
      </c>
    </row>
    <row r="44" spans="2:35" s="20" customFormat="1" ht="32.1" customHeight="1" thickBot="1" x14ac:dyDescent="0.3">
      <c r="B44" s="67" t="s">
        <v>71</v>
      </c>
      <c r="C44" s="98">
        <v>650</v>
      </c>
      <c r="D44" s="98"/>
      <c r="E44" s="98">
        <f t="shared" si="2"/>
        <v>650</v>
      </c>
      <c r="F44" s="69"/>
      <c r="G44" s="70">
        <v>100</v>
      </c>
      <c r="H44" s="71" t="str">
        <f t="shared" si="11"/>
        <v/>
      </c>
      <c r="I44" s="72">
        <f t="shared" si="4"/>
        <v>0</v>
      </c>
      <c r="J44" s="99"/>
      <c r="K44" s="74"/>
      <c r="L44" s="99"/>
      <c r="M44" s="76"/>
      <c r="N44" s="76"/>
      <c r="O44" s="76"/>
      <c r="P44" s="77" t="str">
        <f t="shared" si="5"/>
        <v/>
      </c>
      <c r="Q44" s="78">
        <f t="shared" si="6"/>
        <v>0</v>
      </c>
      <c r="S44" s="80"/>
      <c r="T44" s="80"/>
      <c r="U44" s="100"/>
      <c r="X44" s="55">
        <f t="shared" si="7"/>
        <v>0</v>
      </c>
      <c r="Y44" s="56">
        <f t="shared" si="0"/>
        <v>0</v>
      </c>
      <c r="Z44" s="35" t="str">
        <f t="shared" si="8"/>
        <v/>
      </c>
      <c r="AA44" s="36"/>
      <c r="AB44" s="57">
        <f t="shared" si="13"/>
        <v>1.85</v>
      </c>
      <c r="AC44" s="58">
        <f t="shared" si="13"/>
        <v>0</v>
      </c>
      <c r="AD44" s="58">
        <f t="shared" si="13"/>
        <v>0.31</v>
      </c>
      <c r="AE44" s="59">
        <f t="shared" si="9"/>
        <v>2.16</v>
      </c>
      <c r="AF44" s="60"/>
      <c r="AG44" s="41">
        <v>26</v>
      </c>
      <c r="AH44" s="36"/>
      <c r="AI44" s="82">
        <f t="shared" si="1"/>
        <v>28.16</v>
      </c>
    </row>
    <row r="45" spans="2:35" s="20" customFormat="1" ht="32.1" customHeight="1" thickBot="1" x14ac:dyDescent="0.3">
      <c r="B45" s="104" t="s">
        <v>72</v>
      </c>
      <c r="C45" s="105">
        <v>1102</v>
      </c>
      <c r="D45" s="105"/>
      <c r="E45" s="105">
        <f t="shared" si="2"/>
        <v>1102</v>
      </c>
      <c r="F45" s="85">
        <v>0</v>
      </c>
      <c r="G45" s="86">
        <v>100</v>
      </c>
      <c r="H45" s="87" t="str">
        <f t="shared" si="11"/>
        <v>0 pallets</v>
      </c>
      <c r="I45" s="88">
        <f t="shared" si="4"/>
        <v>0</v>
      </c>
      <c r="J45" s="101"/>
      <c r="K45" s="90"/>
      <c r="L45" s="101"/>
      <c r="M45" s="92"/>
      <c r="N45" s="92"/>
      <c r="O45" s="92"/>
      <c r="P45" s="93" t="str">
        <f t="shared" si="5"/>
        <v/>
      </c>
      <c r="Q45" s="94">
        <f t="shared" si="6"/>
        <v>0</v>
      </c>
      <c r="S45" s="96"/>
      <c r="T45" s="96"/>
      <c r="U45" s="102"/>
      <c r="X45" s="55">
        <f t="shared" si="7"/>
        <v>0</v>
      </c>
      <c r="Y45" s="56">
        <f t="shared" si="0"/>
        <v>0</v>
      </c>
      <c r="Z45" s="35" t="str">
        <f t="shared" si="8"/>
        <v/>
      </c>
      <c r="AA45" s="36"/>
      <c r="AB45" s="57">
        <f t="shared" si="13"/>
        <v>1.85</v>
      </c>
      <c r="AC45" s="58">
        <f t="shared" si="13"/>
        <v>0</v>
      </c>
      <c r="AD45" s="58">
        <f t="shared" si="13"/>
        <v>0.31</v>
      </c>
      <c r="AE45" s="59">
        <f t="shared" si="9"/>
        <v>2.16</v>
      </c>
      <c r="AF45" s="60"/>
      <c r="AG45" s="41">
        <v>26</v>
      </c>
      <c r="AH45" s="36"/>
      <c r="AI45" s="106">
        <f t="shared" si="1"/>
        <v>28.16</v>
      </c>
    </row>
    <row r="46" spans="2:35" s="20" customFormat="1" ht="32.1" customHeight="1" thickBot="1" x14ac:dyDescent="0.3">
      <c r="B46" s="107" t="s">
        <v>73</v>
      </c>
      <c r="C46" s="108">
        <v>1102</v>
      </c>
      <c r="D46" s="108"/>
      <c r="E46" s="108">
        <f t="shared" si="2"/>
        <v>1102</v>
      </c>
      <c r="F46" s="45">
        <v>0</v>
      </c>
      <c r="G46" s="46">
        <v>100</v>
      </c>
      <c r="H46" s="63" t="str">
        <f t="shared" si="11"/>
        <v>0 pallets</v>
      </c>
      <c r="I46" s="48">
        <f t="shared" si="4"/>
        <v>0</v>
      </c>
      <c r="J46" s="83"/>
      <c r="K46" s="64"/>
      <c r="L46" s="83"/>
      <c r="M46" s="65"/>
      <c r="N46" s="65"/>
      <c r="O46" s="65"/>
      <c r="P46" s="51" t="str">
        <f t="shared" si="5"/>
        <v/>
      </c>
      <c r="Q46" s="52">
        <f t="shared" si="6"/>
        <v>0</v>
      </c>
      <c r="S46" s="66"/>
      <c r="T46" s="66"/>
      <c r="U46" s="84"/>
      <c r="X46" s="55">
        <f t="shared" si="7"/>
        <v>0</v>
      </c>
      <c r="Y46" s="56">
        <f t="shared" si="0"/>
        <v>0</v>
      </c>
      <c r="Z46" s="35" t="str">
        <f t="shared" si="8"/>
        <v/>
      </c>
      <c r="AA46" s="36"/>
      <c r="AB46" s="57">
        <f t="shared" si="13"/>
        <v>1.85</v>
      </c>
      <c r="AC46" s="58">
        <f t="shared" si="13"/>
        <v>0</v>
      </c>
      <c r="AD46" s="58">
        <f t="shared" si="13"/>
        <v>0.31</v>
      </c>
      <c r="AE46" s="59">
        <f t="shared" si="9"/>
        <v>2.16</v>
      </c>
      <c r="AF46" s="60"/>
      <c r="AG46" s="41">
        <v>26</v>
      </c>
      <c r="AH46" s="36"/>
      <c r="AI46" s="109">
        <f t="shared" si="1"/>
        <v>28.16</v>
      </c>
    </row>
    <row r="47" spans="2:35" s="20" customFormat="1" ht="32.1" customHeight="1" thickBot="1" x14ac:dyDescent="0.3">
      <c r="B47" s="43" t="s">
        <v>74</v>
      </c>
      <c r="C47" s="108">
        <v>1102</v>
      </c>
      <c r="D47" s="44"/>
      <c r="E47" s="44">
        <f>C47+D47</f>
        <v>1102</v>
      </c>
      <c r="F47" s="45">
        <v>0</v>
      </c>
      <c r="G47" s="46">
        <v>100</v>
      </c>
      <c r="H47" s="63" t="str">
        <f>IF(F47="","",(ROUND((F47/G47),1)&amp;" pallets"))</f>
        <v>0 pallets</v>
      </c>
      <c r="I47" s="48">
        <f>E47*F47</f>
        <v>0</v>
      </c>
      <c r="J47" s="83"/>
      <c r="K47" s="64"/>
      <c r="L47" s="83"/>
      <c r="M47" s="65"/>
      <c r="N47" s="65"/>
      <c r="O47" s="65"/>
      <c r="P47" s="51" t="str">
        <f>IF(M47&amp;N47="","",ROUND(((M47+N47)/G47),1)&amp;" pallets")</f>
        <v/>
      </c>
      <c r="Q47" s="52">
        <f>(J47*M47)+(K47*N47)+(O47*L47)</f>
        <v>0</v>
      </c>
      <c r="S47" s="66"/>
      <c r="T47" s="66"/>
      <c r="U47" s="84"/>
      <c r="X47" s="55">
        <f>F47*C47</f>
        <v>0</v>
      </c>
      <c r="Y47" s="56">
        <f>F47*AI47</f>
        <v>0</v>
      </c>
      <c r="Z47" s="35" t="str">
        <f t="shared" si="8"/>
        <v/>
      </c>
      <c r="AA47" s="36"/>
      <c r="AB47" s="57">
        <f>AB$6</f>
        <v>1.85</v>
      </c>
      <c r="AC47" s="58">
        <f>AC$6</f>
        <v>0</v>
      </c>
      <c r="AD47" s="58">
        <f>AD$6</f>
        <v>0.31</v>
      </c>
      <c r="AE47" s="59">
        <f>AB47+AC47+AD47</f>
        <v>2.16</v>
      </c>
      <c r="AF47" s="60"/>
      <c r="AG47" s="41">
        <v>26</v>
      </c>
      <c r="AH47" s="36"/>
      <c r="AI47" s="62">
        <f>AG47+AE47</f>
        <v>28.16</v>
      </c>
    </row>
    <row r="48" spans="2:35" s="20" customFormat="1" ht="32.1" customHeight="1" thickBot="1" x14ac:dyDescent="0.3">
      <c r="B48" s="107" t="s">
        <v>75</v>
      </c>
      <c r="C48" s="108">
        <v>1770</v>
      </c>
      <c r="D48" s="108"/>
      <c r="E48" s="108">
        <f t="shared" si="2"/>
        <v>1770</v>
      </c>
      <c r="F48" s="45"/>
      <c r="G48" s="46">
        <v>63</v>
      </c>
      <c r="H48" s="63" t="str">
        <f t="shared" si="11"/>
        <v/>
      </c>
      <c r="I48" s="48">
        <f t="shared" si="4"/>
        <v>0</v>
      </c>
      <c r="J48" s="83"/>
      <c r="K48" s="64"/>
      <c r="L48" s="83"/>
      <c r="M48" s="65"/>
      <c r="N48" s="65"/>
      <c r="O48" s="65"/>
      <c r="P48" s="51" t="str">
        <f t="shared" si="5"/>
        <v/>
      </c>
      <c r="Q48" s="52">
        <f t="shared" si="6"/>
        <v>0</v>
      </c>
      <c r="S48" s="66"/>
      <c r="T48" s="66"/>
      <c r="U48" s="84"/>
      <c r="X48" s="55">
        <f t="shared" si="7"/>
        <v>0</v>
      </c>
      <c r="Y48" s="56">
        <f t="shared" si="0"/>
        <v>0</v>
      </c>
      <c r="Z48" s="35" t="str">
        <f t="shared" si="8"/>
        <v/>
      </c>
      <c r="AA48" s="36"/>
      <c r="AB48" s="57">
        <f>AB$7</f>
        <v>3.46</v>
      </c>
      <c r="AC48" s="58">
        <f>AC$7</f>
        <v>0</v>
      </c>
      <c r="AD48" s="58">
        <f>AD$6</f>
        <v>0.31</v>
      </c>
      <c r="AE48" s="59">
        <f t="shared" si="9"/>
        <v>3.77</v>
      </c>
      <c r="AF48" s="60"/>
      <c r="AG48" s="41">
        <v>26</v>
      </c>
      <c r="AH48" s="36"/>
      <c r="AI48" s="109">
        <f t="shared" si="1"/>
        <v>29.77</v>
      </c>
    </row>
    <row r="49" spans="2:35" s="20" customFormat="1" ht="32.1" customHeight="1" thickBot="1" x14ac:dyDescent="0.3">
      <c r="B49" s="67" t="s">
        <v>76</v>
      </c>
      <c r="C49" s="68">
        <v>1770</v>
      </c>
      <c r="D49" s="68"/>
      <c r="E49" s="68">
        <f t="shared" si="2"/>
        <v>1770</v>
      </c>
      <c r="F49" s="69"/>
      <c r="G49" s="70">
        <v>100</v>
      </c>
      <c r="H49" s="71" t="str">
        <f t="shared" si="11"/>
        <v/>
      </c>
      <c r="I49" s="72">
        <f t="shared" si="4"/>
        <v>0</v>
      </c>
      <c r="J49" s="99"/>
      <c r="K49" s="74"/>
      <c r="L49" s="99"/>
      <c r="M49" s="76"/>
      <c r="N49" s="76"/>
      <c r="O49" s="76"/>
      <c r="P49" s="77" t="str">
        <f t="shared" si="5"/>
        <v/>
      </c>
      <c r="Q49" s="78">
        <f t="shared" si="6"/>
        <v>0</v>
      </c>
      <c r="S49" s="80"/>
      <c r="T49" s="80"/>
      <c r="U49" s="100"/>
      <c r="X49" s="55">
        <f t="shared" si="7"/>
        <v>0</v>
      </c>
      <c r="Y49" s="56">
        <f t="shared" si="0"/>
        <v>0</v>
      </c>
      <c r="Z49" s="35" t="str">
        <f t="shared" si="8"/>
        <v/>
      </c>
      <c r="AA49" s="36"/>
      <c r="AB49" s="57">
        <f>AB$6</f>
        <v>1.85</v>
      </c>
      <c r="AC49" s="58">
        <f>AC$6</f>
        <v>0</v>
      </c>
      <c r="AD49" s="58">
        <f>AD$6</f>
        <v>0.31</v>
      </c>
      <c r="AE49" s="59">
        <f t="shared" si="9"/>
        <v>2.16</v>
      </c>
      <c r="AF49" s="60"/>
      <c r="AG49" s="41">
        <v>26</v>
      </c>
      <c r="AH49" s="36"/>
      <c r="AI49" s="82">
        <f t="shared" si="1"/>
        <v>28.16</v>
      </c>
    </row>
    <row r="50" spans="2:35" s="20" customFormat="1" ht="32.1" hidden="1" customHeight="1" x14ac:dyDescent="0.25">
      <c r="B50" s="104" t="s">
        <v>77</v>
      </c>
      <c r="C50" s="105"/>
      <c r="D50" s="105"/>
      <c r="E50" s="105">
        <f t="shared" si="2"/>
        <v>0</v>
      </c>
      <c r="F50" s="45"/>
      <c r="G50" s="46">
        <v>6</v>
      </c>
      <c r="H50" s="63" t="str">
        <f t="shared" si="11"/>
        <v/>
      </c>
      <c r="I50" s="48">
        <f t="shared" si="4"/>
        <v>0</v>
      </c>
      <c r="J50" s="49">
        <v>1</v>
      </c>
      <c r="K50" s="64"/>
      <c r="L50" s="83"/>
      <c r="M50" s="50"/>
      <c r="N50" s="65"/>
      <c r="O50" s="65"/>
      <c r="P50" s="51" t="str">
        <f t="shared" si="5"/>
        <v/>
      </c>
      <c r="Q50" s="52">
        <f t="shared" si="6"/>
        <v>0</v>
      </c>
      <c r="S50" s="53"/>
      <c r="T50" s="66"/>
      <c r="U50" s="84"/>
      <c r="X50" s="55">
        <f t="shared" si="7"/>
        <v>0</v>
      </c>
      <c r="Y50" s="56">
        <f t="shared" si="0"/>
        <v>0</v>
      </c>
      <c r="Z50" s="35" t="str">
        <f t="shared" si="8"/>
        <v/>
      </c>
      <c r="AA50" s="36"/>
      <c r="AB50" s="57"/>
      <c r="AC50" s="58"/>
      <c r="AD50" s="58"/>
      <c r="AE50" s="59">
        <f t="shared" si="9"/>
        <v>0</v>
      </c>
      <c r="AF50" s="60"/>
      <c r="AG50" s="41">
        <v>26</v>
      </c>
      <c r="AH50" s="36"/>
      <c r="AI50" s="106">
        <f t="shared" si="1"/>
        <v>26</v>
      </c>
    </row>
    <row r="51" spans="2:35" s="20" customFormat="1" ht="32.1" hidden="1" customHeight="1" x14ac:dyDescent="0.25">
      <c r="B51" s="107" t="s">
        <v>78</v>
      </c>
      <c r="C51" s="110"/>
      <c r="D51" s="110"/>
      <c r="E51" s="110">
        <f t="shared" si="2"/>
        <v>0</v>
      </c>
      <c r="F51" s="45"/>
      <c r="G51" s="46">
        <v>12</v>
      </c>
      <c r="H51" s="63" t="str">
        <f t="shared" si="11"/>
        <v/>
      </c>
      <c r="I51" s="48">
        <f t="shared" si="4"/>
        <v>0</v>
      </c>
      <c r="J51" s="49">
        <v>1</v>
      </c>
      <c r="K51" s="64"/>
      <c r="L51" s="83"/>
      <c r="M51" s="50"/>
      <c r="N51" s="65"/>
      <c r="O51" s="65"/>
      <c r="P51" s="51" t="str">
        <f t="shared" si="5"/>
        <v/>
      </c>
      <c r="Q51" s="52">
        <f t="shared" si="6"/>
        <v>0</v>
      </c>
      <c r="S51" s="53"/>
      <c r="T51" s="66"/>
      <c r="U51" s="84"/>
      <c r="X51" s="55">
        <f t="shared" si="7"/>
        <v>0</v>
      </c>
      <c r="Y51" s="56">
        <f t="shared" si="0"/>
        <v>0</v>
      </c>
      <c r="Z51" s="35" t="str">
        <f t="shared" si="8"/>
        <v/>
      </c>
      <c r="AA51" s="36"/>
      <c r="AB51" s="57"/>
      <c r="AC51" s="58"/>
      <c r="AD51" s="58"/>
      <c r="AE51" s="59">
        <f t="shared" si="9"/>
        <v>0</v>
      </c>
      <c r="AF51" s="60"/>
      <c r="AG51" s="41">
        <v>26</v>
      </c>
      <c r="AH51" s="36"/>
      <c r="AI51" s="109">
        <f t="shared" si="1"/>
        <v>26</v>
      </c>
    </row>
    <row r="52" spans="2:35" s="20" customFormat="1" ht="32.1" hidden="1" customHeight="1" x14ac:dyDescent="0.25">
      <c r="B52" s="67" t="s">
        <v>79</v>
      </c>
      <c r="C52" s="68"/>
      <c r="D52" s="68"/>
      <c r="E52" s="68">
        <f t="shared" si="2"/>
        <v>0</v>
      </c>
      <c r="F52" s="69"/>
      <c r="G52" s="70">
        <v>6</v>
      </c>
      <c r="H52" s="71" t="str">
        <f t="shared" si="11"/>
        <v/>
      </c>
      <c r="I52" s="72">
        <f t="shared" si="4"/>
        <v>0</v>
      </c>
      <c r="J52" s="73">
        <v>1</v>
      </c>
      <c r="K52" s="74"/>
      <c r="L52" s="99"/>
      <c r="M52" s="75"/>
      <c r="N52" s="76"/>
      <c r="O52" s="76"/>
      <c r="P52" s="77" t="str">
        <f t="shared" si="5"/>
        <v/>
      </c>
      <c r="Q52" s="78">
        <f t="shared" si="6"/>
        <v>0</v>
      </c>
      <c r="S52" s="79"/>
      <c r="T52" s="80"/>
      <c r="U52" s="100"/>
      <c r="X52" s="55">
        <f t="shared" si="7"/>
        <v>0</v>
      </c>
      <c r="Y52" s="56">
        <f t="shared" si="0"/>
        <v>0</v>
      </c>
      <c r="Z52" s="35" t="str">
        <f t="shared" si="8"/>
        <v/>
      </c>
      <c r="AA52" s="36"/>
      <c r="AB52" s="57"/>
      <c r="AC52" s="58"/>
      <c r="AD52" s="58"/>
      <c r="AE52" s="59">
        <f t="shared" si="9"/>
        <v>0</v>
      </c>
      <c r="AF52" s="60"/>
      <c r="AG52" s="41">
        <v>26</v>
      </c>
      <c r="AH52" s="36"/>
      <c r="AI52" s="82">
        <f t="shared" si="1"/>
        <v>26</v>
      </c>
    </row>
    <row r="53" spans="2:35" s="20" customFormat="1" ht="32.1" customHeight="1" thickBot="1" x14ac:dyDescent="0.3">
      <c r="B53" s="43" t="s">
        <v>80</v>
      </c>
      <c r="C53" s="44">
        <v>851</v>
      </c>
      <c r="D53" s="44">
        <v>120</v>
      </c>
      <c r="E53" s="44">
        <f t="shared" si="2"/>
        <v>971</v>
      </c>
      <c r="F53" s="45"/>
      <c r="G53" s="46">
        <v>63</v>
      </c>
      <c r="H53" s="63" t="str">
        <f t="shared" si="11"/>
        <v/>
      </c>
      <c r="I53" s="48">
        <f t="shared" si="4"/>
        <v>0</v>
      </c>
      <c r="J53" s="49">
        <v>120</v>
      </c>
      <c r="K53" s="64"/>
      <c r="L53" s="83"/>
      <c r="M53" s="50"/>
      <c r="N53" s="65"/>
      <c r="O53" s="65"/>
      <c r="P53" s="51" t="str">
        <f t="shared" si="5"/>
        <v/>
      </c>
      <c r="Q53" s="52">
        <f t="shared" si="6"/>
        <v>0</v>
      </c>
      <c r="S53" s="53"/>
      <c r="T53" s="66"/>
      <c r="U53" s="84"/>
      <c r="X53" s="55">
        <f t="shared" si="7"/>
        <v>0</v>
      </c>
      <c r="Y53" s="56">
        <f t="shared" si="0"/>
        <v>0</v>
      </c>
      <c r="Z53" s="35" t="str">
        <f t="shared" si="8"/>
        <v/>
      </c>
      <c r="AA53" s="36"/>
      <c r="AB53" s="57">
        <f>AB$2</f>
        <v>5.76</v>
      </c>
      <c r="AC53" s="58">
        <f>AC$2</f>
        <v>0</v>
      </c>
      <c r="AD53" s="58">
        <f>AD$2</f>
        <v>0.31</v>
      </c>
      <c r="AE53" s="59">
        <f t="shared" si="9"/>
        <v>6.0699999999999994</v>
      </c>
      <c r="AF53" s="60"/>
      <c r="AG53" s="41">
        <v>26</v>
      </c>
      <c r="AH53" s="36"/>
      <c r="AI53" s="62">
        <f t="shared" si="1"/>
        <v>32.07</v>
      </c>
    </row>
    <row r="54" spans="2:35" s="20" customFormat="1" ht="32.1" customHeight="1" thickBot="1" x14ac:dyDescent="0.3">
      <c r="B54" s="111" t="s">
        <v>81</v>
      </c>
      <c r="C54" s="112">
        <v>1102</v>
      </c>
      <c r="D54" s="112">
        <v>0</v>
      </c>
      <c r="E54" s="112">
        <f t="shared" si="2"/>
        <v>1102</v>
      </c>
      <c r="F54" s="113"/>
      <c r="G54" s="114">
        <v>100</v>
      </c>
      <c r="H54" s="115" t="str">
        <f t="shared" si="11"/>
        <v/>
      </c>
      <c r="I54" s="116">
        <f t="shared" si="4"/>
        <v>0</v>
      </c>
      <c r="J54" s="117"/>
      <c r="K54" s="118"/>
      <c r="L54" s="117"/>
      <c r="M54" s="119"/>
      <c r="N54" s="119"/>
      <c r="O54" s="119"/>
      <c r="P54" s="120" t="str">
        <f t="shared" si="5"/>
        <v/>
      </c>
      <c r="Q54" s="121">
        <f t="shared" si="6"/>
        <v>0</v>
      </c>
      <c r="S54" s="122"/>
      <c r="T54" s="122"/>
      <c r="U54" s="123"/>
      <c r="X54" s="55">
        <f t="shared" si="7"/>
        <v>0</v>
      </c>
      <c r="Y54" s="56">
        <f t="shared" si="0"/>
        <v>0</v>
      </c>
      <c r="Z54" s="35" t="str">
        <f t="shared" si="8"/>
        <v/>
      </c>
      <c r="AA54" s="36"/>
      <c r="AB54" s="57">
        <f>AB$6</f>
        <v>1.85</v>
      </c>
      <c r="AC54" s="58">
        <f>AC$6</f>
        <v>0</v>
      </c>
      <c r="AD54" s="58">
        <f>AD$6</f>
        <v>0.31</v>
      </c>
      <c r="AE54" s="59">
        <f t="shared" si="9"/>
        <v>2.16</v>
      </c>
      <c r="AF54" s="60"/>
      <c r="AG54" s="41">
        <v>26</v>
      </c>
      <c r="AH54" s="36"/>
      <c r="AI54" s="124">
        <f t="shared" si="1"/>
        <v>28.16</v>
      </c>
    </row>
    <row r="55" spans="2:35" s="20" customFormat="1" ht="32.1" hidden="1" customHeight="1" x14ac:dyDescent="0.25">
      <c r="B55" s="22" t="s">
        <v>82</v>
      </c>
      <c r="C55" s="23"/>
      <c r="D55" s="23"/>
      <c r="E55" s="23">
        <f t="shared" si="2"/>
        <v>0</v>
      </c>
      <c r="F55" s="85"/>
      <c r="G55" s="86">
        <v>72</v>
      </c>
      <c r="H55" s="87" t="str">
        <f t="shared" si="11"/>
        <v/>
      </c>
      <c r="I55" s="88">
        <f t="shared" si="4"/>
        <v>0</v>
      </c>
      <c r="J55" s="101"/>
      <c r="K55" s="90"/>
      <c r="L55" s="101"/>
      <c r="M55" s="92"/>
      <c r="N55" s="92"/>
      <c r="O55" s="92"/>
      <c r="P55" s="93" t="str">
        <f t="shared" si="5"/>
        <v/>
      </c>
      <c r="Q55" s="94">
        <f t="shared" si="6"/>
        <v>0</v>
      </c>
      <c r="S55" s="96"/>
      <c r="T55" s="96"/>
      <c r="U55" s="102"/>
      <c r="X55" s="55">
        <f t="shared" si="7"/>
        <v>0</v>
      </c>
      <c r="Y55" s="56">
        <f t="shared" si="0"/>
        <v>0</v>
      </c>
      <c r="Z55" s="35" t="str">
        <f t="shared" si="8"/>
        <v/>
      </c>
      <c r="AA55" s="36"/>
      <c r="AB55" s="57">
        <v>1.69</v>
      </c>
      <c r="AC55" s="58">
        <v>1.69</v>
      </c>
      <c r="AD55" s="58">
        <v>1.69</v>
      </c>
      <c r="AE55" s="59">
        <f t="shared" si="9"/>
        <v>5.07</v>
      </c>
      <c r="AF55" s="60"/>
      <c r="AG55" s="41">
        <v>26</v>
      </c>
      <c r="AH55" s="36"/>
      <c r="AI55" s="42">
        <f t="shared" si="1"/>
        <v>31.07</v>
      </c>
    </row>
    <row r="56" spans="2:35" s="20" customFormat="1" ht="32.1" customHeight="1" thickBot="1" x14ac:dyDescent="0.3">
      <c r="B56" s="111" t="s">
        <v>83</v>
      </c>
      <c r="C56" s="112">
        <v>1142</v>
      </c>
      <c r="D56" s="112">
        <v>0</v>
      </c>
      <c r="E56" s="112">
        <f t="shared" si="2"/>
        <v>1142</v>
      </c>
      <c r="F56" s="113"/>
      <c r="G56" s="114">
        <v>100</v>
      </c>
      <c r="H56" s="115" t="str">
        <f t="shared" si="11"/>
        <v/>
      </c>
      <c r="I56" s="116">
        <f t="shared" si="4"/>
        <v>0</v>
      </c>
      <c r="J56" s="117"/>
      <c r="K56" s="118"/>
      <c r="L56" s="117"/>
      <c r="M56" s="119"/>
      <c r="N56" s="119"/>
      <c r="O56" s="119"/>
      <c r="P56" s="120" t="str">
        <f t="shared" si="5"/>
        <v/>
      </c>
      <c r="Q56" s="121">
        <f t="shared" si="6"/>
        <v>0</v>
      </c>
      <c r="S56" s="122"/>
      <c r="T56" s="122"/>
      <c r="U56" s="123"/>
      <c r="X56" s="55">
        <f t="shared" si="7"/>
        <v>0</v>
      </c>
      <c r="Y56" s="56">
        <f t="shared" si="0"/>
        <v>0</v>
      </c>
      <c r="Z56" s="35" t="str">
        <f t="shared" si="8"/>
        <v/>
      </c>
      <c r="AA56" s="36"/>
      <c r="AB56" s="57">
        <f t="shared" ref="AB56:AD59" si="19">AB$6</f>
        <v>1.85</v>
      </c>
      <c r="AC56" s="58">
        <f t="shared" si="19"/>
        <v>0</v>
      </c>
      <c r="AD56" s="58">
        <f t="shared" si="19"/>
        <v>0.31</v>
      </c>
      <c r="AE56" s="59">
        <f t="shared" si="9"/>
        <v>2.16</v>
      </c>
      <c r="AF56" s="60"/>
      <c r="AG56" s="41">
        <v>26</v>
      </c>
      <c r="AH56" s="36"/>
      <c r="AI56" s="124">
        <f t="shared" si="1"/>
        <v>28.16</v>
      </c>
    </row>
    <row r="57" spans="2:35" s="20" customFormat="1" ht="32.1" customHeight="1" thickBot="1" x14ac:dyDescent="0.3">
      <c r="B57" s="111" t="s">
        <v>84</v>
      </c>
      <c r="C57" s="112">
        <v>1582</v>
      </c>
      <c r="D57" s="112">
        <v>0</v>
      </c>
      <c r="E57" s="112">
        <f t="shared" si="2"/>
        <v>1582</v>
      </c>
      <c r="F57" s="113"/>
      <c r="G57" s="114">
        <v>100</v>
      </c>
      <c r="H57" s="115" t="str">
        <f t="shared" si="11"/>
        <v/>
      </c>
      <c r="I57" s="116">
        <f t="shared" si="4"/>
        <v>0</v>
      </c>
      <c r="J57" s="117"/>
      <c r="K57" s="118"/>
      <c r="L57" s="117"/>
      <c r="M57" s="119"/>
      <c r="N57" s="119"/>
      <c r="O57" s="119"/>
      <c r="P57" s="120" t="str">
        <f t="shared" si="5"/>
        <v/>
      </c>
      <c r="Q57" s="121">
        <f t="shared" si="6"/>
        <v>0</v>
      </c>
      <c r="S57" s="122"/>
      <c r="T57" s="122"/>
      <c r="U57" s="123"/>
      <c r="X57" s="55">
        <f t="shared" si="7"/>
        <v>0</v>
      </c>
      <c r="Y57" s="56">
        <f t="shared" si="0"/>
        <v>0</v>
      </c>
      <c r="Z57" s="35" t="str">
        <f t="shared" si="8"/>
        <v/>
      </c>
      <c r="AA57" s="36"/>
      <c r="AB57" s="57">
        <f t="shared" si="19"/>
        <v>1.85</v>
      </c>
      <c r="AC57" s="58">
        <f t="shared" si="19"/>
        <v>0</v>
      </c>
      <c r="AD57" s="58">
        <f t="shared" si="19"/>
        <v>0.31</v>
      </c>
      <c r="AE57" s="59">
        <f t="shared" si="9"/>
        <v>2.16</v>
      </c>
      <c r="AF57" s="60"/>
      <c r="AG57" s="41">
        <v>26</v>
      </c>
      <c r="AH57" s="36"/>
      <c r="AI57" s="124">
        <f t="shared" si="1"/>
        <v>28.16</v>
      </c>
    </row>
    <row r="58" spans="2:35" s="20" customFormat="1" ht="32.1" customHeight="1" thickBot="1" x14ac:dyDescent="0.3">
      <c r="B58" s="111" t="s">
        <v>85</v>
      </c>
      <c r="C58" s="112">
        <v>1582</v>
      </c>
      <c r="D58" s="112">
        <v>0</v>
      </c>
      <c r="E58" s="112">
        <f t="shared" si="2"/>
        <v>1582</v>
      </c>
      <c r="F58" s="113"/>
      <c r="G58" s="114">
        <v>100</v>
      </c>
      <c r="H58" s="115" t="str">
        <f t="shared" si="11"/>
        <v/>
      </c>
      <c r="I58" s="116">
        <f t="shared" si="4"/>
        <v>0</v>
      </c>
      <c r="J58" s="117"/>
      <c r="K58" s="118"/>
      <c r="L58" s="117"/>
      <c r="M58" s="119"/>
      <c r="N58" s="119"/>
      <c r="O58" s="119"/>
      <c r="P58" s="120" t="str">
        <f t="shared" si="5"/>
        <v/>
      </c>
      <c r="Q58" s="121">
        <f t="shared" si="6"/>
        <v>0</v>
      </c>
      <c r="S58" s="122"/>
      <c r="T58" s="122"/>
      <c r="U58" s="123"/>
      <c r="X58" s="55">
        <f t="shared" si="7"/>
        <v>0</v>
      </c>
      <c r="Y58" s="56">
        <f t="shared" si="0"/>
        <v>0</v>
      </c>
      <c r="Z58" s="35" t="str">
        <f t="shared" si="8"/>
        <v/>
      </c>
      <c r="AA58" s="36"/>
      <c r="AB58" s="57">
        <f t="shared" si="19"/>
        <v>1.85</v>
      </c>
      <c r="AC58" s="58">
        <f t="shared" si="19"/>
        <v>0</v>
      </c>
      <c r="AD58" s="58">
        <f t="shared" si="19"/>
        <v>0.31</v>
      </c>
      <c r="AE58" s="59">
        <f t="shared" si="9"/>
        <v>2.16</v>
      </c>
      <c r="AF58" s="60"/>
      <c r="AG58" s="41">
        <v>26</v>
      </c>
      <c r="AH58" s="36"/>
      <c r="AI58" s="124">
        <f t="shared" si="1"/>
        <v>28.16</v>
      </c>
    </row>
    <row r="59" spans="2:35" s="20" customFormat="1" ht="32.1" customHeight="1" thickBot="1" x14ac:dyDescent="0.3">
      <c r="B59" s="111" t="s">
        <v>86</v>
      </c>
      <c r="C59" s="112">
        <v>1582</v>
      </c>
      <c r="D59" s="112">
        <v>0</v>
      </c>
      <c r="E59" s="112">
        <f t="shared" si="2"/>
        <v>1582</v>
      </c>
      <c r="F59" s="113"/>
      <c r="G59" s="114">
        <v>100</v>
      </c>
      <c r="H59" s="115" t="str">
        <f t="shared" si="11"/>
        <v/>
      </c>
      <c r="I59" s="116">
        <f t="shared" si="4"/>
        <v>0</v>
      </c>
      <c r="J59" s="117"/>
      <c r="K59" s="118"/>
      <c r="L59" s="117"/>
      <c r="M59" s="119"/>
      <c r="N59" s="119"/>
      <c r="O59" s="119"/>
      <c r="P59" s="120" t="str">
        <f t="shared" si="5"/>
        <v/>
      </c>
      <c r="Q59" s="121">
        <f t="shared" si="6"/>
        <v>0</v>
      </c>
      <c r="S59" s="122"/>
      <c r="T59" s="122"/>
      <c r="U59" s="123"/>
      <c r="X59" s="55">
        <f t="shared" si="7"/>
        <v>0</v>
      </c>
      <c r="Y59" s="56">
        <f t="shared" si="0"/>
        <v>0</v>
      </c>
      <c r="Z59" s="35" t="str">
        <f t="shared" si="8"/>
        <v/>
      </c>
      <c r="AA59" s="36"/>
      <c r="AB59" s="57">
        <f t="shared" si="19"/>
        <v>1.85</v>
      </c>
      <c r="AC59" s="58">
        <f t="shared" si="19"/>
        <v>0</v>
      </c>
      <c r="AD59" s="58">
        <f t="shared" si="19"/>
        <v>0.31</v>
      </c>
      <c r="AE59" s="59">
        <f t="shared" si="9"/>
        <v>2.16</v>
      </c>
      <c r="AF59" s="60"/>
      <c r="AG59" s="41">
        <v>26</v>
      </c>
      <c r="AH59" s="36"/>
      <c r="AI59" s="124">
        <f t="shared" si="1"/>
        <v>28.16</v>
      </c>
    </row>
    <row r="60" spans="2:35" s="20" customFormat="1" ht="32.1" customHeight="1" x14ac:dyDescent="0.25">
      <c r="B60" s="43" t="s">
        <v>87</v>
      </c>
      <c r="C60" s="44">
        <v>229</v>
      </c>
      <c r="D60" s="44">
        <v>78</v>
      </c>
      <c r="E60" s="44">
        <f t="shared" si="2"/>
        <v>307</v>
      </c>
      <c r="F60" s="45"/>
      <c r="G60" s="46">
        <v>72</v>
      </c>
      <c r="H60" s="63" t="str">
        <f t="shared" si="11"/>
        <v/>
      </c>
      <c r="I60" s="48">
        <f t="shared" si="4"/>
        <v>0</v>
      </c>
      <c r="J60" s="49">
        <v>78</v>
      </c>
      <c r="K60" s="125">
        <v>42</v>
      </c>
      <c r="L60" s="49">
        <v>1.5</v>
      </c>
      <c r="M60" s="50"/>
      <c r="N60" s="50"/>
      <c r="O60" s="50"/>
      <c r="P60" s="51" t="str">
        <f t="shared" si="5"/>
        <v/>
      </c>
      <c r="Q60" s="52">
        <f>(J60*M60)+(K60*N60)+(O60*L60)</f>
        <v>0</v>
      </c>
      <c r="S60" s="53"/>
      <c r="T60" s="53"/>
      <c r="U60" s="54"/>
      <c r="X60" s="55">
        <f t="shared" si="7"/>
        <v>0</v>
      </c>
      <c r="Y60" s="56">
        <f t="shared" si="0"/>
        <v>0</v>
      </c>
      <c r="Z60" s="56"/>
      <c r="AA60" s="36"/>
      <c r="AB60" s="57">
        <f t="shared" ref="AB60:AC62" si="20">AB$1</f>
        <v>5.0599999999999996</v>
      </c>
      <c r="AC60" s="58">
        <f t="shared" si="20"/>
        <v>0</v>
      </c>
      <c r="AD60" s="58"/>
      <c r="AE60" s="59">
        <f t="shared" si="9"/>
        <v>5.0599999999999996</v>
      </c>
      <c r="AF60" s="60"/>
      <c r="AG60" s="61">
        <v>20.5</v>
      </c>
      <c r="AH60" s="36"/>
      <c r="AI60" s="62">
        <f>AG60+AE60</f>
        <v>25.56</v>
      </c>
    </row>
    <row r="61" spans="2:35" s="20" customFormat="1" ht="32.1" customHeight="1" x14ac:dyDescent="0.25">
      <c r="B61" s="43" t="s">
        <v>88</v>
      </c>
      <c r="C61" s="44">
        <v>229</v>
      </c>
      <c r="D61" s="44">
        <v>78</v>
      </c>
      <c r="E61" s="44">
        <f t="shared" si="2"/>
        <v>307</v>
      </c>
      <c r="F61" s="45"/>
      <c r="G61" s="46">
        <v>72</v>
      </c>
      <c r="H61" s="63"/>
      <c r="I61" s="48">
        <f t="shared" si="4"/>
        <v>0</v>
      </c>
      <c r="J61" s="83"/>
      <c r="K61" s="64"/>
      <c r="L61" s="49">
        <v>1.5</v>
      </c>
      <c r="M61" s="92"/>
      <c r="N61" s="65"/>
      <c r="O61" s="50"/>
      <c r="P61" s="51" t="str">
        <f t="shared" si="5"/>
        <v/>
      </c>
      <c r="Q61" s="52">
        <f t="shared" si="6"/>
        <v>0</v>
      </c>
      <c r="S61" s="53"/>
      <c r="T61" s="66"/>
      <c r="U61" s="54"/>
      <c r="X61" s="55">
        <f t="shared" si="7"/>
        <v>0</v>
      </c>
      <c r="Y61" s="56">
        <f t="shared" si="0"/>
        <v>0</v>
      </c>
      <c r="Z61" s="56"/>
      <c r="AA61" s="36"/>
      <c r="AB61" s="57">
        <f t="shared" si="20"/>
        <v>5.0599999999999996</v>
      </c>
      <c r="AC61" s="58">
        <f t="shared" si="20"/>
        <v>0</v>
      </c>
      <c r="AD61" s="58"/>
      <c r="AE61" s="59">
        <f t="shared" si="9"/>
        <v>5.0599999999999996</v>
      </c>
      <c r="AF61" s="60"/>
      <c r="AG61" s="61">
        <v>20.5</v>
      </c>
      <c r="AH61" s="36"/>
      <c r="AI61" s="62">
        <f t="shared" si="1"/>
        <v>25.56</v>
      </c>
    </row>
    <row r="62" spans="2:35" s="20" customFormat="1" ht="32.1" customHeight="1" x14ac:dyDescent="0.25">
      <c r="B62" s="43" t="s">
        <v>89</v>
      </c>
      <c r="C62" s="44">
        <v>229</v>
      </c>
      <c r="D62" s="44">
        <v>78</v>
      </c>
      <c r="E62" s="44">
        <f t="shared" si="2"/>
        <v>307</v>
      </c>
      <c r="F62" s="45"/>
      <c r="G62" s="46">
        <v>72</v>
      </c>
      <c r="H62" s="63" t="str">
        <f t="shared" si="11"/>
        <v/>
      </c>
      <c r="I62" s="48">
        <f t="shared" si="4"/>
        <v>0</v>
      </c>
      <c r="J62" s="83"/>
      <c r="K62" s="64"/>
      <c r="L62" s="49">
        <v>1.5</v>
      </c>
      <c r="M62" s="65"/>
      <c r="N62" s="65"/>
      <c r="O62" s="50"/>
      <c r="P62" s="51" t="str">
        <f t="shared" si="5"/>
        <v/>
      </c>
      <c r="Q62" s="52">
        <f t="shared" si="6"/>
        <v>0</v>
      </c>
      <c r="S62" s="53"/>
      <c r="T62" s="66"/>
      <c r="U62" s="54"/>
      <c r="X62" s="55">
        <f t="shared" si="7"/>
        <v>0</v>
      </c>
      <c r="Y62" s="56">
        <f t="shared" si="0"/>
        <v>0</v>
      </c>
      <c r="Z62" s="56"/>
      <c r="AA62" s="36"/>
      <c r="AB62" s="57">
        <f t="shared" si="20"/>
        <v>5.0599999999999996</v>
      </c>
      <c r="AC62" s="58">
        <f t="shared" si="20"/>
        <v>0</v>
      </c>
      <c r="AD62" s="58"/>
      <c r="AE62" s="59">
        <f t="shared" si="9"/>
        <v>5.0599999999999996</v>
      </c>
      <c r="AF62" s="60"/>
      <c r="AG62" s="61">
        <v>20.5</v>
      </c>
      <c r="AH62" s="36"/>
      <c r="AI62" s="62">
        <f t="shared" si="1"/>
        <v>25.56</v>
      </c>
    </row>
    <row r="63" spans="2:35" s="20" customFormat="1" ht="32.1" hidden="1" customHeight="1" x14ac:dyDescent="0.25">
      <c r="B63" s="43" t="s">
        <v>90</v>
      </c>
      <c r="C63" s="44">
        <v>229</v>
      </c>
      <c r="D63" s="44">
        <v>283</v>
      </c>
      <c r="E63" s="44">
        <f t="shared" si="2"/>
        <v>512</v>
      </c>
      <c r="F63" s="45"/>
      <c r="G63" s="46">
        <v>72</v>
      </c>
      <c r="H63" s="63" t="str">
        <f t="shared" si="11"/>
        <v/>
      </c>
      <c r="I63" s="48">
        <f t="shared" si="4"/>
        <v>0</v>
      </c>
      <c r="J63" s="83"/>
      <c r="K63" s="64"/>
      <c r="L63" s="49">
        <v>1.5</v>
      </c>
      <c r="M63" s="65"/>
      <c r="N63" s="65"/>
      <c r="O63" s="50"/>
      <c r="P63" s="51" t="str">
        <f t="shared" si="5"/>
        <v/>
      </c>
      <c r="Q63" s="52">
        <f t="shared" si="6"/>
        <v>0</v>
      </c>
      <c r="S63" s="53"/>
      <c r="T63" s="66"/>
      <c r="U63" s="54"/>
      <c r="X63" s="55">
        <f t="shared" si="7"/>
        <v>0</v>
      </c>
      <c r="Y63" s="56">
        <f t="shared" si="0"/>
        <v>0</v>
      </c>
      <c r="Z63" s="56"/>
      <c r="AA63" s="36"/>
      <c r="AB63" s="57">
        <v>1.69</v>
      </c>
      <c r="AC63" s="58">
        <v>1.69</v>
      </c>
      <c r="AD63" s="58"/>
      <c r="AE63" s="59">
        <f t="shared" si="9"/>
        <v>3.38</v>
      </c>
      <c r="AF63" s="60"/>
      <c r="AG63" s="61">
        <v>20.5</v>
      </c>
      <c r="AH63" s="36"/>
      <c r="AI63" s="62">
        <f t="shared" si="1"/>
        <v>23.88</v>
      </c>
    </row>
    <row r="64" spans="2:35" s="20" customFormat="1" ht="32.1" customHeight="1" x14ac:dyDescent="0.25">
      <c r="B64" s="67" t="s">
        <v>91</v>
      </c>
      <c r="C64" s="44">
        <v>229</v>
      </c>
      <c r="D64" s="68">
        <v>78</v>
      </c>
      <c r="E64" s="68">
        <f t="shared" si="2"/>
        <v>307</v>
      </c>
      <c r="F64" s="69"/>
      <c r="G64" s="70">
        <v>72</v>
      </c>
      <c r="H64" s="71" t="str">
        <f t="shared" si="11"/>
        <v/>
      </c>
      <c r="I64" s="72">
        <f t="shared" si="4"/>
        <v>0</v>
      </c>
      <c r="J64" s="99"/>
      <c r="K64" s="74"/>
      <c r="L64" s="73">
        <v>1.5</v>
      </c>
      <c r="M64" s="92"/>
      <c r="N64" s="76"/>
      <c r="O64" s="75"/>
      <c r="P64" s="77" t="str">
        <f t="shared" si="5"/>
        <v/>
      </c>
      <c r="Q64" s="78">
        <f t="shared" si="6"/>
        <v>0</v>
      </c>
      <c r="S64" s="79"/>
      <c r="T64" s="80"/>
      <c r="U64" s="81"/>
      <c r="X64" s="55">
        <f t="shared" si="7"/>
        <v>0</v>
      </c>
      <c r="Y64" s="56">
        <f t="shared" si="0"/>
        <v>0</v>
      </c>
      <c r="Z64" s="56"/>
      <c r="AA64" s="36"/>
      <c r="AB64" s="57">
        <f>AB$1</f>
        <v>5.0599999999999996</v>
      </c>
      <c r="AC64" s="58">
        <f>AC$1</f>
        <v>0</v>
      </c>
      <c r="AD64" s="58"/>
      <c r="AE64" s="59">
        <f t="shared" si="9"/>
        <v>5.0599999999999996</v>
      </c>
      <c r="AF64" s="60"/>
      <c r="AG64" s="61">
        <v>20.5</v>
      </c>
      <c r="AH64" s="36"/>
      <c r="AI64" s="82">
        <f t="shared" si="1"/>
        <v>25.56</v>
      </c>
    </row>
    <row r="65" spans="2:35" s="20" customFormat="1" ht="32.1" customHeight="1" x14ac:dyDescent="0.25">
      <c r="B65" s="22" t="s">
        <v>92</v>
      </c>
      <c r="C65" s="23">
        <v>1582</v>
      </c>
      <c r="D65" s="23"/>
      <c r="E65" s="23">
        <f t="shared" si="2"/>
        <v>1582</v>
      </c>
      <c r="F65" s="85"/>
      <c r="G65" s="86">
        <v>110</v>
      </c>
      <c r="H65" s="87" t="str">
        <f t="shared" si="11"/>
        <v/>
      </c>
      <c r="I65" s="88">
        <f t="shared" si="4"/>
        <v>0</v>
      </c>
      <c r="J65" s="101"/>
      <c r="K65" s="90"/>
      <c r="L65" s="101"/>
      <c r="M65" s="92"/>
      <c r="N65" s="92"/>
      <c r="O65" s="92"/>
      <c r="P65" s="93" t="str">
        <f t="shared" si="5"/>
        <v/>
      </c>
      <c r="Q65" s="94">
        <f t="shared" si="6"/>
        <v>0</v>
      </c>
      <c r="S65" s="96"/>
      <c r="T65" s="96"/>
      <c r="U65" s="102"/>
      <c r="X65" s="55">
        <f t="shared" si="7"/>
        <v>0</v>
      </c>
      <c r="Y65" s="56">
        <f t="shared" si="0"/>
        <v>0</v>
      </c>
      <c r="Z65" s="56" t="str">
        <f>IF($U$6="x",(F65*3.5),"")</f>
        <v/>
      </c>
      <c r="AA65" s="36"/>
      <c r="AB65" s="57">
        <f t="shared" ref="AB65:AD71" si="21">AB$6</f>
        <v>1.85</v>
      </c>
      <c r="AC65" s="58">
        <f t="shared" si="21"/>
        <v>0</v>
      </c>
      <c r="AD65" s="58">
        <f t="shared" si="21"/>
        <v>0.31</v>
      </c>
      <c r="AE65" s="59">
        <f t="shared" si="9"/>
        <v>2.16</v>
      </c>
      <c r="AF65" s="60"/>
      <c r="AG65" s="61">
        <v>26</v>
      </c>
      <c r="AH65" s="36"/>
      <c r="AI65" s="42">
        <f t="shared" si="1"/>
        <v>28.16</v>
      </c>
    </row>
    <row r="66" spans="2:35" s="20" customFormat="1" ht="32.1" customHeight="1" x14ac:dyDescent="0.25">
      <c r="B66" s="43" t="s">
        <v>93</v>
      </c>
      <c r="C66" s="44">
        <v>1582</v>
      </c>
      <c r="D66" s="44"/>
      <c r="E66" s="44">
        <f t="shared" si="2"/>
        <v>1582</v>
      </c>
      <c r="F66" s="45"/>
      <c r="G66" s="46">
        <v>100</v>
      </c>
      <c r="H66" s="63" t="str">
        <f t="shared" si="11"/>
        <v/>
      </c>
      <c r="I66" s="48">
        <f t="shared" si="4"/>
        <v>0</v>
      </c>
      <c r="J66" s="83"/>
      <c r="K66" s="64"/>
      <c r="L66" s="83"/>
      <c r="M66" s="65"/>
      <c r="N66" s="65"/>
      <c r="O66" s="92"/>
      <c r="P66" s="51" t="str">
        <f t="shared" si="5"/>
        <v/>
      </c>
      <c r="Q66" s="52">
        <f t="shared" si="6"/>
        <v>0</v>
      </c>
      <c r="S66" s="66"/>
      <c r="T66" s="66"/>
      <c r="U66" s="102"/>
      <c r="X66" s="55">
        <f t="shared" si="7"/>
        <v>0</v>
      </c>
      <c r="Y66" s="56">
        <f t="shared" si="0"/>
        <v>0</v>
      </c>
      <c r="Z66" s="56" t="str">
        <f t="shared" ref="Z66:Z71" si="22">IF($U$6="x",(F66*3.5),"")</f>
        <v/>
      </c>
      <c r="AA66" s="36"/>
      <c r="AB66" s="57">
        <f t="shared" si="21"/>
        <v>1.85</v>
      </c>
      <c r="AC66" s="58">
        <f t="shared" si="21"/>
        <v>0</v>
      </c>
      <c r="AD66" s="58">
        <f t="shared" si="21"/>
        <v>0.31</v>
      </c>
      <c r="AE66" s="59">
        <f t="shared" si="9"/>
        <v>2.16</v>
      </c>
      <c r="AF66" s="60"/>
      <c r="AG66" s="61">
        <v>26</v>
      </c>
      <c r="AH66" s="36"/>
      <c r="AI66" s="62">
        <f t="shared" si="1"/>
        <v>28.16</v>
      </c>
    </row>
    <row r="67" spans="2:35" s="20" customFormat="1" ht="32.1" customHeight="1" x14ac:dyDescent="0.25">
      <c r="B67" s="43" t="s">
        <v>94</v>
      </c>
      <c r="C67" s="44">
        <v>1102</v>
      </c>
      <c r="D67" s="44"/>
      <c r="E67" s="44">
        <f t="shared" si="2"/>
        <v>1102</v>
      </c>
      <c r="F67" s="45"/>
      <c r="G67" s="46">
        <v>100</v>
      </c>
      <c r="H67" s="63" t="str">
        <f t="shared" si="11"/>
        <v/>
      </c>
      <c r="I67" s="48">
        <f t="shared" si="4"/>
        <v>0</v>
      </c>
      <c r="J67" s="83"/>
      <c r="K67" s="64"/>
      <c r="L67" s="83"/>
      <c r="M67" s="65"/>
      <c r="N67" s="65"/>
      <c r="O67" s="92"/>
      <c r="P67" s="51" t="str">
        <f t="shared" si="5"/>
        <v/>
      </c>
      <c r="Q67" s="52">
        <f t="shared" si="6"/>
        <v>0</v>
      </c>
      <c r="S67" s="66"/>
      <c r="T67" s="66"/>
      <c r="U67" s="102"/>
      <c r="X67" s="55">
        <f t="shared" si="7"/>
        <v>0</v>
      </c>
      <c r="Y67" s="56">
        <f t="shared" si="0"/>
        <v>0</v>
      </c>
      <c r="Z67" s="56" t="str">
        <f t="shared" si="22"/>
        <v/>
      </c>
      <c r="AA67" s="36"/>
      <c r="AB67" s="57">
        <f t="shared" si="21"/>
        <v>1.85</v>
      </c>
      <c r="AC67" s="58">
        <f t="shared" si="21"/>
        <v>0</v>
      </c>
      <c r="AD67" s="58">
        <f t="shared" si="21"/>
        <v>0.31</v>
      </c>
      <c r="AE67" s="59">
        <f t="shared" si="9"/>
        <v>2.16</v>
      </c>
      <c r="AF67" s="60"/>
      <c r="AG67" s="61">
        <v>26</v>
      </c>
      <c r="AH67" s="36"/>
      <c r="AI67" s="62">
        <f t="shared" si="1"/>
        <v>28.16</v>
      </c>
    </row>
    <row r="68" spans="2:35" s="20" customFormat="1" ht="32.1" customHeight="1" x14ac:dyDescent="0.25">
      <c r="B68" s="43" t="s">
        <v>95</v>
      </c>
      <c r="C68" s="44">
        <v>1102</v>
      </c>
      <c r="D68" s="44"/>
      <c r="E68" s="44">
        <f t="shared" si="2"/>
        <v>1102</v>
      </c>
      <c r="F68" s="45"/>
      <c r="G68" s="46">
        <v>100</v>
      </c>
      <c r="H68" s="63" t="str">
        <f t="shared" si="11"/>
        <v/>
      </c>
      <c r="I68" s="48">
        <f t="shared" si="4"/>
        <v>0</v>
      </c>
      <c r="J68" s="83"/>
      <c r="K68" s="64"/>
      <c r="L68" s="83"/>
      <c r="M68" s="65"/>
      <c r="N68" s="65"/>
      <c r="O68" s="92"/>
      <c r="P68" s="51" t="str">
        <f t="shared" si="5"/>
        <v/>
      </c>
      <c r="Q68" s="52">
        <f t="shared" si="6"/>
        <v>0</v>
      </c>
      <c r="S68" s="66"/>
      <c r="T68" s="66"/>
      <c r="U68" s="102"/>
      <c r="X68" s="55">
        <f t="shared" si="7"/>
        <v>0</v>
      </c>
      <c r="Y68" s="56">
        <f t="shared" si="0"/>
        <v>0</v>
      </c>
      <c r="Z68" s="56" t="str">
        <f t="shared" si="22"/>
        <v/>
      </c>
      <c r="AA68" s="36"/>
      <c r="AB68" s="57">
        <f t="shared" si="21"/>
        <v>1.85</v>
      </c>
      <c r="AC68" s="58">
        <f t="shared" si="21"/>
        <v>0</v>
      </c>
      <c r="AD68" s="58">
        <f t="shared" si="21"/>
        <v>0.31</v>
      </c>
      <c r="AE68" s="59">
        <f t="shared" si="9"/>
        <v>2.16</v>
      </c>
      <c r="AF68" s="60"/>
      <c r="AG68" s="61">
        <v>26</v>
      </c>
      <c r="AH68" s="36"/>
      <c r="AI68" s="62">
        <f t="shared" si="1"/>
        <v>28.16</v>
      </c>
    </row>
    <row r="69" spans="2:35" s="20" customFormat="1" ht="32.1" customHeight="1" x14ac:dyDescent="0.25">
      <c r="B69" s="43" t="s">
        <v>96</v>
      </c>
      <c r="C69" s="44">
        <v>1175</v>
      </c>
      <c r="D69" s="44"/>
      <c r="E69" s="44">
        <f t="shared" si="2"/>
        <v>1175</v>
      </c>
      <c r="F69" s="45"/>
      <c r="G69" s="46">
        <v>100</v>
      </c>
      <c r="H69" s="63" t="str">
        <f t="shared" si="11"/>
        <v/>
      </c>
      <c r="I69" s="48">
        <f t="shared" si="4"/>
        <v>0</v>
      </c>
      <c r="J69" s="83"/>
      <c r="K69" s="64"/>
      <c r="L69" s="83"/>
      <c r="M69" s="65"/>
      <c r="N69" s="65"/>
      <c r="O69" s="92"/>
      <c r="P69" s="51" t="str">
        <f t="shared" si="5"/>
        <v/>
      </c>
      <c r="Q69" s="52">
        <f t="shared" si="6"/>
        <v>0</v>
      </c>
      <c r="S69" s="66"/>
      <c r="T69" s="66"/>
      <c r="U69" s="102"/>
      <c r="X69" s="55">
        <f t="shared" si="7"/>
        <v>0</v>
      </c>
      <c r="Y69" s="56">
        <f t="shared" si="0"/>
        <v>0</v>
      </c>
      <c r="Z69" s="56" t="str">
        <f t="shared" si="22"/>
        <v/>
      </c>
      <c r="AA69" s="36"/>
      <c r="AB69" s="57">
        <f t="shared" si="21"/>
        <v>1.85</v>
      </c>
      <c r="AC69" s="58">
        <f t="shared" si="21"/>
        <v>0</v>
      </c>
      <c r="AD69" s="58">
        <f t="shared" si="21"/>
        <v>0.31</v>
      </c>
      <c r="AE69" s="59">
        <f t="shared" si="9"/>
        <v>2.16</v>
      </c>
      <c r="AF69" s="60"/>
      <c r="AG69" s="61">
        <v>26</v>
      </c>
      <c r="AH69" s="36"/>
      <c r="AI69" s="62">
        <f t="shared" si="1"/>
        <v>28.16</v>
      </c>
    </row>
    <row r="70" spans="2:35" s="20" customFormat="1" ht="32.1" customHeight="1" x14ac:dyDescent="0.25">
      <c r="B70" s="43" t="s">
        <v>97</v>
      </c>
      <c r="C70" s="44">
        <v>1175</v>
      </c>
      <c r="D70" s="44"/>
      <c r="E70" s="44">
        <f t="shared" si="2"/>
        <v>1175</v>
      </c>
      <c r="F70" s="45"/>
      <c r="G70" s="46">
        <v>100</v>
      </c>
      <c r="H70" s="63" t="str">
        <f t="shared" si="11"/>
        <v/>
      </c>
      <c r="I70" s="48">
        <f t="shared" si="4"/>
        <v>0</v>
      </c>
      <c r="J70" s="83"/>
      <c r="K70" s="64"/>
      <c r="L70" s="83"/>
      <c r="M70" s="65"/>
      <c r="N70" s="65"/>
      <c r="O70" s="92"/>
      <c r="P70" s="51" t="str">
        <f t="shared" si="5"/>
        <v/>
      </c>
      <c r="Q70" s="52">
        <f t="shared" si="6"/>
        <v>0</v>
      </c>
      <c r="S70" s="66"/>
      <c r="T70" s="66"/>
      <c r="U70" s="102"/>
      <c r="X70" s="55">
        <f t="shared" si="7"/>
        <v>0</v>
      </c>
      <c r="Y70" s="56">
        <f t="shared" si="0"/>
        <v>0</v>
      </c>
      <c r="Z70" s="56" t="str">
        <f t="shared" si="22"/>
        <v/>
      </c>
      <c r="AA70" s="36"/>
      <c r="AB70" s="57">
        <f t="shared" si="21"/>
        <v>1.85</v>
      </c>
      <c r="AC70" s="58">
        <f t="shared" si="21"/>
        <v>0</v>
      </c>
      <c r="AD70" s="58">
        <f t="shared" si="21"/>
        <v>0.31</v>
      </c>
      <c r="AE70" s="59">
        <f t="shared" si="9"/>
        <v>2.16</v>
      </c>
      <c r="AF70" s="60"/>
      <c r="AG70" s="61">
        <v>26</v>
      </c>
      <c r="AH70" s="36"/>
      <c r="AI70" s="62">
        <f t="shared" si="1"/>
        <v>28.16</v>
      </c>
    </row>
    <row r="71" spans="2:35" s="20" customFormat="1" ht="32.1" customHeight="1" thickBot="1" x14ac:dyDescent="0.3">
      <c r="B71" s="111" t="s">
        <v>98</v>
      </c>
      <c r="C71" s="112">
        <v>1175</v>
      </c>
      <c r="D71" s="112"/>
      <c r="E71" s="112">
        <f t="shared" si="2"/>
        <v>1175</v>
      </c>
      <c r="F71" s="113"/>
      <c r="G71" s="114">
        <v>100</v>
      </c>
      <c r="H71" s="115" t="str">
        <f t="shared" si="11"/>
        <v/>
      </c>
      <c r="I71" s="116">
        <f t="shared" si="4"/>
        <v>0</v>
      </c>
      <c r="J71" s="117"/>
      <c r="K71" s="118"/>
      <c r="L71" s="117"/>
      <c r="M71" s="119"/>
      <c r="N71" s="119"/>
      <c r="O71" s="126"/>
      <c r="P71" s="120" t="str">
        <f t="shared" si="5"/>
        <v/>
      </c>
      <c r="Q71" s="121">
        <f t="shared" si="6"/>
        <v>0</v>
      </c>
      <c r="S71" s="122"/>
      <c r="T71" s="122"/>
      <c r="U71" s="127"/>
      <c r="X71" s="128">
        <f t="shared" si="7"/>
        <v>0</v>
      </c>
      <c r="Y71" s="129">
        <f t="shared" si="0"/>
        <v>0</v>
      </c>
      <c r="Z71" s="56" t="str">
        <f t="shared" si="22"/>
        <v/>
      </c>
      <c r="AA71" s="36"/>
      <c r="AB71" s="130">
        <f t="shared" si="21"/>
        <v>1.85</v>
      </c>
      <c r="AC71" s="131">
        <f t="shared" si="21"/>
        <v>0</v>
      </c>
      <c r="AD71" s="131">
        <f t="shared" si="21"/>
        <v>0.31</v>
      </c>
      <c r="AE71" s="132">
        <f t="shared" si="9"/>
        <v>2.16</v>
      </c>
      <c r="AF71" s="60"/>
      <c r="AG71" s="133">
        <v>26</v>
      </c>
      <c r="AH71" s="36"/>
      <c r="AI71" s="124">
        <f t="shared" si="1"/>
        <v>28.16</v>
      </c>
    </row>
    <row r="72" spans="2:35" s="20" customFormat="1" ht="13.5" hidden="1" thickBot="1" x14ac:dyDescent="0.3">
      <c r="B72" s="134" t="s">
        <v>99</v>
      </c>
      <c r="C72" s="23">
        <v>20.5</v>
      </c>
      <c r="D72" s="23">
        <v>283</v>
      </c>
      <c r="E72" s="23">
        <f t="shared" ref="E72:E73" si="23">+D72-C72</f>
        <v>262.5</v>
      </c>
      <c r="F72" s="135"/>
      <c r="G72" s="86">
        <v>72</v>
      </c>
      <c r="H72" s="136" t="str">
        <f t="shared" ref="H72:H73" si="24">(F72/G72)&amp;" pallets"</f>
        <v>0 pallets</v>
      </c>
      <c r="I72" s="89">
        <f t="shared" si="4"/>
        <v>0</v>
      </c>
      <c r="J72" s="101"/>
      <c r="K72" s="90"/>
      <c r="L72" s="101"/>
      <c r="M72" s="137"/>
      <c r="N72" s="90"/>
      <c r="O72" s="137"/>
      <c r="P72" s="136" t="str">
        <f t="shared" ref="P72:P73" si="25">((M72+N72)/G72)&amp;" pallets"</f>
        <v>0 pallets</v>
      </c>
      <c r="Q72" s="138">
        <f t="shared" si="6"/>
        <v>0</v>
      </c>
      <c r="S72" s="137"/>
      <c r="T72" s="90"/>
      <c r="U72" s="137"/>
      <c r="AB72" s="20">
        <v>0.61</v>
      </c>
    </row>
    <row r="73" spans="2:35" s="20" customFormat="1" ht="13.5" hidden="1" thickBot="1" x14ac:dyDescent="0.3">
      <c r="B73" s="139" t="s">
        <v>100</v>
      </c>
      <c r="C73" s="140">
        <v>20.5</v>
      </c>
      <c r="D73" s="140">
        <v>283</v>
      </c>
      <c r="E73" s="140">
        <f t="shared" si="23"/>
        <v>262.5</v>
      </c>
      <c r="F73" s="141"/>
      <c r="G73" s="114">
        <v>72</v>
      </c>
      <c r="H73" s="142" t="str">
        <f t="shared" si="24"/>
        <v>0 pallets</v>
      </c>
      <c r="I73" s="143">
        <f t="shared" si="4"/>
        <v>0</v>
      </c>
      <c r="J73" s="117"/>
      <c r="K73" s="118"/>
      <c r="L73" s="117"/>
      <c r="M73" s="144"/>
      <c r="N73" s="118"/>
      <c r="O73" s="144"/>
      <c r="P73" s="142" t="str">
        <f t="shared" si="25"/>
        <v>0 pallets</v>
      </c>
      <c r="Q73" s="145">
        <f t="shared" si="6"/>
        <v>0</v>
      </c>
      <c r="S73" s="144"/>
      <c r="T73" s="118"/>
      <c r="U73" s="144"/>
      <c r="AB73" s="20">
        <v>0.61</v>
      </c>
    </row>
    <row r="74" spans="2:35" s="20" customFormat="1" ht="15.75" x14ac:dyDescent="0.25">
      <c r="B74" s="260" t="s">
        <v>101</v>
      </c>
      <c r="C74" s="260"/>
      <c r="D74" s="260"/>
      <c r="E74" s="260"/>
      <c r="F74" s="260"/>
      <c r="G74" s="260"/>
      <c r="H74" s="146" t="str">
        <f>ROUND(((F12+F30+F55+F60+F61+F62+F63+F64)/72+(F13+F16+F18)/108+(F14+SUM(F19:F29)+F31+F32+F22+F53+F48)/63+F15/96+SUM(F37:F46)/100+SUM(F50:F52)/24+SUM(F65:F71)/100+(F54+F49+F47)/100),1)&amp;" pallets"</f>
        <v>5 pallets</v>
      </c>
      <c r="I74" s="147"/>
      <c r="J74" s="148"/>
      <c r="K74" s="149"/>
      <c r="L74" s="148"/>
      <c r="M74" s="150"/>
      <c r="N74" s="151"/>
      <c r="O74" s="151"/>
      <c r="P74" s="194" t="str">
        <f>ROUND((((M12+N12+M30+M60+M61+M62+M63+M64+N60)/72+(M13+N13+M16+M18)/108+(M15+N15)/96+SUM(M14,M19:M29,M31:M32,M53,N14)/63)),1)&amp;" pallets"</f>
        <v>0 pallets</v>
      </c>
      <c r="Q74" s="152"/>
      <c r="R74" s="151"/>
      <c r="S74" s="151"/>
      <c r="T74" s="151"/>
      <c r="U74" s="151"/>
      <c r="V74" s="151"/>
      <c r="W74" s="151"/>
      <c r="Y74" s="151"/>
      <c r="Z74" s="151"/>
      <c r="AA74" s="151"/>
      <c r="AB74" s="151"/>
      <c r="AC74" s="151"/>
      <c r="AD74" s="151"/>
      <c r="AE74" s="151"/>
      <c r="AF74" s="151"/>
      <c r="AG74" s="151"/>
      <c r="AH74" s="151"/>
    </row>
    <row r="75" spans="2:35" s="20" customFormat="1" ht="13.5" thickBot="1" x14ac:dyDescent="0.3">
      <c r="B75" s="153"/>
      <c r="C75" s="154"/>
      <c r="D75" s="154"/>
      <c r="E75" s="154"/>
      <c r="F75" s="150"/>
      <c r="G75" s="150"/>
      <c r="H75" s="150"/>
      <c r="I75" s="147"/>
      <c r="J75" s="148"/>
      <c r="K75" s="149"/>
      <c r="L75" s="148"/>
      <c r="M75" s="150"/>
      <c r="N75" s="151"/>
      <c r="O75" s="151"/>
      <c r="P75" s="151"/>
      <c r="Q75" s="152"/>
      <c r="R75" s="151"/>
      <c r="S75" s="151"/>
      <c r="T75" s="151"/>
      <c r="U75" s="151"/>
      <c r="V75" s="151"/>
      <c r="W75" s="151"/>
      <c r="X75" s="151"/>
      <c r="Y75" s="151"/>
      <c r="Z75" s="151"/>
      <c r="AA75" s="151"/>
      <c r="AB75" s="151"/>
      <c r="AC75" s="151"/>
      <c r="AD75" s="151"/>
      <c r="AE75" s="151"/>
      <c r="AF75" s="151"/>
      <c r="AG75" s="151"/>
      <c r="AH75" s="151"/>
    </row>
    <row r="76" spans="2:35" s="160" customFormat="1" ht="36.75" customHeight="1" thickBot="1" x14ac:dyDescent="0.3">
      <c r="B76" s="155" t="s">
        <v>102</v>
      </c>
      <c r="C76" s="156"/>
      <c r="D76" s="156"/>
      <c r="E76" s="156"/>
      <c r="F76" s="240">
        <f>SUM(I12:I73)</f>
        <v>382606</v>
      </c>
      <c r="G76" s="240"/>
      <c r="H76" s="240"/>
      <c r="I76" s="241"/>
      <c r="J76" s="157"/>
      <c r="K76" s="157"/>
      <c r="L76" s="157"/>
      <c r="M76" s="252" t="s">
        <v>103</v>
      </c>
      <c r="N76" s="253"/>
      <c r="O76" s="240">
        <f>SUM(Q12:Q73)</f>
        <v>0</v>
      </c>
      <c r="P76" s="240"/>
      <c r="Q76" s="241"/>
      <c r="R76" s="151"/>
      <c r="S76" s="158" t="s">
        <v>104</v>
      </c>
      <c r="T76" s="245">
        <f>SUM(Y12:Y71)</f>
        <v>11997.239999999998</v>
      </c>
      <c r="U76" s="246"/>
      <c r="V76" s="159"/>
      <c r="W76" s="159"/>
      <c r="X76" s="159"/>
      <c r="Y76" s="159"/>
      <c r="Z76" s="159"/>
      <c r="AA76" s="159"/>
      <c r="AB76" s="159"/>
      <c r="AC76" s="159"/>
      <c r="AD76" s="159"/>
      <c r="AE76" s="159"/>
      <c r="AF76" s="159"/>
      <c r="AG76" s="159"/>
      <c r="AH76" s="159"/>
      <c r="AI76" s="159"/>
    </row>
    <row r="77" spans="2:35" s="160" customFormat="1" ht="6" customHeight="1" thickBot="1" x14ac:dyDescent="0.3">
      <c r="B77" s="161"/>
      <c r="F77" s="162"/>
      <c r="G77" s="162"/>
      <c r="H77" s="162"/>
      <c r="I77" s="162"/>
      <c r="J77" s="163"/>
      <c r="K77" s="163"/>
      <c r="L77" s="163"/>
      <c r="M77" s="164"/>
      <c r="N77" s="164"/>
      <c r="O77" s="162"/>
      <c r="P77" s="162"/>
      <c r="Q77" s="162"/>
      <c r="R77" s="162"/>
      <c r="S77" s="161"/>
      <c r="T77" s="165"/>
      <c r="U77" s="165"/>
      <c r="V77" s="159"/>
      <c r="W77" s="159"/>
      <c r="X77" s="159"/>
      <c r="Y77" s="159"/>
      <c r="Z77" s="159"/>
      <c r="AA77" s="159"/>
      <c r="AB77" s="159"/>
      <c r="AC77" s="159"/>
      <c r="AD77" s="159"/>
      <c r="AE77" s="159"/>
      <c r="AF77" s="159"/>
      <c r="AG77" s="159"/>
      <c r="AH77" s="159"/>
      <c r="AI77" s="159"/>
    </row>
    <row r="78" spans="2:35" s="160" customFormat="1" ht="36.75" customHeight="1" thickBot="1" x14ac:dyDescent="0.3">
      <c r="B78" s="155" t="s">
        <v>102</v>
      </c>
      <c r="C78" s="156"/>
      <c r="D78" s="156"/>
      <c r="E78" s="156"/>
      <c r="F78" s="240">
        <f>SUM(I14:I75)</f>
        <v>154834</v>
      </c>
      <c r="G78" s="240"/>
      <c r="H78" s="240"/>
      <c r="I78" s="241"/>
      <c r="J78" s="157"/>
      <c r="K78" s="157"/>
      <c r="L78" s="157"/>
      <c r="M78" s="252" t="s">
        <v>103</v>
      </c>
      <c r="N78" s="253"/>
      <c r="O78" s="240">
        <f>SUM(Q14:Q75)</f>
        <v>0</v>
      </c>
      <c r="P78" s="240"/>
      <c r="Q78" s="241"/>
      <c r="R78" s="151"/>
      <c r="S78" s="158" t="s">
        <v>129</v>
      </c>
      <c r="T78" s="245">
        <f>SUM(Z12:Z73)</f>
        <v>0</v>
      </c>
      <c r="U78" s="246"/>
      <c r="V78" s="159"/>
      <c r="W78" s="159"/>
      <c r="X78" s="159"/>
      <c r="Y78" s="159"/>
      <c r="Z78" s="159"/>
      <c r="AA78" s="159"/>
      <c r="AB78" s="159"/>
      <c r="AC78" s="159"/>
      <c r="AD78" s="159"/>
      <c r="AE78" s="159"/>
      <c r="AF78" s="159"/>
      <c r="AG78" s="159"/>
      <c r="AH78" s="159"/>
      <c r="AI78" s="159"/>
    </row>
    <row r="79" spans="2:35" s="160" customFormat="1" ht="6" customHeight="1" thickBot="1" x14ac:dyDescent="0.3">
      <c r="B79" s="161"/>
      <c r="F79" s="162"/>
      <c r="G79" s="162"/>
      <c r="H79" s="162"/>
      <c r="I79" s="162"/>
      <c r="J79" s="163"/>
      <c r="K79" s="163"/>
      <c r="L79" s="163"/>
      <c r="M79" s="164"/>
      <c r="N79" s="164"/>
      <c r="O79" s="162"/>
      <c r="P79" s="162"/>
      <c r="Q79" s="162"/>
      <c r="R79" s="162"/>
      <c r="S79" s="161"/>
      <c r="T79" s="165"/>
      <c r="U79" s="165"/>
      <c r="V79" s="159"/>
      <c r="W79" s="159"/>
      <c r="X79" s="159"/>
      <c r="Y79" s="159"/>
      <c r="Z79" s="159"/>
      <c r="AA79" s="159"/>
      <c r="AB79" s="159"/>
      <c r="AC79" s="159"/>
      <c r="AD79" s="159"/>
      <c r="AE79" s="159"/>
      <c r="AF79" s="159"/>
      <c r="AG79" s="159"/>
      <c r="AH79" s="159"/>
      <c r="AI79" s="159"/>
    </row>
    <row r="80" spans="2:35" s="160" customFormat="1" ht="36.75" customHeight="1" thickBot="1" x14ac:dyDescent="0.3">
      <c r="B80" s="166" t="s">
        <v>105</v>
      </c>
      <c r="C80" s="156"/>
      <c r="D80" s="156"/>
      <c r="E80" s="156"/>
      <c r="F80" s="240">
        <f>IF(U7&gt;0,"",(F76-O76-T82-P82))</f>
        <v>370608.76</v>
      </c>
      <c r="G80" s="240"/>
      <c r="H80" s="240"/>
      <c r="I80" s="241"/>
      <c r="J80" s="163"/>
      <c r="K80" s="163"/>
      <c r="L80" s="163"/>
      <c r="M80" s="242" t="s">
        <v>106</v>
      </c>
      <c r="N80" s="242"/>
      <c r="O80" s="167" t="s">
        <v>107</v>
      </c>
      <c r="P80" s="243"/>
      <c r="Q80" s="244"/>
      <c r="R80" s="151"/>
      <c r="S80" s="158" t="s">
        <v>108</v>
      </c>
      <c r="T80" s="245">
        <f>IF(SUM(X12:X71)*0.15&gt;P80,P80,SUM(X12:X71)*0.15)</f>
        <v>0</v>
      </c>
      <c r="U80" s="246"/>
      <c r="V80" s="159"/>
      <c r="W80" s="247" t="s">
        <v>109</v>
      </c>
      <c r="X80" s="159"/>
      <c r="Y80" s="159"/>
      <c r="Z80" s="159"/>
      <c r="AA80" s="159"/>
      <c r="AB80" s="159"/>
      <c r="AC80" s="159"/>
      <c r="AD80" s="159"/>
      <c r="AE80" s="159"/>
      <c r="AF80" s="159"/>
      <c r="AG80" s="159"/>
      <c r="AH80" s="159"/>
      <c r="AI80" s="159"/>
    </row>
    <row r="81" spans="2:35" s="160" customFormat="1" ht="6" customHeight="1" thickBot="1" x14ac:dyDescent="0.3">
      <c r="B81" s="161"/>
      <c r="F81" s="162"/>
      <c r="G81" s="162"/>
      <c r="H81" s="162"/>
      <c r="I81" s="162"/>
      <c r="J81" s="163"/>
      <c r="K81" s="163"/>
      <c r="L81" s="163"/>
      <c r="M81" s="164"/>
      <c r="N81" s="164"/>
      <c r="O81" s="168"/>
      <c r="P81" s="162"/>
      <c r="Q81" s="162"/>
      <c r="R81" s="162"/>
      <c r="S81" s="161"/>
      <c r="T81" s="165"/>
      <c r="U81" s="165"/>
      <c r="V81" s="159"/>
      <c r="W81" s="248"/>
      <c r="X81" s="159"/>
      <c r="Y81" s="159"/>
      <c r="Z81" s="159"/>
      <c r="AA81" s="159"/>
      <c r="AB81" s="159"/>
      <c r="AC81" s="159"/>
      <c r="AD81" s="159"/>
      <c r="AE81" s="159"/>
      <c r="AF81" s="159"/>
      <c r="AG81" s="159"/>
      <c r="AH81" s="159"/>
      <c r="AI81" s="159"/>
    </row>
    <row r="82" spans="2:35" s="160" customFormat="1" ht="36.75" customHeight="1" thickBot="1" x14ac:dyDescent="0.3">
      <c r="B82" s="166" t="s">
        <v>110</v>
      </c>
      <c r="C82" s="156"/>
      <c r="D82" s="156"/>
      <c r="E82" s="156"/>
      <c r="F82" s="240"/>
      <c r="G82" s="240"/>
      <c r="H82" s="240"/>
      <c r="I82" s="241"/>
      <c r="J82" s="163"/>
      <c r="K82" s="163"/>
      <c r="L82" s="163"/>
      <c r="M82" s="250">
        <f>IF(U6&gt;0,"",T4+30)</f>
        <v>46233</v>
      </c>
      <c r="N82" s="251"/>
      <c r="O82" s="167" t="s">
        <v>111</v>
      </c>
      <c r="P82" s="243"/>
      <c r="Q82" s="244"/>
      <c r="R82" s="151"/>
      <c r="S82" s="158" t="s">
        <v>112</v>
      </c>
      <c r="T82" s="245">
        <f>T80+T76+T78</f>
        <v>11997.239999999998</v>
      </c>
      <c r="U82" s="246"/>
      <c r="V82" s="159"/>
      <c r="W82" s="249"/>
      <c r="X82" s="159"/>
      <c r="Y82" s="159"/>
      <c r="Z82" s="159"/>
      <c r="AA82" s="159"/>
      <c r="AB82" s="159"/>
      <c r="AC82" s="159"/>
      <c r="AD82" s="159"/>
      <c r="AE82" s="159"/>
      <c r="AF82" s="159"/>
      <c r="AG82" s="159"/>
      <c r="AH82" s="159"/>
      <c r="AI82" s="159"/>
    </row>
    <row r="83" spans="2:35" s="160" customFormat="1" ht="6" customHeight="1" thickBot="1" x14ac:dyDescent="0.3">
      <c r="B83" s="169"/>
      <c r="C83" s="169"/>
      <c r="D83" s="169"/>
      <c r="E83" s="169"/>
      <c r="F83" s="169"/>
      <c r="G83" s="169"/>
      <c r="H83" s="169"/>
      <c r="I83" s="169"/>
      <c r="J83" s="169"/>
      <c r="K83" s="169"/>
      <c r="L83" s="169"/>
      <c r="M83" s="169"/>
      <c r="N83" s="169"/>
      <c r="O83" s="169"/>
      <c r="P83" s="169"/>
      <c r="Q83" s="169"/>
      <c r="R83" s="169"/>
      <c r="S83" s="169"/>
      <c r="T83" s="169"/>
      <c r="U83" s="169"/>
      <c r="V83" s="159"/>
      <c r="W83" s="169"/>
      <c r="X83" s="159"/>
      <c r="Y83" s="159"/>
      <c r="Z83" s="159"/>
      <c r="AA83" s="159"/>
      <c r="AB83" s="159"/>
      <c r="AC83" s="159"/>
      <c r="AD83" s="159"/>
      <c r="AE83" s="159"/>
      <c r="AF83" s="159"/>
      <c r="AG83" s="159"/>
      <c r="AH83" s="159"/>
      <c r="AI83" s="159"/>
    </row>
    <row r="84" spans="2:35" ht="15" customHeight="1" x14ac:dyDescent="0.25">
      <c r="B84" s="217" t="s">
        <v>113</v>
      </c>
      <c r="C84" s="218"/>
      <c r="D84" s="218"/>
      <c r="E84" s="218"/>
      <c r="F84" s="218"/>
      <c r="G84" s="218"/>
      <c r="H84" s="219"/>
      <c r="I84" s="226" t="s">
        <v>114</v>
      </c>
      <c r="J84" s="170"/>
      <c r="K84" s="170"/>
      <c r="L84" s="170"/>
      <c r="M84" s="228"/>
      <c r="N84" s="231" t="s">
        <v>115</v>
      </c>
      <c r="O84" s="234"/>
      <c r="P84" s="228"/>
      <c r="Q84" s="211" t="s">
        <v>116</v>
      </c>
      <c r="R84" s="237"/>
      <c r="S84" s="208"/>
      <c r="T84" s="211" t="s">
        <v>117</v>
      </c>
      <c r="U84" s="214"/>
    </row>
    <row r="85" spans="2:35" ht="15" customHeight="1" x14ac:dyDescent="0.25">
      <c r="B85" s="220"/>
      <c r="C85" s="221"/>
      <c r="D85" s="221"/>
      <c r="E85" s="221"/>
      <c r="F85" s="221"/>
      <c r="G85" s="221"/>
      <c r="H85" s="222"/>
      <c r="I85" s="205"/>
      <c r="J85" s="2"/>
      <c r="K85" s="2"/>
      <c r="L85" s="2"/>
      <c r="M85" s="229"/>
      <c r="N85" s="232"/>
      <c r="O85" s="235"/>
      <c r="P85" s="229"/>
      <c r="Q85" s="212"/>
      <c r="R85" s="238"/>
      <c r="S85" s="209"/>
      <c r="T85" s="212"/>
      <c r="U85" s="215"/>
    </row>
    <row r="86" spans="2:35" ht="15.75" customHeight="1" thickBot="1" x14ac:dyDescent="0.3">
      <c r="B86" s="223"/>
      <c r="C86" s="224"/>
      <c r="D86" s="224"/>
      <c r="E86" s="224"/>
      <c r="F86" s="224"/>
      <c r="G86" s="224"/>
      <c r="H86" s="225"/>
      <c r="I86" s="227"/>
      <c r="J86" s="171"/>
      <c r="K86" s="171"/>
      <c r="L86" s="171"/>
      <c r="M86" s="230"/>
      <c r="N86" s="233"/>
      <c r="O86" s="236"/>
      <c r="P86" s="230"/>
      <c r="Q86" s="213"/>
      <c r="R86" s="239"/>
      <c r="S86" s="210"/>
      <c r="T86" s="213"/>
      <c r="U86" s="216"/>
    </row>
    <row r="87" spans="2:35" ht="13.5" thickBot="1" x14ac:dyDescent="0.3"/>
    <row r="88" spans="2:35" s="177" customFormat="1" ht="18" x14ac:dyDescent="0.25">
      <c r="B88" s="172" t="s">
        <v>118</v>
      </c>
      <c r="C88" s="173"/>
      <c r="D88" s="173"/>
      <c r="E88" s="173"/>
      <c r="F88" s="173"/>
      <c r="G88" s="173"/>
      <c r="H88" s="173"/>
      <c r="I88" s="174"/>
      <c r="J88" s="175"/>
      <c r="K88" s="175"/>
      <c r="L88" s="175"/>
      <c r="M88" s="172" t="s">
        <v>119</v>
      </c>
      <c r="N88" s="173"/>
      <c r="O88" s="173"/>
      <c r="P88" s="173"/>
      <c r="Q88" s="174"/>
      <c r="R88" s="172" t="s">
        <v>120</v>
      </c>
      <c r="S88" s="173"/>
      <c r="T88" s="173"/>
      <c r="U88" s="176"/>
    </row>
    <row r="89" spans="2:35" ht="12.75" x14ac:dyDescent="0.25">
      <c r="B89" s="178"/>
      <c r="I89" s="179"/>
      <c r="M89" s="178"/>
      <c r="Q89" s="179"/>
      <c r="R89" s="178"/>
      <c r="U89" s="180"/>
    </row>
    <row r="90" spans="2:35" s="182" customFormat="1" ht="23.25" x14ac:dyDescent="0.25">
      <c r="B90" s="181" t="s">
        <v>121</v>
      </c>
      <c r="I90" s="183"/>
      <c r="J90" s="184"/>
      <c r="K90" s="184"/>
      <c r="L90" s="184"/>
      <c r="M90" s="181" t="s">
        <v>121</v>
      </c>
      <c r="Q90" s="183"/>
      <c r="R90" s="181"/>
      <c r="U90" s="185"/>
    </row>
    <row r="91" spans="2:35" s="182" customFormat="1" ht="23.25" x14ac:dyDescent="0.25">
      <c r="B91" s="199" t="s">
        <v>131</v>
      </c>
      <c r="C91" s="200"/>
      <c r="D91" s="200"/>
      <c r="E91" s="200"/>
      <c r="F91" s="200"/>
      <c r="G91" s="200"/>
      <c r="H91" s="200"/>
      <c r="I91" s="201"/>
      <c r="J91" s="184"/>
      <c r="K91" s="184"/>
      <c r="L91" s="184"/>
      <c r="M91" s="199"/>
      <c r="N91" s="200"/>
      <c r="O91" s="200"/>
      <c r="P91" s="200"/>
      <c r="Q91" s="201"/>
      <c r="R91" s="186"/>
      <c r="S91" s="187"/>
      <c r="T91" s="187"/>
      <c r="U91" s="188"/>
    </row>
    <row r="92" spans="2:35" ht="18" x14ac:dyDescent="0.25">
      <c r="B92" s="202" t="s">
        <v>122</v>
      </c>
      <c r="C92" s="203"/>
      <c r="D92" s="203"/>
      <c r="E92" s="203"/>
      <c r="F92" s="203"/>
      <c r="G92" s="203"/>
      <c r="H92" s="203"/>
      <c r="I92" s="204"/>
      <c r="M92" s="202" t="s">
        <v>122</v>
      </c>
      <c r="N92" s="203"/>
      <c r="O92" s="203"/>
      <c r="P92" s="203"/>
      <c r="Q92" s="204"/>
      <c r="R92" s="205" t="s">
        <v>123</v>
      </c>
      <c r="S92" s="206"/>
      <c r="T92" s="206"/>
      <c r="U92" s="207"/>
    </row>
    <row r="93" spans="2:35" ht="12.75" x14ac:dyDescent="0.25">
      <c r="B93" s="178"/>
      <c r="I93" s="179"/>
      <c r="M93" s="178"/>
      <c r="Q93" s="179"/>
      <c r="R93" s="178"/>
      <c r="U93" s="180"/>
    </row>
    <row r="94" spans="2:35" s="182" customFormat="1" ht="23.25" x14ac:dyDescent="0.25">
      <c r="B94" s="181" t="s">
        <v>124</v>
      </c>
      <c r="I94" s="183"/>
      <c r="J94" s="184"/>
      <c r="K94" s="184"/>
      <c r="L94" s="184"/>
      <c r="M94" s="181"/>
      <c r="Q94" s="183"/>
      <c r="R94" s="181" t="s">
        <v>125</v>
      </c>
      <c r="U94" s="185"/>
    </row>
    <row r="95" spans="2:35" ht="12.75" x14ac:dyDescent="0.25">
      <c r="B95" s="178"/>
      <c r="I95" s="179"/>
      <c r="M95" s="178"/>
      <c r="Q95" s="179"/>
      <c r="R95" s="178"/>
      <c r="U95" s="180"/>
    </row>
    <row r="96" spans="2:35" s="182" customFormat="1" ht="23.25" x14ac:dyDescent="0.25">
      <c r="B96" s="199" t="s">
        <v>132</v>
      </c>
      <c r="C96" s="200"/>
      <c r="D96" s="200"/>
      <c r="E96" s="200"/>
      <c r="F96" s="200"/>
      <c r="G96" s="200"/>
      <c r="H96" s="200"/>
      <c r="I96" s="201"/>
      <c r="J96" s="184"/>
      <c r="K96" s="184"/>
      <c r="L96" s="184"/>
      <c r="M96" s="178"/>
      <c r="N96" s="2"/>
      <c r="O96" s="2"/>
      <c r="P96" s="2"/>
      <c r="Q96" s="179"/>
      <c r="R96" s="186"/>
      <c r="S96" s="187"/>
      <c r="T96" s="187"/>
      <c r="U96" s="188"/>
    </row>
    <row r="97" spans="2:21" ht="18" x14ac:dyDescent="0.25">
      <c r="B97" s="202" t="s">
        <v>126</v>
      </c>
      <c r="C97" s="203"/>
      <c r="D97" s="203"/>
      <c r="E97" s="203"/>
      <c r="F97" s="203"/>
      <c r="G97" s="203"/>
      <c r="H97" s="203"/>
      <c r="I97" s="204"/>
      <c r="M97" s="178"/>
      <c r="Q97" s="179"/>
      <c r="R97" s="205" t="s">
        <v>127</v>
      </c>
      <c r="S97" s="206"/>
      <c r="T97" s="206"/>
      <c r="U97" s="207"/>
    </row>
    <row r="98" spans="2:21" ht="12.75" x14ac:dyDescent="0.25">
      <c r="B98" s="178"/>
      <c r="I98" s="179"/>
      <c r="M98" s="178"/>
      <c r="Q98" s="179"/>
      <c r="R98" s="178"/>
      <c r="U98" s="180"/>
    </row>
    <row r="99" spans="2:21" ht="13.5" thickBot="1" x14ac:dyDescent="0.3">
      <c r="B99" s="189"/>
      <c r="C99" s="171"/>
      <c r="D99" s="171"/>
      <c r="E99" s="171"/>
      <c r="F99" s="171"/>
      <c r="G99" s="171"/>
      <c r="H99" s="171"/>
      <c r="I99" s="190"/>
      <c r="M99" s="189"/>
      <c r="N99" s="171"/>
      <c r="O99" s="171"/>
      <c r="P99" s="171"/>
      <c r="Q99" s="190"/>
      <c r="R99" s="189"/>
      <c r="S99" s="171"/>
      <c r="T99" s="171"/>
      <c r="U99" s="191"/>
    </row>
    <row r="100" spans="2:21" ht="12.75" x14ac:dyDescent="0.25"/>
    <row r="101" spans="2:21" ht="12.75" x14ac:dyDescent="0.25"/>
    <row r="102" spans="2:21" ht="12.75" x14ac:dyDescent="0.25"/>
    <row r="103" spans="2:21" ht="12.75" x14ac:dyDescent="0.25"/>
  </sheetData>
  <mergeCells count="66">
    <mergeCell ref="B96:I96"/>
    <mergeCell ref="B97:I97"/>
    <mergeCell ref="R97:U97"/>
    <mergeCell ref="S84:S86"/>
    <mergeCell ref="T84:T86"/>
    <mergeCell ref="U84:U86"/>
    <mergeCell ref="B91:I91"/>
    <mergeCell ref="M91:Q91"/>
    <mergeCell ref="B92:I92"/>
    <mergeCell ref="M92:Q92"/>
    <mergeCell ref="R92:U92"/>
    <mergeCell ref="B84:H86"/>
    <mergeCell ref="I84:I86"/>
    <mergeCell ref="M84:M86"/>
    <mergeCell ref="N84:N86"/>
    <mergeCell ref="O84:P86"/>
    <mergeCell ref="Q84:R86"/>
    <mergeCell ref="F80:I80"/>
    <mergeCell ref="M80:N80"/>
    <mergeCell ref="P80:Q80"/>
    <mergeCell ref="T80:U80"/>
    <mergeCell ref="W80:W82"/>
    <mergeCell ref="F82:I82"/>
    <mergeCell ref="M82:N82"/>
    <mergeCell ref="P82:Q82"/>
    <mergeCell ref="T82:U82"/>
    <mergeCell ref="F78:I78"/>
    <mergeCell ref="M78:N78"/>
    <mergeCell ref="O78:Q78"/>
    <mergeCell ref="T78:U78"/>
    <mergeCell ref="AE9:AE11"/>
    <mergeCell ref="S10:U10"/>
    <mergeCell ref="B74:G74"/>
    <mergeCell ref="F76:I76"/>
    <mergeCell ref="M76:N76"/>
    <mergeCell ref="O76:Q76"/>
    <mergeCell ref="T76:U76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1" orientation="portrait" blackAndWhite="1" horizontalDpi="360" verticalDpi="36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5</vt:i4>
      </vt:variant>
    </vt:vector>
  </HeadingPairs>
  <TitlesOfParts>
    <vt:vector size="10" baseType="lpstr">
      <vt:lpstr>08-05-2026</vt:lpstr>
      <vt:lpstr>08-07-2026</vt:lpstr>
      <vt:lpstr>08-11-2026</vt:lpstr>
      <vt:lpstr>4th Trip GBDS</vt:lpstr>
      <vt:lpstr>5th Trip GBDS</vt:lpstr>
      <vt:lpstr>'08-05-2026'!Print_Area</vt:lpstr>
      <vt:lpstr>'08-07-2026'!Print_Area</vt:lpstr>
      <vt:lpstr>'08-11-2026'!Print_Area</vt:lpstr>
      <vt:lpstr>'4th Trip GBDS'!Print_Area</vt:lpstr>
      <vt:lpstr>'5th Trip GBDS'!Print_Area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2026-07-02T02:42:38Z</cp:lastPrinted>
  <dcterms:created xsi:type="dcterms:W3CDTF">2025-03-06T18:27:26Z</dcterms:created>
  <dcterms:modified xsi:type="dcterms:W3CDTF">2026-08-11T03:03:30Z</dcterms:modified>
</cp:coreProperties>
</file>