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13E549CE-2360-42D4-A3C9-3C30A11C2116}" xr6:coauthVersionLast="45" xr6:coauthVersionMax="47" xr10:uidLastSave="{00000000-0000-0000-0000-000000000000}"/>
  <bookViews>
    <workbookView xWindow="-120" yWindow="-120" windowWidth="29040" windowHeight="15840" firstSheet="10" activeTab="17" xr2:uid="{EAA847CC-C244-4239-B005-CBB8C204AC80}"/>
  </bookViews>
  <sheets>
    <sheet name="08-05-2026" sheetId="214" r:id="rId1"/>
    <sheet name="08-07-2026" sheetId="215" r:id="rId2"/>
    <sheet name="08-11-2026" sheetId="216" r:id="rId3"/>
    <sheet name="08-13-2026-MTS-BEER" sheetId="217" r:id="rId4"/>
    <sheet name="08-13-2026-MTS-NAB" sheetId="218" r:id="rId5"/>
    <sheet name="08-13-2026-MTS-BEER(2)" sheetId="219" r:id="rId6"/>
    <sheet name="08-15-2026" sheetId="220" r:id="rId7"/>
    <sheet name="08-15-2026 (2)" sheetId="221" r:id="rId8"/>
    <sheet name="08-18-2026" sheetId="222" r:id="rId9"/>
    <sheet name="08-19-2026" sheetId="223" r:id="rId10"/>
    <sheet name="08-19-2026-MTS-NAB" sheetId="226" r:id="rId11"/>
    <sheet name="08-19-2026-MTS-BEER" sheetId="225" r:id="rId12"/>
    <sheet name="08-19-2026 B" sheetId="228" r:id="rId13"/>
    <sheet name="08-24-2026" sheetId="233" r:id="rId14"/>
    <sheet name="08-24-2026 (2)" sheetId="234" r:id="rId15"/>
    <sheet name="08-25-2026" sheetId="235" r:id="rId16"/>
    <sheet name="08-25-2026 (2)" sheetId="236" r:id="rId17"/>
    <sheet name="08-26-2026" sheetId="237" r:id="rId18"/>
    <sheet name="4th Trip GBDS" sheetId="207" state="hidden" r:id="rId19"/>
    <sheet name="5th Trip GBDS" sheetId="208" state="hidden" r:id="rId20"/>
  </sheets>
  <definedNames>
    <definedName name="_xlnm.Print_Area" localSheetId="0">'08-05-2026'!$A$1:$V$99</definedName>
    <definedName name="_xlnm.Print_Area" localSheetId="1">'08-07-2026'!$A$1:$V$99</definedName>
    <definedName name="_xlnm.Print_Area" localSheetId="2">'08-11-2026'!$A$1:$V$99</definedName>
    <definedName name="_xlnm.Print_Area" localSheetId="3">'08-13-2026-MTS-BEER'!$A$1:$V$99</definedName>
    <definedName name="_xlnm.Print_Area" localSheetId="5">'08-13-2026-MTS-BEER(2)'!$A$1:$V$99</definedName>
    <definedName name="_xlnm.Print_Area" localSheetId="4">'08-13-2026-MTS-NAB'!$A$1:$V$99</definedName>
    <definedName name="_xlnm.Print_Area" localSheetId="6">'08-15-2026'!$A$1:$V$99</definedName>
    <definedName name="_xlnm.Print_Area" localSheetId="7">'08-15-2026 (2)'!$A$1:$V$99</definedName>
    <definedName name="_xlnm.Print_Area" localSheetId="8">'08-18-2026'!$A$1:$V$99</definedName>
    <definedName name="_xlnm.Print_Area" localSheetId="9">'08-19-2026'!$A$1:$V$99</definedName>
    <definedName name="_xlnm.Print_Area" localSheetId="12">'08-19-2026 B'!$A$1:$V$99</definedName>
    <definedName name="_xlnm.Print_Area" localSheetId="11">'08-19-2026-MTS-BEER'!$A$1:$V$99</definedName>
    <definedName name="_xlnm.Print_Area" localSheetId="10">'08-19-2026-MTS-NAB'!$A$1:$V$99</definedName>
    <definedName name="_xlnm.Print_Area" localSheetId="13">'08-24-2026'!$A$1:$V$99</definedName>
    <definedName name="_xlnm.Print_Area" localSheetId="14">'08-24-2026 (2)'!$A$1:$V$99</definedName>
    <definedName name="_xlnm.Print_Area" localSheetId="15">'08-25-2026'!$A$1:$V$99</definedName>
    <definedName name="_xlnm.Print_Area" localSheetId="16">'08-25-2026 (2)'!$A$1:$V$99</definedName>
    <definedName name="_xlnm.Print_Area" localSheetId="17">'08-26-2026'!$A$1:$V$99</definedName>
    <definedName name="_xlnm.Print_Area" localSheetId="18">'4th Trip GBDS'!$A$1:$V$99</definedName>
    <definedName name="_xlnm.Print_Area" localSheetId="19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37" l="1"/>
  <c r="P73" i="237"/>
  <c r="H73" i="237"/>
  <c r="Q72" i="237"/>
  <c r="P72" i="237"/>
  <c r="I72" i="237"/>
  <c r="H72" i="237"/>
  <c r="E72" i="237"/>
  <c r="Q71" i="237"/>
  <c r="P71" i="237"/>
  <c r="I71" i="237"/>
  <c r="H71" i="237"/>
  <c r="E71" i="237"/>
  <c r="AD70" i="237"/>
  <c r="AC70" i="237"/>
  <c r="AB70" i="237"/>
  <c r="AE70" i="237" s="1"/>
  <c r="AI70" i="237" s="1"/>
  <c r="Y70" i="237" s="1"/>
  <c r="Z70" i="237"/>
  <c r="X70" i="237"/>
  <c r="Q70" i="237"/>
  <c r="P70" i="237"/>
  <c r="H70" i="237"/>
  <c r="E70" i="237"/>
  <c r="I70" i="237" s="1"/>
  <c r="AE69" i="237"/>
  <c r="AI69" i="237" s="1"/>
  <c r="Y69" i="237" s="1"/>
  <c r="AD69" i="237"/>
  <c r="AC69" i="237"/>
  <c r="AB69" i="237"/>
  <c r="Z69" i="237"/>
  <c r="X69" i="237"/>
  <c r="Q69" i="237"/>
  <c r="P69" i="237"/>
  <c r="I69" i="237"/>
  <c r="H69" i="237"/>
  <c r="E69" i="237"/>
  <c r="AD68" i="237"/>
  <c r="AC68" i="237"/>
  <c r="AB68" i="237"/>
  <c r="AE68" i="237" s="1"/>
  <c r="AI68" i="237" s="1"/>
  <c r="Y68" i="237" s="1"/>
  <c r="Z68" i="237"/>
  <c r="X68" i="237"/>
  <c r="Q68" i="237"/>
  <c r="P68" i="237"/>
  <c r="H68" i="237"/>
  <c r="E68" i="237"/>
  <c r="I68" i="237" s="1"/>
  <c r="AD67" i="237"/>
  <c r="AC67" i="237"/>
  <c r="AB67" i="237"/>
  <c r="AE67" i="237" s="1"/>
  <c r="AI67" i="237" s="1"/>
  <c r="Y67" i="237" s="1"/>
  <c r="Z67" i="237"/>
  <c r="X67" i="237"/>
  <c r="Q67" i="237"/>
  <c r="P67" i="237"/>
  <c r="H67" i="237"/>
  <c r="E67" i="237"/>
  <c r="I67" i="237" s="1"/>
  <c r="AD66" i="237"/>
  <c r="AC66" i="237"/>
  <c r="AE66" i="237" s="1"/>
  <c r="AI66" i="237" s="1"/>
  <c r="Y66" i="237" s="1"/>
  <c r="AB66" i="237"/>
  <c r="Z66" i="237"/>
  <c r="X66" i="237"/>
  <c r="Q66" i="237"/>
  <c r="P66" i="237"/>
  <c r="I66" i="237"/>
  <c r="H66" i="237"/>
  <c r="E66" i="237"/>
  <c r="AD65" i="237"/>
  <c r="AC65" i="237"/>
  <c r="AB65" i="237"/>
  <c r="AE65" i="237" s="1"/>
  <c r="AI65" i="237" s="1"/>
  <c r="Y65" i="237" s="1"/>
  <c r="Z65" i="237"/>
  <c r="X65" i="237"/>
  <c r="Q65" i="237"/>
  <c r="P65" i="237"/>
  <c r="I65" i="237"/>
  <c r="H65" i="237"/>
  <c r="E65" i="237"/>
  <c r="AI64" i="237"/>
  <c r="Y64" i="237" s="1"/>
  <c r="AE64" i="237"/>
  <c r="AD64" i="237"/>
  <c r="AC64" i="237"/>
  <c r="AB64" i="237"/>
  <c r="Z64" i="237"/>
  <c r="X64" i="237"/>
  <c r="Q64" i="237"/>
  <c r="P64" i="237"/>
  <c r="I64" i="237"/>
  <c r="H64" i="237"/>
  <c r="E64" i="237"/>
  <c r="AC63" i="237"/>
  <c r="AB63" i="237"/>
  <c r="AE63" i="237" s="1"/>
  <c r="AI63" i="237" s="1"/>
  <c r="Y63" i="237" s="1"/>
  <c r="X63" i="237"/>
  <c r="Q63" i="237"/>
  <c r="P63" i="237"/>
  <c r="H63" i="237"/>
  <c r="E63" i="237"/>
  <c r="I63" i="237" s="1"/>
  <c r="AE62" i="237"/>
  <c r="AI62" i="237" s="1"/>
  <c r="Y62" i="237" s="1"/>
  <c r="X62" i="237"/>
  <c r="Q62" i="237"/>
  <c r="P62" i="237"/>
  <c r="H62" i="237"/>
  <c r="E62" i="237"/>
  <c r="I62" i="237" s="1"/>
  <c r="AC61" i="237"/>
  <c r="AB61" i="237"/>
  <c r="AE61" i="237" s="1"/>
  <c r="AI61" i="237" s="1"/>
  <c r="Y61" i="237" s="1"/>
  <c r="X61" i="237"/>
  <c r="Q61" i="237"/>
  <c r="P61" i="237"/>
  <c r="I61" i="237"/>
  <c r="H61" i="237"/>
  <c r="E61" i="237"/>
  <c r="AE60" i="237"/>
  <c r="AI60" i="237" s="1"/>
  <c r="Y60" i="237" s="1"/>
  <c r="AC60" i="237"/>
  <c r="AB60" i="237"/>
  <c r="X60" i="237"/>
  <c r="Q60" i="237"/>
  <c r="P60" i="237"/>
  <c r="E60" i="237"/>
  <c r="I60" i="237" s="1"/>
  <c r="AC59" i="237"/>
  <c r="AB59" i="237"/>
  <c r="AE59" i="237" s="1"/>
  <c r="AI59" i="237" s="1"/>
  <c r="Y59" i="237" s="1"/>
  <c r="X59" i="237"/>
  <c r="Q59" i="237"/>
  <c r="P59" i="237"/>
  <c r="H59" i="237"/>
  <c r="E59" i="237"/>
  <c r="I59" i="237" s="1"/>
  <c r="AD58" i="237"/>
  <c r="AC58" i="237"/>
  <c r="AB58" i="237"/>
  <c r="AE58" i="237" s="1"/>
  <c r="AI58" i="237" s="1"/>
  <c r="Y58" i="237" s="1"/>
  <c r="Z58" i="237"/>
  <c r="X58" i="237"/>
  <c r="Q58" i="237"/>
  <c r="P58" i="237"/>
  <c r="H58" i="237"/>
  <c r="E58" i="237"/>
  <c r="I58" i="237" s="1"/>
  <c r="AD57" i="237"/>
  <c r="AC57" i="237"/>
  <c r="AE57" i="237" s="1"/>
  <c r="AI57" i="237" s="1"/>
  <c r="Y57" i="237" s="1"/>
  <c r="AB57" i="237"/>
  <c r="Z57" i="237"/>
  <c r="X57" i="237"/>
  <c r="Q57" i="237"/>
  <c r="P57" i="237"/>
  <c r="I57" i="237"/>
  <c r="H57" i="237"/>
  <c r="E57" i="237"/>
  <c r="AD56" i="237"/>
  <c r="AC56" i="237"/>
  <c r="AB56" i="237"/>
  <c r="AE56" i="237" s="1"/>
  <c r="AI56" i="237" s="1"/>
  <c r="Y56" i="237" s="1"/>
  <c r="Z56" i="237"/>
  <c r="X56" i="237"/>
  <c r="Q56" i="237"/>
  <c r="P56" i="237"/>
  <c r="H56" i="237"/>
  <c r="E56" i="237"/>
  <c r="I56" i="237" s="1"/>
  <c r="AE55" i="237"/>
  <c r="AI55" i="237" s="1"/>
  <c r="Y55" i="237" s="1"/>
  <c r="AD55" i="237"/>
  <c r="AC55" i="237"/>
  <c r="AB55" i="237"/>
  <c r="Z55" i="237"/>
  <c r="X55" i="237"/>
  <c r="Q55" i="237"/>
  <c r="P55" i="237"/>
  <c r="H55" i="237"/>
  <c r="E55" i="237"/>
  <c r="I55" i="237" s="1"/>
  <c r="AE54" i="237"/>
  <c r="AI54" i="237" s="1"/>
  <c r="Y54" i="237" s="1"/>
  <c r="Z54" i="237"/>
  <c r="X54" i="237"/>
  <c r="Q54" i="237"/>
  <c r="P54" i="237"/>
  <c r="H54" i="237"/>
  <c r="E54" i="237"/>
  <c r="I54" i="237" s="1"/>
  <c r="AD53" i="237"/>
  <c r="AC53" i="237"/>
  <c r="AB53" i="237"/>
  <c r="AE53" i="237" s="1"/>
  <c r="AI53" i="237" s="1"/>
  <c r="Y53" i="237" s="1"/>
  <c r="Z53" i="237"/>
  <c r="X53" i="237"/>
  <c r="Q53" i="237"/>
  <c r="P53" i="237"/>
  <c r="I53" i="237"/>
  <c r="H53" i="237"/>
  <c r="E53" i="237"/>
  <c r="AE52" i="237"/>
  <c r="AI52" i="237" s="1"/>
  <c r="Y52" i="237" s="1"/>
  <c r="AD52" i="237"/>
  <c r="AC52" i="237"/>
  <c r="AB52" i="237"/>
  <c r="Z52" i="237"/>
  <c r="X52" i="237"/>
  <c r="Q52" i="237"/>
  <c r="P52" i="237"/>
  <c r="H52" i="237"/>
  <c r="E52" i="237"/>
  <c r="I52" i="237" s="1"/>
  <c r="AI51" i="237"/>
  <c r="Y51" i="237" s="1"/>
  <c r="AE51" i="237"/>
  <c r="Z51" i="237"/>
  <c r="X51" i="237"/>
  <c r="Q51" i="237"/>
  <c r="P51" i="237"/>
  <c r="I51" i="237"/>
  <c r="H51" i="237"/>
  <c r="E51" i="237"/>
  <c r="AI50" i="237"/>
  <c r="Y50" i="237" s="1"/>
  <c r="AE50" i="237"/>
  <c r="Z50" i="237"/>
  <c r="X50" i="237"/>
  <c r="Q50" i="237"/>
  <c r="P50" i="237"/>
  <c r="I50" i="237"/>
  <c r="H50" i="237"/>
  <c r="E50" i="237"/>
  <c r="AI49" i="237"/>
  <c r="Y49" i="237" s="1"/>
  <c r="AE49" i="237"/>
  <c r="Z49" i="237"/>
  <c r="X49" i="237"/>
  <c r="Q49" i="237"/>
  <c r="P49" i="237"/>
  <c r="H49" i="237"/>
  <c r="E49" i="237"/>
  <c r="I49" i="237" s="1"/>
  <c r="AD48" i="237"/>
  <c r="AE48" i="237" s="1"/>
  <c r="AI48" i="237" s="1"/>
  <c r="Y48" i="237" s="1"/>
  <c r="AC48" i="237"/>
  <c r="AB48" i="237"/>
  <c r="Z48" i="237"/>
  <c r="X48" i="237"/>
  <c r="Q48" i="237"/>
  <c r="P48" i="237"/>
  <c r="H48" i="237"/>
  <c r="E48" i="237"/>
  <c r="I48" i="237" s="1"/>
  <c r="AD47" i="237"/>
  <c r="AC47" i="237"/>
  <c r="AB47" i="237"/>
  <c r="AE47" i="237" s="1"/>
  <c r="AI47" i="237" s="1"/>
  <c r="Y47" i="237" s="1"/>
  <c r="Z47" i="237"/>
  <c r="X47" i="237"/>
  <c r="Q47" i="237"/>
  <c r="P47" i="237"/>
  <c r="H47" i="237"/>
  <c r="E47" i="237"/>
  <c r="I47" i="237" s="1"/>
  <c r="AD46" i="237"/>
  <c r="AC46" i="237"/>
  <c r="AB46" i="237"/>
  <c r="AE46" i="237" s="1"/>
  <c r="AI46" i="237" s="1"/>
  <c r="Y46" i="237" s="1"/>
  <c r="Z46" i="237"/>
  <c r="X46" i="237"/>
  <c r="Q46" i="237"/>
  <c r="P46" i="237"/>
  <c r="H46" i="237"/>
  <c r="E46" i="237"/>
  <c r="I46" i="237" s="1"/>
  <c r="AD45" i="237"/>
  <c r="AC45" i="237"/>
  <c r="AE45" i="237" s="1"/>
  <c r="AI45" i="237" s="1"/>
  <c r="Y45" i="237" s="1"/>
  <c r="AB45" i="237"/>
  <c r="Z45" i="237"/>
  <c r="X45" i="237"/>
  <c r="Q45" i="237"/>
  <c r="P45" i="237"/>
  <c r="I45" i="237"/>
  <c r="H45" i="237"/>
  <c r="E45" i="237"/>
  <c r="AD44" i="237"/>
  <c r="AC44" i="237"/>
  <c r="AB44" i="237"/>
  <c r="AE44" i="237" s="1"/>
  <c r="AI44" i="237" s="1"/>
  <c r="Y44" i="237" s="1"/>
  <c r="Z44" i="237"/>
  <c r="X44" i="237"/>
  <c r="Q44" i="237"/>
  <c r="P44" i="237"/>
  <c r="H44" i="237"/>
  <c r="E44" i="237"/>
  <c r="I44" i="237" s="1"/>
  <c r="AE43" i="237"/>
  <c r="AI43" i="237" s="1"/>
  <c r="Y43" i="237" s="1"/>
  <c r="AD43" i="237"/>
  <c r="AC43" i="237"/>
  <c r="AB43" i="237"/>
  <c r="Z43" i="237"/>
  <c r="X43" i="237"/>
  <c r="Q43" i="237"/>
  <c r="P43" i="237"/>
  <c r="H43" i="237"/>
  <c r="E43" i="237"/>
  <c r="I43" i="237" s="1"/>
  <c r="AD42" i="237"/>
  <c r="AC42" i="237"/>
  <c r="AB42" i="237"/>
  <c r="AE42" i="237" s="1"/>
  <c r="AI42" i="237" s="1"/>
  <c r="Y42" i="237" s="1"/>
  <c r="Z42" i="237"/>
  <c r="X42" i="237"/>
  <c r="Q42" i="237"/>
  <c r="P42" i="237"/>
  <c r="H42" i="237"/>
  <c r="E42" i="237"/>
  <c r="I42" i="237" s="1"/>
  <c r="AE41" i="237"/>
  <c r="AI41" i="237" s="1"/>
  <c r="Y41" i="237" s="1"/>
  <c r="AD41" i="237"/>
  <c r="AC41" i="237"/>
  <c r="AB41" i="237"/>
  <c r="Z41" i="237"/>
  <c r="X41" i="237"/>
  <c r="Q41" i="237"/>
  <c r="P41" i="237"/>
  <c r="H41" i="237"/>
  <c r="E41" i="237"/>
  <c r="I41" i="237" s="1"/>
  <c r="AD40" i="237"/>
  <c r="AC40" i="237"/>
  <c r="AB40" i="237"/>
  <c r="AE40" i="237" s="1"/>
  <c r="AI40" i="237" s="1"/>
  <c r="Y40" i="237" s="1"/>
  <c r="Z40" i="237"/>
  <c r="X40" i="237"/>
  <c r="Q40" i="237"/>
  <c r="P40" i="237"/>
  <c r="I40" i="237"/>
  <c r="H40" i="237"/>
  <c r="E40" i="237"/>
  <c r="AE39" i="237"/>
  <c r="AI39" i="237" s="1"/>
  <c r="Y39" i="237" s="1"/>
  <c r="AD39" i="237"/>
  <c r="AC39" i="237"/>
  <c r="AB39" i="237"/>
  <c r="Z39" i="237"/>
  <c r="X39" i="237"/>
  <c r="Q39" i="237"/>
  <c r="P39" i="237"/>
  <c r="H39" i="237"/>
  <c r="E39" i="237"/>
  <c r="I39" i="237" s="1"/>
  <c r="AD38" i="237"/>
  <c r="AC38" i="237"/>
  <c r="AB38" i="237"/>
  <c r="AE38" i="237" s="1"/>
  <c r="AI38" i="237" s="1"/>
  <c r="Y38" i="237" s="1"/>
  <c r="Z38" i="237"/>
  <c r="X38" i="237"/>
  <c r="Q38" i="237"/>
  <c r="P38" i="237"/>
  <c r="I38" i="237"/>
  <c r="H38" i="237"/>
  <c r="E38" i="237"/>
  <c r="AD37" i="237"/>
  <c r="AC37" i="237"/>
  <c r="AB37" i="237"/>
  <c r="AE37" i="237" s="1"/>
  <c r="AI37" i="237" s="1"/>
  <c r="Y37" i="237" s="1"/>
  <c r="Z37" i="237"/>
  <c r="X37" i="237"/>
  <c r="Q37" i="237"/>
  <c r="P37" i="237"/>
  <c r="I37" i="237"/>
  <c r="H37" i="237"/>
  <c r="E37" i="237"/>
  <c r="AD36" i="237"/>
  <c r="AC36" i="237"/>
  <c r="AB36" i="237"/>
  <c r="AE36" i="237" s="1"/>
  <c r="AI36" i="237" s="1"/>
  <c r="Y36" i="237" s="1"/>
  <c r="Z36" i="237"/>
  <c r="X36" i="237"/>
  <c r="Q36" i="237"/>
  <c r="P36" i="237"/>
  <c r="I36" i="237"/>
  <c r="H36" i="237"/>
  <c r="E36" i="237"/>
  <c r="AD35" i="237"/>
  <c r="AC35" i="237"/>
  <c r="AE35" i="237" s="1"/>
  <c r="AI35" i="237" s="1"/>
  <c r="Y35" i="237" s="1"/>
  <c r="AB35" i="237"/>
  <c r="Z35" i="237"/>
  <c r="X35" i="237"/>
  <c r="Q35" i="237"/>
  <c r="P35" i="237"/>
  <c r="I35" i="237"/>
  <c r="H35" i="237"/>
  <c r="E35" i="237"/>
  <c r="AD34" i="237"/>
  <c r="AC34" i="237"/>
  <c r="AB34" i="237"/>
  <c r="AE34" i="237" s="1"/>
  <c r="AI34" i="237" s="1"/>
  <c r="Y34" i="237" s="1"/>
  <c r="Z34" i="237"/>
  <c r="X34" i="237"/>
  <c r="Q34" i="237"/>
  <c r="P34" i="237"/>
  <c r="H34" i="237"/>
  <c r="E34" i="237"/>
  <c r="I34" i="237" s="1"/>
  <c r="AD33" i="237"/>
  <c r="AC33" i="237"/>
  <c r="AE33" i="237" s="1"/>
  <c r="AI33" i="237" s="1"/>
  <c r="Y33" i="237" s="1"/>
  <c r="AB33" i="237"/>
  <c r="Z33" i="237"/>
  <c r="X33" i="237"/>
  <c r="Q33" i="237"/>
  <c r="P33" i="237"/>
  <c r="I33" i="237"/>
  <c r="H33" i="237"/>
  <c r="E33" i="237"/>
  <c r="AD32" i="237"/>
  <c r="AE32" i="237" s="1"/>
  <c r="AI32" i="237" s="1"/>
  <c r="Y32" i="237" s="1"/>
  <c r="AC32" i="237"/>
  <c r="AB32" i="237"/>
  <c r="Z32" i="237"/>
  <c r="X32" i="237"/>
  <c r="Q32" i="237"/>
  <c r="P32" i="237"/>
  <c r="H32" i="237"/>
  <c r="E32" i="237"/>
  <c r="I32" i="237" s="1"/>
  <c r="AE31" i="237"/>
  <c r="AI31" i="237" s="1"/>
  <c r="Y31" i="237" s="1"/>
  <c r="Z31" i="237"/>
  <c r="X31" i="237"/>
  <c r="Q31" i="237"/>
  <c r="P31" i="237"/>
  <c r="H31" i="237"/>
  <c r="E31" i="237"/>
  <c r="I31" i="237" s="1"/>
  <c r="AD30" i="237"/>
  <c r="AC30" i="237"/>
  <c r="AE30" i="237" s="1"/>
  <c r="AI30" i="237" s="1"/>
  <c r="Y30" i="237" s="1"/>
  <c r="AB30" i="237"/>
  <c r="Z30" i="237"/>
  <c r="X30" i="237"/>
  <c r="Q30" i="237"/>
  <c r="P30" i="237"/>
  <c r="I30" i="237"/>
  <c r="H30" i="237"/>
  <c r="E30" i="237"/>
  <c r="AD29" i="237"/>
  <c r="AC29" i="237"/>
  <c r="AB29" i="237"/>
  <c r="AE29" i="237" s="1"/>
  <c r="AI29" i="237" s="1"/>
  <c r="Y29" i="237" s="1"/>
  <c r="Z29" i="237"/>
  <c r="X29" i="237"/>
  <c r="Q29" i="237"/>
  <c r="P29" i="237"/>
  <c r="I29" i="237"/>
  <c r="H29" i="237"/>
  <c r="E29" i="237"/>
  <c r="AE28" i="237"/>
  <c r="AI28" i="237" s="1"/>
  <c r="Y28" i="237" s="1"/>
  <c r="AD28" i="237"/>
  <c r="AC28" i="237"/>
  <c r="AB28" i="237"/>
  <c r="Z28" i="237"/>
  <c r="X28" i="237"/>
  <c r="Q28" i="237"/>
  <c r="P28" i="237"/>
  <c r="H28" i="237"/>
  <c r="E28" i="237"/>
  <c r="I28" i="237" s="1"/>
  <c r="AD27" i="237"/>
  <c r="AC27" i="237"/>
  <c r="AB27" i="237"/>
  <c r="AE27" i="237" s="1"/>
  <c r="AI27" i="237" s="1"/>
  <c r="Y27" i="237" s="1"/>
  <c r="Z27" i="237"/>
  <c r="X27" i="237"/>
  <c r="Q27" i="237"/>
  <c r="P27" i="237"/>
  <c r="H27" i="237"/>
  <c r="E27" i="237"/>
  <c r="I27" i="237" s="1"/>
  <c r="AE26" i="237"/>
  <c r="AI26" i="237" s="1"/>
  <c r="Y26" i="237" s="1"/>
  <c r="AD26" i="237"/>
  <c r="AC26" i="237"/>
  <c r="AB26" i="237"/>
  <c r="Z26" i="237"/>
  <c r="X26" i="237"/>
  <c r="Q26" i="237"/>
  <c r="P26" i="237"/>
  <c r="H26" i="237"/>
  <c r="E26" i="237"/>
  <c r="I26" i="237" s="1"/>
  <c r="AD25" i="237"/>
  <c r="AC25" i="237"/>
  <c r="AB25" i="237"/>
  <c r="AE25" i="237" s="1"/>
  <c r="AI25" i="237" s="1"/>
  <c r="Y25" i="237" s="1"/>
  <c r="Z25" i="237"/>
  <c r="X25" i="237"/>
  <c r="Q25" i="237"/>
  <c r="P25" i="237"/>
  <c r="I25" i="237"/>
  <c r="H25" i="237"/>
  <c r="E25" i="237"/>
  <c r="AE24" i="237"/>
  <c r="AI24" i="237" s="1"/>
  <c r="Y24" i="237" s="1"/>
  <c r="AD24" i="237"/>
  <c r="AC24" i="237"/>
  <c r="AB24" i="237"/>
  <c r="Z24" i="237"/>
  <c r="X24" i="237"/>
  <c r="Q24" i="237"/>
  <c r="P24" i="237"/>
  <c r="H24" i="237"/>
  <c r="E24" i="237"/>
  <c r="I24" i="237" s="1"/>
  <c r="AD23" i="237"/>
  <c r="AC23" i="237"/>
  <c r="AB23" i="237"/>
  <c r="AE23" i="237" s="1"/>
  <c r="AI23" i="237" s="1"/>
  <c r="Y23" i="237" s="1"/>
  <c r="Z23" i="237"/>
  <c r="X23" i="237"/>
  <c r="Q23" i="237"/>
  <c r="P23" i="237"/>
  <c r="I23" i="237"/>
  <c r="H23" i="237"/>
  <c r="E23" i="237"/>
  <c r="AD22" i="237"/>
  <c r="AC22" i="237"/>
  <c r="AB22" i="237"/>
  <c r="AE22" i="237" s="1"/>
  <c r="AI22" i="237" s="1"/>
  <c r="Y22" i="237" s="1"/>
  <c r="Z22" i="237"/>
  <c r="X22" i="237"/>
  <c r="Q22" i="237"/>
  <c r="P22" i="237"/>
  <c r="I22" i="237"/>
  <c r="H22" i="237"/>
  <c r="E22" i="237"/>
  <c r="AD21" i="237"/>
  <c r="AC21" i="237"/>
  <c r="AB21" i="237"/>
  <c r="AE21" i="237" s="1"/>
  <c r="AI21" i="237" s="1"/>
  <c r="Y21" i="237" s="1"/>
  <c r="Z21" i="237"/>
  <c r="X21" i="237"/>
  <c r="Q21" i="237"/>
  <c r="P21" i="237"/>
  <c r="I21" i="237"/>
  <c r="H21" i="237"/>
  <c r="E21" i="237"/>
  <c r="AD20" i="237"/>
  <c r="AC20" i="237"/>
  <c r="AE20" i="237" s="1"/>
  <c r="AI20" i="237" s="1"/>
  <c r="Y20" i="237" s="1"/>
  <c r="AB20" i="237"/>
  <c r="Z20" i="237"/>
  <c r="X20" i="237"/>
  <c r="Q20" i="237"/>
  <c r="P20" i="237"/>
  <c r="I20" i="237"/>
  <c r="H20" i="237"/>
  <c r="E20" i="237"/>
  <c r="AD19" i="237"/>
  <c r="AC19" i="237"/>
  <c r="AB19" i="237"/>
  <c r="AE19" i="237" s="1"/>
  <c r="AI19" i="237" s="1"/>
  <c r="Y19" i="237" s="1"/>
  <c r="Z19" i="237"/>
  <c r="X19" i="237"/>
  <c r="Q19" i="237"/>
  <c r="P19" i="237"/>
  <c r="H19" i="237"/>
  <c r="E19" i="237"/>
  <c r="I19" i="237" s="1"/>
  <c r="AD18" i="237"/>
  <c r="AC18" i="237"/>
  <c r="AE18" i="237" s="1"/>
  <c r="AI18" i="237" s="1"/>
  <c r="Y18" i="237" s="1"/>
  <c r="AB18" i="237"/>
  <c r="Z18" i="237"/>
  <c r="X18" i="237"/>
  <c r="Q18" i="237"/>
  <c r="P18" i="237"/>
  <c r="I18" i="237"/>
  <c r="H18" i="237"/>
  <c r="E18" i="237"/>
  <c r="AD17" i="237"/>
  <c r="AE17" i="237" s="1"/>
  <c r="AI17" i="237" s="1"/>
  <c r="Y17" i="237" s="1"/>
  <c r="AC17" i="237"/>
  <c r="AB17" i="237"/>
  <c r="Z17" i="237"/>
  <c r="X17" i="237"/>
  <c r="Q17" i="237"/>
  <c r="P17" i="237"/>
  <c r="H17" i="237"/>
  <c r="E17" i="237"/>
  <c r="I17" i="237" s="1"/>
  <c r="AD16" i="237"/>
  <c r="AC16" i="237"/>
  <c r="AB16" i="237"/>
  <c r="AE16" i="237" s="1"/>
  <c r="AI16" i="237" s="1"/>
  <c r="Y16" i="237" s="1"/>
  <c r="Z16" i="237"/>
  <c r="X16" i="237"/>
  <c r="Q16" i="237"/>
  <c r="P16" i="237"/>
  <c r="I16" i="237"/>
  <c r="E16" i="237"/>
  <c r="AD15" i="237"/>
  <c r="AC15" i="237"/>
  <c r="AE15" i="237" s="1"/>
  <c r="AI15" i="237" s="1"/>
  <c r="Y15" i="237" s="1"/>
  <c r="AB15" i="237"/>
  <c r="Z15" i="237"/>
  <c r="X15" i="237"/>
  <c r="Q15" i="237"/>
  <c r="P15" i="237"/>
  <c r="E15" i="237"/>
  <c r="I15" i="237" s="1"/>
  <c r="AE14" i="237"/>
  <c r="AI14" i="237" s="1"/>
  <c r="Y14" i="237" s="1"/>
  <c r="AD14" i="237"/>
  <c r="AC14" i="237"/>
  <c r="AB14" i="237"/>
  <c r="Z14" i="237"/>
  <c r="X14" i="237"/>
  <c r="Q14" i="237"/>
  <c r="P14" i="237"/>
  <c r="H14" i="237"/>
  <c r="E14" i="237"/>
  <c r="I14" i="237" s="1"/>
  <c r="AD13" i="237"/>
  <c r="AC13" i="237"/>
  <c r="AB13" i="237"/>
  <c r="AE13" i="237" s="1"/>
  <c r="AI13" i="237" s="1"/>
  <c r="Y13" i="237" s="1"/>
  <c r="Z13" i="237"/>
  <c r="X13" i="237"/>
  <c r="Q13" i="237"/>
  <c r="P13" i="237"/>
  <c r="I13" i="237"/>
  <c r="H13" i="237"/>
  <c r="E13" i="237"/>
  <c r="AD12" i="237"/>
  <c r="AC12" i="237"/>
  <c r="AB12" i="237"/>
  <c r="AE12" i="237" s="1"/>
  <c r="AI12" i="237" s="1"/>
  <c r="Y12" i="237" s="1"/>
  <c r="Z12" i="237"/>
  <c r="X12" i="237"/>
  <c r="Q12" i="237"/>
  <c r="P12" i="237"/>
  <c r="H12" i="237"/>
  <c r="E12" i="237"/>
  <c r="I12" i="237" s="1"/>
  <c r="O75" i="237" l="1"/>
  <c r="O77" i="237"/>
  <c r="T79" i="237"/>
  <c r="T77" i="237"/>
  <c r="F75" i="237"/>
  <c r="F79" i="237" s="1"/>
  <c r="F77" i="237"/>
  <c r="T75" i="237"/>
  <c r="M81" i="236"/>
  <c r="P73" i="236"/>
  <c r="H73" i="236"/>
  <c r="Q72" i="236"/>
  <c r="P72" i="236"/>
  <c r="I72" i="236"/>
  <c r="H72" i="236"/>
  <c r="E72" i="236"/>
  <c r="Q71" i="236"/>
  <c r="P71" i="236"/>
  <c r="H71" i="236"/>
  <c r="E71" i="236"/>
  <c r="I71" i="236" s="1"/>
  <c r="AD70" i="236"/>
  <c r="AC70" i="236"/>
  <c r="AB70" i="236"/>
  <c r="AE70" i="236" s="1"/>
  <c r="AI70" i="236" s="1"/>
  <c r="Y70" i="236" s="1"/>
  <c r="Z70" i="236"/>
  <c r="X70" i="236"/>
  <c r="Q70" i="236"/>
  <c r="P70" i="236"/>
  <c r="H70" i="236"/>
  <c r="E70" i="236"/>
  <c r="I70" i="236" s="1"/>
  <c r="AE69" i="236"/>
  <c r="AI69" i="236" s="1"/>
  <c r="Y69" i="236" s="1"/>
  <c r="AD69" i="236"/>
  <c r="AC69" i="236"/>
  <c r="AB69" i="236"/>
  <c r="Z69" i="236"/>
  <c r="X69" i="236"/>
  <c r="Q69" i="236"/>
  <c r="P69" i="236"/>
  <c r="I69" i="236"/>
  <c r="H69" i="236"/>
  <c r="E69" i="236"/>
  <c r="AD68" i="236"/>
  <c r="AE68" i="236" s="1"/>
  <c r="AI68" i="236" s="1"/>
  <c r="Y68" i="236" s="1"/>
  <c r="AC68" i="236"/>
  <c r="AB68" i="236"/>
  <c r="Z68" i="236"/>
  <c r="X68" i="236"/>
  <c r="Q68" i="236"/>
  <c r="P68" i="236"/>
  <c r="I68" i="236"/>
  <c r="H68" i="236"/>
  <c r="E68" i="236"/>
  <c r="AD67" i="236"/>
  <c r="AC67" i="236"/>
  <c r="AB67" i="236"/>
  <c r="AE67" i="236" s="1"/>
  <c r="AI67" i="236" s="1"/>
  <c r="Y67" i="236" s="1"/>
  <c r="Z67" i="236"/>
  <c r="X67" i="236"/>
  <c r="Q67" i="236"/>
  <c r="P67" i="236"/>
  <c r="H67" i="236"/>
  <c r="E67" i="236"/>
  <c r="I67" i="236" s="1"/>
  <c r="AD66" i="236"/>
  <c r="AC66" i="236"/>
  <c r="AB66" i="236"/>
  <c r="AE66" i="236" s="1"/>
  <c r="AI66" i="236" s="1"/>
  <c r="Y66" i="236" s="1"/>
  <c r="Z66" i="236"/>
  <c r="X66" i="236"/>
  <c r="Q66" i="236"/>
  <c r="P66" i="236"/>
  <c r="I66" i="236"/>
  <c r="H66" i="236"/>
  <c r="E66" i="236"/>
  <c r="AD65" i="236"/>
  <c r="AC65" i="236"/>
  <c r="AB65" i="236"/>
  <c r="AE65" i="236" s="1"/>
  <c r="AI65" i="236" s="1"/>
  <c r="Y65" i="236" s="1"/>
  <c r="Z65" i="236"/>
  <c r="X65" i="236"/>
  <c r="Q65" i="236"/>
  <c r="P65" i="236"/>
  <c r="I65" i="236"/>
  <c r="H65" i="236"/>
  <c r="E65" i="236"/>
  <c r="AD64" i="236"/>
  <c r="AC64" i="236"/>
  <c r="AB64" i="236"/>
  <c r="AE64" i="236" s="1"/>
  <c r="AI64" i="236" s="1"/>
  <c r="Y64" i="236" s="1"/>
  <c r="Z64" i="236"/>
  <c r="X64" i="236"/>
  <c r="Q64" i="236"/>
  <c r="P64" i="236"/>
  <c r="I64" i="236"/>
  <c r="H64" i="236"/>
  <c r="E64" i="236"/>
  <c r="AE63" i="236"/>
  <c r="AI63" i="236" s="1"/>
  <c r="Y63" i="236" s="1"/>
  <c r="AC63" i="236"/>
  <c r="AB63" i="236"/>
  <c r="X63" i="236"/>
  <c r="Q63" i="236"/>
  <c r="P63" i="236"/>
  <c r="I63" i="236"/>
  <c r="H63" i="236"/>
  <c r="E63" i="236"/>
  <c r="AE62" i="236"/>
  <c r="AI62" i="236" s="1"/>
  <c r="Y62" i="236" s="1"/>
  <c r="X62" i="236"/>
  <c r="Q62" i="236"/>
  <c r="P62" i="236"/>
  <c r="I62" i="236"/>
  <c r="H62" i="236"/>
  <c r="E62" i="236"/>
  <c r="AC61" i="236"/>
  <c r="AB61" i="236"/>
  <c r="AE61" i="236" s="1"/>
  <c r="AI61" i="236" s="1"/>
  <c r="Y61" i="236" s="1"/>
  <c r="X61" i="236"/>
  <c r="Q61" i="236"/>
  <c r="P61" i="236"/>
  <c r="I61" i="236"/>
  <c r="H61" i="236"/>
  <c r="E61" i="236"/>
  <c r="AC60" i="236"/>
  <c r="AE60" i="236" s="1"/>
  <c r="AI60" i="236" s="1"/>
  <c r="Y60" i="236" s="1"/>
  <c r="AB60" i="236"/>
  <c r="X60" i="236"/>
  <c r="Q60" i="236"/>
  <c r="P60" i="236"/>
  <c r="E60" i="236"/>
  <c r="I60" i="236" s="1"/>
  <c r="AC59" i="236"/>
  <c r="AB59" i="236"/>
  <c r="AE59" i="236" s="1"/>
  <c r="AI59" i="236" s="1"/>
  <c r="Y59" i="236" s="1"/>
  <c r="X59" i="236"/>
  <c r="Q59" i="236"/>
  <c r="P59" i="236"/>
  <c r="I59" i="236"/>
  <c r="H59" i="236"/>
  <c r="E59" i="236"/>
  <c r="AD58" i="236"/>
  <c r="AC58" i="236"/>
  <c r="AB58" i="236"/>
  <c r="AE58" i="236" s="1"/>
  <c r="AI58" i="236" s="1"/>
  <c r="Y58" i="236" s="1"/>
  <c r="Z58" i="236"/>
  <c r="X58" i="236"/>
  <c r="Q58" i="236"/>
  <c r="P58" i="236"/>
  <c r="H58" i="236"/>
  <c r="E58" i="236"/>
  <c r="I58" i="236" s="1"/>
  <c r="AD57" i="236"/>
  <c r="AC57" i="236"/>
  <c r="AB57" i="236"/>
  <c r="AE57" i="236" s="1"/>
  <c r="AI57" i="236" s="1"/>
  <c r="Y57" i="236" s="1"/>
  <c r="Z57" i="236"/>
  <c r="X57" i="236"/>
  <c r="Q57" i="236"/>
  <c r="P57" i="236"/>
  <c r="H57" i="236"/>
  <c r="E57" i="236"/>
  <c r="I57" i="236" s="1"/>
  <c r="AD56" i="236"/>
  <c r="AC56" i="236"/>
  <c r="AE56" i="236" s="1"/>
  <c r="AI56" i="236" s="1"/>
  <c r="Y56" i="236" s="1"/>
  <c r="AB56" i="236"/>
  <c r="Z56" i="236"/>
  <c r="X56" i="236"/>
  <c r="Q56" i="236"/>
  <c r="P56" i="236"/>
  <c r="I56" i="236"/>
  <c r="H56" i="236"/>
  <c r="E56" i="236"/>
  <c r="AE55" i="236"/>
  <c r="AI55" i="236" s="1"/>
  <c r="Y55" i="236" s="1"/>
  <c r="AD55" i="236"/>
  <c r="AC55" i="236"/>
  <c r="AB55" i="236"/>
  <c r="Z55" i="236"/>
  <c r="X55" i="236"/>
  <c r="Q55" i="236"/>
  <c r="P55" i="236"/>
  <c r="H55" i="236"/>
  <c r="E55" i="236"/>
  <c r="I55" i="236" s="1"/>
  <c r="AE54" i="236"/>
  <c r="AI54" i="236" s="1"/>
  <c r="Y54" i="236" s="1"/>
  <c r="Z54" i="236"/>
  <c r="X54" i="236"/>
  <c r="Q54" i="236"/>
  <c r="P54" i="236"/>
  <c r="H54" i="236"/>
  <c r="E54" i="236"/>
  <c r="I54" i="236" s="1"/>
  <c r="AE53" i="236"/>
  <c r="AI53" i="236" s="1"/>
  <c r="Y53" i="236" s="1"/>
  <c r="AD53" i="236"/>
  <c r="AC53" i="236"/>
  <c r="AB53" i="236"/>
  <c r="Z53" i="236"/>
  <c r="X53" i="236"/>
  <c r="Q53" i="236"/>
  <c r="P53" i="236"/>
  <c r="I53" i="236"/>
  <c r="H53" i="236"/>
  <c r="E53" i="236"/>
  <c r="AD52" i="236"/>
  <c r="AC52" i="236"/>
  <c r="AB52" i="236"/>
  <c r="AE52" i="236" s="1"/>
  <c r="AI52" i="236" s="1"/>
  <c r="Y52" i="236" s="1"/>
  <c r="Z52" i="236"/>
  <c r="X52" i="236"/>
  <c r="Q52" i="236"/>
  <c r="P52" i="236"/>
  <c r="I52" i="236"/>
  <c r="H52" i="236"/>
  <c r="E52" i="236"/>
  <c r="AI51" i="236"/>
  <c r="Y51" i="236" s="1"/>
  <c r="AE51" i="236"/>
  <c r="Z51" i="236"/>
  <c r="X51" i="236"/>
  <c r="Q51" i="236"/>
  <c r="P51" i="236"/>
  <c r="I51" i="236"/>
  <c r="H51" i="236"/>
  <c r="E51" i="236"/>
  <c r="AE50" i="236"/>
  <c r="AI50" i="236" s="1"/>
  <c r="Y50" i="236" s="1"/>
  <c r="Z50" i="236"/>
  <c r="X50" i="236"/>
  <c r="Q50" i="236"/>
  <c r="P50" i="236"/>
  <c r="I50" i="236"/>
  <c r="H50" i="236"/>
  <c r="E50" i="236"/>
  <c r="AE49" i="236"/>
  <c r="AI49" i="236" s="1"/>
  <c r="Y49" i="236" s="1"/>
  <c r="Z49" i="236"/>
  <c r="X49" i="236"/>
  <c r="Q49" i="236"/>
  <c r="P49" i="236"/>
  <c r="H49" i="236"/>
  <c r="E49" i="236"/>
  <c r="I49" i="236" s="1"/>
  <c r="AD48" i="236"/>
  <c r="AC48" i="236"/>
  <c r="AB48" i="236"/>
  <c r="AE48" i="236" s="1"/>
  <c r="AI48" i="236" s="1"/>
  <c r="Y48" i="236" s="1"/>
  <c r="Z48" i="236"/>
  <c r="X48" i="236"/>
  <c r="Q48" i="236"/>
  <c r="P48" i="236"/>
  <c r="H48" i="236"/>
  <c r="E48" i="236"/>
  <c r="I48" i="236" s="1"/>
  <c r="AD47" i="236"/>
  <c r="AE47" i="236" s="1"/>
  <c r="AI47" i="236" s="1"/>
  <c r="Y47" i="236" s="1"/>
  <c r="AC47" i="236"/>
  <c r="AB47" i="236"/>
  <c r="Z47" i="236"/>
  <c r="X47" i="236"/>
  <c r="Q47" i="236"/>
  <c r="P47" i="236"/>
  <c r="I47" i="236"/>
  <c r="H47" i="236"/>
  <c r="E47" i="236"/>
  <c r="AD46" i="236"/>
  <c r="AC46" i="236"/>
  <c r="AB46" i="236"/>
  <c r="AE46" i="236" s="1"/>
  <c r="AI46" i="236" s="1"/>
  <c r="Y46" i="236" s="1"/>
  <c r="Z46" i="236"/>
  <c r="X46" i="236"/>
  <c r="Q46" i="236"/>
  <c r="P46" i="236"/>
  <c r="H46" i="236"/>
  <c r="E46" i="236"/>
  <c r="I46" i="236" s="1"/>
  <c r="AD45" i="236"/>
  <c r="AE45" i="236" s="1"/>
  <c r="AI45" i="236" s="1"/>
  <c r="Y45" i="236" s="1"/>
  <c r="AC45" i="236"/>
  <c r="AB45" i="236"/>
  <c r="Z45" i="236"/>
  <c r="X45" i="236"/>
  <c r="Q45" i="236"/>
  <c r="P45" i="236"/>
  <c r="H45" i="236"/>
  <c r="E45" i="236"/>
  <c r="I45" i="236" s="1"/>
  <c r="AD44" i="236"/>
  <c r="AC44" i="236"/>
  <c r="AE44" i="236" s="1"/>
  <c r="AI44" i="236" s="1"/>
  <c r="Y44" i="236" s="1"/>
  <c r="AB44" i="236"/>
  <c r="Z44" i="236"/>
  <c r="X44" i="236"/>
  <c r="Q44" i="236"/>
  <c r="P44" i="236"/>
  <c r="I44" i="236"/>
  <c r="H44" i="236"/>
  <c r="E44" i="236"/>
  <c r="AE43" i="236"/>
  <c r="AI43" i="236" s="1"/>
  <c r="Y43" i="236" s="1"/>
  <c r="AD43" i="236"/>
  <c r="AC43" i="236"/>
  <c r="AB43" i="236"/>
  <c r="Z43" i="236"/>
  <c r="X43" i="236"/>
  <c r="Q43" i="236"/>
  <c r="P43" i="236"/>
  <c r="H43" i="236"/>
  <c r="E43" i="236"/>
  <c r="I43" i="236" s="1"/>
  <c r="AE42" i="236"/>
  <c r="AI42" i="236" s="1"/>
  <c r="Y42" i="236" s="1"/>
  <c r="AD42" i="236"/>
  <c r="AC42" i="236"/>
  <c r="AB42" i="236"/>
  <c r="Z42" i="236"/>
  <c r="X42" i="236"/>
  <c r="Q42" i="236"/>
  <c r="P42" i="236"/>
  <c r="H42" i="236"/>
  <c r="E42" i="236"/>
  <c r="I42" i="236" s="1"/>
  <c r="AD41" i="236"/>
  <c r="AC41" i="236"/>
  <c r="AB41" i="236"/>
  <c r="AE41" i="236" s="1"/>
  <c r="AI41" i="236" s="1"/>
  <c r="Y41" i="236" s="1"/>
  <c r="Z41" i="236"/>
  <c r="X41" i="236"/>
  <c r="Q41" i="236"/>
  <c r="P41" i="236"/>
  <c r="H41" i="236"/>
  <c r="E41" i="236"/>
  <c r="I41" i="236" s="1"/>
  <c r="AE40" i="236"/>
  <c r="AI40" i="236" s="1"/>
  <c r="Y40" i="236" s="1"/>
  <c r="AD40" i="236"/>
  <c r="AC40" i="236"/>
  <c r="AB40" i="236"/>
  <c r="Z40" i="236"/>
  <c r="X40" i="236"/>
  <c r="Q40" i="236"/>
  <c r="P40" i="236"/>
  <c r="I40" i="236"/>
  <c r="H40" i="236"/>
  <c r="E40" i="236"/>
  <c r="AD39" i="236"/>
  <c r="AC39" i="236"/>
  <c r="AB39" i="236"/>
  <c r="AE39" i="236" s="1"/>
  <c r="AI39" i="236" s="1"/>
  <c r="Y39" i="236" s="1"/>
  <c r="Z39" i="236"/>
  <c r="X39" i="236"/>
  <c r="Q39" i="236"/>
  <c r="P39" i="236"/>
  <c r="I39" i="236"/>
  <c r="H39" i="236"/>
  <c r="E39" i="236"/>
  <c r="AD38" i="236"/>
  <c r="AC38" i="236"/>
  <c r="AB38" i="236"/>
  <c r="AE38" i="236" s="1"/>
  <c r="AI38" i="236" s="1"/>
  <c r="Y38" i="236" s="1"/>
  <c r="Z38" i="236"/>
  <c r="X38" i="236"/>
  <c r="Q38" i="236"/>
  <c r="P38" i="236"/>
  <c r="H38" i="236"/>
  <c r="E38" i="236"/>
  <c r="I38" i="236" s="1"/>
  <c r="AD37" i="236"/>
  <c r="AC37" i="236"/>
  <c r="AB37" i="236"/>
  <c r="AE37" i="236" s="1"/>
  <c r="AI37" i="236" s="1"/>
  <c r="Y37" i="236" s="1"/>
  <c r="Z37" i="236"/>
  <c r="X37" i="236"/>
  <c r="Q37" i="236"/>
  <c r="P37" i="236"/>
  <c r="I37" i="236"/>
  <c r="H37" i="236"/>
  <c r="E37" i="236"/>
  <c r="AD36" i="236"/>
  <c r="AC36" i="236"/>
  <c r="AE36" i="236" s="1"/>
  <c r="AI36" i="236" s="1"/>
  <c r="Y36" i="236" s="1"/>
  <c r="AB36" i="236"/>
  <c r="Z36" i="236"/>
  <c r="X36" i="236"/>
  <c r="Q36" i="236"/>
  <c r="P36" i="236"/>
  <c r="I36" i="236"/>
  <c r="H36" i="236"/>
  <c r="E36" i="236"/>
  <c r="AD35" i="236"/>
  <c r="AC35" i="236"/>
  <c r="AB35" i="236"/>
  <c r="AE35" i="236" s="1"/>
  <c r="AI35" i="236" s="1"/>
  <c r="Y35" i="236" s="1"/>
  <c r="Z35" i="236"/>
  <c r="X35" i="236"/>
  <c r="Q35" i="236"/>
  <c r="P35" i="236"/>
  <c r="I35" i="236"/>
  <c r="H35" i="236"/>
  <c r="E35" i="236"/>
  <c r="AE34" i="236"/>
  <c r="AI34" i="236" s="1"/>
  <c r="Y34" i="236" s="1"/>
  <c r="AD34" i="236"/>
  <c r="AC34" i="236"/>
  <c r="AB34" i="236"/>
  <c r="Z34" i="236"/>
  <c r="X34" i="236"/>
  <c r="Q34" i="236"/>
  <c r="P34" i="236"/>
  <c r="H34" i="236"/>
  <c r="E34" i="236"/>
  <c r="I34" i="236" s="1"/>
  <c r="AD33" i="236"/>
  <c r="AC33" i="236"/>
  <c r="AB33" i="236"/>
  <c r="AE33" i="236" s="1"/>
  <c r="AI33" i="236" s="1"/>
  <c r="Y33" i="236" s="1"/>
  <c r="Z33" i="236"/>
  <c r="X33" i="236"/>
  <c r="Q33" i="236"/>
  <c r="P33" i="236"/>
  <c r="H33" i="236"/>
  <c r="E33" i="236"/>
  <c r="I33" i="236" s="1"/>
  <c r="AD32" i="236"/>
  <c r="AC32" i="236"/>
  <c r="AB32" i="236"/>
  <c r="AE32" i="236" s="1"/>
  <c r="AI32" i="236" s="1"/>
  <c r="Y32" i="236" s="1"/>
  <c r="Z32" i="236"/>
  <c r="X32" i="236"/>
  <c r="Q32" i="236"/>
  <c r="P32" i="236"/>
  <c r="H32" i="236"/>
  <c r="E32" i="236"/>
  <c r="I32" i="236" s="1"/>
  <c r="AE31" i="236"/>
  <c r="AI31" i="236" s="1"/>
  <c r="Y31" i="236" s="1"/>
  <c r="Z31" i="236"/>
  <c r="X31" i="236"/>
  <c r="Q31" i="236"/>
  <c r="P31" i="236"/>
  <c r="H31" i="236"/>
  <c r="E31" i="236"/>
  <c r="I31" i="236" s="1"/>
  <c r="AD30" i="236"/>
  <c r="AC30" i="236"/>
  <c r="AB30" i="236"/>
  <c r="AE30" i="236" s="1"/>
  <c r="AI30" i="236" s="1"/>
  <c r="Y30" i="236" s="1"/>
  <c r="Z30" i="236"/>
  <c r="X30" i="236"/>
  <c r="Q30" i="236"/>
  <c r="P30" i="236"/>
  <c r="H30" i="236"/>
  <c r="E30" i="236"/>
  <c r="I30" i="236" s="1"/>
  <c r="AD29" i="236"/>
  <c r="AC29" i="236"/>
  <c r="AE29" i="236" s="1"/>
  <c r="AI29" i="236" s="1"/>
  <c r="Y29" i="236" s="1"/>
  <c r="AB29" i="236"/>
  <c r="Z29" i="236"/>
  <c r="X29" i="236"/>
  <c r="Q29" i="236"/>
  <c r="P29" i="236"/>
  <c r="I29" i="236"/>
  <c r="H29" i="236"/>
  <c r="E29" i="236"/>
  <c r="AE28" i="236"/>
  <c r="AI28" i="236" s="1"/>
  <c r="Y28" i="236" s="1"/>
  <c r="AD28" i="236"/>
  <c r="AC28" i="236"/>
  <c r="AB28" i="236"/>
  <c r="Z28" i="236"/>
  <c r="X28" i="236"/>
  <c r="Q28" i="236"/>
  <c r="P28" i="236"/>
  <c r="I28" i="236"/>
  <c r="H28" i="236"/>
  <c r="E28" i="236"/>
  <c r="AE27" i="236"/>
  <c r="AI27" i="236" s="1"/>
  <c r="Y27" i="236" s="1"/>
  <c r="AD27" i="236"/>
  <c r="AC27" i="236"/>
  <c r="AB27" i="236"/>
  <c r="Z27" i="236"/>
  <c r="X27" i="236"/>
  <c r="Q27" i="236"/>
  <c r="P27" i="236"/>
  <c r="H27" i="236"/>
  <c r="E27" i="236"/>
  <c r="I27" i="236" s="1"/>
  <c r="AD26" i="236"/>
  <c r="AC26" i="236"/>
  <c r="AB26" i="236"/>
  <c r="AE26" i="236" s="1"/>
  <c r="AI26" i="236" s="1"/>
  <c r="Y26" i="236" s="1"/>
  <c r="Z26" i="236"/>
  <c r="X26" i="236"/>
  <c r="Q26" i="236"/>
  <c r="P26" i="236"/>
  <c r="H26" i="236"/>
  <c r="E26" i="236"/>
  <c r="I26" i="236" s="1"/>
  <c r="AE25" i="236"/>
  <c r="AI25" i="236" s="1"/>
  <c r="Y25" i="236" s="1"/>
  <c r="AD25" i="236"/>
  <c r="AC25" i="236"/>
  <c r="AB25" i="236"/>
  <c r="Z25" i="236"/>
  <c r="X25" i="236"/>
  <c r="Q25" i="236"/>
  <c r="P25" i="236"/>
  <c r="I25" i="236"/>
  <c r="H25" i="236"/>
  <c r="E25" i="236"/>
  <c r="AD24" i="236"/>
  <c r="AC24" i="236"/>
  <c r="AB24" i="236"/>
  <c r="AE24" i="236" s="1"/>
  <c r="AI24" i="236" s="1"/>
  <c r="Y24" i="236" s="1"/>
  <c r="Z24" i="236"/>
  <c r="X24" i="236"/>
  <c r="Q24" i="236"/>
  <c r="P24" i="236"/>
  <c r="I24" i="236"/>
  <c r="H24" i="236"/>
  <c r="E24" i="236"/>
  <c r="AD23" i="236"/>
  <c r="AC23" i="236"/>
  <c r="AB23" i="236"/>
  <c r="AE23" i="236" s="1"/>
  <c r="AI23" i="236" s="1"/>
  <c r="Y23" i="236" s="1"/>
  <c r="Z23" i="236"/>
  <c r="X23" i="236"/>
  <c r="Q23" i="236"/>
  <c r="P23" i="236"/>
  <c r="H23" i="236"/>
  <c r="E23" i="236"/>
  <c r="I23" i="236" s="1"/>
  <c r="AD22" i="236"/>
  <c r="AC22" i="236"/>
  <c r="AB22" i="236"/>
  <c r="AE22" i="236" s="1"/>
  <c r="AI22" i="236" s="1"/>
  <c r="Y22" i="236" s="1"/>
  <c r="Z22" i="236"/>
  <c r="X22" i="236"/>
  <c r="Q22" i="236"/>
  <c r="P22" i="236"/>
  <c r="I22" i="236"/>
  <c r="H22" i="236"/>
  <c r="E22" i="236"/>
  <c r="AD21" i="236"/>
  <c r="AC21" i="236"/>
  <c r="AE21" i="236" s="1"/>
  <c r="AI21" i="236" s="1"/>
  <c r="Y21" i="236" s="1"/>
  <c r="AB21" i="236"/>
  <c r="Z21" i="236"/>
  <c r="X21" i="236"/>
  <c r="Q21" i="236"/>
  <c r="P21" i="236"/>
  <c r="I21" i="236"/>
  <c r="H21" i="236"/>
  <c r="E21" i="236"/>
  <c r="AD20" i="236"/>
  <c r="AC20" i="236"/>
  <c r="AB20" i="236"/>
  <c r="AE20" i="236" s="1"/>
  <c r="AI20" i="236" s="1"/>
  <c r="Y20" i="236" s="1"/>
  <c r="Z20" i="236"/>
  <c r="X20" i="236"/>
  <c r="Q20" i="236"/>
  <c r="P20" i="236"/>
  <c r="I20" i="236"/>
  <c r="H20" i="236"/>
  <c r="E20" i="236"/>
  <c r="AE19" i="236"/>
  <c r="AI19" i="236" s="1"/>
  <c r="Y19" i="236" s="1"/>
  <c r="AD19" i="236"/>
  <c r="AC19" i="236"/>
  <c r="AB19" i="236"/>
  <c r="Z19" i="236"/>
  <c r="X19" i="236"/>
  <c r="Q19" i="236"/>
  <c r="P19" i="236"/>
  <c r="H19" i="236"/>
  <c r="E19" i="236"/>
  <c r="I19" i="236" s="1"/>
  <c r="AD18" i="236"/>
  <c r="AC18" i="236"/>
  <c r="AB18" i="236"/>
  <c r="AE18" i="236" s="1"/>
  <c r="AI18" i="236" s="1"/>
  <c r="Y18" i="236" s="1"/>
  <c r="Z18" i="236"/>
  <c r="X18" i="236"/>
  <c r="Q18" i="236"/>
  <c r="P18" i="236"/>
  <c r="H18" i="236"/>
  <c r="E18" i="236"/>
  <c r="I18" i="236" s="1"/>
  <c r="AD17" i="236"/>
  <c r="AC17" i="236"/>
  <c r="AB17" i="236"/>
  <c r="AE17" i="236" s="1"/>
  <c r="AI17" i="236" s="1"/>
  <c r="Y17" i="236" s="1"/>
  <c r="Z17" i="236"/>
  <c r="X17" i="236"/>
  <c r="Q17" i="236"/>
  <c r="P17" i="236"/>
  <c r="H17" i="236"/>
  <c r="E17" i="236"/>
  <c r="I17" i="236" s="1"/>
  <c r="AD16" i="236"/>
  <c r="AE16" i="236" s="1"/>
  <c r="AI16" i="236" s="1"/>
  <c r="Y16" i="236" s="1"/>
  <c r="AC16" i="236"/>
  <c r="AB16" i="236"/>
  <c r="Z16" i="236"/>
  <c r="X16" i="236"/>
  <c r="Q16" i="236"/>
  <c r="P16" i="236"/>
  <c r="I16" i="236"/>
  <c r="E16" i="236"/>
  <c r="AD15" i="236"/>
  <c r="AC15" i="236"/>
  <c r="AB15" i="236"/>
  <c r="AE15" i="236" s="1"/>
  <c r="AI15" i="236" s="1"/>
  <c r="Y15" i="236" s="1"/>
  <c r="Z15" i="236"/>
  <c r="X15" i="236"/>
  <c r="Q15" i="236"/>
  <c r="P15" i="236"/>
  <c r="E15" i="236"/>
  <c r="I15" i="236" s="1"/>
  <c r="AD14" i="236"/>
  <c r="AC14" i="236"/>
  <c r="AB14" i="236"/>
  <c r="AE14" i="236" s="1"/>
  <c r="AI14" i="236" s="1"/>
  <c r="Y14" i="236" s="1"/>
  <c r="Z14" i="236"/>
  <c r="X14" i="236"/>
  <c r="Q14" i="236"/>
  <c r="P14" i="236"/>
  <c r="I14" i="236"/>
  <c r="H14" i="236"/>
  <c r="E14" i="236"/>
  <c r="AD13" i="236"/>
  <c r="AC13" i="236"/>
  <c r="AB13" i="236"/>
  <c r="AE13" i="236" s="1"/>
  <c r="AI13" i="236" s="1"/>
  <c r="Y13" i="236" s="1"/>
  <c r="Z13" i="236"/>
  <c r="X13" i="236"/>
  <c r="Q13" i="236"/>
  <c r="P13" i="236"/>
  <c r="H13" i="236"/>
  <c r="E13" i="236"/>
  <c r="I13" i="236" s="1"/>
  <c r="AD12" i="236"/>
  <c r="AC12" i="236"/>
  <c r="AB12" i="236"/>
  <c r="AE12" i="236" s="1"/>
  <c r="AI12" i="236" s="1"/>
  <c r="Y12" i="236" s="1"/>
  <c r="Z12" i="236"/>
  <c r="X12" i="236"/>
  <c r="Q12" i="236"/>
  <c r="P12" i="236"/>
  <c r="I12" i="236"/>
  <c r="H12" i="236"/>
  <c r="E12" i="236"/>
  <c r="T79" i="236" l="1"/>
  <c r="T77" i="236"/>
  <c r="O77" i="236"/>
  <c r="O75" i="236"/>
  <c r="F77" i="236"/>
  <c r="F75" i="236"/>
  <c r="T75" i="236"/>
  <c r="M81" i="235"/>
  <c r="P73" i="235"/>
  <c r="H73" i="235"/>
  <c r="Q72" i="235"/>
  <c r="P72" i="235"/>
  <c r="I72" i="235"/>
  <c r="H72" i="235"/>
  <c r="E72" i="235"/>
  <c r="Q71" i="235"/>
  <c r="P71" i="235"/>
  <c r="I71" i="235"/>
  <c r="H71" i="235"/>
  <c r="E71" i="235"/>
  <c r="AD70" i="235"/>
  <c r="AC70" i="235"/>
  <c r="AB70" i="235"/>
  <c r="AE70" i="235" s="1"/>
  <c r="AI70" i="235" s="1"/>
  <c r="Y70" i="235" s="1"/>
  <c r="Z70" i="235"/>
  <c r="X70" i="235"/>
  <c r="Q70" i="235"/>
  <c r="P70" i="235"/>
  <c r="H70" i="235"/>
  <c r="E70" i="235"/>
  <c r="I70" i="235" s="1"/>
  <c r="AI69" i="235"/>
  <c r="Y69" i="235" s="1"/>
  <c r="AE69" i="235"/>
  <c r="AD69" i="235"/>
  <c r="AC69" i="235"/>
  <c r="AB69" i="235"/>
  <c r="Z69" i="235"/>
  <c r="X69" i="235"/>
  <c r="Q69" i="235"/>
  <c r="P69" i="235"/>
  <c r="H69" i="235"/>
  <c r="E69" i="235"/>
  <c r="I69" i="235" s="1"/>
  <c r="AE68" i="235"/>
  <c r="AI68" i="235" s="1"/>
  <c r="Y68" i="235" s="1"/>
  <c r="AD68" i="235"/>
  <c r="AC68" i="235"/>
  <c r="AB68" i="235"/>
  <c r="Z68" i="235"/>
  <c r="X68" i="235"/>
  <c r="Q68" i="235"/>
  <c r="P68" i="235"/>
  <c r="H68" i="235"/>
  <c r="E68" i="235"/>
  <c r="I68" i="235" s="1"/>
  <c r="AD67" i="235"/>
  <c r="AC67" i="235"/>
  <c r="AB67" i="235"/>
  <c r="AE67" i="235" s="1"/>
  <c r="AI67" i="235" s="1"/>
  <c r="Y67" i="235" s="1"/>
  <c r="Z67" i="235"/>
  <c r="X67" i="235"/>
  <c r="Q67" i="235"/>
  <c r="P67" i="235"/>
  <c r="H67" i="235"/>
  <c r="E67" i="235"/>
  <c r="I67" i="235" s="1"/>
  <c r="AD66" i="235"/>
  <c r="AE66" i="235" s="1"/>
  <c r="AI66" i="235" s="1"/>
  <c r="Y66" i="235" s="1"/>
  <c r="AC66" i="235"/>
  <c r="AB66" i="235"/>
  <c r="Z66" i="235"/>
  <c r="X66" i="235"/>
  <c r="Q66" i="235"/>
  <c r="P66" i="235"/>
  <c r="H66" i="235"/>
  <c r="E66" i="235"/>
  <c r="I66" i="235" s="1"/>
  <c r="AE65" i="235"/>
  <c r="AI65" i="235" s="1"/>
  <c r="Y65" i="235" s="1"/>
  <c r="AD65" i="235"/>
  <c r="AC65" i="235"/>
  <c r="AB65" i="235"/>
  <c r="Z65" i="235"/>
  <c r="X65" i="235"/>
  <c r="Q65" i="235"/>
  <c r="P65" i="235"/>
  <c r="H65" i="235"/>
  <c r="E65" i="235"/>
  <c r="I65" i="235" s="1"/>
  <c r="AD64" i="235"/>
  <c r="AC64" i="235"/>
  <c r="AB64" i="235"/>
  <c r="AE64" i="235" s="1"/>
  <c r="AI64" i="235" s="1"/>
  <c r="Y64" i="235" s="1"/>
  <c r="Z64" i="235"/>
  <c r="X64" i="235"/>
  <c r="Q64" i="235"/>
  <c r="P64" i="235"/>
  <c r="H64" i="235"/>
  <c r="E64" i="235"/>
  <c r="I64" i="235" s="1"/>
  <c r="AC63" i="235"/>
  <c r="AE63" i="235" s="1"/>
  <c r="AI63" i="235" s="1"/>
  <c r="Y63" i="235" s="1"/>
  <c r="AB63" i="235"/>
  <c r="X63" i="235"/>
  <c r="Q63" i="235"/>
  <c r="P63" i="235"/>
  <c r="I63" i="235"/>
  <c r="H63" i="235"/>
  <c r="E63" i="235"/>
  <c r="AI62" i="235"/>
  <c r="Y62" i="235" s="1"/>
  <c r="AE62" i="235"/>
  <c r="X62" i="235"/>
  <c r="Q62" i="235"/>
  <c r="P62" i="235"/>
  <c r="I62" i="235"/>
  <c r="H62" i="235"/>
  <c r="E62" i="235"/>
  <c r="AE61" i="235"/>
  <c r="AI61" i="235" s="1"/>
  <c r="Y61" i="235" s="1"/>
  <c r="AC61" i="235"/>
  <c r="AB61" i="235"/>
  <c r="X61" i="235"/>
  <c r="Q61" i="235"/>
  <c r="P61" i="235"/>
  <c r="H61" i="235"/>
  <c r="E61" i="235"/>
  <c r="I61" i="235" s="1"/>
  <c r="AC60" i="235"/>
  <c r="AB60" i="235"/>
  <c r="AE60" i="235" s="1"/>
  <c r="AI60" i="235" s="1"/>
  <c r="Y60" i="235" s="1"/>
  <c r="X60" i="235"/>
  <c r="Q60" i="235"/>
  <c r="P60" i="235"/>
  <c r="I60" i="235"/>
  <c r="E60" i="235"/>
  <c r="AC59" i="235"/>
  <c r="AE59" i="235" s="1"/>
  <c r="AI59" i="235" s="1"/>
  <c r="Y59" i="235" s="1"/>
  <c r="AB59" i="235"/>
  <c r="X59" i="235"/>
  <c r="Q59" i="235"/>
  <c r="P59" i="235"/>
  <c r="I59" i="235"/>
  <c r="H59" i="235"/>
  <c r="E59" i="235"/>
  <c r="AE58" i="235"/>
  <c r="AI58" i="235" s="1"/>
  <c r="Y58" i="235" s="1"/>
  <c r="AD58" i="235"/>
  <c r="AC58" i="235"/>
  <c r="AB58" i="235"/>
  <c r="Z58" i="235"/>
  <c r="X58" i="235"/>
  <c r="Q58" i="235"/>
  <c r="P58" i="235"/>
  <c r="H58" i="235"/>
  <c r="E58" i="235"/>
  <c r="I58" i="235" s="1"/>
  <c r="AD57" i="235"/>
  <c r="AC57" i="235"/>
  <c r="AB57" i="235"/>
  <c r="AE57" i="235" s="1"/>
  <c r="AI57" i="235" s="1"/>
  <c r="Y57" i="235" s="1"/>
  <c r="Z57" i="235"/>
  <c r="X57" i="235"/>
  <c r="Q57" i="235"/>
  <c r="P57" i="235"/>
  <c r="I57" i="235"/>
  <c r="H57" i="235"/>
  <c r="E57" i="235"/>
  <c r="AD56" i="235"/>
  <c r="AC56" i="235"/>
  <c r="AB56" i="235"/>
  <c r="AE56" i="235" s="1"/>
  <c r="AI56" i="235" s="1"/>
  <c r="Y56" i="235" s="1"/>
  <c r="Z56" i="235"/>
  <c r="X56" i="235"/>
  <c r="Q56" i="235"/>
  <c r="P56" i="235"/>
  <c r="I56" i="235"/>
  <c r="H56" i="235"/>
  <c r="E56" i="235"/>
  <c r="AD55" i="235"/>
  <c r="AC55" i="235"/>
  <c r="AB55" i="235"/>
  <c r="AE55" i="235" s="1"/>
  <c r="AI55" i="235" s="1"/>
  <c r="Y55" i="235" s="1"/>
  <c r="Z55" i="235"/>
  <c r="X55" i="235"/>
  <c r="Q55" i="235"/>
  <c r="P55" i="235"/>
  <c r="I55" i="235"/>
  <c r="H55" i="235"/>
  <c r="E55" i="235"/>
  <c r="AI54" i="235"/>
  <c r="AE54" i="235"/>
  <c r="Z54" i="235"/>
  <c r="Y54" i="235"/>
  <c r="X54" i="235"/>
  <c r="Q54" i="235"/>
  <c r="P54" i="235"/>
  <c r="H54" i="235"/>
  <c r="E54" i="235"/>
  <c r="I54" i="235" s="1"/>
  <c r="AD53" i="235"/>
  <c r="AC53" i="235"/>
  <c r="AB53" i="235"/>
  <c r="AE53" i="235" s="1"/>
  <c r="AI53" i="235" s="1"/>
  <c r="Y53" i="235" s="1"/>
  <c r="Z53" i="235"/>
  <c r="X53" i="235"/>
  <c r="Q53" i="235"/>
  <c r="P53" i="235"/>
  <c r="H53" i="235"/>
  <c r="E53" i="235"/>
  <c r="I53" i="235" s="1"/>
  <c r="AE52" i="235"/>
  <c r="AI52" i="235" s="1"/>
  <c r="Y52" i="235" s="1"/>
  <c r="AD52" i="235"/>
  <c r="AC52" i="235"/>
  <c r="AB52" i="235"/>
  <c r="Z52" i="235"/>
  <c r="X52" i="235"/>
  <c r="Q52" i="235"/>
  <c r="P52" i="235"/>
  <c r="H52" i="235"/>
  <c r="E52" i="235"/>
  <c r="I52" i="235" s="1"/>
  <c r="AE51" i="235"/>
  <c r="AI51" i="235" s="1"/>
  <c r="Y51" i="235" s="1"/>
  <c r="Z51" i="235"/>
  <c r="X51" i="235"/>
  <c r="Q51" i="235"/>
  <c r="P51" i="235"/>
  <c r="H51" i="235"/>
  <c r="E51" i="235"/>
  <c r="I51" i="235" s="1"/>
  <c r="AE50" i="235"/>
  <c r="AI50" i="235" s="1"/>
  <c r="Y50" i="235" s="1"/>
  <c r="Z50" i="235"/>
  <c r="X50" i="235"/>
  <c r="Q50" i="235"/>
  <c r="P50" i="235"/>
  <c r="H50" i="235"/>
  <c r="E50" i="235"/>
  <c r="I50" i="235" s="1"/>
  <c r="AI49" i="235"/>
  <c r="Y49" i="235" s="1"/>
  <c r="AE49" i="235"/>
  <c r="Z49" i="235"/>
  <c r="X49" i="235"/>
  <c r="Q49" i="235"/>
  <c r="P49" i="235"/>
  <c r="I49" i="235"/>
  <c r="H49" i="235"/>
  <c r="E49" i="235"/>
  <c r="AE48" i="235"/>
  <c r="AI48" i="235" s="1"/>
  <c r="Y48" i="235" s="1"/>
  <c r="AD48" i="235"/>
  <c r="AC48" i="235"/>
  <c r="AB48" i="235"/>
  <c r="Z48" i="235"/>
  <c r="X48" i="235"/>
  <c r="Q48" i="235"/>
  <c r="P48" i="235"/>
  <c r="H48" i="235"/>
  <c r="E48" i="235"/>
  <c r="I48" i="235" s="1"/>
  <c r="AD47" i="235"/>
  <c r="AC47" i="235"/>
  <c r="AB47" i="235"/>
  <c r="AE47" i="235" s="1"/>
  <c r="AI47" i="235" s="1"/>
  <c r="Y47" i="235" s="1"/>
  <c r="Z47" i="235"/>
  <c r="X47" i="235"/>
  <c r="Q47" i="235"/>
  <c r="P47" i="235"/>
  <c r="I47" i="235"/>
  <c r="H47" i="235"/>
  <c r="E47" i="235"/>
  <c r="AE46" i="235"/>
  <c r="AI46" i="235" s="1"/>
  <c r="Y46" i="235" s="1"/>
  <c r="AD46" i="235"/>
  <c r="AC46" i="235"/>
  <c r="AB46" i="235"/>
  <c r="Z46" i="235"/>
  <c r="X46" i="235"/>
  <c r="Q46" i="235"/>
  <c r="P46" i="235"/>
  <c r="H46" i="235"/>
  <c r="E46" i="235"/>
  <c r="I46" i="235" s="1"/>
  <c r="AD45" i="235"/>
  <c r="AC45" i="235"/>
  <c r="AB45" i="235"/>
  <c r="AE45" i="235" s="1"/>
  <c r="AI45" i="235" s="1"/>
  <c r="Y45" i="235" s="1"/>
  <c r="Z45" i="235"/>
  <c r="X45" i="235"/>
  <c r="Q45" i="235"/>
  <c r="P45" i="235"/>
  <c r="I45" i="235"/>
  <c r="H45" i="235"/>
  <c r="E45" i="235"/>
  <c r="AD44" i="235"/>
  <c r="AC44" i="235"/>
  <c r="AB44" i="235"/>
  <c r="AE44" i="235" s="1"/>
  <c r="AI44" i="235" s="1"/>
  <c r="Y44" i="235" s="1"/>
  <c r="Z44" i="235"/>
  <c r="X44" i="235"/>
  <c r="Q44" i="235"/>
  <c r="P44" i="235"/>
  <c r="I44" i="235"/>
  <c r="H44" i="235"/>
  <c r="E44" i="235"/>
  <c r="AD43" i="235"/>
  <c r="AC43" i="235"/>
  <c r="AB43" i="235"/>
  <c r="AE43" i="235" s="1"/>
  <c r="AI43" i="235" s="1"/>
  <c r="Y43" i="235" s="1"/>
  <c r="Z43" i="235"/>
  <c r="X43" i="235"/>
  <c r="Q43" i="235"/>
  <c r="P43" i="235"/>
  <c r="I43" i="235"/>
  <c r="H43" i="235"/>
  <c r="E43" i="235"/>
  <c r="AE42" i="235"/>
  <c r="AI42" i="235" s="1"/>
  <c r="Y42" i="235" s="1"/>
  <c r="AD42" i="235"/>
  <c r="AC42" i="235"/>
  <c r="AB42" i="235"/>
  <c r="Z42" i="235"/>
  <c r="X42" i="235"/>
  <c r="Q42" i="235"/>
  <c r="P42" i="235"/>
  <c r="I42" i="235"/>
  <c r="H42" i="235"/>
  <c r="E42" i="235"/>
  <c r="AD41" i="235"/>
  <c r="AC41" i="235"/>
  <c r="AB41" i="235"/>
  <c r="AE41" i="235" s="1"/>
  <c r="AI41" i="235" s="1"/>
  <c r="Y41" i="235" s="1"/>
  <c r="Z41" i="235"/>
  <c r="X41" i="235"/>
  <c r="Q41" i="235"/>
  <c r="P41" i="235"/>
  <c r="I41" i="235"/>
  <c r="H41" i="235"/>
  <c r="E41" i="235"/>
  <c r="AD40" i="235"/>
  <c r="AC40" i="235"/>
  <c r="AB40" i="235"/>
  <c r="AE40" i="235" s="1"/>
  <c r="AI40" i="235" s="1"/>
  <c r="Y40" i="235" s="1"/>
  <c r="Z40" i="235"/>
  <c r="X40" i="235"/>
  <c r="Q40" i="235"/>
  <c r="P40" i="235"/>
  <c r="H40" i="235"/>
  <c r="E40" i="235"/>
  <c r="I40" i="235" s="1"/>
  <c r="AE39" i="235"/>
  <c r="AI39" i="235" s="1"/>
  <c r="Y39" i="235" s="1"/>
  <c r="AD39" i="235"/>
  <c r="AC39" i="235"/>
  <c r="AB39" i="235"/>
  <c r="Z39" i="235"/>
  <c r="X39" i="235"/>
  <c r="Q39" i="235"/>
  <c r="P39" i="235"/>
  <c r="I39" i="235"/>
  <c r="H39" i="235"/>
  <c r="E39" i="235"/>
  <c r="AD38" i="235"/>
  <c r="AC38" i="235"/>
  <c r="AB38" i="235"/>
  <c r="AE38" i="235" s="1"/>
  <c r="AI38" i="235" s="1"/>
  <c r="Y38" i="235" s="1"/>
  <c r="Z38" i="235"/>
  <c r="X38" i="235"/>
  <c r="Q38" i="235"/>
  <c r="P38" i="235"/>
  <c r="H38" i="235"/>
  <c r="E38" i="235"/>
  <c r="I38" i="235" s="1"/>
  <c r="AD37" i="235"/>
  <c r="AC37" i="235"/>
  <c r="AB37" i="235"/>
  <c r="AE37" i="235" s="1"/>
  <c r="AI37" i="235" s="1"/>
  <c r="Y37" i="235" s="1"/>
  <c r="Z37" i="235"/>
  <c r="X37" i="235"/>
  <c r="Q37" i="235"/>
  <c r="P37" i="235"/>
  <c r="H37" i="235"/>
  <c r="E37" i="235"/>
  <c r="I37" i="235" s="1"/>
  <c r="AD36" i="235"/>
  <c r="AC36" i="235"/>
  <c r="AE36" i="235" s="1"/>
  <c r="AI36" i="235" s="1"/>
  <c r="Y36" i="235" s="1"/>
  <c r="AB36" i="235"/>
  <c r="Z36" i="235"/>
  <c r="X36" i="235"/>
  <c r="Q36" i="235"/>
  <c r="P36" i="235"/>
  <c r="H36" i="235"/>
  <c r="E36" i="235"/>
  <c r="I36" i="235" s="1"/>
  <c r="AD35" i="235"/>
  <c r="AC35" i="235"/>
  <c r="AB35" i="235"/>
  <c r="AE35" i="235" s="1"/>
  <c r="AI35" i="235" s="1"/>
  <c r="Y35" i="235" s="1"/>
  <c r="Z35" i="235"/>
  <c r="X35" i="235"/>
  <c r="Q35" i="235"/>
  <c r="P35" i="235"/>
  <c r="H35" i="235"/>
  <c r="E35" i="235"/>
  <c r="I35" i="235" s="1"/>
  <c r="AD34" i="235"/>
  <c r="AE34" i="235" s="1"/>
  <c r="AI34" i="235" s="1"/>
  <c r="Y34" i="235" s="1"/>
  <c r="AC34" i="235"/>
  <c r="AB34" i="235"/>
  <c r="Z34" i="235"/>
  <c r="X34" i="235"/>
  <c r="Q34" i="235"/>
  <c r="P34" i="235"/>
  <c r="I34" i="235"/>
  <c r="H34" i="235"/>
  <c r="E34" i="235"/>
  <c r="AD33" i="235"/>
  <c r="AC33" i="235"/>
  <c r="AB33" i="235"/>
  <c r="AE33" i="235" s="1"/>
  <c r="AI33" i="235" s="1"/>
  <c r="Y33" i="235" s="1"/>
  <c r="Z33" i="235"/>
  <c r="X33" i="235"/>
  <c r="Q33" i="235"/>
  <c r="P33" i="235"/>
  <c r="H33" i="235"/>
  <c r="E33" i="235"/>
  <c r="I33" i="235" s="1"/>
  <c r="AE32" i="235"/>
  <c r="AI32" i="235" s="1"/>
  <c r="Y32" i="235" s="1"/>
  <c r="AD32" i="235"/>
  <c r="AC32" i="235"/>
  <c r="AB32" i="235"/>
  <c r="Z32" i="235"/>
  <c r="X32" i="235"/>
  <c r="Q32" i="235"/>
  <c r="P32" i="235"/>
  <c r="H32" i="235"/>
  <c r="E32" i="235"/>
  <c r="I32" i="235" s="1"/>
  <c r="AI31" i="235"/>
  <c r="Y31" i="235" s="1"/>
  <c r="AE31" i="235"/>
  <c r="Z31" i="235"/>
  <c r="X31" i="235"/>
  <c r="Q31" i="235"/>
  <c r="P31" i="235"/>
  <c r="H31" i="235"/>
  <c r="E31" i="235"/>
  <c r="I31" i="235" s="1"/>
  <c r="AD30" i="235"/>
  <c r="AC30" i="235"/>
  <c r="AB30" i="235"/>
  <c r="AE30" i="235" s="1"/>
  <c r="AI30" i="235" s="1"/>
  <c r="Y30" i="235" s="1"/>
  <c r="Z30" i="235"/>
  <c r="X30" i="235"/>
  <c r="Q30" i="235"/>
  <c r="P30" i="235"/>
  <c r="I30" i="235"/>
  <c r="H30" i="235"/>
  <c r="E30" i="235"/>
  <c r="AD29" i="235"/>
  <c r="AC29" i="235"/>
  <c r="AB29" i="235"/>
  <c r="AE29" i="235" s="1"/>
  <c r="AI29" i="235" s="1"/>
  <c r="Y29" i="235" s="1"/>
  <c r="Z29" i="235"/>
  <c r="X29" i="235"/>
  <c r="Q29" i="235"/>
  <c r="P29" i="235"/>
  <c r="I29" i="235"/>
  <c r="H29" i="235"/>
  <c r="E29" i="235"/>
  <c r="AD28" i="235"/>
  <c r="AC28" i="235"/>
  <c r="AB28" i="235"/>
  <c r="AE28" i="235" s="1"/>
  <c r="AI28" i="235" s="1"/>
  <c r="Y28" i="235" s="1"/>
  <c r="Z28" i="235"/>
  <c r="X28" i="235"/>
  <c r="Q28" i="235"/>
  <c r="P28" i="235"/>
  <c r="I28" i="235"/>
  <c r="H28" i="235"/>
  <c r="E28" i="235"/>
  <c r="AE27" i="235"/>
  <c r="AI27" i="235" s="1"/>
  <c r="Y27" i="235" s="1"/>
  <c r="AD27" i="235"/>
  <c r="AC27" i="235"/>
  <c r="AB27" i="235"/>
  <c r="Z27" i="235"/>
  <c r="X27" i="235"/>
  <c r="Q27" i="235"/>
  <c r="P27" i="235"/>
  <c r="I27" i="235"/>
  <c r="H27" i="235"/>
  <c r="E27" i="235"/>
  <c r="AD26" i="235"/>
  <c r="AC26" i="235"/>
  <c r="AB26" i="235"/>
  <c r="AE26" i="235" s="1"/>
  <c r="AI26" i="235" s="1"/>
  <c r="Y26" i="235" s="1"/>
  <c r="Z26" i="235"/>
  <c r="X26" i="235"/>
  <c r="Q26" i="235"/>
  <c r="P26" i="235"/>
  <c r="I26" i="235"/>
  <c r="H26" i="235"/>
  <c r="E26" i="235"/>
  <c r="AD25" i="235"/>
  <c r="AC25" i="235"/>
  <c r="AB25" i="235"/>
  <c r="AE25" i="235" s="1"/>
  <c r="AI25" i="235" s="1"/>
  <c r="Y25" i="235" s="1"/>
  <c r="Z25" i="235"/>
  <c r="X25" i="235"/>
  <c r="Q25" i="235"/>
  <c r="P25" i="235"/>
  <c r="H25" i="235"/>
  <c r="E25" i="235"/>
  <c r="I25" i="235" s="1"/>
  <c r="AE24" i="235"/>
  <c r="AI24" i="235" s="1"/>
  <c r="Y24" i="235" s="1"/>
  <c r="AD24" i="235"/>
  <c r="AC24" i="235"/>
  <c r="AB24" i="235"/>
  <c r="Z24" i="235"/>
  <c r="X24" i="235"/>
  <c r="Q24" i="235"/>
  <c r="P24" i="235"/>
  <c r="I24" i="235"/>
  <c r="H24" i="235"/>
  <c r="E24" i="235"/>
  <c r="AD23" i="235"/>
  <c r="AC23" i="235"/>
  <c r="AB23" i="235"/>
  <c r="AE23" i="235" s="1"/>
  <c r="AI23" i="235" s="1"/>
  <c r="Y23" i="235" s="1"/>
  <c r="Z23" i="235"/>
  <c r="X23" i="235"/>
  <c r="Q23" i="235"/>
  <c r="P23" i="235"/>
  <c r="H23" i="235"/>
  <c r="E23" i="235"/>
  <c r="I23" i="235" s="1"/>
  <c r="AD22" i="235"/>
  <c r="AC22" i="235"/>
  <c r="AB22" i="235"/>
  <c r="AE22" i="235" s="1"/>
  <c r="AI22" i="235" s="1"/>
  <c r="Y22" i="235" s="1"/>
  <c r="Z22" i="235"/>
  <c r="X22" i="235"/>
  <c r="Q22" i="235"/>
  <c r="P22" i="235"/>
  <c r="H22" i="235"/>
  <c r="E22" i="235"/>
  <c r="I22" i="235" s="1"/>
  <c r="AD21" i="235"/>
  <c r="AC21" i="235"/>
  <c r="AE21" i="235" s="1"/>
  <c r="AI21" i="235" s="1"/>
  <c r="Y21" i="235" s="1"/>
  <c r="AB21" i="235"/>
  <c r="Z21" i="235"/>
  <c r="X21" i="235"/>
  <c r="Q21" i="235"/>
  <c r="P21" i="235"/>
  <c r="H21" i="235"/>
  <c r="E21" i="235"/>
  <c r="I21" i="235" s="1"/>
  <c r="AD20" i="235"/>
  <c r="AC20" i="235"/>
  <c r="AB20" i="235"/>
  <c r="AE20" i="235" s="1"/>
  <c r="AI20" i="235" s="1"/>
  <c r="Y20" i="235" s="1"/>
  <c r="Z20" i="235"/>
  <c r="X20" i="235"/>
  <c r="Q20" i="235"/>
  <c r="P20" i="235"/>
  <c r="H20" i="235"/>
  <c r="E20" i="235"/>
  <c r="I20" i="235" s="1"/>
  <c r="AD19" i="235"/>
  <c r="AE19" i="235" s="1"/>
  <c r="AI19" i="235" s="1"/>
  <c r="Y19" i="235" s="1"/>
  <c r="AC19" i="235"/>
  <c r="AB19" i="235"/>
  <c r="Z19" i="235"/>
  <c r="X19" i="235"/>
  <c r="Q19" i="235"/>
  <c r="P19" i="235"/>
  <c r="I19" i="235"/>
  <c r="H19" i="235"/>
  <c r="E19" i="235"/>
  <c r="AD18" i="235"/>
  <c r="AC18" i="235"/>
  <c r="AB18" i="235"/>
  <c r="AE18" i="235" s="1"/>
  <c r="AI18" i="235" s="1"/>
  <c r="Y18" i="235" s="1"/>
  <c r="Z18" i="235"/>
  <c r="X18" i="235"/>
  <c r="Q18" i="235"/>
  <c r="P18" i="235"/>
  <c r="H18" i="235"/>
  <c r="E18" i="235"/>
  <c r="I18" i="235" s="1"/>
  <c r="AE17" i="235"/>
  <c r="AI17" i="235" s="1"/>
  <c r="Y17" i="235" s="1"/>
  <c r="AD17" i="235"/>
  <c r="AC17" i="235"/>
  <c r="AB17" i="235"/>
  <c r="Z17" i="235"/>
  <c r="X17" i="235"/>
  <c r="Q17" i="235"/>
  <c r="P17" i="235"/>
  <c r="H17" i="235"/>
  <c r="E17" i="235"/>
  <c r="I17" i="235" s="1"/>
  <c r="AD16" i="235"/>
  <c r="AC16" i="235"/>
  <c r="AB16" i="235"/>
  <c r="AE16" i="235" s="1"/>
  <c r="AI16" i="235" s="1"/>
  <c r="Y16" i="235" s="1"/>
  <c r="Z16" i="235"/>
  <c r="X16" i="235"/>
  <c r="Q16" i="235"/>
  <c r="P16" i="235"/>
  <c r="E16" i="235"/>
  <c r="I16" i="235" s="1"/>
  <c r="AD15" i="235"/>
  <c r="AC15" i="235"/>
  <c r="AB15" i="235"/>
  <c r="AE15" i="235" s="1"/>
  <c r="AI15" i="235" s="1"/>
  <c r="Y15" i="235" s="1"/>
  <c r="Z15" i="235"/>
  <c r="X15" i="235"/>
  <c r="Q15" i="235"/>
  <c r="P15" i="235"/>
  <c r="E15" i="235"/>
  <c r="I15" i="235" s="1"/>
  <c r="AD14" i="235"/>
  <c r="AC14" i="235"/>
  <c r="AE14" i="235" s="1"/>
  <c r="AI14" i="235" s="1"/>
  <c r="Y14" i="235" s="1"/>
  <c r="AB14" i="235"/>
  <c r="Z14" i="235"/>
  <c r="X14" i="235"/>
  <c r="Q14" i="235"/>
  <c r="O77" i="235" s="1"/>
  <c r="P14" i="235"/>
  <c r="I14" i="235"/>
  <c r="H14" i="235"/>
  <c r="E14" i="235"/>
  <c r="AD13" i="235"/>
  <c r="AC13" i="235"/>
  <c r="AB13" i="235"/>
  <c r="AE13" i="235" s="1"/>
  <c r="AI13" i="235" s="1"/>
  <c r="Y13" i="235" s="1"/>
  <c r="Z13" i="235"/>
  <c r="X13" i="235"/>
  <c r="Q13" i="235"/>
  <c r="P13" i="235"/>
  <c r="H13" i="235"/>
  <c r="E13" i="235"/>
  <c r="I13" i="235" s="1"/>
  <c r="AD12" i="235"/>
  <c r="AE12" i="235" s="1"/>
  <c r="AI12" i="235" s="1"/>
  <c r="Y12" i="235" s="1"/>
  <c r="AC12" i="235"/>
  <c r="AB12" i="235"/>
  <c r="Z12" i="235"/>
  <c r="X12" i="235"/>
  <c r="Q12" i="235"/>
  <c r="P12" i="235"/>
  <c r="H12" i="235"/>
  <c r="E12" i="235"/>
  <c r="I12" i="235" s="1"/>
  <c r="F79" i="236" l="1"/>
  <c r="T79" i="235"/>
  <c r="O75" i="235"/>
  <c r="T77" i="235"/>
  <c r="F75" i="235"/>
  <c r="F77" i="235"/>
  <c r="T75" i="235"/>
  <c r="T81" i="235" s="1"/>
  <c r="M81" i="234"/>
  <c r="P73" i="234"/>
  <c r="H73" i="234"/>
  <c r="Q72" i="234"/>
  <c r="P72" i="234"/>
  <c r="I72" i="234"/>
  <c r="H72" i="234"/>
  <c r="E72" i="234"/>
  <c r="Q71" i="234"/>
  <c r="P71" i="234"/>
  <c r="I71" i="234"/>
  <c r="H71" i="234"/>
  <c r="E71" i="234"/>
  <c r="AD70" i="234"/>
  <c r="AC70" i="234"/>
  <c r="AB70" i="234"/>
  <c r="AE70" i="234" s="1"/>
  <c r="AI70" i="234" s="1"/>
  <c r="Y70" i="234" s="1"/>
  <c r="Z70" i="234"/>
  <c r="X70" i="234"/>
  <c r="Q70" i="234"/>
  <c r="P70" i="234"/>
  <c r="H70" i="234"/>
  <c r="E70" i="234"/>
  <c r="I70" i="234" s="1"/>
  <c r="AD69" i="234"/>
  <c r="AC69" i="234"/>
  <c r="AE69" i="234" s="1"/>
  <c r="AI69" i="234" s="1"/>
  <c r="Y69" i="234" s="1"/>
  <c r="AB69" i="234"/>
  <c r="Z69" i="234"/>
  <c r="X69" i="234"/>
  <c r="Q69" i="234"/>
  <c r="P69" i="234"/>
  <c r="H69" i="234"/>
  <c r="E69" i="234"/>
  <c r="I69" i="234" s="1"/>
  <c r="AD68" i="234"/>
  <c r="AC68" i="234"/>
  <c r="AE68" i="234" s="1"/>
  <c r="AI68" i="234" s="1"/>
  <c r="Y68" i="234" s="1"/>
  <c r="AB68" i="234"/>
  <c r="Z68" i="234"/>
  <c r="X68" i="234"/>
  <c r="Q68" i="234"/>
  <c r="P68" i="234"/>
  <c r="I68" i="234"/>
  <c r="H68" i="234"/>
  <c r="E68" i="234"/>
  <c r="AE67" i="234"/>
  <c r="AI67" i="234" s="1"/>
  <c r="Y67" i="234" s="1"/>
  <c r="AD67" i="234"/>
  <c r="AC67" i="234"/>
  <c r="AB67" i="234"/>
  <c r="Z67" i="234"/>
  <c r="X67" i="234"/>
  <c r="Q67" i="234"/>
  <c r="P67" i="234"/>
  <c r="H67" i="234"/>
  <c r="E67" i="234"/>
  <c r="I67" i="234" s="1"/>
  <c r="AD66" i="234"/>
  <c r="AC66" i="234"/>
  <c r="AB66" i="234"/>
  <c r="AE66" i="234" s="1"/>
  <c r="AI66" i="234" s="1"/>
  <c r="Y66" i="234" s="1"/>
  <c r="Z66" i="234"/>
  <c r="X66" i="234"/>
  <c r="Q66" i="234"/>
  <c r="P66" i="234"/>
  <c r="H66" i="234"/>
  <c r="E66" i="234"/>
  <c r="I66" i="234" s="1"/>
  <c r="AE65" i="234"/>
  <c r="AI65" i="234" s="1"/>
  <c r="Y65" i="234" s="1"/>
  <c r="AD65" i="234"/>
  <c r="AC65" i="234"/>
  <c r="AB65" i="234"/>
  <c r="Z65" i="234"/>
  <c r="X65" i="234"/>
  <c r="Q65" i="234"/>
  <c r="P65" i="234"/>
  <c r="H65" i="234"/>
  <c r="E65" i="234"/>
  <c r="I65" i="234" s="1"/>
  <c r="AD64" i="234"/>
  <c r="AC64" i="234"/>
  <c r="AB64" i="234"/>
  <c r="AE64" i="234" s="1"/>
  <c r="AI64" i="234" s="1"/>
  <c r="Y64" i="234" s="1"/>
  <c r="Z64" i="234"/>
  <c r="X64" i="234"/>
  <c r="Q64" i="234"/>
  <c r="P64" i="234"/>
  <c r="I64" i="234"/>
  <c r="H64" i="234"/>
  <c r="E64" i="234"/>
  <c r="AC63" i="234"/>
  <c r="AE63" i="234" s="1"/>
  <c r="AI63" i="234" s="1"/>
  <c r="Y63" i="234" s="1"/>
  <c r="AB63" i="234"/>
  <c r="X63" i="234"/>
  <c r="Q63" i="234"/>
  <c r="P63" i="234"/>
  <c r="H63" i="234"/>
  <c r="E63" i="234"/>
  <c r="I63" i="234" s="1"/>
  <c r="AI62" i="234"/>
  <c r="AE62" i="234"/>
  <c r="Y62" i="234"/>
  <c r="X62" i="234"/>
  <c r="Q62" i="234"/>
  <c r="P62" i="234"/>
  <c r="I62" i="234"/>
  <c r="H62" i="234"/>
  <c r="E62" i="234"/>
  <c r="AC61" i="234"/>
  <c r="AB61" i="234"/>
  <c r="AE61" i="234" s="1"/>
  <c r="AI61" i="234" s="1"/>
  <c r="Y61" i="234" s="1"/>
  <c r="X61" i="234"/>
  <c r="Q61" i="234"/>
  <c r="P61" i="234"/>
  <c r="H61" i="234"/>
  <c r="E61" i="234"/>
  <c r="I61" i="234" s="1"/>
  <c r="AC60" i="234"/>
  <c r="AB60" i="234"/>
  <c r="AE60" i="234" s="1"/>
  <c r="AI60" i="234" s="1"/>
  <c r="Y60" i="234" s="1"/>
  <c r="X60" i="234"/>
  <c r="Q60" i="234"/>
  <c r="P60" i="234"/>
  <c r="I60" i="234"/>
  <c r="E60" i="234"/>
  <c r="AE59" i="234"/>
  <c r="AI59" i="234" s="1"/>
  <c r="Y59" i="234" s="1"/>
  <c r="AC59" i="234"/>
  <c r="AB59" i="234"/>
  <c r="X59" i="234"/>
  <c r="Q59" i="234"/>
  <c r="P59" i="234"/>
  <c r="I59" i="234"/>
  <c r="H59" i="234"/>
  <c r="E59" i="234"/>
  <c r="AD58" i="234"/>
  <c r="AC58" i="234"/>
  <c r="AB58" i="234"/>
  <c r="AE58" i="234" s="1"/>
  <c r="AI58" i="234" s="1"/>
  <c r="Y58" i="234" s="1"/>
  <c r="Z58" i="234"/>
  <c r="X58" i="234"/>
  <c r="Q58" i="234"/>
  <c r="P58" i="234"/>
  <c r="I58" i="234"/>
  <c r="H58" i="234"/>
  <c r="E58" i="234"/>
  <c r="AE57" i="234"/>
  <c r="AI57" i="234" s="1"/>
  <c r="Y57" i="234" s="1"/>
  <c r="AD57" i="234"/>
  <c r="AC57" i="234"/>
  <c r="AB57" i="234"/>
  <c r="Z57" i="234"/>
  <c r="X57" i="234"/>
  <c r="Q57" i="234"/>
  <c r="P57" i="234"/>
  <c r="H57" i="234"/>
  <c r="E57" i="234"/>
  <c r="I57" i="234" s="1"/>
  <c r="AD56" i="234"/>
  <c r="AC56" i="234"/>
  <c r="AB56" i="234"/>
  <c r="AE56" i="234" s="1"/>
  <c r="AI56" i="234" s="1"/>
  <c r="Y56" i="234" s="1"/>
  <c r="Z56" i="234"/>
  <c r="X56" i="234"/>
  <c r="Q56" i="234"/>
  <c r="P56" i="234"/>
  <c r="H56" i="234"/>
  <c r="E56" i="234"/>
  <c r="I56" i="234" s="1"/>
  <c r="AD55" i="234"/>
  <c r="AC55" i="234"/>
  <c r="AE55" i="234" s="1"/>
  <c r="AI55" i="234" s="1"/>
  <c r="Y55" i="234" s="1"/>
  <c r="AB55" i="234"/>
  <c r="Z55" i="234"/>
  <c r="X55" i="234"/>
  <c r="Q55" i="234"/>
  <c r="P55" i="234"/>
  <c r="H55" i="234"/>
  <c r="E55" i="234"/>
  <c r="I55" i="234" s="1"/>
  <c r="AE54" i="234"/>
  <c r="AI54" i="234" s="1"/>
  <c r="Y54" i="234" s="1"/>
  <c r="Z54" i="234"/>
  <c r="X54" i="234"/>
  <c r="Q54" i="234"/>
  <c r="P54" i="234"/>
  <c r="H54" i="234"/>
  <c r="E54" i="234"/>
  <c r="I54" i="234" s="1"/>
  <c r="AD53" i="234"/>
  <c r="AC53" i="234"/>
  <c r="AB53" i="234"/>
  <c r="AE53" i="234" s="1"/>
  <c r="AI53" i="234" s="1"/>
  <c r="Y53" i="234" s="1"/>
  <c r="Z53" i="234"/>
  <c r="X53" i="234"/>
  <c r="Q53" i="234"/>
  <c r="P53" i="234"/>
  <c r="H53" i="234"/>
  <c r="E53" i="234"/>
  <c r="I53" i="234" s="1"/>
  <c r="AD52" i="234"/>
  <c r="AC52" i="234"/>
  <c r="AE52" i="234" s="1"/>
  <c r="AI52" i="234" s="1"/>
  <c r="Y52" i="234" s="1"/>
  <c r="AB52" i="234"/>
  <c r="Z52" i="234"/>
  <c r="X52" i="234"/>
  <c r="Q52" i="234"/>
  <c r="P52" i="234"/>
  <c r="I52" i="234"/>
  <c r="H52" i="234"/>
  <c r="E52" i="234"/>
  <c r="AE51" i="234"/>
  <c r="AI51" i="234" s="1"/>
  <c r="Y51" i="234" s="1"/>
  <c r="Z51" i="234"/>
  <c r="X51" i="234"/>
  <c r="Q51" i="234"/>
  <c r="P51" i="234"/>
  <c r="H51" i="234"/>
  <c r="E51" i="234"/>
  <c r="I51" i="234" s="1"/>
  <c r="AE50" i="234"/>
  <c r="AI50" i="234" s="1"/>
  <c r="Y50" i="234" s="1"/>
  <c r="Z50" i="234"/>
  <c r="X50" i="234"/>
  <c r="Q50" i="234"/>
  <c r="P50" i="234"/>
  <c r="I50" i="234"/>
  <c r="H50" i="234"/>
  <c r="E50" i="234"/>
  <c r="AE49" i="234"/>
  <c r="AI49" i="234" s="1"/>
  <c r="Y49" i="234" s="1"/>
  <c r="Z49" i="234"/>
  <c r="X49" i="234"/>
  <c r="Q49" i="234"/>
  <c r="P49" i="234"/>
  <c r="I49" i="234"/>
  <c r="H49" i="234"/>
  <c r="E49" i="234"/>
  <c r="AD48" i="234"/>
  <c r="AC48" i="234"/>
  <c r="AB48" i="234"/>
  <c r="AE48" i="234" s="1"/>
  <c r="AI48" i="234" s="1"/>
  <c r="Y48" i="234" s="1"/>
  <c r="Z48" i="234"/>
  <c r="X48" i="234"/>
  <c r="Q48" i="234"/>
  <c r="P48" i="234"/>
  <c r="H48" i="234"/>
  <c r="E48" i="234"/>
  <c r="I48" i="234" s="1"/>
  <c r="AD47" i="234"/>
  <c r="AC47" i="234"/>
  <c r="AE47" i="234" s="1"/>
  <c r="AI47" i="234" s="1"/>
  <c r="Y47" i="234" s="1"/>
  <c r="AB47" i="234"/>
  <c r="Z47" i="234"/>
  <c r="X47" i="234"/>
  <c r="Q47" i="234"/>
  <c r="P47" i="234"/>
  <c r="I47" i="234"/>
  <c r="H47" i="234"/>
  <c r="E47" i="234"/>
  <c r="AD46" i="234"/>
  <c r="AC46" i="234"/>
  <c r="AB46" i="234"/>
  <c r="AE46" i="234" s="1"/>
  <c r="AI46" i="234" s="1"/>
  <c r="Y46" i="234" s="1"/>
  <c r="Z46" i="234"/>
  <c r="X46" i="234"/>
  <c r="Q46" i="234"/>
  <c r="P46" i="234"/>
  <c r="I46" i="234"/>
  <c r="H46" i="234"/>
  <c r="E46" i="234"/>
  <c r="AE45" i="234"/>
  <c r="AI45" i="234" s="1"/>
  <c r="Y45" i="234" s="1"/>
  <c r="AD45" i="234"/>
  <c r="AC45" i="234"/>
  <c r="AB45" i="234"/>
  <c r="Z45" i="234"/>
  <c r="X45" i="234"/>
  <c r="Q45" i="234"/>
  <c r="P45" i="234"/>
  <c r="H45" i="234"/>
  <c r="E45" i="234"/>
  <c r="I45" i="234" s="1"/>
  <c r="AD44" i="234"/>
  <c r="AC44" i="234"/>
  <c r="AB44" i="234"/>
  <c r="AE44" i="234" s="1"/>
  <c r="AI44" i="234" s="1"/>
  <c r="Y44" i="234" s="1"/>
  <c r="Z44" i="234"/>
  <c r="X44" i="234"/>
  <c r="Q44" i="234"/>
  <c r="P44" i="234"/>
  <c r="H44" i="234"/>
  <c r="E44" i="234"/>
  <c r="I44" i="234" s="1"/>
  <c r="AD43" i="234"/>
  <c r="AC43" i="234"/>
  <c r="AE43" i="234" s="1"/>
  <c r="AI43" i="234" s="1"/>
  <c r="Y43" i="234" s="1"/>
  <c r="AB43" i="234"/>
  <c r="Z43" i="234"/>
  <c r="X43" i="234"/>
  <c r="Q43" i="234"/>
  <c r="P43" i="234"/>
  <c r="H43" i="234"/>
  <c r="E43" i="234"/>
  <c r="I43" i="234" s="1"/>
  <c r="AD42" i="234"/>
  <c r="AE42" i="234" s="1"/>
  <c r="AI42" i="234" s="1"/>
  <c r="Y42" i="234" s="1"/>
  <c r="AC42" i="234"/>
  <c r="AB42" i="234"/>
  <c r="Z42" i="234"/>
  <c r="X42" i="234"/>
  <c r="Q42" i="234"/>
  <c r="P42" i="234"/>
  <c r="I42" i="234"/>
  <c r="H42" i="234"/>
  <c r="E42" i="234"/>
  <c r="AD41" i="234"/>
  <c r="AC41" i="234"/>
  <c r="AB41" i="234"/>
  <c r="AE41" i="234" s="1"/>
  <c r="AI41" i="234" s="1"/>
  <c r="Y41" i="234" s="1"/>
  <c r="Z41" i="234"/>
  <c r="X41" i="234"/>
  <c r="Q41" i="234"/>
  <c r="P41" i="234"/>
  <c r="H41" i="234"/>
  <c r="E41" i="234"/>
  <c r="I41" i="234" s="1"/>
  <c r="AD40" i="234"/>
  <c r="AC40" i="234"/>
  <c r="AE40" i="234" s="1"/>
  <c r="AI40" i="234" s="1"/>
  <c r="Y40" i="234" s="1"/>
  <c r="AB40" i="234"/>
  <c r="Z40" i="234"/>
  <c r="X40" i="234"/>
  <c r="Q40" i="234"/>
  <c r="P40" i="234"/>
  <c r="H40" i="234"/>
  <c r="E40" i="234"/>
  <c r="I40" i="234" s="1"/>
  <c r="AD39" i="234"/>
  <c r="AC39" i="234"/>
  <c r="AE39" i="234" s="1"/>
  <c r="AI39" i="234" s="1"/>
  <c r="Y39" i="234" s="1"/>
  <c r="AB39" i="234"/>
  <c r="Z39" i="234"/>
  <c r="X39" i="234"/>
  <c r="Q39" i="234"/>
  <c r="P39" i="234"/>
  <c r="I39" i="234"/>
  <c r="H39" i="234"/>
  <c r="E39" i="234"/>
  <c r="AE38" i="234"/>
  <c r="AI38" i="234" s="1"/>
  <c r="Y38" i="234" s="1"/>
  <c r="AD38" i="234"/>
  <c r="AC38" i="234"/>
  <c r="AB38" i="234"/>
  <c r="Z38" i="234"/>
  <c r="X38" i="234"/>
  <c r="Q38" i="234"/>
  <c r="P38" i="234"/>
  <c r="H38" i="234"/>
  <c r="E38" i="234"/>
  <c r="I38" i="234" s="1"/>
  <c r="AD37" i="234"/>
  <c r="AC37" i="234"/>
  <c r="AB37" i="234"/>
  <c r="AE37" i="234" s="1"/>
  <c r="AI37" i="234" s="1"/>
  <c r="Y37" i="234" s="1"/>
  <c r="Z37" i="234"/>
  <c r="X37" i="234"/>
  <c r="Q37" i="234"/>
  <c r="P37" i="234"/>
  <c r="H37" i="234"/>
  <c r="E37" i="234"/>
  <c r="I37" i="234" s="1"/>
  <c r="AE36" i="234"/>
  <c r="AI36" i="234" s="1"/>
  <c r="Y36" i="234" s="1"/>
  <c r="AD36" i="234"/>
  <c r="AC36" i="234"/>
  <c r="AB36" i="234"/>
  <c r="Z36" i="234"/>
  <c r="X36" i="234"/>
  <c r="Q36" i="234"/>
  <c r="P36" i="234"/>
  <c r="H36" i="234"/>
  <c r="E36" i="234"/>
  <c r="I36" i="234" s="1"/>
  <c r="AD35" i="234"/>
  <c r="AC35" i="234"/>
  <c r="AB35" i="234"/>
  <c r="AE35" i="234" s="1"/>
  <c r="AI35" i="234" s="1"/>
  <c r="Y35" i="234" s="1"/>
  <c r="Z35" i="234"/>
  <c r="X35" i="234"/>
  <c r="Q35" i="234"/>
  <c r="P35" i="234"/>
  <c r="I35" i="234"/>
  <c r="H35" i="234"/>
  <c r="E35" i="234"/>
  <c r="AD34" i="234"/>
  <c r="AE34" i="234" s="1"/>
  <c r="AI34" i="234" s="1"/>
  <c r="Y34" i="234" s="1"/>
  <c r="AC34" i="234"/>
  <c r="AB34" i="234"/>
  <c r="Z34" i="234"/>
  <c r="X34" i="234"/>
  <c r="Q34" i="234"/>
  <c r="P34" i="234"/>
  <c r="I34" i="234"/>
  <c r="H34" i="234"/>
  <c r="E34" i="234"/>
  <c r="AI33" i="234"/>
  <c r="Y33" i="234" s="1"/>
  <c r="AE33" i="234"/>
  <c r="AD33" i="234"/>
  <c r="AC33" i="234"/>
  <c r="AB33" i="234"/>
  <c r="Z33" i="234"/>
  <c r="X33" i="234"/>
  <c r="Q33" i="234"/>
  <c r="P33" i="234"/>
  <c r="I33" i="234"/>
  <c r="H33" i="234"/>
  <c r="E33" i="234"/>
  <c r="AD32" i="234"/>
  <c r="AC32" i="234"/>
  <c r="AB32" i="234"/>
  <c r="AE32" i="234" s="1"/>
  <c r="AI32" i="234" s="1"/>
  <c r="Y32" i="234" s="1"/>
  <c r="Z32" i="234"/>
  <c r="X32" i="234"/>
  <c r="Q32" i="234"/>
  <c r="P32" i="234"/>
  <c r="H32" i="234"/>
  <c r="E32" i="234"/>
  <c r="I32" i="234" s="1"/>
  <c r="AI31" i="234"/>
  <c r="Y31" i="234" s="1"/>
  <c r="AE31" i="234"/>
  <c r="Z31" i="234"/>
  <c r="X31" i="234"/>
  <c r="Q31" i="234"/>
  <c r="P31" i="234"/>
  <c r="I31" i="234"/>
  <c r="H31" i="234"/>
  <c r="E31" i="234"/>
  <c r="AE30" i="234"/>
  <c r="AI30" i="234" s="1"/>
  <c r="Y30" i="234" s="1"/>
  <c r="AD30" i="234"/>
  <c r="AC30" i="234"/>
  <c r="AB30" i="234"/>
  <c r="Z30" i="234"/>
  <c r="X30" i="234"/>
  <c r="Q30" i="234"/>
  <c r="P30" i="234"/>
  <c r="H30" i="234"/>
  <c r="E30" i="234"/>
  <c r="I30" i="234" s="1"/>
  <c r="AD29" i="234"/>
  <c r="AC29" i="234"/>
  <c r="AB29" i="234"/>
  <c r="AE29" i="234" s="1"/>
  <c r="AI29" i="234" s="1"/>
  <c r="Y29" i="234" s="1"/>
  <c r="Z29" i="234"/>
  <c r="X29" i="234"/>
  <c r="Q29" i="234"/>
  <c r="P29" i="234"/>
  <c r="H29" i="234"/>
  <c r="E29" i="234"/>
  <c r="I29" i="234" s="1"/>
  <c r="AD28" i="234"/>
  <c r="AC28" i="234"/>
  <c r="AE28" i="234" s="1"/>
  <c r="AI28" i="234" s="1"/>
  <c r="Y28" i="234" s="1"/>
  <c r="AB28" i="234"/>
  <c r="Z28" i="234"/>
  <c r="X28" i="234"/>
  <c r="Q28" i="234"/>
  <c r="P28" i="234"/>
  <c r="H28" i="234"/>
  <c r="E28" i="234"/>
  <c r="I28" i="234" s="1"/>
  <c r="AD27" i="234"/>
  <c r="AE27" i="234" s="1"/>
  <c r="AI27" i="234" s="1"/>
  <c r="Y27" i="234" s="1"/>
  <c r="AC27" i="234"/>
  <c r="AB27" i="234"/>
  <c r="Z27" i="234"/>
  <c r="X27" i="234"/>
  <c r="Q27" i="234"/>
  <c r="P27" i="234"/>
  <c r="I27" i="234"/>
  <c r="H27" i="234"/>
  <c r="E27" i="234"/>
  <c r="AD26" i="234"/>
  <c r="AC26" i="234"/>
  <c r="AB26" i="234"/>
  <c r="AE26" i="234" s="1"/>
  <c r="AI26" i="234" s="1"/>
  <c r="Y26" i="234" s="1"/>
  <c r="Z26" i="234"/>
  <c r="X26" i="234"/>
  <c r="Q26" i="234"/>
  <c r="P26" i="234"/>
  <c r="H26" i="234"/>
  <c r="E26" i="234"/>
  <c r="I26" i="234" s="1"/>
  <c r="AD25" i="234"/>
  <c r="AC25" i="234"/>
  <c r="AE25" i="234" s="1"/>
  <c r="AI25" i="234" s="1"/>
  <c r="Y25" i="234" s="1"/>
  <c r="AB25" i="234"/>
  <c r="Z25" i="234"/>
  <c r="X25" i="234"/>
  <c r="Q25" i="234"/>
  <c r="P25" i="234"/>
  <c r="H25" i="234"/>
  <c r="E25" i="234"/>
  <c r="I25" i="234" s="1"/>
  <c r="AD24" i="234"/>
  <c r="AC24" i="234"/>
  <c r="AE24" i="234" s="1"/>
  <c r="AI24" i="234" s="1"/>
  <c r="Y24" i="234" s="1"/>
  <c r="AB24" i="234"/>
  <c r="Z24" i="234"/>
  <c r="X24" i="234"/>
  <c r="Q24" i="234"/>
  <c r="P24" i="234"/>
  <c r="I24" i="234"/>
  <c r="H24" i="234"/>
  <c r="E24" i="234"/>
  <c r="AE23" i="234"/>
  <c r="AI23" i="234" s="1"/>
  <c r="Y23" i="234" s="1"/>
  <c r="AD23" i="234"/>
  <c r="AC23" i="234"/>
  <c r="AB23" i="234"/>
  <c r="Z23" i="234"/>
  <c r="X23" i="234"/>
  <c r="Q23" i="234"/>
  <c r="P23" i="234"/>
  <c r="H23" i="234"/>
  <c r="E23" i="234"/>
  <c r="I23" i="234" s="1"/>
  <c r="AD22" i="234"/>
  <c r="AC22" i="234"/>
  <c r="AB22" i="234"/>
  <c r="AE22" i="234" s="1"/>
  <c r="AI22" i="234" s="1"/>
  <c r="Y22" i="234" s="1"/>
  <c r="Z22" i="234"/>
  <c r="X22" i="234"/>
  <c r="Q22" i="234"/>
  <c r="P22" i="234"/>
  <c r="H22" i="234"/>
  <c r="E22" i="234"/>
  <c r="I22" i="234" s="1"/>
  <c r="AE21" i="234"/>
  <c r="AI21" i="234" s="1"/>
  <c r="Y21" i="234" s="1"/>
  <c r="AD21" i="234"/>
  <c r="AC21" i="234"/>
  <c r="AB21" i="234"/>
  <c r="Z21" i="234"/>
  <c r="X21" i="234"/>
  <c r="Q21" i="234"/>
  <c r="P21" i="234"/>
  <c r="H21" i="234"/>
  <c r="E21" i="234"/>
  <c r="I21" i="234" s="1"/>
  <c r="AD20" i="234"/>
  <c r="AC20" i="234"/>
  <c r="AB20" i="234"/>
  <c r="AE20" i="234" s="1"/>
  <c r="AI20" i="234" s="1"/>
  <c r="Y20" i="234" s="1"/>
  <c r="Z20" i="234"/>
  <c r="X20" i="234"/>
  <c r="Q20" i="234"/>
  <c r="P20" i="234"/>
  <c r="I20" i="234"/>
  <c r="H20" i="234"/>
  <c r="E20" i="234"/>
  <c r="AD19" i="234"/>
  <c r="AE19" i="234" s="1"/>
  <c r="AI19" i="234" s="1"/>
  <c r="Y19" i="234" s="1"/>
  <c r="AC19" i="234"/>
  <c r="AB19" i="234"/>
  <c r="Z19" i="234"/>
  <c r="X19" i="234"/>
  <c r="Q19" i="234"/>
  <c r="P19" i="234"/>
  <c r="I19" i="234"/>
  <c r="H19" i="234"/>
  <c r="E19" i="234"/>
  <c r="AI18" i="234"/>
  <c r="Y18" i="234" s="1"/>
  <c r="AE18" i="234"/>
  <c r="AD18" i="234"/>
  <c r="AC18" i="234"/>
  <c r="AB18" i="234"/>
  <c r="Z18" i="234"/>
  <c r="X18" i="234"/>
  <c r="Q18" i="234"/>
  <c r="P18" i="234"/>
  <c r="I18" i="234"/>
  <c r="H18" i="234"/>
  <c r="E18" i="234"/>
  <c r="AD17" i="234"/>
  <c r="AC17" i="234"/>
  <c r="AB17" i="234"/>
  <c r="AE17" i="234" s="1"/>
  <c r="AI17" i="234" s="1"/>
  <c r="Y17" i="234" s="1"/>
  <c r="Z17" i="234"/>
  <c r="X17" i="234"/>
  <c r="Q17" i="234"/>
  <c r="P17" i="234"/>
  <c r="H17" i="234"/>
  <c r="E17" i="234"/>
  <c r="I17" i="234" s="1"/>
  <c r="AD16" i="234"/>
  <c r="AC16" i="234"/>
  <c r="AE16" i="234" s="1"/>
  <c r="AI16" i="234" s="1"/>
  <c r="Y16" i="234" s="1"/>
  <c r="AB16" i="234"/>
  <c r="Z16" i="234"/>
  <c r="X16" i="234"/>
  <c r="Q16" i="234"/>
  <c r="P16" i="234"/>
  <c r="E16" i="234"/>
  <c r="I16" i="234" s="1"/>
  <c r="AD15" i="234"/>
  <c r="AC15" i="234"/>
  <c r="AB15" i="234"/>
  <c r="AE15" i="234" s="1"/>
  <c r="AI15" i="234" s="1"/>
  <c r="Y15" i="234" s="1"/>
  <c r="Z15" i="234"/>
  <c r="X15" i="234"/>
  <c r="Q15" i="234"/>
  <c r="P15" i="234"/>
  <c r="I15" i="234"/>
  <c r="E15" i="234"/>
  <c r="AD14" i="234"/>
  <c r="AC14" i="234"/>
  <c r="AE14" i="234" s="1"/>
  <c r="AI14" i="234" s="1"/>
  <c r="Y14" i="234" s="1"/>
  <c r="AB14" i="234"/>
  <c r="Z14" i="234"/>
  <c r="X14" i="234"/>
  <c r="Q14" i="234"/>
  <c r="O77" i="234" s="1"/>
  <c r="P14" i="234"/>
  <c r="I14" i="234"/>
  <c r="H14" i="234"/>
  <c r="E14" i="234"/>
  <c r="AE13" i="234"/>
  <c r="AI13" i="234" s="1"/>
  <c r="Y13" i="234" s="1"/>
  <c r="AD13" i="234"/>
  <c r="AC13" i="234"/>
  <c r="AB13" i="234"/>
  <c r="Z13" i="234"/>
  <c r="X13" i="234"/>
  <c r="Q13" i="234"/>
  <c r="P13" i="234"/>
  <c r="H13" i="234"/>
  <c r="E13" i="234"/>
  <c r="I13" i="234" s="1"/>
  <c r="AD12" i="234"/>
  <c r="AC12" i="234"/>
  <c r="AB12" i="234"/>
  <c r="AE12" i="234" s="1"/>
  <c r="AI12" i="234" s="1"/>
  <c r="Y12" i="234" s="1"/>
  <c r="Z12" i="234"/>
  <c r="X12" i="234"/>
  <c r="T79" i="234" s="1"/>
  <c r="Q12" i="234"/>
  <c r="P12" i="234"/>
  <c r="H12" i="234"/>
  <c r="E12" i="234"/>
  <c r="I12" i="234" s="1"/>
  <c r="F79" i="235" l="1"/>
  <c r="T77" i="234"/>
  <c r="F77" i="234"/>
  <c r="T75" i="234"/>
  <c r="F75" i="234"/>
  <c r="O75" i="234"/>
  <c r="P81" i="233"/>
  <c r="M81" i="233"/>
  <c r="P73" i="233"/>
  <c r="H73" i="233"/>
  <c r="Q72" i="233"/>
  <c r="P72" i="233"/>
  <c r="I72" i="233"/>
  <c r="H72" i="233"/>
  <c r="E72" i="233"/>
  <c r="Q71" i="233"/>
  <c r="P71" i="233"/>
  <c r="H71" i="233"/>
  <c r="E71" i="233"/>
  <c r="I71" i="233" s="1"/>
  <c r="AD70" i="233"/>
  <c r="AC70" i="233"/>
  <c r="AB70" i="233"/>
  <c r="AE70" i="233" s="1"/>
  <c r="AI70" i="233" s="1"/>
  <c r="Y70" i="233" s="1"/>
  <c r="Z70" i="233"/>
  <c r="X70" i="233"/>
  <c r="Q70" i="233"/>
  <c r="P70" i="233"/>
  <c r="H70" i="233"/>
  <c r="E70" i="233"/>
  <c r="I70" i="233" s="1"/>
  <c r="AE69" i="233"/>
  <c r="AI69" i="233" s="1"/>
  <c r="Y69" i="233" s="1"/>
  <c r="AD69" i="233"/>
  <c r="AC69" i="233"/>
  <c r="AB69" i="233"/>
  <c r="Z69" i="233"/>
  <c r="X69" i="233"/>
  <c r="Q69" i="233"/>
  <c r="P69" i="233"/>
  <c r="I69" i="233"/>
  <c r="H69" i="233"/>
  <c r="E69" i="233"/>
  <c r="AD68" i="233"/>
  <c r="AC68" i="233"/>
  <c r="AB68" i="233"/>
  <c r="AE68" i="233" s="1"/>
  <c r="AI68" i="233" s="1"/>
  <c r="Y68" i="233" s="1"/>
  <c r="Z68" i="233"/>
  <c r="X68" i="233"/>
  <c r="Q68" i="233"/>
  <c r="P68" i="233"/>
  <c r="I68" i="233"/>
  <c r="H68" i="233"/>
  <c r="E68" i="233"/>
  <c r="AD67" i="233"/>
  <c r="AC67" i="233"/>
  <c r="AB67" i="233"/>
  <c r="AE67" i="233" s="1"/>
  <c r="AI67" i="233" s="1"/>
  <c r="Y67" i="233" s="1"/>
  <c r="Z67" i="233"/>
  <c r="X67" i="233"/>
  <c r="Q67" i="233"/>
  <c r="P67" i="233"/>
  <c r="H67" i="233"/>
  <c r="E67" i="233"/>
  <c r="I67" i="233" s="1"/>
  <c r="AD66" i="233"/>
  <c r="AC66" i="233"/>
  <c r="AE66" i="233" s="1"/>
  <c r="AI66" i="233" s="1"/>
  <c r="Y66" i="233" s="1"/>
  <c r="AB66" i="233"/>
  <c r="Z66" i="233"/>
  <c r="X66" i="233"/>
  <c r="Q66" i="233"/>
  <c r="P66" i="233"/>
  <c r="H66" i="233"/>
  <c r="E66" i="233"/>
  <c r="I66" i="233" s="1"/>
  <c r="AD65" i="233"/>
  <c r="AC65" i="233"/>
  <c r="AB65" i="233"/>
  <c r="AE65" i="233" s="1"/>
  <c r="AI65" i="233" s="1"/>
  <c r="Y65" i="233" s="1"/>
  <c r="Z65" i="233"/>
  <c r="X65" i="233"/>
  <c r="Q65" i="233"/>
  <c r="P65" i="233"/>
  <c r="H65" i="233"/>
  <c r="E65" i="233"/>
  <c r="I65" i="233" s="1"/>
  <c r="AE64" i="233"/>
  <c r="AI64" i="233" s="1"/>
  <c r="Y64" i="233" s="1"/>
  <c r="AD64" i="233"/>
  <c r="AC64" i="233"/>
  <c r="AB64" i="233"/>
  <c r="Z64" i="233"/>
  <c r="X64" i="233"/>
  <c r="Q64" i="233"/>
  <c r="P64" i="233"/>
  <c r="I64" i="233"/>
  <c r="H64" i="233"/>
  <c r="E64" i="233"/>
  <c r="AC63" i="233"/>
  <c r="AB63" i="233"/>
  <c r="AE63" i="233" s="1"/>
  <c r="AI63" i="233" s="1"/>
  <c r="Y63" i="233" s="1"/>
  <c r="X63" i="233"/>
  <c r="Q63" i="233"/>
  <c r="P63" i="233"/>
  <c r="I63" i="233"/>
  <c r="H63" i="233"/>
  <c r="E63" i="233"/>
  <c r="AE62" i="233"/>
  <c r="AI62" i="233" s="1"/>
  <c r="Y62" i="233" s="1"/>
  <c r="X62" i="233"/>
  <c r="Q62" i="233"/>
  <c r="P62" i="233"/>
  <c r="I62" i="233"/>
  <c r="H62" i="233"/>
  <c r="E62" i="233"/>
  <c r="AI61" i="233"/>
  <c r="Y61" i="233" s="1"/>
  <c r="AE61" i="233"/>
  <c r="AC61" i="233"/>
  <c r="AB61" i="233"/>
  <c r="X61" i="233"/>
  <c r="Q61" i="233"/>
  <c r="P61" i="233"/>
  <c r="I61" i="233"/>
  <c r="H61" i="233"/>
  <c r="E61" i="233"/>
  <c r="AC60" i="233"/>
  <c r="AB60" i="233"/>
  <c r="AE60" i="233" s="1"/>
  <c r="AI60" i="233" s="1"/>
  <c r="Y60" i="233" s="1"/>
  <c r="X60" i="233"/>
  <c r="Q60" i="233"/>
  <c r="P60" i="233"/>
  <c r="E60" i="233"/>
  <c r="I60" i="233" s="1"/>
  <c r="AC59" i="233"/>
  <c r="AB59" i="233"/>
  <c r="AE59" i="233" s="1"/>
  <c r="AI59" i="233" s="1"/>
  <c r="Y59" i="233" s="1"/>
  <c r="X59" i="233"/>
  <c r="Q59" i="233"/>
  <c r="P59" i="233"/>
  <c r="H59" i="233"/>
  <c r="E59" i="233"/>
  <c r="I59" i="233" s="1"/>
  <c r="AI58" i="233"/>
  <c r="Y58" i="233" s="1"/>
  <c r="AE58" i="233"/>
  <c r="AD58" i="233"/>
  <c r="AC58" i="233"/>
  <c r="AB58" i="233"/>
  <c r="Z58" i="233"/>
  <c r="X58" i="233"/>
  <c r="Q58" i="233"/>
  <c r="P58" i="233"/>
  <c r="I58" i="233"/>
  <c r="H58" i="233"/>
  <c r="E58" i="233"/>
  <c r="AD57" i="233"/>
  <c r="AC57" i="233"/>
  <c r="AB57" i="233"/>
  <c r="AE57" i="233" s="1"/>
  <c r="AI57" i="233" s="1"/>
  <c r="Y57" i="233" s="1"/>
  <c r="Z57" i="233"/>
  <c r="X57" i="233"/>
  <c r="Q57" i="233"/>
  <c r="P57" i="233"/>
  <c r="I57" i="233"/>
  <c r="H57" i="233"/>
  <c r="E57" i="233"/>
  <c r="AD56" i="233"/>
  <c r="AC56" i="233"/>
  <c r="AB56" i="233"/>
  <c r="AE56" i="233" s="1"/>
  <c r="AI56" i="233" s="1"/>
  <c r="Y56" i="233" s="1"/>
  <c r="Z56" i="233"/>
  <c r="X56" i="233"/>
  <c r="Q56" i="233"/>
  <c r="P56" i="233"/>
  <c r="I56" i="233"/>
  <c r="H56" i="233"/>
  <c r="E56" i="233"/>
  <c r="AE55" i="233"/>
  <c r="AI55" i="233" s="1"/>
  <c r="Y55" i="233" s="1"/>
  <c r="AD55" i="233"/>
  <c r="AC55" i="233"/>
  <c r="AB55" i="233"/>
  <c r="Z55" i="233"/>
  <c r="X55" i="233"/>
  <c r="Q55" i="233"/>
  <c r="P55" i="233"/>
  <c r="I55" i="233"/>
  <c r="H55" i="233"/>
  <c r="E55" i="233"/>
  <c r="AE54" i="233"/>
  <c r="AI54" i="233" s="1"/>
  <c r="Y54" i="233" s="1"/>
  <c r="Z54" i="233"/>
  <c r="X54" i="233"/>
  <c r="Q54" i="233"/>
  <c r="P54" i="233"/>
  <c r="H54" i="233"/>
  <c r="E54" i="233"/>
  <c r="I54" i="233" s="1"/>
  <c r="AD53" i="233"/>
  <c r="AE53" i="233" s="1"/>
  <c r="AI53" i="233" s="1"/>
  <c r="Y53" i="233" s="1"/>
  <c r="AC53" i="233"/>
  <c r="AB53" i="233"/>
  <c r="Z53" i="233"/>
  <c r="X53" i="233"/>
  <c r="Q53" i="233"/>
  <c r="P53" i="233"/>
  <c r="I53" i="233"/>
  <c r="H53" i="233"/>
  <c r="E53" i="233"/>
  <c r="AD52" i="233"/>
  <c r="AC52" i="233"/>
  <c r="AB52" i="233"/>
  <c r="AE52" i="233" s="1"/>
  <c r="AI52" i="233" s="1"/>
  <c r="Y52" i="233" s="1"/>
  <c r="Z52" i="233"/>
  <c r="X52" i="233"/>
  <c r="Q52" i="233"/>
  <c r="P52" i="233"/>
  <c r="I52" i="233"/>
  <c r="H52" i="233"/>
  <c r="E52" i="233"/>
  <c r="AI51" i="233"/>
  <c r="Y51" i="233" s="1"/>
  <c r="AE51" i="233"/>
  <c r="Z51" i="233"/>
  <c r="X51" i="233"/>
  <c r="Q51" i="233"/>
  <c r="P51" i="233"/>
  <c r="I51" i="233"/>
  <c r="H51" i="233"/>
  <c r="E51" i="233"/>
  <c r="AI50" i="233"/>
  <c r="AE50" i="233"/>
  <c r="Z50" i="233"/>
  <c r="Y50" i="233"/>
  <c r="X50" i="233"/>
  <c r="Q50" i="233"/>
  <c r="P50" i="233"/>
  <c r="I50" i="233"/>
  <c r="H50" i="233"/>
  <c r="E50" i="233"/>
  <c r="AE49" i="233"/>
  <c r="AI49" i="233" s="1"/>
  <c r="Y49" i="233" s="1"/>
  <c r="Z49" i="233"/>
  <c r="X49" i="233"/>
  <c r="Q49" i="233"/>
  <c r="P49" i="233"/>
  <c r="H49" i="233"/>
  <c r="E49" i="233"/>
  <c r="I49" i="233" s="1"/>
  <c r="AD48" i="233"/>
  <c r="AE48" i="233" s="1"/>
  <c r="AI48" i="233" s="1"/>
  <c r="Y48" i="233" s="1"/>
  <c r="AC48" i="233"/>
  <c r="AB48" i="233"/>
  <c r="Z48" i="233"/>
  <c r="X48" i="233"/>
  <c r="Q48" i="233"/>
  <c r="P48" i="233"/>
  <c r="I48" i="233"/>
  <c r="H48" i="233"/>
  <c r="E48" i="233"/>
  <c r="AD47" i="233"/>
  <c r="AC47" i="233"/>
  <c r="AB47" i="233"/>
  <c r="AE47" i="233" s="1"/>
  <c r="AI47" i="233" s="1"/>
  <c r="Y47" i="233" s="1"/>
  <c r="Z47" i="233"/>
  <c r="X47" i="233"/>
  <c r="Q47" i="233"/>
  <c r="P47" i="233"/>
  <c r="H47" i="233"/>
  <c r="E47" i="233"/>
  <c r="I47" i="233" s="1"/>
  <c r="AI46" i="233"/>
  <c r="Y46" i="233" s="1"/>
  <c r="AE46" i="233"/>
  <c r="AD46" i="233"/>
  <c r="AC46" i="233"/>
  <c r="AB46" i="233"/>
  <c r="Z46" i="233"/>
  <c r="X46" i="233"/>
  <c r="Q46" i="233"/>
  <c r="P46" i="233"/>
  <c r="I46" i="233"/>
  <c r="H46" i="233"/>
  <c r="E46" i="233"/>
  <c r="AD45" i="233"/>
  <c r="AC45" i="233"/>
  <c r="AB45" i="233"/>
  <c r="AE45" i="233" s="1"/>
  <c r="AI45" i="233" s="1"/>
  <c r="Y45" i="233" s="1"/>
  <c r="Z45" i="233"/>
  <c r="X45" i="233"/>
  <c r="Q45" i="233"/>
  <c r="P45" i="233"/>
  <c r="I45" i="233"/>
  <c r="H45" i="233"/>
  <c r="E45" i="233"/>
  <c r="AD44" i="233"/>
  <c r="AC44" i="233"/>
  <c r="AB44" i="233"/>
  <c r="AE44" i="233" s="1"/>
  <c r="AI44" i="233" s="1"/>
  <c r="Y44" i="233" s="1"/>
  <c r="Z44" i="233"/>
  <c r="X44" i="233"/>
  <c r="Q44" i="233"/>
  <c r="P44" i="233"/>
  <c r="I44" i="233"/>
  <c r="H44" i="233"/>
  <c r="E44" i="233"/>
  <c r="AE43" i="233"/>
  <c r="AI43" i="233" s="1"/>
  <c r="Y43" i="233" s="1"/>
  <c r="AD43" i="233"/>
  <c r="AC43" i="233"/>
  <c r="AB43" i="233"/>
  <c r="Z43" i="233"/>
  <c r="X43" i="233"/>
  <c r="Q43" i="233"/>
  <c r="P43" i="233"/>
  <c r="I43" i="233"/>
  <c r="H43" i="233"/>
  <c r="E43" i="233"/>
  <c r="AD42" i="233"/>
  <c r="AC42" i="233"/>
  <c r="AB42" i="233"/>
  <c r="AE42" i="233" s="1"/>
  <c r="AI42" i="233" s="1"/>
  <c r="Y42" i="233" s="1"/>
  <c r="Z42" i="233"/>
  <c r="X42" i="233"/>
  <c r="Q42" i="233"/>
  <c r="P42" i="233"/>
  <c r="H42" i="233"/>
  <c r="E42" i="233"/>
  <c r="I42" i="233" s="1"/>
  <c r="AD41" i="233"/>
  <c r="AC41" i="233"/>
  <c r="AB41" i="233"/>
  <c r="AE41" i="233" s="1"/>
  <c r="AI41" i="233" s="1"/>
  <c r="Y41" i="233" s="1"/>
  <c r="Z41" i="233"/>
  <c r="X41" i="233"/>
  <c r="Q41" i="233"/>
  <c r="P41" i="233"/>
  <c r="H41" i="233"/>
  <c r="E41" i="233"/>
  <c r="I41" i="233" s="1"/>
  <c r="AD40" i="233"/>
  <c r="AE40" i="233" s="1"/>
  <c r="AI40" i="233" s="1"/>
  <c r="Y40" i="233" s="1"/>
  <c r="AC40" i="233"/>
  <c r="AB40" i="233"/>
  <c r="Z40" i="233"/>
  <c r="X40" i="233"/>
  <c r="Q40" i="233"/>
  <c r="P40" i="233"/>
  <c r="I40" i="233"/>
  <c r="H40" i="233"/>
  <c r="E40" i="233"/>
  <c r="AD39" i="233"/>
  <c r="AC39" i="233"/>
  <c r="AB39" i="233"/>
  <c r="AE39" i="233" s="1"/>
  <c r="AI39" i="233" s="1"/>
  <c r="Y39" i="233" s="1"/>
  <c r="Z39" i="233"/>
  <c r="X39" i="233"/>
  <c r="Q39" i="233"/>
  <c r="P39" i="233"/>
  <c r="I39" i="233"/>
  <c r="H39" i="233"/>
  <c r="E39" i="233"/>
  <c r="AD38" i="233"/>
  <c r="AC38" i="233"/>
  <c r="AB38" i="233"/>
  <c r="AE38" i="233" s="1"/>
  <c r="AI38" i="233" s="1"/>
  <c r="Y38" i="233" s="1"/>
  <c r="Z38" i="233"/>
  <c r="X38" i="233"/>
  <c r="Q38" i="233"/>
  <c r="P38" i="233"/>
  <c r="H38" i="233"/>
  <c r="E38" i="233"/>
  <c r="I38" i="233" s="1"/>
  <c r="AD37" i="233"/>
  <c r="AC37" i="233"/>
  <c r="AE37" i="233" s="1"/>
  <c r="AI37" i="233" s="1"/>
  <c r="Y37" i="233" s="1"/>
  <c r="AB37" i="233"/>
  <c r="Z37" i="233"/>
  <c r="X37" i="233"/>
  <c r="Q37" i="233"/>
  <c r="P37" i="233"/>
  <c r="I37" i="233"/>
  <c r="H37" i="233"/>
  <c r="E37" i="233"/>
  <c r="AD36" i="233"/>
  <c r="AC36" i="233"/>
  <c r="AB36" i="233"/>
  <c r="AE36" i="233" s="1"/>
  <c r="AI36" i="233" s="1"/>
  <c r="Y36" i="233" s="1"/>
  <c r="Z36" i="233"/>
  <c r="X36" i="233"/>
  <c r="Q36" i="233"/>
  <c r="P36" i="233"/>
  <c r="H36" i="233"/>
  <c r="E36" i="233"/>
  <c r="I36" i="233" s="1"/>
  <c r="AE35" i="233"/>
  <c r="AI35" i="233" s="1"/>
  <c r="Y35" i="233" s="1"/>
  <c r="AD35" i="233"/>
  <c r="AC35" i="233"/>
  <c r="AB35" i="233"/>
  <c r="Z35" i="233"/>
  <c r="X35" i="233"/>
  <c r="Q35" i="233"/>
  <c r="P35" i="233"/>
  <c r="I35" i="233"/>
  <c r="H35" i="233"/>
  <c r="E35" i="233"/>
  <c r="AD34" i="233"/>
  <c r="AC34" i="233"/>
  <c r="AB34" i="233"/>
  <c r="AE34" i="233" s="1"/>
  <c r="AI34" i="233" s="1"/>
  <c r="Y34" i="233" s="1"/>
  <c r="Z34" i="233"/>
  <c r="X34" i="233"/>
  <c r="Q34" i="233"/>
  <c r="P34" i="233"/>
  <c r="H34" i="233"/>
  <c r="E34" i="233"/>
  <c r="I34" i="233" s="1"/>
  <c r="AD33" i="233"/>
  <c r="AC33" i="233"/>
  <c r="AB33" i="233"/>
  <c r="AE33" i="233" s="1"/>
  <c r="AI33" i="233" s="1"/>
  <c r="Y33" i="233" s="1"/>
  <c r="Z33" i="233"/>
  <c r="X33" i="233"/>
  <c r="Q33" i="233"/>
  <c r="P33" i="233"/>
  <c r="H33" i="233"/>
  <c r="E33" i="233"/>
  <c r="I33" i="233" s="1"/>
  <c r="AD32" i="233"/>
  <c r="AE32" i="233" s="1"/>
  <c r="AI32" i="233" s="1"/>
  <c r="Y32" i="233" s="1"/>
  <c r="AC32" i="233"/>
  <c r="AB32" i="233"/>
  <c r="Z32" i="233"/>
  <c r="X32" i="233"/>
  <c r="Q32" i="233"/>
  <c r="P32" i="233"/>
  <c r="I32" i="233"/>
  <c r="H32" i="233"/>
  <c r="E32" i="233"/>
  <c r="AE31" i="233"/>
  <c r="AI31" i="233" s="1"/>
  <c r="Y31" i="233" s="1"/>
  <c r="Z31" i="233"/>
  <c r="X31" i="233"/>
  <c r="Q31" i="233"/>
  <c r="P31" i="233"/>
  <c r="I31" i="233"/>
  <c r="H31" i="233"/>
  <c r="E31" i="233"/>
  <c r="AD30" i="233"/>
  <c r="AC30" i="233"/>
  <c r="AB30" i="233"/>
  <c r="AE30" i="233" s="1"/>
  <c r="AI30" i="233" s="1"/>
  <c r="Y30" i="233" s="1"/>
  <c r="Z30" i="233"/>
  <c r="X30" i="233"/>
  <c r="Q30" i="233"/>
  <c r="P30" i="233"/>
  <c r="I30" i="233"/>
  <c r="H30" i="233"/>
  <c r="E30" i="233"/>
  <c r="AD29" i="233"/>
  <c r="AC29" i="233"/>
  <c r="AB29" i="233"/>
  <c r="AE29" i="233" s="1"/>
  <c r="AI29" i="233" s="1"/>
  <c r="Y29" i="233" s="1"/>
  <c r="Z29" i="233"/>
  <c r="X29" i="233"/>
  <c r="Q29" i="233"/>
  <c r="P29" i="233"/>
  <c r="I29" i="233"/>
  <c r="H29" i="233"/>
  <c r="E29" i="233"/>
  <c r="AE28" i="233"/>
  <c r="AI28" i="233" s="1"/>
  <c r="Y28" i="233" s="1"/>
  <c r="AD28" i="233"/>
  <c r="AC28" i="233"/>
  <c r="AB28" i="233"/>
  <c r="Z28" i="233"/>
  <c r="X28" i="233"/>
  <c r="Q28" i="233"/>
  <c r="P28" i="233"/>
  <c r="I28" i="233"/>
  <c r="H28" i="233"/>
  <c r="E28" i="233"/>
  <c r="AD27" i="233"/>
  <c r="AC27" i="233"/>
  <c r="AB27" i="233"/>
  <c r="AE27" i="233" s="1"/>
  <c r="AI27" i="233" s="1"/>
  <c r="Y27" i="233" s="1"/>
  <c r="Z27" i="233"/>
  <c r="X27" i="233"/>
  <c r="Q27" i="233"/>
  <c r="P27" i="233"/>
  <c r="H27" i="233"/>
  <c r="E27" i="233"/>
  <c r="I27" i="233" s="1"/>
  <c r="AD26" i="233"/>
  <c r="AC26" i="233"/>
  <c r="AB26" i="233"/>
  <c r="AE26" i="233" s="1"/>
  <c r="AI26" i="233" s="1"/>
  <c r="Y26" i="233" s="1"/>
  <c r="Z26" i="233"/>
  <c r="X26" i="233"/>
  <c r="Q26" i="233"/>
  <c r="P26" i="233"/>
  <c r="H26" i="233"/>
  <c r="E26" i="233"/>
  <c r="I26" i="233" s="1"/>
  <c r="AD25" i="233"/>
  <c r="AE25" i="233" s="1"/>
  <c r="AI25" i="233" s="1"/>
  <c r="Y25" i="233" s="1"/>
  <c r="AC25" i="233"/>
  <c r="AB25" i="233"/>
  <c r="Z25" i="233"/>
  <c r="X25" i="233"/>
  <c r="Q25" i="233"/>
  <c r="P25" i="233"/>
  <c r="I25" i="233"/>
  <c r="H25" i="233"/>
  <c r="E25" i="233"/>
  <c r="AD24" i="233"/>
  <c r="AC24" i="233"/>
  <c r="AB24" i="233"/>
  <c r="AE24" i="233" s="1"/>
  <c r="AI24" i="233" s="1"/>
  <c r="Y24" i="233" s="1"/>
  <c r="Z24" i="233"/>
  <c r="X24" i="233"/>
  <c r="Q24" i="233"/>
  <c r="P24" i="233"/>
  <c r="I24" i="233"/>
  <c r="H24" i="233"/>
  <c r="E24" i="233"/>
  <c r="AD23" i="233"/>
  <c r="AC23" i="233"/>
  <c r="AB23" i="233"/>
  <c r="AE23" i="233" s="1"/>
  <c r="AI23" i="233" s="1"/>
  <c r="Y23" i="233" s="1"/>
  <c r="Z23" i="233"/>
  <c r="X23" i="233"/>
  <c r="Q23" i="233"/>
  <c r="P23" i="233"/>
  <c r="H23" i="233"/>
  <c r="E23" i="233"/>
  <c r="I23" i="233" s="1"/>
  <c r="AD22" i="233"/>
  <c r="AC22" i="233"/>
  <c r="AE22" i="233" s="1"/>
  <c r="AI22" i="233" s="1"/>
  <c r="Y22" i="233" s="1"/>
  <c r="AB22" i="233"/>
  <c r="Z22" i="233"/>
  <c r="X22" i="233"/>
  <c r="Q22" i="233"/>
  <c r="P22" i="233"/>
  <c r="H22" i="233"/>
  <c r="E22" i="233"/>
  <c r="I22" i="233" s="1"/>
  <c r="AD21" i="233"/>
  <c r="AC21" i="233"/>
  <c r="AB21" i="233"/>
  <c r="AE21" i="233" s="1"/>
  <c r="AI21" i="233" s="1"/>
  <c r="Y21" i="233" s="1"/>
  <c r="Z21" i="233"/>
  <c r="X21" i="233"/>
  <c r="Q21" i="233"/>
  <c r="P21" i="233"/>
  <c r="H21" i="233"/>
  <c r="E21" i="233"/>
  <c r="I21" i="233" s="1"/>
  <c r="AE20" i="233"/>
  <c r="AI20" i="233" s="1"/>
  <c r="Y20" i="233" s="1"/>
  <c r="AD20" i="233"/>
  <c r="AC20" i="233"/>
  <c r="AB20" i="233"/>
  <c r="Z20" i="233"/>
  <c r="X20" i="233"/>
  <c r="Q20" i="233"/>
  <c r="P20" i="233"/>
  <c r="I20" i="233"/>
  <c r="H20" i="233"/>
  <c r="E20" i="233"/>
  <c r="AD19" i="233"/>
  <c r="AC19" i="233"/>
  <c r="AB19" i="233"/>
  <c r="AE19" i="233" s="1"/>
  <c r="AI19" i="233" s="1"/>
  <c r="Y19" i="233" s="1"/>
  <c r="Z19" i="233"/>
  <c r="X19" i="233"/>
  <c r="Q19" i="233"/>
  <c r="P19" i="233"/>
  <c r="H19" i="233"/>
  <c r="E19" i="233"/>
  <c r="I19" i="233" s="1"/>
  <c r="AD18" i="233"/>
  <c r="AC18" i="233"/>
  <c r="AB18" i="233"/>
  <c r="AE18" i="233" s="1"/>
  <c r="AI18" i="233" s="1"/>
  <c r="Y18" i="233" s="1"/>
  <c r="Z18" i="233"/>
  <c r="X18" i="233"/>
  <c r="Q18" i="233"/>
  <c r="P18" i="233"/>
  <c r="H18" i="233"/>
  <c r="E18" i="233"/>
  <c r="I18" i="233" s="1"/>
  <c r="AD17" i="233"/>
  <c r="AE17" i="233" s="1"/>
  <c r="AI17" i="233" s="1"/>
  <c r="Y17" i="233" s="1"/>
  <c r="AC17" i="233"/>
  <c r="AB17" i="233"/>
  <c r="Z17" i="233"/>
  <c r="X17" i="233"/>
  <c r="Q17" i="233"/>
  <c r="P17" i="233"/>
  <c r="I17" i="233"/>
  <c r="H17" i="233"/>
  <c r="E17" i="233"/>
  <c r="AD16" i="233"/>
  <c r="AC16" i="233"/>
  <c r="AB16" i="233"/>
  <c r="AE16" i="233" s="1"/>
  <c r="AI16" i="233" s="1"/>
  <c r="Y16" i="233" s="1"/>
  <c r="Z16" i="233"/>
  <c r="X16" i="233"/>
  <c r="Q16" i="233"/>
  <c r="P16" i="233"/>
  <c r="E16" i="233"/>
  <c r="I16" i="233" s="1"/>
  <c r="AD15" i="233"/>
  <c r="AE15" i="233" s="1"/>
  <c r="AI15" i="233" s="1"/>
  <c r="Y15" i="233" s="1"/>
  <c r="AC15" i="233"/>
  <c r="AB15" i="233"/>
  <c r="Z15" i="233"/>
  <c r="X15" i="233"/>
  <c r="Q15" i="233"/>
  <c r="O77" i="233" s="1"/>
  <c r="P15" i="233"/>
  <c r="E15" i="233"/>
  <c r="I15" i="233" s="1"/>
  <c r="AD14" i="233"/>
  <c r="AC14" i="233"/>
  <c r="AB14" i="233"/>
  <c r="AE14" i="233" s="1"/>
  <c r="AI14" i="233" s="1"/>
  <c r="Y14" i="233" s="1"/>
  <c r="Z14" i="233"/>
  <c r="X14" i="233"/>
  <c r="Q14" i="233"/>
  <c r="P14" i="233"/>
  <c r="I14" i="233"/>
  <c r="H14" i="233"/>
  <c r="E14" i="233"/>
  <c r="AD13" i="233"/>
  <c r="AC13" i="233"/>
  <c r="AB13" i="233"/>
  <c r="AE13" i="233" s="1"/>
  <c r="AI13" i="233" s="1"/>
  <c r="Y13" i="233" s="1"/>
  <c r="Z13" i="233"/>
  <c r="X13" i="233"/>
  <c r="Q13" i="233"/>
  <c r="P13" i="233"/>
  <c r="I13" i="233"/>
  <c r="H13" i="233"/>
  <c r="E13" i="233"/>
  <c r="AD12" i="233"/>
  <c r="AC12" i="233"/>
  <c r="AE12" i="233" s="1"/>
  <c r="AI12" i="233" s="1"/>
  <c r="Y12" i="233" s="1"/>
  <c r="AB12" i="233"/>
  <c r="Z12" i="233"/>
  <c r="X12" i="233"/>
  <c r="Q12" i="233"/>
  <c r="O75" i="233" s="1"/>
  <c r="P12" i="233"/>
  <c r="H12" i="233"/>
  <c r="E12" i="233"/>
  <c r="I12" i="233" s="1"/>
  <c r="T81" i="234" l="1"/>
  <c r="F79" i="234" s="1"/>
  <c r="T77" i="233"/>
  <c r="T79" i="233"/>
  <c r="F75" i="233"/>
  <c r="F77" i="233"/>
  <c r="T75" i="233"/>
  <c r="M81" i="228"/>
  <c r="P73" i="228"/>
  <c r="H73" i="228"/>
  <c r="Q72" i="228"/>
  <c r="P72" i="228"/>
  <c r="I72" i="228"/>
  <c r="H72" i="228"/>
  <c r="E72" i="228"/>
  <c r="Q71" i="228"/>
  <c r="P71" i="228"/>
  <c r="H71" i="228"/>
  <c r="E71" i="228"/>
  <c r="I71" i="228" s="1"/>
  <c r="AD70" i="228"/>
  <c r="AC70" i="228"/>
  <c r="AB70" i="228"/>
  <c r="AE70" i="228" s="1"/>
  <c r="AI70" i="228" s="1"/>
  <c r="Y70" i="228" s="1"/>
  <c r="Z70" i="228"/>
  <c r="X70" i="228"/>
  <c r="Q70" i="228"/>
  <c r="P70" i="228"/>
  <c r="H70" i="228"/>
  <c r="E70" i="228"/>
  <c r="I70" i="228" s="1"/>
  <c r="AD69" i="228"/>
  <c r="AC69" i="228"/>
  <c r="AB69" i="228"/>
  <c r="AE69" i="228" s="1"/>
  <c r="AI69" i="228" s="1"/>
  <c r="Y69" i="228" s="1"/>
  <c r="Z69" i="228"/>
  <c r="X69" i="228"/>
  <c r="Q69" i="228"/>
  <c r="P69" i="228"/>
  <c r="H69" i="228"/>
  <c r="E69" i="228"/>
  <c r="I69" i="228" s="1"/>
  <c r="AD68" i="228"/>
  <c r="AC68" i="228"/>
  <c r="AB68" i="228"/>
  <c r="AE68" i="228" s="1"/>
  <c r="AI68" i="228" s="1"/>
  <c r="Y68" i="228" s="1"/>
  <c r="Z68" i="228"/>
  <c r="X68" i="228"/>
  <c r="Q68" i="228"/>
  <c r="P68" i="228"/>
  <c r="I68" i="228"/>
  <c r="H68" i="228"/>
  <c r="E68" i="228"/>
  <c r="AD67" i="228"/>
  <c r="AC67" i="228"/>
  <c r="AB67" i="228"/>
  <c r="AE67" i="228" s="1"/>
  <c r="AI67" i="228" s="1"/>
  <c r="Y67" i="228" s="1"/>
  <c r="Z67" i="228"/>
  <c r="X67" i="228"/>
  <c r="Q67" i="228"/>
  <c r="P67" i="228"/>
  <c r="I67" i="228"/>
  <c r="H67" i="228"/>
  <c r="E67" i="228"/>
  <c r="AD66" i="228"/>
  <c r="AE66" i="228" s="1"/>
  <c r="AI66" i="228" s="1"/>
  <c r="Y66" i="228" s="1"/>
  <c r="AC66" i="228"/>
  <c r="AB66" i="228"/>
  <c r="Z66" i="228"/>
  <c r="X66" i="228"/>
  <c r="Q66" i="228"/>
  <c r="P66" i="228"/>
  <c r="H66" i="228"/>
  <c r="E66" i="228"/>
  <c r="I66" i="228" s="1"/>
  <c r="AD65" i="228"/>
  <c r="AC65" i="228"/>
  <c r="AB65" i="228"/>
  <c r="AE65" i="228" s="1"/>
  <c r="AI65" i="228" s="1"/>
  <c r="Y65" i="228" s="1"/>
  <c r="Z65" i="228"/>
  <c r="X65" i="228"/>
  <c r="Q65" i="228"/>
  <c r="P65" i="228"/>
  <c r="I65" i="228"/>
  <c r="H65" i="228"/>
  <c r="E65" i="228"/>
  <c r="AD64" i="228"/>
  <c r="AE64" i="228" s="1"/>
  <c r="AI64" i="228" s="1"/>
  <c r="Y64" i="228" s="1"/>
  <c r="AC64" i="228"/>
  <c r="AB64" i="228"/>
  <c r="Z64" i="228"/>
  <c r="X64" i="228"/>
  <c r="Q64" i="228"/>
  <c r="P64" i="228"/>
  <c r="I64" i="228"/>
  <c r="H64" i="228"/>
  <c r="E64" i="228"/>
  <c r="AE63" i="228"/>
  <c r="AI63" i="228" s="1"/>
  <c r="Y63" i="228" s="1"/>
  <c r="AC63" i="228"/>
  <c r="AB63" i="228"/>
  <c r="X63" i="228"/>
  <c r="Q63" i="228"/>
  <c r="P63" i="228"/>
  <c r="I63" i="228"/>
  <c r="H63" i="228"/>
  <c r="E63" i="228"/>
  <c r="AI62" i="228"/>
  <c r="Y62" i="228" s="1"/>
  <c r="AE62" i="228"/>
  <c r="X62" i="228"/>
  <c r="Q62" i="228"/>
  <c r="P62" i="228"/>
  <c r="I62" i="228"/>
  <c r="H62" i="228"/>
  <c r="E62" i="228"/>
  <c r="AE61" i="228"/>
  <c r="AI61" i="228" s="1"/>
  <c r="Y61" i="228" s="1"/>
  <c r="AC61" i="228"/>
  <c r="AB61" i="228"/>
  <c r="X61" i="228"/>
  <c r="Q61" i="228"/>
  <c r="P61" i="228"/>
  <c r="H61" i="228"/>
  <c r="E61" i="228"/>
  <c r="I61" i="228" s="1"/>
  <c r="AC60" i="228"/>
  <c r="AE60" i="228" s="1"/>
  <c r="AI60" i="228" s="1"/>
  <c r="Y60" i="228" s="1"/>
  <c r="AB60" i="228"/>
  <c r="X60" i="228"/>
  <c r="Q60" i="228"/>
  <c r="P60" i="228"/>
  <c r="E60" i="228"/>
  <c r="I60" i="228" s="1"/>
  <c r="AC59" i="228"/>
  <c r="AB59" i="228"/>
  <c r="AE59" i="228" s="1"/>
  <c r="AI59" i="228" s="1"/>
  <c r="Y59" i="228" s="1"/>
  <c r="X59" i="228"/>
  <c r="Q59" i="228"/>
  <c r="P59" i="228"/>
  <c r="I59" i="228"/>
  <c r="H59" i="228"/>
  <c r="E59" i="228"/>
  <c r="AE58" i="228"/>
  <c r="AI58" i="228" s="1"/>
  <c r="Y58" i="228" s="1"/>
  <c r="AD58" i="228"/>
  <c r="AC58" i="228"/>
  <c r="AB58" i="228"/>
  <c r="Z58" i="228"/>
  <c r="X58" i="228"/>
  <c r="Q58" i="228"/>
  <c r="P58" i="228"/>
  <c r="I58" i="228"/>
  <c r="H58" i="228"/>
  <c r="E58" i="228"/>
  <c r="AD57" i="228"/>
  <c r="AC57" i="228"/>
  <c r="AB57" i="228"/>
  <c r="AE57" i="228" s="1"/>
  <c r="AI57" i="228" s="1"/>
  <c r="Y57" i="228" s="1"/>
  <c r="Z57" i="228"/>
  <c r="X57" i="228"/>
  <c r="Q57" i="228"/>
  <c r="P57" i="228"/>
  <c r="I57" i="228"/>
  <c r="H57" i="228"/>
  <c r="E57" i="228"/>
  <c r="AD56" i="228"/>
  <c r="AC56" i="228"/>
  <c r="AE56" i="228" s="1"/>
  <c r="AI56" i="228" s="1"/>
  <c r="Y56" i="228" s="1"/>
  <c r="AB56" i="228"/>
  <c r="Z56" i="228"/>
  <c r="X56" i="228"/>
  <c r="Q56" i="228"/>
  <c r="P56" i="228"/>
  <c r="I56" i="228"/>
  <c r="H56" i="228"/>
  <c r="E56" i="228"/>
  <c r="AD55" i="228"/>
  <c r="AC55" i="228"/>
  <c r="AE55" i="228" s="1"/>
  <c r="AI55" i="228" s="1"/>
  <c r="Y55" i="228" s="1"/>
  <c r="AB55" i="228"/>
  <c r="Z55" i="228"/>
  <c r="X55" i="228"/>
  <c r="Q55" i="228"/>
  <c r="P55" i="228"/>
  <c r="I55" i="228"/>
  <c r="H55" i="228"/>
  <c r="E55" i="228"/>
  <c r="AE54" i="228"/>
  <c r="AI54" i="228" s="1"/>
  <c r="Y54" i="228" s="1"/>
  <c r="Z54" i="228"/>
  <c r="X54" i="228"/>
  <c r="Q54" i="228"/>
  <c r="P54" i="228"/>
  <c r="H54" i="228"/>
  <c r="E54" i="228"/>
  <c r="I54" i="228" s="1"/>
  <c r="AD53" i="228"/>
  <c r="AC53" i="228"/>
  <c r="AB53" i="228"/>
  <c r="AE53" i="228" s="1"/>
  <c r="AI53" i="228" s="1"/>
  <c r="Y53" i="228" s="1"/>
  <c r="Z53" i="228"/>
  <c r="X53" i="228"/>
  <c r="Q53" i="228"/>
  <c r="P53" i="228"/>
  <c r="H53" i="228"/>
  <c r="E53" i="228"/>
  <c r="I53" i="228" s="1"/>
  <c r="AD52" i="228"/>
  <c r="AC52" i="228"/>
  <c r="AB52" i="228"/>
  <c r="AE52" i="228" s="1"/>
  <c r="AI52" i="228" s="1"/>
  <c r="Y52" i="228" s="1"/>
  <c r="Z52" i="228"/>
  <c r="X52" i="228"/>
  <c r="Q52" i="228"/>
  <c r="P52" i="228"/>
  <c r="I52" i="228"/>
  <c r="H52" i="228"/>
  <c r="E52" i="228"/>
  <c r="AI51" i="228"/>
  <c r="Y51" i="228" s="1"/>
  <c r="AE51" i="228"/>
  <c r="Z51" i="228"/>
  <c r="X51" i="228"/>
  <c r="Q51" i="228"/>
  <c r="P51" i="228"/>
  <c r="H51" i="228"/>
  <c r="E51" i="228"/>
  <c r="I51" i="228" s="1"/>
  <c r="AI50" i="228"/>
  <c r="Y50" i="228" s="1"/>
  <c r="AE50" i="228"/>
  <c r="Z50" i="228"/>
  <c r="X50" i="228"/>
  <c r="Q50" i="228"/>
  <c r="P50" i="228"/>
  <c r="I50" i="228"/>
  <c r="H50" i="228"/>
  <c r="E50" i="228"/>
  <c r="AE49" i="228"/>
  <c r="AI49" i="228" s="1"/>
  <c r="Y49" i="228" s="1"/>
  <c r="Z49" i="228"/>
  <c r="X49" i="228"/>
  <c r="Q49" i="228"/>
  <c r="P49" i="228"/>
  <c r="H49" i="228"/>
  <c r="E49" i="228"/>
  <c r="I49" i="228" s="1"/>
  <c r="AE48" i="228"/>
  <c r="AI48" i="228" s="1"/>
  <c r="Y48" i="228" s="1"/>
  <c r="AD48" i="228"/>
  <c r="AC48" i="228"/>
  <c r="AB48" i="228"/>
  <c r="Z48" i="228"/>
  <c r="X48" i="228"/>
  <c r="Q48" i="228"/>
  <c r="P48" i="228"/>
  <c r="H48" i="228"/>
  <c r="E48" i="228"/>
  <c r="I48" i="228" s="1"/>
  <c r="AD47" i="228"/>
  <c r="AC47" i="228"/>
  <c r="AB47" i="228"/>
  <c r="AE47" i="228" s="1"/>
  <c r="AI47" i="228" s="1"/>
  <c r="Y47" i="228" s="1"/>
  <c r="Z47" i="228"/>
  <c r="X47" i="228"/>
  <c r="Q47" i="228"/>
  <c r="P47" i="228"/>
  <c r="I47" i="228"/>
  <c r="H47" i="228"/>
  <c r="E47" i="228"/>
  <c r="AE46" i="228"/>
  <c r="AI46" i="228" s="1"/>
  <c r="Y46" i="228" s="1"/>
  <c r="AD46" i="228"/>
  <c r="AC46" i="228"/>
  <c r="AB46" i="228"/>
  <c r="Z46" i="228"/>
  <c r="X46" i="228"/>
  <c r="Q46" i="228"/>
  <c r="P46" i="228"/>
  <c r="I46" i="228"/>
  <c r="H46" i="228"/>
  <c r="E46" i="228"/>
  <c r="AD45" i="228"/>
  <c r="AC45" i="228"/>
  <c r="AB45" i="228"/>
  <c r="AE45" i="228" s="1"/>
  <c r="AI45" i="228" s="1"/>
  <c r="Y45" i="228" s="1"/>
  <c r="Z45" i="228"/>
  <c r="X45" i="228"/>
  <c r="Q45" i="228"/>
  <c r="P45" i="228"/>
  <c r="I45" i="228"/>
  <c r="H45" i="228"/>
  <c r="E45" i="228"/>
  <c r="AD44" i="228"/>
  <c r="AC44" i="228"/>
  <c r="AE44" i="228" s="1"/>
  <c r="AI44" i="228" s="1"/>
  <c r="Y44" i="228" s="1"/>
  <c r="AB44" i="228"/>
  <c r="Z44" i="228"/>
  <c r="X44" i="228"/>
  <c r="Q44" i="228"/>
  <c r="P44" i="228"/>
  <c r="I44" i="228"/>
  <c r="H44" i="228"/>
  <c r="E44" i="228"/>
  <c r="AD43" i="228"/>
  <c r="AC43" i="228"/>
  <c r="AE43" i="228" s="1"/>
  <c r="AI43" i="228" s="1"/>
  <c r="Y43" i="228" s="1"/>
  <c r="AB43" i="228"/>
  <c r="Z43" i="228"/>
  <c r="X43" i="228"/>
  <c r="Q43" i="228"/>
  <c r="P43" i="228"/>
  <c r="I43" i="228"/>
  <c r="H43" i="228"/>
  <c r="E43" i="228"/>
  <c r="AE42" i="228"/>
  <c r="AI42" i="228" s="1"/>
  <c r="Y42" i="228" s="1"/>
  <c r="AD42" i="228"/>
  <c r="AC42" i="228"/>
  <c r="AB42" i="228"/>
  <c r="Z42" i="228"/>
  <c r="X42" i="228"/>
  <c r="Q42" i="228"/>
  <c r="P42" i="228"/>
  <c r="H42" i="228"/>
  <c r="E42" i="228"/>
  <c r="I42" i="228" s="1"/>
  <c r="AI41" i="228"/>
  <c r="Y41" i="228" s="1"/>
  <c r="AE41" i="228"/>
  <c r="AD41" i="228"/>
  <c r="AC41" i="228"/>
  <c r="AB41" i="228"/>
  <c r="Z41" i="228"/>
  <c r="X41" i="228"/>
  <c r="Q41" i="228"/>
  <c r="P41" i="228"/>
  <c r="H41" i="228"/>
  <c r="E41" i="228"/>
  <c r="I41" i="228" s="1"/>
  <c r="AD40" i="228"/>
  <c r="AC40" i="228"/>
  <c r="AB40" i="228"/>
  <c r="AE40" i="228" s="1"/>
  <c r="AI40" i="228" s="1"/>
  <c r="Y40" i="228" s="1"/>
  <c r="Z40" i="228"/>
  <c r="X40" i="228"/>
  <c r="Q40" i="228"/>
  <c r="P40" i="228"/>
  <c r="H40" i="228"/>
  <c r="E40" i="228"/>
  <c r="I40" i="228" s="1"/>
  <c r="AD39" i="228"/>
  <c r="AC39" i="228"/>
  <c r="AB39" i="228"/>
  <c r="AE39" i="228" s="1"/>
  <c r="AI39" i="228" s="1"/>
  <c r="Y39" i="228" s="1"/>
  <c r="Z39" i="228"/>
  <c r="X39" i="228"/>
  <c r="Q39" i="228"/>
  <c r="P39" i="228"/>
  <c r="I39" i="228"/>
  <c r="H39" i="228"/>
  <c r="E39" i="228"/>
  <c r="AD38" i="228"/>
  <c r="AC38" i="228"/>
  <c r="AB38" i="228"/>
  <c r="AE38" i="228" s="1"/>
  <c r="AI38" i="228" s="1"/>
  <c r="Y38" i="228" s="1"/>
  <c r="Z38" i="228"/>
  <c r="X38" i="228"/>
  <c r="Q38" i="228"/>
  <c r="P38" i="228"/>
  <c r="I38" i="228"/>
  <c r="H38" i="228"/>
  <c r="E38" i="228"/>
  <c r="AD37" i="228"/>
  <c r="AC37" i="228"/>
  <c r="AE37" i="228" s="1"/>
  <c r="AI37" i="228" s="1"/>
  <c r="Y37" i="228" s="1"/>
  <c r="AB37" i="228"/>
  <c r="Z37" i="228"/>
  <c r="X37" i="228"/>
  <c r="Q37" i="228"/>
  <c r="P37" i="228"/>
  <c r="H37" i="228"/>
  <c r="E37" i="228"/>
  <c r="I37" i="228" s="1"/>
  <c r="AD36" i="228"/>
  <c r="AC36" i="228"/>
  <c r="AB36" i="228"/>
  <c r="AE36" i="228" s="1"/>
  <c r="AI36" i="228" s="1"/>
  <c r="Y36" i="228" s="1"/>
  <c r="Z36" i="228"/>
  <c r="X36" i="228"/>
  <c r="Q36" i="228"/>
  <c r="P36" i="228"/>
  <c r="I36" i="228"/>
  <c r="H36" i="228"/>
  <c r="E36" i="228"/>
  <c r="AD35" i="228"/>
  <c r="AC35" i="228"/>
  <c r="AE35" i="228" s="1"/>
  <c r="AI35" i="228" s="1"/>
  <c r="Y35" i="228" s="1"/>
  <c r="AB35" i="228"/>
  <c r="Z35" i="228"/>
  <c r="X35" i="228"/>
  <c r="Q35" i="228"/>
  <c r="P35" i="228"/>
  <c r="I35" i="228"/>
  <c r="H35" i="228"/>
  <c r="E35" i="228"/>
  <c r="AD34" i="228"/>
  <c r="AC34" i="228"/>
  <c r="AB34" i="228"/>
  <c r="AE34" i="228" s="1"/>
  <c r="AI34" i="228" s="1"/>
  <c r="Y34" i="228" s="1"/>
  <c r="Z34" i="228"/>
  <c r="X34" i="228"/>
  <c r="Q34" i="228"/>
  <c r="P34" i="228"/>
  <c r="H34" i="228"/>
  <c r="E34" i="228"/>
  <c r="I34" i="228" s="1"/>
  <c r="AD33" i="228"/>
  <c r="AC33" i="228"/>
  <c r="AB33" i="228"/>
  <c r="AE33" i="228" s="1"/>
  <c r="AI33" i="228" s="1"/>
  <c r="Y33" i="228" s="1"/>
  <c r="Z33" i="228"/>
  <c r="X33" i="228"/>
  <c r="Q33" i="228"/>
  <c r="P33" i="228"/>
  <c r="H33" i="228"/>
  <c r="E33" i="228"/>
  <c r="I33" i="228" s="1"/>
  <c r="AE32" i="228"/>
  <c r="AI32" i="228" s="1"/>
  <c r="Y32" i="228" s="1"/>
  <c r="AD32" i="228"/>
  <c r="AC32" i="228"/>
  <c r="AB32" i="228"/>
  <c r="Z32" i="228"/>
  <c r="X32" i="228"/>
  <c r="Q32" i="228"/>
  <c r="P32" i="228"/>
  <c r="H32" i="228"/>
  <c r="E32" i="228"/>
  <c r="I32" i="228" s="1"/>
  <c r="AE31" i="228"/>
  <c r="AI31" i="228" s="1"/>
  <c r="Y31" i="228" s="1"/>
  <c r="Z31" i="228"/>
  <c r="X31" i="228"/>
  <c r="Q31" i="228"/>
  <c r="P31" i="228"/>
  <c r="I31" i="228"/>
  <c r="H31" i="228"/>
  <c r="E31" i="228"/>
  <c r="AD30" i="228"/>
  <c r="AC30" i="228"/>
  <c r="AB30" i="228"/>
  <c r="AE30" i="228" s="1"/>
  <c r="AI30" i="228" s="1"/>
  <c r="Y30" i="228" s="1"/>
  <c r="Z30" i="228"/>
  <c r="X30" i="228"/>
  <c r="Q30" i="228"/>
  <c r="P30" i="228"/>
  <c r="I30" i="228"/>
  <c r="H30" i="228"/>
  <c r="E30" i="228"/>
  <c r="AD29" i="228"/>
  <c r="AC29" i="228"/>
  <c r="AE29" i="228" s="1"/>
  <c r="AI29" i="228" s="1"/>
  <c r="Y29" i="228" s="1"/>
  <c r="AB29" i="228"/>
  <c r="Z29" i="228"/>
  <c r="X29" i="228"/>
  <c r="Q29" i="228"/>
  <c r="P29" i="228"/>
  <c r="I29" i="228"/>
  <c r="H29" i="228"/>
  <c r="E29" i="228"/>
  <c r="AD28" i="228"/>
  <c r="AC28" i="228"/>
  <c r="AE28" i="228" s="1"/>
  <c r="AI28" i="228" s="1"/>
  <c r="Y28" i="228" s="1"/>
  <c r="AB28" i="228"/>
  <c r="Z28" i="228"/>
  <c r="X28" i="228"/>
  <c r="Q28" i="228"/>
  <c r="P28" i="228"/>
  <c r="I28" i="228"/>
  <c r="H28" i="228"/>
  <c r="E28" i="228"/>
  <c r="AE27" i="228"/>
  <c r="AI27" i="228" s="1"/>
  <c r="Y27" i="228" s="1"/>
  <c r="AD27" i="228"/>
  <c r="AC27" i="228"/>
  <c r="AB27" i="228"/>
  <c r="Z27" i="228"/>
  <c r="X27" i="228"/>
  <c r="Q27" i="228"/>
  <c r="P27" i="228"/>
  <c r="H27" i="228"/>
  <c r="E27" i="228"/>
  <c r="I27" i="228" s="1"/>
  <c r="AE26" i="228"/>
  <c r="AI26" i="228" s="1"/>
  <c r="Y26" i="228" s="1"/>
  <c r="AD26" i="228"/>
  <c r="AC26" i="228"/>
  <c r="AB26" i="228"/>
  <c r="Z26" i="228"/>
  <c r="X26" i="228"/>
  <c r="Q26" i="228"/>
  <c r="P26" i="228"/>
  <c r="H26" i="228"/>
  <c r="E26" i="228"/>
  <c r="I26" i="228" s="1"/>
  <c r="AD25" i="228"/>
  <c r="AC25" i="228"/>
  <c r="AB25" i="228"/>
  <c r="AE25" i="228" s="1"/>
  <c r="AI25" i="228" s="1"/>
  <c r="Y25" i="228" s="1"/>
  <c r="Z25" i="228"/>
  <c r="X25" i="228"/>
  <c r="Q25" i="228"/>
  <c r="P25" i="228"/>
  <c r="H25" i="228"/>
  <c r="E25" i="228"/>
  <c r="I25" i="228" s="1"/>
  <c r="AD24" i="228"/>
  <c r="AC24" i="228"/>
  <c r="AB24" i="228"/>
  <c r="AE24" i="228" s="1"/>
  <c r="AI24" i="228" s="1"/>
  <c r="Y24" i="228" s="1"/>
  <c r="Z24" i="228"/>
  <c r="X24" i="228"/>
  <c r="Q24" i="228"/>
  <c r="P24" i="228"/>
  <c r="I24" i="228"/>
  <c r="H24" i="228"/>
  <c r="E24" i="228"/>
  <c r="AD23" i="228"/>
  <c r="AC23" i="228"/>
  <c r="AB23" i="228"/>
  <c r="AE23" i="228" s="1"/>
  <c r="AI23" i="228" s="1"/>
  <c r="Y23" i="228" s="1"/>
  <c r="Z23" i="228"/>
  <c r="X23" i="228"/>
  <c r="Q23" i="228"/>
  <c r="P23" i="228"/>
  <c r="I23" i="228"/>
  <c r="H23" i="228"/>
  <c r="E23" i="228"/>
  <c r="AD22" i="228"/>
  <c r="AC22" i="228"/>
  <c r="AE22" i="228" s="1"/>
  <c r="AI22" i="228" s="1"/>
  <c r="Y22" i="228" s="1"/>
  <c r="AB22" i="228"/>
  <c r="Z22" i="228"/>
  <c r="X22" i="228"/>
  <c r="Q22" i="228"/>
  <c r="P22" i="228"/>
  <c r="H22" i="228"/>
  <c r="E22" i="228"/>
  <c r="I22" i="228" s="1"/>
  <c r="AD21" i="228"/>
  <c r="AC21" i="228"/>
  <c r="AB21" i="228"/>
  <c r="AE21" i="228" s="1"/>
  <c r="AI21" i="228" s="1"/>
  <c r="Y21" i="228" s="1"/>
  <c r="Z21" i="228"/>
  <c r="X21" i="228"/>
  <c r="Q21" i="228"/>
  <c r="P21" i="228"/>
  <c r="I21" i="228"/>
  <c r="H21" i="228"/>
  <c r="E21" i="228"/>
  <c r="AD20" i="228"/>
  <c r="AC20" i="228"/>
  <c r="AE20" i="228" s="1"/>
  <c r="AI20" i="228" s="1"/>
  <c r="Y20" i="228" s="1"/>
  <c r="AB20" i="228"/>
  <c r="Z20" i="228"/>
  <c r="X20" i="228"/>
  <c r="Q20" i="228"/>
  <c r="P20" i="228"/>
  <c r="I20" i="228"/>
  <c r="H20" i="228"/>
  <c r="E20" i="228"/>
  <c r="AD19" i="228"/>
  <c r="AC19" i="228"/>
  <c r="AB19" i="228"/>
  <c r="AE19" i="228" s="1"/>
  <c r="AI19" i="228" s="1"/>
  <c r="Y19" i="228" s="1"/>
  <c r="Z19" i="228"/>
  <c r="X19" i="228"/>
  <c r="Q19" i="228"/>
  <c r="P19" i="228"/>
  <c r="H19" i="228"/>
  <c r="E19" i="228"/>
  <c r="I19" i="228" s="1"/>
  <c r="AD18" i="228"/>
  <c r="AC18" i="228"/>
  <c r="AB18" i="228"/>
  <c r="AE18" i="228" s="1"/>
  <c r="AI18" i="228" s="1"/>
  <c r="Y18" i="228" s="1"/>
  <c r="Z18" i="228"/>
  <c r="X18" i="228"/>
  <c r="Q18" i="228"/>
  <c r="P18" i="228"/>
  <c r="H18" i="228"/>
  <c r="E18" i="228"/>
  <c r="I18" i="228" s="1"/>
  <c r="AE17" i="228"/>
  <c r="AI17" i="228" s="1"/>
  <c r="Y17" i="228" s="1"/>
  <c r="AD17" i="228"/>
  <c r="AC17" i="228"/>
  <c r="AB17" i="228"/>
  <c r="Z17" i="228"/>
  <c r="X17" i="228"/>
  <c r="Q17" i="228"/>
  <c r="P17" i="228"/>
  <c r="H17" i="228"/>
  <c r="E17" i="228"/>
  <c r="I17" i="228" s="1"/>
  <c r="AD16" i="228"/>
  <c r="AC16" i="228"/>
  <c r="AB16" i="228"/>
  <c r="AE16" i="228" s="1"/>
  <c r="AI16" i="228" s="1"/>
  <c r="Y16" i="228" s="1"/>
  <c r="Z16" i="228"/>
  <c r="X16" i="228"/>
  <c r="Q16" i="228"/>
  <c r="P16" i="228"/>
  <c r="I16" i="228"/>
  <c r="E16" i="228"/>
  <c r="AD15" i="228"/>
  <c r="AC15" i="228"/>
  <c r="AE15" i="228" s="1"/>
  <c r="AI15" i="228" s="1"/>
  <c r="Y15" i="228" s="1"/>
  <c r="AB15" i="228"/>
  <c r="Z15" i="228"/>
  <c r="X15" i="228"/>
  <c r="Q15" i="228"/>
  <c r="P15" i="228"/>
  <c r="E15" i="228"/>
  <c r="I15" i="228" s="1"/>
  <c r="AD14" i="228"/>
  <c r="AC14" i="228"/>
  <c r="AB14" i="228"/>
  <c r="AE14" i="228" s="1"/>
  <c r="AI14" i="228" s="1"/>
  <c r="Y14" i="228" s="1"/>
  <c r="Z14" i="228"/>
  <c r="X14" i="228"/>
  <c r="Q14" i="228"/>
  <c r="P14" i="228"/>
  <c r="I14" i="228"/>
  <c r="H14" i="228"/>
  <c r="E14" i="228"/>
  <c r="AD13" i="228"/>
  <c r="AC13" i="228"/>
  <c r="AB13" i="228"/>
  <c r="AE13" i="228" s="1"/>
  <c r="AI13" i="228" s="1"/>
  <c r="Y13" i="228" s="1"/>
  <c r="Z13" i="228"/>
  <c r="X13" i="228"/>
  <c r="Q13" i="228"/>
  <c r="P13" i="228"/>
  <c r="I13" i="228"/>
  <c r="H13" i="228"/>
  <c r="E13" i="228"/>
  <c r="AD12" i="228"/>
  <c r="AC12" i="228"/>
  <c r="AE12" i="228" s="1"/>
  <c r="AI12" i="228" s="1"/>
  <c r="Y12" i="228" s="1"/>
  <c r="AB12" i="228"/>
  <c r="Z12" i="228"/>
  <c r="X12" i="228"/>
  <c r="Q12" i="228"/>
  <c r="P12" i="228"/>
  <c r="H12" i="228"/>
  <c r="E12" i="228"/>
  <c r="I12" i="228" s="1"/>
  <c r="F75" i="228" s="1"/>
  <c r="T81" i="233" l="1"/>
  <c r="F79" i="233"/>
  <c r="T79" i="228"/>
  <c r="T77" i="228"/>
  <c r="O77" i="228"/>
  <c r="O75" i="228"/>
  <c r="T75" i="228"/>
  <c r="T81" i="228" s="1"/>
  <c r="F77" i="228"/>
  <c r="M81" i="226"/>
  <c r="P73" i="226"/>
  <c r="H73" i="226"/>
  <c r="Q72" i="226"/>
  <c r="P72" i="226"/>
  <c r="I72" i="226"/>
  <c r="H72" i="226"/>
  <c r="E72" i="226"/>
  <c r="Q71" i="226"/>
  <c r="P71" i="226"/>
  <c r="H71" i="226"/>
  <c r="E71" i="226"/>
  <c r="I71" i="226" s="1"/>
  <c r="AD70" i="226"/>
  <c r="AC70" i="226"/>
  <c r="AB70" i="226"/>
  <c r="AE70" i="226" s="1"/>
  <c r="AI70" i="226" s="1"/>
  <c r="Y70" i="226" s="1"/>
  <c r="Z70" i="226"/>
  <c r="X70" i="226"/>
  <c r="Q70" i="226"/>
  <c r="P70" i="226"/>
  <c r="H70" i="226"/>
  <c r="E70" i="226"/>
  <c r="I70" i="226" s="1"/>
  <c r="AE69" i="226"/>
  <c r="AI69" i="226" s="1"/>
  <c r="Y69" i="226" s="1"/>
  <c r="AD69" i="226"/>
  <c r="AC69" i="226"/>
  <c r="AB69" i="226"/>
  <c r="Z69" i="226"/>
  <c r="X69" i="226"/>
  <c r="Q69" i="226"/>
  <c r="P69" i="226"/>
  <c r="H69" i="226"/>
  <c r="E69" i="226"/>
  <c r="I69" i="226" s="1"/>
  <c r="AD68" i="226"/>
  <c r="AC68" i="226"/>
  <c r="AB68" i="226"/>
  <c r="AE68" i="226" s="1"/>
  <c r="AI68" i="226" s="1"/>
  <c r="Y68" i="226" s="1"/>
  <c r="Z68" i="226"/>
  <c r="X68" i="226"/>
  <c r="Q68" i="226"/>
  <c r="P68" i="226"/>
  <c r="I68" i="226"/>
  <c r="H68" i="226"/>
  <c r="E68" i="226"/>
  <c r="AD67" i="226"/>
  <c r="AE67" i="226" s="1"/>
  <c r="AI67" i="226" s="1"/>
  <c r="Y67" i="226" s="1"/>
  <c r="AC67" i="226"/>
  <c r="AB67" i="226"/>
  <c r="Z67" i="226"/>
  <c r="X67" i="226"/>
  <c r="Q67" i="226"/>
  <c r="P67" i="226"/>
  <c r="I67" i="226"/>
  <c r="H67" i="226"/>
  <c r="E67" i="226"/>
  <c r="AD66" i="226"/>
  <c r="AC66" i="226"/>
  <c r="AE66" i="226" s="1"/>
  <c r="AI66" i="226" s="1"/>
  <c r="Y66" i="226" s="1"/>
  <c r="AB66" i="226"/>
  <c r="Z66" i="226"/>
  <c r="X66" i="226"/>
  <c r="Q66" i="226"/>
  <c r="P66" i="226"/>
  <c r="I66" i="226"/>
  <c r="H66" i="226"/>
  <c r="E66" i="226"/>
  <c r="AD65" i="226"/>
  <c r="AC65" i="226"/>
  <c r="AB65" i="226"/>
  <c r="AE65" i="226" s="1"/>
  <c r="AI65" i="226" s="1"/>
  <c r="Y65" i="226" s="1"/>
  <c r="Z65" i="226"/>
  <c r="X65" i="226"/>
  <c r="Q65" i="226"/>
  <c r="P65" i="226"/>
  <c r="H65" i="226"/>
  <c r="E65" i="226"/>
  <c r="I65" i="226" s="1"/>
  <c r="AD64" i="226"/>
  <c r="AE64" i="226" s="1"/>
  <c r="AI64" i="226" s="1"/>
  <c r="Y64" i="226" s="1"/>
  <c r="AC64" i="226"/>
  <c r="AB64" i="226"/>
  <c r="Z64" i="226"/>
  <c r="X64" i="226"/>
  <c r="Q64" i="226"/>
  <c r="P64" i="226"/>
  <c r="I64" i="226"/>
  <c r="H64" i="226"/>
  <c r="E64" i="226"/>
  <c r="AC63" i="226"/>
  <c r="AB63" i="226"/>
  <c r="AE63" i="226" s="1"/>
  <c r="AI63" i="226" s="1"/>
  <c r="Y63" i="226" s="1"/>
  <c r="X63" i="226"/>
  <c r="Q63" i="226"/>
  <c r="P63" i="226"/>
  <c r="H63" i="226"/>
  <c r="E63" i="226"/>
  <c r="I63" i="226" s="1"/>
  <c r="AI62" i="226"/>
  <c r="Y62" i="226" s="1"/>
  <c r="AE62" i="226"/>
  <c r="X62" i="226"/>
  <c r="Q62" i="226"/>
  <c r="P62" i="226"/>
  <c r="H62" i="226"/>
  <c r="E62" i="226"/>
  <c r="I62" i="226" s="1"/>
  <c r="AE61" i="226"/>
  <c r="AI61" i="226" s="1"/>
  <c r="Y61" i="226" s="1"/>
  <c r="AC61" i="226"/>
  <c r="AB61" i="226"/>
  <c r="X61" i="226"/>
  <c r="Q61" i="226"/>
  <c r="P61" i="226"/>
  <c r="H61" i="226"/>
  <c r="E61" i="226"/>
  <c r="I61" i="226" s="1"/>
  <c r="AC60" i="226"/>
  <c r="AB60" i="226"/>
  <c r="AE60" i="226" s="1"/>
  <c r="AI60" i="226" s="1"/>
  <c r="Y60" i="226" s="1"/>
  <c r="X60" i="226"/>
  <c r="Q60" i="226"/>
  <c r="P60" i="226"/>
  <c r="E60" i="226"/>
  <c r="I60" i="226" s="1"/>
  <c r="AC59" i="226"/>
  <c r="AB59" i="226"/>
  <c r="AE59" i="226" s="1"/>
  <c r="AI59" i="226" s="1"/>
  <c r="Y59" i="226" s="1"/>
  <c r="X59" i="226"/>
  <c r="Q59" i="226"/>
  <c r="P59" i="226"/>
  <c r="H59" i="226"/>
  <c r="E59" i="226"/>
  <c r="I59" i="226" s="1"/>
  <c r="AE58" i="226"/>
  <c r="AI58" i="226" s="1"/>
  <c r="Y58" i="226" s="1"/>
  <c r="AD58" i="226"/>
  <c r="AC58" i="226"/>
  <c r="AB58" i="226"/>
  <c r="Z58" i="226"/>
  <c r="X58" i="226"/>
  <c r="Q58" i="226"/>
  <c r="P58" i="226"/>
  <c r="I58" i="226"/>
  <c r="H58" i="226"/>
  <c r="E58" i="226"/>
  <c r="AD57" i="226"/>
  <c r="AC57" i="226"/>
  <c r="AB57" i="226"/>
  <c r="AE57" i="226" s="1"/>
  <c r="AI57" i="226" s="1"/>
  <c r="Y57" i="226" s="1"/>
  <c r="Z57" i="226"/>
  <c r="X57" i="226"/>
  <c r="Q57" i="226"/>
  <c r="P57" i="226"/>
  <c r="I57" i="226"/>
  <c r="H57" i="226"/>
  <c r="E57" i="226"/>
  <c r="AD56" i="226"/>
  <c r="AC56" i="226"/>
  <c r="AB56" i="226"/>
  <c r="AE56" i="226" s="1"/>
  <c r="AI56" i="226" s="1"/>
  <c r="Y56" i="226" s="1"/>
  <c r="Z56" i="226"/>
  <c r="X56" i="226"/>
  <c r="Q56" i="226"/>
  <c r="P56" i="226"/>
  <c r="H56" i="226"/>
  <c r="E56" i="226"/>
  <c r="I56" i="226" s="1"/>
  <c r="AD55" i="226"/>
  <c r="AC55" i="226"/>
  <c r="AE55" i="226" s="1"/>
  <c r="AI55" i="226" s="1"/>
  <c r="Y55" i="226" s="1"/>
  <c r="AB55" i="226"/>
  <c r="Z55" i="226"/>
  <c r="X55" i="226"/>
  <c r="Q55" i="226"/>
  <c r="P55" i="226"/>
  <c r="I55" i="226"/>
  <c r="H55" i="226"/>
  <c r="E55" i="226"/>
  <c r="AE54" i="226"/>
  <c r="AI54" i="226" s="1"/>
  <c r="Y54" i="226" s="1"/>
  <c r="Z54" i="226"/>
  <c r="X54" i="226"/>
  <c r="Q54" i="226"/>
  <c r="P54" i="226"/>
  <c r="H54" i="226"/>
  <c r="E54" i="226"/>
  <c r="I54" i="226" s="1"/>
  <c r="AE53" i="226"/>
  <c r="AI53" i="226" s="1"/>
  <c r="Y53" i="226" s="1"/>
  <c r="AD53" i="226"/>
  <c r="AC53" i="226"/>
  <c r="AB53" i="226"/>
  <c r="Z53" i="226"/>
  <c r="X53" i="226"/>
  <c r="Q53" i="226"/>
  <c r="P53" i="226"/>
  <c r="H53" i="226"/>
  <c r="E53" i="226"/>
  <c r="I53" i="226" s="1"/>
  <c r="AD52" i="226"/>
  <c r="AC52" i="226"/>
  <c r="AB52" i="226"/>
  <c r="AE52" i="226" s="1"/>
  <c r="AI52" i="226" s="1"/>
  <c r="Y52" i="226" s="1"/>
  <c r="Z52" i="226"/>
  <c r="X52" i="226"/>
  <c r="Q52" i="226"/>
  <c r="P52" i="226"/>
  <c r="I52" i="226"/>
  <c r="H52" i="226"/>
  <c r="E52" i="226"/>
  <c r="AI51" i="226"/>
  <c r="Y51" i="226" s="1"/>
  <c r="AE51" i="226"/>
  <c r="Z51" i="226"/>
  <c r="X51" i="226"/>
  <c r="Q51" i="226"/>
  <c r="P51" i="226"/>
  <c r="I51" i="226"/>
  <c r="H51" i="226"/>
  <c r="E51" i="226"/>
  <c r="AI50" i="226"/>
  <c r="AE50" i="226"/>
  <c r="Z50" i="226"/>
  <c r="Y50" i="226"/>
  <c r="X50" i="226"/>
  <c r="Q50" i="226"/>
  <c r="P50" i="226"/>
  <c r="I50" i="226"/>
  <c r="H50" i="226"/>
  <c r="E50" i="226"/>
  <c r="AE49" i="226"/>
  <c r="AI49" i="226" s="1"/>
  <c r="Y49" i="226" s="1"/>
  <c r="Z49" i="226"/>
  <c r="X49" i="226"/>
  <c r="Q49" i="226"/>
  <c r="P49" i="226"/>
  <c r="H49" i="226"/>
  <c r="E49" i="226"/>
  <c r="I49" i="226" s="1"/>
  <c r="AD48" i="226"/>
  <c r="AC48" i="226"/>
  <c r="AB48" i="226"/>
  <c r="AE48" i="226" s="1"/>
  <c r="AI48" i="226" s="1"/>
  <c r="Y48" i="226" s="1"/>
  <c r="Z48" i="226"/>
  <c r="X48" i="226"/>
  <c r="Q48" i="226"/>
  <c r="P48" i="226"/>
  <c r="H48" i="226"/>
  <c r="E48" i="226"/>
  <c r="I48" i="226" s="1"/>
  <c r="AD47" i="226"/>
  <c r="AC47" i="226"/>
  <c r="AB47" i="226"/>
  <c r="AE47" i="226" s="1"/>
  <c r="AI47" i="226" s="1"/>
  <c r="Y47" i="226" s="1"/>
  <c r="Z47" i="226"/>
  <c r="X47" i="226"/>
  <c r="Q47" i="226"/>
  <c r="P47" i="226"/>
  <c r="H47" i="226"/>
  <c r="E47" i="226"/>
  <c r="I47" i="226" s="1"/>
  <c r="AE46" i="226"/>
  <c r="AI46" i="226" s="1"/>
  <c r="Y46" i="226" s="1"/>
  <c r="AD46" i="226"/>
  <c r="AC46" i="226"/>
  <c r="AB46" i="226"/>
  <c r="Z46" i="226"/>
  <c r="X46" i="226"/>
  <c r="Q46" i="226"/>
  <c r="P46" i="226"/>
  <c r="I46" i="226"/>
  <c r="H46" i="226"/>
  <c r="E46" i="226"/>
  <c r="AD45" i="226"/>
  <c r="AC45" i="226"/>
  <c r="AB45" i="226"/>
  <c r="AE45" i="226" s="1"/>
  <c r="AI45" i="226" s="1"/>
  <c r="Y45" i="226" s="1"/>
  <c r="Z45" i="226"/>
  <c r="X45" i="226"/>
  <c r="Q45" i="226"/>
  <c r="P45" i="226"/>
  <c r="I45" i="226"/>
  <c r="H45" i="226"/>
  <c r="E45" i="226"/>
  <c r="AD44" i="226"/>
  <c r="AC44" i="226"/>
  <c r="AB44" i="226"/>
  <c r="AE44" i="226" s="1"/>
  <c r="AI44" i="226" s="1"/>
  <c r="Y44" i="226" s="1"/>
  <c r="Z44" i="226"/>
  <c r="X44" i="226"/>
  <c r="Q44" i="226"/>
  <c r="P44" i="226"/>
  <c r="H44" i="226"/>
  <c r="E44" i="226"/>
  <c r="I44" i="226" s="1"/>
  <c r="AD43" i="226"/>
  <c r="AC43" i="226"/>
  <c r="AE43" i="226" s="1"/>
  <c r="AI43" i="226" s="1"/>
  <c r="Y43" i="226" s="1"/>
  <c r="AB43" i="226"/>
  <c r="Z43" i="226"/>
  <c r="X43" i="226"/>
  <c r="Q43" i="226"/>
  <c r="P43" i="226"/>
  <c r="I43" i="226"/>
  <c r="H43" i="226"/>
  <c r="E43" i="226"/>
  <c r="AD42" i="226"/>
  <c r="AC42" i="226"/>
  <c r="AB42" i="226"/>
  <c r="AE42" i="226" s="1"/>
  <c r="AI42" i="226" s="1"/>
  <c r="Y42" i="226" s="1"/>
  <c r="Z42" i="226"/>
  <c r="X42" i="226"/>
  <c r="Q42" i="226"/>
  <c r="P42" i="226"/>
  <c r="I42" i="226"/>
  <c r="H42" i="226"/>
  <c r="E42" i="226"/>
  <c r="AD41" i="226"/>
  <c r="AC41" i="226"/>
  <c r="AB41" i="226"/>
  <c r="AE41" i="226" s="1"/>
  <c r="AI41" i="226" s="1"/>
  <c r="Y41" i="226" s="1"/>
  <c r="Z41" i="226"/>
  <c r="X41" i="226"/>
  <c r="Q41" i="226"/>
  <c r="P41" i="226"/>
  <c r="H41" i="226"/>
  <c r="E41" i="226"/>
  <c r="I41" i="226" s="1"/>
  <c r="AE40" i="226"/>
  <c r="AI40" i="226" s="1"/>
  <c r="Y40" i="226" s="1"/>
  <c r="AD40" i="226"/>
  <c r="AC40" i="226"/>
  <c r="AB40" i="226"/>
  <c r="Z40" i="226"/>
  <c r="X40" i="226"/>
  <c r="Q40" i="226"/>
  <c r="P40" i="226"/>
  <c r="H40" i="226"/>
  <c r="E40" i="226"/>
  <c r="I40" i="226" s="1"/>
  <c r="AD39" i="226"/>
  <c r="AC39" i="226"/>
  <c r="AB39" i="226"/>
  <c r="AE39" i="226" s="1"/>
  <c r="AI39" i="226" s="1"/>
  <c r="Y39" i="226" s="1"/>
  <c r="Z39" i="226"/>
  <c r="X39" i="226"/>
  <c r="Q39" i="226"/>
  <c r="P39" i="226"/>
  <c r="H39" i="226"/>
  <c r="E39" i="226"/>
  <c r="I39" i="226" s="1"/>
  <c r="AD38" i="226"/>
  <c r="AE38" i="226" s="1"/>
  <c r="AI38" i="226" s="1"/>
  <c r="Y38" i="226" s="1"/>
  <c r="AC38" i="226"/>
  <c r="AB38" i="226"/>
  <c r="Z38" i="226"/>
  <c r="X38" i="226"/>
  <c r="Q38" i="226"/>
  <c r="P38" i="226"/>
  <c r="I38" i="226"/>
  <c r="H38" i="226"/>
  <c r="E38" i="226"/>
  <c r="AD37" i="226"/>
  <c r="AC37" i="226"/>
  <c r="AE37" i="226" s="1"/>
  <c r="AI37" i="226" s="1"/>
  <c r="Y37" i="226" s="1"/>
  <c r="AB37" i="226"/>
  <c r="Z37" i="226"/>
  <c r="X37" i="226"/>
  <c r="Q37" i="226"/>
  <c r="P37" i="226"/>
  <c r="H37" i="226"/>
  <c r="E37" i="226"/>
  <c r="I37" i="226" s="1"/>
  <c r="AD36" i="226"/>
  <c r="AC36" i="226"/>
  <c r="AB36" i="226"/>
  <c r="AE36" i="226" s="1"/>
  <c r="AI36" i="226" s="1"/>
  <c r="Y36" i="226" s="1"/>
  <c r="Z36" i="226"/>
  <c r="X36" i="226"/>
  <c r="Q36" i="226"/>
  <c r="P36" i="226"/>
  <c r="H36" i="226"/>
  <c r="E36" i="226"/>
  <c r="I36" i="226" s="1"/>
  <c r="AD35" i="226"/>
  <c r="AC35" i="226"/>
  <c r="AE35" i="226" s="1"/>
  <c r="AI35" i="226" s="1"/>
  <c r="Y35" i="226" s="1"/>
  <c r="AB35" i="226"/>
  <c r="Z35" i="226"/>
  <c r="X35" i="226"/>
  <c r="Q35" i="226"/>
  <c r="P35" i="226"/>
  <c r="I35" i="226"/>
  <c r="H35" i="226"/>
  <c r="E35" i="226"/>
  <c r="AD34" i="226"/>
  <c r="AC34" i="226"/>
  <c r="AE34" i="226" s="1"/>
  <c r="AI34" i="226" s="1"/>
  <c r="Y34" i="226" s="1"/>
  <c r="AB34" i="226"/>
  <c r="Z34" i="226"/>
  <c r="X34" i="226"/>
  <c r="Q34" i="226"/>
  <c r="P34" i="226"/>
  <c r="H34" i="226"/>
  <c r="E34" i="226"/>
  <c r="I34" i="226" s="1"/>
  <c r="AE33" i="226"/>
  <c r="AI33" i="226" s="1"/>
  <c r="Y33" i="226" s="1"/>
  <c r="AD33" i="226"/>
  <c r="AC33" i="226"/>
  <c r="AB33" i="226"/>
  <c r="Z33" i="226"/>
  <c r="X33" i="226"/>
  <c r="Q33" i="226"/>
  <c r="P33" i="226"/>
  <c r="H33" i="226"/>
  <c r="E33" i="226"/>
  <c r="I33" i="226" s="1"/>
  <c r="AD32" i="226"/>
  <c r="AC32" i="226"/>
  <c r="AB32" i="226"/>
  <c r="AE32" i="226" s="1"/>
  <c r="AI32" i="226" s="1"/>
  <c r="Y32" i="226" s="1"/>
  <c r="Z32" i="226"/>
  <c r="X32" i="226"/>
  <c r="Q32" i="226"/>
  <c r="P32" i="226"/>
  <c r="H32" i="226"/>
  <c r="E32" i="226"/>
  <c r="I32" i="226" s="1"/>
  <c r="AE31" i="226"/>
  <c r="AI31" i="226" s="1"/>
  <c r="Y31" i="226" s="1"/>
  <c r="Z31" i="226"/>
  <c r="X31" i="226"/>
  <c r="Q31" i="226"/>
  <c r="P31" i="226"/>
  <c r="I31" i="226"/>
  <c r="H31" i="226"/>
  <c r="E31" i="226"/>
  <c r="AD30" i="226"/>
  <c r="AC30" i="226"/>
  <c r="AB30" i="226"/>
  <c r="AE30" i="226" s="1"/>
  <c r="AI30" i="226" s="1"/>
  <c r="Y30" i="226" s="1"/>
  <c r="Z30" i="226"/>
  <c r="X30" i="226"/>
  <c r="Q30" i="226"/>
  <c r="P30" i="226"/>
  <c r="I30" i="226"/>
  <c r="H30" i="226"/>
  <c r="E30" i="226"/>
  <c r="AD29" i="226"/>
  <c r="AC29" i="226"/>
  <c r="AB29" i="226"/>
  <c r="AE29" i="226" s="1"/>
  <c r="AI29" i="226" s="1"/>
  <c r="Y29" i="226" s="1"/>
  <c r="Z29" i="226"/>
  <c r="X29" i="226"/>
  <c r="Q29" i="226"/>
  <c r="P29" i="226"/>
  <c r="H29" i="226"/>
  <c r="E29" i="226"/>
  <c r="I29" i="226" s="1"/>
  <c r="AD28" i="226"/>
  <c r="AC28" i="226"/>
  <c r="AE28" i="226" s="1"/>
  <c r="AI28" i="226" s="1"/>
  <c r="Y28" i="226" s="1"/>
  <c r="AB28" i="226"/>
  <c r="Z28" i="226"/>
  <c r="X28" i="226"/>
  <c r="Q28" i="226"/>
  <c r="P28" i="226"/>
  <c r="I28" i="226"/>
  <c r="H28" i="226"/>
  <c r="E28" i="226"/>
  <c r="AD27" i="226"/>
  <c r="AC27" i="226"/>
  <c r="AB27" i="226"/>
  <c r="AE27" i="226" s="1"/>
  <c r="AI27" i="226" s="1"/>
  <c r="Y27" i="226" s="1"/>
  <c r="Z27" i="226"/>
  <c r="X27" i="226"/>
  <c r="Q27" i="226"/>
  <c r="P27" i="226"/>
  <c r="I27" i="226"/>
  <c r="H27" i="226"/>
  <c r="E27" i="226"/>
  <c r="AE26" i="226"/>
  <c r="AI26" i="226" s="1"/>
  <c r="Y26" i="226" s="1"/>
  <c r="AD26" i="226"/>
  <c r="AC26" i="226"/>
  <c r="AB26" i="226"/>
  <c r="Z26" i="226"/>
  <c r="X26" i="226"/>
  <c r="Q26" i="226"/>
  <c r="P26" i="226"/>
  <c r="H26" i="226"/>
  <c r="E26" i="226"/>
  <c r="I26" i="226" s="1"/>
  <c r="AE25" i="226"/>
  <c r="AI25" i="226" s="1"/>
  <c r="Y25" i="226" s="1"/>
  <c r="AD25" i="226"/>
  <c r="AC25" i="226"/>
  <c r="AB25" i="226"/>
  <c r="Z25" i="226"/>
  <c r="X25" i="226"/>
  <c r="Q25" i="226"/>
  <c r="P25" i="226"/>
  <c r="H25" i="226"/>
  <c r="E25" i="226"/>
  <c r="I25" i="226" s="1"/>
  <c r="AD24" i="226"/>
  <c r="AC24" i="226"/>
  <c r="AB24" i="226"/>
  <c r="AE24" i="226" s="1"/>
  <c r="AI24" i="226" s="1"/>
  <c r="Y24" i="226" s="1"/>
  <c r="Z24" i="226"/>
  <c r="X24" i="226"/>
  <c r="Q24" i="226"/>
  <c r="P24" i="226"/>
  <c r="H24" i="226"/>
  <c r="E24" i="226"/>
  <c r="I24" i="226" s="1"/>
  <c r="AD23" i="226"/>
  <c r="AE23" i="226" s="1"/>
  <c r="AI23" i="226" s="1"/>
  <c r="Y23" i="226" s="1"/>
  <c r="AC23" i="226"/>
  <c r="AB23" i="226"/>
  <c r="Z23" i="226"/>
  <c r="X23" i="226"/>
  <c r="Q23" i="226"/>
  <c r="P23" i="226"/>
  <c r="I23" i="226"/>
  <c r="H23" i="226"/>
  <c r="E23" i="226"/>
  <c r="AD22" i="226"/>
  <c r="AC22" i="226"/>
  <c r="AE22" i="226" s="1"/>
  <c r="AI22" i="226" s="1"/>
  <c r="Y22" i="226" s="1"/>
  <c r="AB22" i="226"/>
  <c r="Z22" i="226"/>
  <c r="X22" i="226"/>
  <c r="Q22" i="226"/>
  <c r="P22" i="226"/>
  <c r="H22" i="226"/>
  <c r="E22" i="226"/>
  <c r="I22" i="226" s="1"/>
  <c r="AD21" i="226"/>
  <c r="AC21" i="226"/>
  <c r="AB21" i="226"/>
  <c r="AE21" i="226" s="1"/>
  <c r="AI21" i="226" s="1"/>
  <c r="Y21" i="226" s="1"/>
  <c r="Z21" i="226"/>
  <c r="X21" i="226"/>
  <c r="Q21" i="226"/>
  <c r="P21" i="226"/>
  <c r="H21" i="226"/>
  <c r="E21" i="226"/>
  <c r="I21" i="226" s="1"/>
  <c r="AD20" i="226"/>
  <c r="AC20" i="226"/>
  <c r="AE20" i="226" s="1"/>
  <c r="AI20" i="226" s="1"/>
  <c r="Y20" i="226" s="1"/>
  <c r="AB20" i="226"/>
  <c r="Z20" i="226"/>
  <c r="X20" i="226"/>
  <c r="Q20" i="226"/>
  <c r="P20" i="226"/>
  <c r="I20" i="226"/>
  <c r="H20" i="226"/>
  <c r="E20" i="226"/>
  <c r="AD19" i="226"/>
  <c r="AC19" i="226"/>
  <c r="AB19" i="226"/>
  <c r="AE19" i="226" s="1"/>
  <c r="AI19" i="226" s="1"/>
  <c r="Y19" i="226" s="1"/>
  <c r="Z19" i="226"/>
  <c r="X19" i="226"/>
  <c r="Q19" i="226"/>
  <c r="P19" i="226"/>
  <c r="H19" i="226"/>
  <c r="E19" i="226"/>
  <c r="I19" i="226" s="1"/>
  <c r="AE18" i="226"/>
  <c r="AI18" i="226" s="1"/>
  <c r="Y18" i="226" s="1"/>
  <c r="AD18" i="226"/>
  <c r="AC18" i="226"/>
  <c r="AB18" i="226"/>
  <c r="Z18" i="226"/>
  <c r="X18" i="226"/>
  <c r="Q18" i="226"/>
  <c r="P18" i="226"/>
  <c r="H18" i="226"/>
  <c r="E18" i="226"/>
  <c r="I18" i="226" s="1"/>
  <c r="AD17" i="226"/>
  <c r="AC17" i="226"/>
  <c r="AB17" i="226"/>
  <c r="AE17" i="226" s="1"/>
  <c r="AI17" i="226" s="1"/>
  <c r="Y17" i="226" s="1"/>
  <c r="Z17" i="226"/>
  <c r="X17" i="226"/>
  <c r="Q17" i="226"/>
  <c r="P17" i="226"/>
  <c r="H17" i="226"/>
  <c r="E17" i="226"/>
  <c r="I17" i="226" s="1"/>
  <c r="AD16" i="226"/>
  <c r="AC16" i="226"/>
  <c r="AB16" i="226"/>
  <c r="AE16" i="226" s="1"/>
  <c r="AI16" i="226" s="1"/>
  <c r="Y16" i="226" s="1"/>
  <c r="Z16" i="226"/>
  <c r="X16" i="226"/>
  <c r="Q16" i="226"/>
  <c r="P16" i="226"/>
  <c r="E16" i="226"/>
  <c r="I16" i="226" s="1"/>
  <c r="AD15" i="226"/>
  <c r="AC15" i="226"/>
  <c r="AE15" i="226" s="1"/>
  <c r="AI15" i="226" s="1"/>
  <c r="Y15" i="226" s="1"/>
  <c r="AB15" i="226"/>
  <c r="Z15" i="226"/>
  <c r="X15" i="226"/>
  <c r="Q15" i="226"/>
  <c r="O77" i="226" s="1"/>
  <c r="P15" i="226"/>
  <c r="E15" i="226"/>
  <c r="I15" i="226" s="1"/>
  <c r="AD14" i="226"/>
  <c r="AC14" i="226"/>
  <c r="AB14" i="226"/>
  <c r="AE14" i="226" s="1"/>
  <c r="AI14" i="226" s="1"/>
  <c r="Y14" i="226" s="1"/>
  <c r="Z14" i="226"/>
  <c r="X14" i="226"/>
  <c r="Q14" i="226"/>
  <c r="P14" i="226"/>
  <c r="H14" i="226"/>
  <c r="E14" i="226"/>
  <c r="I14" i="226" s="1"/>
  <c r="AD13" i="226"/>
  <c r="AE13" i="226" s="1"/>
  <c r="AI13" i="226" s="1"/>
  <c r="Y13" i="226" s="1"/>
  <c r="AC13" i="226"/>
  <c r="AB13" i="226"/>
  <c r="Z13" i="226"/>
  <c r="X13" i="226"/>
  <c r="T79" i="226" s="1"/>
  <c r="Q13" i="226"/>
  <c r="P13" i="226"/>
  <c r="I13" i="226"/>
  <c r="H13" i="226"/>
  <c r="E13" i="226"/>
  <c r="AD12" i="226"/>
  <c r="AC12" i="226"/>
  <c r="AE12" i="226" s="1"/>
  <c r="AI12" i="226" s="1"/>
  <c r="Y12" i="226" s="1"/>
  <c r="AB12" i="226"/>
  <c r="Z12" i="226"/>
  <c r="T77" i="226" s="1"/>
  <c r="X12" i="226"/>
  <c r="Q12" i="226"/>
  <c r="P12" i="226"/>
  <c r="H12" i="226"/>
  <c r="E12" i="226"/>
  <c r="I12" i="226" s="1"/>
  <c r="M81" i="225"/>
  <c r="P73" i="225"/>
  <c r="H73" i="225"/>
  <c r="Q72" i="225"/>
  <c r="P72" i="225"/>
  <c r="H72" i="225"/>
  <c r="E72" i="225"/>
  <c r="I72" i="225" s="1"/>
  <c r="Q71" i="225"/>
  <c r="P71" i="225"/>
  <c r="I71" i="225"/>
  <c r="H71" i="225"/>
  <c r="E71" i="225"/>
  <c r="AD70" i="225"/>
  <c r="AC70" i="225"/>
  <c r="AB70" i="225"/>
  <c r="AE70" i="225" s="1"/>
  <c r="AI70" i="225" s="1"/>
  <c r="Y70" i="225" s="1"/>
  <c r="Z70" i="225"/>
  <c r="X70" i="225"/>
  <c r="Q70" i="225"/>
  <c r="P70" i="225"/>
  <c r="H70" i="225"/>
  <c r="E70" i="225"/>
  <c r="I70" i="225" s="1"/>
  <c r="AD69" i="225"/>
  <c r="AC69" i="225"/>
  <c r="AE69" i="225" s="1"/>
  <c r="AI69" i="225" s="1"/>
  <c r="Y69" i="225" s="1"/>
  <c r="AB69" i="225"/>
  <c r="Z69" i="225"/>
  <c r="X69" i="225"/>
  <c r="Q69" i="225"/>
  <c r="P69" i="225"/>
  <c r="H69" i="225"/>
  <c r="E69" i="225"/>
  <c r="I69" i="225" s="1"/>
  <c r="AE68" i="225"/>
  <c r="AI68" i="225" s="1"/>
  <c r="Y68" i="225" s="1"/>
  <c r="AD68" i="225"/>
  <c r="AC68" i="225"/>
  <c r="AB68" i="225"/>
  <c r="Z68" i="225"/>
  <c r="X68" i="225"/>
  <c r="Q68" i="225"/>
  <c r="P68" i="225"/>
  <c r="I68" i="225"/>
  <c r="H68" i="225"/>
  <c r="E68" i="225"/>
  <c r="AD67" i="225"/>
  <c r="AC67" i="225"/>
  <c r="AB67" i="225"/>
  <c r="AE67" i="225" s="1"/>
  <c r="AI67" i="225" s="1"/>
  <c r="Y67" i="225" s="1"/>
  <c r="Z67" i="225"/>
  <c r="X67" i="225"/>
  <c r="Q67" i="225"/>
  <c r="P67" i="225"/>
  <c r="H67" i="225"/>
  <c r="E67" i="225"/>
  <c r="I67" i="225" s="1"/>
  <c r="AD66" i="225"/>
  <c r="AC66" i="225"/>
  <c r="AE66" i="225" s="1"/>
  <c r="AI66" i="225" s="1"/>
  <c r="Y66" i="225" s="1"/>
  <c r="AB66" i="225"/>
  <c r="Z66" i="225"/>
  <c r="X66" i="225"/>
  <c r="Q66" i="225"/>
  <c r="P66" i="225"/>
  <c r="H66" i="225"/>
  <c r="E66" i="225"/>
  <c r="I66" i="225" s="1"/>
  <c r="AD65" i="225"/>
  <c r="AC65" i="225"/>
  <c r="AE65" i="225" s="1"/>
  <c r="AI65" i="225" s="1"/>
  <c r="Y65" i="225" s="1"/>
  <c r="AB65" i="225"/>
  <c r="Z65" i="225"/>
  <c r="X65" i="225"/>
  <c r="Q65" i="225"/>
  <c r="P65" i="225"/>
  <c r="H65" i="225"/>
  <c r="E65" i="225"/>
  <c r="I65" i="225" s="1"/>
  <c r="AD64" i="225"/>
  <c r="AE64" i="225" s="1"/>
  <c r="AI64" i="225" s="1"/>
  <c r="Y64" i="225" s="1"/>
  <c r="AC64" i="225"/>
  <c r="AB64" i="225"/>
  <c r="Z64" i="225"/>
  <c r="X64" i="225"/>
  <c r="Q64" i="225"/>
  <c r="P64" i="225"/>
  <c r="H64" i="225"/>
  <c r="E64" i="225"/>
  <c r="I64" i="225" s="1"/>
  <c r="AC63" i="225"/>
  <c r="AE63" i="225" s="1"/>
  <c r="AI63" i="225" s="1"/>
  <c r="Y63" i="225" s="1"/>
  <c r="AB63" i="225"/>
  <c r="X63" i="225"/>
  <c r="Q63" i="225"/>
  <c r="P63" i="225"/>
  <c r="I63" i="225"/>
  <c r="H63" i="225"/>
  <c r="E63" i="225"/>
  <c r="AE62" i="225"/>
  <c r="AI62" i="225" s="1"/>
  <c r="Y62" i="225" s="1"/>
  <c r="X62" i="225"/>
  <c r="Q62" i="225"/>
  <c r="P62" i="225"/>
  <c r="I62" i="225"/>
  <c r="H62" i="225"/>
  <c r="E62" i="225"/>
  <c r="AE61" i="225"/>
  <c r="AI61" i="225" s="1"/>
  <c r="Y61" i="225" s="1"/>
  <c r="AC61" i="225"/>
  <c r="AB61" i="225"/>
  <c r="X61" i="225"/>
  <c r="Q61" i="225"/>
  <c r="P61" i="225"/>
  <c r="H61" i="225"/>
  <c r="E61" i="225"/>
  <c r="I61" i="225" s="1"/>
  <c r="AC60" i="225"/>
  <c r="AB60" i="225"/>
  <c r="AE60" i="225" s="1"/>
  <c r="AI60" i="225" s="1"/>
  <c r="Y60" i="225" s="1"/>
  <c r="X60" i="225"/>
  <c r="Q60" i="225"/>
  <c r="P60" i="225"/>
  <c r="E60" i="225"/>
  <c r="I60" i="225" s="1"/>
  <c r="AC59" i="225"/>
  <c r="AB59" i="225"/>
  <c r="AE59" i="225" s="1"/>
  <c r="AI59" i="225" s="1"/>
  <c r="Y59" i="225" s="1"/>
  <c r="X59" i="225"/>
  <c r="Q59" i="225"/>
  <c r="P59" i="225"/>
  <c r="I59" i="225"/>
  <c r="H59" i="225"/>
  <c r="E59" i="225"/>
  <c r="AE58" i="225"/>
  <c r="AI58" i="225" s="1"/>
  <c r="Y58" i="225" s="1"/>
  <c r="AD58" i="225"/>
  <c r="AC58" i="225"/>
  <c r="AB58" i="225"/>
  <c r="Z58" i="225"/>
  <c r="X58" i="225"/>
  <c r="Q58" i="225"/>
  <c r="P58" i="225"/>
  <c r="I58" i="225"/>
  <c r="H58" i="225"/>
  <c r="E58" i="225"/>
  <c r="AE57" i="225"/>
  <c r="AI57" i="225" s="1"/>
  <c r="Y57" i="225" s="1"/>
  <c r="AD57" i="225"/>
  <c r="AC57" i="225"/>
  <c r="AB57" i="225"/>
  <c r="Z57" i="225"/>
  <c r="X57" i="225"/>
  <c r="Q57" i="225"/>
  <c r="P57" i="225"/>
  <c r="I57" i="225"/>
  <c r="H57" i="225"/>
  <c r="E57" i="225"/>
  <c r="AD56" i="225"/>
  <c r="AC56" i="225"/>
  <c r="AB56" i="225"/>
  <c r="AE56" i="225" s="1"/>
  <c r="AI56" i="225" s="1"/>
  <c r="Y56" i="225" s="1"/>
  <c r="Z56" i="225"/>
  <c r="X56" i="225"/>
  <c r="Q56" i="225"/>
  <c r="P56" i="225"/>
  <c r="I56" i="225"/>
  <c r="H56" i="225"/>
  <c r="E56" i="225"/>
  <c r="AD55" i="225"/>
  <c r="AC55" i="225"/>
  <c r="AE55" i="225" s="1"/>
  <c r="AI55" i="225" s="1"/>
  <c r="Y55" i="225" s="1"/>
  <c r="AB55" i="225"/>
  <c r="Z55" i="225"/>
  <c r="X55" i="225"/>
  <c r="Q55" i="225"/>
  <c r="P55" i="225"/>
  <c r="I55" i="225"/>
  <c r="H55" i="225"/>
  <c r="E55" i="225"/>
  <c r="AI54" i="225"/>
  <c r="Y54" i="225" s="1"/>
  <c r="AE54" i="225"/>
  <c r="Z54" i="225"/>
  <c r="X54" i="225"/>
  <c r="Q54" i="225"/>
  <c r="P54" i="225"/>
  <c r="H54" i="225"/>
  <c r="E54" i="225"/>
  <c r="I54" i="225" s="1"/>
  <c r="AD53" i="225"/>
  <c r="AC53" i="225"/>
  <c r="AE53" i="225" s="1"/>
  <c r="AI53" i="225" s="1"/>
  <c r="Y53" i="225" s="1"/>
  <c r="AB53" i="225"/>
  <c r="Z53" i="225"/>
  <c r="X53" i="225"/>
  <c r="Q53" i="225"/>
  <c r="P53" i="225"/>
  <c r="H53" i="225"/>
  <c r="E53" i="225"/>
  <c r="I53" i="225" s="1"/>
  <c r="AE52" i="225"/>
  <c r="AI52" i="225" s="1"/>
  <c r="Y52" i="225" s="1"/>
  <c r="AD52" i="225"/>
  <c r="AC52" i="225"/>
  <c r="AB52" i="225"/>
  <c r="Z52" i="225"/>
  <c r="X52" i="225"/>
  <c r="Q52" i="225"/>
  <c r="P52" i="225"/>
  <c r="I52" i="225"/>
  <c r="H52" i="225"/>
  <c r="E52" i="225"/>
  <c r="AI51" i="225"/>
  <c r="Y51" i="225" s="1"/>
  <c r="AE51" i="225"/>
  <c r="Z51" i="225"/>
  <c r="X51" i="225"/>
  <c r="Q51" i="225"/>
  <c r="P51" i="225"/>
  <c r="H51" i="225"/>
  <c r="E51" i="225"/>
  <c r="I51" i="225" s="1"/>
  <c r="AE50" i="225"/>
  <c r="AI50" i="225" s="1"/>
  <c r="Y50" i="225" s="1"/>
  <c r="Z50" i="225"/>
  <c r="X50" i="225"/>
  <c r="Q50" i="225"/>
  <c r="P50" i="225"/>
  <c r="H50" i="225"/>
  <c r="E50" i="225"/>
  <c r="I50" i="225" s="1"/>
  <c r="AI49" i="225"/>
  <c r="Y49" i="225" s="1"/>
  <c r="AE49" i="225"/>
  <c r="Z49" i="225"/>
  <c r="X49" i="225"/>
  <c r="Q49" i="225"/>
  <c r="P49" i="225"/>
  <c r="H49" i="225"/>
  <c r="E49" i="225"/>
  <c r="I49" i="225" s="1"/>
  <c r="AD48" i="225"/>
  <c r="AC48" i="225"/>
  <c r="AB48" i="225"/>
  <c r="AE48" i="225" s="1"/>
  <c r="AI48" i="225" s="1"/>
  <c r="Y48" i="225" s="1"/>
  <c r="Z48" i="225"/>
  <c r="X48" i="225"/>
  <c r="Q48" i="225"/>
  <c r="P48" i="225"/>
  <c r="I48" i="225"/>
  <c r="H48" i="225"/>
  <c r="E48" i="225"/>
  <c r="AE47" i="225"/>
  <c r="AI47" i="225" s="1"/>
  <c r="Y47" i="225" s="1"/>
  <c r="AD47" i="225"/>
  <c r="AC47" i="225"/>
  <c r="AB47" i="225"/>
  <c r="Z47" i="225"/>
  <c r="X47" i="225"/>
  <c r="Q47" i="225"/>
  <c r="P47" i="225"/>
  <c r="I47" i="225"/>
  <c r="H47" i="225"/>
  <c r="E47" i="225"/>
  <c r="AE46" i="225"/>
  <c r="AI46" i="225" s="1"/>
  <c r="Y46" i="225" s="1"/>
  <c r="AD46" i="225"/>
  <c r="AC46" i="225"/>
  <c r="AB46" i="225"/>
  <c r="Z46" i="225"/>
  <c r="X46" i="225"/>
  <c r="Q46" i="225"/>
  <c r="P46" i="225"/>
  <c r="I46" i="225"/>
  <c r="H46" i="225"/>
  <c r="E46" i="225"/>
  <c r="AE45" i="225"/>
  <c r="AI45" i="225" s="1"/>
  <c r="Y45" i="225" s="1"/>
  <c r="AD45" i="225"/>
  <c r="AC45" i="225"/>
  <c r="AB45" i="225"/>
  <c r="Z45" i="225"/>
  <c r="X45" i="225"/>
  <c r="Q45" i="225"/>
  <c r="P45" i="225"/>
  <c r="I45" i="225"/>
  <c r="H45" i="225"/>
  <c r="E45" i="225"/>
  <c r="AD44" i="225"/>
  <c r="AC44" i="225"/>
  <c r="AB44" i="225"/>
  <c r="AE44" i="225" s="1"/>
  <c r="AI44" i="225" s="1"/>
  <c r="Y44" i="225" s="1"/>
  <c r="Z44" i="225"/>
  <c r="X44" i="225"/>
  <c r="Q44" i="225"/>
  <c r="P44" i="225"/>
  <c r="I44" i="225"/>
  <c r="H44" i="225"/>
  <c r="E44" i="225"/>
  <c r="AD43" i="225"/>
  <c r="AC43" i="225"/>
  <c r="AE43" i="225" s="1"/>
  <c r="AI43" i="225" s="1"/>
  <c r="Y43" i="225" s="1"/>
  <c r="AB43" i="225"/>
  <c r="Z43" i="225"/>
  <c r="X43" i="225"/>
  <c r="Q43" i="225"/>
  <c r="P43" i="225"/>
  <c r="I43" i="225"/>
  <c r="H43" i="225"/>
  <c r="E43" i="225"/>
  <c r="AI42" i="225"/>
  <c r="AE42" i="225"/>
  <c r="AD42" i="225"/>
  <c r="AC42" i="225"/>
  <c r="AB42" i="225"/>
  <c r="Z42" i="225"/>
  <c r="Y42" i="225"/>
  <c r="X42" i="225"/>
  <c r="Q42" i="225"/>
  <c r="P42" i="225"/>
  <c r="I42" i="225"/>
  <c r="H42" i="225"/>
  <c r="E42" i="225"/>
  <c r="AD41" i="225"/>
  <c r="AC41" i="225"/>
  <c r="AB41" i="225"/>
  <c r="AE41" i="225" s="1"/>
  <c r="AI41" i="225" s="1"/>
  <c r="Y41" i="225" s="1"/>
  <c r="Z41" i="225"/>
  <c r="X41" i="225"/>
  <c r="Q41" i="225"/>
  <c r="P41" i="225"/>
  <c r="H41" i="225"/>
  <c r="E41" i="225"/>
  <c r="I41" i="225" s="1"/>
  <c r="AD40" i="225"/>
  <c r="AC40" i="225"/>
  <c r="AE40" i="225" s="1"/>
  <c r="AI40" i="225" s="1"/>
  <c r="Y40" i="225" s="1"/>
  <c r="AB40" i="225"/>
  <c r="Z40" i="225"/>
  <c r="X40" i="225"/>
  <c r="Q40" i="225"/>
  <c r="P40" i="225"/>
  <c r="H40" i="225"/>
  <c r="E40" i="225"/>
  <c r="I40" i="225" s="1"/>
  <c r="AE39" i="225"/>
  <c r="AI39" i="225" s="1"/>
  <c r="Y39" i="225" s="1"/>
  <c r="AD39" i="225"/>
  <c r="AC39" i="225"/>
  <c r="AB39" i="225"/>
  <c r="Z39" i="225"/>
  <c r="X39" i="225"/>
  <c r="Q39" i="225"/>
  <c r="P39" i="225"/>
  <c r="I39" i="225"/>
  <c r="H39" i="225"/>
  <c r="E39" i="225"/>
  <c r="AD38" i="225"/>
  <c r="AC38" i="225"/>
  <c r="AB38" i="225"/>
  <c r="AE38" i="225" s="1"/>
  <c r="AI38" i="225" s="1"/>
  <c r="Y38" i="225" s="1"/>
  <c r="Z38" i="225"/>
  <c r="X38" i="225"/>
  <c r="Q38" i="225"/>
  <c r="P38" i="225"/>
  <c r="H38" i="225"/>
  <c r="E38" i="225"/>
  <c r="I38" i="225" s="1"/>
  <c r="AD37" i="225"/>
  <c r="AC37" i="225"/>
  <c r="AE37" i="225" s="1"/>
  <c r="AI37" i="225" s="1"/>
  <c r="Y37" i="225" s="1"/>
  <c r="AB37" i="225"/>
  <c r="Z37" i="225"/>
  <c r="X37" i="225"/>
  <c r="Q37" i="225"/>
  <c r="P37" i="225"/>
  <c r="H37" i="225"/>
  <c r="E37" i="225"/>
  <c r="I37" i="225" s="1"/>
  <c r="AD36" i="225"/>
  <c r="AC36" i="225"/>
  <c r="AE36" i="225" s="1"/>
  <c r="AI36" i="225" s="1"/>
  <c r="Y36" i="225" s="1"/>
  <c r="AB36" i="225"/>
  <c r="Z36" i="225"/>
  <c r="X36" i="225"/>
  <c r="Q36" i="225"/>
  <c r="P36" i="225"/>
  <c r="I36" i="225"/>
  <c r="H36" i="225"/>
  <c r="E36" i="225"/>
  <c r="AD35" i="225"/>
  <c r="AC35" i="225"/>
  <c r="AB35" i="225"/>
  <c r="AE35" i="225" s="1"/>
  <c r="AI35" i="225" s="1"/>
  <c r="Y35" i="225" s="1"/>
  <c r="Z35" i="225"/>
  <c r="X35" i="225"/>
  <c r="Q35" i="225"/>
  <c r="P35" i="225"/>
  <c r="H35" i="225"/>
  <c r="E35" i="225"/>
  <c r="I35" i="225" s="1"/>
  <c r="AD34" i="225"/>
  <c r="AE34" i="225" s="1"/>
  <c r="AI34" i="225" s="1"/>
  <c r="Y34" i="225" s="1"/>
  <c r="AC34" i="225"/>
  <c r="AB34" i="225"/>
  <c r="Z34" i="225"/>
  <c r="X34" i="225"/>
  <c r="Q34" i="225"/>
  <c r="P34" i="225"/>
  <c r="H34" i="225"/>
  <c r="E34" i="225"/>
  <c r="I34" i="225" s="1"/>
  <c r="AE33" i="225"/>
  <c r="AI33" i="225" s="1"/>
  <c r="Y33" i="225" s="1"/>
  <c r="AD33" i="225"/>
  <c r="AC33" i="225"/>
  <c r="AB33" i="225"/>
  <c r="Z33" i="225"/>
  <c r="X33" i="225"/>
  <c r="Q33" i="225"/>
  <c r="P33" i="225"/>
  <c r="H33" i="225"/>
  <c r="E33" i="225"/>
  <c r="I33" i="225" s="1"/>
  <c r="AD32" i="225"/>
  <c r="AC32" i="225"/>
  <c r="AB32" i="225"/>
  <c r="AE32" i="225" s="1"/>
  <c r="AI32" i="225" s="1"/>
  <c r="Y32" i="225" s="1"/>
  <c r="Z32" i="225"/>
  <c r="X32" i="225"/>
  <c r="Q32" i="225"/>
  <c r="P32" i="225"/>
  <c r="H32" i="225"/>
  <c r="E32" i="225"/>
  <c r="I32" i="225" s="1"/>
  <c r="AE31" i="225"/>
  <c r="AI31" i="225" s="1"/>
  <c r="Y31" i="225" s="1"/>
  <c r="Z31" i="225"/>
  <c r="X31" i="225"/>
  <c r="Q31" i="225"/>
  <c r="P31" i="225"/>
  <c r="I31" i="225"/>
  <c r="H31" i="225"/>
  <c r="E31" i="225"/>
  <c r="AE30" i="225"/>
  <c r="AI30" i="225" s="1"/>
  <c r="Y30" i="225" s="1"/>
  <c r="AD30" i="225"/>
  <c r="AC30" i="225"/>
  <c r="AB30" i="225"/>
  <c r="Z30" i="225"/>
  <c r="X30" i="225"/>
  <c r="Q30" i="225"/>
  <c r="P30" i="225"/>
  <c r="I30" i="225"/>
  <c r="H30" i="225"/>
  <c r="E30" i="225"/>
  <c r="AD29" i="225"/>
  <c r="AC29" i="225"/>
  <c r="AB29" i="225"/>
  <c r="AE29" i="225" s="1"/>
  <c r="AI29" i="225" s="1"/>
  <c r="Y29" i="225" s="1"/>
  <c r="Z29" i="225"/>
  <c r="X29" i="225"/>
  <c r="Q29" i="225"/>
  <c r="P29" i="225"/>
  <c r="I29" i="225"/>
  <c r="H29" i="225"/>
  <c r="E29" i="225"/>
  <c r="AD28" i="225"/>
  <c r="AC28" i="225"/>
  <c r="AE28" i="225" s="1"/>
  <c r="AI28" i="225" s="1"/>
  <c r="Y28" i="225" s="1"/>
  <c r="AB28" i="225"/>
  <c r="Z28" i="225"/>
  <c r="X28" i="225"/>
  <c r="Q28" i="225"/>
  <c r="P28" i="225"/>
  <c r="I28" i="225"/>
  <c r="H28" i="225"/>
  <c r="E28" i="225"/>
  <c r="AI27" i="225"/>
  <c r="AE27" i="225"/>
  <c r="AD27" i="225"/>
  <c r="AC27" i="225"/>
  <c r="AB27" i="225"/>
  <c r="Z27" i="225"/>
  <c r="Y27" i="225"/>
  <c r="X27" i="225"/>
  <c r="Q27" i="225"/>
  <c r="P27" i="225"/>
  <c r="I27" i="225"/>
  <c r="H27" i="225"/>
  <c r="E27" i="225"/>
  <c r="AD26" i="225"/>
  <c r="AC26" i="225"/>
  <c r="AE26" i="225" s="1"/>
  <c r="AI26" i="225" s="1"/>
  <c r="Y26" i="225" s="1"/>
  <c r="AB26" i="225"/>
  <c r="Z26" i="225"/>
  <c r="X26" i="225"/>
  <c r="Q26" i="225"/>
  <c r="P26" i="225"/>
  <c r="H26" i="225"/>
  <c r="E26" i="225"/>
  <c r="I26" i="225" s="1"/>
  <c r="AD25" i="225"/>
  <c r="AC25" i="225"/>
  <c r="AB25" i="225"/>
  <c r="AE25" i="225" s="1"/>
  <c r="AI25" i="225" s="1"/>
  <c r="Y25" i="225" s="1"/>
  <c r="Z25" i="225"/>
  <c r="X25" i="225"/>
  <c r="Q25" i="225"/>
  <c r="P25" i="225"/>
  <c r="H25" i="225"/>
  <c r="E25" i="225"/>
  <c r="I25" i="225" s="1"/>
  <c r="AE24" i="225"/>
  <c r="AI24" i="225" s="1"/>
  <c r="Y24" i="225" s="1"/>
  <c r="AD24" i="225"/>
  <c r="AC24" i="225"/>
  <c r="AB24" i="225"/>
  <c r="Z24" i="225"/>
  <c r="X24" i="225"/>
  <c r="Q24" i="225"/>
  <c r="P24" i="225"/>
  <c r="I24" i="225"/>
  <c r="H24" i="225"/>
  <c r="E24" i="225"/>
  <c r="AD23" i="225"/>
  <c r="AC23" i="225"/>
  <c r="AB23" i="225"/>
  <c r="AE23" i="225" s="1"/>
  <c r="AI23" i="225" s="1"/>
  <c r="Y23" i="225" s="1"/>
  <c r="Z23" i="225"/>
  <c r="X23" i="225"/>
  <c r="Q23" i="225"/>
  <c r="P23" i="225"/>
  <c r="H23" i="225"/>
  <c r="E23" i="225"/>
  <c r="I23" i="225" s="1"/>
  <c r="AD22" i="225"/>
  <c r="AC22" i="225"/>
  <c r="AE22" i="225" s="1"/>
  <c r="AI22" i="225" s="1"/>
  <c r="Y22" i="225" s="1"/>
  <c r="AB22" i="225"/>
  <c r="Z22" i="225"/>
  <c r="X22" i="225"/>
  <c r="Q22" i="225"/>
  <c r="P22" i="225"/>
  <c r="H22" i="225"/>
  <c r="E22" i="225"/>
  <c r="I22" i="225" s="1"/>
  <c r="AD21" i="225"/>
  <c r="AE21" i="225" s="1"/>
  <c r="AI21" i="225" s="1"/>
  <c r="Y21" i="225" s="1"/>
  <c r="AC21" i="225"/>
  <c r="AB21" i="225"/>
  <c r="Z21" i="225"/>
  <c r="X21" i="225"/>
  <c r="Q21" i="225"/>
  <c r="P21" i="225"/>
  <c r="I21" i="225"/>
  <c r="H21" i="225"/>
  <c r="E21" i="225"/>
  <c r="AD20" i="225"/>
  <c r="AC20" i="225"/>
  <c r="AB20" i="225"/>
  <c r="AE20" i="225" s="1"/>
  <c r="AI20" i="225" s="1"/>
  <c r="Y20" i="225" s="1"/>
  <c r="Z20" i="225"/>
  <c r="X20" i="225"/>
  <c r="Q20" i="225"/>
  <c r="P20" i="225"/>
  <c r="H20" i="225"/>
  <c r="E20" i="225"/>
  <c r="I20" i="225" s="1"/>
  <c r="AD19" i="225"/>
  <c r="AE19" i="225" s="1"/>
  <c r="AI19" i="225" s="1"/>
  <c r="Y19" i="225" s="1"/>
  <c r="AC19" i="225"/>
  <c r="AB19" i="225"/>
  <c r="Z19" i="225"/>
  <c r="X19" i="225"/>
  <c r="Q19" i="225"/>
  <c r="P19" i="225"/>
  <c r="H19" i="225"/>
  <c r="E19" i="225"/>
  <c r="I19" i="225" s="1"/>
  <c r="AE18" i="225"/>
  <c r="AI18" i="225" s="1"/>
  <c r="Y18" i="225" s="1"/>
  <c r="AD18" i="225"/>
  <c r="AC18" i="225"/>
  <c r="AB18" i="225"/>
  <c r="Z18" i="225"/>
  <c r="X18" i="225"/>
  <c r="Q18" i="225"/>
  <c r="P18" i="225"/>
  <c r="I18" i="225"/>
  <c r="H18" i="225"/>
  <c r="E18" i="225"/>
  <c r="AD17" i="225"/>
  <c r="AC17" i="225"/>
  <c r="AB17" i="225"/>
  <c r="AE17" i="225" s="1"/>
  <c r="AI17" i="225" s="1"/>
  <c r="Y17" i="225" s="1"/>
  <c r="Z17" i="225"/>
  <c r="X17" i="225"/>
  <c r="Q17" i="225"/>
  <c r="P17" i="225"/>
  <c r="H17" i="225"/>
  <c r="E17" i="225"/>
  <c r="I17" i="225" s="1"/>
  <c r="AE16" i="225"/>
  <c r="AI16" i="225" s="1"/>
  <c r="Y16" i="225" s="1"/>
  <c r="AD16" i="225"/>
  <c r="AC16" i="225"/>
  <c r="AB16" i="225"/>
  <c r="Z16" i="225"/>
  <c r="X16" i="225"/>
  <c r="Q16" i="225"/>
  <c r="P16" i="225"/>
  <c r="E16" i="225"/>
  <c r="I16" i="225" s="1"/>
  <c r="AD15" i="225"/>
  <c r="AC15" i="225"/>
  <c r="AB15" i="225"/>
  <c r="AE15" i="225" s="1"/>
  <c r="AI15" i="225" s="1"/>
  <c r="Y15" i="225" s="1"/>
  <c r="Z15" i="225"/>
  <c r="X15" i="225"/>
  <c r="Q15" i="225"/>
  <c r="P15" i="225"/>
  <c r="E15" i="225"/>
  <c r="I15" i="225" s="1"/>
  <c r="AE14" i="225"/>
  <c r="AI14" i="225" s="1"/>
  <c r="Y14" i="225" s="1"/>
  <c r="AD14" i="225"/>
  <c r="AC14" i="225"/>
  <c r="AB14" i="225"/>
  <c r="Z14" i="225"/>
  <c r="X14" i="225"/>
  <c r="Q14" i="225"/>
  <c r="P14" i="225"/>
  <c r="I14" i="225"/>
  <c r="H14" i="225"/>
  <c r="E14" i="225"/>
  <c r="AD13" i="225"/>
  <c r="AC13" i="225"/>
  <c r="AB13" i="225"/>
  <c r="AE13" i="225" s="1"/>
  <c r="AI13" i="225" s="1"/>
  <c r="Y13" i="225" s="1"/>
  <c r="Z13" i="225"/>
  <c r="X13" i="225"/>
  <c r="Q13" i="225"/>
  <c r="P13" i="225"/>
  <c r="H13" i="225"/>
  <c r="E13" i="225"/>
  <c r="I13" i="225" s="1"/>
  <c r="AD12" i="225"/>
  <c r="AC12" i="225"/>
  <c r="AE12" i="225" s="1"/>
  <c r="AI12" i="225" s="1"/>
  <c r="Y12" i="225" s="1"/>
  <c r="AB12" i="225"/>
  <c r="Z12" i="225"/>
  <c r="T77" i="225" s="1"/>
  <c r="X12" i="225"/>
  <c r="T79" i="225" s="1"/>
  <c r="Q12" i="225"/>
  <c r="P12" i="225"/>
  <c r="H12" i="225"/>
  <c r="E12" i="225"/>
  <c r="I12" i="225" s="1"/>
  <c r="M81" i="223"/>
  <c r="P73" i="223"/>
  <c r="H73" i="223"/>
  <c r="Q72" i="223"/>
  <c r="P72" i="223"/>
  <c r="I72" i="223"/>
  <c r="H72" i="223"/>
  <c r="E72" i="223"/>
  <c r="Q71" i="223"/>
  <c r="P71" i="223"/>
  <c r="I71" i="223"/>
  <c r="H71" i="223"/>
  <c r="E71" i="223"/>
  <c r="AD70" i="223"/>
  <c r="AC70" i="223"/>
  <c r="AB70" i="223"/>
  <c r="AE70" i="223" s="1"/>
  <c r="AI70" i="223" s="1"/>
  <c r="Y70" i="223" s="1"/>
  <c r="Z70" i="223"/>
  <c r="X70" i="223"/>
  <c r="Q70" i="223"/>
  <c r="P70" i="223"/>
  <c r="H70" i="223"/>
  <c r="E70" i="223"/>
  <c r="I70" i="223" s="1"/>
  <c r="AI69" i="223"/>
  <c r="Y69" i="223" s="1"/>
  <c r="AE69" i="223"/>
  <c r="AD69" i="223"/>
  <c r="AC69" i="223"/>
  <c r="AB69" i="223"/>
  <c r="Z69" i="223"/>
  <c r="X69" i="223"/>
  <c r="Q69" i="223"/>
  <c r="P69" i="223"/>
  <c r="H69" i="223"/>
  <c r="E69" i="223"/>
  <c r="I69" i="223" s="1"/>
  <c r="AE68" i="223"/>
  <c r="AI68" i="223" s="1"/>
  <c r="Y68" i="223" s="1"/>
  <c r="AD68" i="223"/>
  <c r="AC68" i="223"/>
  <c r="AB68" i="223"/>
  <c r="Z68" i="223"/>
  <c r="X68" i="223"/>
  <c r="Q68" i="223"/>
  <c r="P68" i="223"/>
  <c r="I68" i="223"/>
  <c r="H68" i="223"/>
  <c r="E68" i="223"/>
  <c r="AD67" i="223"/>
  <c r="AC67" i="223"/>
  <c r="AB67" i="223"/>
  <c r="AE67" i="223" s="1"/>
  <c r="AI67" i="223" s="1"/>
  <c r="Y67" i="223" s="1"/>
  <c r="Z67" i="223"/>
  <c r="X67" i="223"/>
  <c r="Q67" i="223"/>
  <c r="P67" i="223"/>
  <c r="H67" i="223"/>
  <c r="E67" i="223"/>
  <c r="I67" i="223" s="1"/>
  <c r="AE66" i="223"/>
  <c r="AI66" i="223" s="1"/>
  <c r="Y66" i="223" s="1"/>
  <c r="AD66" i="223"/>
  <c r="AC66" i="223"/>
  <c r="AB66" i="223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I65" i="223"/>
  <c r="H65" i="223"/>
  <c r="E65" i="223"/>
  <c r="AD64" i="223"/>
  <c r="AC64" i="223"/>
  <c r="AB64" i="223"/>
  <c r="AE64" i="223" s="1"/>
  <c r="AI64" i="223" s="1"/>
  <c r="Y64" i="223" s="1"/>
  <c r="Z64" i="223"/>
  <c r="X64" i="223"/>
  <c r="Q64" i="223"/>
  <c r="P64" i="223"/>
  <c r="I64" i="223"/>
  <c r="H64" i="223"/>
  <c r="E64" i="223"/>
  <c r="AC63" i="223"/>
  <c r="AE63" i="223" s="1"/>
  <c r="AI63" i="223" s="1"/>
  <c r="Y63" i="223" s="1"/>
  <c r="AB63" i="223"/>
  <c r="X63" i="223"/>
  <c r="Q63" i="223"/>
  <c r="P63" i="223"/>
  <c r="H63" i="223"/>
  <c r="E63" i="223"/>
  <c r="I63" i="223" s="1"/>
  <c r="AE62" i="223"/>
  <c r="AI62" i="223" s="1"/>
  <c r="Y62" i="223" s="1"/>
  <c r="X62" i="223"/>
  <c r="Q62" i="223"/>
  <c r="P62" i="223"/>
  <c r="I62" i="223"/>
  <c r="H62" i="223"/>
  <c r="E62" i="223"/>
  <c r="AC61" i="223"/>
  <c r="AB61" i="223"/>
  <c r="AE61" i="223" s="1"/>
  <c r="AI61" i="223" s="1"/>
  <c r="Y61" i="223" s="1"/>
  <c r="X61" i="223"/>
  <c r="Q61" i="223"/>
  <c r="P61" i="223"/>
  <c r="H61" i="223"/>
  <c r="E61" i="223"/>
  <c r="I61" i="223" s="1"/>
  <c r="AE60" i="223"/>
  <c r="AI60" i="223" s="1"/>
  <c r="Y60" i="223" s="1"/>
  <c r="AC60" i="223"/>
  <c r="AB60" i="223"/>
  <c r="X60" i="223"/>
  <c r="Q60" i="223"/>
  <c r="P60" i="223"/>
  <c r="I60" i="223"/>
  <c r="E60" i="223"/>
  <c r="AE59" i="223"/>
  <c r="AI59" i="223" s="1"/>
  <c r="Y59" i="223" s="1"/>
  <c r="AC59" i="223"/>
  <c r="AB59" i="223"/>
  <c r="X59" i="223"/>
  <c r="Q59" i="223"/>
  <c r="P59" i="223"/>
  <c r="I59" i="223"/>
  <c r="H59" i="223"/>
  <c r="E59" i="223"/>
  <c r="AD58" i="223"/>
  <c r="AC58" i="223"/>
  <c r="AE58" i="223" s="1"/>
  <c r="AI58" i="223" s="1"/>
  <c r="Y58" i="223" s="1"/>
  <c r="AB58" i="223"/>
  <c r="Z58" i="223"/>
  <c r="X58" i="223"/>
  <c r="Q58" i="223"/>
  <c r="P58" i="223"/>
  <c r="H58" i="223"/>
  <c r="E58" i="223"/>
  <c r="I58" i="223" s="1"/>
  <c r="AD57" i="223"/>
  <c r="AC57" i="223"/>
  <c r="AB57" i="223"/>
  <c r="AE57" i="223" s="1"/>
  <c r="AI57" i="223" s="1"/>
  <c r="Y57" i="223" s="1"/>
  <c r="Z57" i="223"/>
  <c r="X57" i="223"/>
  <c r="Q57" i="223"/>
  <c r="P57" i="223"/>
  <c r="H57" i="223"/>
  <c r="E57" i="223"/>
  <c r="I57" i="223" s="1"/>
  <c r="AD56" i="223"/>
  <c r="AE56" i="223" s="1"/>
  <c r="AI56" i="223" s="1"/>
  <c r="Y56" i="223" s="1"/>
  <c r="AC56" i="223"/>
  <c r="AB56" i="223"/>
  <c r="Z56" i="223"/>
  <c r="X56" i="223"/>
  <c r="Q56" i="223"/>
  <c r="P56" i="223"/>
  <c r="H56" i="223"/>
  <c r="E56" i="223"/>
  <c r="I56" i="223" s="1"/>
  <c r="AD55" i="223"/>
  <c r="AC55" i="223"/>
  <c r="AB55" i="223"/>
  <c r="AE55" i="223" s="1"/>
  <c r="AI55" i="223" s="1"/>
  <c r="Y55" i="223" s="1"/>
  <c r="Z55" i="223"/>
  <c r="X55" i="223"/>
  <c r="Q55" i="223"/>
  <c r="P55" i="223"/>
  <c r="H55" i="223"/>
  <c r="E55" i="223"/>
  <c r="I55" i="223" s="1"/>
  <c r="AE54" i="223"/>
  <c r="AI54" i="223" s="1"/>
  <c r="Y54" i="223" s="1"/>
  <c r="Z54" i="223"/>
  <c r="X54" i="223"/>
  <c r="Q54" i="223"/>
  <c r="P54" i="223"/>
  <c r="I54" i="223"/>
  <c r="H54" i="223"/>
  <c r="E54" i="223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E52" i="223"/>
  <c r="AI52" i="223" s="1"/>
  <c r="Y52" i="223" s="1"/>
  <c r="AD52" i="223"/>
  <c r="AC52" i="223"/>
  <c r="AB52" i="223"/>
  <c r="Z52" i="223"/>
  <c r="X52" i="223"/>
  <c r="Q52" i="223"/>
  <c r="P52" i="223"/>
  <c r="I52" i="223"/>
  <c r="H52" i="223"/>
  <c r="E52" i="223"/>
  <c r="AE51" i="223"/>
  <c r="AI51" i="223" s="1"/>
  <c r="Y51" i="223" s="1"/>
  <c r="Z51" i="223"/>
  <c r="X51" i="223"/>
  <c r="Q51" i="223"/>
  <c r="P51" i="223"/>
  <c r="H51" i="223"/>
  <c r="E51" i="223"/>
  <c r="I51" i="223" s="1"/>
  <c r="AE50" i="223"/>
  <c r="AI50" i="223" s="1"/>
  <c r="Y50" i="223" s="1"/>
  <c r="Z50" i="223"/>
  <c r="X50" i="223"/>
  <c r="Q50" i="223"/>
  <c r="P50" i="223"/>
  <c r="I50" i="223"/>
  <c r="H50" i="223"/>
  <c r="E50" i="223"/>
  <c r="AI49" i="223"/>
  <c r="Y49" i="223" s="1"/>
  <c r="AE49" i="223"/>
  <c r="Z49" i="223"/>
  <c r="X49" i="223"/>
  <c r="Q49" i="223"/>
  <c r="P49" i="223"/>
  <c r="H49" i="223"/>
  <c r="E49" i="223"/>
  <c r="I49" i="223" s="1"/>
  <c r="AD48" i="223"/>
  <c r="AC48" i="223"/>
  <c r="AB48" i="223"/>
  <c r="AE48" i="223" s="1"/>
  <c r="AI48" i="223" s="1"/>
  <c r="Y48" i="223" s="1"/>
  <c r="Z48" i="223"/>
  <c r="X48" i="223"/>
  <c r="Q48" i="223"/>
  <c r="P48" i="223"/>
  <c r="H48" i="223"/>
  <c r="E48" i="223"/>
  <c r="I48" i="223" s="1"/>
  <c r="AD47" i="223"/>
  <c r="AC47" i="223"/>
  <c r="AE47" i="223" s="1"/>
  <c r="AI47" i="223" s="1"/>
  <c r="Y47" i="223" s="1"/>
  <c r="AB47" i="223"/>
  <c r="Z47" i="223"/>
  <c r="X47" i="223"/>
  <c r="Q47" i="223"/>
  <c r="P47" i="223"/>
  <c r="H47" i="223"/>
  <c r="E47" i="223"/>
  <c r="I47" i="223" s="1"/>
  <c r="AD46" i="223"/>
  <c r="AC46" i="223"/>
  <c r="AE46" i="223" s="1"/>
  <c r="AI46" i="223" s="1"/>
  <c r="Y46" i="223" s="1"/>
  <c r="AB46" i="223"/>
  <c r="Z46" i="223"/>
  <c r="X46" i="223"/>
  <c r="Q46" i="223"/>
  <c r="P46" i="223"/>
  <c r="H46" i="223"/>
  <c r="E46" i="223"/>
  <c r="I46" i="223" s="1"/>
  <c r="AD45" i="223"/>
  <c r="AC45" i="223"/>
  <c r="AB45" i="223"/>
  <c r="AE45" i="223" s="1"/>
  <c r="AI45" i="223" s="1"/>
  <c r="Y45" i="223" s="1"/>
  <c r="Z45" i="223"/>
  <c r="X45" i="223"/>
  <c r="Q45" i="223"/>
  <c r="P45" i="223"/>
  <c r="H45" i="223"/>
  <c r="E45" i="223"/>
  <c r="I45" i="223" s="1"/>
  <c r="AD44" i="223"/>
  <c r="AE44" i="223" s="1"/>
  <c r="AI44" i="223" s="1"/>
  <c r="Y44" i="223" s="1"/>
  <c r="AC44" i="223"/>
  <c r="AB44" i="223"/>
  <c r="Z44" i="223"/>
  <c r="X44" i="223"/>
  <c r="Q44" i="223"/>
  <c r="P44" i="223"/>
  <c r="H44" i="223"/>
  <c r="E44" i="223"/>
  <c r="I44" i="223" s="1"/>
  <c r="AE43" i="223"/>
  <c r="AI43" i="223" s="1"/>
  <c r="Y43" i="223" s="1"/>
  <c r="AD43" i="223"/>
  <c r="AC43" i="223"/>
  <c r="AB43" i="223"/>
  <c r="Z43" i="223"/>
  <c r="X43" i="223"/>
  <c r="Q43" i="223"/>
  <c r="P43" i="223"/>
  <c r="H43" i="223"/>
  <c r="E43" i="223"/>
  <c r="I43" i="223" s="1"/>
  <c r="AD42" i="223"/>
  <c r="AE42" i="223" s="1"/>
  <c r="AI42" i="223" s="1"/>
  <c r="Y42" i="223" s="1"/>
  <c r="AC42" i="223"/>
  <c r="AB42" i="223"/>
  <c r="Z42" i="223"/>
  <c r="X42" i="223"/>
  <c r="Q42" i="223"/>
  <c r="P42" i="223"/>
  <c r="H42" i="223"/>
  <c r="E42" i="223"/>
  <c r="I42" i="223" s="1"/>
  <c r="AD41" i="223"/>
  <c r="AC41" i="223"/>
  <c r="AB41" i="223"/>
  <c r="AE41" i="223" s="1"/>
  <c r="AI41" i="223" s="1"/>
  <c r="Y41" i="223" s="1"/>
  <c r="Z41" i="223"/>
  <c r="X41" i="223"/>
  <c r="Q41" i="223"/>
  <c r="P41" i="223"/>
  <c r="I41" i="223"/>
  <c r="H41" i="223"/>
  <c r="E41" i="223"/>
  <c r="AD40" i="223"/>
  <c r="AC40" i="223"/>
  <c r="AB40" i="223"/>
  <c r="AE40" i="223" s="1"/>
  <c r="AI40" i="223" s="1"/>
  <c r="Y40" i="223" s="1"/>
  <c r="Z40" i="223"/>
  <c r="X40" i="223"/>
  <c r="Q40" i="223"/>
  <c r="P40" i="223"/>
  <c r="I40" i="223"/>
  <c r="H40" i="223"/>
  <c r="E40" i="223"/>
  <c r="AE39" i="223"/>
  <c r="AI39" i="223" s="1"/>
  <c r="Y39" i="223" s="1"/>
  <c r="AD39" i="223"/>
  <c r="AC39" i="223"/>
  <c r="AB39" i="223"/>
  <c r="Z39" i="223"/>
  <c r="X39" i="223"/>
  <c r="Q39" i="223"/>
  <c r="P39" i="223"/>
  <c r="I39" i="223"/>
  <c r="H39" i="223"/>
  <c r="E39" i="223"/>
  <c r="AD38" i="223"/>
  <c r="AC38" i="223"/>
  <c r="AB38" i="223"/>
  <c r="AE38" i="223" s="1"/>
  <c r="AI38" i="223" s="1"/>
  <c r="Y38" i="223" s="1"/>
  <c r="Z38" i="223"/>
  <c r="X38" i="223"/>
  <c r="Q38" i="223"/>
  <c r="P38" i="223"/>
  <c r="I38" i="223"/>
  <c r="H38" i="223"/>
  <c r="E38" i="223"/>
  <c r="AE37" i="223"/>
  <c r="AI37" i="223" s="1"/>
  <c r="Y37" i="223" s="1"/>
  <c r="AD37" i="223"/>
  <c r="AC37" i="223"/>
  <c r="AB37" i="223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I36" i="223"/>
  <c r="H36" i="223"/>
  <c r="E36" i="223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D34" i="223"/>
  <c r="AC34" i="223"/>
  <c r="AB34" i="223"/>
  <c r="AE34" i="223" s="1"/>
  <c r="AI34" i="223" s="1"/>
  <c r="Y34" i="223" s="1"/>
  <c r="Z34" i="223"/>
  <c r="X34" i="223"/>
  <c r="Q34" i="223"/>
  <c r="P34" i="223"/>
  <c r="I34" i="223"/>
  <c r="H34" i="223"/>
  <c r="E34" i="223"/>
  <c r="AD33" i="223"/>
  <c r="AC33" i="223"/>
  <c r="AE33" i="223" s="1"/>
  <c r="AI33" i="223" s="1"/>
  <c r="Y33" i="223" s="1"/>
  <c r="AB33" i="223"/>
  <c r="Z33" i="223"/>
  <c r="X33" i="223"/>
  <c r="Q33" i="223"/>
  <c r="P33" i="223"/>
  <c r="H33" i="223"/>
  <c r="E33" i="223"/>
  <c r="I33" i="223" s="1"/>
  <c r="AD32" i="223"/>
  <c r="AC32" i="223"/>
  <c r="AB32" i="223"/>
  <c r="AE32" i="223" s="1"/>
  <c r="AI32" i="223" s="1"/>
  <c r="Y32" i="223" s="1"/>
  <c r="Z32" i="223"/>
  <c r="X32" i="223"/>
  <c r="Q32" i="223"/>
  <c r="P32" i="223"/>
  <c r="H32" i="223"/>
  <c r="E32" i="223"/>
  <c r="I32" i="223" s="1"/>
  <c r="AI31" i="223"/>
  <c r="AE31" i="223"/>
  <c r="Z31" i="223"/>
  <c r="Y31" i="223"/>
  <c r="X31" i="223"/>
  <c r="Q31" i="223"/>
  <c r="P31" i="223"/>
  <c r="H31" i="223"/>
  <c r="E31" i="223"/>
  <c r="I31" i="223" s="1"/>
  <c r="AD30" i="223"/>
  <c r="AC30" i="223"/>
  <c r="AB30" i="223"/>
  <c r="AE30" i="223" s="1"/>
  <c r="AI30" i="223" s="1"/>
  <c r="Y30" i="223" s="1"/>
  <c r="Z30" i="223"/>
  <c r="X30" i="223"/>
  <c r="Q30" i="223"/>
  <c r="P30" i="223"/>
  <c r="H30" i="223"/>
  <c r="E30" i="223"/>
  <c r="I30" i="223" s="1"/>
  <c r="AD29" i="223"/>
  <c r="AE29" i="223" s="1"/>
  <c r="AI29" i="223" s="1"/>
  <c r="Y29" i="223" s="1"/>
  <c r="AC29" i="223"/>
  <c r="AB29" i="223"/>
  <c r="Z29" i="223"/>
  <c r="X29" i="223"/>
  <c r="Q29" i="223"/>
  <c r="P29" i="223"/>
  <c r="H29" i="223"/>
  <c r="E29" i="223"/>
  <c r="I29" i="223" s="1"/>
  <c r="AE28" i="223"/>
  <c r="AI28" i="223" s="1"/>
  <c r="Y28" i="223" s="1"/>
  <c r="AD28" i="223"/>
  <c r="AC28" i="223"/>
  <c r="AB28" i="223"/>
  <c r="Z28" i="223"/>
  <c r="X28" i="223"/>
  <c r="Q28" i="223"/>
  <c r="P28" i="223"/>
  <c r="H28" i="223"/>
  <c r="E28" i="223"/>
  <c r="I28" i="223" s="1"/>
  <c r="AD27" i="223"/>
  <c r="AE27" i="223" s="1"/>
  <c r="AI27" i="223" s="1"/>
  <c r="Y27" i="223" s="1"/>
  <c r="AC27" i="223"/>
  <c r="AB27" i="223"/>
  <c r="Z27" i="223"/>
  <c r="X27" i="223"/>
  <c r="Q27" i="223"/>
  <c r="P27" i="223"/>
  <c r="H27" i="223"/>
  <c r="E27" i="223"/>
  <c r="I27" i="223" s="1"/>
  <c r="AD26" i="223"/>
  <c r="AC26" i="223"/>
  <c r="AB26" i="223"/>
  <c r="AE26" i="223" s="1"/>
  <c r="AI26" i="223" s="1"/>
  <c r="Y26" i="223" s="1"/>
  <c r="Z26" i="223"/>
  <c r="X26" i="223"/>
  <c r="Q26" i="223"/>
  <c r="P26" i="223"/>
  <c r="I26" i="223"/>
  <c r="H26" i="223"/>
  <c r="E26" i="223"/>
  <c r="AD25" i="223"/>
  <c r="AC25" i="223"/>
  <c r="AB25" i="223"/>
  <c r="AE25" i="223" s="1"/>
  <c r="AI25" i="223" s="1"/>
  <c r="Y25" i="223" s="1"/>
  <c r="Z25" i="223"/>
  <c r="X25" i="223"/>
  <c r="Q25" i="223"/>
  <c r="P25" i="223"/>
  <c r="I25" i="223"/>
  <c r="H25" i="223"/>
  <c r="E25" i="223"/>
  <c r="AE24" i="223"/>
  <c r="AI24" i="223" s="1"/>
  <c r="Y24" i="223" s="1"/>
  <c r="AD24" i="223"/>
  <c r="AC24" i="223"/>
  <c r="AB24" i="223"/>
  <c r="Z24" i="223"/>
  <c r="X24" i="223"/>
  <c r="Q24" i="223"/>
  <c r="P24" i="223"/>
  <c r="I24" i="223"/>
  <c r="H24" i="223"/>
  <c r="E24" i="223"/>
  <c r="AD23" i="223"/>
  <c r="AC23" i="223"/>
  <c r="AB23" i="223"/>
  <c r="AE23" i="223" s="1"/>
  <c r="AI23" i="223" s="1"/>
  <c r="Y23" i="223" s="1"/>
  <c r="Z23" i="223"/>
  <c r="X23" i="223"/>
  <c r="Q23" i="223"/>
  <c r="P23" i="223"/>
  <c r="I23" i="223"/>
  <c r="H23" i="223"/>
  <c r="E23" i="223"/>
  <c r="AE22" i="223"/>
  <c r="AI22" i="223" s="1"/>
  <c r="Y22" i="223" s="1"/>
  <c r="AD22" i="223"/>
  <c r="AC22" i="223"/>
  <c r="AB22" i="223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D19" i="223"/>
  <c r="AC19" i="223"/>
  <c r="AB19" i="223"/>
  <c r="AE19" i="223" s="1"/>
  <c r="AI19" i="223" s="1"/>
  <c r="Y19" i="223" s="1"/>
  <c r="Z19" i="223"/>
  <c r="X19" i="223"/>
  <c r="Q19" i="223"/>
  <c r="P19" i="223"/>
  <c r="I19" i="223"/>
  <c r="H19" i="223"/>
  <c r="E19" i="223"/>
  <c r="AD18" i="223"/>
  <c r="AC18" i="223"/>
  <c r="AE18" i="223" s="1"/>
  <c r="AI18" i="223" s="1"/>
  <c r="Y18" i="223" s="1"/>
  <c r="AB18" i="223"/>
  <c r="Z18" i="223"/>
  <c r="X18" i="223"/>
  <c r="Q18" i="223"/>
  <c r="P18" i="223"/>
  <c r="H18" i="223"/>
  <c r="E18" i="223"/>
  <c r="I18" i="223" s="1"/>
  <c r="AD17" i="223"/>
  <c r="AC17" i="223"/>
  <c r="AB17" i="223"/>
  <c r="AE17" i="223" s="1"/>
  <c r="AI17" i="223" s="1"/>
  <c r="Y17" i="223" s="1"/>
  <c r="Z17" i="223"/>
  <c r="X17" i="223"/>
  <c r="Q17" i="223"/>
  <c r="P17" i="223"/>
  <c r="H17" i="223"/>
  <c r="E17" i="223"/>
  <c r="I17" i="223" s="1"/>
  <c r="AD16" i="223"/>
  <c r="AC16" i="223"/>
  <c r="AB16" i="223"/>
  <c r="AE16" i="223" s="1"/>
  <c r="AI16" i="223" s="1"/>
  <c r="Y16" i="223" s="1"/>
  <c r="Z16" i="223"/>
  <c r="X16" i="223"/>
  <c r="Q16" i="223"/>
  <c r="P16" i="223"/>
  <c r="E16" i="223"/>
  <c r="I16" i="223" s="1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E14" i="223"/>
  <c r="AI14" i="223" s="1"/>
  <c r="Y14" i="223" s="1"/>
  <c r="AD14" i="223"/>
  <c r="AC14" i="223"/>
  <c r="AB14" i="223"/>
  <c r="Z14" i="223"/>
  <c r="X14" i="223"/>
  <c r="Q14" i="223"/>
  <c r="P14" i="223"/>
  <c r="I14" i="223"/>
  <c r="H14" i="223"/>
  <c r="E14" i="223"/>
  <c r="AD13" i="223"/>
  <c r="AC13" i="223"/>
  <c r="AB13" i="223"/>
  <c r="AE13" i="223" s="1"/>
  <c r="AI13" i="223" s="1"/>
  <c r="Y13" i="223" s="1"/>
  <c r="Z13" i="223"/>
  <c r="X13" i="223"/>
  <c r="Q13" i="223"/>
  <c r="P13" i="223"/>
  <c r="I13" i="223"/>
  <c r="H13" i="223"/>
  <c r="E13" i="223"/>
  <c r="AE12" i="223"/>
  <c r="AI12" i="223" s="1"/>
  <c r="Y12" i="223" s="1"/>
  <c r="AD12" i="223"/>
  <c r="AC12" i="223"/>
  <c r="AB12" i="223"/>
  <c r="Z12" i="223"/>
  <c r="T77" i="223" s="1"/>
  <c r="X12" i="223"/>
  <c r="T79" i="223" s="1"/>
  <c r="Q12" i="223"/>
  <c r="P12" i="223"/>
  <c r="H12" i="223"/>
  <c r="E12" i="223"/>
  <c r="I12" i="223" s="1"/>
  <c r="F79" i="228" l="1"/>
  <c r="O77" i="225"/>
  <c r="O75" i="226"/>
  <c r="F75" i="226"/>
  <c r="F77" i="226"/>
  <c r="T75" i="226"/>
  <c r="T81" i="226" s="1"/>
  <c r="O75" i="225"/>
  <c r="F75" i="225"/>
  <c r="F77" i="225"/>
  <c r="T75" i="225"/>
  <c r="T81" i="225" s="1"/>
  <c r="O77" i="223"/>
  <c r="O75" i="223"/>
  <c r="T75" i="223"/>
  <c r="T81" i="223" s="1"/>
  <c r="F77" i="223"/>
  <c r="F75" i="223"/>
  <c r="M81" i="222"/>
  <c r="P73" i="222"/>
  <c r="H73" i="222"/>
  <c r="Q72" i="222"/>
  <c r="P72" i="222"/>
  <c r="H72" i="222"/>
  <c r="E72" i="222"/>
  <c r="I72" i="222" s="1"/>
  <c r="Q71" i="222"/>
  <c r="P71" i="222"/>
  <c r="I71" i="222"/>
  <c r="H71" i="222"/>
  <c r="E71" i="222"/>
  <c r="AD70" i="222"/>
  <c r="AC70" i="222"/>
  <c r="AB70" i="222"/>
  <c r="AE70" i="222" s="1"/>
  <c r="AI70" i="222" s="1"/>
  <c r="Y70" i="222" s="1"/>
  <c r="Z70" i="222"/>
  <c r="X70" i="222"/>
  <c r="Q70" i="222"/>
  <c r="P70" i="222"/>
  <c r="H70" i="222"/>
  <c r="E70" i="222"/>
  <c r="I70" i="222" s="1"/>
  <c r="AE69" i="222"/>
  <c r="AI69" i="222" s="1"/>
  <c r="Y69" i="222" s="1"/>
  <c r="AD69" i="222"/>
  <c r="AC69" i="222"/>
  <c r="AB69" i="222"/>
  <c r="Z69" i="222"/>
  <c r="X69" i="222"/>
  <c r="Q69" i="222"/>
  <c r="P69" i="222"/>
  <c r="H69" i="222"/>
  <c r="E69" i="222"/>
  <c r="I69" i="222" s="1"/>
  <c r="AE68" i="222"/>
  <c r="AI68" i="222" s="1"/>
  <c r="Y68" i="222" s="1"/>
  <c r="AD68" i="222"/>
  <c r="AC68" i="222"/>
  <c r="AB68" i="222"/>
  <c r="Z68" i="222"/>
  <c r="X68" i="222"/>
  <c r="Q68" i="222"/>
  <c r="P68" i="222"/>
  <c r="I68" i="222"/>
  <c r="H68" i="222"/>
  <c r="E68" i="222"/>
  <c r="AD67" i="222"/>
  <c r="AC67" i="222"/>
  <c r="AB67" i="222"/>
  <c r="AE67" i="222" s="1"/>
  <c r="AI67" i="222" s="1"/>
  <c r="Y67" i="222" s="1"/>
  <c r="Z67" i="222"/>
  <c r="X67" i="222"/>
  <c r="Q67" i="222"/>
  <c r="P67" i="222"/>
  <c r="H67" i="222"/>
  <c r="E67" i="222"/>
  <c r="I67" i="222" s="1"/>
  <c r="AE66" i="222"/>
  <c r="AI66" i="222" s="1"/>
  <c r="Y66" i="222" s="1"/>
  <c r="AD66" i="222"/>
  <c r="AC66" i="222"/>
  <c r="AB66" i="222"/>
  <c r="Z66" i="222"/>
  <c r="X66" i="222"/>
  <c r="Q66" i="222"/>
  <c r="P66" i="222"/>
  <c r="H66" i="222"/>
  <c r="E66" i="222"/>
  <c r="I66" i="222" s="1"/>
  <c r="AD65" i="222"/>
  <c r="AC65" i="222"/>
  <c r="AB65" i="222"/>
  <c r="AE65" i="222" s="1"/>
  <c r="AI65" i="222" s="1"/>
  <c r="Y65" i="222" s="1"/>
  <c r="Z65" i="222"/>
  <c r="X65" i="222"/>
  <c r="Q65" i="222"/>
  <c r="P65" i="222"/>
  <c r="I65" i="222"/>
  <c r="H65" i="222"/>
  <c r="E65" i="222"/>
  <c r="AD64" i="222"/>
  <c r="AE64" i="222" s="1"/>
  <c r="AI64" i="222" s="1"/>
  <c r="Y64" i="222" s="1"/>
  <c r="AC64" i="222"/>
  <c r="AB64" i="222"/>
  <c r="Z64" i="222"/>
  <c r="X64" i="222"/>
  <c r="Q64" i="222"/>
  <c r="P64" i="222"/>
  <c r="I64" i="222"/>
  <c r="H64" i="222"/>
  <c r="E64" i="222"/>
  <c r="AI63" i="222"/>
  <c r="Y63" i="222" s="1"/>
  <c r="AE63" i="222"/>
  <c r="AC63" i="222"/>
  <c r="AB63" i="222"/>
  <c r="X63" i="222"/>
  <c r="Q63" i="222"/>
  <c r="P63" i="222"/>
  <c r="H63" i="222"/>
  <c r="E63" i="222"/>
  <c r="I63" i="222" s="1"/>
  <c r="AE62" i="222"/>
  <c r="AI62" i="222" s="1"/>
  <c r="Y62" i="222" s="1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E60" i="222"/>
  <c r="AI60" i="222" s="1"/>
  <c r="Y60" i="222" s="1"/>
  <c r="AC60" i="222"/>
  <c r="AB60" i="222"/>
  <c r="X60" i="222"/>
  <c r="Q60" i="222"/>
  <c r="P60" i="222"/>
  <c r="E60" i="222"/>
  <c r="I60" i="222" s="1"/>
  <c r="AE59" i="222"/>
  <c r="AI59" i="222" s="1"/>
  <c r="Y59" i="222" s="1"/>
  <c r="AC59" i="222"/>
  <c r="AB59" i="222"/>
  <c r="X59" i="222"/>
  <c r="Q59" i="222"/>
  <c r="P59" i="222"/>
  <c r="I59" i="222"/>
  <c r="H59" i="222"/>
  <c r="E59" i="222"/>
  <c r="AE58" i="222"/>
  <c r="AI58" i="222" s="1"/>
  <c r="Y58" i="222" s="1"/>
  <c r="AD58" i="222"/>
  <c r="AC58" i="222"/>
  <c r="AB58" i="222"/>
  <c r="Z58" i="222"/>
  <c r="X58" i="222"/>
  <c r="Q58" i="222"/>
  <c r="P58" i="222"/>
  <c r="H58" i="222"/>
  <c r="E58" i="222"/>
  <c r="I58" i="222" s="1"/>
  <c r="AD57" i="222"/>
  <c r="AC57" i="222"/>
  <c r="AB57" i="222"/>
  <c r="AE57" i="222" s="1"/>
  <c r="AI57" i="222" s="1"/>
  <c r="Y57" i="222" s="1"/>
  <c r="Z57" i="222"/>
  <c r="X57" i="222"/>
  <c r="Q57" i="222"/>
  <c r="P57" i="222"/>
  <c r="H57" i="222"/>
  <c r="E57" i="222"/>
  <c r="I57" i="222" s="1"/>
  <c r="AD56" i="222"/>
  <c r="AC56" i="222"/>
  <c r="AB56" i="222"/>
  <c r="AE56" i="222" s="1"/>
  <c r="AI56" i="222" s="1"/>
  <c r="Y56" i="222" s="1"/>
  <c r="Z56" i="222"/>
  <c r="X56" i="222"/>
  <c r="Q56" i="222"/>
  <c r="P56" i="222"/>
  <c r="H56" i="222"/>
  <c r="E56" i="222"/>
  <c r="I56" i="222" s="1"/>
  <c r="AD55" i="222"/>
  <c r="AC55" i="222"/>
  <c r="AE55" i="222" s="1"/>
  <c r="AI55" i="222" s="1"/>
  <c r="Y55" i="222" s="1"/>
  <c r="AB55" i="222"/>
  <c r="Z55" i="222"/>
  <c r="X55" i="222"/>
  <c r="Q55" i="222"/>
  <c r="P55" i="222"/>
  <c r="I55" i="222"/>
  <c r="H55" i="222"/>
  <c r="E55" i="222"/>
  <c r="AE54" i="222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H53" i="222"/>
  <c r="E53" i="222"/>
  <c r="I53" i="222" s="1"/>
  <c r="AE52" i="222"/>
  <c r="AI52" i="222" s="1"/>
  <c r="Y52" i="222" s="1"/>
  <c r="AD52" i="222"/>
  <c r="AC52" i="222"/>
  <c r="AB52" i="222"/>
  <c r="Z52" i="222"/>
  <c r="X52" i="222"/>
  <c r="Q52" i="222"/>
  <c r="P52" i="222"/>
  <c r="I52" i="222"/>
  <c r="H52" i="222"/>
  <c r="E52" i="222"/>
  <c r="AE51" i="222"/>
  <c r="AI51" i="222" s="1"/>
  <c r="Y51" i="222" s="1"/>
  <c r="Z51" i="222"/>
  <c r="X51" i="222"/>
  <c r="Q51" i="222"/>
  <c r="P51" i="222"/>
  <c r="H51" i="222"/>
  <c r="E51" i="222"/>
  <c r="I51" i="222" s="1"/>
  <c r="AE50" i="222"/>
  <c r="AI50" i="222" s="1"/>
  <c r="Y50" i="222" s="1"/>
  <c r="Z50" i="222"/>
  <c r="X50" i="222"/>
  <c r="Q50" i="222"/>
  <c r="P50" i="222"/>
  <c r="I50" i="222"/>
  <c r="H50" i="222"/>
  <c r="E50" i="222"/>
  <c r="AI49" i="222"/>
  <c r="Y49" i="222" s="1"/>
  <c r="AE49" i="222"/>
  <c r="Z49" i="222"/>
  <c r="X49" i="222"/>
  <c r="Q49" i="222"/>
  <c r="P49" i="222"/>
  <c r="H49" i="222"/>
  <c r="E49" i="222"/>
  <c r="I49" i="222" s="1"/>
  <c r="AD48" i="222"/>
  <c r="AC48" i="222"/>
  <c r="AB48" i="222"/>
  <c r="AE48" i="222" s="1"/>
  <c r="AI48" i="222" s="1"/>
  <c r="Y48" i="222" s="1"/>
  <c r="Z48" i="222"/>
  <c r="X48" i="222"/>
  <c r="Q48" i="222"/>
  <c r="P48" i="222"/>
  <c r="I48" i="222"/>
  <c r="H48" i="222"/>
  <c r="E48" i="222"/>
  <c r="AD47" i="222"/>
  <c r="AC47" i="222"/>
  <c r="AE47" i="222" s="1"/>
  <c r="AI47" i="222" s="1"/>
  <c r="Y47" i="222" s="1"/>
  <c r="AB47" i="222"/>
  <c r="Z47" i="222"/>
  <c r="X47" i="222"/>
  <c r="Q47" i="222"/>
  <c r="P47" i="222"/>
  <c r="I47" i="222"/>
  <c r="H47" i="222"/>
  <c r="E47" i="222"/>
  <c r="AE46" i="222"/>
  <c r="AI46" i="222" s="1"/>
  <c r="Y46" i="222" s="1"/>
  <c r="AD46" i="222"/>
  <c r="AC46" i="222"/>
  <c r="AB46" i="222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D44" i="222"/>
  <c r="AC44" i="222"/>
  <c r="AB44" i="222"/>
  <c r="AE44" i="222" s="1"/>
  <c r="AI44" i="222" s="1"/>
  <c r="Y44" i="222" s="1"/>
  <c r="Z44" i="222"/>
  <c r="X44" i="222"/>
  <c r="Q44" i="222"/>
  <c r="P44" i="222"/>
  <c r="H44" i="222"/>
  <c r="E44" i="222"/>
  <c r="I44" i="222" s="1"/>
  <c r="AD43" i="222"/>
  <c r="AC43" i="222"/>
  <c r="AE43" i="222" s="1"/>
  <c r="AI43" i="222" s="1"/>
  <c r="Y43" i="222" s="1"/>
  <c r="AB43" i="222"/>
  <c r="Z43" i="222"/>
  <c r="X43" i="222"/>
  <c r="Q43" i="222"/>
  <c r="P43" i="222"/>
  <c r="I43" i="222"/>
  <c r="H43" i="222"/>
  <c r="E43" i="222"/>
  <c r="AD42" i="222"/>
  <c r="AE42" i="222" s="1"/>
  <c r="AI42" i="222" s="1"/>
  <c r="Y42" i="222" s="1"/>
  <c r="AC42" i="222"/>
  <c r="AB42" i="222"/>
  <c r="Z42" i="222"/>
  <c r="X42" i="222"/>
  <c r="Q42" i="222"/>
  <c r="P42" i="222"/>
  <c r="H42" i="222"/>
  <c r="E42" i="222"/>
  <c r="I42" i="222" s="1"/>
  <c r="AD41" i="222"/>
  <c r="AC41" i="222"/>
  <c r="AB41" i="222"/>
  <c r="AE41" i="222" s="1"/>
  <c r="AI41" i="222" s="1"/>
  <c r="Y41" i="222" s="1"/>
  <c r="Z41" i="222"/>
  <c r="X41" i="222"/>
  <c r="Q41" i="222"/>
  <c r="P41" i="222"/>
  <c r="H41" i="222"/>
  <c r="E41" i="222"/>
  <c r="I41" i="222" s="1"/>
  <c r="AD40" i="222"/>
  <c r="AC40" i="222"/>
  <c r="AE40" i="222" s="1"/>
  <c r="AI40" i="222" s="1"/>
  <c r="Y40" i="222" s="1"/>
  <c r="AB40" i="222"/>
  <c r="Z40" i="222"/>
  <c r="X40" i="222"/>
  <c r="Q40" i="222"/>
  <c r="P40" i="222"/>
  <c r="H40" i="222"/>
  <c r="E40" i="222"/>
  <c r="I40" i="222" s="1"/>
  <c r="AE39" i="222"/>
  <c r="AI39" i="222" s="1"/>
  <c r="Y39" i="222" s="1"/>
  <c r="AD39" i="222"/>
  <c r="AC39" i="222"/>
  <c r="AB39" i="222"/>
  <c r="Z39" i="222"/>
  <c r="X39" i="222"/>
  <c r="Q39" i="222"/>
  <c r="P39" i="222"/>
  <c r="I39" i="222"/>
  <c r="H39" i="222"/>
  <c r="E39" i="222"/>
  <c r="AD38" i="222"/>
  <c r="AC38" i="222"/>
  <c r="AB38" i="222"/>
  <c r="AE38" i="222" s="1"/>
  <c r="AI38" i="222" s="1"/>
  <c r="Y38" i="222" s="1"/>
  <c r="Z38" i="222"/>
  <c r="X38" i="222"/>
  <c r="Q38" i="222"/>
  <c r="P38" i="222"/>
  <c r="H38" i="222"/>
  <c r="E38" i="222"/>
  <c r="I38" i="222" s="1"/>
  <c r="AE37" i="222"/>
  <c r="AI37" i="222" s="1"/>
  <c r="Y37" i="222" s="1"/>
  <c r="AD37" i="222"/>
  <c r="AC37" i="222"/>
  <c r="AB37" i="222"/>
  <c r="Z37" i="222"/>
  <c r="X37" i="222"/>
  <c r="Q37" i="222"/>
  <c r="P37" i="222"/>
  <c r="H37" i="222"/>
  <c r="E37" i="222"/>
  <c r="I37" i="222" s="1"/>
  <c r="AD36" i="222"/>
  <c r="AC36" i="222"/>
  <c r="AB36" i="222"/>
  <c r="AE36" i="222" s="1"/>
  <c r="AI36" i="222" s="1"/>
  <c r="Y36" i="222" s="1"/>
  <c r="Z36" i="222"/>
  <c r="X36" i="222"/>
  <c r="Q36" i="222"/>
  <c r="P36" i="222"/>
  <c r="I36" i="222"/>
  <c r="H36" i="222"/>
  <c r="E36" i="222"/>
  <c r="AD35" i="222"/>
  <c r="AE35" i="222" s="1"/>
  <c r="AI35" i="222" s="1"/>
  <c r="Y35" i="222" s="1"/>
  <c r="AC35" i="222"/>
  <c r="AB35" i="222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I34" i="222"/>
  <c r="H34" i="222"/>
  <c r="E34" i="222"/>
  <c r="AE33" i="222"/>
  <c r="AI33" i="222" s="1"/>
  <c r="Y33" i="222" s="1"/>
  <c r="AD33" i="222"/>
  <c r="AC33" i="222"/>
  <c r="AB33" i="222"/>
  <c r="Z33" i="222"/>
  <c r="X33" i="222"/>
  <c r="Q33" i="222"/>
  <c r="P33" i="222"/>
  <c r="H33" i="222"/>
  <c r="E33" i="222"/>
  <c r="I33" i="222" s="1"/>
  <c r="AD32" i="222"/>
  <c r="AC32" i="222"/>
  <c r="AB32" i="222"/>
  <c r="AE32" i="222" s="1"/>
  <c r="AI32" i="222" s="1"/>
  <c r="Y32" i="222" s="1"/>
  <c r="Z32" i="222"/>
  <c r="X32" i="222"/>
  <c r="Q32" i="222"/>
  <c r="P32" i="222"/>
  <c r="I32" i="222"/>
  <c r="H32" i="222"/>
  <c r="E32" i="222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H30" i="222"/>
  <c r="E30" i="222"/>
  <c r="I30" i="222" s="1"/>
  <c r="AD29" i="222"/>
  <c r="AC29" i="222"/>
  <c r="AB29" i="222"/>
  <c r="AE29" i="222" s="1"/>
  <c r="AI29" i="222" s="1"/>
  <c r="Y29" i="222" s="1"/>
  <c r="Z29" i="222"/>
  <c r="X29" i="222"/>
  <c r="Q29" i="222"/>
  <c r="P29" i="222"/>
  <c r="H29" i="222"/>
  <c r="E29" i="222"/>
  <c r="I29" i="222" s="1"/>
  <c r="AD28" i="222"/>
  <c r="AC28" i="222"/>
  <c r="AE28" i="222" s="1"/>
  <c r="AI28" i="222" s="1"/>
  <c r="Y28" i="222" s="1"/>
  <c r="AB28" i="222"/>
  <c r="Z28" i="222"/>
  <c r="X28" i="222"/>
  <c r="Q28" i="222"/>
  <c r="P28" i="222"/>
  <c r="I28" i="222"/>
  <c r="H28" i="222"/>
  <c r="E28" i="222"/>
  <c r="AD27" i="222"/>
  <c r="AE27" i="222" s="1"/>
  <c r="AI27" i="222" s="1"/>
  <c r="Y27" i="222" s="1"/>
  <c r="AC27" i="222"/>
  <c r="AB27" i="222"/>
  <c r="Z27" i="222"/>
  <c r="X27" i="222"/>
  <c r="Q27" i="222"/>
  <c r="P27" i="222"/>
  <c r="H27" i="222"/>
  <c r="E27" i="222"/>
  <c r="I27" i="222" s="1"/>
  <c r="AD26" i="222"/>
  <c r="AC26" i="222"/>
  <c r="AB26" i="222"/>
  <c r="AE26" i="222" s="1"/>
  <c r="AI26" i="222" s="1"/>
  <c r="Y26" i="222" s="1"/>
  <c r="Z26" i="222"/>
  <c r="X26" i="222"/>
  <c r="Q26" i="222"/>
  <c r="P26" i="222"/>
  <c r="H26" i="222"/>
  <c r="E26" i="222"/>
  <c r="I26" i="222" s="1"/>
  <c r="AD25" i="222"/>
  <c r="AC25" i="222"/>
  <c r="AE25" i="222" s="1"/>
  <c r="AI25" i="222" s="1"/>
  <c r="Y25" i="222" s="1"/>
  <c r="AB25" i="222"/>
  <c r="Z25" i="222"/>
  <c r="X25" i="222"/>
  <c r="Q25" i="222"/>
  <c r="P25" i="222"/>
  <c r="H25" i="222"/>
  <c r="E25" i="222"/>
  <c r="I25" i="222" s="1"/>
  <c r="AE24" i="222"/>
  <c r="AI24" i="222" s="1"/>
  <c r="Y24" i="222" s="1"/>
  <c r="AD24" i="222"/>
  <c r="AC24" i="222"/>
  <c r="AB24" i="222"/>
  <c r="Z24" i="222"/>
  <c r="X24" i="222"/>
  <c r="Q24" i="222"/>
  <c r="P24" i="222"/>
  <c r="I24" i="222"/>
  <c r="H24" i="222"/>
  <c r="E24" i="222"/>
  <c r="AD23" i="222"/>
  <c r="AC23" i="222"/>
  <c r="AB23" i="222"/>
  <c r="AE23" i="222" s="1"/>
  <c r="AI23" i="222" s="1"/>
  <c r="Y23" i="222" s="1"/>
  <c r="Z23" i="222"/>
  <c r="X23" i="222"/>
  <c r="Q23" i="222"/>
  <c r="P23" i="222"/>
  <c r="H23" i="222"/>
  <c r="E23" i="222"/>
  <c r="I23" i="222" s="1"/>
  <c r="AE22" i="222"/>
  <c r="AI22" i="222" s="1"/>
  <c r="Y22" i="222" s="1"/>
  <c r="AD22" i="222"/>
  <c r="AC22" i="222"/>
  <c r="AB22" i="222"/>
  <c r="Z22" i="222"/>
  <c r="X22" i="222"/>
  <c r="Q22" i="222"/>
  <c r="P22" i="222"/>
  <c r="H22" i="222"/>
  <c r="E22" i="222"/>
  <c r="I22" i="222" s="1"/>
  <c r="AD21" i="222"/>
  <c r="AC21" i="222"/>
  <c r="AB21" i="222"/>
  <c r="AE21" i="222" s="1"/>
  <c r="AI21" i="222" s="1"/>
  <c r="Y21" i="222" s="1"/>
  <c r="Z21" i="222"/>
  <c r="X21" i="222"/>
  <c r="Q21" i="222"/>
  <c r="P21" i="222"/>
  <c r="I21" i="222"/>
  <c r="H21" i="222"/>
  <c r="E21" i="222"/>
  <c r="AD20" i="222"/>
  <c r="AE20" i="222" s="1"/>
  <c r="AI20" i="222" s="1"/>
  <c r="Y20" i="222" s="1"/>
  <c r="AC20" i="222"/>
  <c r="AB20" i="222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I19" i="222"/>
  <c r="H19" i="222"/>
  <c r="E19" i="222"/>
  <c r="AE18" i="222"/>
  <c r="AI18" i="222" s="1"/>
  <c r="Y18" i="222" s="1"/>
  <c r="AD18" i="222"/>
  <c r="AC18" i="222"/>
  <c r="AB18" i="222"/>
  <c r="Z18" i="222"/>
  <c r="X18" i="222"/>
  <c r="Q18" i="222"/>
  <c r="P18" i="222"/>
  <c r="H18" i="222"/>
  <c r="E18" i="222"/>
  <c r="I18" i="222" s="1"/>
  <c r="AD17" i="222"/>
  <c r="AC17" i="222"/>
  <c r="AB17" i="222"/>
  <c r="AE17" i="222" s="1"/>
  <c r="AI17" i="222" s="1"/>
  <c r="Y17" i="222" s="1"/>
  <c r="Z17" i="222"/>
  <c r="X17" i="222"/>
  <c r="Q17" i="222"/>
  <c r="P17" i="222"/>
  <c r="I17" i="222"/>
  <c r="H17" i="222"/>
  <c r="E17" i="222"/>
  <c r="AD16" i="222"/>
  <c r="AC16" i="222"/>
  <c r="AE16" i="222" s="1"/>
  <c r="AI16" i="222" s="1"/>
  <c r="Y16" i="222" s="1"/>
  <c r="AB16" i="222"/>
  <c r="Z16" i="222"/>
  <c r="X16" i="222"/>
  <c r="Q16" i="222"/>
  <c r="P16" i="222"/>
  <c r="E16" i="222"/>
  <c r="I16" i="222" s="1"/>
  <c r="AD15" i="222"/>
  <c r="AE15" i="222" s="1"/>
  <c r="AI15" i="222" s="1"/>
  <c r="Y15" i="222" s="1"/>
  <c r="AC15" i="222"/>
  <c r="AB15" i="222"/>
  <c r="Z15" i="222"/>
  <c r="X15" i="222"/>
  <c r="Q15" i="222"/>
  <c r="P15" i="222"/>
  <c r="E15" i="222"/>
  <c r="I15" i="222" s="1"/>
  <c r="AE14" i="222"/>
  <c r="AI14" i="222" s="1"/>
  <c r="Y14" i="222" s="1"/>
  <c r="AD14" i="222"/>
  <c r="AC14" i="222"/>
  <c r="AB14" i="222"/>
  <c r="Z14" i="222"/>
  <c r="X14" i="222"/>
  <c r="Q14" i="222"/>
  <c r="P14" i="222"/>
  <c r="I14" i="222"/>
  <c r="H14" i="222"/>
  <c r="E14" i="222"/>
  <c r="AD13" i="222"/>
  <c r="AC13" i="222"/>
  <c r="AB13" i="222"/>
  <c r="AE13" i="222" s="1"/>
  <c r="AI13" i="222" s="1"/>
  <c r="Y13" i="222" s="1"/>
  <c r="Z13" i="222"/>
  <c r="X13" i="222"/>
  <c r="Q13" i="222"/>
  <c r="P13" i="222"/>
  <c r="H13" i="222"/>
  <c r="E13" i="222"/>
  <c r="I13" i="222" s="1"/>
  <c r="AE12" i="222"/>
  <c r="AI12" i="222" s="1"/>
  <c r="Y12" i="222" s="1"/>
  <c r="AD12" i="222"/>
  <c r="AC12" i="222"/>
  <c r="AB12" i="222"/>
  <c r="Z12" i="222"/>
  <c r="T77" i="222" s="1"/>
  <c r="X12" i="222"/>
  <c r="T79" i="222" s="1"/>
  <c r="Q12" i="222"/>
  <c r="O75" i="222" s="1"/>
  <c r="P12" i="222"/>
  <c r="H12" i="222"/>
  <c r="E12" i="222"/>
  <c r="I12" i="222" s="1"/>
  <c r="F79" i="226" l="1"/>
  <c r="F79" i="225"/>
  <c r="F79" i="223"/>
  <c r="O77" i="222"/>
  <c r="F77" i="222"/>
  <c r="T75" i="222"/>
  <c r="T81" i="222" s="1"/>
  <c r="F75" i="222"/>
  <c r="F79" i="222" s="1"/>
  <c r="M81" i="221"/>
  <c r="P73" i="221"/>
  <c r="H73" i="221"/>
  <c r="Q72" i="221"/>
  <c r="P72" i="221"/>
  <c r="H72" i="221"/>
  <c r="E72" i="221"/>
  <c r="I72" i="221" s="1"/>
  <c r="Q71" i="221"/>
  <c r="P71" i="221"/>
  <c r="I71" i="221"/>
  <c r="H71" i="221"/>
  <c r="E71" i="221"/>
  <c r="AD70" i="221"/>
  <c r="AC70" i="221"/>
  <c r="AB70" i="221"/>
  <c r="AE70" i="221" s="1"/>
  <c r="AI70" i="221" s="1"/>
  <c r="Y70" i="221" s="1"/>
  <c r="Z70" i="221"/>
  <c r="X70" i="221"/>
  <c r="Q70" i="221"/>
  <c r="P70" i="221"/>
  <c r="H70" i="221"/>
  <c r="E70" i="221"/>
  <c r="I70" i="221" s="1"/>
  <c r="AD69" i="221"/>
  <c r="AE69" i="221" s="1"/>
  <c r="AI69" i="221" s="1"/>
  <c r="Y69" i="221" s="1"/>
  <c r="AC69" i="221"/>
  <c r="AB69" i="221"/>
  <c r="Z69" i="221"/>
  <c r="X69" i="221"/>
  <c r="Q69" i="221"/>
  <c r="P69" i="221"/>
  <c r="H69" i="221"/>
  <c r="E69" i="221"/>
  <c r="I69" i="221" s="1"/>
  <c r="AD68" i="221"/>
  <c r="AC68" i="221"/>
  <c r="AE68" i="221" s="1"/>
  <c r="AI68" i="221" s="1"/>
  <c r="Y68" i="221" s="1"/>
  <c r="AB68" i="221"/>
  <c r="Z68" i="221"/>
  <c r="X68" i="221"/>
  <c r="Q68" i="221"/>
  <c r="P68" i="221"/>
  <c r="I68" i="221"/>
  <c r="H68" i="221"/>
  <c r="E68" i="22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I66" i="221"/>
  <c r="Y66" i="221" s="1"/>
  <c r="AE66" i="221"/>
  <c r="AD66" i="221"/>
  <c r="AC66" i="221"/>
  <c r="AB66" i="221"/>
  <c r="Z66" i="221"/>
  <c r="X66" i="221"/>
  <c r="Q66" i="221"/>
  <c r="P66" i="221"/>
  <c r="I66" i="221"/>
  <c r="H66" i="221"/>
  <c r="E66" i="22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E64" i="221"/>
  <c r="AI64" i="221" s="1"/>
  <c r="Y64" i="221" s="1"/>
  <c r="AD64" i="221"/>
  <c r="AC64" i="221"/>
  <c r="AB64" i="221"/>
  <c r="Z64" i="221"/>
  <c r="X64" i="221"/>
  <c r="Q64" i="221"/>
  <c r="P64" i="221"/>
  <c r="H64" i="221"/>
  <c r="E64" i="221"/>
  <c r="I64" i="221" s="1"/>
  <c r="AC63" i="221"/>
  <c r="AE63" i="221" s="1"/>
  <c r="AI63" i="221" s="1"/>
  <c r="Y63" i="221" s="1"/>
  <c r="AB63" i="221"/>
  <c r="X63" i="221"/>
  <c r="Q63" i="221"/>
  <c r="P63" i="221"/>
  <c r="I63" i="221"/>
  <c r="H63" i="221"/>
  <c r="E63" i="221"/>
  <c r="AE62" i="221"/>
  <c r="AI62" i="221" s="1"/>
  <c r="Y62" i="221" s="1"/>
  <c r="X62" i="221"/>
  <c r="Q62" i="221"/>
  <c r="P62" i="221"/>
  <c r="I62" i="221"/>
  <c r="H62" i="221"/>
  <c r="E62" i="221"/>
  <c r="AC61" i="221"/>
  <c r="AB61" i="221"/>
  <c r="AE61" i="221" s="1"/>
  <c r="AI61" i="221" s="1"/>
  <c r="Y61" i="221" s="1"/>
  <c r="X61" i="221"/>
  <c r="Q61" i="221"/>
  <c r="P61" i="221"/>
  <c r="H61" i="221"/>
  <c r="E61" i="221"/>
  <c r="I61" i="221" s="1"/>
  <c r="AC60" i="221"/>
  <c r="AB60" i="221"/>
  <c r="AE60" i="221" s="1"/>
  <c r="AI60" i="221" s="1"/>
  <c r="Y60" i="221" s="1"/>
  <c r="X60" i="221"/>
  <c r="Q60" i="221"/>
  <c r="P60" i="221"/>
  <c r="E60" i="221"/>
  <c r="I60" i="221" s="1"/>
  <c r="AI59" i="221"/>
  <c r="Y59" i="221" s="1"/>
  <c r="AE59" i="221"/>
  <c r="AC59" i="221"/>
  <c r="AB59" i="221"/>
  <c r="X59" i="221"/>
  <c r="Q59" i="221"/>
  <c r="P59" i="221"/>
  <c r="I59" i="221"/>
  <c r="H59" i="221"/>
  <c r="E59" i="221"/>
  <c r="AD58" i="221"/>
  <c r="AC58" i="221"/>
  <c r="AB58" i="221"/>
  <c r="AE58" i="221" s="1"/>
  <c r="AI58" i="221" s="1"/>
  <c r="Y58" i="221" s="1"/>
  <c r="Z58" i="221"/>
  <c r="X58" i="221"/>
  <c r="Q58" i="221"/>
  <c r="P58" i="221"/>
  <c r="H58" i="221"/>
  <c r="E58" i="221"/>
  <c r="I58" i="221" s="1"/>
  <c r="AE57" i="221"/>
  <c r="AI57" i="221" s="1"/>
  <c r="Y57" i="221" s="1"/>
  <c r="AD57" i="221"/>
  <c r="AC57" i="221"/>
  <c r="AB57" i="221"/>
  <c r="Z57" i="221"/>
  <c r="X57" i="221"/>
  <c r="Q57" i="221"/>
  <c r="P57" i="221"/>
  <c r="H57" i="221"/>
  <c r="E57" i="221"/>
  <c r="I57" i="221" s="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H55" i="221"/>
  <c r="E55" i="221"/>
  <c r="I55" i="221" s="1"/>
  <c r="AI54" i="221"/>
  <c r="Y54" i="221" s="1"/>
  <c r="AE54" i="221"/>
  <c r="Z54" i="221"/>
  <c r="X54" i="221"/>
  <c r="Q54" i="221"/>
  <c r="P54" i="221"/>
  <c r="H54" i="221"/>
  <c r="E54" i="221"/>
  <c r="I54" i="221" s="1"/>
  <c r="AD53" i="221"/>
  <c r="AE53" i="221" s="1"/>
  <c r="AI53" i="221" s="1"/>
  <c r="Y53" i="221" s="1"/>
  <c r="AC53" i="221"/>
  <c r="AB53" i="221"/>
  <c r="Z53" i="221"/>
  <c r="X53" i="221"/>
  <c r="Q53" i="221"/>
  <c r="P53" i="221"/>
  <c r="H53" i="221"/>
  <c r="E53" i="221"/>
  <c r="I53" i="221" s="1"/>
  <c r="AD52" i="221"/>
  <c r="AC52" i="221"/>
  <c r="AE52" i="221" s="1"/>
  <c r="AI52" i="221" s="1"/>
  <c r="Y52" i="221" s="1"/>
  <c r="AB52" i="221"/>
  <c r="Z52" i="221"/>
  <c r="X52" i="221"/>
  <c r="Q52" i="221"/>
  <c r="P52" i="221"/>
  <c r="I52" i="221"/>
  <c r="H52" i="221"/>
  <c r="E52" i="221"/>
  <c r="AI51" i="221"/>
  <c r="AE51" i="221"/>
  <c r="Z51" i="221"/>
  <c r="Y51" i="221"/>
  <c r="X51" i="221"/>
  <c r="Q51" i="221"/>
  <c r="P51" i="221"/>
  <c r="I51" i="221"/>
  <c r="H51" i="221"/>
  <c r="E51" i="221"/>
  <c r="AE50" i="221"/>
  <c r="AI50" i="221" s="1"/>
  <c r="Y50" i="221" s="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H49" i="221"/>
  <c r="E49" i="221"/>
  <c r="I49" i="221" s="1"/>
  <c r="AD48" i="221"/>
  <c r="AC48" i="221"/>
  <c r="AB48" i="221"/>
  <c r="AE48" i="221" s="1"/>
  <c r="AI48" i="221" s="1"/>
  <c r="Y48" i="221" s="1"/>
  <c r="Z48" i="221"/>
  <c r="X48" i="221"/>
  <c r="Q48" i="221"/>
  <c r="P48" i="221"/>
  <c r="I48" i="221"/>
  <c r="H48" i="221"/>
  <c r="E48" i="221"/>
  <c r="AE47" i="221"/>
  <c r="AI47" i="221" s="1"/>
  <c r="Y47" i="221" s="1"/>
  <c r="AD47" i="221"/>
  <c r="AC47" i="221"/>
  <c r="AB47" i="221"/>
  <c r="Z47" i="221"/>
  <c r="X47" i="221"/>
  <c r="Q47" i="221"/>
  <c r="P47" i="221"/>
  <c r="I47" i="221"/>
  <c r="H47" i="221"/>
  <c r="E47" i="221"/>
  <c r="AD46" i="221"/>
  <c r="AC46" i="221"/>
  <c r="AB46" i="221"/>
  <c r="AE46" i="221" s="1"/>
  <c r="AI46" i="221" s="1"/>
  <c r="Y46" i="221" s="1"/>
  <c r="Z46" i="221"/>
  <c r="X46" i="221"/>
  <c r="Q46" i="221"/>
  <c r="P46" i="221"/>
  <c r="H46" i="221"/>
  <c r="E46" i="221"/>
  <c r="I46" i="221" s="1"/>
  <c r="AE45" i="221"/>
  <c r="AI45" i="221" s="1"/>
  <c r="Y45" i="221" s="1"/>
  <c r="AD45" i="221"/>
  <c r="AC45" i="221"/>
  <c r="AB45" i="221"/>
  <c r="Z45" i="221"/>
  <c r="X45" i="221"/>
  <c r="Q45" i="221"/>
  <c r="P45" i="221"/>
  <c r="H45" i="221"/>
  <c r="E45" i="221"/>
  <c r="I45" i="221" s="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H43" i="221"/>
  <c r="E43" i="221"/>
  <c r="I43" i="221" s="1"/>
  <c r="AI42" i="221"/>
  <c r="Y42" i="221" s="1"/>
  <c r="AE42" i="221"/>
  <c r="AD42" i="221"/>
  <c r="AC42" i="221"/>
  <c r="AB42" i="221"/>
  <c r="Z42" i="221"/>
  <c r="X42" i="221"/>
  <c r="Q42" i="221"/>
  <c r="P42" i="221"/>
  <c r="I42" i="221"/>
  <c r="H42" i="221"/>
  <c r="E42" i="221"/>
  <c r="AD41" i="221"/>
  <c r="AC41" i="221"/>
  <c r="AB41" i="221"/>
  <c r="AE41" i="221" s="1"/>
  <c r="AI41" i="221" s="1"/>
  <c r="Y41" i="221" s="1"/>
  <c r="Z41" i="221"/>
  <c r="X41" i="221"/>
  <c r="Q41" i="221"/>
  <c r="P41" i="221"/>
  <c r="H41" i="221"/>
  <c r="E41" i="221"/>
  <c r="I41" i="221" s="1"/>
  <c r="AD40" i="221"/>
  <c r="AE40" i="221" s="1"/>
  <c r="AI40" i="221" s="1"/>
  <c r="Y40" i="221" s="1"/>
  <c r="AC40" i="221"/>
  <c r="AB40" i="221"/>
  <c r="Z40" i="221"/>
  <c r="X40" i="221"/>
  <c r="Q40" i="221"/>
  <c r="P40" i="221"/>
  <c r="H40" i="221"/>
  <c r="E40" i="221"/>
  <c r="I40" i="221" s="1"/>
  <c r="AD39" i="221"/>
  <c r="AC39" i="221"/>
  <c r="AE39" i="221" s="1"/>
  <c r="AI39" i="221" s="1"/>
  <c r="Y39" i="221" s="1"/>
  <c r="AB39" i="221"/>
  <c r="Z39" i="221"/>
  <c r="X39" i="221"/>
  <c r="Q39" i="221"/>
  <c r="P39" i="221"/>
  <c r="I39" i="221"/>
  <c r="H39" i="221"/>
  <c r="E39" i="22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I37" i="221"/>
  <c r="Y37" i="221" s="1"/>
  <c r="AE37" i="221"/>
  <c r="AD37" i="221"/>
  <c r="AC37" i="221"/>
  <c r="AB37" i="221"/>
  <c r="Z37" i="221"/>
  <c r="X37" i="221"/>
  <c r="Q37" i="221"/>
  <c r="P37" i="221"/>
  <c r="I37" i="221"/>
  <c r="H37" i="221"/>
  <c r="E37" i="22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E35" i="221"/>
  <c r="AI35" i="221" s="1"/>
  <c r="Y35" i="221" s="1"/>
  <c r="AD35" i="221"/>
  <c r="AC35" i="221"/>
  <c r="AB35" i="221"/>
  <c r="Z35" i="221"/>
  <c r="X35" i="221"/>
  <c r="Q35" i="221"/>
  <c r="P35" i="221"/>
  <c r="H35" i="221"/>
  <c r="E35" i="221"/>
  <c r="I35" i="221" s="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D33" i="221"/>
  <c r="AC33" i="221"/>
  <c r="AB33" i="221"/>
  <c r="AE33" i="221" s="1"/>
  <c r="AI33" i="221" s="1"/>
  <c r="Y33" i="221" s="1"/>
  <c r="Z33" i="221"/>
  <c r="X33" i="221"/>
  <c r="Q33" i="221"/>
  <c r="P33" i="221"/>
  <c r="H33" i="221"/>
  <c r="E33" i="221"/>
  <c r="I33" i="221" s="1"/>
  <c r="AD32" i="221"/>
  <c r="AC32" i="221"/>
  <c r="AB32" i="221"/>
  <c r="AE32" i="221" s="1"/>
  <c r="AI32" i="221" s="1"/>
  <c r="Y32" i="221" s="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H31" i="221"/>
  <c r="E31" i="221"/>
  <c r="I31" i="221" s="1"/>
  <c r="AE30" i="221"/>
  <c r="AI30" i="221" s="1"/>
  <c r="Y30" i="221" s="1"/>
  <c r="AD30" i="221"/>
  <c r="AC30" i="221"/>
  <c r="AB30" i="221"/>
  <c r="Z30" i="221"/>
  <c r="X30" i="221"/>
  <c r="Q30" i="221"/>
  <c r="P30" i="221"/>
  <c r="H30" i="221"/>
  <c r="E30" i="221"/>
  <c r="I30" i="221" s="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B28" i="221"/>
  <c r="AE28" i="221" s="1"/>
  <c r="AI28" i="221" s="1"/>
  <c r="Y28" i="221" s="1"/>
  <c r="Z28" i="221"/>
  <c r="X28" i="221"/>
  <c r="Q28" i="221"/>
  <c r="P28" i="221"/>
  <c r="H28" i="221"/>
  <c r="E28" i="221"/>
  <c r="I28" i="221" s="1"/>
  <c r="AI27" i="221"/>
  <c r="Y27" i="221" s="1"/>
  <c r="AE27" i="221"/>
  <c r="AD27" i="221"/>
  <c r="AC27" i="221"/>
  <c r="AB27" i="221"/>
  <c r="Z27" i="221"/>
  <c r="X27" i="221"/>
  <c r="Q27" i="221"/>
  <c r="P27" i="221"/>
  <c r="I27" i="221"/>
  <c r="H27" i="221"/>
  <c r="E27" i="221"/>
  <c r="AD26" i="221"/>
  <c r="AC26" i="221"/>
  <c r="AB26" i="221"/>
  <c r="AE26" i="221" s="1"/>
  <c r="AI26" i="221" s="1"/>
  <c r="Y26" i="221" s="1"/>
  <c r="Z26" i="221"/>
  <c r="X26" i="221"/>
  <c r="Q26" i="221"/>
  <c r="P26" i="221"/>
  <c r="H26" i="221"/>
  <c r="E26" i="221"/>
  <c r="I26" i="221" s="1"/>
  <c r="AD25" i="221"/>
  <c r="AE25" i="221" s="1"/>
  <c r="AI25" i="221" s="1"/>
  <c r="Y25" i="221" s="1"/>
  <c r="AC25" i="221"/>
  <c r="AB25" i="221"/>
  <c r="Z25" i="221"/>
  <c r="X25" i="221"/>
  <c r="Q25" i="221"/>
  <c r="P25" i="221"/>
  <c r="H25" i="221"/>
  <c r="E25" i="221"/>
  <c r="I25" i="221" s="1"/>
  <c r="AD24" i="221"/>
  <c r="AC24" i="221"/>
  <c r="AE24" i="221" s="1"/>
  <c r="AI24" i="221" s="1"/>
  <c r="Y24" i="221" s="1"/>
  <c r="AB24" i="221"/>
  <c r="Z24" i="221"/>
  <c r="X24" i="221"/>
  <c r="Q24" i="221"/>
  <c r="P24" i="221"/>
  <c r="I24" i="221"/>
  <c r="H24" i="221"/>
  <c r="E24" i="22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I22" i="221"/>
  <c r="Y22" i="221" s="1"/>
  <c r="AE22" i="221"/>
  <c r="AD22" i="221"/>
  <c r="AC22" i="221"/>
  <c r="AB22" i="221"/>
  <c r="Z22" i="221"/>
  <c r="X22" i="221"/>
  <c r="Q22" i="221"/>
  <c r="P22" i="221"/>
  <c r="I22" i="221"/>
  <c r="H22" i="221"/>
  <c r="E22" i="221"/>
  <c r="AD21" i="221"/>
  <c r="AC21" i="221"/>
  <c r="AB21" i="221"/>
  <c r="AE21" i="221" s="1"/>
  <c r="AI21" i="221" s="1"/>
  <c r="Y21" i="221" s="1"/>
  <c r="Z21" i="221"/>
  <c r="X21" i="221"/>
  <c r="Q21" i="221"/>
  <c r="P21" i="221"/>
  <c r="H21" i="221"/>
  <c r="E21" i="221"/>
  <c r="I21" i="221" s="1"/>
  <c r="AE20" i="221"/>
  <c r="AI20" i="221" s="1"/>
  <c r="Y20" i="221" s="1"/>
  <c r="AD20" i="22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D18" i="221"/>
  <c r="AC18" i="221"/>
  <c r="AB18" i="221"/>
  <c r="AE18" i="221" s="1"/>
  <c r="AI18" i="221" s="1"/>
  <c r="Y18" i="221" s="1"/>
  <c r="Z18" i="221"/>
  <c r="X18" i="221"/>
  <c r="Q18" i="221"/>
  <c r="P18" i="221"/>
  <c r="H18" i="221"/>
  <c r="E18" i="221"/>
  <c r="I18" i="221" s="1"/>
  <c r="AD17" i="221"/>
  <c r="AC17" i="221"/>
  <c r="AB17" i="221"/>
  <c r="AE17" i="221" s="1"/>
  <c r="AI17" i="221" s="1"/>
  <c r="Y17" i="221" s="1"/>
  <c r="Z17" i="221"/>
  <c r="X17" i="221"/>
  <c r="Q17" i="221"/>
  <c r="P17" i="221"/>
  <c r="I17" i="221"/>
  <c r="H17" i="221"/>
  <c r="E17" i="221"/>
  <c r="AE16" i="221"/>
  <c r="AI16" i="221" s="1"/>
  <c r="Y16" i="221" s="1"/>
  <c r="AD16" i="221"/>
  <c r="AC16" i="221"/>
  <c r="AB16" i="221"/>
  <c r="Z16" i="221"/>
  <c r="X16" i="221"/>
  <c r="Q16" i="221"/>
  <c r="P16" i="221"/>
  <c r="E16" i="221"/>
  <c r="I16" i="221" s="1"/>
  <c r="AE15" i="221"/>
  <c r="AI15" i="221" s="1"/>
  <c r="Y15" i="221" s="1"/>
  <c r="AD15" i="221"/>
  <c r="AC15" i="221"/>
  <c r="AB15" i="221"/>
  <c r="Z15" i="221"/>
  <c r="X15" i="221"/>
  <c r="Q15" i="221"/>
  <c r="P15" i="221"/>
  <c r="E15" i="221"/>
  <c r="I15" i="221" s="1"/>
  <c r="AD14" i="221"/>
  <c r="AC14" i="221"/>
  <c r="AE14" i="221" s="1"/>
  <c r="AI14" i="221" s="1"/>
  <c r="Y14" i="221" s="1"/>
  <c r="AB14" i="221"/>
  <c r="Z14" i="221"/>
  <c r="X14" i="221"/>
  <c r="Q14" i="221"/>
  <c r="P14" i="221"/>
  <c r="I14" i="221"/>
  <c r="H14" i="221"/>
  <c r="E14" i="22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I12" i="221"/>
  <c r="Y12" i="221" s="1"/>
  <c r="AE12" i="221"/>
  <c r="AD12" i="221"/>
  <c r="AC12" i="221"/>
  <c r="AB12" i="221"/>
  <c r="Z12" i="221"/>
  <c r="X12" i="221"/>
  <c r="Q12" i="221"/>
  <c r="P12" i="221"/>
  <c r="I12" i="221"/>
  <c r="H12" i="221"/>
  <c r="E12" i="221"/>
  <c r="O77" i="221" l="1"/>
  <c r="O75" i="221"/>
  <c r="T79" i="221"/>
  <c r="T77" i="221"/>
  <c r="T75" i="221"/>
  <c r="T81" i="221" s="1"/>
  <c r="F75" i="221"/>
  <c r="F77" i="221"/>
  <c r="M81" i="220"/>
  <c r="P73" i="220"/>
  <c r="H73" i="220"/>
  <c r="Q72" i="220"/>
  <c r="P72" i="220"/>
  <c r="H72" i="220"/>
  <c r="E72" i="220"/>
  <c r="I72" i="220" s="1"/>
  <c r="Q71" i="220"/>
  <c r="P71" i="220"/>
  <c r="I71" i="220"/>
  <c r="H71" i="220"/>
  <c r="E71" i="220"/>
  <c r="AD70" i="220"/>
  <c r="AC70" i="220"/>
  <c r="AB70" i="220"/>
  <c r="AE70" i="220" s="1"/>
  <c r="AI70" i="220" s="1"/>
  <c r="Y70" i="220" s="1"/>
  <c r="Z70" i="220"/>
  <c r="X70" i="220"/>
  <c r="Q70" i="220"/>
  <c r="P70" i="220"/>
  <c r="I70" i="220"/>
  <c r="H70" i="220"/>
  <c r="E70" i="220"/>
  <c r="AD69" i="220"/>
  <c r="AC69" i="220"/>
  <c r="AE69" i="220" s="1"/>
  <c r="AI69" i="220" s="1"/>
  <c r="Y69" i="220" s="1"/>
  <c r="AB69" i="220"/>
  <c r="Z69" i="220"/>
  <c r="X69" i="220"/>
  <c r="Q69" i="220"/>
  <c r="P69" i="220"/>
  <c r="H69" i="220"/>
  <c r="E69" i="220"/>
  <c r="I69" i="220" s="1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D67" i="220"/>
  <c r="AC67" i="220"/>
  <c r="AE67" i="220" s="1"/>
  <c r="AI67" i="220" s="1"/>
  <c r="Y67" i="220" s="1"/>
  <c r="AB67" i="220"/>
  <c r="Z67" i="220"/>
  <c r="X67" i="220"/>
  <c r="Q67" i="220"/>
  <c r="P67" i="220"/>
  <c r="H67" i="220"/>
  <c r="E67" i="220"/>
  <c r="I67" i="220" s="1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E64" i="220" s="1"/>
  <c r="AI64" i="220" s="1"/>
  <c r="Y64" i="220" s="1"/>
  <c r="AC64" i="220"/>
  <c r="AB64" i="220"/>
  <c r="Z64" i="220"/>
  <c r="X64" i="220"/>
  <c r="Q64" i="220"/>
  <c r="P64" i="220"/>
  <c r="H64" i="220"/>
  <c r="E64" i="220"/>
  <c r="I64" i="220" s="1"/>
  <c r="AC63" i="220"/>
  <c r="AB63" i="220"/>
  <c r="AE63" i="220" s="1"/>
  <c r="AI63" i="220" s="1"/>
  <c r="Y63" i="220" s="1"/>
  <c r="X63" i="220"/>
  <c r="Q63" i="220"/>
  <c r="P63" i="220"/>
  <c r="H63" i="220"/>
  <c r="E63" i="220"/>
  <c r="I63" i="220" s="1"/>
  <c r="AI62" i="220"/>
  <c r="Y62" i="220" s="1"/>
  <c r="AE62" i="220"/>
  <c r="X62" i="220"/>
  <c r="Q62" i="220"/>
  <c r="P62" i="220"/>
  <c r="H62" i="220"/>
  <c r="E62" i="220"/>
  <c r="I62" i="220" s="1"/>
  <c r="AE61" i="220"/>
  <c r="AI61" i="220" s="1"/>
  <c r="Y61" i="220" s="1"/>
  <c r="AC61" i="220"/>
  <c r="AB61" i="220"/>
  <c r="X61" i="220"/>
  <c r="Q61" i="220"/>
  <c r="P61" i="220"/>
  <c r="H61" i="220"/>
  <c r="E61" i="220"/>
  <c r="I61" i="220" s="1"/>
  <c r="AC60" i="220"/>
  <c r="AB60" i="220"/>
  <c r="AE60" i="220" s="1"/>
  <c r="AI60" i="220" s="1"/>
  <c r="Y60" i="220" s="1"/>
  <c r="X60" i="220"/>
  <c r="Q60" i="220"/>
  <c r="P60" i="220"/>
  <c r="I60" i="220"/>
  <c r="E60" i="220"/>
  <c r="AC59" i="220"/>
  <c r="AE59" i="220" s="1"/>
  <c r="AI59" i="220" s="1"/>
  <c r="Y59" i="220" s="1"/>
  <c r="AB59" i="220"/>
  <c r="X59" i="220"/>
  <c r="Q59" i="220"/>
  <c r="P59" i="220"/>
  <c r="H59" i="220"/>
  <c r="E59" i="220"/>
  <c r="I59" i="220" s="1"/>
  <c r="AE58" i="220"/>
  <c r="AI58" i="220" s="1"/>
  <c r="Y58" i="220" s="1"/>
  <c r="AD58" i="220"/>
  <c r="AC58" i="220"/>
  <c r="AB58" i="220"/>
  <c r="Z58" i="220"/>
  <c r="X58" i="220"/>
  <c r="Q58" i="220"/>
  <c r="P58" i="220"/>
  <c r="I58" i="220"/>
  <c r="H58" i="220"/>
  <c r="E58" i="220"/>
  <c r="AD57" i="220"/>
  <c r="AC57" i="220"/>
  <c r="AB57" i="220"/>
  <c r="AE57" i="220" s="1"/>
  <c r="AI57" i="220" s="1"/>
  <c r="Y57" i="220" s="1"/>
  <c r="Z57" i="220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E54" i="220"/>
  <c r="AI54" i="220" s="1"/>
  <c r="Y54" i="220" s="1"/>
  <c r="Z54" i="220"/>
  <c r="X54" i="220"/>
  <c r="Q54" i="220"/>
  <c r="P54" i="220"/>
  <c r="I54" i="220"/>
  <c r="H54" i="220"/>
  <c r="E54" i="220"/>
  <c r="AD53" i="220"/>
  <c r="AC53" i="220"/>
  <c r="AE53" i="220" s="1"/>
  <c r="AI53" i="220" s="1"/>
  <c r="Y53" i="220" s="1"/>
  <c r="AB53" i="220"/>
  <c r="Z53" i="220"/>
  <c r="X53" i="220"/>
  <c r="Q53" i="220"/>
  <c r="P53" i="220"/>
  <c r="H53" i="220"/>
  <c r="E53" i="220"/>
  <c r="I53" i="220" s="1"/>
  <c r="AD52" i="220"/>
  <c r="AC52" i="220"/>
  <c r="AB52" i="220"/>
  <c r="AE52" i="220" s="1"/>
  <c r="AI52" i="220" s="1"/>
  <c r="Y52" i="220" s="1"/>
  <c r="Z52" i="220"/>
  <c r="X52" i="220"/>
  <c r="Q52" i="220"/>
  <c r="P52" i="220"/>
  <c r="H52" i="220"/>
  <c r="E52" i="220"/>
  <c r="I52" i="220" s="1"/>
  <c r="AI51" i="220"/>
  <c r="Y51" i="220" s="1"/>
  <c r="AE51" i="220"/>
  <c r="Z51" i="220"/>
  <c r="X51" i="220"/>
  <c r="Q51" i="220"/>
  <c r="P51" i="220"/>
  <c r="H51" i="220"/>
  <c r="E51" i="220"/>
  <c r="I51" i="220" s="1"/>
  <c r="AE50" i="220"/>
  <c r="AI50" i="220" s="1"/>
  <c r="Y50" i="220" s="1"/>
  <c r="Z50" i="220"/>
  <c r="X50" i="220"/>
  <c r="Q50" i="220"/>
  <c r="P50" i="220"/>
  <c r="H50" i="220"/>
  <c r="E50" i="220"/>
  <c r="I50" i="220" s="1"/>
  <c r="AE49" i="220"/>
  <c r="AI49" i="220" s="1"/>
  <c r="Y49" i="220" s="1"/>
  <c r="Z49" i="220"/>
  <c r="X49" i="220"/>
  <c r="Q49" i="220"/>
  <c r="P49" i="220"/>
  <c r="H49" i="220"/>
  <c r="E49" i="220"/>
  <c r="I49" i="220" s="1"/>
  <c r="AE48" i="220"/>
  <c r="AI48" i="220" s="1"/>
  <c r="Y48" i="220" s="1"/>
  <c r="AD48" i="220"/>
  <c r="AC48" i="220"/>
  <c r="AB48" i="220"/>
  <c r="Z48" i="220"/>
  <c r="X48" i="220"/>
  <c r="Q48" i="220"/>
  <c r="P48" i="220"/>
  <c r="I48" i="220"/>
  <c r="H48" i="220"/>
  <c r="E48" i="220"/>
  <c r="AD47" i="220"/>
  <c r="AC47" i="220"/>
  <c r="AB47" i="220"/>
  <c r="AE47" i="220" s="1"/>
  <c r="AI47" i="220" s="1"/>
  <c r="Y47" i="220" s="1"/>
  <c r="Z47" i="220"/>
  <c r="X47" i="220"/>
  <c r="Q47" i="220"/>
  <c r="P47" i="220"/>
  <c r="H47" i="220"/>
  <c r="E47" i="220"/>
  <c r="I47" i="220" s="1"/>
  <c r="AE46" i="220"/>
  <c r="AI46" i="220" s="1"/>
  <c r="Y46" i="220" s="1"/>
  <c r="AD46" i="220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E42" i="220" s="1"/>
  <c r="AI42" i="220" s="1"/>
  <c r="Y42" i="220" s="1"/>
  <c r="AB42" i="220"/>
  <c r="Z42" i="220"/>
  <c r="X42" i="220"/>
  <c r="Q42" i="220"/>
  <c r="P42" i="220"/>
  <c r="I42" i="220"/>
  <c r="H42" i="220"/>
  <c r="E42" i="220"/>
  <c r="AD41" i="220"/>
  <c r="AC41" i="220"/>
  <c r="AB41" i="220"/>
  <c r="AE41" i="220" s="1"/>
  <c r="AI41" i="220" s="1"/>
  <c r="Y41" i="220" s="1"/>
  <c r="Z41" i="220"/>
  <c r="X41" i="220"/>
  <c r="Q41" i="220"/>
  <c r="P41" i="220"/>
  <c r="I41" i="220"/>
  <c r="H41" i="220"/>
  <c r="E41" i="220"/>
  <c r="AD40" i="220"/>
  <c r="AC40" i="220"/>
  <c r="AE40" i="220" s="1"/>
  <c r="AI40" i="220" s="1"/>
  <c r="Y40" i="220" s="1"/>
  <c r="AB40" i="220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C38" i="220"/>
  <c r="AE38" i="220" s="1"/>
  <c r="AI38" i="220" s="1"/>
  <c r="Y38" i="220" s="1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E35" i="220" s="1"/>
  <c r="AI35" i="220" s="1"/>
  <c r="Y35" i="220" s="1"/>
  <c r="AC35" i="220"/>
  <c r="AB35" i="220"/>
  <c r="Z35" i="220"/>
  <c r="X35" i="220"/>
  <c r="Q35" i="220"/>
  <c r="P35" i="220"/>
  <c r="H35" i="220"/>
  <c r="E35" i="220"/>
  <c r="I35" i="220" s="1"/>
  <c r="AD34" i="220"/>
  <c r="AC34" i="220"/>
  <c r="AB34" i="220"/>
  <c r="AE34" i="220" s="1"/>
  <c r="AI34" i="220" s="1"/>
  <c r="Y34" i="220" s="1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E32" i="220"/>
  <c r="AI32" i="220" s="1"/>
  <c r="Y32" i="220" s="1"/>
  <c r="AD32" i="220"/>
  <c r="AC32" i="220"/>
  <c r="AB32" i="220"/>
  <c r="Z32" i="220"/>
  <c r="X32" i="220"/>
  <c r="Q32" i="220"/>
  <c r="P32" i="220"/>
  <c r="I32" i="220"/>
  <c r="H32" i="220"/>
  <c r="E32" i="220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H29" i="220"/>
  <c r="E29" i="220"/>
  <c r="I29" i="220" s="1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D26" i="220"/>
  <c r="AC26" i="220"/>
  <c r="AB26" i="220"/>
  <c r="AE26" i="220" s="1"/>
  <c r="AI26" i="220" s="1"/>
  <c r="Y26" i="220" s="1"/>
  <c r="Z26" i="220"/>
  <c r="X26" i="220"/>
  <c r="Q26" i="220"/>
  <c r="P26" i="220"/>
  <c r="I26" i="220"/>
  <c r="H26" i="220"/>
  <c r="E26" i="220"/>
  <c r="AD25" i="220"/>
  <c r="AC25" i="220"/>
  <c r="AE25" i="220" s="1"/>
  <c r="AI25" i="220" s="1"/>
  <c r="Y25" i="220" s="1"/>
  <c r="AB25" i="220"/>
  <c r="Z25" i="220"/>
  <c r="X25" i="220"/>
  <c r="Q25" i="220"/>
  <c r="P25" i="220"/>
  <c r="H25" i="220"/>
  <c r="E25" i="220"/>
  <c r="I25" i="220" s="1"/>
  <c r="AD24" i="220"/>
  <c r="AC24" i="220"/>
  <c r="AB24" i="220"/>
  <c r="AE24" i="220" s="1"/>
  <c r="AI24" i="220" s="1"/>
  <c r="Y24" i="220" s="1"/>
  <c r="Z24" i="220"/>
  <c r="X24" i="220"/>
  <c r="Q24" i="220"/>
  <c r="P24" i="220"/>
  <c r="H24" i="220"/>
  <c r="E24" i="220"/>
  <c r="I24" i="220" s="1"/>
  <c r="AD23" i="220"/>
  <c r="AC23" i="220"/>
  <c r="AE23" i="220" s="1"/>
  <c r="AI23" i="220" s="1"/>
  <c r="Y23" i="220" s="1"/>
  <c r="AB23" i="220"/>
  <c r="Z23" i="220"/>
  <c r="X23" i="220"/>
  <c r="Q23" i="220"/>
  <c r="P23" i="220"/>
  <c r="H23" i="220"/>
  <c r="E23" i="220"/>
  <c r="I23" i="220" s="1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E20" i="220" s="1"/>
  <c r="AI20" i="220" s="1"/>
  <c r="Y20" i="220" s="1"/>
  <c r="AC20" i="220"/>
  <c r="AB20" i="220"/>
  <c r="Z20" i="220"/>
  <c r="X20" i="220"/>
  <c r="Q20" i="220"/>
  <c r="P20" i="220"/>
  <c r="H20" i="220"/>
  <c r="E20" i="220"/>
  <c r="I20" i="220" s="1"/>
  <c r="AD19" i="220"/>
  <c r="AC19" i="220"/>
  <c r="AB19" i="220"/>
  <c r="AE19" i="220" s="1"/>
  <c r="AI19" i="220" s="1"/>
  <c r="Y19" i="220" s="1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E17" i="220"/>
  <c r="AI17" i="220" s="1"/>
  <c r="Y17" i="220" s="1"/>
  <c r="AD17" i="220"/>
  <c r="AC17" i="220"/>
  <c r="AB17" i="220"/>
  <c r="Z17" i="220"/>
  <c r="X17" i="220"/>
  <c r="Q17" i="220"/>
  <c r="P17" i="220"/>
  <c r="I17" i="220"/>
  <c r="H17" i="220"/>
  <c r="E17" i="220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E15" i="220" s="1"/>
  <c r="AI15" i="220" s="1"/>
  <c r="Y15" i="220" s="1"/>
  <c r="AC15" i="220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O77" i="220" s="1"/>
  <c r="P14" i="220"/>
  <c r="H14" i="220"/>
  <c r="E14" i="220"/>
  <c r="I14" i="220" s="1"/>
  <c r="AD13" i="220"/>
  <c r="AC13" i="220"/>
  <c r="AE13" i="220" s="1"/>
  <c r="AI13" i="220" s="1"/>
  <c r="Y13" i="220" s="1"/>
  <c r="AB13" i="220"/>
  <c r="Z13" i="220"/>
  <c r="X13" i="220"/>
  <c r="Q13" i="220"/>
  <c r="P13" i="220"/>
  <c r="H13" i="220"/>
  <c r="E13" i="220"/>
  <c r="I13" i="220" s="1"/>
  <c r="AD12" i="220"/>
  <c r="AC12" i="220"/>
  <c r="AE12" i="220" s="1"/>
  <c r="AI12" i="220" s="1"/>
  <c r="Y12" i="220" s="1"/>
  <c r="T75" i="220" s="1"/>
  <c r="AB12" i="220"/>
  <c r="Z12" i="220"/>
  <c r="X12" i="220"/>
  <c r="T79" i="220" s="1"/>
  <c r="Q12" i="220"/>
  <c r="P12" i="220"/>
  <c r="H12" i="220"/>
  <c r="E12" i="220"/>
  <c r="I12" i="220" s="1"/>
  <c r="F79" i="221" l="1"/>
  <c r="T77" i="220"/>
  <c r="T81" i="220"/>
  <c r="O75" i="220"/>
  <c r="F75" i="220"/>
  <c r="F77" i="220"/>
  <c r="F79" i="220" l="1"/>
  <c r="M81" i="219" l="1"/>
  <c r="P73" i="219"/>
  <c r="H73" i="219"/>
  <c r="Q72" i="219"/>
  <c r="P72" i="219"/>
  <c r="I72" i="219"/>
  <c r="H72" i="219"/>
  <c r="E72" i="219"/>
  <c r="Q71" i="219"/>
  <c r="P71" i="219"/>
  <c r="I71" i="219"/>
  <c r="H71" i="219"/>
  <c r="E71" i="219"/>
  <c r="AD70" i="219"/>
  <c r="AC70" i="219"/>
  <c r="AB70" i="219"/>
  <c r="AE70" i="219" s="1"/>
  <c r="AI70" i="219" s="1"/>
  <c r="Y70" i="219" s="1"/>
  <c r="Z70" i="219"/>
  <c r="X70" i="219"/>
  <c r="Q70" i="219"/>
  <c r="P70" i="219"/>
  <c r="H70" i="219"/>
  <c r="E70" i="219"/>
  <c r="I70" i="219" s="1"/>
  <c r="AI69" i="219"/>
  <c r="AE69" i="219"/>
  <c r="AD69" i="219"/>
  <c r="AC69" i="219"/>
  <c r="AB69" i="219"/>
  <c r="Z69" i="219"/>
  <c r="Y69" i="219"/>
  <c r="X69" i="219"/>
  <c r="Q69" i="219"/>
  <c r="P69" i="219"/>
  <c r="I69" i="219"/>
  <c r="H69" i="219"/>
  <c r="E69" i="219"/>
  <c r="AD68" i="219"/>
  <c r="AE68" i="219" s="1"/>
  <c r="AI68" i="219" s="1"/>
  <c r="Y68" i="219" s="1"/>
  <c r="AC68" i="219"/>
  <c r="AB68" i="219"/>
  <c r="Z68" i="219"/>
  <c r="X68" i="219"/>
  <c r="Q68" i="219"/>
  <c r="P68" i="219"/>
  <c r="H68" i="219"/>
  <c r="E68" i="219"/>
  <c r="I68" i="219" s="1"/>
  <c r="AD67" i="219"/>
  <c r="AC67" i="219"/>
  <c r="AB67" i="219"/>
  <c r="AE67" i="219" s="1"/>
  <c r="AI67" i="219" s="1"/>
  <c r="Y67" i="219" s="1"/>
  <c r="Z67" i="219"/>
  <c r="X67" i="219"/>
  <c r="Q67" i="219"/>
  <c r="P67" i="219"/>
  <c r="H67" i="219"/>
  <c r="E67" i="219"/>
  <c r="I67" i="219" s="1"/>
  <c r="AD66" i="219"/>
  <c r="AC66" i="219"/>
  <c r="AE66" i="219" s="1"/>
  <c r="AI66" i="219" s="1"/>
  <c r="Y66" i="219" s="1"/>
  <c r="AB66" i="219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I65" i="219"/>
  <c r="H65" i="219"/>
  <c r="E65" i="219"/>
  <c r="AD64" i="219"/>
  <c r="AC64" i="219"/>
  <c r="AB64" i="219"/>
  <c r="AE64" i="219" s="1"/>
  <c r="AI64" i="219" s="1"/>
  <c r="Y64" i="219" s="1"/>
  <c r="Z64" i="219"/>
  <c r="X64" i="219"/>
  <c r="Q64" i="219"/>
  <c r="P64" i="219"/>
  <c r="I64" i="219"/>
  <c r="H64" i="219"/>
  <c r="E64" i="219"/>
  <c r="AE63" i="219"/>
  <c r="AI63" i="219" s="1"/>
  <c r="Y63" i="219" s="1"/>
  <c r="AC63" i="219"/>
  <c r="AB63" i="219"/>
  <c r="X63" i="219"/>
  <c r="Q63" i="219"/>
  <c r="P63" i="219"/>
  <c r="H63" i="219"/>
  <c r="E63" i="219"/>
  <c r="I63" i="219" s="1"/>
  <c r="AE62" i="219"/>
  <c r="AI62" i="219" s="1"/>
  <c r="Y62" i="219" s="1"/>
  <c r="X62" i="219"/>
  <c r="Q62" i="219"/>
  <c r="P62" i="219"/>
  <c r="I62" i="219"/>
  <c r="H62" i="219"/>
  <c r="E62" i="219"/>
  <c r="AC61" i="219"/>
  <c r="AB61" i="219"/>
  <c r="AE61" i="219" s="1"/>
  <c r="AI61" i="219" s="1"/>
  <c r="Y61" i="219" s="1"/>
  <c r="X61" i="219"/>
  <c r="Q61" i="219"/>
  <c r="P61" i="219"/>
  <c r="I61" i="219"/>
  <c r="H61" i="219"/>
  <c r="E61" i="219"/>
  <c r="AC60" i="219"/>
  <c r="AE60" i="219" s="1"/>
  <c r="AI60" i="219" s="1"/>
  <c r="Y60" i="219" s="1"/>
  <c r="AB60" i="219"/>
  <c r="X60" i="219"/>
  <c r="Q60" i="219"/>
  <c r="P60" i="219"/>
  <c r="E60" i="219"/>
  <c r="I60" i="219" s="1"/>
  <c r="AC59" i="219"/>
  <c r="AB59" i="219"/>
  <c r="AE59" i="219" s="1"/>
  <c r="AI59" i="219" s="1"/>
  <c r="Y59" i="219" s="1"/>
  <c r="X59" i="219"/>
  <c r="Q59" i="219"/>
  <c r="P59" i="219"/>
  <c r="I59" i="219"/>
  <c r="H59" i="219"/>
  <c r="E59" i="219"/>
  <c r="AD58" i="219"/>
  <c r="AC58" i="219"/>
  <c r="AB58" i="219"/>
  <c r="AE58" i="219" s="1"/>
  <c r="AI58" i="219" s="1"/>
  <c r="Y58" i="219" s="1"/>
  <c r="Z58" i="219"/>
  <c r="X58" i="219"/>
  <c r="Q58" i="219"/>
  <c r="P58" i="219"/>
  <c r="I58" i="219"/>
  <c r="H58" i="219"/>
  <c r="E58" i="219"/>
  <c r="AI57" i="219"/>
  <c r="Y57" i="219" s="1"/>
  <c r="AE57" i="219"/>
  <c r="AD57" i="219"/>
  <c r="AC57" i="219"/>
  <c r="AB57" i="219"/>
  <c r="Z57" i="219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H56" i="219"/>
  <c r="E56" i="219"/>
  <c r="I56" i="219" s="1"/>
  <c r="AE55" i="219"/>
  <c r="AI55" i="219" s="1"/>
  <c r="Y55" i="219" s="1"/>
  <c r="AD55" i="219"/>
  <c r="AC55" i="219"/>
  <c r="AB55" i="219"/>
  <c r="Z55" i="219"/>
  <c r="X55" i="219"/>
  <c r="Q55" i="219"/>
  <c r="P55" i="219"/>
  <c r="H55" i="219"/>
  <c r="E55" i="219"/>
  <c r="I55" i="219" s="1"/>
  <c r="AI54" i="219"/>
  <c r="AE54" i="219"/>
  <c r="Z54" i="219"/>
  <c r="Y54" i="219"/>
  <c r="X54" i="219"/>
  <c r="Q54" i="219"/>
  <c r="P54" i="219"/>
  <c r="H54" i="219"/>
  <c r="E54" i="219"/>
  <c r="I54" i="219" s="1"/>
  <c r="AI53" i="219"/>
  <c r="AE53" i="219"/>
  <c r="AD53" i="219"/>
  <c r="AC53" i="219"/>
  <c r="AB53" i="219"/>
  <c r="Z53" i="219"/>
  <c r="Y53" i="219"/>
  <c r="X53" i="219"/>
  <c r="Q53" i="219"/>
  <c r="P53" i="219"/>
  <c r="I53" i="219"/>
  <c r="H53" i="219"/>
  <c r="E53" i="219"/>
  <c r="AD52" i="219"/>
  <c r="AE52" i="219" s="1"/>
  <c r="AI52" i="219" s="1"/>
  <c r="Y52" i="219" s="1"/>
  <c r="AC52" i="219"/>
  <c r="AB52" i="219"/>
  <c r="Z52" i="219"/>
  <c r="X52" i="219"/>
  <c r="Q52" i="219"/>
  <c r="P52" i="219"/>
  <c r="H52" i="219"/>
  <c r="E52" i="219"/>
  <c r="I52" i="219" s="1"/>
  <c r="AI51" i="219"/>
  <c r="Y51" i="219" s="1"/>
  <c r="AE51" i="219"/>
  <c r="Z51" i="219"/>
  <c r="X51" i="219"/>
  <c r="Q51" i="219"/>
  <c r="P51" i="219"/>
  <c r="I51" i="219"/>
  <c r="H51" i="219"/>
  <c r="E51" i="219"/>
  <c r="AE50" i="219"/>
  <c r="AI50" i="219" s="1"/>
  <c r="Y50" i="219" s="1"/>
  <c r="Z50" i="219"/>
  <c r="X50" i="219"/>
  <c r="Q50" i="219"/>
  <c r="P50" i="219"/>
  <c r="I50" i="219"/>
  <c r="H50" i="219"/>
  <c r="E50" i="219"/>
  <c r="AE49" i="219"/>
  <c r="AI49" i="219" s="1"/>
  <c r="Y49" i="219" s="1"/>
  <c r="Z49" i="219"/>
  <c r="X49" i="219"/>
  <c r="Q49" i="219"/>
  <c r="P49" i="219"/>
  <c r="H49" i="219"/>
  <c r="E49" i="219"/>
  <c r="I49" i="219" s="1"/>
  <c r="AD48" i="219"/>
  <c r="AC48" i="219"/>
  <c r="AB48" i="219"/>
  <c r="AE48" i="219" s="1"/>
  <c r="AI48" i="219" s="1"/>
  <c r="Y48" i="219" s="1"/>
  <c r="Z48" i="219"/>
  <c r="X48" i="219"/>
  <c r="Q48" i="219"/>
  <c r="P48" i="219"/>
  <c r="H48" i="219"/>
  <c r="E48" i="219"/>
  <c r="I48" i="219" s="1"/>
  <c r="AD47" i="219"/>
  <c r="AC47" i="219"/>
  <c r="AE47" i="219" s="1"/>
  <c r="AI47" i="219" s="1"/>
  <c r="Y47" i="219" s="1"/>
  <c r="AB47" i="219"/>
  <c r="Z47" i="219"/>
  <c r="X47" i="219"/>
  <c r="Q47" i="219"/>
  <c r="P47" i="219"/>
  <c r="I47" i="219"/>
  <c r="H47" i="219"/>
  <c r="E47" i="219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I45" i="219"/>
  <c r="Y45" i="219" s="1"/>
  <c r="AE45" i="219"/>
  <c r="AD45" i="219"/>
  <c r="AC45" i="219"/>
  <c r="AB45" i="219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H44" i="219"/>
  <c r="E44" i="219"/>
  <c r="I44" i="219" s="1"/>
  <c r="AE43" i="219"/>
  <c r="AI43" i="219" s="1"/>
  <c r="Y43" i="219" s="1"/>
  <c r="AD43" i="219"/>
  <c r="AC43" i="219"/>
  <c r="AB43" i="219"/>
  <c r="Z43" i="219"/>
  <c r="X43" i="219"/>
  <c r="Q43" i="219"/>
  <c r="P43" i="219"/>
  <c r="H43" i="219"/>
  <c r="E43" i="219"/>
  <c r="I43" i="219" s="1"/>
  <c r="AD42" i="219"/>
  <c r="AC42" i="219"/>
  <c r="AB42" i="219"/>
  <c r="AE42" i="219" s="1"/>
  <c r="AI42" i="219" s="1"/>
  <c r="Y42" i="219" s="1"/>
  <c r="Z42" i="219"/>
  <c r="X42" i="219"/>
  <c r="Q42" i="219"/>
  <c r="P42" i="219"/>
  <c r="I42" i="219"/>
  <c r="H42" i="219"/>
  <c r="E42" i="219"/>
  <c r="AD41" i="219"/>
  <c r="AC41" i="219"/>
  <c r="AB41" i="219"/>
  <c r="AE41" i="219" s="1"/>
  <c r="AI41" i="219" s="1"/>
  <c r="Y41" i="219" s="1"/>
  <c r="Z41" i="219"/>
  <c r="X41" i="219"/>
  <c r="Q41" i="219"/>
  <c r="P41" i="219"/>
  <c r="H41" i="219"/>
  <c r="E41" i="219"/>
  <c r="I41" i="219" s="1"/>
  <c r="AI40" i="219"/>
  <c r="Y40" i="219" s="1"/>
  <c r="AE40" i="219"/>
  <c r="AD40" i="219"/>
  <c r="AC40" i="219"/>
  <c r="AB40" i="219"/>
  <c r="Z40" i="219"/>
  <c r="X40" i="219"/>
  <c r="Q40" i="219"/>
  <c r="P40" i="219"/>
  <c r="I40" i="219"/>
  <c r="H40" i="219"/>
  <c r="E40" i="219"/>
  <c r="AD39" i="219"/>
  <c r="AE39" i="219" s="1"/>
  <c r="AI39" i="219" s="1"/>
  <c r="Y39" i="219" s="1"/>
  <c r="AC39" i="219"/>
  <c r="AB39" i="219"/>
  <c r="Z39" i="219"/>
  <c r="X39" i="219"/>
  <c r="Q39" i="219"/>
  <c r="P39" i="219"/>
  <c r="H39" i="219"/>
  <c r="E39" i="219"/>
  <c r="I39" i="219" s="1"/>
  <c r="AD38" i="219"/>
  <c r="AC38" i="219"/>
  <c r="AB38" i="219"/>
  <c r="AE38" i="219" s="1"/>
  <c r="AI38" i="219" s="1"/>
  <c r="Y38" i="219" s="1"/>
  <c r="Z38" i="219"/>
  <c r="X38" i="219"/>
  <c r="Q38" i="219"/>
  <c r="P38" i="219"/>
  <c r="H38" i="219"/>
  <c r="E38" i="219"/>
  <c r="I38" i="219" s="1"/>
  <c r="AD37" i="219"/>
  <c r="AC37" i="219"/>
  <c r="AE37" i="219" s="1"/>
  <c r="AI37" i="219" s="1"/>
  <c r="Y37" i="219" s="1"/>
  <c r="AB37" i="219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I36" i="219"/>
  <c r="H36" i="219"/>
  <c r="E36" i="219"/>
  <c r="AD35" i="219"/>
  <c r="AC35" i="219"/>
  <c r="AB35" i="219"/>
  <c r="AE35" i="219" s="1"/>
  <c r="AI35" i="219" s="1"/>
  <c r="Y35" i="219" s="1"/>
  <c r="Z35" i="219"/>
  <c r="X35" i="219"/>
  <c r="Q35" i="219"/>
  <c r="P35" i="219"/>
  <c r="H35" i="219"/>
  <c r="E35" i="219"/>
  <c r="I35" i="219" s="1"/>
  <c r="AE34" i="219"/>
  <c r="AI34" i="219" s="1"/>
  <c r="Y34" i="219" s="1"/>
  <c r="AD34" i="219"/>
  <c r="AC34" i="219"/>
  <c r="AB34" i="219"/>
  <c r="Z34" i="219"/>
  <c r="X34" i="219"/>
  <c r="Q34" i="219"/>
  <c r="P34" i="219"/>
  <c r="H34" i="219"/>
  <c r="E34" i="219"/>
  <c r="I34" i="219" s="1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D32" i="219"/>
  <c r="AC32" i="219"/>
  <c r="AB32" i="219"/>
  <c r="AE32" i="219" s="1"/>
  <c r="AI32" i="219" s="1"/>
  <c r="Y32" i="219" s="1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I30" i="219"/>
  <c r="Y30" i="219" s="1"/>
  <c r="AE30" i="219"/>
  <c r="AD30" i="219"/>
  <c r="AC30" i="219"/>
  <c r="AB30" i="219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H29" i="219"/>
  <c r="E29" i="219"/>
  <c r="I29" i="219" s="1"/>
  <c r="AD28" i="219"/>
  <c r="AC28" i="219"/>
  <c r="AE28" i="219" s="1"/>
  <c r="AI28" i="219" s="1"/>
  <c r="Y28" i="219" s="1"/>
  <c r="AB28" i="219"/>
  <c r="Z28" i="219"/>
  <c r="X28" i="219"/>
  <c r="Q28" i="219"/>
  <c r="P28" i="219"/>
  <c r="H28" i="219"/>
  <c r="E28" i="219"/>
  <c r="I28" i="219" s="1"/>
  <c r="AD27" i="219"/>
  <c r="AC27" i="219"/>
  <c r="AB27" i="219"/>
  <c r="AE27" i="219" s="1"/>
  <c r="AI27" i="219" s="1"/>
  <c r="Y27" i="219" s="1"/>
  <c r="Z27" i="219"/>
  <c r="X27" i="219"/>
  <c r="Q27" i="219"/>
  <c r="P27" i="219"/>
  <c r="I27" i="219"/>
  <c r="H27" i="219"/>
  <c r="E27" i="219"/>
  <c r="AD26" i="219"/>
  <c r="AC26" i="219"/>
  <c r="AB26" i="219"/>
  <c r="AE26" i="219" s="1"/>
  <c r="AI26" i="219" s="1"/>
  <c r="Y26" i="219" s="1"/>
  <c r="Z26" i="219"/>
  <c r="X26" i="219"/>
  <c r="Q26" i="219"/>
  <c r="P26" i="219"/>
  <c r="H26" i="219"/>
  <c r="E26" i="219"/>
  <c r="I26" i="219" s="1"/>
  <c r="AI25" i="219"/>
  <c r="Y25" i="219" s="1"/>
  <c r="AE25" i="219"/>
  <c r="AD25" i="219"/>
  <c r="AC25" i="219"/>
  <c r="AB25" i="219"/>
  <c r="Z25" i="219"/>
  <c r="X25" i="219"/>
  <c r="Q25" i="219"/>
  <c r="P25" i="219"/>
  <c r="H25" i="219"/>
  <c r="E25" i="219"/>
  <c r="I25" i="219" s="1"/>
  <c r="AD24" i="219"/>
  <c r="AE24" i="219" s="1"/>
  <c r="AI24" i="219" s="1"/>
  <c r="Y24" i="219" s="1"/>
  <c r="AC24" i="219"/>
  <c r="AB24" i="219"/>
  <c r="Z24" i="219"/>
  <c r="X24" i="219"/>
  <c r="Q24" i="219"/>
  <c r="P24" i="219"/>
  <c r="H24" i="219"/>
  <c r="E24" i="219"/>
  <c r="I24" i="219" s="1"/>
  <c r="AD23" i="219"/>
  <c r="AC23" i="219"/>
  <c r="AB23" i="219"/>
  <c r="AE23" i="219" s="1"/>
  <c r="AI23" i="219" s="1"/>
  <c r="Y23" i="219" s="1"/>
  <c r="Z23" i="219"/>
  <c r="X23" i="219"/>
  <c r="Q23" i="219"/>
  <c r="P23" i="219"/>
  <c r="H23" i="219"/>
  <c r="E23" i="219"/>
  <c r="I23" i="219" s="1"/>
  <c r="AD22" i="219"/>
  <c r="AC22" i="219"/>
  <c r="AE22" i="219" s="1"/>
  <c r="AI22" i="219" s="1"/>
  <c r="Y22" i="219" s="1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I21" i="219"/>
  <c r="H21" i="219"/>
  <c r="E21" i="219"/>
  <c r="AD20" i="219"/>
  <c r="AC20" i="219"/>
  <c r="AB20" i="219"/>
  <c r="AE20" i="219" s="1"/>
  <c r="AI20" i="219" s="1"/>
  <c r="Y20" i="219" s="1"/>
  <c r="Z20" i="219"/>
  <c r="X20" i="219"/>
  <c r="Q20" i="219"/>
  <c r="P20" i="219"/>
  <c r="I20" i="219"/>
  <c r="H20" i="219"/>
  <c r="E20" i="219"/>
  <c r="AE19" i="219"/>
  <c r="AI19" i="219" s="1"/>
  <c r="Y19" i="219" s="1"/>
  <c r="AD19" i="219"/>
  <c r="AC19" i="219"/>
  <c r="AB19" i="219"/>
  <c r="Z19" i="219"/>
  <c r="X19" i="219"/>
  <c r="Q19" i="219"/>
  <c r="P19" i="219"/>
  <c r="H19" i="219"/>
  <c r="E19" i="219"/>
  <c r="I19" i="219" s="1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D17" i="219"/>
  <c r="AC17" i="219"/>
  <c r="AB17" i="219"/>
  <c r="AE17" i="219" s="1"/>
  <c r="AI17" i="219" s="1"/>
  <c r="Y17" i="219" s="1"/>
  <c r="Z17" i="219"/>
  <c r="X17" i="219"/>
  <c r="Q17" i="219"/>
  <c r="P17" i="219"/>
  <c r="H17" i="219"/>
  <c r="E17" i="219"/>
  <c r="I17" i="219" s="1"/>
  <c r="AD16" i="219"/>
  <c r="AC16" i="219"/>
  <c r="AB16" i="219"/>
  <c r="AE16" i="219" s="1"/>
  <c r="AI16" i="219" s="1"/>
  <c r="Y16" i="219" s="1"/>
  <c r="Z16" i="219"/>
  <c r="X16" i="219"/>
  <c r="Q16" i="219"/>
  <c r="P16" i="219"/>
  <c r="I16" i="219"/>
  <c r="E16" i="219"/>
  <c r="AD15" i="219"/>
  <c r="AC15" i="219"/>
  <c r="AB15" i="219"/>
  <c r="AE15" i="219" s="1"/>
  <c r="AI15" i="219" s="1"/>
  <c r="Y15" i="219" s="1"/>
  <c r="Z15" i="219"/>
  <c r="X15" i="219"/>
  <c r="Q15" i="219"/>
  <c r="P15" i="219"/>
  <c r="E15" i="219"/>
  <c r="I15" i="219" s="1"/>
  <c r="AD14" i="219"/>
  <c r="AC14" i="219"/>
  <c r="AE14" i="219" s="1"/>
  <c r="AI14" i="219" s="1"/>
  <c r="Y14" i="219" s="1"/>
  <c r="AB14" i="219"/>
  <c r="Z14" i="219"/>
  <c r="X14" i="219"/>
  <c r="Q14" i="219"/>
  <c r="O77" i="219" s="1"/>
  <c r="P14" i="219"/>
  <c r="H14" i="219"/>
  <c r="E14" i="219"/>
  <c r="I14" i="219" s="1"/>
  <c r="AD13" i="219"/>
  <c r="AC13" i="219"/>
  <c r="AB13" i="219"/>
  <c r="AE13" i="219" s="1"/>
  <c r="AI13" i="219" s="1"/>
  <c r="Y13" i="219" s="1"/>
  <c r="Z13" i="219"/>
  <c r="X13" i="219"/>
  <c r="Q13" i="219"/>
  <c r="P13" i="219"/>
  <c r="H13" i="219"/>
  <c r="E13" i="219"/>
  <c r="I13" i="219" s="1"/>
  <c r="AD12" i="219"/>
  <c r="AC12" i="219"/>
  <c r="AE12" i="219" s="1"/>
  <c r="AI12" i="219" s="1"/>
  <c r="Y12" i="219" s="1"/>
  <c r="T75" i="219" s="1"/>
  <c r="T81" i="219" s="1"/>
  <c r="AB12" i="219"/>
  <c r="Z12" i="219"/>
  <c r="T77" i="219" s="1"/>
  <c r="X12" i="219"/>
  <c r="T79" i="219" s="1"/>
  <c r="Q12" i="219"/>
  <c r="P12" i="219"/>
  <c r="H12" i="219"/>
  <c r="E12" i="219"/>
  <c r="I12" i="219" s="1"/>
  <c r="O75" i="219" l="1"/>
  <c r="F77" i="219"/>
  <c r="F75" i="219"/>
  <c r="M81" i="218"/>
  <c r="P73" i="218"/>
  <c r="H73" i="218"/>
  <c r="Q72" i="218"/>
  <c r="P72" i="218"/>
  <c r="I72" i="218"/>
  <c r="H72" i="218"/>
  <c r="E72" i="218"/>
  <c r="Q71" i="218"/>
  <c r="P71" i="218"/>
  <c r="H71" i="218"/>
  <c r="E71" i="218"/>
  <c r="I71" i="218" s="1"/>
  <c r="AD70" i="218"/>
  <c r="AC70" i="218"/>
  <c r="AB70" i="218"/>
  <c r="AE70" i="218" s="1"/>
  <c r="AI70" i="218" s="1"/>
  <c r="Y70" i="218" s="1"/>
  <c r="Z70" i="218"/>
  <c r="X70" i="218"/>
  <c r="Q70" i="218"/>
  <c r="P70" i="218"/>
  <c r="H70" i="218"/>
  <c r="E70" i="218"/>
  <c r="I70" i="218" s="1"/>
  <c r="AE69" i="218"/>
  <c r="AI69" i="218" s="1"/>
  <c r="Y69" i="218" s="1"/>
  <c r="AD69" i="218"/>
  <c r="AC69" i="218"/>
  <c r="AB69" i="218"/>
  <c r="Z69" i="218"/>
  <c r="X69" i="218"/>
  <c r="Q69" i="218"/>
  <c r="P69" i="218"/>
  <c r="I69" i="218"/>
  <c r="H69" i="218"/>
  <c r="E69" i="218"/>
  <c r="AD68" i="218"/>
  <c r="AE68" i="218" s="1"/>
  <c r="AI68" i="218" s="1"/>
  <c r="Y68" i="218" s="1"/>
  <c r="AC68" i="218"/>
  <c r="AB68" i="218"/>
  <c r="Z68" i="218"/>
  <c r="X68" i="218"/>
  <c r="Q68" i="218"/>
  <c r="P68" i="218"/>
  <c r="I68" i="218"/>
  <c r="H68" i="218"/>
  <c r="E68" i="218"/>
  <c r="AD67" i="218"/>
  <c r="AE67" i="218" s="1"/>
  <c r="AI67" i="218" s="1"/>
  <c r="Y67" i="218" s="1"/>
  <c r="AC67" i="218"/>
  <c r="AB67" i="218"/>
  <c r="Z67" i="218"/>
  <c r="X67" i="218"/>
  <c r="Q67" i="218"/>
  <c r="P67" i="218"/>
  <c r="H67" i="218"/>
  <c r="E67" i="218"/>
  <c r="I67" i="218" s="1"/>
  <c r="AD66" i="218"/>
  <c r="AC66" i="218"/>
  <c r="AE66" i="218" s="1"/>
  <c r="AI66" i="218" s="1"/>
  <c r="Y66" i="218" s="1"/>
  <c r="AB66" i="218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I65" i="218"/>
  <c r="H65" i="218"/>
  <c r="E65" i="218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C63" i="218"/>
  <c r="AB63" i="218"/>
  <c r="X63" i="218"/>
  <c r="Q63" i="218"/>
  <c r="P63" i="218"/>
  <c r="H63" i="218"/>
  <c r="E63" i="218"/>
  <c r="I63" i="218" s="1"/>
  <c r="AE62" i="218"/>
  <c r="AI62" i="218" s="1"/>
  <c r="Y62" i="218" s="1"/>
  <c r="X62" i="218"/>
  <c r="Q62" i="218"/>
  <c r="P62" i="218"/>
  <c r="I62" i="218"/>
  <c r="H62" i="218"/>
  <c r="E62" i="218"/>
  <c r="AI61" i="218"/>
  <c r="AE61" i="218"/>
  <c r="AC61" i="218"/>
  <c r="AB61" i="218"/>
  <c r="Y61" i="218"/>
  <c r="X61" i="218"/>
  <c r="Q61" i="218"/>
  <c r="P61" i="218"/>
  <c r="I61" i="218"/>
  <c r="H61" i="218"/>
  <c r="E61" i="218"/>
  <c r="AC60" i="218"/>
  <c r="AE60" i="218" s="1"/>
  <c r="AI60" i="218" s="1"/>
  <c r="Y60" i="218" s="1"/>
  <c r="AB60" i="218"/>
  <c r="X60" i="218"/>
  <c r="Q60" i="218"/>
  <c r="P60" i="218"/>
  <c r="E60" i="218"/>
  <c r="I60" i="218" s="1"/>
  <c r="AC59" i="218"/>
  <c r="AB59" i="218"/>
  <c r="AE59" i="218" s="1"/>
  <c r="AI59" i="218" s="1"/>
  <c r="Y59" i="218" s="1"/>
  <c r="X59" i="218"/>
  <c r="Q59" i="218"/>
  <c r="P59" i="218"/>
  <c r="I59" i="218"/>
  <c r="H59" i="218"/>
  <c r="E59" i="218"/>
  <c r="AD58" i="218"/>
  <c r="AC58" i="218"/>
  <c r="AB58" i="218"/>
  <c r="AE58" i="218" s="1"/>
  <c r="AI58" i="218" s="1"/>
  <c r="Y58" i="218" s="1"/>
  <c r="Z58" i="218"/>
  <c r="X58" i="218"/>
  <c r="Q58" i="218"/>
  <c r="P58" i="218"/>
  <c r="I58" i="218"/>
  <c r="H58" i="218"/>
  <c r="E58" i="218"/>
  <c r="AD57" i="218"/>
  <c r="AC57" i="218"/>
  <c r="AB57" i="218"/>
  <c r="AE57" i="218" s="1"/>
  <c r="AI57" i="218" s="1"/>
  <c r="Y57" i="218" s="1"/>
  <c r="Z57" i="218"/>
  <c r="X57" i="218"/>
  <c r="Q57" i="218"/>
  <c r="P57" i="218"/>
  <c r="H57" i="218"/>
  <c r="E57" i="218"/>
  <c r="I57" i="218" s="1"/>
  <c r="AD56" i="218"/>
  <c r="AC56" i="218"/>
  <c r="AE56" i="218" s="1"/>
  <c r="AI56" i="218" s="1"/>
  <c r="Y56" i="218" s="1"/>
  <c r="AB56" i="218"/>
  <c r="Z56" i="218"/>
  <c r="X56" i="218"/>
  <c r="Q56" i="218"/>
  <c r="P56" i="218"/>
  <c r="H56" i="218"/>
  <c r="E56" i="218"/>
  <c r="I56" i="218" s="1"/>
  <c r="AE55" i="218"/>
  <c r="AI55" i="218" s="1"/>
  <c r="Y55" i="218" s="1"/>
  <c r="AD55" i="218"/>
  <c r="AC55" i="218"/>
  <c r="AB55" i="218"/>
  <c r="Z55" i="218"/>
  <c r="X55" i="218"/>
  <c r="Q55" i="218"/>
  <c r="P55" i="218"/>
  <c r="I55" i="218"/>
  <c r="H55" i="218"/>
  <c r="E55" i="218"/>
  <c r="AE54" i="218"/>
  <c r="AI54" i="218" s="1"/>
  <c r="Y54" i="218" s="1"/>
  <c r="Z54" i="218"/>
  <c r="X54" i="218"/>
  <c r="Q54" i="218"/>
  <c r="P54" i="218"/>
  <c r="H54" i="218"/>
  <c r="E54" i="218"/>
  <c r="I54" i="218" s="1"/>
  <c r="AD53" i="218"/>
  <c r="AE53" i="218" s="1"/>
  <c r="AI53" i="218" s="1"/>
  <c r="Y53" i="218" s="1"/>
  <c r="AC53" i="218"/>
  <c r="AB53" i="218"/>
  <c r="Z53" i="218"/>
  <c r="X53" i="218"/>
  <c r="Q53" i="218"/>
  <c r="P53" i="218"/>
  <c r="I53" i="218"/>
  <c r="H53" i="218"/>
  <c r="E53" i="218"/>
  <c r="AD52" i="218"/>
  <c r="AE52" i="218" s="1"/>
  <c r="AI52" i="218" s="1"/>
  <c r="Y52" i="218" s="1"/>
  <c r="AC52" i="218"/>
  <c r="AB52" i="218"/>
  <c r="Z52" i="218"/>
  <c r="X52" i="218"/>
  <c r="Q52" i="218"/>
  <c r="P52" i="218"/>
  <c r="I52" i="218"/>
  <c r="H52" i="218"/>
  <c r="E52" i="218"/>
  <c r="AI51" i="218"/>
  <c r="Y51" i="218" s="1"/>
  <c r="AE51" i="218"/>
  <c r="Z51" i="218"/>
  <c r="X51" i="218"/>
  <c r="Q51" i="218"/>
  <c r="P51" i="218"/>
  <c r="I51" i="218"/>
  <c r="H51" i="218"/>
  <c r="E51" i="218"/>
  <c r="AE50" i="218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H49" i="218"/>
  <c r="E49" i="218"/>
  <c r="I49" i="218" s="1"/>
  <c r="AD48" i="218"/>
  <c r="AC48" i="218"/>
  <c r="AB48" i="218"/>
  <c r="AE48" i="218" s="1"/>
  <c r="AI48" i="218" s="1"/>
  <c r="Y48" i="218" s="1"/>
  <c r="Z48" i="218"/>
  <c r="X48" i="218"/>
  <c r="Q48" i="218"/>
  <c r="P48" i="218"/>
  <c r="I48" i="218"/>
  <c r="H48" i="218"/>
  <c r="E48" i="218"/>
  <c r="AD47" i="218"/>
  <c r="AC47" i="218"/>
  <c r="AE47" i="218" s="1"/>
  <c r="AI47" i="218" s="1"/>
  <c r="Y47" i="218" s="1"/>
  <c r="AB47" i="218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I46" i="218"/>
  <c r="H46" i="218"/>
  <c r="E46" i="218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I44" i="218"/>
  <c r="Y44" i="218" s="1"/>
  <c r="AE44" i="218"/>
  <c r="AD44" i="218"/>
  <c r="AC44" i="218"/>
  <c r="AB44" i="218"/>
  <c r="Z44" i="218"/>
  <c r="X44" i="218"/>
  <c r="Q44" i="218"/>
  <c r="P44" i="218"/>
  <c r="H44" i="218"/>
  <c r="E44" i="218"/>
  <c r="I44" i="218" s="1"/>
  <c r="AE43" i="218"/>
  <c r="AI43" i="218" s="1"/>
  <c r="Y43" i="218" s="1"/>
  <c r="AD43" i="218"/>
  <c r="AC43" i="218"/>
  <c r="AB43" i="218"/>
  <c r="Z43" i="218"/>
  <c r="X43" i="218"/>
  <c r="Q43" i="218"/>
  <c r="P43" i="218"/>
  <c r="I43" i="218"/>
  <c r="H43" i="218"/>
  <c r="E43" i="218"/>
  <c r="AD42" i="218"/>
  <c r="AC42" i="218"/>
  <c r="AB42" i="218"/>
  <c r="AE42" i="218" s="1"/>
  <c r="AI42" i="218" s="1"/>
  <c r="Y42" i="218" s="1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E40" i="218"/>
  <c r="AI40" i="218" s="1"/>
  <c r="Y40" i="218" s="1"/>
  <c r="AD40" i="218"/>
  <c r="AC40" i="218"/>
  <c r="AB40" i="218"/>
  <c r="Z40" i="218"/>
  <c r="X40" i="218"/>
  <c r="Q40" i="218"/>
  <c r="P40" i="218"/>
  <c r="H40" i="218"/>
  <c r="E40" i="218"/>
  <c r="I40" i="218" s="1"/>
  <c r="AD39" i="218"/>
  <c r="AC39" i="218"/>
  <c r="AB39" i="218"/>
  <c r="AE39" i="218" s="1"/>
  <c r="AI39" i="218" s="1"/>
  <c r="Y39" i="218" s="1"/>
  <c r="Z39" i="218"/>
  <c r="X39" i="218"/>
  <c r="Q39" i="218"/>
  <c r="P39" i="218"/>
  <c r="I39" i="218"/>
  <c r="H39" i="218"/>
  <c r="E39" i="218"/>
  <c r="AD38" i="218"/>
  <c r="AE38" i="218" s="1"/>
  <c r="AI38" i="218" s="1"/>
  <c r="Y38" i="218" s="1"/>
  <c r="AC38" i="218"/>
  <c r="AB38" i="218"/>
  <c r="Z38" i="218"/>
  <c r="X38" i="218"/>
  <c r="Q38" i="218"/>
  <c r="P38" i="218"/>
  <c r="H38" i="218"/>
  <c r="E38" i="218"/>
  <c r="I38" i="218" s="1"/>
  <c r="AD37" i="218"/>
  <c r="AC37" i="218"/>
  <c r="AE37" i="218" s="1"/>
  <c r="AI37" i="218" s="1"/>
  <c r="Y37" i="218" s="1"/>
  <c r="AB37" i="218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I35" i="218"/>
  <c r="Y35" i="218" s="1"/>
  <c r="AE35" i="218"/>
  <c r="AD35" i="218"/>
  <c r="AC35" i="218"/>
  <c r="AB35" i="218"/>
  <c r="Z35" i="218"/>
  <c r="X35" i="218"/>
  <c r="Q35" i="218"/>
  <c r="P35" i="218"/>
  <c r="I35" i="218"/>
  <c r="H35" i="218"/>
  <c r="E35" i="218"/>
  <c r="AD34" i="218"/>
  <c r="AC34" i="218"/>
  <c r="AE34" i="218" s="1"/>
  <c r="AI34" i="218" s="1"/>
  <c r="Y34" i="218" s="1"/>
  <c r="AB34" i="218"/>
  <c r="Z34" i="218"/>
  <c r="X34" i="218"/>
  <c r="Q34" i="218"/>
  <c r="P34" i="218"/>
  <c r="H34" i="218"/>
  <c r="E34" i="218"/>
  <c r="I34" i="218" s="1"/>
  <c r="AE33" i="218"/>
  <c r="AI33" i="218" s="1"/>
  <c r="Y33" i="218" s="1"/>
  <c r="AD33" i="218"/>
  <c r="AC33" i="218"/>
  <c r="AB33" i="218"/>
  <c r="Z33" i="218"/>
  <c r="X33" i="218"/>
  <c r="Q33" i="218"/>
  <c r="P33" i="218"/>
  <c r="H33" i="218"/>
  <c r="E33" i="218"/>
  <c r="I33" i="218" s="1"/>
  <c r="AD32" i="218"/>
  <c r="AC32" i="218"/>
  <c r="AB32" i="218"/>
  <c r="AE32" i="218" s="1"/>
  <c r="AI32" i="218" s="1"/>
  <c r="Y32" i="218" s="1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H30" i="218"/>
  <c r="E30" i="218"/>
  <c r="I30" i="218" s="1"/>
  <c r="AI29" i="218"/>
  <c r="Y29" i="218" s="1"/>
  <c r="AE29" i="218"/>
  <c r="AD29" i="218"/>
  <c r="AC29" i="218"/>
  <c r="AB29" i="218"/>
  <c r="Z29" i="218"/>
  <c r="X29" i="218"/>
  <c r="Q29" i="218"/>
  <c r="P29" i="218"/>
  <c r="H29" i="218"/>
  <c r="E29" i="218"/>
  <c r="I29" i="218" s="1"/>
  <c r="AD28" i="218"/>
  <c r="AC28" i="218"/>
  <c r="AE28" i="218" s="1"/>
  <c r="AI28" i="218" s="1"/>
  <c r="Y28" i="218" s="1"/>
  <c r="AB28" i="218"/>
  <c r="Z28" i="218"/>
  <c r="X28" i="218"/>
  <c r="Q28" i="218"/>
  <c r="P28" i="218"/>
  <c r="I28" i="218"/>
  <c r="H28" i="218"/>
  <c r="E28" i="218"/>
  <c r="AD27" i="218"/>
  <c r="AC27" i="218"/>
  <c r="AB27" i="218"/>
  <c r="AE27" i="218" s="1"/>
  <c r="AI27" i="218" s="1"/>
  <c r="Y27" i="218" s="1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I26" i="218"/>
  <c r="H26" i="218"/>
  <c r="E26" i="218"/>
  <c r="AE25" i="218"/>
  <c r="AI25" i="218" s="1"/>
  <c r="Y25" i="218" s="1"/>
  <c r="AD25" i="218"/>
  <c r="AC25" i="218"/>
  <c r="AB25" i="218"/>
  <c r="Z25" i="218"/>
  <c r="X25" i="218"/>
  <c r="Q25" i="218"/>
  <c r="P25" i="218"/>
  <c r="H25" i="218"/>
  <c r="E25" i="218"/>
  <c r="I25" i="218" s="1"/>
  <c r="AD24" i="218"/>
  <c r="AC24" i="218"/>
  <c r="AB24" i="218"/>
  <c r="AE24" i="218" s="1"/>
  <c r="AI24" i="218" s="1"/>
  <c r="Y24" i="218" s="1"/>
  <c r="Z24" i="218"/>
  <c r="X24" i="218"/>
  <c r="Q24" i="218"/>
  <c r="P24" i="218"/>
  <c r="I24" i="218"/>
  <c r="H24" i="218"/>
  <c r="E24" i="218"/>
  <c r="AD23" i="218"/>
  <c r="AE23" i="218" s="1"/>
  <c r="AI23" i="218" s="1"/>
  <c r="Y23" i="218" s="1"/>
  <c r="AC23" i="218"/>
  <c r="AB23" i="218"/>
  <c r="Z23" i="218"/>
  <c r="X23" i="218"/>
  <c r="Q23" i="218"/>
  <c r="P23" i="218"/>
  <c r="H23" i="218"/>
  <c r="E23" i="218"/>
  <c r="I23" i="218" s="1"/>
  <c r="AD22" i="218"/>
  <c r="AC22" i="218"/>
  <c r="AE22" i="218" s="1"/>
  <c r="AI22" i="218" s="1"/>
  <c r="Y22" i="218" s="1"/>
  <c r="AB22" i="218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I20" i="218"/>
  <c r="Y20" i="218" s="1"/>
  <c r="AE20" i="218"/>
  <c r="AD20" i="218"/>
  <c r="AC20" i="218"/>
  <c r="AB20" i="218"/>
  <c r="Z20" i="218"/>
  <c r="X20" i="218"/>
  <c r="Q20" i="218"/>
  <c r="P20" i="218"/>
  <c r="I20" i="218"/>
  <c r="H20" i="218"/>
  <c r="E20" i="218"/>
  <c r="AD19" i="218"/>
  <c r="AC19" i="218"/>
  <c r="AB19" i="218"/>
  <c r="AE19" i="218" s="1"/>
  <c r="AI19" i="218" s="1"/>
  <c r="Y19" i="218" s="1"/>
  <c r="Z19" i="218"/>
  <c r="X19" i="218"/>
  <c r="Q19" i="218"/>
  <c r="P19" i="218"/>
  <c r="H19" i="218"/>
  <c r="E19" i="218"/>
  <c r="I19" i="218" s="1"/>
  <c r="AE18" i="218"/>
  <c r="AI18" i="218" s="1"/>
  <c r="Y18" i="218" s="1"/>
  <c r="AD18" i="218"/>
  <c r="AC18" i="218"/>
  <c r="AB18" i="218"/>
  <c r="Z18" i="218"/>
  <c r="X18" i="218"/>
  <c r="Q18" i="218"/>
  <c r="P18" i="218"/>
  <c r="H18" i="218"/>
  <c r="E18" i="218"/>
  <c r="I18" i="218" s="1"/>
  <c r="AD17" i="218"/>
  <c r="AC17" i="218"/>
  <c r="AB17" i="218"/>
  <c r="AE17" i="218" s="1"/>
  <c r="AI17" i="218" s="1"/>
  <c r="Y17" i="218" s="1"/>
  <c r="Z17" i="218"/>
  <c r="X17" i="218"/>
  <c r="Q17" i="218"/>
  <c r="P17" i="218"/>
  <c r="I17" i="218"/>
  <c r="H17" i="218"/>
  <c r="E17" i="218"/>
  <c r="AD16" i="218"/>
  <c r="AC16" i="218"/>
  <c r="AE16" i="218" s="1"/>
  <c r="AI16" i="218" s="1"/>
  <c r="Y16" i="218" s="1"/>
  <c r="AB16" i="218"/>
  <c r="Z16" i="218"/>
  <c r="X16" i="218"/>
  <c r="Q16" i="218"/>
  <c r="P16" i="218"/>
  <c r="I16" i="218"/>
  <c r="E16" i="218"/>
  <c r="AI15" i="218"/>
  <c r="Y15" i="218" s="1"/>
  <c r="AE15" i="218"/>
  <c r="AD15" i="218"/>
  <c r="AC15" i="218"/>
  <c r="AB15" i="218"/>
  <c r="Z15" i="218"/>
  <c r="X15" i="218"/>
  <c r="Q15" i="218"/>
  <c r="P15" i="218"/>
  <c r="E15" i="218"/>
  <c r="I15" i="218" s="1"/>
  <c r="AD14" i="218"/>
  <c r="AC14" i="218"/>
  <c r="AB14" i="218"/>
  <c r="AE14" i="218" s="1"/>
  <c r="AI14" i="218" s="1"/>
  <c r="Y14" i="218" s="1"/>
  <c r="Z14" i="218"/>
  <c r="X14" i="218"/>
  <c r="Q14" i="218"/>
  <c r="P14" i="218"/>
  <c r="I14" i="218"/>
  <c r="H14" i="218"/>
  <c r="E14" i="218"/>
  <c r="AD13" i="218"/>
  <c r="AE13" i="218" s="1"/>
  <c r="AI13" i="218" s="1"/>
  <c r="Y13" i="218" s="1"/>
  <c r="AC13" i="218"/>
  <c r="AB13" i="218"/>
  <c r="Z13" i="218"/>
  <c r="X13" i="218"/>
  <c r="Q13" i="218"/>
  <c r="P13" i="218"/>
  <c r="H13" i="218"/>
  <c r="E13" i="218"/>
  <c r="I13" i="218" s="1"/>
  <c r="AD12" i="218"/>
  <c r="AC12" i="218"/>
  <c r="AE12" i="218" s="1"/>
  <c r="AI12" i="218" s="1"/>
  <c r="Y12" i="218" s="1"/>
  <c r="AB12" i="218"/>
  <c r="Z12" i="218"/>
  <c r="T77" i="218" s="1"/>
  <c r="X12" i="218"/>
  <c r="T79" i="218" s="1"/>
  <c r="Q12" i="218"/>
  <c r="P12" i="218"/>
  <c r="I12" i="218"/>
  <c r="H12" i="218"/>
  <c r="E12" i="218"/>
  <c r="M81" i="217"/>
  <c r="P73" i="217"/>
  <c r="H73" i="217"/>
  <c r="Q72" i="217"/>
  <c r="P72" i="217"/>
  <c r="H72" i="217"/>
  <c r="E72" i="217"/>
  <c r="I72" i="217" s="1"/>
  <c r="Q71" i="217"/>
  <c r="P71" i="217"/>
  <c r="I71" i="217"/>
  <c r="H71" i="217"/>
  <c r="E71" i="217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I69" i="217"/>
  <c r="Y69" i="217" s="1"/>
  <c r="AE69" i="217"/>
  <c r="AD69" i="217"/>
  <c r="AC69" i="217"/>
  <c r="AB69" i="217"/>
  <c r="Z69" i="217"/>
  <c r="X69" i="217"/>
  <c r="Q69" i="217"/>
  <c r="P69" i="217"/>
  <c r="H69" i="217"/>
  <c r="E69" i="217"/>
  <c r="I69" i="217" s="1"/>
  <c r="AE68" i="217"/>
  <c r="AI68" i="217" s="1"/>
  <c r="Y68" i="217" s="1"/>
  <c r="AD68" i="217"/>
  <c r="AC68" i="217"/>
  <c r="AB68" i="217"/>
  <c r="Z68" i="217"/>
  <c r="X68" i="217"/>
  <c r="Q68" i="217"/>
  <c r="P68" i="217"/>
  <c r="I68" i="217"/>
  <c r="H68" i="217"/>
  <c r="E68" i="217"/>
  <c r="AD67" i="217"/>
  <c r="AC67" i="217"/>
  <c r="AB67" i="217"/>
  <c r="AE67" i="217" s="1"/>
  <c r="AI67" i="217" s="1"/>
  <c r="Y67" i="217" s="1"/>
  <c r="Z67" i="217"/>
  <c r="X67" i="217"/>
  <c r="Q67" i="217"/>
  <c r="P67" i="217"/>
  <c r="H67" i="217"/>
  <c r="E67" i="217"/>
  <c r="I67" i="217" s="1"/>
  <c r="AE66" i="217"/>
  <c r="AI66" i="217" s="1"/>
  <c r="Y66" i="217" s="1"/>
  <c r="AD66" i="217"/>
  <c r="AC66" i="217"/>
  <c r="AB66" i="217"/>
  <c r="Z66" i="217"/>
  <c r="X66" i="217"/>
  <c r="Q66" i="217"/>
  <c r="P66" i="217"/>
  <c r="H66" i="217"/>
  <c r="E66" i="217"/>
  <c r="I66" i="217" s="1"/>
  <c r="AD65" i="217"/>
  <c r="AC65" i="217"/>
  <c r="AB65" i="217"/>
  <c r="AE65" i="217" s="1"/>
  <c r="AI65" i="217" s="1"/>
  <c r="Y65" i="217" s="1"/>
  <c r="Z65" i="217"/>
  <c r="X65" i="217"/>
  <c r="Q65" i="217"/>
  <c r="P65" i="217"/>
  <c r="H65" i="217"/>
  <c r="E65" i="217"/>
  <c r="I65" i="217" s="1"/>
  <c r="AD64" i="217"/>
  <c r="AC64" i="217"/>
  <c r="AB64" i="217"/>
  <c r="AE64" i="217" s="1"/>
  <c r="AI64" i="217" s="1"/>
  <c r="Y64" i="217" s="1"/>
  <c r="Z64" i="217"/>
  <c r="X64" i="217"/>
  <c r="Q64" i="217"/>
  <c r="P64" i="217"/>
  <c r="H64" i="217"/>
  <c r="E64" i="217"/>
  <c r="I64" i="217" s="1"/>
  <c r="AC63" i="217"/>
  <c r="AE63" i="217" s="1"/>
  <c r="AI63" i="217" s="1"/>
  <c r="Y63" i="217" s="1"/>
  <c r="AB63" i="217"/>
  <c r="X63" i="217"/>
  <c r="Q63" i="217"/>
  <c r="P63" i="217"/>
  <c r="H63" i="217"/>
  <c r="E63" i="217"/>
  <c r="I63" i="217" s="1"/>
  <c r="AI62" i="217"/>
  <c r="Y62" i="217" s="1"/>
  <c r="AE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E59" i="217"/>
  <c r="AI59" i="217" s="1"/>
  <c r="Y59" i="217" s="1"/>
  <c r="AC59" i="217"/>
  <c r="AB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E57" i="217"/>
  <c r="AI57" i="217" s="1"/>
  <c r="Y57" i="217" s="1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H56" i="217"/>
  <c r="E56" i="217"/>
  <c r="I56" i="217" s="1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C52" i="217"/>
  <c r="AE52" i="217" s="1"/>
  <c r="AI52" i="217" s="1"/>
  <c r="Y52" i="217" s="1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AE50" i="217"/>
  <c r="Z50" i="217"/>
  <c r="Y50" i="217"/>
  <c r="X50" i="217"/>
  <c r="Q50" i="217"/>
  <c r="P50" i="217"/>
  <c r="H50" i="217"/>
  <c r="E50" i="217"/>
  <c r="I50" i="217" s="1"/>
  <c r="AI49" i="217"/>
  <c r="Y49" i="217" s="1"/>
  <c r="AE49" i="217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C47" i="217"/>
  <c r="AE47" i="217" s="1"/>
  <c r="AI47" i="217" s="1"/>
  <c r="Y47" i="217" s="1"/>
  <c r="AB47" i="217"/>
  <c r="Z47" i="217"/>
  <c r="X47" i="217"/>
  <c r="Q47" i="217"/>
  <c r="P47" i="217"/>
  <c r="H47" i="217"/>
  <c r="E47" i="217"/>
  <c r="I47" i="217" s="1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E45" i="217"/>
  <c r="AI45" i="217" s="1"/>
  <c r="Y45" i="217" s="1"/>
  <c r="AD45" i="217"/>
  <c r="AC45" i="217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H44" i="217"/>
  <c r="E44" i="217"/>
  <c r="I44" i="217" s="1"/>
  <c r="AD43" i="217"/>
  <c r="AC43" i="217"/>
  <c r="AE43" i="217" s="1"/>
  <c r="AI43" i="217" s="1"/>
  <c r="Y43" i="217" s="1"/>
  <c r="AB43" i="217"/>
  <c r="Z43" i="217"/>
  <c r="X43" i="217"/>
  <c r="Q43" i="217"/>
  <c r="P43" i="217"/>
  <c r="H43" i="217"/>
  <c r="E43" i="217"/>
  <c r="I43" i="217" s="1"/>
  <c r="AD42" i="217"/>
  <c r="AE42" i="217" s="1"/>
  <c r="AI42" i="217" s="1"/>
  <c r="Y42" i="217" s="1"/>
  <c r="AC42" i="217"/>
  <c r="AB42" i="217"/>
  <c r="Z42" i="217"/>
  <c r="X42" i="217"/>
  <c r="Q42" i="217"/>
  <c r="P42" i="217"/>
  <c r="I42" i="217"/>
  <c r="H42" i="217"/>
  <c r="E42" i="217"/>
  <c r="AD41" i="217"/>
  <c r="AC41" i="217"/>
  <c r="AB41" i="217"/>
  <c r="AE41" i="217" s="1"/>
  <c r="AI41" i="217" s="1"/>
  <c r="Y41" i="217" s="1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C39" i="217"/>
  <c r="AE39" i="217" s="1"/>
  <c r="AI39" i="217" s="1"/>
  <c r="Y39" i="217" s="1"/>
  <c r="AB39" i="217"/>
  <c r="Z39" i="217"/>
  <c r="X39" i="217"/>
  <c r="Q39" i="217"/>
  <c r="P39" i="217"/>
  <c r="I39" i="217"/>
  <c r="H39" i="217"/>
  <c r="E39" i="217"/>
  <c r="AD38" i="217"/>
  <c r="AC38" i="217"/>
  <c r="AB38" i="217"/>
  <c r="AE38" i="217" s="1"/>
  <c r="AI38" i="217" s="1"/>
  <c r="Y38" i="217" s="1"/>
  <c r="Z38" i="217"/>
  <c r="X38" i="217"/>
  <c r="Q38" i="217"/>
  <c r="P38" i="217"/>
  <c r="I38" i="217"/>
  <c r="H38" i="217"/>
  <c r="E38" i="217"/>
  <c r="AE37" i="217"/>
  <c r="AI37" i="217" s="1"/>
  <c r="Y37" i="217" s="1"/>
  <c r="AD37" i="217"/>
  <c r="AC37" i="217"/>
  <c r="AB37" i="217"/>
  <c r="Z37" i="217"/>
  <c r="X37" i="217"/>
  <c r="Q37" i="217"/>
  <c r="P37" i="217"/>
  <c r="H37" i="217"/>
  <c r="E37" i="217"/>
  <c r="I37" i="217" s="1"/>
  <c r="AD36" i="217"/>
  <c r="AC36" i="217"/>
  <c r="AB36" i="217"/>
  <c r="AE36" i="217" s="1"/>
  <c r="AI36" i="217" s="1"/>
  <c r="Y36" i="217" s="1"/>
  <c r="Z36" i="217"/>
  <c r="X36" i="217"/>
  <c r="Q36" i="217"/>
  <c r="P36" i="217"/>
  <c r="H36" i="217"/>
  <c r="E36" i="217"/>
  <c r="I36" i="217" s="1"/>
  <c r="AD35" i="217"/>
  <c r="AC35" i="217"/>
  <c r="AB35" i="217"/>
  <c r="AE35" i="217" s="1"/>
  <c r="AI35" i="217" s="1"/>
  <c r="Y35" i="217" s="1"/>
  <c r="Z35" i="217"/>
  <c r="X35" i="217"/>
  <c r="Q35" i="217"/>
  <c r="P35" i="217"/>
  <c r="H35" i="217"/>
  <c r="E35" i="217"/>
  <c r="I35" i="217" s="1"/>
  <c r="AD34" i="217"/>
  <c r="AC34" i="217"/>
  <c r="AB34" i="217"/>
  <c r="AE34" i="217" s="1"/>
  <c r="AI34" i="217" s="1"/>
  <c r="Y34" i="217" s="1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H29" i="217"/>
  <c r="E29" i="217"/>
  <c r="I29" i="217" s="1"/>
  <c r="AD28" i="217"/>
  <c r="AC28" i="217"/>
  <c r="AE28" i="217" s="1"/>
  <c r="AI28" i="217" s="1"/>
  <c r="Y28" i="217" s="1"/>
  <c r="AB28" i="217"/>
  <c r="Z28" i="217"/>
  <c r="X28" i="217"/>
  <c r="Q28" i="217"/>
  <c r="P28" i="217"/>
  <c r="H28" i="217"/>
  <c r="E28" i="217"/>
  <c r="I28" i="217" s="1"/>
  <c r="AD27" i="217"/>
  <c r="AE27" i="217" s="1"/>
  <c r="AI27" i="217" s="1"/>
  <c r="Y27" i="217" s="1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C24" i="217"/>
  <c r="AB24" i="217"/>
  <c r="AE24" i="217" s="1"/>
  <c r="AI24" i="217" s="1"/>
  <c r="Y24" i="217" s="1"/>
  <c r="Z24" i="217"/>
  <c r="X24" i="217"/>
  <c r="Q24" i="217"/>
  <c r="P24" i="217"/>
  <c r="I24" i="217"/>
  <c r="H24" i="217"/>
  <c r="E24" i="217"/>
  <c r="AD23" i="217"/>
  <c r="AC23" i="217"/>
  <c r="AB23" i="217"/>
  <c r="AE23" i="217" s="1"/>
  <c r="AI23" i="217" s="1"/>
  <c r="Y23" i="217" s="1"/>
  <c r="Z23" i="217"/>
  <c r="X23" i="217"/>
  <c r="Q23" i="217"/>
  <c r="P23" i="217"/>
  <c r="I23" i="217"/>
  <c r="H23" i="217"/>
  <c r="E23" i="217"/>
  <c r="AE22" i="217"/>
  <c r="AI22" i="217" s="1"/>
  <c r="Y22" i="217" s="1"/>
  <c r="AD22" i="217"/>
  <c r="AC22" i="217"/>
  <c r="AB22" i="217"/>
  <c r="Z22" i="217"/>
  <c r="X22" i="217"/>
  <c r="Q22" i="217"/>
  <c r="P22" i="217"/>
  <c r="I22" i="217"/>
  <c r="H22" i="217"/>
  <c r="E22" i="217"/>
  <c r="AD21" i="217"/>
  <c r="AC21" i="217"/>
  <c r="AB21" i="217"/>
  <c r="AE21" i="217" s="1"/>
  <c r="AI21" i="217" s="1"/>
  <c r="Y21" i="217" s="1"/>
  <c r="Z21" i="217"/>
  <c r="X21" i="217"/>
  <c r="Q21" i="217"/>
  <c r="P21" i="217"/>
  <c r="H21" i="217"/>
  <c r="E21" i="217"/>
  <c r="I21" i="217" s="1"/>
  <c r="AD20" i="217"/>
  <c r="AC20" i="217"/>
  <c r="AB20" i="217"/>
  <c r="AE20" i="217" s="1"/>
  <c r="AI20" i="217" s="1"/>
  <c r="Y20" i="217" s="1"/>
  <c r="Z20" i="217"/>
  <c r="X20" i="217"/>
  <c r="Q20" i="217"/>
  <c r="P20" i="217"/>
  <c r="H20" i="217"/>
  <c r="E20" i="217"/>
  <c r="I20" i="217" s="1"/>
  <c r="AD19" i="217"/>
  <c r="AC19" i="217"/>
  <c r="AB19" i="217"/>
  <c r="AE19" i="217" s="1"/>
  <c r="AI19" i="217" s="1"/>
  <c r="Y19" i="217" s="1"/>
  <c r="Z19" i="217"/>
  <c r="X19" i="217"/>
  <c r="Q19" i="217"/>
  <c r="P19" i="217"/>
  <c r="I19" i="217"/>
  <c r="H19" i="217"/>
  <c r="E19" i="217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D16" i="217"/>
  <c r="AC16" i="217"/>
  <c r="AE16" i="217" s="1"/>
  <c r="AI16" i="217" s="1"/>
  <c r="Y16" i="217" s="1"/>
  <c r="AB16" i="217"/>
  <c r="Z16" i="217"/>
  <c r="X16" i="217"/>
  <c r="Q16" i="217"/>
  <c r="P16" i="217"/>
  <c r="E16" i="217"/>
  <c r="I16" i="217" s="1"/>
  <c r="AD15" i="217"/>
  <c r="AC15" i="217"/>
  <c r="AB15" i="217"/>
  <c r="AE15" i="217" s="1"/>
  <c r="AI15" i="217" s="1"/>
  <c r="Y15" i="217" s="1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O77" i="217" s="1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I13" i="217"/>
  <c r="H13" i="217"/>
  <c r="E13" i="217"/>
  <c r="AE12" i="217"/>
  <c r="AI12" i="217" s="1"/>
  <c r="Y12" i="217" s="1"/>
  <c r="AD12" i="217"/>
  <c r="AC12" i="217"/>
  <c r="AB12" i="217"/>
  <c r="Z12" i="217"/>
  <c r="X12" i="217"/>
  <c r="Q12" i="217"/>
  <c r="O75" i="217" s="1"/>
  <c r="P12" i="217"/>
  <c r="H12" i="217"/>
  <c r="E12" i="217"/>
  <c r="I12" i="217" s="1"/>
  <c r="F79" i="219" l="1"/>
  <c r="O75" i="218"/>
  <c r="O77" i="218"/>
  <c r="F75" i="218"/>
  <c r="T75" i="218"/>
  <c r="T81" i="218" s="1"/>
  <c r="F77" i="218"/>
  <c r="T79" i="217"/>
  <c r="T77" i="217"/>
  <c r="T75" i="217"/>
  <c r="F75" i="217"/>
  <c r="F77" i="217"/>
  <c r="M81" i="216"/>
  <c r="P73" i="216"/>
  <c r="H73" i="216"/>
  <c r="Q72" i="216"/>
  <c r="P72" i="216"/>
  <c r="I72" i="216"/>
  <c r="H72" i="216"/>
  <c r="E72" i="216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H70" i="216"/>
  <c r="E70" i="216"/>
  <c r="I70" i="216" s="1"/>
  <c r="AE69" i="216"/>
  <c r="AI69" i="216" s="1"/>
  <c r="Y69" i="216" s="1"/>
  <c r="AD69" i="216"/>
  <c r="AC69" i="216"/>
  <c r="AB69" i="216"/>
  <c r="Z69" i="216"/>
  <c r="X69" i="216"/>
  <c r="Q69" i="216"/>
  <c r="P69" i="216"/>
  <c r="H69" i="216"/>
  <c r="E69" i="216"/>
  <c r="I69" i="216" s="1"/>
  <c r="AE68" i="216"/>
  <c r="AI68" i="216" s="1"/>
  <c r="Y68" i="216" s="1"/>
  <c r="AD68" i="216"/>
  <c r="AC68" i="216"/>
  <c r="AB68" i="216"/>
  <c r="Z68" i="216"/>
  <c r="X68" i="216"/>
  <c r="Q68" i="216"/>
  <c r="P68" i="216"/>
  <c r="I68" i="216"/>
  <c r="H68" i="216"/>
  <c r="E68" i="216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I66" i="216"/>
  <c r="Y66" i="216" s="1"/>
  <c r="AE66" i="216"/>
  <c r="AD66" i="216"/>
  <c r="AC66" i="216"/>
  <c r="AB66" i="216"/>
  <c r="Z66" i="216"/>
  <c r="X66" i="216"/>
  <c r="Q66" i="216"/>
  <c r="P66" i="216"/>
  <c r="I66" i="216"/>
  <c r="H66" i="216"/>
  <c r="E66" i="216"/>
  <c r="AD65" i="216"/>
  <c r="AC65" i="216"/>
  <c r="AB65" i="216"/>
  <c r="AE65" i="216" s="1"/>
  <c r="AI65" i="216" s="1"/>
  <c r="Y65" i="216" s="1"/>
  <c r="Z65" i="216"/>
  <c r="X65" i="216"/>
  <c r="Q65" i="216"/>
  <c r="P65" i="216"/>
  <c r="I65" i="216"/>
  <c r="H65" i="216"/>
  <c r="E65" i="216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C63" i="216"/>
  <c r="AE63" i="216" s="1"/>
  <c r="AI63" i="216" s="1"/>
  <c r="Y63" i="216" s="1"/>
  <c r="AB63" i="216"/>
  <c r="X63" i="216"/>
  <c r="Q63" i="216"/>
  <c r="P63" i="216"/>
  <c r="H63" i="216"/>
  <c r="E63" i="216"/>
  <c r="I63" i="216" s="1"/>
  <c r="AI62" i="216"/>
  <c r="Y62" i="216" s="1"/>
  <c r="AE62" i="216"/>
  <c r="X62" i="216"/>
  <c r="Q62" i="216"/>
  <c r="P62" i="216"/>
  <c r="I62" i="216"/>
  <c r="H62" i="216"/>
  <c r="E62" i="216"/>
  <c r="AC61" i="216"/>
  <c r="AB61" i="216"/>
  <c r="AE61" i="216" s="1"/>
  <c r="AI61" i="216" s="1"/>
  <c r="Y61" i="216" s="1"/>
  <c r="X61" i="216"/>
  <c r="Q61" i="216"/>
  <c r="P61" i="216"/>
  <c r="H61" i="216"/>
  <c r="E61" i="216"/>
  <c r="I61" i="216" s="1"/>
  <c r="AE60" i="216"/>
  <c r="AI60" i="216" s="1"/>
  <c r="Y60" i="216" s="1"/>
  <c r="AC60" i="216"/>
  <c r="AB60" i="216"/>
  <c r="X60" i="216"/>
  <c r="Q60" i="216"/>
  <c r="P60" i="216"/>
  <c r="E60" i="216"/>
  <c r="I60" i="216" s="1"/>
  <c r="AI59" i="216"/>
  <c r="Y59" i="216" s="1"/>
  <c r="AE59" i="216"/>
  <c r="AC59" i="216"/>
  <c r="AB59" i="216"/>
  <c r="X59" i="216"/>
  <c r="Q59" i="216"/>
  <c r="P59" i="216"/>
  <c r="I59" i="216"/>
  <c r="H59" i="216"/>
  <c r="E59" i="216"/>
  <c r="AD58" i="216"/>
  <c r="AC58" i="216"/>
  <c r="AB58" i="216"/>
  <c r="AE58" i="216" s="1"/>
  <c r="AI58" i="216" s="1"/>
  <c r="Y58" i="216" s="1"/>
  <c r="Z58" i="216"/>
  <c r="X58" i="216"/>
  <c r="Q58" i="216"/>
  <c r="P58" i="216"/>
  <c r="I58" i="216"/>
  <c r="H58" i="216"/>
  <c r="E58" i="216"/>
  <c r="AE57" i="216"/>
  <c r="AI57" i="216" s="1"/>
  <c r="Y57" i="216" s="1"/>
  <c r="AD57" i="216"/>
  <c r="AC57" i="216"/>
  <c r="AB57" i="216"/>
  <c r="Z57" i="216"/>
  <c r="X57" i="216"/>
  <c r="Q57" i="216"/>
  <c r="P57" i="216"/>
  <c r="H57" i="216"/>
  <c r="E57" i="216"/>
  <c r="I57" i="216" s="1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D55" i="216"/>
  <c r="AC55" i="216"/>
  <c r="AB55" i="216"/>
  <c r="AE55" i="216" s="1"/>
  <c r="AI55" i="216" s="1"/>
  <c r="Y55" i="216" s="1"/>
  <c r="Z55" i="216"/>
  <c r="X55" i="216"/>
  <c r="Q55" i="216"/>
  <c r="P55" i="216"/>
  <c r="H55" i="216"/>
  <c r="E55" i="216"/>
  <c r="I55" i="216" s="1"/>
  <c r="AE54" i="216"/>
  <c r="AI54" i="216" s="1"/>
  <c r="Y54" i="216" s="1"/>
  <c r="Z54" i="216"/>
  <c r="X54" i="216"/>
  <c r="Q54" i="216"/>
  <c r="P54" i="216"/>
  <c r="H54" i="216"/>
  <c r="E54" i="216"/>
  <c r="I54" i="216" s="1"/>
  <c r="AI53" i="216"/>
  <c r="Y53" i="216" s="1"/>
  <c r="AE53" i="216"/>
  <c r="AD53" i="216"/>
  <c r="AC53" i="216"/>
  <c r="AB53" i="216"/>
  <c r="Z53" i="216"/>
  <c r="X53" i="216"/>
  <c r="Q53" i="216"/>
  <c r="P53" i="216"/>
  <c r="H53" i="216"/>
  <c r="E53" i="216"/>
  <c r="I53" i="216" s="1"/>
  <c r="AE52" i="216"/>
  <c r="AI52" i="216" s="1"/>
  <c r="Y52" i="216" s="1"/>
  <c r="AD52" i="216"/>
  <c r="AC52" i="216"/>
  <c r="AB52" i="216"/>
  <c r="Z52" i="216"/>
  <c r="X52" i="216"/>
  <c r="Q52" i="216"/>
  <c r="P52" i="216"/>
  <c r="I52" i="216"/>
  <c r="H52" i="216"/>
  <c r="E52" i="216"/>
  <c r="AE51" i="216"/>
  <c r="AI51" i="216" s="1"/>
  <c r="Y51" i="216" s="1"/>
  <c r="Z51" i="216"/>
  <c r="X51" i="216"/>
  <c r="Q51" i="216"/>
  <c r="P51" i="216"/>
  <c r="I51" i="216"/>
  <c r="H51" i="216"/>
  <c r="E51" i="216"/>
  <c r="AE50" i="216"/>
  <c r="AI50" i="216" s="1"/>
  <c r="Y50" i="216" s="1"/>
  <c r="Z50" i="216"/>
  <c r="X50" i="216"/>
  <c r="Q50" i="216"/>
  <c r="P50" i="216"/>
  <c r="I50" i="216"/>
  <c r="H50" i="216"/>
  <c r="E50" i="216"/>
  <c r="AI49" i="216"/>
  <c r="Y49" i="216" s="1"/>
  <c r="AE49" i="216"/>
  <c r="Z49" i="216"/>
  <c r="X49" i="216"/>
  <c r="Q49" i="216"/>
  <c r="P49" i="216"/>
  <c r="H49" i="216"/>
  <c r="E49" i="216"/>
  <c r="I49" i="216" s="1"/>
  <c r="AD48" i="216"/>
  <c r="AC48" i="216"/>
  <c r="AB48" i="216"/>
  <c r="AE48" i="216" s="1"/>
  <c r="AI48" i="216" s="1"/>
  <c r="Y48" i="216" s="1"/>
  <c r="Z48" i="216"/>
  <c r="X48" i="216"/>
  <c r="Q48" i="216"/>
  <c r="P48" i="216"/>
  <c r="H48" i="216"/>
  <c r="E48" i="216"/>
  <c r="I48" i="216" s="1"/>
  <c r="AD47" i="216"/>
  <c r="AC47" i="216"/>
  <c r="AB47" i="216"/>
  <c r="AE47" i="216" s="1"/>
  <c r="AI47" i="216" s="1"/>
  <c r="Y47" i="216" s="1"/>
  <c r="Z47" i="216"/>
  <c r="X47" i="216"/>
  <c r="Q47" i="216"/>
  <c r="P47" i="216"/>
  <c r="H47" i="216"/>
  <c r="E47" i="216"/>
  <c r="I47" i="216" s="1"/>
  <c r="AD46" i="216"/>
  <c r="AC46" i="216"/>
  <c r="AB46" i="216"/>
  <c r="AE46" i="216" s="1"/>
  <c r="AI46" i="216" s="1"/>
  <c r="Y46" i="216" s="1"/>
  <c r="Z46" i="216"/>
  <c r="X46" i="216"/>
  <c r="Q46" i="216"/>
  <c r="P46" i="216"/>
  <c r="I46" i="216"/>
  <c r="H46" i="216"/>
  <c r="E46" i="216"/>
  <c r="AE45" i="216"/>
  <c r="AI45" i="216" s="1"/>
  <c r="Y45" i="216" s="1"/>
  <c r="AD45" i="216"/>
  <c r="AC45" i="216"/>
  <c r="AB45" i="216"/>
  <c r="Z45" i="216"/>
  <c r="X45" i="216"/>
  <c r="Q45" i="216"/>
  <c r="P45" i="216"/>
  <c r="H45" i="216"/>
  <c r="E45" i="216"/>
  <c r="I45" i="216" s="1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D43" i="216"/>
  <c r="AC43" i="216"/>
  <c r="AB43" i="216"/>
  <c r="AE43" i="216" s="1"/>
  <c r="AI43" i="216" s="1"/>
  <c r="Y43" i="216" s="1"/>
  <c r="Z43" i="216"/>
  <c r="X43" i="216"/>
  <c r="Q43" i="216"/>
  <c r="P43" i="216"/>
  <c r="H43" i="216"/>
  <c r="E43" i="216"/>
  <c r="I43" i="216" s="1"/>
  <c r="AE42" i="216"/>
  <c r="AI42" i="216" s="1"/>
  <c r="Y42" i="216" s="1"/>
  <c r="AD42" i="216"/>
  <c r="AC42" i="216"/>
  <c r="AB42" i="216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I41" i="216"/>
  <c r="H41" i="216"/>
  <c r="E41" i="216"/>
  <c r="AI40" i="216"/>
  <c r="Y40" i="216" s="1"/>
  <c r="AE40" i="216"/>
  <c r="AD40" i="216"/>
  <c r="AC40" i="216"/>
  <c r="AB40" i="216"/>
  <c r="Z40" i="216"/>
  <c r="X40" i="216"/>
  <c r="Q40" i="216"/>
  <c r="P40" i="216"/>
  <c r="H40" i="216"/>
  <c r="E40" i="216"/>
  <c r="I40" i="216" s="1"/>
  <c r="AE39" i="216"/>
  <c r="AI39" i="216" s="1"/>
  <c r="Y39" i="216" s="1"/>
  <c r="AD39" i="216"/>
  <c r="AC39" i="216"/>
  <c r="AB39" i="216"/>
  <c r="Z39" i="216"/>
  <c r="X39" i="216"/>
  <c r="Q39" i="216"/>
  <c r="P39" i="216"/>
  <c r="I39" i="216"/>
  <c r="H39" i="216"/>
  <c r="E39" i="216"/>
  <c r="AD38" i="216"/>
  <c r="AC38" i="216"/>
  <c r="AB38" i="216"/>
  <c r="AE38" i="216" s="1"/>
  <c r="AI38" i="216" s="1"/>
  <c r="Y38" i="216" s="1"/>
  <c r="Z38" i="216"/>
  <c r="X38" i="216"/>
  <c r="Q38" i="216"/>
  <c r="P38" i="216"/>
  <c r="H38" i="216"/>
  <c r="E38" i="216"/>
  <c r="I38" i="216" s="1"/>
  <c r="AI37" i="216"/>
  <c r="Y37" i="216" s="1"/>
  <c r="AE37" i="216"/>
  <c r="AD37" i="216"/>
  <c r="AC37" i="216"/>
  <c r="AB37" i="216"/>
  <c r="Z37" i="216"/>
  <c r="X37" i="216"/>
  <c r="Q37" i="216"/>
  <c r="P37" i="216"/>
  <c r="I37" i="216"/>
  <c r="H37" i="216"/>
  <c r="E37" i="216"/>
  <c r="AD36" i="216"/>
  <c r="AC36" i="216"/>
  <c r="AB36" i="216"/>
  <c r="AE36" i="216" s="1"/>
  <c r="AI36" i="216" s="1"/>
  <c r="Y36" i="216" s="1"/>
  <c r="Z36" i="216"/>
  <c r="X36" i="216"/>
  <c r="Q36" i="216"/>
  <c r="P36" i="216"/>
  <c r="I36" i="216"/>
  <c r="H36" i="216"/>
  <c r="E36" i="216"/>
  <c r="AI35" i="216"/>
  <c r="AE35" i="216"/>
  <c r="AD35" i="216"/>
  <c r="AC35" i="216"/>
  <c r="AB35" i="216"/>
  <c r="Z35" i="216"/>
  <c r="Y35" i="216"/>
  <c r="X35" i="216"/>
  <c r="Q35" i="216"/>
  <c r="P35" i="216"/>
  <c r="H35" i="216"/>
  <c r="E35" i="216"/>
  <c r="I35" i="216" s="1"/>
  <c r="AD34" i="216"/>
  <c r="AC34" i="216"/>
  <c r="AE34" i="216" s="1"/>
  <c r="AI34" i="216" s="1"/>
  <c r="Y34" i="216" s="1"/>
  <c r="AB34" i="216"/>
  <c r="Z34" i="216"/>
  <c r="X34" i="216"/>
  <c r="Q34" i="216"/>
  <c r="P34" i="216"/>
  <c r="I34" i="216"/>
  <c r="H34" i="216"/>
  <c r="E34" i="216"/>
  <c r="AE33" i="216"/>
  <c r="AI33" i="216" s="1"/>
  <c r="Y33" i="216" s="1"/>
  <c r="AD33" i="216"/>
  <c r="AC33" i="216"/>
  <c r="AB33" i="216"/>
  <c r="Z33" i="216"/>
  <c r="X33" i="216"/>
  <c r="Q33" i="216"/>
  <c r="P33" i="216"/>
  <c r="H33" i="216"/>
  <c r="E33" i="216"/>
  <c r="I33" i="216" s="1"/>
  <c r="AD32" i="216"/>
  <c r="AC32" i="216"/>
  <c r="AB32" i="216"/>
  <c r="AE32" i="216" s="1"/>
  <c r="AI32" i="216" s="1"/>
  <c r="Y32" i="216" s="1"/>
  <c r="Z32" i="216"/>
  <c r="X32" i="216"/>
  <c r="Q32" i="216"/>
  <c r="P32" i="216"/>
  <c r="H32" i="216"/>
  <c r="E32" i="216"/>
  <c r="I32" i="216" s="1"/>
  <c r="AE31" i="216"/>
  <c r="AI31" i="216" s="1"/>
  <c r="Y31" i="216" s="1"/>
  <c r="Z31" i="216"/>
  <c r="X31" i="216"/>
  <c r="Q31" i="216"/>
  <c r="P31" i="216"/>
  <c r="I31" i="216"/>
  <c r="H31" i="216"/>
  <c r="E31" i="216"/>
  <c r="AE30" i="216"/>
  <c r="AI30" i="216" s="1"/>
  <c r="Y30" i="216" s="1"/>
  <c r="AD30" i="216"/>
  <c r="AC30" i="216"/>
  <c r="AB30" i="216"/>
  <c r="Z30" i="216"/>
  <c r="X30" i="216"/>
  <c r="Q30" i="216"/>
  <c r="P30" i="216"/>
  <c r="H30" i="216"/>
  <c r="E30" i="216"/>
  <c r="I30" i="216" s="1"/>
  <c r="AD29" i="216"/>
  <c r="AE29" i="216" s="1"/>
  <c r="AI29" i="216" s="1"/>
  <c r="Y29" i="216" s="1"/>
  <c r="AC29" i="216"/>
  <c r="AB29" i="216"/>
  <c r="Z29" i="216"/>
  <c r="X29" i="216"/>
  <c r="Q29" i="216"/>
  <c r="P29" i="216"/>
  <c r="H29" i="216"/>
  <c r="E29" i="216"/>
  <c r="I29" i="216" s="1"/>
  <c r="AD28" i="216"/>
  <c r="AC28" i="216"/>
  <c r="AB28" i="216"/>
  <c r="AE28" i="216" s="1"/>
  <c r="AI28" i="216" s="1"/>
  <c r="Y28" i="216" s="1"/>
  <c r="Z28" i="216"/>
  <c r="X28" i="216"/>
  <c r="Q28" i="216"/>
  <c r="P28" i="216"/>
  <c r="H28" i="216"/>
  <c r="E28" i="216"/>
  <c r="I28" i="216" s="1"/>
  <c r="AE27" i="216"/>
  <c r="AI27" i="216" s="1"/>
  <c r="Y27" i="216" s="1"/>
  <c r="AD27" i="216"/>
  <c r="AC27" i="216"/>
  <c r="AB27" i="216"/>
  <c r="Z27" i="216"/>
  <c r="X27" i="216"/>
  <c r="Q27" i="216"/>
  <c r="P27" i="216"/>
  <c r="I27" i="216"/>
  <c r="H27" i="216"/>
  <c r="E27" i="216"/>
  <c r="AD26" i="216"/>
  <c r="AC26" i="216"/>
  <c r="AB26" i="216"/>
  <c r="AE26" i="216" s="1"/>
  <c r="AI26" i="216" s="1"/>
  <c r="Y26" i="216" s="1"/>
  <c r="Z26" i="216"/>
  <c r="X26" i="216"/>
  <c r="Q26" i="216"/>
  <c r="P26" i="216"/>
  <c r="I26" i="216"/>
  <c r="H26" i="216"/>
  <c r="E26" i="216"/>
  <c r="AE25" i="216"/>
  <c r="AI25" i="216" s="1"/>
  <c r="Y25" i="216" s="1"/>
  <c r="AD25" i="216"/>
  <c r="AC25" i="216"/>
  <c r="AB25" i="216"/>
  <c r="Z25" i="216"/>
  <c r="X25" i="216"/>
  <c r="Q25" i="216"/>
  <c r="P25" i="216"/>
  <c r="H25" i="216"/>
  <c r="E25" i="216"/>
  <c r="I25" i="216" s="1"/>
  <c r="AE24" i="216"/>
  <c r="AI24" i="216" s="1"/>
  <c r="Y24" i="216" s="1"/>
  <c r="AD24" i="216"/>
  <c r="AC24" i="216"/>
  <c r="AB24" i="216"/>
  <c r="Z24" i="216"/>
  <c r="X24" i="216"/>
  <c r="Q24" i="216"/>
  <c r="P24" i="216"/>
  <c r="I24" i="216"/>
  <c r="H24" i="216"/>
  <c r="E24" i="216"/>
  <c r="AD23" i="216"/>
  <c r="AC23" i="216"/>
  <c r="AB23" i="216"/>
  <c r="AE23" i="216" s="1"/>
  <c r="AI23" i="216" s="1"/>
  <c r="Y23" i="216" s="1"/>
  <c r="Z23" i="216"/>
  <c r="X23" i="216"/>
  <c r="Q23" i="216"/>
  <c r="P23" i="216"/>
  <c r="H23" i="216"/>
  <c r="E23" i="216"/>
  <c r="I23" i="216" s="1"/>
  <c r="AI22" i="216"/>
  <c r="Y22" i="216" s="1"/>
  <c r="AE22" i="216"/>
  <c r="AD22" i="216"/>
  <c r="AC22" i="216"/>
  <c r="AB22" i="216"/>
  <c r="Z22" i="216"/>
  <c r="X22" i="216"/>
  <c r="Q22" i="216"/>
  <c r="P22" i="216"/>
  <c r="I22" i="216"/>
  <c r="H22" i="216"/>
  <c r="E22" i="216"/>
  <c r="AD21" i="216"/>
  <c r="AC21" i="216"/>
  <c r="AB21" i="216"/>
  <c r="AE21" i="216" s="1"/>
  <c r="AI21" i="216" s="1"/>
  <c r="Y21" i="216" s="1"/>
  <c r="Z21" i="216"/>
  <c r="X21" i="216"/>
  <c r="Q21" i="216"/>
  <c r="P21" i="216"/>
  <c r="I21" i="216"/>
  <c r="H21" i="216"/>
  <c r="E21" i="216"/>
  <c r="AD20" i="216"/>
  <c r="AC20" i="216"/>
  <c r="AB20" i="216"/>
  <c r="AE20" i="216" s="1"/>
  <c r="AI20" i="216" s="1"/>
  <c r="Y20" i="216" s="1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I19" i="216"/>
  <c r="H19" i="216"/>
  <c r="E19" i="216"/>
  <c r="AE18" i="216"/>
  <c r="AI18" i="216" s="1"/>
  <c r="Y18" i="216" s="1"/>
  <c r="AD18" i="216"/>
  <c r="AC18" i="216"/>
  <c r="AB18" i="216"/>
  <c r="Z18" i="216"/>
  <c r="X18" i="216"/>
  <c r="Q18" i="216"/>
  <c r="P18" i="216"/>
  <c r="H18" i="216"/>
  <c r="E18" i="216"/>
  <c r="I18" i="216" s="1"/>
  <c r="AD17" i="216"/>
  <c r="AC17" i="216"/>
  <c r="AB17" i="216"/>
  <c r="AE17" i="216" s="1"/>
  <c r="AI17" i="216" s="1"/>
  <c r="Y17" i="216" s="1"/>
  <c r="Z17" i="216"/>
  <c r="X17" i="216"/>
  <c r="Q17" i="216"/>
  <c r="P17" i="216"/>
  <c r="H17" i="216"/>
  <c r="E17" i="216"/>
  <c r="I17" i="216" s="1"/>
  <c r="AD16" i="216"/>
  <c r="AC16" i="216"/>
  <c r="AE16" i="216" s="1"/>
  <c r="AI16" i="216" s="1"/>
  <c r="Y16" i="216" s="1"/>
  <c r="AB16" i="216"/>
  <c r="Z16" i="216"/>
  <c r="X16" i="216"/>
  <c r="Q16" i="216"/>
  <c r="P16" i="216"/>
  <c r="E16" i="216"/>
  <c r="I16" i="216" s="1"/>
  <c r="AD15" i="216"/>
  <c r="AC15" i="216"/>
  <c r="AB15" i="216"/>
  <c r="AE15" i="216" s="1"/>
  <c r="AI15" i="216" s="1"/>
  <c r="Y15" i="216" s="1"/>
  <c r="Z15" i="216"/>
  <c r="X15" i="216"/>
  <c r="Q15" i="216"/>
  <c r="P15" i="216"/>
  <c r="E15" i="216"/>
  <c r="I15" i="216" s="1"/>
  <c r="AE14" i="216"/>
  <c r="AI14" i="216" s="1"/>
  <c r="Y14" i="216" s="1"/>
  <c r="AD14" i="216"/>
  <c r="AC14" i="216"/>
  <c r="AB14" i="216"/>
  <c r="Z14" i="216"/>
  <c r="X14" i="216"/>
  <c r="Q14" i="216"/>
  <c r="O77" i="216" s="1"/>
  <c r="P14" i="216"/>
  <c r="I14" i="216"/>
  <c r="H14" i="216"/>
  <c r="E14" i="216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I12" i="216"/>
  <c r="Y12" i="216" s="1"/>
  <c r="AE12" i="216"/>
  <c r="AD12" i="216"/>
  <c r="AC12" i="216"/>
  <c r="AB12" i="216"/>
  <c r="Z12" i="216"/>
  <c r="X12" i="216"/>
  <c r="Q12" i="216"/>
  <c r="P12" i="216"/>
  <c r="I12" i="216"/>
  <c r="H12" i="216"/>
  <c r="E12" i="216"/>
  <c r="F79" i="218" l="1"/>
  <c r="F79" i="217"/>
  <c r="T81" i="217"/>
  <c r="T79" i="216"/>
  <c r="T77" i="216"/>
  <c r="O75" i="216"/>
  <c r="F77" i="216"/>
  <c r="T75" i="216"/>
  <c r="F75" i="216"/>
  <c r="M81" i="215"/>
  <c r="P73" i="215"/>
  <c r="H73" i="215"/>
  <c r="Q72" i="215"/>
  <c r="P72" i="215"/>
  <c r="H72" i="215"/>
  <c r="E72" i="215"/>
  <c r="I72" i="215" s="1"/>
  <c r="Q71" i="215"/>
  <c r="P71" i="215"/>
  <c r="H71" i="215"/>
  <c r="E71" i="215"/>
  <c r="I71" i="215" s="1"/>
  <c r="AD70" i="215"/>
  <c r="AC70" i="215"/>
  <c r="AB70" i="215"/>
  <c r="AE70" i="215" s="1"/>
  <c r="AI70" i="215" s="1"/>
  <c r="Y70" i="215" s="1"/>
  <c r="Z70" i="215"/>
  <c r="X70" i="215"/>
  <c r="Q70" i="215"/>
  <c r="P70" i="215"/>
  <c r="I70" i="215"/>
  <c r="H70" i="215"/>
  <c r="E70" i="215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C68" i="215"/>
  <c r="AB68" i="215"/>
  <c r="AE68" i="215" s="1"/>
  <c r="AI68" i="215" s="1"/>
  <c r="Y68" i="215" s="1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E65" i="215"/>
  <c r="AI65" i="215" s="1"/>
  <c r="Y65" i="215" s="1"/>
  <c r="AD65" i="215"/>
  <c r="AC65" i="215"/>
  <c r="AB65" i="215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C63" i="215"/>
  <c r="AB63" i="215"/>
  <c r="AE63" i="215" s="1"/>
  <c r="AI63" i="215" s="1"/>
  <c r="Y63" i="215" s="1"/>
  <c r="X63" i="215"/>
  <c r="Q63" i="215"/>
  <c r="P63" i="215"/>
  <c r="I63" i="215"/>
  <c r="H63" i="215"/>
  <c r="E63" i="215"/>
  <c r="AI62" i="215"/>
  <c r="Y62" i="215" s="1"/>
  <c r="AE62" i="215"/>
  <c r="X62" i="215"/>
  <c r="Q62" i="215"/>
  <c r="P62" i="215"/>
  <c r="H62" i="215"/>
  <c r="E62" i="215"/>
  <c r="I62" i="215" s="1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H59" i="215"/>
  <c r="E59" i="215"/>
  <c r="I59" i="215" s="1"/>
  <c r="AD58" i="215"/>
  <c r="AC58" i="215"/>
  <c r="AB58" i="215"/>
  <c r="AE58" i="215" s="1"/>
  <c r="AI58" i="215" s="1"/>
  <c r="Y58" i="215" s="1"/>
  <c r="Z58" i="215"/>
  <c r="X58" i="215"/>
  <c r="Q58" i="215"/>
  <c r="P58" i="215"/>
  <c r="I58" i="215"/>
  <c r="H58" i="215"/>
  <c r="E58" i="215"/>
  <c r="AD57" i="215"/>
  <c r="AC57" i="215"/>
  <c r="AE57" i="215" s="1"/>
  <c r="AI57" i="215" s="1"/>
  <c r="Y57" i="215" s="1"/>
  <c r="AB57" i="215"/>
  <c r="Z57" i="215"/>
  <c r="X57" i="215"/>
  <c r="Q57" i="215"/>
  <c r="P57" i="215"/>
  <c r="I57" i="215"/>
  <c r="H57" i="215"/>
  <c r="E57" i="215"/>
  <c r="AI56" i="215"/>
  <c r="Y56" i="215" s="1"/>
  <c r="AE56" i="215"/>
  <c r="AD56" i="215"/>
  <c r="AC56" i="215"/>
  <c r="AB56" i="215"/>
  <c r="Z56" i="215"/>
  <c r="X56" i="215"/>
  <c r="Q56" i="215"/>
  <c r="P56" i="215"/>
  <c r="I56" i="215"/>
  <c r="H56" i="215"/>
  <c r="E56" i="215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I54" i="215"/>
  <c r="AE54" i="215"/>
  <c r="Z54" i="215"/>
  <c r="Y54" i="215"/>
  <c r="X54" i="215"/>
  <c r="Q54" i="215"/>
  <c r="P54" i="215"/>
  <c r="I54" i="215"/>
  <c r="H54" i="215"/>
  <c r="E54" i="215"/>
  <c r="AD53" i="215"/>
  <c r="AE53" i="215" s="1"/>
  <c r="AI53" i="215" s="1"/>
  <c r="Y53" i="215" s="1"/>
  <c r="AC53" i="215"/>
  <c r="AB53" i="215"/>
  <c r="Z53" i="215"/>
  <c r="X53" i="215"/>
  <c r="Q53" i="215"/>
  <c r="P53" i="215"/>
  <c r="H53" i="215"/>
  <c r="E53" i="215"/>
  <c r="I53" i="215" s="1"/>
  <c r="AD52" i="215"/>
  <c r="AC52" i="215"/>
  <c r="AB52" i="215"/>
  <c r="AE52" i="215" s="1"/>
  <c r="AI52" i="215" s="1"/>
  <c r="Y52" i="215" s="1"/>
  <c r="Z52" i="215"/>
  <c r="X52" i="215"/>
  <c r="Q52" i="215"/>
  <c r="P52" i="215"/>
  <c r="H52" i="215"/>
  <c r="E52" i="215"/>
  <c r="I52" i="215" s="1"/>
  <c r="AI51" i="215"/>
  <c r="AE51" i="215"/>
  <c r="Z51" i="215"/>
  <c r="Y51" i="215"/>
  <c r="X51" i="215"/>
  <c r="Q51" i="215"/>
  <c r="P51" i="215"/>
  <c r="I51" i="215"/>
  <c r="H51" i="215"/>
  <c r="E51" i="215"/>
  <c r="AE50" i="215"/>
  <c r="AI50" i="215" s="1"/>
  <c r="Y50" i="215" s="1"/>
  <c r="Z50" i="215"/>
  <c r="X50" i="215"/>
  <c r="Q50" i="215"/>
  <c r="P50" i="215"/>
  <c r="H50" i="215"/>
  <c r="E50" i="215"/>
  <c r="I50" i="215" s="1"/>
  <c r="AI49" i="215"/>
  <c r="Y49" i="215" s="1"/>
  <c r="AE49" i="215"/>
  <c r="Z49" i="215"/>
  <c r="X49" i="215"/>
  <c r="Q49" i="215"/>
  <c r="P49" i="215"/>
  <c r="I49" i="215"/>
  <c r="H49" i="215"/>
  <c r="E49" i="215"/>
  <c r="AD48" i="215"/>
  <c r="AC48" i="215"/>
  <c r="AB48" i="215"/>
  <c r="AE48" i="215" s="1"/>
  <c r="AI48" i="215" s="1"/>
  <c r="Y48" i="215" s="1"/>
  <c r="Z48" i="215"/>
  <c r="X48" i="215"/>
  <c r="Q48" i="215"/>
  <c r="P48" i="215"/>
  <c r="I48" i="215"/>
  <c r="H48" i="215"/>
  <c r="E48" i="215"/>
  <c r="AD47" i="215"/>
  <c r="AC47" i="215"/>
  <c r="AB47" i="215"/>
  <c r="AE47" i="215" s="1"/>
  <c r="AI47" i="215" s="1"/>
  <c r="Y47" i="215" s="1"/>
  <c r="Z47" i="215"/>
  <c r="X47" i="215"/>
  <c r="Q47" i="215"/>
  <c r="P47" i="215"/>
  <c r="H47" i="215"/>
  <c r="E47" i="215"/>
  <c r="I47" i="215" s="1"/>
  <c r="AD46" i="215"/>
  <c r="AC46" i="215"/>
  <c r="AB46" i="215"/>
  <c r="AE46" i="215" s="1"/>
  <c r="AI46" i="215" s="1"/>
  <c r="Y46" i="215" s="1"/>
  <c r="Z46" i="215"/>
  <c r="X46" i="215"/>
  <c r="Q46" i="215"/>
  <c r="P46" i="215"/>
  <c r="I46" i="215"/>
  <c r="H46" i="215"/>
  <c r="E46" i="215"/>
  <c r="AD45" i="215"/>
  <c r="AC45" i="215"/>
  <c r="AE45" i="215" s="1"/>
  <c r="AI45" i="215" s="1"/>
  <c r="Y45" i="215" s="1"/>
  <c r="AB45" i="215"/>
  <c r="Z45" i="215"/>
  <c r="X45" i="215"/>
  <c r="Q45" i="215"/>
  <c r="P45" i="215"/>
  <c r="I45" i="215"/>
  <c r="H45" i="215"/>
  <c r="E45" i="215"/>
  <c r="AI44" i="215"/>
  <c r="Y44" i="215" s="1"/>
  <c r="AE44" i="215"/>
  <c r="AD44" i="215"/>
  <c r="AC44" i="215"/>
  <c r="AB44" i="215"/>
  <c r="Z44" i="215"/>
  <c r="X44" i="215"/>
  <c r="Q44" i="215"/>
  <c r="P44" i="215"/>
  <c r="I44" i="215"/>
  <c r="H44" i="215"/>
  <c r="E44" i="215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B42" i="215"/>
  <c r="AE42" i="215" s="1"/>
  <c r="AI42" i="215" s="1"/>
  <c r="Y42" i="215" s="1"/>
  <c r="Z42" i="215"/>
  <c r="X42" i="215"/>
  <c r="Q42" i="215"/>
  <c r="P42" i="215"/>
  <c r="H42" i="215"/>
  <c r="E42" i="215"/>
  <c r="I42" i="215" s="1"/>
  <c r="AD41" i="215"/>
  <c r="AE41" i="215" s="1"/>
  <c r="AI41" i="215" s="1"/>
  <c r="Y41" i="215" s="1"/>
  <c r="AC41" i="215"/>
  <c r="AB41" i="215"/>
  <c r="Z41" i="215"/>
  <c r="X41" i="215"/>
  <c r="Q41" i="215"/>
  <c r="P41" i="215"/>
  <c r="I41" i="215"/>
  <c r="H41" i="215"/>
  <c r="E41" i="215"/>
  <c r="AE40" i="215"/>
  <c r="AI40" i="215" s="1"/>
  <c r="Y40" i="215" s="1"/>
  <c r="AD40" i="215"/>
  <c r="AC40" i="215"/>
  <c r="AB40" i="215"/>
  <c r="Z40" i="215"/>
  <c r="X40" i="215"/>
  <c r="Q40" i="215"/>
  <c r="P40" i="215"/>
  <c r="H40" i="215"/>
  <c r="E40" i="215"/>
  <c r="I40" i="215" s="1"/>
  <c r="AD39" i="215"/>
  <c r="AC39" i="215"/>
  <c r="AB39" i="215"/>
  <c r="AE39" i="215" s="1"/>
  <c r="AI39" i="215" s="1"/>
  <c r="Y39" i="215" s="1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E36" i="215"/>
  <c r="AI36" i="215" s="1"/>
  <c r="Y36" i="215" s="1"/>
  <c r="AD36" i="215"/>
  <c r="AC36" i="215"/>
  <c r="AB36" i="215"/>
  <c r="Z36" i="215"/>
  <c r="X36" i="215"/>
  <c r="Q36" i="215"/>
  <c r="P36" i="215"/>
  <c r="I36" i="215"/>
  <c r="H36" i="215"/>
  <c r="E36" i="215"/>
  <c r="AD35" i="215"/>
  <c r="AC35" i="215"/>
  <c r="AB35" i="215"/>
  <c r="AE35" i="215" s="1"/>
  <c r="AI35" i="215" s="1"/>
  <c r="Y35" i="215" s="1"/>
  <c r="Z35" i="215"/>
  <c r="X35" i="215"/>
  <c r="Q35" i="215"/>
  <c r="P35" i="215"/>
  <c r="H35" i="215"/>
  <c r="E35" i="215"/>
  <c r="I35" i="215" s="1"/>
  <c r="AD34" i="215"/>
  <c r="AC34" i="215"/>
  <c r="AB34" i="215"/>
  <c r="AE34" i="215" s="1"/>
  <c r="AI34" i="215" s="1"/>
  <c r="Y34" i="215" s="1"/>
  <c r="Z34" i="215"/>
  <c r="X34" i="215"/>
  <c r="Q34" i="215"/>
  <c r="P34" i="215"/>
  <c r="H34" i="215"/>
  <c r="E34" i="215"/>
  <c r="I34" i="215" s="1"/>
  <c r="AE33" i="215"/>
  <c r="AI33" i="215" s="1"/>
  <c r="Y33" i="215" s="1"/>
  <c r="AD33" i="215"/>
  <c r="AC33" i="215"/>
  <c r="AB33" i="215"/>
  <c r="Z33" i="215"/>
  <c r="X33" i="215"/>
  <c r="Q33" i="215"/>
  <c r="P33" i="215"/>
  <c r="I33" i="215"/>
  <c r="H33" i="215"/>
  <c r="E33" i="215"/>
  <c r="AD32" i="215"/>
  <c r="AC32" i="215"/>
  <c r="AB32" i="215"/>
  <c r="AE32" i="215" s="1"/>
  <c r="AI32" i="215" s="1"/>
  <c r="Y32" i="215" s="1"/>
  <c r="Z32" i="215"/>
  <c r="X32" i="215"/>
  <c r="Q32" i="215"/>
  <c r="P32" i="215"/>
  <c r="I32" i="215"/>
  <c r="H32" i="215"/>
  <c r="E32" i="215"/>
  <c r="AI31" i="215"/>
  <c r="Y31" i="215" s="1"/>
  <c r="AE31" i="215"/>
  <c r="Z31" i="215"/>
  <c r="X31" i="215"/>
  <c r="Q31" i="215"/>
  <c r="P31" i="215"/>
  <c r="I31" i="215"/>
  <c r="H31" i="215"/>
  <c r="E31" i="215"/>
  <c r="AD30" i="215"/>
  <c r="AC30" i="215"/>
  <c r="AE30" i="215" s="1"/>
  <c r="AI30" i="215" s="1"/>
  <c r="Y30" i="215" s="1"/>
  <c r="AB30" i="215"/>
  <c r="Z30" i="215"/>
  <c r="X30" i="215"/>
  <c r="Q30" i="215"/>
  <c r="P30" i="215"/>
  <c r="I30" i="215"/>
  <c r="H30" i="215"/>
  <c r="E30" i="215"/>
  <c r="AI29" i="215"/>
  <c r="Y29" i="215" s="1"/>
  <c r="AE29" i="215"/>
  <c r="AD29" i="215"/>
  <c r="AC29" i="215"/>
  <c r="AB29" i="215"/>
  <c r="Z29" i="215"/>
  <c r="X29" i="215"/>
  <c r="Q29" i="215"/>
  <c r="P29" i="215"/>
  <c r="I29" i="215"/>
  <c r="H29" i="215"/>
  <c r="E29" i="215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B27" i="215"/>
  <c r="AE27" i="215" s="1"/>
  <c r="AI27" i="215" s="1"/>
  <c r="Y27" i="215" s="1"/>
  <c r="Z27" i="215"/>
  <c r="X27" i="215"/>
  <c r="Q27" i="215"/>
  <c r="P27" i="215"/>
  <c r="H27" i="215"/>
  <c r="E27" i="215"/>
  <c r="I27" i="215" s="1"/>
  <c r="AD26" i="215"/>
  <c r="AE26" i="215" s="1"/>
  <c r="AI26" i="215" s="1"/>
  <c r="Y26" i="215" s="1"/>
  <c r="AC26" i="215"/>
  <c r="AB26" i="215"/>
  <c r="Z26" i="215"/>
  <c r="X26" i="215"/>
  <c r="Q26" i="215"/>
  <c r="P26" i="215"/>
  <c r="I26" i="215"/>
  <c r="H26" i="215"/>
  <c r="E26" i="215"/>
  <c r="AD25" i="215"/>
  <c r="AE25" i="215" s="1"/>
  <c r="AI25" i="215" s="1"/>
  <c r="Y25" i="215" s="1"/>
  <c r="AC25" i="215"/>
  <c r="AB25" i="215"/>
  <c r="Z25" i="215"/>
  <c r="X25" i="215"/>
  <c r="Q25" i="215"/>
  <c r="P25" i="215"/>
  <c r="H25" i="215"/>
  <c r="E25" i="215"/>
  <c r="I25" i="215" s="1"/>
  <c r="AD24" i="215"/>
  <c r="AC24" i="215"/>
  <c r="AB24" i="215"/>
  <c r="AE24" i="215" s="1"/>
  <c r="AI24" i="215" s="1"/>
  <c r="Y24" i="215" s="1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E21" i="215"/>
  <c r="AI21" i="215" s="1"/>
  <c r="Y21" i="215" s="1"/>
  <c r="AD21" i="215"/>
  <c r="AC21" i="215"/>
  <c r="AB21" i="215"/>
  <c r="Z21" i="215"/>
  <c r="X21" i="215"/>
  <c r="Q21" i="215"/>
  <c r="P21" i="215"/>
  <c r="I21" i="215"/>
  <c r="H21" i="215"/>
  <c r="E21" i="215"/>
  <c r="AE20" i="215"/>
  <c r="AI20" i="215" s="1"/>
  <c r="Y20" i="215" s="1"/>
  <c r="AD20" i="215"/>
  <c r="AC20" i="215"/>
  <c r="AB20" i="215"/>
  <c r="Z20" i="215"/>
  <c r="X20" i="215"/>
  <c r="Q20" i="215"/>
  <c r="P20" i="215"/>
  <c r="H20" i="215"/>
  <c r="E20" i="215"/>
  <c r="I20" i="215" s="1"/>
  <c r="AD19" i="215"/>
  <c r="AC19" i="215"/>
  <c r="AB19" i="215"/>
  <c r="AE19" i="215" s="1"/>
  <c r="AI19" i="215" s="1"/>
  <c r="Y19" i="215" s="1"/>
  <c r="Z19" i="215"/>
  <c r="X19" i="215"/>
  <c r="Q19" i="215"/>
  <c r="P19" i="215"/>
  <c r="H19" i="215"/>
  <c r="E19" i="215"/>
  <c r="I19" i="215" s="1"/>
  <c r="AE18" i="215"/>
  <c r="AI18" i="215" s="1"/>
  <c r="Y18" i="215" s="1"/>
  <c r="AD18" i="215"/>
  <c r="AC18" i="215"/>
  <c r="AB18" i="215"/>
  <c r="Z18" i="215"/>
  <c r="X18" i="215"/>
  <c r="Q18" i="215"/>
  <c r="P18" i="215"/>
  <c r="I18" i="215"/>
  <c r="H18" i="215"/>
  <c r="E18" i="215"/>
  <c r="AD17" i="215"/>
  <c r="AC17" i="215"/>
  <c r="AB17" i="215"/>
  <c r="AE17" i="215" s="1"/>
  <c r="AI17" i="215" s="1"/>
  <c r="Y17" i="215" s="1"/>
  <c r="Z17" i="215"/>
  <c r="X17" i="215"/>
  <c r="Q17" i="215"/>
  <c r="P17" i="215"/>
  <c r="I17" i="215"/>
  <c r="H17" i="215"/>
  <c r="E17" i="215"/>
  <c r="AD16" i="215"/>
  <c r="AC16" i="215"/>
  <c r="AB16" i="215"/>
  <c r="AE16" i="215" s="1"/>
  <c r="AI16" i="215" s="1"/>
  <c r="Y16" i="215" s="1"/>
  <c r="Z16" i="215"/>
  <c r="X16" i="215"/>
  <c r="Q16" i="215"/>
  <c r="P16" i="215"/>
  <c r="E16" i="215"/>
  <c r="I16" i="215" s="1"/>
  <c r="AE15" i="215"/>
  <c r="AI15" i="215" s="1"/>
  <c r="Y15" i="215" s="1"/>
  <c r="AD15" i="215"/>
  <c r="AC15" i="215"/>
  <c r="AB15" i="215"/>
  <c r="Z15" i="215"/>
  <c r="X15" i="215"/>
  <c r="Q15" i="215"/>
  <c r="P15" i="215"/>
  <c r="E15" i="215"/>
  <c r="I15" i="215" s="1"/>
  <c r="AI14" i="215"/>
  <c r="Y14" i="215" s="1"/>
  <c r="AE14" i="215"/>
  <c r="AD14" i="215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H13" i="215"/>
  <c r="E13" i="215"/>
  <c r="I13" i="215" s="1"/>
  <c r="AD12" i="215"/>
  <c r="AC12" i="215"/>
  <c r="AE12" i="215" s="1"/>
  <c r="AI12" i="215" s="1"/>
  <c r="Y12" i="215" s="1"/>
  <c r="AB12" i="215"/>
  <c r="Z12" i="215"/>
  <c r="T77" i="215" s="1"/>
  <c r="X12" i="215"/>
  <c r="T79" i="215" s="1"/>
  <c r="Q12" i="215"/>
  <c r="P12" i="215"/>
  <c r="I12" i="215"/>
  <c r="H12" i="215"/>
  <c r="E12" i="215"/>
  <c r="T81" i="216" l="1"/>
  <c r="F79" i="216" s="1"/>
  <c r="O75" i="215"/>
  <c r="F75" i="215"/>
  <c r="F77" i="215"/>
  <c r="T75" i="215"/>
  <c r="T81" i="215" s="1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F79" i="215" l="1"/>
  <c r="O77" i="214"/>
  <c r="O75" i="214"/>
  <c r="T75" i="214"/>
  <c r="F77" i="214"/>
  <c r="F75" i="214"/>
  <c r="T81" i="214"/>
  <c r="F79" i="214" l="1"/>
  <c r="I35" i="208" l="1"/>
  <c r="E35" i="207"/>
  <c r="I35" i="207" s="1"/>
  <c r="E34" i="207"/>
  <c r="I34" i="207" s="1"/>
  <c r="E35" i="208"/>
  <c r="E34" i="208"/>
  <c r="I34" i="208" s="1"/>
  <c r="AD35" i="207"/>
  <c r="AD34" i="207"/>
  <c r="AD35" i="208"/>
  <c r="AE35" i="208" s="1"/>
  <c r="AI35" i="208" s="1"/>
  <c r="Y35" i="208" s="1"/>
  <c r="AD34" i="208"/>
  <c r="AC35" i="207"/>
  <c r="AC34" i="207"/>
  <c r="AE34" i="207" s="1"/>
  <c r="AI34" i="207" s="1"/>
  <c r="Y34" i="207" s="1"/>
  <c r="AC35" i="208"/>
  <c r="AC34" i="208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3" i="207"/>
  <c r="AB33" i="208"/>
  <c r="Z35" i="207"/>
  <c r="Z34" i="207"/>
  <c r="Z35" i="208"/>
  <c r="Z34" i="208"/>
  <c r="X35" i="207"/>
  <c r="X34" i="207"/>
  <c r="X35" i="208"/>
  <c r="X34" i="208"/>
  <c r="Q35" i="207"/>
  <c r="P35" i="207"/>
  <c r="Q34" i="207"/>
  <c r="P34" i="207"/>
  <c r="Q35" i="208"/>
  <c r="P35" i="208"/>
  <c r="Q34" i="208"/>
  <c r="P34" i="208"/>
  <c r="H35" i="207"/>
  <c r="H34" i="207"/>
  <c r="H35" i="208"/>
  <c r="H34" i="208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AE18" i="207" l="1"/>
  <c r="AI18" i="207" s="1"/>
  <c r="Y18" i="207" s="1"/>
  <c r="AE68" i="207"/>
  <c r="AI68" i="207" s="1"/>
  <c r="Y68" i="207" s="1"/>
  <c r="AE13" i="208"/>
  <c r="AI13" i="208" s="1"/>
  <c r="Y13" i="208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44" i="207"/>
  <c r="AI44" i="207" s="1"/>
  <c r="Y44" i="207" s="1"/>
  <c r="AE65" i="207"/>
  <c r="AI65" i="207" s="1"/>
  <c r="Y65" i="207" s="1"/>
  <c r="AE57" i="208"/>
  <c r="AI57" i="208" s="1"/>
  <c r="Y57" i="208" s="1"/>
  <c r="AE17" i="207"/>
  <c r="AI17" i="207" s="1"/>
  <c r="Y17" i="207" s="1"/>
  <c r="AE12" i="207"/>
  <c r="AI12" i="207" s="1"/>
  <c r="Y12" i="207" s="1"/>
  <c r="AE69" i="207"/>
  <c r="AI69" i="207" s="1"/>
  <c r="Y69" i="207" s="1"/>
  <c r="AE32" i="208"/>
  <c r="AI32" i="208" s="1"/>
  <c r="Y32" i="208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3" i="207"/>
  <c r="AI23" i="207" s="1"/>
  <c r="Y23" i="207" s="1"/>
  <c r="AE46" i="208"/>
  <c r="AI46" i="208" s="1"/>
  <c r="Y46" i="208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5" i="207" l="1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<sst xmlns="http://schemas.openxmlformats.org/spreadsheetml/2006/main" count="2912" uniqueCount="146">
  <si>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</si>
  <si>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</si>
  <si>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</si>
  <si>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</si>
  <si>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</si>
  <si>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</si>
  <si>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</si>
  <si>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</si>
  <si>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</si>
  <si>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</si>
  <si>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</si>
  <si>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</si>
  <si>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</si>
  <si>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</si>
  <si>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</si>
  <si>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</si>
  <si>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</si>
  <si>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</si>
  <si>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</si>
  <si>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</si>
  <si>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</si>
  <si>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</si>
  <si>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</si>
  <si>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</si>
  <si>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</si>
  <si>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</si>
  <si>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</si>
  <si>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</si>
  <si>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</si>
  <si>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</si>
  <si>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</si>
  <si>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</si>
  <si>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</si>
  <si>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</si>
  <si>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</si>
  <si>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</si>
  <si>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</si>
  <si>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</si>
  <si>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</si>
  <si>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</si>
  <si>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</si>
  <si>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</si>
  <si>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</si>
  <si>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</si>
  <si>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</si>
  <si>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</si>
  <si>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</si>
  <si>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</si>
  <si>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</si>
  <si>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</si>
  <si>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</si>
  <si>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</si>
  <si>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</si>
  <si>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</si>
  <si>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</si>
  <si>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</si>
  <si>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</si>
  <si>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</si>
  <si>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</si>
  <si>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</si>
  <si>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</si>
  <si>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</si>
  <si>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</si>
  <si>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</si>
  <si>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</si>
  <si>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</si>
  <si>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</si>
  <si>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</si>
  <si>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</si>
  <si>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</si>
  <si>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</si>
  <si>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</si>
  <si>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</si>
  <si>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</si>
  <si>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</si>
  <si>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</si>
  <si>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</si>
  <si>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</si>
  <si>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</si>
  <si>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</si>
  <si>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</si>
  <si>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</si>
  <si>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</si>
  <si>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</si>
  <si>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</si>
  <si>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</si>
  <si>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</si>
  <si>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</si>
  <si>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</si>
  <si>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</si>
  <si>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</si>
  <si>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</si>
  <si>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</si>
  <si>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</si>
  <si>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</si>
  <si>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</si>
  <si>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</si>
  <si>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</si>
  <si>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</si>
  <si>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</si>
  <si>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</si>
  <si>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</si>
  <si>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</si>
  <si>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</si>
  <si>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</si>
  <si>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</si>
  <si>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</si>
  <si>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</si>
  <si>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</si>
  <si>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</si>
  <si>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</si>
  <si>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</si>
  <si>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</si>
  <si>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</si>
  <si>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</si>
  <si>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</si>
  <si>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</si>
  <si>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</si>
  <si>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</si>
  <si>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</si>
  <si>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</si>
  <si>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</si>
  <si>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</si>
  <si>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</si>
  <si>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</si>
  <si>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</si>
  <si>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</si>
  <si>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</si>
  <si>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</si>
  <si>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</si>
  <si>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</si>
  <si>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</si>
  <si>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</si>
  <si>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0619</t>
  </si>
  <si>
    <t>0620</t>
  </si>
  <si>
    <t>SML KING CAN 500</t>
  </si>
  <si>
    <t>PP KING CAN 500</t>
  </si>
  <si>
    <t>x</t>
  </si>
  <si>
    <t>PASAMANTE, JOHN</t>
  </si>
  <si>
    <t>R#2</t>
  </si>
  <si>
    <t>CAGALITAN, ARNEL</t>
  </si>
  <si>
    <t>CCN8168</t>
  </si>
  <si>
    <t>NLB4409</t>
  </si>
  <si>
    <t>R4</t>
  </si>
  <si>
    <t>R5</t>
  </si>
  <si>
    <t>CCN9879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</si>
</sst>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5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648AE2-08D0-4971-9803-7EE1B95AB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3F357-F33D-4105-9317-F0E615E13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429BB4-6811-4EB6-8DA8-5AC20405D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65B797-982A-4626-9500-3E4B93201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0559C6-219E-4786-AA24-00C3D51F7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8A654-B560-4213-A7B1-1030E0234E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BC34D-7CB9-43B9-BAC6-6A75D8F08E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F59825-A3B9-44E6-AB65-9BBEBF23D2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0FCE8E-C49B-4BF3-852B-CD39A77C26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C779D3-2087-411D-80FD-555244575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D2C3E6-CF16-4413-A4D0-D4CAD4C242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848F1D-1E35-4228-889A-A57C69E1B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90C468-5AD0-4022-9978-377AF59A7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C5F913-2C03-4BCF-B2FF-0336ED32E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35C333-FE96-4123-96B4-E19A88ACEE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C9B991-FBC7-434F-960E-0DC429BE9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54BE4B-D8FF-43E5-86B0-451289463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C1" activePane="topRight" state="frozen"/>
      <selection activeCell="U2" sqref="U2"/>
      <selection pane="topRight" activeCell="L13" sqref="L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138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46235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0" t="s">
        <v>6</v>
      </c>
      <c r="T6" s="196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196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202464</v>
      </c>
      <c r="P75" s="244"/>
      <c r="Q75" s="245"/>
      <c r="R75" s="151"/>
      <c r="S75" s="158" t="s">
        <v>104</v>
      </c>
      <c r="T75" s="248">
        <f>SUM(Y12:Y70)</f>
        <v>0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178488</v>
      </c>
      <c r="P77" s="244"/>
      <c r="Q77" s="245"/>
      <c r="R77" s="151"/>
      <c r="S77" s="158" t="s">
        <v>129</v>
      </c>
      <c r="T77" s="248">
        <f>SUM(Z12:Z72)</f>
        <v>0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-202464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0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2CD3-0F58-4E0C-ACA9-A1D914E78E50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139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46241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141</v>
      </c>
      <c r="G6" s="220"/>
      <c r="H6" s="220"/>
      <c r="I6" s="220"/>
      <c r="J6" s="220"/>
      <c r="K6" s="220"/>
      <c r="L6" s="220"/>
      <c r="M6" s="220"/>
      <c r="S6" s="10" t="s">
        <v>6</v>
      </c>
      <c r="T6" s="197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197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>
        <v>72</v>
      </c>
      <c r="N12" s="29"/>
      <c r="O12" s="29"/>
      <c r="P12" s="30" t="str">
        <f>IF(M12&amp;N12="","",ROUND(((M12+N12)/G12),1)&amp;" pallets")</f>
        <v>1 pallets</v>
      </c>
      <c r="Q12" s="31">
        <f>(J12*M12)+(K12*N12)+(O12*L12)</f>
        <v>8640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196020</v>
      </c>
      <c r="P75" s="244"/>
      <c r="Q75" s="245"/>
      <c r="R75" s="151"/>
      <c r="S75" s="158" t="s">
        <v>104</v>
      </c>
      <c r="T75" s="248">
        <f>SUM(Y12:Y70)</f>
        <v>0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175392</v>
      </c>
      <c r="P77" s="244"/>
      <c r="Q77" s="245"/>
      <c r="R77" s="151"/>
      <c r="S77" s="158" t="s">
        <v>129</v>
      </c>
      <c r="T77" s="248">
        <f>SUM(Z12:Z72)</f>
        <v>0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-196020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0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9AC5-6D94-4388-A583-D689CFEAD82D}">
  <sheetPr>
    <tabColor rgb="FF00B050"/>
    <pageSetUpPr fitToPage="1"/>
  </sheetPr>
  <dimension ref="A1:AJ102"/>
  <sheetViews>
    <sheetView showGridLines="0" topLeftCell="A48" zoomScale="85" zoomScaleNormal="85" workbookViewId="0">
      <pane xSplit="2" topLeftCell="F1" activePane="topRight" state="frozen"/>
      <selection activeCell="U2" sqref="U2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>
        <v>801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138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46245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142</v>
      </c>
      <c r="G6" s="220"/>
      <c r="H6" s="220"/>
      <c r="I6" s="220"/>
      <c r="J6" s="220"/>
      <c r="K6" s="220"/>
      <c r="L6" s="220"/>
      <c r="M6" s="220"/>
      <c r="S6" s="10" t="s">
        <v>6</v>
      </c>
      <c r="T6" s="198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198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252</v>
      </c>
      <c r="G14" s="46">
        <v>63</v>
      </c>
      <c r="H14" s="63" t="str">
        <f>IF(F14="","",(ROUND((F14/G14),1)&amp;" pallets"))</f>
        <v>4 pallets</v>
      </c>
      <c r="I14" s="48">
        <f t="shared" si="4"/>
        <v>275436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245196</v>
      </c>
      <c r="Y14" s="56">
        <f t="shared" si="0"/>
        <v>8081.64</v>
      </c>
      <c r="Z14" s="35">
        <f t="shared" si="8"/>
        <v>882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576</v>
      </c>
      <c r="G15" s="46">
        <v>96</v>
      </c>
      <c r="H15" s="63"/>
      <c r="I15" s="48">
        <f t="shared" si="4"/>
        <v>449856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385920</v>
      </c>
      <c r="Y15" s="56">
        <f>F15*AI15</f>
        <v>17337.600000000002</v>
      </c>
      <c r="Z15" s="35">
        <f t="shared" si="8"/>
        <v>2016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756</v>
      </c>
      <c r="G16" s="46">
        <v>108</v>
      </c>
      <c r="H16" s="63"/>
      <c r="I16" s="48">
        <f t="shared" si="4"/>
        <v>575316</v>
      </c>
      <c r="J16" s="49">
        <v>111</v>
      </c>
      <c r="K16" s="64"/>
      <c r="L16" s="49">
        <v>4.5</v>
      </c>
      <c r="M16" s="50">
        <v>1836</v>
      </c>
      <c r="N16" s="192"/>
      <c r="O16" s="50"/>
      <c r="P16" s="51" t="str">
        <f t="shared" si="5"/>
        <v>17 pallets</v>
      </c>
      <c r="Q16" s="52">
        <f t="shared" si="6"/>
        <v>203796</v>
      </c>
      <c r="S16" s="53"/>
      <c r="T16" s="66"/>
      <c r="U16" s="54"/>
      <c r="X16" s="55">
        <f t="shared" si="7"/>
        <v>491400</v>
      </c>
      <c r="Y16" s="56">
        <f>F16*AI16</f>
        <v>22407.84</v>
      </c>
      <c r="Z16" s="35">
        <f t="shared" si="8"/>
        <v>2646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5</v>
      </c>
      <c r="G36" s="46">
        <v>100</v>
      </c>
      <c r="H36" s="63" t="str">
        <f t="shared" si="11"/>
        <v>0.1 pallets</v>
      </c>
      <c r="I36" s="48">
        <f t="shared" si="4"/>
        <v>5875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5875</v>
      </c>
      <c r="Y36" s="56">
        <f t="shared" si="0"/>
        <v>140.80000000000001</v>
      </c>
      <c r="Z36" s="35">
        <f t="shared" si="8"/>
        <v>17.5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5</v>
      </c>
      <c r="G37" s="46">
        <v>100</v>
      </c>
      <c r="H37" s="63" t="str">
        <f t="shared" si="11"/>
        <v>0.1 pallets</v>
      </c>
      <c r="I37" s="48">
        <f t="shared" si="4"/>
        <v>5875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5875</v>
      </c>
      <c r="Y37" s="56">
        <f t="shared" si="0"/>
        <v>140.80000000000001</v>
      </c>
      <c r="Z37" s="35">
        <f t="shared" si="8"/>
        <v>17.5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5</v>
      </c>
      <c r="G38" s="46">
        <v>100</v>
      </c>
      <c r="H38" s="63" t="str">
        <f t="shared" si="11"/>
        <v>0.1 pallets</v>
      </c>
      <c r="I38" s="48">
        <f t="shared" si="4"/>
        <v>5875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5875</v>
      </c>
      <c r="Y38" s="56">
        <f t="shared" si="0"/>
        <v>140.80000000000001</v>
      </c>
      <c r="Z38" s="35">
        <f t="shared" si="8"/>
        <v>17.5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1318233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203796</v>
      </c>
      <c r="P75" s="244"/>
      <c r="Q75" s="245"/>
      <c r="R75" s="151"/>
      <c r="S75" s="158" t="s">
        <v>104</v>
      </c>
      <c r="T75" s="248">
        <f>SUM(Y12:Y70)</f>
        <v>48249.48000000001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1318233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203796</v>
      </c>
      <c r="P77" s="244"/>
      <c r="Q77" s="245"/>
      <c r="R77" s="151"/>
      <c r="S77" s="158" t="s">
        <v>129</v>
      </c>
      <c r="T77" s="248">
        <f>SUM(Z12:Z72)</f>
        <v>5596.5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662107.02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>
        <v>398484</v>
      </c>
      <c r="Q81" s="262"/>
      <c r="R81" s="151"/>
      <c r="S81" s="158" t="s">
        <v>112</v>
      </c>
      <c r="T81" s="248">
        <f>T75+T77+T79</f>
        <v>53845.98000000001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0B435-0F1B-4F7B-BBE4-AA69B8FC42E6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143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138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46247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142</v>
      </c>
      <c r="G6" s="220"/>
      <c r="H6" s="220"/>
      <c r="I6" s="220"/>
      <c r="J6" s="220"/>
      <c r="K6" s="220"/>
      <c r="L6" s="220"/>
      <c r="M6" s="220"/>
      <c r="S6" s="10" t="s">
        <v>6</v>
      </c>
      <c r="T6" s="199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199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324</v>
      </c>
      <c r="N13" s="50">
        <v>108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45036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1188</v>
      </c>
      <c r="N16" s="192"/>
      <c r="O16" s="50"/>
      <c r="P16" s="51" t="str">
        <f t="shared" si="5"/>
        <v>11 pallets</v>
      </c>
      <c r="Q16" s="52">
        <f t="shared" si="6"/>
        <v>131868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176904</v>
      </c>
      <c r="P75" s="244"/>
      <c r="Q75" s="245"/>
      <c r="R75" s="151"/>
      <c r="S75" s="158" t="s">
        <v>104</v>
      </c>
      <c r="T75" s="248">
        <f>SUM(Y12:Y70)</f>
        <v>0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131868</v>
      </c>
      <c r="P77" s="244"/>
      <c r="Q77" s="245"/>
      <c r="R77" s="151"/>
      <c r="S77" s="158" t="s">
        <v>129</v>
      </c>
      <c r="T77" s="248">
        <f>SUM(Z12:Z72)</f>
        <v>0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-176904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0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ECF98-E8DD-47F2-BD66-B00D265D56E2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143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138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46247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142</v>
      </c>
      <c r="G6" s="220"/>
      <c r="H6" s="220"/>
      <c r="I6" s="220"/>
      <c r="J6" s="220"/>
      <c r="K6" s="220"/>
      <c r="L6" s="220"/>
      <c r="M6" s="220"/>
      <c r="S6" s="10" t="s">
        <v>6</v>
      </c>
      <c r="T6" s="199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199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144</v>
      </c>
      <c r="N59" s="50"/>
      <c r="O59" s="50"/>
      <c r="P59" s="51" t="str">
        <f t="shared" si="5"/>
        <v>2 pallets</v>
      </c>
      <c r="Q59" s="52">
        <f>(J59*M59)+(K59*N59)+(O59*L59)</f>
        <v>11232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2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11232</v>
      </c>
      <c r="P75" s="244"/>
      <c r="Q75" s="245"/>
      <c r="R75" s="151"/>
      <c r="S75" s="158" t="s">
        <v>104</v>
      </c>
      <c r="T75" s="248">
        <f>SUM(Y12:Y70)</f>
        <v>0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11232</v>
      </c>
      <c r="P77" s="244"/>
      <c r="Q77" s="245"/>
      <c r="R77" s="151"/>
      <c r="S77" s="158" t="s">
        <v>129</v>
      </c>
      <c r="T77" s="248">
        <f>SUM(Z12:Z72)</f>
        <v>0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-11232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0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CA071-F2CE-48A2-B818-6A7D11339C86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U2" sqref="U2"/>
      <selection pane="topRight" activeCell="N24" sqref="N2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46247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0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0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>
        <v>108</v>
      </c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9072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1728</v>
      </c>
      <c r="N16" s="192"/>
      <c r="O16" s="50"/>
      <c r="P16" s="51" t="str">
        <f t="shared" si="5"/>
        <v>16 pallets</v>
      </c>
      <c r="Q16" s="52">
        <f t="shared" si="6"/>
        <v>191808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200880</v>
      </c>
      <c r="P75" s="244"/>
      <c r="Q75" s="245"/>
      <c r="R75" s="151"/>
      <c r="S75" s="158" t="s">
        <v>104</v>
      </c>
      <c r="T75" s="248">
        <f>SUM(Y12:Y70)</f>
        <v>0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191808</v>
      </c>
      <c r="P77" s="244"/>
      <c r="Q77" s="245"/>
      <c r="R77" s="151"/>
      <c r="S77" s="158" t="s">
        <v>129</v>
      </c>
      <c r="T77" s="248">
        <f>SUM(Z12:Z72)</f>
        <v>0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-200880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0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03469-05F7-44A5-9CB2-52DB66151B2D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138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1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1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1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1397196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202464</v>
      </c>
      <c r="P75" s="244"/>
      <c r="Q75" s="245"/>
      <c r="R75" s="151"/>
      <c r="S75" s="158" t="s">
        <v>104</v>
      </c>
      <c r="T75" s="248">
        <f>SUM(Y12:Y70)</f>
        <v>54419.040000000001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1397196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190476</v>
      </c>
      <c r="P77" s="244"/>
      <c r="Q77" s="245"/>
      <c r="R77" s="151"/>
      <c r="S77" s="158" t="s">
        <v>129</v>
      </c>
      <c r="T77" s="248">
        <f>SUM(Z12:Z72)</f>
        <v>6426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756102.96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>
        <v>377784</v>
      </c>
      <c r="Q81" s="262"/>
      <c r="R81" s="151"/>
      <c r="S81" s="158" t="s">
        <v>112</v>
      </c>
      <c r="T81" s="248">
        <f>T75+T77+T79</f>
        <v>60845.04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56BDD-7B70-43AB-A556-179BF91FA26A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E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2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2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1397196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202464</v>
      </c>
      <c r="P75" s="244"/>
      <c r="Q75" s="245"/>
      <c r="R75" s="151"/>
      <c r="S75" s="158" t="s">
        <v>104</v>
      </c>
      <c r="T75" s="248">
        <f>SUM(Y12:Y70)</f>
        <v>54419.040000000001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1397196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190476</v>
      </c>
      <c r="P77" s="244"/>
      <c r="Q77" s="245"/>
      <c r="R77" s="151"/>
      <c r="S77" s="158" t="s">
        <v>129</v>
      </c>
      <c r="T77" s="248">
        <f>SUM(Z12:Z72)</f>
        <v>6426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1133886.96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60845.04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4A7B4-53A4-4B1B-B94D-58E591ECBFE1}">
  <sheetPr>
    <tabColor rgb="FF00B050"/>
    <pageSetUpPr fitToPage="1"/>
  </sheetPr>
  <dimension ref="A1:AJ102"/>
  <sheetViews>
    <sheetView showGridLines="0" topLeftCell="A67" zoomScale="85" zoomScaleNormal="85" workbookViewId="0">
      <pane xSplit="2" topLeftCell="E1" activePane="topRight" state="frozen"/>
      <selection activeCell="U2" sqref="U2"/>
      <selection pane="topRight" activeCell="K99" sqref="K9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3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3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1728</v>
      </c>
      <c r="N16" s="192"/>
      <c r="O16" s="50"/>
      <c r="P16" s="51" t="str">
        <f t="shared" si="5"/>
        <v>16 pallets</v>
      </c>
      <c r="Q16" s="52">
        <f t="shared" si="6"/>
        <v>191808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3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1397196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203796</v>
      </c>
      <c r="P75" s="244"/>
      <c r="Q75" s="245"/>
      <c r="R75" s="151"/>
      <c r="S75" s="158" t="s">
        <v>104</v>
      </c>
      <c r="T75" s="248">
        <f>SUM(Y12:Y70)</f>
        <v>54419.040000000001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1397196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191808</v>
      </c>
      <c r="P77" s="244"/>
      <c r="Q77" s="245"/>
      <c r="R77" s="151"/>
      <c r="S77" s="158" t="s">
        <v>129</v>
      </c>
      <c r="T77" s="248">
        <f>SUM(Z12:Z72)</f>
        <v>6426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1132554.96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60845.04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4F94E-CEFB-44EB-AE04-F03846AC0D57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E1" activePane="topRight" state="frozen"/>
      <selection activeCell="M19" sqref="M19"/>
      <selection pane="topRight" activeCell="K98" sqref="K9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4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4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1397196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202464</v>
      </c>
      <c r="P75" s="244"/>
      <c r="Q75" s="245"/>
      <c r="R75" s="151"/>
      <c r="S75" s="158" t="s">
        <v>104</v>
      </c>
      <c r="T75" s="248">
        <f>SUM(Y12:Y70)</f>
        <v>54419.040000000001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1397196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190476</v>
      </c>
      <c r="P77" s="244"/>
      <c r="Q77" s="245"/>
      <c r="R77" s="151"/>
      <c r="S77" s="158" t="s">
        <v>129</v>
      </c>
      <c r="T77" s="248">
        <f>SUM(Z12:Z72)</f>
        <v>6426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1133886.96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60845.04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E8E29-0543-42C5-AEE1-0ACF3ED97474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M19" sqref="M19"/>
      <selection pane="topRight" activeCell="N60" sqref="N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4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4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144</v>
      </c>
      <c r="N59" s="50">
        <v>270</v>
      </c>
      <c r="O59" s="50"/>
      <c r="P59" s="51" t="str">
        <f t="shared" si="5"/>
        <v>5.8 pallets</v>
      </c>
      <c r="Q59" s="52">
        <f>(J59*M59)+(K59*N59)+(O59*L59)</f>
        <v>22572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5.8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22572</v>
      </c>
      <c r="P75" s="244"/>
      <c r="Q75" s="245"/>
      <c r="R75" s="151"/>
      <c r="S75" s="158" t="s">
        <v>104</v>
      </c>
      <c r="T75" s="248">
        <f>SUM(Y12:Y70)</f>
        <v>0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22572</v>
      </c>
      <c r="P77" s="244"/>
      <c r="Q77" s="245"/>
      <c r="R77" s="151"/>
      <c r="S77" s="158" t="s">
        <v>129</v>
      </c>
      <c r="T77" s="248">
        <f>SUM(Z12:Z72)</f>
        <v>0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-22572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0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BC885-F33A-47B3-A556-A13D5E9EE7D6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C1" activePane="topRight" state="frozen"/>
      <selection activeCell="U2" sqref="U2"/>
      <selection pane="topRight" activeCell="K90" sqref="K9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4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4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1296</v>
      </c>
      <c r="N16" s="192"/>
      <c r="O16" s="50"/>
      <c r="P16" s="51" t="str">
        <f t="shared" si="5"/>
        <v>12 pallets</v>
      </c>
      <c r="Q16" s="52">
        <f t="shared" si="6"/>
        <v>143856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13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155844</v>
      </c>
      <c r="P75" s="244"/>
      <c r="Q75" s="245"/>
      <c r="R75" s="151"/>
      <c r="S75" s="158" t="s">
        <v>104</v>
      </c>
      <c r="T75" s="248">
        <f>SUM(Y12:Y70)</f>
        <v>0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143856</v>
      </c>
      <c r="P77" s="244"/>
      <c r="Q77" s="245"/>
      <c r="R77" s="151"/>
      <c r="S77" s="158" t="s">
        <v>129</v>
      </c>
      <c r="T77" s="248">
        <f>SUM(Z12:Z72)</f>
        <v>0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-155844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0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7213-CF51-4F70-930C-58FBC129786E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E1" activePane="topRight" state="frozen"/>
      <selection activeCell="M19" sqref="M19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5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5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864</v>
      </c>
      <c r="G13" s="46">
        <v>108</v>
      </c>
      <c r="H13" s="47" t="str">
        <f t="shared" ref="H13" si="3">IF(F13="","",(ROUND((F13/G13),1)&amp;" pallets"))</f>
        <v>8 pallets</v>
      </c>
      <c r="I13" s="48">
        <f t="shared" ref="I13:I72" si="4">E13*F13</f>
        <v>633312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537408</v>
      </c>
      <c r="Y13" s="56">
        <f>F13*AI13</f>
        <v>25608.959999999999</v>
      </c>
      <c r="Z13" s="35">
        <f t="shared" ref="Z13:Z58" si="8">IF($U$6="x",(F13*3.5),"")</f>
        <v>3024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756</v>
      </c>
      <c r="G16" s="46">
        <v>108</v>
      </c>
      <c r="H16" s="63"/>
      <c r="I16" s="48">
        <f t="shared" si="4"/>
        <v>575316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491400</v>
      </c>
      <c r="Y16" s="56">
        <f>F16*AI16</f>
        <v>22407.84</v>
      </c>
      <c r="Z16" s="35">
        <f t="shared" si="8"/>
        <v>2646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126</v>
      </c>
      <c r="G19" s="70">
        <v>63</v>
      </c>
      <c r="H19" s="71" t="str">
        <f t="shared" si="11"/>
        <v>2 pallets</v>
      </c>
      <c r="I19" s="72">
        <f t="shared" si="4"/>
        <v>147420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132300</v>
      </c>
      <c r="Y19" s="56">
        <f>F19*AI19</f>
        <v>4040.82</v>
      </c>
      <c r="Z19" s="35">
        <f t="shared" si="8"/>
        <v>441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5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1356048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0</v>
      </c>
      <c r="P75" s="244"/>
      <c r="Q75" s="245"/>
      <c r="R75" s="151"/>
      <c r="S75" s="158" t="s">
        <v>104</v>
      </c>
      <c r="T75" s="248">
        <f>SUM(Y12:Y70)</f>
        <v>52057.62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722736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0</v>
      </c>
      <c r="P77" s="244"/>
      <c r="Q77" s="245"/>
      <c r="R77" s="151"/>
      <c r="S77" s="158" t="s">
        <v>129</v>
      </c>
      <c r="T77" s="248">
        <f>SUM(Z12:Z72)</f>
        <v>6111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1142035.3799999999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>
        <v>155844</v>
      </c>
      <c r="Q81" s="262"/>
      <c r="R81" s="151"/>
      <c r="S81" s="158" t="s">
        <v>112</v>
      </c>
      <c r="T81" s="248">
        <f>T75+T77+T79</f>
        <v>58168.62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406AF-BC7C-4CAC-966D-110FC6F8CD75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E1" activePane="topRight" state="frozen"/>
      <selection activeCell="M19" sqref="M19"/>
      <selection pane="topRight" activeCell="K80" sqref="K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6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6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1296</v>
      </c>
      <c r="G16" s="46">
        <v>108</v>
      </c>
      <c r="H16" s="63"/>
      <c r="I16" s="48">
        <f t="shared" si="4"/>
        <v>986256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842400</v>
      </c>
      <c r="Y16" s="56">
        <f>F16*AI16</f>
        <v>38413.440000000002</v>
      </c>
      <c r="Z16" s="35">
        <f t="shared" si="8"/>
        <v>4536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>
        <v>316</v>
      </c>
      <c r="G20" s="46">
        <v>63</v>
      </c>
      <c r="H20" s="63" t="str">
        <f t="shared" si="11"/>
        <v>5 pallets</v>
      </c>
      <c r="I20" s="48">
        <f t="shared" si="4"/>
        <v>313472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275552</v>
      </c>
      <c r="Y20" s="56">
        <f t="shared" si="0"/>
        <v>10134.120000000001</v>
      </c>
      <c r="Z20" s="35">
        <f t="shared" si="8"/>
        <v>1106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6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1299728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0</v>
      </c>
      <c r="P75" s="244"/>
      <c r="Q75" s="245"/>
      <c r="R75" s="151"/>
      <c r="S75" s="158" t="s">
        <v>104</v>
      </c>
      <c r="T75" s="248">
        <f>SUM(Y12:Y70)</f>
        <v>48547.560000000005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1299728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0</v>
      </c>
      <c r="P77" s="244"/>
      <c r="Q77" s="245"/>
      <c r="R77" s="151"/>
      <c r="S77" s="158" t="s">
        <v>129</v>
      </c>
      <c r="T77" s="248">
        <f>SUM(Z12:Z72)</f>
        <v>5642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974311.62999999989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>
        <f>237648.24+1371.68+32206.89</f>
        <v>271226.81</v>
      </c>
      <c r="Q81" s="262"/>
      <c r="R81" s="151"/>
      <c r="S81" s="158" t="s">
        <v>112</v>
      </c>
      <c r="T81" s="248">
        <f>T75+T77+T79</f>
        <v>54189.560000000005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AC4C5-788B-43EB-B603-E4A5A3329A18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M19" sqref="M19"/>
      <selection pane="topRight" activeCell="M25" sqref="M2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7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7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27</v>
      </c>
      <c r="O13" s="50"/>
      <c r="P13" s="51" t="str">
        <f t="shared" ref="P13:P70" si="5">IF(M13&amp;N13="","",ROUND(((M13+N13)/G13),1)&amp;" pallets")</f>
        <v>2.3 pallets</v>
      </c>
      <c r="Q13" s="52">
        <f t="shared" ref="Q13:Q72" si="6">(J13*M13)+(K13*N13)+(O13*L13)</f>
        <v>26244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7" t="str">
        <f>ROUND((((M12+N12+M30+M59+M60+M61+M62+M63+N59)/72+(M13+N13+M16+M18)/108+(M15+N15)/96+SUM(M14,M19:M29,M31:M32,M52,N14)/63)),1)&amp;" pallets"</f>
        <v>17.3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1397196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206064</v>
      </c>
      <c r="P75" s="244"/>
      <c r="Q75" s="245"/>
      <c r="R75" s="151"/>
      <c r="S75" s="158" t="s">
        <v>104</v>
      </c>
      <c r="T75" s="248">
        <f>SUM(Y12:Y70)</f>
        <v>54419.040000000001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1397196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179820</v>
      </c>
      <c r="P77" s="244"/>
      <c r="Q77" s="245"/>
      <c r="R77" s="151"/>
      <c r="S77" s="158" t="s">
        <v>129</v>
      </c>
      <c r="T77" s="248">
        <f>SUM(Z12:Z72)</f>
        <v>6426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1130286.96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60845.04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B52C1-314E-4B35-926F-9992068C5F61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D1" activePane="topRight" state="frozen"/>
      <selection activeCell="M19" sqref="M19"/>
      <selection pane="topRight" activeCell="K81" sqref="K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8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8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>
        <v>72</v>
      </c>
      <c r="O12" s="29"/>
      <c r="P12" s="30" t="str">
        <f>IF(M12&amp;N12="","",ROUND(((M12+N12)/G12),1)&amp;" pallets")</f>
        <v>1 pallets</v>
      </c>
      <c r="Q12" s="31">
        <f>(J12*M12)+(K12*N12)+(O12*L12)</f>
        <v>6048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432</v>
      </c>
      <c r="O13" s="50"/>
      <c r="P13" s="51" t="str">
        <f t="shared" ref="P13:P70" si="5">IF(M13&amp;N13="","",ROUND(((M13+N13)/G13),1)&amp;" pallets")</f>
        <v>5 pallets</v>
      </c>
      <c r="Q13" s="52">
        <f t="shared" ref="Q13:Q72" si="6">(J13*M13)+(K13*N13)+(O13*L13)</f>
        <v>48276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>
        <v>63</v>
      </c>
      <c r="O14" s="50"/>
      <c r="P14" s="51" t="str">
        <f t="shared" si="5"/>
        <v>1 pallets</v>
      </c>
      <c r="Q14" s="52">
        <f t="shared" si="6"/>
        <v>5292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>
        <f t="shared" si="8"/>
        <v>224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576</v>
      </c>
      <c r="G15" s="46">
        <v>96</v>
      </c>
      <c r="H15" s="63"/>
      <c r="I15" s="48">
        <f t="shared" si="4"/>
        <v>449856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385920</v>
      </c>
      <c r="Y15" s="56">
        <f>F15*AI15</f>
        <v>17337.600000000002</v>
      </c>
      <c r="Z15" s="35">
        <f t="shared" si="8"/>
        <v>2016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1080</v>
      </c>
      <c r="G16" s="46">
        <v>108</v>
      </c>
      <c r="H16" s="63"/>
      <c r="I16" s="48">
        <f t="shared" si="4"/>
        <v>821880</v>
      </c>
      <c r="J16" s="49">
        <v>111</v>
      </c>
      <c r="K16" s="64"/>
      <c r="L16" s="49">
        <v>4.5</v>
      </c>
      <c r="M16" s="50">
        <v>1080</v>
      </c>
      <c r="N16" s="192"/>
      <c r="O16" s="50"/>
      <c r="P16" s="51" t="str">
        <f t="shared" si="5"/>
        <v>10 pallets</v>
      </c>
      <c r="Q16" s="52">
        <f t="shared" si="6"/>
        <v>119880</v>
      </c>
      <c r="S16" s="53"/>
      <c r="T16" s="66"/>
      <c r="U16" s="54"/>
      <c r="X16" s="55">
        <f t="shared" si="7"/>
        <v>702000</v>
      </c>
      <c r="Y16" s="56">
        <f>F16*AI16</f>
        <v>32011.200000000001</v>
      </c>
      <c r="Z16" s="35">
        <f t="shared" si="8"/>
        <v>3780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1341688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179496</v>
      </c>
      <c r="P75" s="244"/>
      <c r="Q75" s="245"/>
      <c r="R75" s="151"/>
      <c r="S75" s="158" t="s">
        <v>104</v>
      </c>
      <c r="T75" s="248">
        <f>SUM(Y12:Y70)</f>
        <v>51401.279999999999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1341688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125172</v>
      </c>
      <c r="P77" s="244"/>
      <c r="Q77" s="245"/>
      <c r="R77" s="151"/>
      <c r="S77" s="158" t="s">
        <v>129</v>
      </c>
      <c r="T77" s="248">
        <f>SUM(Z12:Z72)</f>
        <v>6020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1104770.72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57421.279999999999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5ABB-3E77-47E4-90A6-19912271DABF}">
  <sheetPr>
    <tabColor rgb="FF00B050"/>
    <pageSetUpPr fitToPage="1"/>
  </sheetPr>
  <dimension ref="A1:AJ102"/>
  <sheetViews>
    <sheetView showGridLines="0" topLeftCell="A27" zoomScale="85" zoomScaleNormal="85" workbookViewId="0">
      <pane xSplit="2" topLeftCell="F1" activePane="topRight" state="frozen"/>
      <selection activeCell="M19" sqref="M19"/>
      <selection pane="topRight" activeCell="N41" sqref="N4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9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9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>
        <v>108</v>
      </c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9072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126</v>
      </c>
      <c r="N14" s="50"/>
      <c r="O14" s="50"/>
      <c r="P14" s="51" t="str">
        <f t="shared" si="5"/>
        <v>2 pallets</v>
      </c>
      <c r="Q14" s="52">
        <f t="shared" si="6"/>
        <v>15120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540</v>
      </c>
      <c r="N16" s="192"/>
      <c r="O16" s="50"/>
      <c r="P16" s="51" t="str">
        <f t="shared" si="5"/>
        <v>5 pallets</v>
      </c>
      <c r="Q16" s="52">
        <f t="shared" si="6"/>
        <v>59940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>
        <v>63</v>
      </c>
      <c r="N28" s="92"/>
      <c r="O28" s="91"/>
      <c r="P28" s="93" t="str">
        <f t="shared" si="5"/>
        <v>1 pallets</v>
      </c>
      <c r="Q28" s="94">
        <f t="shared" si="6"/>
        <v>7560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5</v>
      </c>
      <c r="G36" s="46">
        <v>100</v>
      </c>
      <c r="H36" s="63" t="str">
        <f t="shared" si="11"/>
        <v>0.1 pallets</v>
      </c>
      <c r="I36" s="48">
        <f t="shared" si="4"/>
        <v>5875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5875</v>
      </c>
      <c r="Y36" s="56">
        <f t="shared" si="0"/>
        <v>140.80000000000001</v>
      </c>
      <c r="Z36" s="35">
        <f t="shared" si="8"/>
        <v>17.5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5</v>
      </c>
      <c r="G37" s="46">
        <v>100</v>
      </c>
      <c r="H37" s="63" t="str">
        <f t="shared" si="11"/>
        <v>0.1 pallets</v>
      </c>
      <c r="I37" s="48">
        <f t="shared" si="4"/>
        <v>5875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5875</v>
      </c>
      <c r="Y37" s="56">
        <f t="shared" si="0"/>
        <v>140.80000000000001</v>
      </c>
      <c r="Z37" s="35">
        <f t="shared" si="8"/>
        <v>17.5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5</v>
      </c>
      <c r="G38" s="46">
        <v>100</v>
      </c>
      <c r="H38" s="63" t="str">
        <f t="shared" si="11"/>
        <v>0.1 pallets</v>
      </c>
      <c r="I38" s="48">
        <f t="shared" si="4"/>
        <v>5875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5875</v>
      </c>
      <c r="Y38" s="56">
        <f t="shared" si="0"/>
        <v>140.80000000000001</v>
      </c>
      <c r="Z38" s="35">
        <f t="shared" si="8"/>
        <v>17.5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209" t="str">
        <f>ROUND((((M12+N12+M30+M59+M60+M61+M62+M63+N59)/72+(M13+N13+M16+M18)/108+(M15+N15)/96+SUM(M14,M19:M29,M31:M32,M52,N14)/63)),1)&amp;" pallets"</f>
        <v>9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1414821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91692</v>
      </c>
      <c r="P75" s="244"/>
      <c r="Q75" s="245"/>
      <c r="R75" s="151"/>
      <c r="S75" s="158" t="s">
        <v>104</v>
      </c>
      <c r="T75" s="248">
        <f>SUM(Y12:Y70)</f>
        <v>54841.44000000001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1414821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82620</v>
      </c>
      <c r="P77" s="244"/>
      <c r="Q77" s="245"/>
      <c r="R77" s="151"/>
      <c r="S77" s="158" t="s">
        <v>129</v>
      </c>
      <c r="T77" s="248">
        <f>SUM(Z12:Z72)</f>
        <v>6478.5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1261790.6100000001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v>61338.39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5FDDC-564F-4689-9F07-1B403C69545F}">
  <sheetPr>
    <tabColor rgb="FF00B050"/>
    <pageSetUpPr fitToPage="1"/>
  </sheetPr>
  <dimension ref="A1:AJ102"/>
  <sheetViews>
    <sheetView showGridLines="0" tabSelected="1" topLeftCell="A65" zoomScale="85" zoomScaleNormal="85" workbookViewId="0">
      <pane xSplit="2" topLeftCell="F1" activePane="topRight" state="frozen"/>
      <selection activeCell="M19" sqref="M19"/>
      <selection pane="topRight" activeCell="S70" sqref="S7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10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10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10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1397196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0</v>
      </c>
      <c r="P75" s="244"/>
      <c r="Q75" s="245"/>
      <c r="R75" s="151"/>
      <c r="S75" s="158" t="s">
        <v>104</v>
      </c>
      <c r="T75" s="248">
        <f>SUM(Y12:Y70)</f>
        <v>54419.040000000001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1397196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0</v>
      </c>
      <c r="P77" s="244"/>
      <c r="Q77" s="245"/>
      <c r="R77" s="151"/>
      <c r="S77" s="158" t="s">
        <v>129</v>
      </c>
      <c r="T77" s="248">
        <f>SUM(Z12:Z72)</f>
        <v>6426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1336350.96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v>60845.04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133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46203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0" t="s">
        <v>6</v>
      </c>
      <c r="T6" s="194" t="s">
        <v>7</v>
      </c>
      <c r="U6" s="11"/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194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0</v>
      </c>
      <c r="P75" s="244"/>
      <c r="Q75" s="245"/>
      <c r="R75" s="151"/>
      <c r="S75" s="158" t="s">
        <v>104</v>
      </c>
      <c r="T75" s="248">
        <f>SUM(Y12:Y70)</f>
        <v>0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0</v>
      </c>
      <c r="P77" s="244"/>
      <c r="Q77" s="245"/>
      <c r="R77" s="151"/>
      <c r="S77" s="158" t="s">
        <v>129</v>
      </c>
      <c r="T77" s="248">
        <f>SUM(Z12:Z72)</f>
        <v>0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0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>
        <f>IF(U6&gt;0,"",T4+30)</f>
        <v>46233</v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T79+T75+T77</f>
        <v>0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134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46203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0" t="s">
        <v>6</v>
      </c>
      <c r="T6" s="194" t="s">
        <v>7</v>
      </c>
      <c r="U6" s="11"/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194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135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53" t="s">
        <v>101</v>
      </c>
      <c r="C74" s="253"/>
      <c r="D74" s="253"/>
      <c r="E74" s="253"/>
      <c r="F74" s="253"/>
      <c r="G74" s="253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44">
        <f>SUM(I12:I73)</f>
        <v>382606</v>
      </c>
      <c r="G76" s="244"/>
      <c r="H76" s="244"/>
      <c r="I76" s="245"/>
      <c r="J76" s="157"/>
      <c r="K76" s="157"/>
      <c r="L76" s="157"/>
      <c r="M76" s="246" t="s">
        <v>103</v>
      </c>
      <c r="N76" s="247"/>
      <c r="O76" s="244">
        <f>SUM(Q12:Q73)</f>
        <v>0</v>
      </c>
      <c r="P76" s="244"/>
      <c r="Q76" s="245"/>
      <c r="R76" s="151"/>
      <c r="S76" s="158" t="s">
        <v>104</v>
      </c>
      <c r="T76" s="248">
        <f>SUM(Y12:Y71)</f>
        <v>11997.239999999998</v>
      </c>
      <c r="U76" s="249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44">
        <f>SUM(I14:I75)</f>
        <v>154834</v>
      </c>
      <c r="G78" s="244"/>
      <c r="H78" s="244"/>
      <c r="I78" s="245"/>
      <c r="J78" s="157"/>
      <c r="K78" s="157"/>
      <c r="L78" s="157"/>
      <c r="M78" s="246" t="s">
        <v>103</v>
      </c>
      <c r="N78" s="247"/>
      <c r="O78" s="244">
        <f>SUM(Q14:Q75)</f>
        <v>0</v>
      </c>
      <c r="P78" s="244"/>
      <c r="Q78" s="245"/>
      <c r="R78" s="151"/>
      <c r="S78" s="158" t="s">
        <v>129</v>
      </c>
      <c r="T78" s="248">
        <f>SUM(Z12:Z73)</f>
        <v>0</v>
      </c>
      <c r="U78" s="249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44">
        <f>IF(U7&gt;0,"",(F76-O76-T82-P82))</f>
        <v>370608.76</v>
      </c>
      <c r="G80" s="244"/>
      <c r="H80" s="244"/>
      <c r="I80" s="245"/>
      <c r="J80" s="163"/>
      <c r="K80" s="163"/>
      <c r="L80" s="163"/>
      <c r="M80" s="269" t="s">
        <v>106</v>
      </c>
      <c r="N80" s="269"/>
      <c r="O80" s="167" t="s">
        <v>107</v>
      </c>
      <c r="P80" s="261"/>
      <c r="Q80" s="262"/>
      <c r="R80" s="151"/>
      <c r="S80" s="158" t="s">
        <v>108</v>
      </c>
      <c r="T80" s="248">
        <f>IF(SUM(X12:X71)*0.15&gt;P80,P80,SUM(X12:X71)*0.15)</f>
        <v>0</v>
      </c>
      <c r="U80" s="249"/>
      <c r="V80" s="159"/>
      <c r="W80" s="215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16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44"/>
      <c r="G82" s="244"/>
      <c r="H82" s="244"/>
      <c r="I82" s="245"/>
      <c r="J82" s="163"/>
      <c r="K82" s="163"/>
      <c r="L82" s="163"/>
      <c r="M82" s="259">
        <f>IF(U6&gt;0,"",T4+30)</f>
        <v>46233</v>
      </c>
      <c r="N82" s="260"/>
      <c r="O82" s="167" t="s">
        <v>111</v>
      </c>
      <c r="P82" s="261"/>
      <c r="Q82" s="262"/>
      <c r="R82" s="151"/>
      <c r="S82" s="158" t="s">
        <v>112</v>
      </c>
      <c r="T82" s="248">
        <f>T80+T76+T78</f>
        <v>11997.239999999998</v>
      </c>
      <c r="U82" s="249"/>
      <c r="V82" s="159"/>
      <c r="W82" s="217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85" t="s">
        <v>113</v>
      </c>
      <c r="C84" s="286"/>
      <c r="D84" s="286"/>
      <c r="E84" s="286"/>
      <c r="F84" s="286"/>
      <c r="G84" s="286"/>
      <c r="H84" s="287"/>
      <c r="I84" s="294" t="s">
        <v>114</v>
      </c>
      <c r="J84" s="170"/>
      <c r="K84" s="170"/>
      <c r="L84" s="170"/>
      <c r="M84" s="296"/>
      <c r="N84" s="299" t="s">
        <v>115</v>
      </c>
      <c r="O84" s="302"/>
      <c r="P84" s="296"/>
      <c r="Q84" s="263" t="s">
        <v>116</v>
      </c>
      <c r="R84" s="264"/>
      <c r="S84" s="279"/>
      <c r="T84" s="263" t="s">
        <v>117</v>
      </c>
      <c r="U84" s="282"/>
    </row>
    <row r="85" spans="2:35" ht="15" customHeight="1" x14ac:dyDescent="0.25">
      <c r="B85" s="288"/>
      <c r="C85" s="289"/>
      <c r="D85" s="289"/>
      <c r="E85" s="289"/>
      <c r="F85" s="289"/>
      <c r="G85" s="289"/>
      <c r="H85" s="290"/>
      <c r="I85" s="276"/>
      <c r="J85" s="2"/>
      <c r="K85" s="2"/>
      <c r="L85" s="2"/>
      <c r="M85" s="297"/>
      <c r="N85" s="300"/>
      <c r="O85" s="303"/>
      <c r="P85" s="297"/>
      <c r="Q85" s="265"/>
      <c r="R85" s="266"/>
      <c r="S85" s="280"/>
      <c r="T85" s="265"/>
      <c r="U85" s="283"/>
    </row>
    <row r="86" spans="2:35" ht="15.75" customHeight="1" thickBot="1" x14ac:dyDescent="0.3">
      <c r="B86" s="291"/>
      <c r="C86" s="292"/>
      <c r="D86" s="292"/>
      <c r="E86" s="292"/>
      <c r="F86" s="292"/>
      <c r="G86" s="292"/>
      <c r="H86" s="293"/>
      <c r="I86" s="295"/>
      <c r="J86" s="171"/>
      <c r="K86" s="171"/>
      <c r="L86" s="171"/>
      <c r="M86" s="298"/>
      <c r="N86" s="301"/>
      <c r="O86" s="304"/>
      <c r="P86" s="298"/>
      <c r="Q86" s="267"/>
      <c r="R86" s="268"/>
      <c r="S86" s="281"/>
      <c r="T86" s="267"/>
      <c r="U86" s="284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70" t="s">
        <v>131</v>
      </c>
      <c r="C91" s="271"/>
      <c r="D91" s="271"/>
      <c r="E91" s="271"/>
      <c r="F91" s="271"/>
      <c r="G91" s="271"/>
      <c r="H91" s="271"/>
      <c r="I91" s="272"/>
      <c r="J91" s="184"/>
      <c r="K91" s="184"/>
      <c r="L91" s="184"/>
      <c r="M91" s="270"/>
      <c r="N91" s="271"/>
      <c r="O91" s="271"/>
      <c r="P91" s="271"/>
      <c r="Q91" s="272"/>
      <c r="R91" s="186"/>
      <c r="S91" s="187"/>
      <c r="T91" s="187"/>
      <c r="U91" s="188"/>
    </row>
    <row r="92" spans="2:35" ht="18" x14ac:dyDescent="0.25">
      <c r="B92" s="273" t="s">
        <v>122</v>
      </c>
      <c r="C92" s="274"/>
      <c r="D92" s="274"/>
      <c r="E92" s="274"/>
      <c r="F92" s="274"/>
      <c r="G92" s="274"/>
      <c r="H92" s="274"/>
      <c r="I92" s="275"/>
      <c r="M92" s="273" t="s">
        <v>122</v>
      </c>
      <c r="N92" s="274"/>
      <c r="O92" s="274"/>
      <c r="P92" s="274"/>
      <c r="Q92" s="275"/>
      <c r="R92" s="276" t="s">
        <v>123</v>
      </c>
      <c r="S92" s="277"/>
      <c r="T92" s="277"/>
      <c r="U92" s="278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70" t="s">
        <v>132</v>
      </c>
      <c r="C96" s="271"/>
      <c r="D96" s="271"/>
      <c r="E96" s="271"/>
      <c r="F96" s="271"/>
      <c r="G96" s="271"/>
      <c r="H96" s="271"/>
      <c r="I96" s="272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73" t="s">
        <v>126</v>
      </c>
      <c r="C97" s="274"/>
      <c r="D97" s="274"/>
      <c r="E97" s="274"/>
      <c r="F97" s="274"/>
      <c r="G97" s="274"/>
      <c r="H97" s="274"/>
      <c r="I97" s="275"/>
      <c r="M97" s="178"/>
      <c r="Q97" s="179"/>
      <c r="R97" s="276" t="s">
        <v>127</v>
      </c>
      <c r="S97" s="277"/>
      <c r="T97" s="277"/>
      <c r="U97" s="278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20</vt:i4>
      </vt:variant>
    </vt:vector>
  </HeadingPairs>
  <TitlesOfParts>
    <vt:vector size="40" baseType="lpstr">
      <vt:lpstr>08-05-2026</vt:lpstr>
      <vt:lpstr>08-07-2026</vt:lpstr>
      <vt:lpstr>08-11-2026</vt:lpstr>
      <vt:lpstr>08-13-2026-MTS-BEER</vt:lpstr>
      <vt:lpstr>08-13-2026-MTS-NAB</vt:lpstr>
      <vt:lpstr>08-13-2026-MTS-BEER(2)</vt:lpstr>
      <vt:lpstr>08-15-2026</vt:lpstr>
      <vt:lpstr>08-15-2026 (2)</vt:lpstr>
      <vt:lpstr>08-18-2026</vt:lpstr>
      <vt:lpstr>08-19-2026</vt:lpstr>
      <vt:lpstr>08-19-2026-MTS-NAB</vt:lpstr>
      <vt:lpstr>08-19-2026-MTS-BEER</vt:lpstr>
      <vt:lpstr>08-19-2026 B</vt:lpstr>
      <vt:lpstr>08-24-2026</vt:lpstr>
      <vt:lpstr>08-24-2026 (2)</vt:lpstr>
      <vt:lpstr>08-25-2026</vt:lpstr>
      <vt:lpstr>08-25-2026 (2)</vt:lpstr>
      <vt:lpstr>08-26-2026</vt:lpstr>
      <vt:lpstr>4th Trip GBDS</vt:lpstr>
      <vt:lpstr>5th Trip GBDS</vt:lpstr>
      <vt:lpstr>'08-05-2026'!Print_Area</vt:lpstr>
      <vt:lpstr>'08-07-2026'!Print_Area</vt:lpstr>
      <vt:lpstr>'08-11-2026'!Print_Area</vt:lpstr>
      <vt:lpstr>'08-13-2026-MTS-BEER'!Print_Area</vt:lpstr>
      <vt:lpstr>'08-13-2026-MTS-BEER(2)'!Print_Area</vt:lpstr>
      <vt:lpstr>'08-13-2026-MTS-NAB'!Print_Area</vt:lpstr>
      <vt:lpstr>'08-15-2026'!Print_Area</vt:lpstr>
      <vt:lpstr>'08-15-2026 (2)'!Print_Area</vt:lpstr>
      <vt:lpstr>'08-18-2026'!Print_Area</vt:lpstr>
      <vt:lpstr>'08-19-2026'!Print_Area</vt:lpstr>
      <vt:lpstr>'08-19-2026 B'!Print_Area</vt:lpstr>
      <vt:lpstr>'08-19-2026-MTS-BEER'!Print_Area</vt:lpstr>
      <vt:lpstr>'08-19-2026-MTS-NAB'!Print_Area</vt:lpstr>
      <vt:lpstr>'08-24-2026'!Print_Area</vt:lpstr>
      <vt:lpstr>'08-24-2026 (2)'!Print_Area</vt:lpstr>
      <vt:lpstr>'08-25-2026'!Print_Area</vt:lpstr>
      <vt:lpstr>'08-25-2026 (2)'!Print_Area</vt:lpstr>
      <vt:lpstr>'08-26-2026'!Print_Area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2026-08-24T00:37:01Z</cp:lastPrinted>
  <dcterms:created xsi:type="dcterms:W3CDTF">2025-03-06T18:27:26Z</dcterms:created>
  <dcterms:modified xsi:type="dcterms:W3CDTF">2026-08-26T04:11:26Z</dcterms:modified>
</cp:coreProperties>
</file>