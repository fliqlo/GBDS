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D566E335-4EB8-4845-B7E2-43CEB90E3CF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101" i="2" l="1"/>
  <c r="AF1101" i="2" s="1"/>
  <c r="AJ1101" i="2" s="1"/>
  <c r="AH1100" i="2"/>
  <c r="AC1100" i="2"/>
  <c r="AF1100" i="2" s="1"/>
  <c r="AJ1100" i="2" s="1"/>
  <c r="AH1099" i="2"/>
  <c r="AC1099" i="2"/>
  <c r="AC1098" i="2"/>
  <c r="AH1097" i="2"/>
  <c r="AD1097" i="2"/>
  <c r="AD1136" i="2" s="1"/>
  <c r="AC1097" i="2"/>
  <c r="AD1096" i="2"/>
  <c r="AC1096" i="2"/>
  <c r="AF1096" i="2" s="1"/>
  <c r="AJ1096" i="2" s="1"/>
  <c r="AH1095" i="2"/>
  <c r="AD1095" i="2"/>
  <c r="AC1095" i="2"/>
  <c r="AF1095" i="2" s="1"/>
  <c r="AJ1095" i="2" s="1"/>
  <c r="AC1094" i="2"/>
  <c r="AH1093" i="2"/>
  <c r="AC1093" i="2"/>
  <c r="AI1136" i="2"/>
  <c r="AE1136" i="2"/>
  <c r="AJ1134" i="2"/>
  <c r="AF1133" i="2"/>
  <c r="AJ1133" i="2" s="1"/>
  <c r="AJ1132" i="2"/>
  <c r="AF1131" i="2"/>
  <c r="AJ1131" i="2" s="1"/>
  <c r="AF1130" i="2"/>
  <c r="AJ1130" i="2" s="1"/>
  <c r="AF1129" i="2"/>
  <c r="AJ1129" i="2" s="1"/>
  <c r="AF1128" i="2"/>
  <c r="AJ1128" i="2" s="1"/>
  <c r="AJ1127" i="2"/>
  <c r="AF1127" i="2"/>
  <c r="AF1126" i="2"/>
  <c r="AJ1126" i="2" s="1"/>
  <c r="AF1125" i="2"/>
  <c r="AJ1125" i="2" s="1"/>
  <c r="AJ1124" i="2"/>
  <c r="AF1124" i="2"/>
  <c r="AF1123" i="2"/>
  <c r="AJ1123" i="2" s="1"/>
  <c r="AF1122" i="2"/>
  <c r="AJ1122" i="2" s="1"/>
  <c r="AF1121" i="2"/>
  <c r="AJ1121" i="2" s="1"/>
  <c r="AF1120" i="2"/>
  <c r="AJ1120" i="2" s="1"/>
  <c r="AJ1119" i="2"/>
  <c r="AF1119" i="2"/>
  <c r="AF1118" i="2"/>
  <c r="AJ1118" i="2" s="1"/>
  <c r="AF1117" i="2"/>
  <c r="AJ1117" i="2" s="1"/>
  <c r="AJ1116" i="2"/>
  <c r="AF1116" i="2"/>
  <c r="AF1115" i="2"/>
  <c r="AJ1115" i="2" s="1"/>
  <c r="AF1114" i="2"/>
  <c r="AJ1114" i="2" s="1"/>
  <c r="AF1113" i="2"/>
  <c r="AJ1113" i="2" s="1"/>
  <c r="AF1112" i="2"/>
  <c r="AJ1112" i="2" s="1"/>
  <c r="AJ1111" i="2"/>
  <c r="AF1111" i="2"/>
  <c r="AF1110" i="2"/>
  <c r="AJ1110" i="2" s="1"/>
  <c r="AF1109" i="2"/>
  <c r="AJ1109" i="2" s="1"/>
  <c r="AJ1108" i="2"/>
  <c r="AF1108" i="2"/>
  <c r="AF1107" i="2"/>
  <c r="AJ1107" i="2" s="1"/>
  <c r="AF1106" i="2"/>
  <c r="AJ1106" i="2" s="1"/>
  <c r="AF1105" i="2"/>
  <c r="AJ1105" i="2" s="1"/>
  <c r="AF1104" i="2"/>
  <c r="AJ1104" i="2" s="1"/>
  <c r="AJ1103" i="2"/>
  <c r="AF1103" i="2"/>
  <c r="AF1102" i="2"/>
  <c r="AJ1102" i="2" s="1"/>
  <c r="AF1099" i="2"/>
  <c r="AF1098" i="2"/>
  <c r="AJ1098" i="2" s="1"/>
  <c r="AF1097" i="2"/>
  <c r="AF1094" i="2"/>
  <c r="AJ1094" i="2" s="1"/>
  <c r="AB1094" i="2"/>
  <c r="AB1095" i="2" s="1"/>
  <c r="AB1096" i="2" s="1"/>
  <c r="AB1097" i="2" s="1"/>
  <c r="AB1098" i="2" s="1"/>
  <c r="AB1099" i="2" s="1"/>
  <c r="AB1100" i="2" s="1"/>
  <c r="AB1101" i="2" s="1"/>
  <c r="Q1107" i="2"/>
  <c r="T1107" i="2" s="1"/>
  <c r="X1107" i="2" s="1"/>
  <c r="Q1106" i="2"/>
  <c r="T1106" i="2"/>
  <c r="X1106" i="2" s="1"/>
  <c r="Q1105" i="2"/>
  <c r="T1105" i="2" s="1"/>
  <c r="X1105" i="2" s="1"/>
  <c r="Q1104" i="2"/>
  <c r="T1104" i="2" s="1"/>
  <c r="X1104" i="2" s="1"/>
  <c r="Q1103" i="2"/>
  <c r="Q1102" i="2"/>
  <c r="T1102" i="2" s="1"/>
  <c r="X1102" i="2" s="1"/>
  <c r="Q1101" i="2"/>
  <c r="T1101" i="2" s="1"/>
  <c r="X1101" i="2" s="1"/>
  <c r="Q1100" i="2"/>
  <c r="V1099" i="2"/>
  <c r="Q1099" i="2"/>
  <c r="Q1098" i="2"/>
  <c r="T1098" i="2"/>
  <c r="X1098" i="2" s="1"/>
  <c r="V1097" i="2"/>
  <c r="Q1097" i="2"/>
  <c r="V1096" i="2"/>
  <c r="Q1096" i="2"/>
  <c r="V1095" i="2"/>
  <c r="R1095" i="2"/>
  <c r="Q1095" i="2"/>
  <c r="V1094" i="2"/>
  <c r="Q1094" i="2"/>
  <c r="T1094" i="2"/>
  <c r="V1093" i="2"/>
  <c r="W1136" i="2"/>
  <c r="Q1093" i="2"/>
  <c r="P1099" i="2"/>
  <c r="P1100" i="2" s="1"/>
  <c r="P1101" i="2" s="1"/>
  <c r="P1102" i="2" s="1"/>
  <c r="P1103" i="2" s="1"/>
  <c r="P1104" i="2" s="1"/>
  <c r="P1105" i="2" s="1"/>
  <c r="P1106" i="2" s="1"/>
  <c r="P1107" i="2" s="1"/>
  <c r="S1136" i="2"/>
  <c r="X1134" i="2"/>
  <c r="X1133" i="2"/>
  <c r="T1133" i="2"/>
  <c r="X1132" i="2"/>
  <c r="T1131" i="2"/>
  <c r="X1131" i="2" s="1"/>
  <c r="T1130" i="2"/>
  <c r="X1130" i="2" s="1"/>
  <c r="X1129" i="2"/>
  <c r="T1129" i="2"/>
  <c r="T1128" i="2"/>
  <c r="X1128" i="2" s="1"/>
  <c r="T1127" i="2"/>
  <c r="X1127" i="2" s="1"/>
  <c r="T1126" i="2"/>
  <c r="X1126" i="2" s="1"/>
  <c r="T1125" i="2"/>
  <c r="X1125" i="2" s="1"/>
  <c r="T1124" i="2"/>
  <c r="X1124" i="2" s="1"/>
  <c r="T1123" i="2"/>
  <c r="X1123" i="2" s="1"/>
  <c r="T1122" i="2"/>
  <c r="X1122" i="2" s="1"/>
  <c r="X1121" i="2"/>
  <c r="T1121" i="2"/>
  <c r="T1120" i="2"/>
  <c r="X1120" i="2" s="1"/>
  <c r="T1119" i="2"/>
  <c r="X1119" i="2" s="1"/>
  <c r="T1118" i="2"/>
  <c r="X1118" i="2" s="1"/>
  <c r="T1117" i="2"/>
  <c r="X1117" i="2" s="1"/>
  <c r="T1116" i="2"/>
  <c r="X1116" i="2" s="1"/>
  <c r="T1115" i="2"/>
  <c r="X1115" i="2" s="1"/>
  <c r="T1114" i="2"/>
  <c r="X1114" i="2" s="1"/>
  <c r="X1113" i="2"/>
  <c r="T1113" i="2"/>
  <c r="T1112" i="2"/>
  <c r="X1112" i="2" s="1"/>
  <c r="T1111" i="2"/>
  <c r="X1111" i="2" s="1"/>
  <c r="T1110" i="2"/>
  <c r="X1110" i="2" s="1"/>
  <c r="T1109" i="2"/>
  <c r="X1109" i="2" s="1"/>
  <c r="T1108" i="2"/>
  <c r="X1108" i="2" s="1"/>
  <c r="T1103" i="2"/>
  <c r="X1103" i="2" s="1"/>
  <c r="T1100" i="2"/>
  <c r="X1100" i="2" s="1"/>
  <c r="T1099" i="2"/>
  <c r="T1097" i="2"/>
  <c r="X1097" i="2" s="1"/>
  <c r="T1096" i="2"/>
  <c r="T1095" i="2"/>
  <c r="X1095" i="2" s="1"/>
  <c r="P1094" i="2"/>
  <c r="P1095" i="2" s="1"/>
  <c r="P1096" i="2" s="1"/>
  <c r="P1097" i="2" s="1"/>
  <c r="P1098" i="2" s="1"/>
  <c r="E1096" i="2"/>
  <c r="K1095" i="2"/>
  <c r="F1095" i="2"/>
  <c r="E1095" i="2"/>
  <c r="E1094" i="2"/>
  <c r="H1094" i="2" s="1"/>
  <c r="L1094" i="2" s="1"/>
  <c r="E1093" i="2"/>
  <c r="J1136" i="2"/>
  <c r="G1136" i="2"/>
  <c r="L1134" i="2"/>
  <c r="H1133" i="2"/>
  <c r="L1133" i="2" s="1"/>
  <c r="L1132" i="2"/>
  <c r="H1131" i="2"/>
  <c r="L1131" i="2" s="1"/>
  <c r="H1130" i="2"/>
  <c r="L1130" i="2" s="1"/>
  <c r="H1129" i="2"/>
  <c r="L1129" i="2" s="1"/>
  <c r="H1128" i="2"/>
  <c r="L1128" i="2" s="1"/>
  <c r="L1127" i="2"/>
  <c r="H1127" i="2"/>
  <c r="H1126" i="2"/>
  <c r="L1126" i="2" s="1"/>
  <c r="H1125" i="2"/>
  <c r="L1125" i="2" s="1"/>
  <c r="H1124" i="2"/>
  <c r="L1124" i="2" s="1"/>
  <c r="H1123" i="2"/>
  <c r="L1123" i="2" s="1"/>
  <c r="H1122" i="2"/>
  <c r="L1122" i="2" s="1"/>
  <c r="H1121" i="2"/>
  <c r="L1121" i="2" s="1"/>
  <c r="H1120" i="2"/>
  <c r="L1120" i="2" s="1"/>
  <c r="L1119" i="2"/>
  <c r="H1119" i="2"/>
  <c r="H1118" i="2"/>
  <c r="L1118" i="2" s="1"/>
  <c r="H1117" i="2"/>
  <c r="L1117" i="2" s="1"/>
  <c r="H1116" i="2"/>
  <c r="L1116" i="2" s="1"/>
  <c r="H1115" i="2"/>
  <c r="L1115" i="2" s="1"/>
  <c r="H1114" i="2"/>
  <c r="L1114" i="2" s="1"/>
  <c r="H1113" i="2"/>
  <c r="L1113" i="2" s="1"/>
  <c r="H1112" i="2"/>
  <c r="L1112" i="2" s="1"/>
  <c r="L1111" i="2"/>
  <c r="H1111" i="2"/>
  <c r="H1110" i="2"/>
  <c r="L1110" i="2" s="1"/>
  <c r="H1109" i="2"/>
  <c r="L1109" i="2" s="1"/>
  <c r="H1108" i="2"/>
  <c r="L1108" i="2" s="1"/>
  <c r="H1107" i="2"/>
  <c r="L1107" i="2" s="1"/>
  <c r="H1106" i="2"/>
  <c r="L1106" i="2" s="1"/>
  <c r="H1105" i="2"/>
  <c r="L1105" i="2" s="1"/>
  <c r="H1104" i="2"/>
  <c r="L1104" i="2" s="1"/>
  <c r="L1103" i="2"/>
  <c r="H1103" i="2"/>
  <c r="H1102" i="2"/>
  <c r="L1102" i="2" s="1"/>
  <c r="H1101" i="2"/>
  <c r="L1101" i="2" s="1"/>
  <c r="H1100" i="2"/>
  <c r="L1100" i="2" s="1"/>
  <c r="H1099" i="2"/>
  <c r="L1099" i="2" s="1"/>
  <c r="H1098" i="2"/>
  <c r="L1098" i="2" s="1"/>
  <c r="H1097" i="2"/>
  <c r="L1097" i="2" s="1"/>
  <c r="H1096" i="2"/>
  <c r="L1096" i="2" s="1"/>
  <c r="K1136" i="2"/>
  <c r="H1095" i="2"/>
  <c r="L1095" i="2" s="1"/>
  <c r="D1095" i="2"/>
  <c r="D1096" i="2" s="1"/>
  <c r="F1136" i="2"/>
  <c r="D1094" i="2"/>
  <c r="H1093" i="2"/>
  <c r="L1093" i="2" s="1"/>
  <c r="AJ1099" i="2" l="1"/>
  <c r="AH1136" i="2"/>
  <c r="AJ1097" i="2"/>
  <c r="AC1136" i="2"/>
  <c r="AF1093" i="2"/>
  <c r="X1099" i="2"/>
  <c r="X1096" i="2"/>
  <c r="V1136" i="2"/>
  <c r="X1094" i="2"/>
  <c r="R1136" i="2"/>
  <c r="Q1136" i="2"/>
  <c r="T1093" i="2"/>
  <c r="E1136" i="2"/>
  <c r="L1136" i="2"/>
  <c r="H1136" i="2"/>
  <c r="AH1042" i="2"/>
  <c r="AD1042" i="2"/>
  <c r="AC1042" i="2"/>
  <c r="AI1045" i="2"/>
  <c r="AC1045" i="2"/>
  <c r="AF1045" i="2" s="1"/>
  <c r="AJ1045" i="2" s="1"/>
  <c r="AD1044" i="2"/>
  <c r="AF1044" i="2" s="1"/>
  <c r="AJ1044" i="2" s="1"/>
  <c r="AC1044" i="2"/>
  <c r="AD1043" i="2"/>
  <c r="AF1043" i="2" s="1"/>
  <c r="AJ1043" i="2" s="1"/>
  <c r="AC1043" i="2"/>
  <c r="AF1042" i="2"/>
  <c r="AJ1042" i="2" s="1"/>
  <c r="AD1081" i="2"/>
  <c r="AH1041" i="2"/>
  <c r="AC1041" i="2"/>
  <c r="AC1040" i="2"/>
  <c r="AF1040" i="2" s="1"/>
  <c r="AJ1040" i="2" s="1"/>
  <c r="AH1039" i="2"/>
  <c r="AC1039" i="2"/>
  <c r="AC1038" i="2"/>
  <c r="AD1038" i="2"/>
  <c r="AH1038" i="2"/>
  <c r="AF1038" i="2"/>
  <c r="AE1081" i="2"/>
  <c r="AJ1079" i="2"/>
  <c r="AF1078" i="2"/>
  <c r="AJ1078" i="2" s="1"/>
  <c r="AJ1077" i="2"/>
  <c r="AF1076" i="2"/>
  <c r="AJ1076" i="2" s="1"/>
  <c r="AF1075" i="2"/>
  <c r="AJ1075" i="2" s="1"/>
  <c r="AJ1074" i="2"/>
  <c r="AF1074" i="2"/>
  <c r="AJ1073" i="2"/>
  <c r="AF1073" i="2"/>
  <c r="AF1072" i="2"/>
  <c r="AJ1072" i="2" s="1"/>
  <c r="AF1071" i="2"/>
  <c r="AJ1071" i="2" s="1"/>
  <c r="AJ1070" i="2"/>
  <c r="AF1070" i="2"/>
  <c r="AF1069" i="2"/>
  <c r="AJ1069" i="2" s="1"/>
  <c r="AF1068" i="2"/>
  <c r="AJ1068" i="2" s="1"/>
  <c r="AF1067" i="2"/>
  <c r="AJ1067" i="2" s="1"/>
  <c r="AJ1066" i="2"/>
  <c r="AF1066" i="2"/>
  <c r="AJ1065" i="2"/>
  <c r="AF1065" i="2"/>
  <c r="AF1064" i="2"/>
  <c r="AJ1064" i="2" s="1"/>
  <c r="AF1063" i="2"/>
  <c r="AJ1063" i="2" s="1"/>
  <c r="AJ1062" i="2"/>
  <c r="AF1062" i="2"/>
  <c r="AF1061" i="2"/>
  <c r="AJ1061" i="2" s="1"/>
  <c r="AF1060" i="2"/>
  <c r="AJ1060" i="2" s="1"/>
  <c r="AF1059" i="2"/>
  <c r="AJ1059" i="2" s="1"/>
  <c r="AJ1058" i="2"/>
  <c r="AF1058" i="2"/>
  <c r="AJ1057" i="2"/>
  <c r="AF1057" i="2"/>
  <c r="AF1056" i="2"/>
  <c r="AJ1056" i="2" s="1"/>
  <c r="AF1055" i="2"/>
  <c r="AJ1055" i="2" s="1"/>
  <c r="AJ1054" i="2"/>
  <c r="AF1054" i="2"/>
  <c r="AF1053" i="2"/>
  <c r="AJ1053" i="2" s="1"/>
  <c r="AF1052" i="2"/>
  <c r="AJ1052" i="2" s="1"/>
  <c r="AF1051" i="2"/>
  <c r="AJ1051" i="2" s="1"/>
  <c r="AJ1050" i="2"/>
  <c r="AF1050" i="2"/>
  <c r="AJ1049" i="2"/>
  <c r="AF1049" i="2"/>
  <c r="AF1048" i="2"/>
  <c r="AJ1048" i="2" s="1"/>
  <c r="AF1047" i="2"/>
  <c r="AJ1047" i="2" s="1"/>
  <c r="AI1081" i="2"/>
  <c r="AF1046" i="2"/>
  <c r="AJ1046" i="2" s="1"/>
  <c r="AF1041" i="2"/>
  <c r="AB1039" i="2"/>
  <c r="AB1040" i="2" s="1"/>
  <c r="AB1041" i="2" s="1"/>
  <c r="AB1042" i="2" s="1"/>
  <c r="AB1043" i="2" s="1"/>
  <c r="AB1044" i="2" s="1"/>
  <c r="AB1045" i="2" s="1"/>
  <c r="AB1046" i="2" s="1"/>
  <c r="W1040" i="2"/>
  <c r="Q1040" i="2"/>
  <c r="T1040" i="2" s="1"/>
  <c r="W1039" i="2"/>
  <c r="V1039" i="2"/>
  <c r="R1039" i="2"/>
  <c r="T1039" i="2" s="1"/>
  <c r="Q1039" i="2"/>
  <c r="V1038" i="2"/>
  <c r="R1038" i="2"/>
  <c r="R1081" i="2" s="1"/>
  <c r="Q1038" i="2"/>
  <c r="S1081" i="2"/>
  <c r="X1079" i="2"/>
  <c r="T1078" i="2"/>
  <c r="X1078" i="2" s="1"/>
  <c r="X1077" i="2"/>
  <c r="T1076" i="2"/>
  <c r="X1076" i="2" s="1"/>
  <c r="X1075" i="2"/>
  <c r="T1075" i="2"/>
  <c r="T1074" i="2"/>
  <c r="X1074" i="2" s="1"/>
  <c r="X1073" i="2"/>
  <c r="T1073" i="2"/>
  <c r="T1072" i="2"/>
  <c r="X1072" i="2" s="1"/>
  <c r="T1071" i="2"/>
  <c r="X1071" i="2" s="1"/>
  <c r="T1070" i="2"/>
  <c r="X1070" i="2" s="1"/>
  <c r="X1069" i="2"/>
  <c r="T1069" i="2"/>
  <c r="T1068" i="2"/>
  <c r="X1068" i="2" s="1"/>
  <c r="T1067" i="2"/>
  <c r="X1067" i="2" s="1"/>
  <c r="T1066" i="2"/>
  <c r="X1066" i="2" s="1"/>
  <c r="X1065" i="2"/>
  <c r="T1065" i="2"/>
  <c r="T1064" i="2"/>
  <c r="X1064" i="2" s="1"/>
  <c r="T1063" i="2"/>
  <c r="X1063" i="2" s="1"/>
  <c r="T1062" i="2"/>
  <c r="X1062" i="2" s="1"/>
  <c r="X1061" i="2"/>
  <c r="T1061" i="2"/>
  <c r="T1060" i="2"/>
  <c r="X1060" i="2" s="1"/>
  <c r="T1059" i="2"/>
  <c r="X1059" i="2" s="1"/>
  <c r="T1058" i="2"/>
  <c r="X1058" i="2" s="1"/>
  <c r="X1057" i="2"/>
  <c r="T1057" i="2"/>
  <c r="T1056" i="2"/>
  <c r="X1056" i="2" s="1"/>
  <c r="T1055" i="2"/>
  <c r="X1055" i="2" s="1"/>
  <c r="T1054" i="2"/>
  <c r="X1054" i="2" s="1"/>
  <c r="X1053" i="2"/>
  <c r="T1053" i="2"/>
  <c r="T1052" i="2"/>
  <c r="X1052" i="2" s="1"/>
  <c r="T1051" i="2"/>
  <c r="X1051" i="2" s="1"/>
  <c r="T1050" i="2"/>
  <c r="X1050" i="2" s="1"/>
  <c r="X1049" i="2"/>
  <c r="T1049" i="2"/>
  <c r="T1048" i="2"/>
  <c r="X1048" i="2" s="1"/>
  <c r="T1047" i="2"/>
  <c r="X1047" i="2" s="1"/>
  <c r="T1046" i="2"/>
  <c r="X1046" i="2" s="1"/>
  <c r="X1045" i="2"/>
  <c r="T1045" i="2"/>
  <c r="T1044" i="2"/>
  <c r="X1044" i="2" s="1"/>
  <c r="T1043" i="2"/>
  <c r="X1043" i="2" s="1"/>
  <c r="T1042" i="2"/>
  <c r="X1042" i="2" s="1"/>
  <c r="T1041" i="2"/>
  <c r="X1041" i="2" s="1"/>
  <c r="P1040" i="2"/>
  <c r="V1081" i="2"/>
  <c r="P1039" i="2"/>
  <c r="E1042" i="2"/>
  <c r="E1041" i="2"/>
  <c r="D1041" i="2"/>
  <c r="D1042" i="2" s="1"/>
  <c r="K1040" i="2"/>
  <c r="E1040" i="2"/>
  <c r="J1039" i="2"/>
  <c r="F1039" i="2"/>
  <c r="E1039" i="2"/>
  <c r="E1038" i="2"/>
  <c r="AF1136" i="2" l="1"/>
  <c r="AJ1093" i="2"/>
  <c r="AJ1136" i="2" s="1"/>
  <c r="X1093" i="2"/>
  <c r="X1136" i="2" s="1"/>
  <c r="T1136" i="2"/>
  <c r="AJ1041" i="2"/>
  <c r="AH1081" i="2"/>
  <c r="AC1081" i="2"/>
  <c r="AJ1038" i="2"/>
  <c r="AF1039" i="2"/>
  <c r="AJ1039" i="2" s="1"/>
  <c r="W1081" i="2"/>
  <c r="X1040" i="2"/>
  <c r="X1039" i="2"/>
  <c r="Q1081" i="2"/>
  <c r="T1038" i="2"/>
  <c r="J1081" i="2"/>
  <c r="G1081" i="2"/>
  <c r="L1079" i="2"/>
  <c r="L1078" i="2"/>
  <c r="H1078" i="2"/>
  <c r="L1077" i="2"/>
  <c r="H1076" i="2"/>
  <c r="L1076" i="2" s="1"/>
  <c r="L1075" i="2"/>
  <c r="H1075" i="2"/>
  <c r="L1074" i="2"/>
  <c r="H1074" i="2"/>
  <c r="H1073" i="2"/>
  <c r="L1073" i="2" s="1"/>
  <c r="H1072" i="2"/>
  <c r="L1072" i="2" s="1"/>
  <c r="H1071" i="2"/>
  <c r="L1071" i="2" s="1"/>
  <c r="H1070" i="2"/>
  <c r="L1070" i="2" s="1"/>
  <c r="H1069" i="2"/>
  <c r="L1069" i="2" s="1"/>
  <c r="H1068" i="2"/>
  <c r="L1068" i="2" s="1"/>
  <c r="H1067" i="2"/>
  <c r="L1067" i="2" s="1"/>
  <c r="L1066" i="2"/>
  <c r="H1066" i="2"/>
  <c r="H1065" i="2"/>
  <c r="L1065" i="2" s="1"/>
  <c r="H1064" i="2"/>
  <c r="L1064" i="2" s="1"/>
  <c r="H1063" i="2"/>
  <c r="L1063" i="2" s="1"/>
  <c r="H1062" i="2"/>
  <c r="L1062" i="2" s="1"/>
  <c r="H1061" i="2"/>
  <c r="L1061" i="2" s="1"/>
  <c r="H1060" i="2"/>
  <c r="L1060" i="2" s="1"/>
  <c r="H1059" i="2"/>
  <c r="L1059" i="2" s="1"/>
  <c r="L1058" i="2"/>
  <c r="H1058" i="2"/>
  <c r="H1057" i="2"/>
  <c r="L1057" i="2" s="1"/>
  <c r="H1056" i="2"/>
  <c r="L1056" i="2" s="1"/>
  <c r="H1055" i="2"/>
  <c r="L1055" i="2" s="1"/>
  <c r="H1054" i="2"/>
  <c r="L1054" i="2" s="1"/>
  <c r="H1053" i="2"/>
  <c r="L1053" i="2" s="1"/>
  <c r="H1052" i="2"/>
  <c r="L1052" i="2" s="1"/>
  <c r="H1051" i="2"/>
  <c r="L1051" i="2" s="1"/>
  <c r="L1050" i="2"/>
  <c r="H1050" i="2"/>
  <c r="H1049" i="2"/>
  <c r="L1049" i="2" s="1"/>
  <c r="H1048" i="2"/>
  <c r="L1048" i="2" s="1"/>
  <c r="H1047" i="2"/>
  <c r="L1047" i="2" s="1"/>
  <c r="H1046" i="2"/>
  <c r="L1046" i="2" s="1"/>
  <c r="H1045" i="2"/>
  <c r="L1045" i="2" s="1"/>
  <c r="H1044" i="2"/>
  <c r="L1044" i="2" s="1"/>
  <c r="H1043" i="2"/>
  <c r="L1043" i="2" s="1"/>
  <c r="H1042" i="2"/>
  <c r="L1042" i="2" s="1"/>
  <c r="H1041" i="2"/>
  <c r="L1041" i="2" s="1"/>
  <c r="H1040" i="2"/>
  <c r="L1040" i="2" s="1"/>
  <c r="K1081" i="2"/>
  <c r="H1039" i="2"/>
  <c r="L1039" i="2" s="1"/>
  <c r="D1039" i="2"/>
  <c r="D1040" i="2" s="1"/>
  <c r="F1081" i="2"/>
  <c r="H1038" i="2"/>
  <c r="AJ1081" i="2" l="1"/>
  <c r="AF1081" i="2"/>
  <c r="T1081" i="2"/>
  <c r="X1038" i="2"/>
  <c r="X1081" i="2" s="1"/>
  <c r="H1081" i="2"/>
  <c r="L1038" i="2"/>
  <c r="L1081" i="2" s="1"/>
  <c r="E1081" i="2"/>
  <c r="AI991" i="2"/>
  <c r="AI1026" i="2" s="1"/>
  <c r="AC991" i="2"/>
  <c r="AD990" i="2"/>
  <c r="AC990" i="2"/>
  <c r="AB990" i="2"/>
  <c r="AB991" i="2" s="1"/>
  <c r="AC989" i="2"/>
  <c r="AD989" i="2"/>
  <c r="AF989" i="2"/>
  <c r="AJ989" i="2" s="1"/>
  <c r="AD988" i="2"/>
  <c r="AC988" i="2"/>
  <c r="AF988" i="2"/>
  <c r="AJ988" i="2" s="1"/>
  <c r="AB988" i="2"/>
  <c r="AB989" i="2" s="1"/>
  <c r="AH987" i="2"/>
  <c r="AD987" i="2"/>
  <c r="AC987" i="2"/>
  <c r="AB987" i="2"/>
  <c r="AH986" i="2"/>
  <c r="AH1026" i="2" s="1"/>
  <c r="AC986" i="2"/>
  <c r="AH985" i="2"/>
  <c r="AC985" i="2"/>
  <c r="AF985" i="2" s="1"/>
  <c r="AJ985" i="2" s="1"/>
  <c r="AC984" i="2"/>
  <c r="AD983" i="2"/>
  <c r="AF983" i="2" s="1"/>
  <c r="AC983" i="2"/>
  <c r="AE1026" i="2"/>
  <c r="AJ1024" i="2"/>
  <c r="AF1023" i="2"/>
  <c r="AJ1023" i="2" s="1"/>
  <c r="AJ1022" i="2"/>
  <c r="AF1021" i="2"/>
  <c r="AJ1021" i="2" s="1"/>
  <c r="AJ1020" i="2"/>
  <c r="AF1020" i="2"/>
  <c r="AJ1019" i="2"/>
  <c r="AF1019" i="2"/>
  <c r="AJ1018" i="2"/>
  <c r="AF1018" i="2"/>
  <c r="AF1017" i="2"/>
  <c r="AJ1017" i="2" s="1"/>
  <c r="AF1016" i="2"/>
  <c r="AJ1016" i="2" s="1"/>
  <c r="AJ1015" i="2"/>
  <c r="AF1015" i="2"/>
  <c r="AF1014" i="2"/>
  <c r="AJ1014" i="2" s="1"/>
  <c r="AF1013" i="2"/>
  <c r="AJ1013" i="2" s="1"/>
  <c r="AF1012" i="2"/>
  <c r="AJ1012" i="2" s="1"/>
  <c r="AJ1011" i="2"/>
  <c r="AF1011" i="2"/>
  <c r="AJ1010" i="2"/>
  <c r="AF1010" i="2"/>
  <c r="AF1009" i="2"/>
  <c r="AJ1009" i="2" s="1"/>
  <c r="AF1008" i="2"/>
  <c r="AJ1008" i="2" s="1"/>
  <c r="AJ1007" i="2"/>
  <c r="AF1007" i="2"/>
  <c r="AF1006" i="2"/>
  <c r="AJ1006" i="2" s="1"/>
  <c r="AF1005" i="2"/>
  <c r="AJ1005" i="2" s="1"/>
  <c r="AF1004" i="2"/>
  <c r="AJ1004" i="2" s="1"/>
  <c r="AJ1003" i="2"/>
  <c r="AF1003" i="2"/>
  <c r="AJ1002" i="2"/>
  <c r="AF1002" i="2"/>
  <c r="AF1001" i="2"/>
  <c r="AJ1001" i="2" s="1"/>
  <c r="AF1000" i="2"/>
  <c r="AJ1000" i="2" s="1"/>
  <c r="AJ999" i="2"/>
  <c r="AF999" i="2"/>
  <c r="AF998" i="2"/>
  <c r="AJ998" i="2" s="1"/>
  <c r="AF997" i="2"/>
  <c r="AJ997" i="2" s="1"/>
  <c r="AF996" i="2"/>
  <c r="AJ996" i="2" s="1"/>
  <c r="AJ995" i="2"/>
  <c r="AF995" i="2"/>
  <c r="AJ994" i="2"/>
  <c r="AF994" i="2"/>
  <c r="AF993" i="2"/>
  <c r="AJ993" i="2" s="1"/>
  <c r="AF992" i="2"/>
  <c r="AJ992" i="2" s="1"/>
  <c r="AF991" i="2"/>
  <c r="AF990" i="2"/>
  <c r="AJ990" i="2" s="1"/>
  <c r="AF987" i="2"/>
  <c r="AJ987" i="2" s="1"/>
  <c r="AF986" i="2"/>
  <c r="AF984" i="2"/>
  <c r="AJ984" i="2" s="1"/>
  <c r="AB984" i="2"/>
  <c r="AB985" i="2" s="1"/>
  <c r="AB986" i="2" s="1"/>
  <c r="Q988" i="2"/>
  <c r="T988" i="2" s="1"/>
  <c r="X988" i="2" s="1"/>
  <c r="V987" i="2"/>
  <c r="R987" i="2"/>
  <c r="Q987" i="2"/>
  <c r="Q986" i="2"/>
  <c r="T986" i="2" s="1"/>
  <c r="X986" i="2" s="1"/>
  <c r="R985" i="2"/>
  <c r="V985" i="2"/>
  <c r="Q985" i="2"/>
  <c r="V984" i="2"/>
  <c r="Q984" i="2"/>
  <c r="W983" i="2"/>
  <c r="Q983" i="2"/>
  <c r="S1026" i="2"/>
  <c r="X1024" i="2"/>
  <c r="T1023" i="2"/>
  <c r="X1023" i="2" s="1"/>
  <c r="X1022" i="2"/>
  <c r="T1021" i="2"/>
  <c r="X1021" i="2" s="1"/>
  <c r="T1020" i="2"/>
  <c r="X1020" i="2" s="1"/>
  <c r="X1019" i="2"/>
  <c r="T1019" i="2"/>
  <c r="T1018" i="2"/>
  <c r="X1018" i="2" s="1"/>
  <c r="T1017" i="2"/>
  <c r="X1017" i="2" s="1"/>
  <c r="X1016" i="2"/>
  <c r="T1016" i="2"/>
  <c r="X1015" i="2"/>
  <c r="T1015" i="2"/>
  <c r="T1014" i="2"/>
  <c r="X1014" i="2" s="1"/>
  <c r="T1013" i="2"/>
  <c r="X1013" i="2" s="1"/>
  <c r="T1012" i="2"/>
  <c r="X1012" i="2" s="1"/>
  <c r="X1011" i="2"/>
  <c r="T1011" i="2"/>
  <c r="T1010" i="2"/>
  <c r="X1010" i="2" s="1"/>
  <c r="T1009" i="2"/>
  <c r="X1009" i="2" s="1"/>
  <c r="X1008" i="2"/>
  <c r="T1008" i="2"/>
  <c r="X1007" i="2"/>
  <c r="T1007" i="2"/>
  <c r="T1006" i="2"/>
  <c r="X1006" i="2" s="1"/>
  <c r="T1005" i="2"/>
  <c r="X1005" i="2" s="1"/>
  <c r="T1004" i="2"/>
  <c r="X1004" i="2" s="1"/>
  <c r="X1003" i="2"/>
  <c r="T1003" i="2"/>
  <c r="T1002" i="2"/>
  <c r="X1002" i="2" s="1"/>
  <c r="T1001" i="2"/>
  <c r="X1001" i="2" s="1"/>
  <c r="X1000" i="2"/>
  <c r="T1000" i="2"/>
  <c r="X999" i="2"/>
  <c r="T999" i="2"/>
  <c r="T998" i="2"/>
  <c r="X998" i="2" s="1"/>
  <c r="T997" i="2"/>
  <c r="X997" i="2" s="1"/>
  <c r="T996" i="2"/>
  <c r="X996" i="2" s="1"/>
  <c r="X995" i="2"/>
  <c r="T995" i="2"/>
  <c r="T994" i="2"/>
  <c r="X994" i="2" s="1"/>
  <c r="T993" i="2"/>
  <c r="X993" i="2" s="1"/>
  <c r="X992" i="2"/>
  <c r="T992" i="2"/>
  <c r="X991" i="2"/>
  <c r="T991" i="2"/>
  <c r="T990" i="2"/>
  <c r="X990" i="2" s="1"/>
  <c r="T989" i="2"/>
  <c r="X989" i="2" s="1"/>
  <c r="V1026" i="2"/>
  <c r="W1026" i="2"/>
  <c r="T984" i="2"/>
  <c r="X984" i="2" s="1"/>
  <c r="P984" i="2"/>
  <c r="P985" i="2" s="1"/>
  <c r="P986" i="2" s="1"/>
  <c r="P987" i="2" s="1"/>
  <c r="P988" i="2" s="1"/>
  <c r="K985" i="2"/>
  <c r="K1026" i="2" s="1"/>
  <c r="F985" i="2"/>
  <c r="E985" i="2"/>
  <c r="E1026" i="2" s="1"/>
  <c r="K984" i="2"/>
  <c r="E984" i="2"/>
  <c r="J983" i="2"/>
  <c r="F983" i="2"/>
  <c r="E983" i="2"/>
  <c r="G1026" i="2"/>
  <c r="L1024" i="2"/>
  <c r="L1023" i="2"/>
  <c r="H1023" i="2"/>
  <c r="L1022" i="2"/>
  <c r="H1021" i="2"/>
  <c r="L1021" i="2" s="1"/>
  <c r="H1020" i="2"/>
  <c r="L1020" i="2" s="1"/>
  <c r="H1019" i="2"/>
  <c r="L1019" i="2" s="1"/>
  <c r="L1018" i="2"/>
  <c r="H1018" i="2"/>
  <c r="H1017" i="2"/>
  <c r="L1017" i="2" s="1"/>
  <c r="L1016" i="2"/>
  <c r="H1016" i="2"/>
  <c r="H1015" i="2"/>
  <c r="L1015" i="2" s="1"/>
  <c r="H1014" i="2"/>
  <c r="L1014" i="2" s="1"/>
  <c r="H1013" i="2"/>
  <c r="L1013" i="2" s="1"/>
  <c r="H1012" i="2"/>
  <c r="L1012" i="2" s="1"/>
  <c r="H1011" i="2"/>
  <c r="L1011" i="2" s="1"/>
  <c r="L1010" i="2"/>
  <c r="H1010" i="2"/>
  <c r="H1009" i="2"/>
  <c r="L1009" i="2" s="1"/>
  <c r="L1008" i="2"/>
  <c r="H1008" i="2"/>
  <c r="H1007" i="2"/>
  <c r="L1007" i="2" s="1"/>
  <c r="H1006" i="2"/>
  <c r="L1006" i="2" s="1"/>
  <c r="H1005" i="2"/>
  <c r="L1005" i="2" s="1"/>
  <c r="H1004" i="2"/>
  <c r="L1004" i="2" s="1"/>
  <c r="H1003" i="2"/>
  <c r="L1003" i="2" s="1"/>
  <c r="L1002" i="2"/>
  <c r="H1002" i="2"/>
  <c r="H1001" i="2"/>
  <c r="L1001" i="2" s="1"/>
  <c r="L1000" i="2"/>
  <c r="H1000" i="2"/>
  <c r="H999" i="2"/>
  <c r="L999" i="2" s="1"/>
  <c r="H998" i="2"/>
  <c r="L998" i="2" s="1"/>
  <c r="H997" i="2"/>
  <c r="L997" i="2" s="1"/>
  <c r="H996" i="2"/>
  <c r="L996" i="2" s="1"/>
  <c r="H995" i="2"/>
  <c r="L995" i="2" s="1"/>
  <c r="L994" i="2"/>
  <c r="H994" i="2"/>
  <c r="H993" i="2"/>
  <c r="L993" i="2" s="1"/>
  <c r="L992" i="2"/>
  <c r="H992" i="2"/>
  <c r="H991" i="2"/>
  <c r="L991" i="2" s="1"/>
  <c r="H990" i="2"/>
  <c r="L990" i="2" s="1"/>
  <c r="H989" i="2"/>
  <c r="L989" i="2" s="1"/>
  <c r="H988" i="2"/>
  <c r="L988" i="2" s="1"/>
  <c r="H987" i="2"/>
  <c r="L987" i="2" s="1"/>
  <c r="H986" i="2"/>
  <c r="L986" i="2" s="1"/>
  <c r="D985" i="2"/>
  <c r="H984" i="2"/>
  <c r="L984" i="2" s="1"/>
  <c r="D984" i="2"/>
  <c r="J1026" i="2"/>
  <c r="AJ991" i="2" l="1"/>
  <c r="AJ986" i="2"/>
  <c r="AJ983" i="2"/>
  <c r="AJ1026" i="2" s="1"/>
  <c r="AF1026" i="2"/>
  <c r="AC1026" i="2"/>
  <c r="AD1026" i="2"/>
  <c r="T987" i="2"/>
  <c r="X987" i="2" s="1"/>
  <c r="R1026" i="2"/>
  <c r="T985" i="2"/>
  <c r="X985" i="2" s="1"/>
  <c r="Q1026" i="2"/>
  <c r="T983" i="2"/>
  <c r="F1026" i="2"/>
  <c r="H985" i="2"/>
  <c r="L985" i="2" s="1"/>
  <c r="H983" i="2"/>
  <c r="AI931" i="2"/>
  <c r="AC931" i="2"/>
  <c r="AI930" i="2"/>
  <c r="AI971" i="2" s="1"/>
  <c r="AH930" i="2"/>
  <c r="AC930" i="2"/>
  <c r="AH929" i="2"/>
  <c r="AC929" i="2"/>
  <c r="AC971" i="2" s="1"/>
  <c r="AD928" i="2"/>
  <c r="AI928" i="2"/>
  <c r="AC928" i="2"/>
  <c r="AB931" i="2"/>
  <c r="AE971" i="2"/>
  <c r="AJ969" i="2"/>
  <c r="AF968" i="2"/>
  <c r="AJ968" i="2" s="1"/>
  <c r="AJ967" i="2"/>
  <c r="AF966" i="2"/>
  <c r="AJ966" i="2" s="1"/>
  <c r="AF965" i="2"/>
  <c r="AJ965" i="2" s="1"/>
  <c r="AJ964" i="2"/>
  <c r="AF964" i="2"/>
  <c r="AF963" i="2"/>
  <c r="AJ963" i="2" s="1"/>
  <c r="AF962" i="2"/>
  <c r="AJ962" i="2" s="1"/>
  <c r="AF961" i="2"/>
  <c r="AJ961" i="2" s="1"/>
  <c r="AF960" i="2"/>
  <c r="AJ960" i="2" s="1"/>
  <c r="AF959" i="2"/>
  <c r="AJ959" i="2" s="1"/>
  <c r="AF958" i="2"/>
  <c r="AJ958" i="2" s="1"/>
  <c r="AF957" i="2"/>
  <c r="AJ957" i="2" s="1"/>
  <c r="AJ956" i="2"/>
  <c r="AF956" i="2"/>
  <c r="AF955" i="2"/>
  <c r="AJ955" i="2" s="1"/>
  <c r="AF954" i="2"/>
  <c r="AJ954" i="2" s="1"/>
  <c r="AF953" i="2"/>
  <c r="AJ953" i="2" s="1"/>
  <c r="AF952" i="2"/>
  <c r="AJ952" i="2" s="1"/>
  <c r="AF951" i="2"/>
  <c r="AJ951" i="2" s="1"/>
  <c r="AF950" i="2"/>
  <c r="AJ950" i="2" s="1"/>
  <c r="AF949" i="2"/>
  <c r="AJ949" i="2" s="1"/>
  <c r="AJ948" i="2"/>
  <c r="AF948" i="2"/>
  <c r="AF947" i="2"/>
  <c r="AJ947" i="2" s="1"/>
  <c r="AF946" i="2"/>
  <c r="AJ946" i="2" s="1"/>
  <c r="AF945" i="2"/>
  <c r="AJ945" i="2" s="1"/>
  <c r="AF944" i="2"/>
  <c r="AJ944" i="2" s="1"/>
  <c r="AF943" i="2"/>
  <c r="AJ943" i="2" s="1"/>
  <c r="AF942" i="2"/>
  <c r="AJ942" i="2" s="1"/>
  <c r="AF941" i="2"/>
  <c r="AJ941" i="2" s="1"/>
  <c r="AJ940" i="2"/>
  <c r="AF940" i="2"/>
  <c r="AF939" i="2"/>
  <c r="AJ939" i="2" s="1"/>
  <c r="AF938" i="2"/>
  <c r="AJ938" i="2" s="1"/>
  <c r="AF937" i="2"/>
  <c r="AJ937" i="2" s="1"/>
  <c r="AF936" i="2"/>
  <c r="AJ936" i="2" s="1"/>
  <c r="AF935" i="2"/>
  <c r="AJ935" i="2" s="1"/>
  <c r="AF934" i="2"/>
  <c r="AJ934" i="2" s="1"/>
  <c r="AF933" i="2"/>
  <c r="AJ933" i="2" s="1"/>
  <c r="AJ932" i="2"/>
  <c r="AF932" i="2"/>
  <c r="AF931" i="2"/>
  <c r="AF930" i="2"/>
  <c r="AB929" i="2"/>
  <c r="AB930" i="2" s="1"/>
  <c r="AH971" i="2"/>
  <c r="AF928" i="2"/>
  <c r="AD971" i="2"/>
  <c r="Q935" i="2"/>
  <c r="T935" i="2" s="1"/>
  <c r="X935" i="2" s="1"/>
  <c r="Q934" i="2"/>
  <c r="T934" i="2" s="1"/>
  <c r="X934" i="2" s="1"/>
  <c r="Q933" i="2"/>
  <c r="T933" i="2" s="1"/>
  <c r="X933" i="2" s="1"/>
  <c r="P933" i="2"/>
  <c r="P934" i="2" s="1"/>
  <c r="P935" i="2" s="1"/>
  <c r="V932" i="2"/>
  <c r="V971" i="2" s="1"/>
  <c r="R932" i="2"/>
  <c r="R971" i="2" s="1"/>
  <c r="Q932" i="2"/>
  <c r="W931" i="2"/>
  <c r="R931" i="2"/>
  <c r="Q931" i="2"/>
  <c r="T931" i="2" s="1"/>
  <c r="X931" i="2" s="1"/>
  <c r="Q930" i="2"/>
  <c r="T930" i="2" s="1"/>
  <c r="X930" i="2" s="1"/>
  <c r="W929" i="2"/>
  <c r="Q929" i="2"/>
  <c r="Q928" i="2"/>
  <c r="S971" i="2"/>
  <c r="X969" i="2"/>
  <c r="T968" i="2"/>
  <c r="X968" i="2" s="1"/>
  <c r="X967" i="2"/>
  <c r="X966" i="2"/>
  <c r="T966" i="2"/>
  <c r="T965" i="2"/>
  <c r="X965" i="2" s="1"/>
  <c r="X964" i="2"/>
  <c r="T964" i="2"/>
  <c r="T963" i="2"/>
  <c r="X963" i="2" s="1"/>
  <c r="T962" i="2"/>
  <c r="X962" i="2" s="1"/>
  <c r="T961" i="2"/>
  <c r="X961" i="2" s="1"/>
  <c r="X960" i="2"/>
  <c r="T960" i="2"/>
  <c r="T959" i="2"/>
  <c r="X959" i="2" s="1"/>
  <c r="T958" i="2"/>
  <c r="X958" i="2" s="1"/>
  <c r="T957" i="2"/>
  <c r="X957" i="2" s="1"/>
  <c r="X956" i="2"/>
  <c r="T956" i="2"/>
  <c r="T955" i="2"/>
  <c r="X955" i="2" s="1"/>
  <c r="T954" i="2"/>
  <c r="X954" i="2" s="1"/>
  <c r="T953" i="2"/>
  <c r="X953" i="2" s="1"/>
  <c r="X952" i="2"/>
  <c r="T952" i="2"/>
  <c r="T951" i="2"/>
  <c r="X951" i="2" s="1"/>
  <c r="T950" i="2"/>
  <c r="X950" i="2" s="1"/>
  <c r="T949" i="2"/>
  <c r="X949" i="2" s="1"/>
  <c r="X948" i="2"/>
  <c r="T948" i="2"/>
  <c r="T947" i="2"/>
  <c r="X947" i="2" s="1"/>
  <c r="T946" i="2"/>
  <c r="X946" i="2" s="1"/>
  <c r="T945" i="2"/>
  <c r="X945" i="2" s="1"/>
  <c r="X944" i="2"/>
  <c r="T944" i="2"/>
  <c r="T943" i="2"/>
  <c r="X943" i="2" s="1"/>
  <c r="T942" i="2"/>
  <c r="X942" i="2" s="1"/>
  <c r="T941" i="2"/>
  <c r="X941" i="2" s="1"/>
  <c r="X940" i="2"/>
  <c r="T940" i="2"/>
  <c r="T939" i="2"/>
  <c r="X939" i="2" s="1"/>
  <c r="T938" i="2"/>
  <c r="X938" i="2" s="1"/>
  <c r="T937" i="2"/>
  <c r="X937" i="2" s="1"/>
  <c r="X936" i="2"/>
  <c r="T936" i="2"/>
  <c r="T932" i="2"/>
  <c r="W971" i="2"/>
  <c r="P930" i="2"/>
  <c r="P931" i="2" s="1"/>
  <c r="P932" i="2" s="1"/>
  <c r="P929" i="2"/>
  <c r="T928" i="2"/>
  <c r="T1026" i="2" l="1"/>
  <c r="X983" i="2"/>
  <c r="X1026" i="2" s="1"/>
  <c r="H1026" i="2"/>
  <c r="L983" i="2"/>
  <c r="L1026" i="2" s="1"/>
  <c r="AJ931" i="2"/>
  <c r="AJ930" i="2"/>
  <c r="AF929" i="2"/>
  <c r="AJ929" i="2" s="1"/>
  <c r="AF971" i="2"/>
  <c r="AJ928" i="2"/>
  <c r="X932" i="2"/>
  <c r="X928" i="2"/>
  <c r="T929" i="2"/>
  <c r="X929" i="2" s="1"/>
  <c r="Q971" i="2"/>
  <c r="AD875" i="2"/>
  <c r="AC875" i="2"/>
  <c r="AC874" i="2"/>
  <c r="AI873" i="2"/>
  <c r="AH873" i="2"/>
  <c r="AD873" i="2"/>
  <c r="AD916" i="2" s="1"/>
  <c r="AC873" i="2"/>
  <c r="AF873" i="2" s="1"/>
  <c r="AI916" i="2"/>
  <c r="AE916" i="2"/>
  <c r="AJ914" i="2"/>
  <c r="AF913" i="2"/>
  <c r="AJ913" i="2" s="1"/>
  <c r="AJ912" i="2"/>
  <c r="AF911" i="2"/>
  <c r="AJ911" i="2" s="1"/>
  <c r="AF910" i="2"/>
  <c r="AJ910" i="2" s="1"/>
  <c r="AF909" i="2"/>
  <c r="AJ909" i="2" s="1"/>
  <c r="AJ908" i="2"/>
  <c r="AF908" i="2"/>
  <c r="AF907" i="2"/>
  <c r="AJ907" i="2" s="1"/>
  <c r="AJ906" i="2"/>
  <c r="AF906" i="2"/>
  <c r="AJ905" i="2"/>
  <c r="AF905" i="2"/>
  <c r="AF904" i="2"/>
  <c r="AJ904" i="2" s="1"/>
  <c r="AF903" i="2"/>
  <c r="AJ903" i="2" s="1"/>
  <c r="AF902" i="2"/>
  <c r="AJ902" i="2" s="1"/>
  <c r="AF901" i="2"/>
  <c r="AJ901" i="2" s="1"/>
  <c r="AJ900" i="2"/>
  <c r="AF900" i="2"/>
  <c r="AF899" i="2"/>
  <c r="AJ899" i="2" s="1"/>
  <c r="AJ898" i="2"/>
  <c r="AF898" i="2"/>
  <c r="AJ897" i="2"/>
  <c r="AF897" i="2"/>
  <c r="AF896" i="2"/>
  <c r="AJ896" i="2" s="1"/>
  <c r="AF895" i="2"/>
  <c r="AJ895" i="2" s="1"/>
  <c r="AF894" i="2"/>
  <c r="AJ894" i="2" s="1"/>
  <c r="AF893" i="2"/>
  <c r="AJ893" i="2" s="1"/>
  <c r="AJ892" i="2"/>
  <c r="AF892" i="2"/>
  <c r="AF891" i="2"/>
  <c r="AJ891" i="2" s="1"/>
  <c r="AJ890" i="2"/>
  <c r="AF890" i="2"/>
  <c r="AJ889" i="2"/>
  <c r="AF889" i="2"/>
  <c r="AJ888" i="2"/>
  <c r="AF888" i="2"/>
  <c r="AF887" i="2"/>
  <c r="AJ887" i="2" s="1"/>
  <c r="AF886" i="2"/>
  <c r="AJ886" i="2" s="1"/>
  <c r="AF885" i="2"/>
  <c r="AJ885" i="2" s="1"/>
  <c r="AJ884" i="2"/>
  <c r="AF884" i="2"/>
  <c r="AF883" i="2"/>
  <c r="AJ883" i="2" s="1"/>
  <c r="AJ882" i="2"/>
  <c r="AF882" i="2"/>
  <c r="AF881" i="2"/>
  <c r="AJ881" i="2" s="1"/>
  <c r="AF880" i="2"/>
  <c r="AJ880" i="2" s="1"/>
  <c r="AF879" i="2"/>
  <c r="AJ879" i="2" s="1"/>
  <c r="AF878" i="2"/>
  <c r="AJ878" i="2" s="1"/>
  <c r="AF877" i="2"/>
  <c r="AJ877" i="2" s="1"/>
  <c r="AF876" i="2"/>
  <c r="AJ876" i="2" s="1"/>
  <c r="AF875" i="2"/>
  <c r="AJ875" i="2" s="1"/>
  <c r="AH916" i="2"/>
  <c r="AB874" i="2"/>
  <c r="AB875" i="2" s="1"/>
  <c r="Q877" i="2"/>
  <c r="W876" i="2"/>
  <c r="W916" i="2" s="1"/>
  <c r="Q876" i="2"/>
  <c r="T876" i="2" s="1"/>
  <c r="X876" i="2" s="1"/>
  <c r="P876" i="2"/>
  <c r="P877" i="2" s="1"/>
  <c r="Q875" i="2"/>
  <c r="T875" i="2" s="1"/>
  <c r="X875" i="2" s="1"/>
  <c r="V874" i="2"/>
  <c r="V916" i="2" s="1"/>
  <c r="R874" i="2"/>
  <c r="Q874" i="2"/>
  <c r="Q873" i="2"/>
  <c r="S916" i="2"/>
  <c r="R916" i="2"/>
  <c r="X914" i="2"/>
  <c r="X913" i="2"/>
  <c r="T913" i="2"/>
  <c r="X912" i="2"/>
  <c r="T911" i="2"/>
  <c r="X911" i="2" s="1"/>
  <c r="T910" i="2"/>
  <c r="X910" i="2" s="1"/>
  <c r="X909" i="2"/>
  <c r="T909" i="2"/>
  <c r="T908" i="2"/>
  <c r="X908" i="2" s="1"/>
  <c r="T907" i="2"/>
  <c r="X907" i="2" s="1"/>
  <c r="X906" i="2"/>
  <c r="T906" i="2"/>
  <c r="X905" i="2"/>
  <c r="T905" i="2"/>
  <c r="T904" i="2"/>
  <c r="X904" i="2" s="1"/>
  <c r="T903" i="2"/>
  <c r="X903" i="2" s="1"/>
  <c r="T902" i="2"/>
  <c r="X902" i="2" s="1"/>
  <c r="X901" i="2"/>
  <c r="T901" i="2"/>
  <c r="T900" i="2"/>
  <c r="X900" i="2" s="1"/>
  <c r="T899" i="2"/>
  <c r="X899" i="2" s="1"/>
  <c r="X898" i="2"/>
  <c r="T898" i="2"/>
  <c r="X897" i="2"/>
  <c r="T897" i="2"/>
  <c r="T896" i="2"/>
  <c r="X896" i="2" s="1"/>
  <c r="T895" i="2"/>
  <c r="X895" i="2" s="1"/>
  <c r="T894" i="2"/>
  <c r="X894" i="2" s="1"/>
  <c r="X893" i="2"/>
  <c r="T893" i="2"/>
  <c r="T892" i="2"/>
  <c r="X892" i="2" s="1"/>
  <c r="T891" i="2"/>
  <c r="X891" i="2" s="1"/>
  <c r="X890" i="2"/>
  <c r="T890" i="2"/>
  <c r="X889" i="2"/>
  <c r="T889" i="2"/>
  <c r="T888" i="2"/>
  <c r="X888" i="2" s="1"/>
  <c r="T887" i="2"/>
  <c r="X887" i="2" s="1"/>
  <c r="T886" i="2"/>
  <c r="X886" i="2" s="1"/>
  <c r="X885" i="2"/>
  <c r="T885" i="2"/>
  <c r="T884" i="2"/>
  <c r="X884" i="2" s="1"/>
  <c r="T883" i="2"/>
  <c r="X883" i="2" s="1"/>
  <c r="X882" i="2"/>
  <c r="T882" i="2"/>
  <c r="X881" i="2"/>
  <c r="T881" i="2"/>
  <c r="T880" i="2"/>
  <c r="X880" i="2" s="1"/>
  <c r="T879" i="2"/>
  <c r="X879" i="2" s="1"/>
  <c r="T878" i="2"/>
  <c r="X878" i="2" s="1"/>
  <c r="T877" i="2"/>
  <c r="X877" i="2" s="1"/>
  <c r="P874" i="2"/>
  <c r="P875" i="2" s="1"/>
  <c r="K878" i="2"/>
  <c r="E878" i="2"/>
  <c r="H878" i="2" s="1"/>
  <c r="L878" i="2" s="1"/>
  <c r="F877" i="2"/>
  <c r="E877" i="2"/>
  <c r="E876" i="2"/>
  <c r="E875" i="2"/>
  <c r="J874" i="2"/>
  <c r="K874" i="2"/>
  <c r="J916" i="2"/>
  <c r="E874" i="2"/>
  <c r="H874" i="2" s="1"/>
  <c r="J873" i="2"/>
  <c r="E873" i="2"/>
  <c r="G916" i="2"/>
  <c r="F916" i="2"/>
  <c r="L914" i="2"/>
  <c r="H913" i="2"/>
  <c r="L913" i="2" s="1"/>
  <c r="L912" i="2"/>
  <c r="H911" i="2"/>
  <c r="L911" i="2" s="1"/>
  <c r="H910" i="2"/>
  <c r="L910" i="2" s="1"/>
  <c r="L909" i="2"/>
  <c r="H909" i="2"/>
  <c r="H908" i="2"/>
  <c r="L908" i="2" s="1"/>
  <c r="H907" i="2"/>
  <c r="L907" i="2" s="1"/>
  <c r="L906" i="2"/>
  <c r="H906" i="2"/>
  <c r="L905" i="2"/>
  <c r="H905" i="2"/>
  <c r="H904" i="2"/>
  <c r="L904" i="2" s="1"/>
  <c r="H903" i="2"/>
  <c r="L903" i="2" s="1"/>
  <c r="H902" i="2"/>
  <c r="L902" i="2" s="1"/>
  <c r="L901" i="2"/>
  <c r="H901" i="2"/>
  <c r="L900" i="2"/>
  <c r="H900" i="2"/>
  <c r="H899" i="2"/>
  <c r="L899" i="2" s="1"/>
  <c r="L898" i="2"/>
  <c r="H898" i="2"/>
  <c r="L897" i="2"/>
  <c r="H897" i="2"/>
  <c r="H896" i="2"/>
  <c r="L896" i="2" s="1"/>
  <c r="H895" i="2"/>
  <c r="L895" i="2" s="1"/>
  <c r="H894" i="2"/>
  <c r="L894" i="2" s="1"/>
  <c r="L893" i="2"/>
  <c r="H893" i="2"/>
  <c r="H892" i="2"/>
  <c r="L892" i="2" s="1"/>
  <c r="H891" i="2"/>
  <c r="L891" i="2" s="1"/>
  <c r="L890" i="2"/>
  <c r="H890" i="2"/>
  <c r="L889" i="2"/>
  <c r="H889" i="2"/>
  <c r="H888" i="2"/>
  <c r="L888" i="2" s="1"/>
  <c r="H887" i="2"/>
  <c r="L887" i="2" s="1"/>
  <c r="H886" i="2"/>
  <c r="L886" i="2" s="1"/>
  <c r="L885" i="2"/>
  <c r="H885" i="2"/>
  <c r="H884" i="2"/>
  <c r="L884" i="2" s="1"/>
  <c r="H883" i="2"/>
  <c r="L883" i="2" s="1"/>
  <c r="H882" i="2"/>
  <c r="L882" i="2" s="1"/>
  <c r="H881" i="2"/>
  <c r="L881" i="2" s="1"/>
  <c r="H880" i="2"/>
  <c r="L880" i="2" s="1"/>
  <c r="H879" i="2"/>
  <c r="L879" i="2" s="1"/>
  <c r="H877" i="2"/>
  <c r="L877" i="2" s="1"/>
  <c r="H876" i="2"/>
  <c r="L876" i="2" s="1"/>
  <c r="H875" i="2"/>
  <c r="L875" i="2" s="1"/>
  <c r="D874" i="2"/>
  <c r="D875" i="2" s="1"/>
  <c r="D876" i="2" s="1"/>
  <c r="D877" i="2" s="1"/>
  <c r="D878" i="2" s="1"/>
  <c r="AJ971" i="2" l="1"/>
  <c r="T971" i="2"/>
  <c r="X971" i="2"/>
  <c r="AJ873" i="2"/>
  <c r="AF874" i="2"/>
  <c r="AJ874" i="2" s="1"/>
  <c r="AC916" i="2"/>
  <c r="Q916" i="2"/>
  <c r="T873" i="2"/>
  <c r="T874" i="2"/>
  <c r="X874" i="2" s="1"/>
  <c r="X873" i="2"/>
  <c r="K916" i="2"/>
  <c r="E916" i="2"/>
  <c r="L874" i="2"/>
  <c r="H873" i="2"/>
  <c r="AI822" i="2"/>
  <c r="J825" i="2"/>
  <c r="AJ916" i="2" l="1"/>
  <c r="AF916" i="2"/>
  <c r="X916" i="2"/>
  <c r="T916" i="2"/>
  <c r="L873" i="2"/>
  <c r="L916" i="2" s="1"/>
  <c r="H916" i="2"/>
  <c r="AC822" i="2"/>
  <c r="AF822" i="2" s="1"/>
  <c r="AJ822" i="2" s="1"/>
  <c r="AH821" i="2"/>
  <c r="AH861" i="2" s="1"/>
  <c r="AC821" i="2"/>
  <c r="AH820" i="2"/>
  <c r="AC820" i="2"/>
  <c r="AH819" i="2"/>
  <c r="AD819" i="2"/>
  <c r="AD861" i="2" s="1"/>
  <c r="AC819" i="2"/>
  <c r="AD818" i="2"/>
  <c r="AC818" i="2"/>
  <c r="AE861" i="2"/>
  <c r="AJ859" i="2"/>
  <c r="AF858" i="2"/>
  <c r="AJ858" i="2" s="1"/>
  <c r="AJ857" i="2"/>
  <c r="AF856" i="2"/>
  <c r="AJ856" i="2" s="1"/>
  <c r="AF855" i="2"/>
  <c r="AJ855" i="2" s="1"/>
  <c r="AJ854" i="2"/>
  <c r="AF854" i="2"/>
  <c r="AF853" i="2"/>
  <c r="AJ853" i="2" s="1"/>
  <c r="AF852" i="2"/>
  <c r="AJ852" i="2" s="1"/>
  <c r="AF851" i="2"/>
  <c r="AJ851" i="2" s="1"/>
  <c r="AF850" i="2"/>
  <c r="AJ850" i="2" s="1"/>
  <c r="AJ849" i="2"/>
  <c r="AF849" i="2"/>
  <c r="AF848" i="2"/>
  <c r="AJ848" i="2" s="1"/>
  <c r="AF847" i="2"/>
  <c r="AJ847" i="2" s="1"/>
  <c r="AJ846" i="2"/>
  <c r="AF846" i="2"/>
  <c r="AJ845" i="2"/>
  <c r="AF845" i="2"/>
  <c r="AF844" i="2"/>
  <c r="AJ844" i="2" s="1"/>
  <c r="AF843" i="2"/>
  <c r="AJ843" i="2" s="1"/>
  <c r="AJ842" i="2"/>
  <c r="AF842" i="2"/>
  <c r="AJ841" i="2"/>
  <c r="AF841" i="2"/>
  <c r="AF840" i="2"/>
  <c r="AJ840" i="2" s="1"/>
  <c r="AF839" i="2"/>
  <c r="AJ839" i="2" s="1"/>
  <c r="AJ838" i="2"/>
  <c r="AF838" i="2"/>
  <c r="AJ837" i="2"/>
  <c r="AF837" i="2"/>
  <c r="AF836" i="2"/>
  <c r="AJ836" i="2" s="1"/>
  <c r="AF835" i="2"/>
  <c r="AJ835" i="2" s="1"/>
  <c r="AF834" i="2"/>
  <c r="AJ834" i="2" s="1"/>
  <c r="AJ833" i="2"/>
  <c r="AF833" i="2"/>
  <c r="AF832" i="2"/>
  <c r="AJ832" i="2" s="1"/>
  <c r="AF831" i="2"/>
  <c r="AJ831" i="2" s="1"/>
  <c r="AJ830" i="2"/>
  <c r="AF830" i="2"/>
  <c r="AJ829" i="2"/>
  <c r="AF829" i="2"/>
  <c r="AF828" i="2"/>
  <c r="AJ828" i="2" s="1"/>
  <c r="AF827" i="2"/>
  <c r="AJ827" i="2" s="1"/>
  <c r="AF826" i="2"/>
  <c r="AJ826" i="2" s="1"/>
  <c r="AJ825" i="2"/>
  <c r="AF825" i="2"/>
  <c r="AF824" i="2"/>
  <c r="AJ824" i="2" s="1"/>
  <c r="AI861" i="2"/>
  <c r="AF823" i="2"/>
  <c r="AJ823" i="2" s="1"/>
  <c r="AF821" i="2"/>
  <c r="AB819" i="2"/>
  <c r="AB820" i="2" s="1"/>
  <c r="AB821" i="2" s="1"/>
  <c r="AB822" i="2" s="1"/>
  <c r="V820" i="2"/>
  <c r="V861" i="2" s="1"/>
  <c r="R820" i="2"/>
  <c r="T820" i="2" s="1"/>
  <c r="Q820" i="2"/>
  <c r="Q819" i="2"/>
  <c r="T819" i="2" s="1"/>
  <c r="X819" i="2" s="1"/>
  <c r="W818" i="2"/>
  <c r="W861" i="2" s="1"/>
  <c r="Q818" i="2"/>
  <c r="Q861" i="2" s="1"/>
  <c r="S861" i="2"/>
  <c r="X859" i="2"/>
  <c r="T858" i="2"/>
  <c r="X858" i="2" s="1"/>
  <c r="X857" i="2"/>
  <c r="X856" i="2"/>
  <c r="T856" i="2"/>
  <c r="T855" i="2"/>
  <c r="X855" i="2" s="1"/>
  <c r="X854" i="2"/>
  <c r="T854" i="2"/>
  <c r="X853" i="2"/>
  <c r="T853" i="2"/>
  <c r="T852" i="2"/>
  <c r="X852" i="2" s="1"/>
  <c r="X851" i="2"/>
  <c r="T851" i="2"/>
  <c r="X850" i="2"/>
  <c r="T850" i="2"/>
  <c r="T849" i="2"/>
  <c r="X849" i="2" s="1"/>
  <c r="T848" i="2"/>
  <c r="X848" i="2" s="1"/>
  <c r="T847" i="2"/>
  <c r="X847" i="2" s="1"/>
  <c r="X846" i="2"/>
  <c r="T846" i="2"/>
  <c r="X845" i="2"/>
  <c r="T845" i="2"/>
  <c r="T844" i="2"/>
  <c r="X844" i="2" s="1"/>
  <c r="X843" i="2"/>
  <c r="T843" i="2"/>
  <c r="X842" i="2"/>
  <c r="T842" i="2"/>
  <c r="T841" i="2"/>
  <c r="X841" i="2" s="1"/>
  <c r="T840" i="2"/>
  <c r="X840" i="2" s="1"/>
  <c r="T839" i="2"/>
  <c r="X839" i="2" s="1"/>
  <c r="X838" i="2"/>
  <c r="T838" i="2"/>
  <c r="X837" i="2"/>
  <c r="T837" i="2"/>
  <c r="T836" i="2"/>
  <c r="X836" i="2" s="1"/>
  <c r="X835" i="2"/>
  <c r="T835" i="2"/>
  <c r="X834" i="2"/>
  <c r="T834" i="2"/>
  <c r="T833" i="2"/>
  <c r="X833" i="2" s="1"/>
  <c r="T832" i="2"/>
  <c r="X832" i="2" s="1"/>
  <c r="T831" i="2"/>
  <c r="X831" i="2" s="1"/>
  <c r="T830" i="2"/>
  <c r="X830" i="2" s="1"/>
  <c r="T829" i="2"/>
  <c r="X829" i="2" s="1"/>
  <c r="T828" i="2"/>
  <c r="X828" i="2" s="1"/>
  <c r="T827" i="2"/>
  <c r="X827" i="2" s="1"/>
  <c r="T826" i="2"/>
  <c r="X826" i="2" s="1"/>
  <c r="R861" i="2"/>
  <c r="T825" i="2"/>
  <c r="X825" i="2" s="1"/>
  <c r="T824" i="2"/>
  <c r="X824" i="2" s="1"/>
  <c r="T823" i="2"/>
  <c r="X823" i="2" s="1"/>
  <c r="T822" i="2"/>
  <c r="X822" i="2" s="1"/>
  <c r="T821" i="2"/>
  <c r="X821" i="2" s="1"/>
  <c r="P819" i="2"/>
  <c r="P820" i="2" s="1"/>
  <c r="E828" i="2"/>
  <c r="H828" i="2" s="1"/>
  <c r="L828" i="2" s="1"/>
  <c r="D828" i="2"/>
  <c r="E827" i="2"/>
  <c r="H827" i="2" s="1"/>
  <c r="L827" i="2" s="1"/>
  <c r="E826" i="2"/>
  <c r="H826" i="2" s="1"/>
  <c r="L826" i="2" s="1"/>
  <c r="D826" i="2"/>
  <c r="D827" i="2" s="1"/>
  <c r="E825" i="2"/>
  <c r="H825" i="2" s="1"/>
  <c r="L825" i="2" s="1"/>
  <c r="E824" i="2"/>
  <c r="H824" i="2" s="1"/>
  <c r="L824" i="2" s="1"/>
  <c r="E823" i="2"/>
  <c r="D823" i="2"/>
  <c r="D824" i="2" s="1"/>
  <c r="D825" i="2" s="1"/>
  <c r="E822" i="2"/>
  <c r="E821" i="2"/>
  <c r="D821" i="2"/>
  <c r="D822" i="2" s="1"/>
  <c r="E820" i="2"/>
  <c r="E819" i="2"/>
  <c r="J818" i="2"/>
  <c r="E818" i="2"/>
  <c r="K861" i="2"/>
  <c r="G861" i="2"/>
  <c r="F861" i="2"/>
  <c r="L859" i="2"/>
  <c r="H858" i="2"/>
  <c r="L858" i="2" s="1"/>
  <c r="L857" i="2"/>
  <c r="H856" i="2"/>
  <c r="L856" i="2" s="1"/>
  <c r="L855" i="2"/>
  <c r="H855" i="2"/>
  <c r="L854" i="2"/>
  <c r="H854" i="2"/>
  <c r="H853" i="2"/>
  <c r="L853" i="2" s="1"/>
  <c r="H852" i="2"/>
  <c r="L852" i="2" s="1"/>
  <c r="L851" i="2"/>
  <c r="H851" i="2"/>
  <c r="H850" i="2"/>
  <c r="L850" i="2" s="1"/>
  <c r="H849" i="2"/>
  <c r="L849" i="2" s="1"/>
  <c r="H848" i="2"/>
  <c r="L848" i="2" s="1"/>
  <c r="H847" i="2"/>
  <c r="L847" i="2" s="1"/>
  <c r="L846" i="2"/>
  <c r="H846" i="2"/>
  <c r="H845" i="2"/>
  <c r="L845" i="2" s="1"/>
  <c r="H844" i="2"/>
  <c r="L844" i="2" s="1"/>
  <c r="L843" i="2"/>
  <c r="H843" i="2"/>
  <c r="H842" i="2"/>
  <c r="L842" i="2" s="1"/>
  <c r="H841" i="2"/>
  <c r="L841" i="2" s="1"/>
  <c r="H840" i="2"/>
  <c r="L840" i="2" s="1"/>
  <c r="H839" i="2"/>
  <c r="L839" i="2" s="1"/>
  <c r="L838" i="2"/>
  <c r="H838" i="2"/>
  <c r="H837" i="2"/>
  <c r="L837" i="2" s="1"/>
  <c r="H836" i="2"/>
  <c r="L836" i="2" s="1"/>
  <c r="L835" i="2"/>
  <c r="H835" i="2"/>
  <c r="H834" i="2"/>
  <c r="L834" i="2" s="1"/>
  <c r="H833" i="2"/>
  <c r="L833" i="2" s="1"/>
  <c r="H832" i="2"/>
  <c r="L832" i="2" s="1"/>
  <c r="H831" i="2"/>
  <c r="L831" i="2" s="1"/>
  <c r="L830" i="2"/>
  <c r="H830" i="2"/>
  <c r="H829" i="2"/>
  <c r="L829" i="2" s="1"/>
  <c r="H823" i="2"/>
  <c r="L823" i="2" s="1"/>
  <c r="L822" i="2"/>
  <c r="H822" i="2"/>
  <c r="H821" i="2"/>
  <c r="L821" i="2" s="1"/>
  <c r="H820" i="2"/>
  <c r="L820" i="2" s="1"/>
  <c r="H819" i="2"/>
  <c r="L819" i="2" s="1"/>
  <c r="D819" i="2"/>
  <c r="D820" i="2" s="1"/>
  <c r="J861" i="2"/>
  <c r="H818" i="2"/>
  <c r="AC861" i="2" l="1"/>
  <c r="AJ821" i="2"/>
  <c r="AF819" i="2"/>
  <c r="AJ819" i="2" s="1"/>
  <c r="AF818" i="2"/>
  <c r="AJ818" i="2" s="1"/>
  <c r="AF820" i="2"/>
  <c r="AJ820" i="2" s="1"/>
  <c r="X820" i="2"/>
  <c r="T818" i="2"/>
  <c r="H861" i="2"/>
  <c r="L818" i="2"/>
  <c r="L861" i="2" s="1"/>
  <c r="E861" i="2"/>
  <c r="Q777" i="2"/>
  <c r="Q774" i="2"/>
  <c r="Q773" i="2"/>
  <c r="Q769" i="2"/>
  <c r="Q767" i="2"/>
  <c r="Q766" i="2"/>
  <c r="Q764" i="2"/>
  <c r="AJ861" i="2" l="1"/>
  <c r="AF861" i="2"/>
  <c r="T861" i="2"/>
  <c r="X818" i="2"/>
  <c r="X861" i="2" s="1"/>
  <c r="E764" i="2"/>
  <c r="AI768" i="2" l="1"/>
  <c r="AC768" i="2"/>
  <c r="AC767" i="2"/>
  <c r="AF767" i="2" s="1"/>
  <c r="AJ767" i="2" s="1"/>
  <c r="AC766" i="2"/>
  <c r="AF766" i="2" s="1"/>
  <c r="AJ766" i="2" s="1"/>
  <c r="AC765" i="2"/>
  <c r="AF765" i="2" s="1"/>
  <c r="AJ765" i="2" s="1"/>
  <c r="AH764" i="2"/>
  <c r="AC764" i="2"/>
  <c r="AC763" i="2"/>
  <c r="AC806" i="2" s="1"/>
  <c r="AH806" i="2"/>
  <c r="AE806" i="2"/>
  <c r="AD806" i="2"/>
  <c r="AJ804" i="2"/>
  <c r="AJ803" i="2"/>
  <c r="AF803" i="2"/>
  <c r="AJ802" i="2"/>
  <c r="AF801" i="2"/>
  <c r="AJ801" i="2" s="1"/>
  <c r="AJ800" i="2"/>
  <c r="AF800" i="2"/>
  <c r="AJ799" i="2"/>
  <c r="AF799" i="2"/>
  <c r="AF798" i="2"/>
  <c r="AJ798" i="2" s="1"/>
  <c r="AJ797" i="2"/>
  <c r="AF797" i="2"/>
  <c r="AF796" i="2"/>
  <c r="AJ796" i="2" s="1"/>
  <c r="AF795" i="2"/>
  <c r="AJ795" i="2" s="1"/>
  <c r="AF794" i="2"/>
  <c r="AJ794" i="2" s="1"/>
  <c r="AF793" i="2"/>
  <c r="AJ793" i="2" s="1"/>
  <c r="AJ792" i="2"/>
  <c r="AF792" i="2"/>
  <c r="AJ791" i="2"/>
  <c r="AF791" i="2"/>
  <c r="AF790" i="2"/>
  <c r="AJ790" i="2" s="1"/>
  <c r="AJ789" i="2"/>
  <c r="AF789" i="2"/>
  <c r="AF788" i="2"/>
  <c r="AJ788" i="2" s="1"/>
  <c r="AF787" i="2"/>
  <c r="AJ787" i="2" s="1"/>
  <c r="AF786" i="2"/>
  <c r="AJ786" i="2" s="1"/>
  <c r="AF785" i="2"/>
  <c r="AJ785" i="2" s="1"/>
  <c r="AJ784" i="2"/>
  <c r="AF784" i="2"/>
  <c r="AJ783" i="2"/>
  <c r="AF783" i="2"/>
  <c r="AF782" i="2"/>
  <c r="AJ782" i="2" s="1"/>
  <c r="AJ781" i="2"/>
  <c r="AF781" i="2"/>
  <c r="AF780" i="2"/>
  <c r="AJ780" i="2" s="1"/>
  <c r="AF779" i="2"/>
  <c r="AJ779" i="2" s="1"/>
  <c r="AF778" i="2"/>
  <c r="AJ778" i="2" s="1"/>
  <c r="AF777" i="2"/>
  <c r="AJ777" i="2" s="1"/>
  <c r="AF776" i="2"/>
  <c r="AJ776" i="2" s="1"/>
  <c r="AJ775" i="2"/>
  <c r="AF775" i="2"/>
  <c r="AF774" i="2"/>
  <c r="AJ774" i="2" s="1"/>
  <c r="AJ773" i="2"/>
  <c r="AF773" i="2"/>
  <c r="AF772" i="2"/>
  <c r="AJ772" i="2" s="1"/>
  <c r="AF771" i="2"/>
  <c r="AJ771" i="2" s="1"/>
  <c r="AF770" i="2"/>
  <c r="AJ770" i="2" s="1"/>
  <c r="AF769" i="2"/>
  <c r="AJ769" i="2" s="1"/>
  <c r="AF768" i="2"/>
  <c r="AI806" i="2"/>
  <c r="AF764" i="2"/>
  <c r="AB764" i="2"/>
  <c r="AB765" i="2" s="1"/>
  <c r="AB766" i="2" s="1"/>
  <c r="AB767" i="2" s="1"/>
  <c r="AB768" i="2" s="1"/>
  <c r="V776" i="2"/>
  <c r="Q776" i="2"/>
  <c r="T776" i="2" s="1"/>
  <c r="X776" i="2" s="1"/>
  <c r="W775" i="2"/>
  <c r="Q775" i="2"/>
  <c r="T775" i="2" s="1"/>
  <c r="P776" i="2"/>
  <c r="P777" i="2" s="1"/>
  <c r="T773" i="2"/>
  <c r="X773" i="2" s="1"/>
  <c r="P774" i="2"/>
  <c r="P775" i="2" s="1"/>
  <c r="Q772" i="2"/>
  <c r="T772" i="2" s="1"/>
  <c r="X772" i="2" s="1"/>
  <c r="V771" i="2"/>
  <c r="R771" i="2"/>
  <c r="Q771" i="2"/>
  <c r="V770" i="2"/>
  <c r="R770" i="2"/>
  <c r="R806" i="2" s="1"/>
  <c r="Q770" i="2"/>
  <c r="P770" i="2"/>
  <c r="P771" i="2" s="1"/>
  <c r="P772" i="2" s="1"/>
  <c r="P773" i="2" s="1"/>
  <c r="T769" i="2"/>
  <c r="X769" i="2" s="1"/>
  <c r="W768" i="2"/>
  <c r="Q768" i="2"/>
  <c r="T768" i="2" s="1"/>
  <c r="W767" i="2"/>
  <c r="Q765" i="2"/>
  <c r="V764" i="2"/>
  <c r="V763" i="2"/>
  <c r="Q763" i="2"/>
  <c r="W806" i="2"/>
  <c r="S806" i="2"/>
  <c r="X804" i="2"/>
  <c r="T803" i="2"/>
  <c r="X803" i="2" s="1"/>
  <c r="X802" i="2"/>
  <c r="T801" i="2"/>
  <c r="X801" i="2" s="1"/>
  <c r="X800" i="2"/>
  <c r="T800" i="2"/>
  <c r="T799" i="2"/>
  <c r="X799" i="2" s="1"/>
  <c r="X798" i="2"/>
  <c r="T798" i="2"/>
  <c r="T797" i="2"/>
  <c r="X797" i="2" s="1"/>
  <c r="T796" i="2"/>
  <c r="X796" i="2" s="1"/>
  <c r="T795" i="2"/>
  <c r="X795" i="2" s="1"/>
  <c r="X794" i="2"/>
  <c r="T794" i="2"/>
  <c r="T793" i="2"/>
  <c r="X793" i="2" s="1"/>
  <c r="X792" i="2"/>
  <c r="T792" i="2"/>
  <c r="T791" i="2"/>
  <c r="X791" i="2" s="1"/>
  <c r="X790" i="2"/>
  <c r="T790" i="2"/>
  <c r="T789" i="2"/>
  <c r="X789" i="2" s="1"/>
  <c r="T788" i="2"/>
  <c r="X788" i="2" s="1"/>
  <c r="T787" i="2"/>
  <c r="X787" i="2" s="1"/>
  <c r="X786" i="2"/>
  <c r="T786" i="2"/>
  <c r="T785" i="2"/>
  <c r="X785" i="2" s="1"/>
  <c r="X784" i="2"/>
  <c r="T784" i="2"/>
  <c r="T783" i="2"/>
  <c r="X783" i="2" s="1"/>
  <c r="X782" i="2"/>
  <c r="T782" i="2"/>
  <c r="T781" i="2"/>
  <c r="X781" i="2" s="1"/>
  <c r="T780" i="2"/>
  <c r="X780" i="2" s="1"/>
  <c r="T779" i="2"/>
  <c r="X779" i="2" s="1"/>
  <c r="X778" i="2"/>
  <c r="T778" i="2"/>
  <c r="T777" i="2"/>
  <c r="X777" i="2" s="1"/>
  <c r="T774" i="2"/>
  <c r="X774" i="2" s="1"/>
  <c r="T771" i="2"/>
  <c r="X771" i="2" s="1"/>
  <c r="T767" i="2"/>
  <c r="X767" i="2" s="1"/>
  <c r="T766" i="2"/>
  <c r="X766" i="2" s="1"/>
  <c r="T765" i="2"/>
  <c r="X765" i="2" s="1"/>
  <c r="T764" i="2"/>
  <c r="P764" i="2"/>
  <c r="P765" i="2" s="1"/>
  <c r="P766" i="2" s="1"/>
  <c r="P767" i="2" s="1"/>
  <c r="P768" i="2" s="1"/>
  <c r="P769" i="2" s="1"/>
  <c r="E765" i="2"/>
  <c r="H765" i="2" s="1"/>
  <c r="L765" i="2" s="1"/>
  <c r="F764" i="2"/>
  <c r="F806" i="2" s="1"/>
  <c r="J763" i="2"/>
  <c r="E763" i="2"/>
  <c r="J806" i="2"/>
  <c r="G806" i="2"/>
  <c r="L804" i="2"/>
  <c r="H803" i="2"/>
  <c r="L803" i="2" s="1"/>
  <c r="L802" i="2"/>
  <c r="H801" i="2"/>
  <c r="L801" i="2" s="1"/>
  <c r="H800" i="2"/>
  <c r="L800" i="2" s="1"/>
  <c r="L799" i="2"/>
  <c r="H799" i="2"/>
  <c r="H798" i="2"/>
  <c r="L798" i="2" s="1"/>
  <c r="L797" i="2"/>
  <c r="H797" i="2"/>
  <c r="H796" i="2"/>
  <c r="L796" i="2" s="1"/>
  <c r="H795" i="2"/>
  <c r="L795" i="2" s="1"/>
  <c r="L794" i="2"/>
  <c r="H794" i="2"/>
  <c r="H793" i="2"/>
  <c r="L793" i="2" s="1"/>
  <c r="H792" i="2"/>
  <c r="L792" i="2" s="1"/>
  <c r="L791" i="2"/>
  <c r="H791" i="2"/>
  <c r="H790" i="2"/>
  <c r="L790" i="2" s="1"/>
  <c r="L789" i="2"/>
  <c r="H789" i="2"/>
  <c r="H788" i="2"/>
  <c r="L788" i="2" s="1"/>
  <c r="H787" i="2"/>
  <c r="L787" i="2" s="1"/>
  <c r="H786" i="2"/>
  <c r="L786" i="2" s="1"/>
  <c r="H785" i="2"/>
  <c r="L785" i="2" s="1"/>
  <c r="H784" i="2"/>
  <c r="L784" i="2" s="1"/>
  <c r="L783" i="2"/>
  <c r="H783" i="2"/>
  <c r="H782" i="2"/>
  <c r="L782" i="2" s="1"/>
  <c r="L781" i="2"/>
  <c r="H781" i="2"/>
  <c r="H780" i="2"/>
  <c r="L780" i="2" s="1"/>
  <c r="H779" i="2"/>
  <c r="L779" i="2" s="1"/>
  <c r="H778" i="2"/>
  <c r="L778" i="2" s="1"/>
  <c r="H777" i="2"/>
  <c r="L777" i="2" s="1"/>
  <c r="H776" i="2"/>
  <c r="L776" i="2" s="1"/>
  <c r="L775" i="2"/>
  <c r="H775" i="2"/>
  <c r="H774" i="2"/>
  <c r="L774" i="2" s="1"/>
  <c r="L773" i="2"/>
  <c r="H773" i="2"/>
  <c r="H772" i="2"/>
  <c r="L772" i="2" s="1"/>
  <c r="H771" i="2"/>
  <c r="L771" i="2" s="1"/>
  <c r="H770" i="2"/>
  <c r="L770" i="2" s="1"/>
  <c r="H769" i="2"/>
  <c r="L769" i="2" s="1"/>
  <c r="H768" i="2"/>
  <c r="L768" i="2" s="1"/>
  <c r="L767" i="2"/>
  <c r="H767" i="2"/>
  <c r="H766" i="2"/>
  <c r="L766" i="2" s="1"/>
  <c r="K806" i="2"/>
  <c r="D764" i="2"/>
  <c r="D765" i="2" s="1"/>
  <c r="H763" i="2"/>
  <c r="AJ768" i="2" l="1"/>
  <c r="AJ764" i="2"/>
  <c r="AF763" i="2"/>
  <c r="AF806" i="2"/>
  <c r="AJ763" i="2"/>
  <c r="X775" i="2"/>
  <c r="V806" i="2"/>
  <c r="T770" i="2"/>
  <c r="X770" i="2" s="1"/>
  <c r="X768" i="2"/>
  <c r="Q806" i="2"/>
  <c r="X764" i="2"/>
  <c r="T763" i="2"/>
  <c r="H764" i="2"/>
  <c r="L764" i="2" s="1"/>
  <c r="L763" i="2"/>
  <c r="H806" i="2"/>
  <c r="E806" i="2"/>
  <c r="AI713" i="2"/>
  <c r="AC713" i="2"/>
  <c r="AF713" i="2" s="1"/>
  <c r="AJ713" i="2" s="1"/>
  <c r="AH712" i="2"/>
  <c r="AI712" i="2"/>
  <c r="AI751" i="2" s="1"/>
  <c r="AH751" i="2"/>
  <c r="AC712" i="2"/>
  <c r="AF712" i="2" s="1"/>
  <c r="AC711" i="2"/>
  <c r="AC710" i="2"/>
  <c r="AF710" i="2" s="1"/>
  <c r="AJ710" i="2" s="1"/>
  <c r="AD709" i="2"/>
  <c r="AD751" i="2" s="1"/>
  <c r="AC709" i="2"/>
  <c r="AF709" i="2" s="1"/>
  <c r="AJ709" i="2" s="1"/>
  <c r="AD708" i="2"/>
  <c r="AC708" i="2"/>
  <c r="AE751" i="2"/>
  <c r="AJ749" i="2"/>
  <c r="AF748" i="2"/>
  <c r="AJ748" i="2" s="1"/>
  <c r="AJ747" i="2"/>
  <c r="AF746" i="2"/>
  <c r="AJ746" i="2" s="1"/>
  <c r="AJ745" i="2"/>
  <c r="AF745" i="2"/>
  <c r="AJ744" i="2"/>
  <c r="AF744" i="2"/>
  <c r="AF743" i="2"/>
  <c r="AJ743" i="2" s="1"/>
  <c r="AF742" i="2"/>
  <c r="AJ742" i="2" s="1"/>
  <c r="AF741" i="2"/>
  <c r="AJ741" i="2" s="1"/>
  <c r="AF740" i="2"/>
  <c r="AJ740" i="2" s="1"/>
  <c r="AF739" i="2"/>
  <c r="AJ739" i="2" s="1"/>
  <c r="AF738" i="2"/>
  <c r="AJ738" i="2" s="1"/>
  <c r="AJ737" i="2"/>
  <c r="AF737" i="2"/>
  <c r="AJ736" i="2"/>
  <c r="AF736" i="2"/>
  <c r="AF735" i="2"/>
  <c r="AJ735" i="2" s="1"/>
  <c r="AF734" i="2"/>
  <c r="AJ734" i="2" s="1"/>
  <c r="AF733" i="2"/>
  <c r="AJ733" i="2" s="1"/>
  <c r="AF732" i="2"/>
  <c r="AJ732" i="2" s="1"/>
  <c r="AF731" i="2"/>
  <c r="AJ731" i="2" s="1"/>
  <c r="AF730" i="2"/>
  <c r="AJ730" i="2" s="1"/>
  <c r="AJ729" i="2"/>
  <c r="AF729" i="2"/>
  <c r="AJ728" i="2"/>
  <c r="AF728" i="2"/>
  <c r="AF727" i="2"/>
  <c r="AJ727" i="2" s="1"/>
  <c r="AF726" i="2"/>
  <c r="AJ726" i="2" s="1"/>
  <c r="AF725" i="2"/>
  <c r="AJ725" i="2" s="1"/>
  <c r="AF724" i="2"/>
  <c r="AJ724" i="2" s="1"/>
  <c r="AF723" i="2"/>
  <c r="AJ723" i="2" s="1"/>
  <c r="AF722" i="2"/>
  <c r="AJ722" i="2" s="1"/>
  <c r="AJ721" i="2"/>
  <c r="AF721" i="2"/>
  <c r="AJ720" i="2"/>
  <c r="AF720" i="2"/>
  <c r="AF719" i="2"/>
  <c r="AJ719" i="2" s="1"/>
  <c r="AF718" i="2"/>
  <c r="AJ718" i="2" s="1"/>
  <c r="AF717" i="2"/>
  <c r="AJ717" i="2" s="1"/>
  <c r="AF716" i="2"/>
  <c r="AJ716" i="2" s="1"/>
  <c r="AF715" i="2"/>
  <c r="AJ715" i="2" s="1"/>
  <c r="AF714" i="2"/>
  <c r="AJ714" i="2" s="1"/>
  <c r="AF711" i="2"/>
  <c r="AJ711" i="2" s="1"/>
  <c r="AB709" i="2"/>
  <c r="AB710" i="2" s="1"/>
  <c r="AB711" i="2" s="1"/>
  <c r="AB712" i="2" s="1"/>
  <c r="AB713" i="2" s="1"/>
  <c r="AF708" i="2"/>
  <c r="Q714" i="2"/>
  <c r="V713" i="2"/>
  <c r="R713" i="2"/>
  <c r="T713" i="2" s="1"/>
  <c r="Q713" i="2"/>
  <c r="V712" i="2"/>
  <c r="Q712" i="2"/>
  <c r="T712" i="2" s="1"/>
  <c r="W751" i="2"/>
  <c r="Q711" i="2"/>
  <c r="T711" i="2" s="1"/>
  <c r="X711" i="2" s="1"/>
  <c r="Q710" i="2"/>
  <c r="W710" i="2"/>
  <c r="V710" i="2"/>
  <c r="R710" i="2"/>
  <c r="V709" i="2"/>
  <c r="R709" i="2"/>
  <c r="Q709" i="2"/>
  <c r="V708" i="2"/>
  <c r="Q708" i="2"/>
  <c r="S751" i="2"/>
  <c r="X749" i="2"/>
  <c r="T748" i="2"/>
  <c r="X748" i="2" s="1"/>
  <c r="X747" i="2"/>
  <c r="T746" i="2"/>
  <c r="X746" i="2" s="1"/>
  <c r="X745" i="2"/>
  <c r="T745" i="2"/>
  <c r="X744" i="2"/>
  <c r="T744" i="2"/>
  <c r="T743" i="2"/>
  <c r="X743" i="2" s="1"/>
  <c r="T742" i="2"/>
  <c r="X742" i="2" s="1"/>
  <c r="T741" i="2"/>
  <c r="X741" i="2" s="1"/>
  <c r="T740" i="2"/>
  <c r="X740" i="2" s="1"/>
  <c r="T739" i="2"/>
  <c r="X739" i="2" s="1"/>
  <c r="T738" i="2"/>
  <c r="X738" i="2" s="1"/>
  <c r="X737" i="2"/>
  <c r="T737" i="2"/>
  <c r="X736" i="2"/>
  <c r="T736" i="2"/>
  <c r="T735" i="2"/>
  <c r="X735" i="2" s="1"/>
  <c r="T734" i="2"/>
  <c r="X734" i="2" s="1"/>
  <c r="T733" i="2"/>
  <c r="X733" i="2" s="1"/>
  <c r="X732" i="2"/>
  <c r="T732" i="2"/>
  <c r="T731" i="2"/>
  <c r="X731" i="2" s="1"/>
  <c r="T730" i="2"/>
  <c r="X730" i="2" s="1"/>
  <c r="X729" i="2"/>
  <c r="T729" i="2"/>
  <c r="X728" i="2"/>
  <c r="T728" i="2"/>
  <c r="T727" i="2"/>
  <c r="X727" i="2" s="1"/>
  <c r="T726" i="2"/>
  <c r="X726" i="2" s="1"/>
  <c r="T725" i="2"/>
  <c r="X725" i="2" s="1"/>
  <c r="X724" i="2"/>
  <c r="T724" i="2"/>
  <c r="T723" i="2"/>
  <c r="X723" i="2" s="1"/>
  <c r="T722" i="2"/>
  <c r="X722" i="2" s="1"/>
  <c r="X721" i="2"/>
  <c r="T721" i="2"/>
  <c r="X720" i="2"/>
  <c r="T720" i="2"/>
  <c r="T719" i="2"/>
  <c r="X719" i="2" s="1"/>
  <c r="T718" i="2"/>
  <c r="X718" i="2" s="1"/>
  <c r="T717" i="2"/>
  <c r="X717" i="2" s="1"/>
  <c r="T716" i="2"/>
  <c r="X716" i="2" s="1"/>
  <c r="T715" i="2"/>
  <c r="X715" i="2" s="1"/>
  <c r="T714" i="2"/>
  <c r="X714" i="2" s="1"/>
  <c r="T709" i="2"/>
  <c r="X709" i="2" s="1"/>
  <c r="P709" i="2"/>
  <c r="P710" i="2" s="1"/>
  <c r="P711" i="2" s="1"/>
  <c r="P712" i="2" s="1"/>
  <c r="P713" i="2" s="1"/>
  <c r="P714" i="2" s="1"/>
  <c r="T708" i="2"/>
  <c r="K711" i="2"/>
  <c r="E711" i="2"/>
  <c r="K710" i="2"/>
  <c r="J710" i="2"/>
  <c r="E710" i="2"/>
  <c r="F710" i="2"/>
  <c r="F751" i="2" s="1"/>
  <c r="K709" i="2"/>
  <c r="F709" i="2"/>
  <c r="E709" i="2"/>
  <c r="J708" i="2"/>
  <c r="E708" i="2"/>
  <c r="G751" i="2"/>
  <c r="L749" i="2"/>
  <c r="H748" i="2"/>
  <c r="L748" i="2" s="1"/>
  <c r="L747" i="2"/>
  <c r="H746" i="2"/>
  <c r="L746" i="2" s="1"/>
  <c r="H745" i="2"/>
  <c r="L745" i="2" s="1"/>
  <c r="L744" i="2"/>
  <c r="H744" i="2"/>
  <c r="H743" i="2"/>
  <c r="L743" i="2" s="1"/>
  <c r="H742" i="2"/>
  <c r="L742" i="2" s="1"/>
  <c r="L741" i="2"/>
  <c r="H741" i="2"/>
  <c r="H740" i="2"/>
  <c r="L740" i="2" s="1"/>
  <c r="H739" i="2"/>
  <c r="L739" i="2" s="1"/>
  <c r="H738" i="2"/>
  <c r="L738" i="2" s="1"/>
  <c r="H737" i="2"/>
  <c r="L737" i="2" s="1"/>
  <c r="L736" i="2"/>
  <c r="H736" i="2"/>
  <c r="H735" i="2"/>
  <c r="L735" i="2" s="1"/>
  <c r="H734" i="2"/>
  <c r="L734" i="2" s="1"/>
  <c r="L733" i="2"/>
  <c r="H733" i="2"/>
  <c r="H732" i="2"/>
  <c r="L732" i="2" s="1"/>
  <c r="H731" i="2"/>
  <c r="L731" i="2" s="1"/>
  <c r="H730" i="2"/>
  <c r="L730" i="2" s="1"/>
  <c r="H729" i="2"/>
  <c r="L729" i="2" s="1"/>
  <c r="L728" i="2"/>
  <c r="H728" i="2"/>
  <c r="H727" i="2"/>
  <c r="L727" i="2" s="1"/>
  <c r="H726" i="2"/>
  <c r="L726" i="2" s="1"/>
  <c r="L725" i="2"/>
  <c r="H725" i="2"/>
  <c r="H724" i="2"/>
  <c r="L724" i="2" s="1"/>
  <c r="H723" i="2"/>
  <c r="L723" i="2" s="1"/>
  <c r="H722" i="2"/>
  <c r="L722" i="2" s="1"/>
  <c r="H721" i="2"/>
  <c r="L721" i="2" s="1"/>
  <c r="L720" i="2"/>
  <c r="H720" i="2"/>
  <c r="H719" i="2"/>
  <c r="L719" i="2" s="1"/>
  <c r="H718" i="2"/>
  <c r="L718" i="2" s="1"/>
  <c r="H717" i="2"/>
  <c r="L717" i="2" s="1"/>
  <c r="H716" i="2"/>
  <c r="L716" i="2" s="1"/>
  <c r="H715" i="2"/>
  <c r="L715" i="2" s="1"/>
  <c r="H714" i="2"/>
  <c r="L714" i="2" s="1"/>
  <c r="H713" i="2"/>
  <c r="L713" i="2" s="1"/>
  <c r="H712" i="2"/>
  <c r="L712" i="2" s="1"/>
  <c r="H711" i="2"/>
  <c r="D709" i="2"/>
  <c r="D710" i="2" s="1"/>
  <c r="D711" i="2" s="1"/>
  <c r="L806" i="2" l="1"/>
  <c r="AJ806" i="2"/>
  <c r="T806" i="2"/>
  <c r="X763" i="2"/>
  <c r="X806" i="2" s="1"/>
  <c r="AJ712" i="2"/>
  <c r="AF751" i="2"/>
  <c r="AJ708" i="2"/>
  <c r="AC751" i="2"/>
  <c r="X713" i="2"/>
  <c r="V751" i="2"/>
  <c r="R751" i="2"/>
  <c r="X712" i="2"/>
  <c r="Q751" i="2"/>
  <c r="T710" i="2"/>
  <c r="X710" i="2" s="1"/>
  <c r="X708" i="2"/>
  <c r="L711" i="2"/>
  <c r="K751" i="2"/>
  <c r="J751" i="2"/>
  <c r="H710" i="2"/>
  <c r="L710" i="2" s="1"/>
  <c r="E751" i="2"/>
  <c r="H708" i="2"/>
  <c r="L708" i="2" s="1"/>
  <c r="H709" i="2"/>
  <c r="AC658" i="2"/>
  <c r="AF658" i="2" s="1"/>
  <c r="AJ658" i="2" s="1"/>
  <c r="AC657" i="2"/>
  <c r="AH657" i="2"/>
  <c r="AD657" i="2"/>
  <c r="AH656" i="2"/>
  <c r="AC656" i="2"/>
  <c r="AF656" i="2" s="1"/>
  <c r="AJ656" i="2" s="1"/>
  <c r="AH655" i="2"/>
  <c r="AC655" i="2"/>
  <c r="AF655" i="2" s="1"/>
  <c r="AH654" i="2"/>
  <c r="AD654" i="2"/>
  <c r="AC654" i="2"/>
  <c r="AD653" i="2"/>
  <c r="AC653" i="2"/>
  <c r="AJ694" i="2"/>
  <c r="AF693" i="2"/>
  <c r="AJ693" i="2" s="1"/>
  <c r="AJ692" i="2"/>
  <c r="AF691" i="2"/>
  <c r="AJ691" i="2" s="1"/>
  <c r="AF690" i="2"/>
  <c r="AJ690" i="2" s="1"/>
  <c r="AF689" i="2"/>
  <c r="AJ689" i="2" s="1"/>
  <c r="AF688" i="2"/>
  <c r="AJ688" i="2" s="1"/>
  <c r="AF687" i="2"/>
  <c r="AJ687" i="2" s="1"/>
  <c r="AF686" i="2"/>
  <c r="AJ686" i="2" s="1"/>
  <c r="AF685" i="2"/>
  <c r="AJ685" i="2" s="1"/>
  <c r="AF684" i="2"/>
  <c r="AJ684" i="2" s="1"/>
  <c r="AF683" i="2"/>
  <c r="AJ683" i="2" s="1"/>
  <c r="AF682" i="2"/>
  <c r="AJ682" i="2" s="1"/>
  <c r="AF681" i="2"/>
  <c r="AJ681" i="2" s="1"/>
  <c r="AF680" i="2"/>
  <c r="AJ680" i="2" s="1"/>
  <c r="AF679" i="2"/>
  <c r="AJ679" i="2" s="1"/>
  <c r="AF678" i="2"/>
  <c r="AJ678" i="2" s="1"/>
  <c r="AF677" i="2"/>
  <c r="AJ677" i="2" s="1"/>
  <c r="AF676" i="2"/>
  <c r="AJ676" i="2" s="1"/>
  <c r="AF675" i="2"/>
  <c r="AJ675" i="2" s="1"/>
  <c r="AF674" i="2"/>
  <c r="AJ674" i="2" s="1"/>
  <c r="AF673" i="2"/>
  <c r="AJ673" i="2" s="1"/>
  <c r="AF672" i="2"/>
  <c r="AJ672" i="2" s="1"/>
  <c r="AF671" i="2"/>
  <c r="AJ671" i="2" s="1"/>
  <c r="AF670" i="2"/>
  <c r="AJ670" i="2" s="1"/>
  <c r="AF669" i="2"/>
  <c r="AJ669" i="2" s="1"/>
  <c r="AF668" i="2"/>
  <c r="AJ668" i="2" s="1"/>
  <c r="AF667" i="2"/>
  <c r="AJ667" i="2" s="1"/>
  <c r="AF666" i="2"/>
  <c r="AJ666" i="2" s="1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B654" i="2"/>
  <c r="AB655" i="2" s="1"/>
  <c r="AB656" i="2" s="1"/>
  <c r="AB657" i="2" s="1"/>
  <c r="AB658" i="2" s="1"/>
  <c r="AB659" i="2" s="1"/>
  <c r="AB660" i="2" s="1"/>
  <c r="AJ751" i="2" l="1"/>
  <c r="X751" i="2"/>
  <c r="T751" i="2"/>
  <c r="H751" i="2"/>
  <c r="L709" i="2"/>
  <c r="L751" i="2" s="1"/>
  <c r="AF654" i="2"/>
  <c r="AD696" i="2"/>
  <c r="AF657" i="2"/>
  <c r="AJ657" i="2" s="1"/>
  <c r="AJ655" i="2"/>
  <c r="AH696" i="2"/>
  <c r="AJ654" i="2"/>
  <c r="AC696" i="2"/>
  <c r="AF653" i="2"/>
  <c r="AC605" i="2"/>
  <c r="AC604" i="2"/>
  <c r="AF604" i="2" s="1"/>
  <c r="AJ604" i="2" s="1"/>
  <c r="AH603" i="2"/>
  <c r="AH641" i="2" s="1"/>
  <c r="AI602" i="2"/>
  <c r="AC602" i="2"/>
  <c r="AF602" i="2" s="1"/>
  <c r="AC601" i="2"/>
  <c r="AD601" i="2"/>
  <c r="AC600" i="2"/>
  <c r="AF600" i="2" s="1"/>
  <c r="AJ600" i="2" s="1"/>
  <c r="AD599" i="2"/>
  <c r="AC599" i="2"/>
  <c r="AF599" i="2" s="1"/>
  <c r="AJ599" i="2" s="1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F634" i="2"/>
  <c r="AJ634" i="2" s="1"/>
  <c r="AF633" i="2"/>
  <c r="AJ633" i="2" s="1"/>
  <c r="AF632" i="2"/>
  <c r="AJ632" i="2" s="1"/>
  <c r="AF631" i="2"/>
  <c r="AJ631" i="2" s="1"/>
  <c r="AF630" i="2"/>
  <c r="AJ630" i="2" s="1"/>
  <c r="AF629" i="2"/>
  <c r="AJ629" i="2" s="1"/>
  <c r="AF628" i="2"/>
  <c r="AJ628" i="2" s="1"/>
  <c r="AF627" i="2"/>
  <c r="AJ627" i="2" s="1"/>
  <c r="AF626" i="2"/>
  <c r="AJ626" i="2" s="1"/>
  <c r="AF625" i="2"/>
  <c r="AJ625" i="2" s="1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F618" i="2"/>
  <c r="AJ618" i="2" s="1"/>
  <c r="AF617" i="2"/>
  <c r="AJ617" i="2" s="1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F610" i="2"/>
  <c r="AJ610" i="2" s="1"/>
  <c r="AF609" i="2"/>
  <c r="AJ609" i="2" s="1"/>
  <c r="AF608" i="2"/>
  <c r="AJ608" i="2" s="1"/>
  <c r="AF607" i="2"/>
  <c r="AJ607" i="2" s="1"/>
  <c r="AF606" i="2"/>
  <c r="AJ606" i="2" s="1"/>
  <c r="AF605" i="2"/>
  <c r="AJ605" i="2" s="1"/>
  <c r="AF603" i="2"/>
  <c r="AB599" i="2"/>
  <c r="AB600" i="2" s="1"/>
  <c r="AB601" i="2" s="1"/>
  <c r="AB602" i="2" s="1"/>
  <c r="AB603" i="2" s="1"/>
  <c r="AB604" i="2" s="1"/>
  <c r="AB605" i="2" s="1"/>
  <c r="W607" i="2"/>
  <c r="V607" i="2"/>
  <c r="R607" i="2"/>
  <c r="Q607" i="2"/>
  <c r="V606" i="2"/>
  <c r="Q606" i="2"/>
  <c r="T606" i="2" s="1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V602" i="2"/>
  <c r="Q602" i="2"/>
  <c r="T602" i="2" s="1"/>
  <c r="X602" i="2" s="1"/>
  <c r="W601" i="2"/>
  <c r="Q601" i="2"/>
  <c r="T601" i="2" s="1"/>
  <c r="W600" i="2"/>
  <c r="V600" i="2"/>
  <c r="R600" i="2"/>
  <c r="R641" i="2" s="1"/>
  <c r="Q600" i="2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T634" i="2"/>
  <c r="X634" i="2" s="1"/>
  <c r="T633" i="2"/>
  <c r="X633" i="2" s="1"/>
  <c r="T632" i="2"/>
  <c r="X632" i="2" s="1"/>
  <c r="T631" i="2"/>
  <c r="X631" i="2" s="1"/>
  <c r="T630" i="2"/>
  <c r="X630" i="2" s="1"/>
  <c r="T629" i="2"/>
  <c r="X629" i="2" s="1"/>
  <c r="T628" i="2"/>
  <c r="X628" i="2" s="1"/>
  <c r="T627" i="2"/>
  <c r="X627" i="2" s="1"/>
  <c r="T626" i="2"/>
  <c r="X626" i="2" s="1"/>
  <c r="T625" i="2"/>
  <c r="X625" i="2" s="1"/>
  <c r="T624" i="2"/>
  <c r="X624" i="2" s="1"/>
  <c r="T623" i="2"/>
  <c r="X623" i="2" s="1"/>
  <c r="T622" i="2"/>
  <c r="X622" i="2" s="1"/>
  <c r="T621" i="2"/>
  <c r="X621" i="2" s="1"/>
  <c r="T620" i="2"/>
  <c r="X620" i="2" s="1"/>
  <c r="T619" i="2"/>
  <c r="X619" i="2" s="1"/>
  <c r="T618" i="2"/>
  <c r="X618" i="2" s="1"/>
  <c r="T617" i="2"/>
  <c r="X617" i="2" s="1"/>
  <c r="T616" i="2"/>
  <c r="X616" i="2" s="1"/>
  <c r="T615" i="2"/>
  <c r="X615" i="2" s="1"/>
  <c r="T614" i="2"/>
  <c r="X614" i="2" s="1"/>
  <c r="T613" i="2"/>
  <c r="X613" i="2" s="1"/>
  <c r="T612" i="2"/>
  <c r="X612" i="2" s="1"/>
  <c r="T611" i="2"/>
  <c r="X611" i="2" s="1"/>
  <c r="T610" i="2"/>
  <c r="X610" i="2" s="1"/>
  <c r="T609" i="2"/>
  <c r="X609" i="2" s="1"/>
  <c r="T608" i="2"/>
  <c r="X608" i="2" s="1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E601" i="2"/>
  <c r="H601" i="2" s="1"/>
  <c r="L601" i="2" s="1"/>
  <c r="J600" i="2"/>
  <c r="E600" i="2"/>
  <c r="H600" i="2" s="1"/>
  <c r="E599" i="2"/>
  <c r="H599" i="2" s="1"/>
  <c r="L599" i="2" s="1"/>
  <c r="H598" i="2"/>
  <c r="G641" i="2"/>
  <c r="L639" i="2"/>
  <c r="H638" i="2"/>
  <c r="L638" i="2" s="1"/>
  <c r="L637" i="2"/>
  <c r="H636" i="2"/>
  <c r="L636" i="2" s="1"/>
  <c r="H635" i="2"/>
  <c r="L635" i="2" s="1"/>
  <c r="H634" i="2"/>
  <c r="L634" i="2" s="1"/>
  <c r="H633" i="2"/>
  <c r="L633" i="2" s="1"/>
  <c r="H632" i="2"/>
  <c r="L632" i="2" s="1"/>
  <c r="H631" i="2"/>
  <c r="L631" i="2" s="1"/>
  <c r="H630" i="2"/>
  <c r="L630" i="2" s="1"/>
  <c r="H629" i="2"/>
  <c r="L629" i="2" s="1"/>
  <c r="H628" i="2"/>
  <c r="L628" i="2" s="1"/>
  <c r="H627" i="2"/>
  <c r="L627" i="2" s="1"/>
  <c r="H626" i="2"/>
  <c r="L626" i="2" s="1"/>
  <c r="H625" i="2"/>
  <c r="L625" i="2" s="1"/>
  <c r="H624" i="2"/>
  <c r="L624" i="2" s="1"/>
  <c r="H623" i="2"/>
  <c r="L623" i="2" s="1"/>
  <c r="H622" i="2"/>
  <c r="L622" i="2" s="1"/>
  <c r="H621" i="2"/>
  <c r="L621" i="2" s="1"/>
  <c r="H620" i="2"/>
  <c r="L620" i="2" s="1"/>
  <c r="H619" i="2"/>
  <c r="L619" i="2" s="1"/>
  <c r="H618" i="2"/>
  <c r="L618" i="2" s="1"/>
  <c r="H617" i="2"/>
  <c r="L617" i="2" s="1"/>
  <c r="H616" i="2"/>
  <c r="L616" i="2" s="1"/>
  <c r="H615" i="2"/>
  <c r="L615" i="2" s="1"/>
  <c r="H614" i="2"/>
  <c r="L614" i="2" s="1"/>
  <c r="H613" i="2"/>
  <c r="L613" i="2" s="1"/>
  <c r="H612" i="2"/>
  <c r="L612" i="2" s="1"/>
  <c r="H611" i="2"/>
  <c r="L611" i="2" s="1"/>
  <c r="H610" i="2"/>
  <c r="L610" i="2" s="1"/>
  <c r="H609" i="2"/>
  <c r="L60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L602" i="2" l="1"/>
  <c r="AJ602" i="2"/>
  <c r="AJ653" i="2"/>
  <c r="AI696" i="2" s="1"/>
  <c r="AE696" i="2"/>
  <c r="W641" i="2"/>
  <c r="AI641" i="2"/>
  <c r="X601" i="2"/>
  <c r="AJ603" i="2"/>
  <c r="X603" i="2"/>
  <c r="L600" i="2"/>
  <c r="T600" i="2"/>
  <c r="X600" i="2" s="1"/>
  <c r="T607" i="2"/>
  <c r="X607" i="2" s="1"/>
  <c r="J641" i="2"/>
  <c r="AF696" i="2"/>
  <c r="AD641" i="2"/>
  <c r="AF601" i="2"/>
  <c r="AJ601" i="2" s="1"/>
  <c r="AJ598" i="2"/>
  <c r="AC641" i="2"/>
  <c r="X606" i="2"/>
  <c r="V641" i="2"/>
  <c r="Q641" i="2"/>
  <c r="T598" i="2"/>
  <c r="K641" i="2"/>
  <c r="H608" i="2"/>
  <c r="L608" i="2" s="1"/>
  <c r="E641" i="2"/>
  <c r="L598" i="2"/>
  <c r="AC548" i="2"/>
  <c r="AF548" i="2" s="1"/>
  <c r="AJ548" i="2" s="1"/>
  <c r="AC547" i="2"/>
  <c r="AF547" i="2" s="1"/>
  <c r="AJ547" i="2" s="1"/>
  <c r="AC546" i="2"/>
  <c r="AF546" i="2" s="1"/>
  <c r="AJ546" i="2" s="1"/>
  <c r="AC545" i="2"/>
  <c r="AF545" i="2" s="1"/>
  <c r="AI544" i="2"/>
  <c r="AH544" i="2"/>
  <c r="AD544" i="2"/>
  <c r="AC544" i="2"/>
  <c r="AI543" i="2"/>
  <c r="AH543" i="2"/>
  <c r="AD543" i="2"/>
  <c r="AC543" i="2"/>
  <c r="AB544" i="2"/>
  <c r="AB545" i="2" s="1"/>
  <c r="AB546" i="2" s="1"/>
  <c r="AB547" i="2" s="1"/>
  <c r="AB548" i="2" s="1"/>
  <c r="AF549" i="2"/>
  <c r="AJ549" i="2" s="1"/>
  <c r="AF550" i="2"/>
  <c r="AJ550" i="2" s="1"/>
  <c r="AF551" i="2"/>
  <c r="AJ551" i="2" s="1"/>
  <c r="AF552" i="2"/>
  <c r="AJ552" i="2" s="1"/>
  <c r="AF553" i="2"/>
  <c r="AJ553" i="2" s="1"/>
  <c r="AF554" i="2"/>
  <c r="AJ554" i="2" s="1"/>
  <c r="AF555" i="2"/>
  <c r="AJ555" i="2"/>
  <c r="AF556" i="2"/>
  <c r="AJ556" i="2" s="1"/>
  <c r="AF557" i="2"/>
  <c r="AJ557" i="2" s="1"/>
  <c r="AF558" i="2"/>
  <c r="AJ558" i="2"/>
  <c r="AF559" i="2"/>
  <c r="AJ559" i="2" s="1"/>
  <c r="AF560" i="2"/>
  <c r="AJ560" i="2" s="1"/>
  <c r="AF561" i="2"/>
  <c r="AJ561" i="2" s="1"/>
  <c r="AF562" i="2"/>
  <c r="AJ562" i="2" s="1"/>
  <c r="AF563" i="2"/>
  <c r="AJ563" i="2" s="1"/>
  <c r="AF564" i="2"/>
  <c r="AJ564" i="2" s="1"/>
  <c r="AF565" i="2"/>
  <c r="AJ565" i="2" s="1"/>
  <c r="AF566" i="2"/>
  <c r="AJ566" i="2"/>
  <c r="AF567" i="2"/>
  <c r="AJ567" i="2" s="1"/>
  <c r="AF568" i="2"/>
  <c r="AJ568" i="2" s="1"/>
  <c r="AF569" i="2"/>
  <c r="AJ569" i="2" s="1"/>
  <c r="AF570" i="2"/>
  <c r="AJ570" i="2"/>
  <c r="AF571" i="2"/>
  <c r="AJ571" i="2" s="1"/>
  <c r="AF572" i="2"/>
  <c r="AJ572" i="2" s="1"/>
  <c r="AF573" i="2"/>
  <c r="AJ573" i="2" s="1"/>
  <c r="AF574" i="2"/>
  <c r="AJ574" i="2" s="1"/>
  <c r="AF575" i="2"/>
  <c r="AJ575" i="2" s="1"/>
  <c r="AF576" i="2"/>
  <c r="AJ576" i="2" s="1"/>
  <c r="AF577" i="2"/>
  <c r="AJ577" i="2" s="1"/>
  <c r="AF578" i="2"/>
  <c r="AJ578" i="2" s="1"/>
  <c r="AF579" i="2"/>
  <c r="AJ579" i="2"/>
  <c r="AF580" i="2"/>
  <c r="AJ580" i="2" s="1"/>
  <c r="AF581" i="2"/>
  <c r="AJ581" i="2" s="1"/>
  <c r="AJ582" i="2"/>
  <c r="AF583" i="2"/>
  <c r="AJ583" i="2" s="1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V549" i="2"/>
  <c r="R549" i="2"/>
  <c r="Q549" i="2"/>
  <c r="Q548" i="2"/>
  <c r="T548" i="2" s="1"/>
  <c r="X548" i="2" s="1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4" i="2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T546" i="2"/>
  <c r="X546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/>
  <c r="T574" i="2"/>
  <c r="X574" i="2" s="1"/>
  <c r="T575" i="2"/>
  <c r="X575" i="2" s="1"/>
  <c r="T576" i="2"/>
  <c r="X576" i="2"/>
  <c r="T577" i="2"/>
  <c r="X577" i="2" s="1"/>
  <c r="T578" i="2"/>
  <c r="X578" i="2" s="1"/>
  <c r="T579" i="2"/>
  <c r="X579" i="2"/>
  <c r="T580" i="2"/>
  <c r="X580" i="2" s="1"/>
  <c r="T581" i="2"/>
  <c r="X581" i="2" s="1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H550" i="2" s="1"/>
  <c r="L550" i="2" s="1"/>
  <c r="E549" i="2"/>
  <c r="H549" i="2" s="1"/>
  <c r="L549" i="2" s="1"/>
  <c r="E548" i="2"/>
  <c r="H548" i="2" s="1"/>
  <c r="L548" i="2" s="1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54" i="2"/>
  <c r="L554" i="2" s="1"/>
  <c r="H555" i="2"/>
  <c r="L555" i="2" s="1"/>
  <c r="H556" i="2"/>
  <c r="L556" i="2" s="1"/>
  <c r="H557" i="2"/>
  <c r="L557" i="2" s="1"/>
  <c r="H558" i="2"/>
  <c r="L558" i="2"/>
  <c r="H559" i="2"/>
  <c r="L559" i="2" s="1"/>
  <c r="H560" i="2"/>
  <c r="L560" i="2" s="1"/>
  <c r="H561" i="2"/>
  <c r="L561" i="2" s="1"/>
  <c r="H562" i="2"/>
  <c r="L562" i="2" s="1"/>
  <c r="H563" i="2"/>
  <c r="L563" i="2" s="1"/>
  <c r="H564" i="2"/>
  <c r="L564" i="2" s="1"/>
  <c r="H565" i="2"/>
  <c r="L565" i="2" s="1"/>
  <c r="H566" i="2"/>
  <c r="L566" i="2"/>
  <c r="H567" i="2"/>
  <c r="L567" i="2" s="1"/>
  <c r="H568" i="2"/>
  <c r="L568" i="2" s="1"/>
  <c r="H569" i="2"/>
  <c r="L569" i="2" s="1"/>
  <c r="H570" i="2"/>
  <c r="L570" i="2" s="1"/>
  <c r="H571" i="2"/>
  <c r="L571" i="2" s="1"/>
  <c r="H572" i="2"/>
  <c r="L572" i="2" s="1"/>
  <c r="H573" i="2"/>
  <c r="L573" i="2" s="1"/>
  <c r="H574" i="2"/>
  <c r="L574" i="2" s="1"/>
  <c r="H575" i="2"/>
  <c r="L575" i="2" s="1"/>
  <c r="H576" i="2"/>
  <c r="L576" i="2" s="1"/>
  <c r="H577" i="2"/>
  <c r="L577" i="2" s="1"/>
  <c r="H578" i="2"/>
  <c r="L578" i="2" s="1"/>
  <c r="H579" i="2"/>
  <c r="L579" i="2" s="1"/>
  <c r="H580" i="2"/>
  <c r="L580" i="2" s="1"/>
  <c r="H581" i="2"/>
  <c r="L581" i="2"/>
  <c r="L582" i="2"/>
  <c r="H583" i="2"/>
  <c r="L583" i="2" s="1"/>
  <c r="L584" i="2"/>
  <c r="F586" i="2"/>
  <c r="G586" i="2"/>
  <c r="J586" i="2"/>
  <c r="AJ696" i="2" l="1"/>
  <c r="AD586" i="2"/>
  <c r="AF641" i="2"/>
  <c r="T553" i="2"/>
  <c r="X553" i="2" s="1"/>
  <c r="AH586" i="2"/>
  <c r="AF544" i="2"/>
  <c r="AJ544" i="2" s="1"/>
  <c r="AI586" i="2"/>
  <c r="R586" i="2"/>
  <c r="X550" i="2"/>
  <c r="L641" i="2"/>
  <c r="V586" i="2"/>
  <c r="H641" i="2"/>
  <c r="AF543" i="2"/>
  <c r="AJ543" i="2" s="1"/>
  <c r="AJ641" i="2"/>
  <c r="X598" i="2"/>
  <c r="X641" i="2" s="1"/>
  <c r="T641" i="2"/>
  <c r="AC586" i="2"/>
  <c r="AJ545" i="2"/>
  <c r="T549" i="2"/>
  <c r="X549" i="2" s="1"/>
  <c r="X543" i="2"/>
  <c r="X545" i="2"/>
  <c r="Q586" i="2"/>
  <c r="E586" i="2"/>
  <c r="H586" i="2"/>
  <c r="L546" i="2"/>
  <c r="L586" i="2" s="1"/>
  <c r="W434" i="2"/>
  <c r="AF586" i="2" l="1"/>
  <c r="AJ586" i="2"/>
  <c r="T586" i="2"/>
  <c r="X586" i="2"/>
  <c r="AD499" i="2"/>
  <c r="AC499" i="2"/>
  <c r="AD498" i="2"/>
  <c r="AC498" i="2"/>
  <c r="AC497" i="2"/>
  <c r="AF497" i="2" s="1"/>
  <c r="AJ497" i="2" s="1"/>
  <c r="AH496" i="2"/>
  <c r="AC496" i="2"/>
  <c r="AF496" i="2" s="1"/>
  <c r="AH495" i="2"/>
  <c r="AC495" i="2"/>
  <c r="AF495" i="2" s="1"/>
  <c r="AJ495" i="2" s="1"/>
  <c r="AC494" i="2"/>
  <c r="AF494" i="2" s="1"/>
  <c r="AJ494" i="2" s="1"/>
  <c r="AC493" i="2"/>
  <c r="AF493" i="2" s="1"/>
  <c r="AJ493" i="2" s="1"/>
  <c r="AC492" i="2"/>
  <c r="AF492" i="2" s="1"/>
  <c r="AJ492" i="2" s="1"/>
  <c r="AC491" i="2"/>
  <c r="AF491" i="2" s="1"/>
  <c r="AJ491" i="2" s="1"/>
  <c r="AH490" i="2"/>
  <c r="AC490" i="2"/>
  <c r="AC489" i="2"/>
  <c r="AF489" i="2" s="1"/>
  <c r="AC488" i="2"/>
  <c r="AF488" i="2" s="1"/>
  <c r="AJ488" i="2" s="1"/>
  <c r="AB489" i="2"/>
  <c r="AB490" i="2" s="1"/>
  <c r="AB491" i="2" s="1"/>
  <c r="AB492" i="2" s="1"/>
  <c r="AB494" i="2" s="1"/>
  <c r="AB495" i="2" s="1"/>
  <c r="AB496" i="2" s="1"/>
  <c r="AB497" i="2" s="1"/>
  <c r="AB498" i="2" s="1"/>
  <c r="AF500" i="2"/>
  <c r="AJ500" i="2" s="1"/>
  <c r="AF501" i="2"/>
  <c r="AJ501" i="2" s="1"/>
  <c r="AF502" i="2"/>
  <c r="AJ502" i="2" s="1"/>
  <c r="AF503" i="2"/>
  <c r="AJ503" i="2"/>
  <c r="AF504" i="2"/>
  <c r="AJ504" i="2" s="1"/>
  <c r="AF505" i="2"/>
  <c r="AJ505" i="2" s="1"/>
  <c r="AF506" i="2"/>
  <c r="AJ506" i="2" s="1"/>
  <c r="AF507" i="2"/>
  <c r="AJ507" i="2" s="1"/>
  <c r="AF508" i="2"/>
  <c r="AJ508" i="2" s="1"/>
  <c r="AF509" i="2"/>
  <c r="AJ509" i="2" s="1"/>
  <c r="AF510" i="2"/>
  <c r="AJ510" i="2" s="1"/>
  <c r="AF511" i="2"/>
  <c r="AJ511" i="2" s="1"/>
  <c r="AF512" i="2"/>
  <c r="AJ512" i="2" s="1"/>
  <c r="AF513" i="2"/>
  <c r="AJ513" i="2"/>
  <c r="AF514" i="2"/>
  <c r="AJ514" i="2"/>
  <c r="AF515" i="2"/>
  <c r="AJ515" i="2" s="1"/>
  <c r="AF516" i="2"/>
  <c r="AJ516" i="2"/>
  <c r="AF517" i="2"/>
  <c r="AJ517" i="2" s="1"/>
  <c r="AF518" i="2"/>
  <c r="AJ518" i="2" s="1"/>
  <c r="AF519" i="2"/>
  <c r="AJ519" i="2" s="1"/>
  <c r="AF520" i="2"/>
  <c r="AJ520" i="2" s="1"/>
  <c r="AF521" i="2"/>
  <c r="AJ521" i="2"/>
  <c r="AF522" i="2"/>
  <c r="AJ522" i="2"/>
  <c r="AF523" i="2"/>
  <c r="AJ523" i="2" s="1"/>
  <c r="AF524" i="2"/>
  <c r="AJ524" i="2" s="1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T493" i="2" s="1"/>
  <c r="X493" i="2" s="1"/>
  <c r="V492" i="2"/>
  <c r="Q492" i="2"/>
  <c r="T492" i="2" s="1"/>
  <c r="Q491" i="2"/>
  <c r="T491" i="2" s="1"/>
  <c r="X491" i="2" s="1"/>
  <c r="V490" i="2"/>
  <c r="Q490" i="2"/>
  <c r="T490" i="2" s="1"/>
  <c r="W489" i="2"/>
  <c r="W531" i="2" s="1"/>
  <c r="V489" i="2"/>
  <c r="R489" i="2"/>
  <c r="Q489" i="2"/>
  <c r="Q488" i="2"/>
  <c r="T488" i="2" s="1"/>
  <c r="X488" i="2" s="1"/>
  <c r="P489" i="2"/>
  <c r="P490" i="2" s="1"/>
  <c r="P491" i="2" s="1"/>
  <c r="P493" i="2" s="1"/>
  <c r="P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/>
  <c r="T501" i="2"/>
  <c r="X501" i="2" s="1"/>
  <c r="T502" i="2"/>
  <c r="X502" i="2" s="1"/>
  <c r="T503" i="2"/>
  <c r="X503" i="2" s="1"/>
  <c r="T504" i="2"/>
  <c r="X504" i="2"/>
  <c r="T505" i="2"/>
  <c r="X505" i="2" s="1"/>
  <c r="T506" i="2"/>
  <c r="X506" i="2" s="1"/>
  <c r="T507" i="2"/>
  <c r="X507" i="2" s="1"/>
  <c r="T508" i="2"/>
  <c r="X508" i="2"/>
  <c r="T509" i="2"/>
  <c r="X509" i="2" s="1"/>
  <c r="T510" i="2"/>
  <c r="X510" i="2" s="1"/>
  <c r="T511" i="2"/>
  <c r="X511" i="2" s="1"/>
  <c r="T512" i="2"/>
  <c r="X512" i="2" s="1"/>
  <c r="T513" i="2"/>
  <c r="X513" i="2"/>
  <c r="T514" i="2"/>
  <c r="X514" i="2" s="1"/>
  <c r="T515" i="2"/>
  <c r="X515" i="2"/>
  <c r="T516" i="2"/>
  <c r="X516" i="2" s="1"/>
  <c r="T517" i="2"/>
  <c r="X517" i="2" s="1"/>
  <c r="T518" i="2"/>
  <c r="X518" i="2" s="1"/>
  <c r="T519" i="2"/>
  <c r="X519" i="2" s="1"/>
  <c r="T520" i="2"/>
  <c r="X520" i="2" s="1"/>
  <c r="T521" i="2"/>
  <c r="X521" i="2"/>
  <c r="T522" i="2"/>
  <c r="X522" i="2" s="1"/>
  <c r="T523" i="2"/>
  <c r="X523" i="2" s="1"/>
  <c r="T524" i="2"/>
  <c r="X524" i="2" s="1"/>
  <c r="T525" i="2"/>
  <c r="X525" i="2" s="1"/>
  <c r="T526" i="2"/>
  <c r="X526" i="2"/>
  <c r="X527" i="2"/>
  <c r="T528" i="2"/>
  <c r="X528" i="2"/>
  <c r="X529" i="2"/>
  <c r="S531" i="2"/>
  <c r="E492" i="2"/>
  <c r="H492" i="2" s="1"/>
  <c r="L492" i="2" s="1"/>
  <c r="K491" i="2"/>
  <c r="K531" i="2" s="1"/>
  <c r="E491" i="2"/>
  <c r="H491" i="2" s="1"/>
  <c r="E490" i="2"/>
  <c r="H490" i="2" s="1"/>
  <c r="L490" i="2" s="1"/>
  <c r="F489" i="2"/>
  <c r="E489" i="2"/>
  <c r="E488" i="2"/>
  <c r="H488" i="2" s="1"/>
  <c r="L488" i="2" s="1"/>
  <c r="D490" i="2"/>
  <c r="D491" i="2" s="1"/>
  <c r="D492" i="2" s="1"/>
  <c r="J531" i="2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 s="1"/>
  <c r="H499" i="2"/>
  <c r="L499" i="2" s="1"/>
  <c r="H500" i="2"/>
  <c r="L500" i="2"/>
  <c r="H501" i="2"/>
  <c r="L501" i="2" s="1"/>
  <c r="H502" i="2"/>
  <c r="L502" i="2" s="1"/>
  <c r="H503" i="2"/>
  <c r="L503" i="2" s="1"/>
  <c r="H504" i="2"/>
  <c r="L504" i="2" s="1"/>
  <c r="H505" i="2"/>
  <c r="L505" i="2" s="1"/>
  <c r="H506" i="2"/>
  <c r="L506" i="2" s="1"/>
  <c r="H507" i="2"/>
  <c r="L507" i="2" s="1"/>
  <c r="H508" i="2"/>
  <c r="L508" i="2" s="1"/>
  <c r="H509" i="2"/>
  <c r="L509" i="2" s="1"/>
  <c r="H510" i="2"/>
  <c r="L510" i="2" s="1"/>
  <c r="H511" i="2"/>
  <c r="L511" i="2" s="1"/>
  <c r="H512" i="2"/>
  <c r="L512" i="2" s="1"/>
  <c r="H513" i="2"/>
  <c r="L513" i="2" s="1"/>
  <c r="H514" i="2"/>
  <c r="L514" i="2"/>
  <c r="H515" i="2"/>
  <c r="L515" i="2" s="1"/>
  <c r="H516" i="2"/>
  <c r="L516" i="2"/>
  <c r="H517" i="2"/>
  <c r="L517" i="2" s="1"/>
  <c r="H518" i="2"/>
  <c r="L518" i="2" s="1"/>
  <c r="H519" i="2"/>
  <c r="L519" i="2" s="1"/>
  <c r="H520" i="2"/>
  <c r="L520" i="2" s="1"/>
  <c r="H521" i="2"/>
  <c r="L521" i="2" s="1"/>
  <c r="H522" i="2"/>
  <c r="L522" i="2" s="1"/>
  <c r="H523" i="2"/>
  <c r="L523" i="2" s="1"/>
  <c r="H524" i="2"/>
  <c r="L524" i="2" s="1"/>
  <c r="H525" i="2"/>
  <c r="L525" i="2" s="1"/>
  <c r="H526" i="2"/>
  <c r="L526" i="2" s="1"/>
  <c r="L527" i="2"/>
  <c r="H528" i="2"/>
  <c r="L528" i="2"/>
  <c r="L529" i="2"/>
  <c r="G531" i="2"/>
  <c r="AF498" i="2" l="1"/>
  <c r="AJ498" i="2" s="1"/>
  <c r="T489" i="2"/>
  <c r="X489" i="2" s="1"/>
  <c r="AH531" i="2"/>
  <c r="V531" i="2"/>
  <c r="H489" i="2"/>
  <c r="L489" i="2" s="1"/>
  <c r="AD531" i="2"/>
  <c r="X492" i="2"/>
  <c r="AF499" i="2"/>
  <c r="AJ499" i="2" s="1"/>
  <c r="AJ496" i="2"/>
  <c r="AC531" i="2"/>
  <c r="AJ489" i="2"/>
  <c r="AF490" i="2"/>
  <c r="AJ490" i="2" s="1"/>
  <c r="R531" i="2"/>
  <c r="X490" i="2"/>
  <c r="T531" i="2"/>
  <c r="Q531" i="2"/>
  <c r="L491" i="2"/>
  <c r="F531" i="2"/>
  <c r="E531" i="2"/>
  <c r="AI441" i="2"/>
  <c r="AC441" i="2"/>
  <c r="AF441" i="2" s="1"/>
  <c r="AD440" i="2"/>
  <c r="AD476" i="2" s="1"/>
  <c r="AC440" i="2"/>
  <c r="AC439" i="2"/>
  <c r="AF439" i="2" s="1"/>
  <c r="AJ439" i="2" s="1"/>
  <c r="AC438" i="2"/>
  <c r="AF438" i="2" s="1"/>
  <c r="AJ438" i="2" s="1"/>
  <c r="AI437" i="2"/>
  <c r="AI476" i="2" s="1"/>
  <c r="AH437" i="2"/>
  <c r="AH476" i="2" s="1"/>
  <c r="AC437" i="2"/>
  <c r="AF437" i="2" s="1"/>
  <c r="AJ437" i="2" s="1"/>
  <c r="AC436" i="2"/>
  <c r="AF436" i="2" s="1"/>
  <c r="AJ436" i="2" s="1"/>
  <c r="AC435" i="2"/>
  <c r="AF435" i="2" s="1"/>
  <c r="AJ435" i="2" s="1"/>
  <c r="AC434" i="2"/>
  <c r="AC433" i="2"/>
  <c r="AF433" i="2" s="1"/>
  <c r="AJ433" i="2" s="1"/>
  <c r="AB434" i="2"/>
  <c r="AB435" i="2"/>
  <c r="AB436" i="2" s="1"/>
  <c r="AB437" i="2" s="1"/>
  <c r="AB438" i="2" s="1"/>
  <c r="AB439" i="2" s="1"/>
  <c r="AB440" i="2" s="1"/>
  <c r="AB441" i="2" s="1"/>
  <c r="AF442" i="2"/>
  <c r="AJ442" i="2" s="1"/>
  <c r="AF443" i="2"/>
  <c r="AJ443" i="2"/>
  <c r="AF444" i="2"/>
  <c r="AJ444" i="2" s="1"/>
  <c r="AF445" i="2"/>
  <c r="AJ445" i="2" s="1"/>
  <c r="AF446" i="2"/>
  <c r="AJ446" i="2"/>
  <c r="AF447" i="2"/>
  <c r="AJ447" i="2" s="1"/>
  <c r="AF448" i="2"/>
  <c r="AJ448" i="2" s="1"/>
  <c r="AF449" i="2"/>
  <c r="AJ449" i="2"/>
  <c r="AF450" i="2"/>
  <c r="AJ450" i="2" s="1"/>
  <c r="AF451" i="2"/>
  <c r="AJ451" i="2" s="1"/>
  <c r="AF452" i="2"/>
  <c r="AJ452" i="2" s="1"/>
  <c r="AF453" i="2"/>
  <c r="AJ453" i="2" s="1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 s="1"/>
  <c r="AF462" i="2"/>
  <c r="AJ462" i="2" s="1"/>
  <c r="AF463" i="2"/>
  <c r="AJ463" i="2" s="1"/>
  <c r="AF464" i="2"/>
  <c r="AJ464" i="2" s="1"/>
  <c r="AF465" i="2"/>
  <c r="AJ465" i="2"/>
  <c r="AF466" i="2"/>
  <c r="AJ466" i="2" s="1"/>
  <c r="AF467" i="2"/>
  <c r="AJ467" i="2" s="1"/>
  <c r="AF468" i="2"/>
  <c r="AJ468" i="2"/>
  <c r="AF469" i="2"/>
  <c r="AJ469" i="2" s="1"/>
  <c r="AF470" i="2"/>
  <c r="AJ470" i="2" s="1"/>
  <c r="AF471" i="2"/>
  <c r="AJ471" i="2" s="1"/>
  <c r="AJ472" i="2"/>
  <c r="AF473" i="2"/>
  <c r="AJ473" i="2" s="1"/>
  <c r="AJ474" i="2"/>
  <c r="AE476" i="2"/>
  <c r="W441" i="2"/>
  <c r="Q441" i="2"/>
  <c r="T441" i="2" s="1"/>
  <c r="Q440" i="2"/>
  <c r="T440" i="2" s="1"/>
  <c r="X440" i="2" s="1"/>
  <c r="V439" i="2"/>
  <c r="Q439" i="2"/>
  <c r="T439" i="2" s="1"/>
  <c r="X439" i="2" s="1"/>
  <c r="W438" i="2"/>
  <c r="R438" i="2"/>
  <c r="Q438" i="2"/>
  <c r="W437" i="2"/>
  <c r="Q437" i="2"/>
  <c r="T437" i="2" s="1"/>
  <c r="X437" i="2" s="1"/>
  <c r="Q436" i="2"/>
  <c r="T436" i="2" s="1"/>
  <c r="X436" i="2" s="1"/>
  <c r="V435" i="2"/>
  <c r="Q435" i="2"/>
  <c r="T435" i="2" s="1"/>
  <c r="V434" i="2"/>
  <c r="Q434" i="2"/>
  <c r="T434" i="2" s="1"/>
  <c r="V433" i="2"/>
  <c r="R433" i="2"/>
  <c r="Q433" i="2"/>
  <c r="P434" i="2"/>
  <c r="P435" i="2" s="1"/>
  <c r="P436" i="2" s="1"/>
  <c r="P437" i="2" s="1"/>
  <c r="P438" i="2" s="1"/>
  <c r="P439" i="2" s="1"/>
  <c r="P440" i="2" s="1"/>
  <c r="P441" i="2" s="1"/>
  <c r="T442" i="2"/>
  <c r="X442" i="2" s="1"/>
  <c r="T443" i="2"/>
  <c r="X443" i="2" s="1"/>
  <c r="T444" i="2"/>
  <c r="X444" i="2" s="1"/>
  <c r="T445" i="2"/>
  <c r="X445" i="2" s="1"/>
  <c r="T446" i="2"/>
  <c r="X446" i="2"/>
  <c r="T447" i="2"/>
  <c r="X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/>
  <c r="T458" i="2"/>
  <c r="X458" i="2" s="1"/>
  <c r="T459" i="2"/>
  <c r="X459" i="2" s="1"/>
  <c r="T460" i="2"/>
  <c r="X460" i="2"/>
  <c r="T461" i="2"/>
  <c r="X461" i="2"/>
  <c r="T462" i="2"/>
  <c r="X462" i="2" s="1"/>
  <c r="T463" i="2"/>
  <c r="X463" i="2"/>
  <c r="T464" i="2"/>
  <c r="X464" i="2"/>
  <c r="T465" i="2"/>
  <c r="X465" i="2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X472" i="2"/>
  <c r="T473" i="2"/>
  <c r="X473" i="2" s="1"/>
  <c r="X474" i="2"/>
  <c r="S476" i="2"/>
  <c r="E440" i="2"/>
  <c r="H440" i="2" s="1"/>
  <c r="L440" i="2" s="1"/>
  <c r="J439" i="2"/>
  <c r="E439" i="2"/>
  <c r="H439" i="2" s="1"/>
  <c r="L439" i="2" s="1"/>
  <c r="E438" i="2"/>
  <c r="H438" i="2" s="1"/>
  <c r="L438" i="2" s="1"/>
  <c r="J437" i="2"/>
  <c r="E437" i="2"/>
  <c r="H437" i="2" s="1"/>
  <c r="E436" i="2"/>
  <c r="H436" i="2" s="1"/>
  <c r="L436" i="2" s="1"/>
  <c r="J435" i="2"/>
  <c r="E435" i="2"/>
  <c r="H435" i="2" s="1"/>
  <c r="E434" i="2"/>
  <c r="H434" i="2" s="1"/>
  <c r="L434" i="2" s="1"/>
  <c r="E433" i="2"/>
  <c r="H433" i="2" s="1"/>
  <c r="D434" i="2"/>
  <c r="D435" i="2"/>
  <c r="D436" i="2" s="1"/>
  <c r="D437" i="2" s="1"/>
  <c r="D438" i="2" s="1"/>
  <c r="D439" i="2" s="1"/>
  <c r="D440" i="2" s="1"/>
  <c r="F476" i="2"/>
  <c r="K476" i="2"/>
  <c r="H441" i="2"/>
  <c r="L441" i="2"/>
  <c r="H442" i="2"/>
  <c r="L442" i="2" s="1"/>
  <c r="H443" i="2"/>
  <c r="L443" i="2" s="1"/>
  <c r="H444" i="2"/>
  <c r="L444" i="2" s="1"/>
  <c r="H445" i="2"/>
  <c r="L445" i="2" s="1"/>
  <c r="H446" i="2"/>
  <c r="L446" i="2" s="1"/>
  <c r="H447" i="2"/>
  <c r="L447" i="2" s="1"/>
  <c r="H448" i="2"/>
  <c r="L448" i="2" s="1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 s="1"/>
  <c r="H457" i="2"/>
  <c r="L457" i="2"/>
  <c r="H458" i="2"/>
  <c r="L458" i="2" s="1"/>
  <c r="H459" i="2"/>
  <c r="L459" i="2" s="1"/>
  <c r="H460" i="2"/>
  <c r="L460" i="2" s="1"/>
  <c r="H461" i="2"/>
  <c r="L461" i="2" s="1"/>
  <c r="H462" i="2"/>
  <c r="L462" i="2" s="1"/>
  <c r="H463" i="2"/>
  <c r="L463" i="2"/>
  <c r="H464" i="2"/>
  <c r="L464" i="2" s="1"/>
  <c r="H465" i="2"/>
  <c r="L465" i="2" s="1"/>
  <c r="H466" i="2"/>
  <c r="L466" i="2" s="1"/>
  <c r="H467" i="2"/>
  <c r="L467" i="2" s="1"/>
  <c r="H468" i="2"/>
  <c r="L468" i="2" s="1"/>
  <c r="H469" i="2"/>
  <c r="L469" i="2" s="1"/>
  <c r="H470" i="2"/>
  <c r="L470" i="2" s="1"/>
  <c r="H471" i="2"/>
  <c r="L471" i="2" s="1"/>
  <c r="L472" i="2"/>
  <c r="H473" i="2"/>
  <c r="L473" i="2" s="1"/>
  <c r="L474" i="2"/>
  <c r="G476" i="2"/>
  <c r="L437" i="2" l="1"/>
  <c r="X531" i="2"/>
  <c r="T433" i="2"/>
  <c r="J476" i="2"/>
  <c r="X441" i="2"/>
  <c r="AF440" i="2"/>
  <c r="AJ440" i="2" s="1"/>
  <c r="T438" i="2"/>
  <c r="X438" i="2" s="1"/>
  <c r="W476" i="2"/>
  <c r="AJ441" i="2"/>
  <c r="H531" i="2"/>
  <c r="AJ531" i="2"/>
  <c r="AF531" i="2"/>
  <c r="L531" i="2"/>
  <c r="AC476" i="2"/>
  <c r="AF434" i="2"/>
  <c r="R476" i="2"/>
  <c r="X435" i="2"/>
  <c r="V476" i="2"/>
  <c r="X434" i="2"/>
  <c r="X433" i="2"/>
  <c r="Q476" i="2"/>
  <c r="L435" i="2"/>
  <c r="H476" i="2"/>
  <c r="L433" i="2"/>
  <c r="E476" i="2"/>
  <c r="AI384" i="2"/>
  <c r="AC384" i="2"/>
  <c r="AF384" i="2" s="1"/>
  <c r="AI383" i="2"/>
  <c r="AD383" i="2"/>
  <c r="AC383" i="2"/>
  <c r="AF383" i="2" s="1"/>
  <c r="AC382" i="2"/>
  <c r="AF382" i="2" s="1"/>
  <c r="AJ382" i="2" s="1"/>
  <c r="AD381" i="2"/>
  <c r="AC381" i="2"/>
  <c r="AC380" i="2"/>
  <c r="AF380" i="2" s="1"/>
  <c r="AJ380" i="2" s="1"/>
  <c r="AD379" i="2"/>
  <c r="AC379" i="2"/>
  <c r="AI379" i="2"/>
  <c r="AD378" i="2"/>
  <c r="AC378" i="2"/>
  <c r="AB379" i="2"/>
  <c r="AB380" i="2" s="1"/>
  <c r="AB381" i="2" s="1"/>
  <c r="AB382" i="2" s="1"/>
  <c r="AB383" i="2" s="1"/>
  <c r="AB384" i="2" s="1"/>
  <c r="AF385" i="2"/>
  <c r="AJ385" i="2" s="1"/>
  <c r="AF386" i="2"/>
  <c r="AJ386" i="2" s="1"/>
  <c r="AF387" i="2"/>
  <c r="AJ387" i="2" s="1"/>
  <c r="AF388" i="2"/>
  <c r="AJ388" i="2" s="1"/>
  <c r="AF389" i="2"/>
  <c r="AJ389" i="2" s="1"/>
  <c r="AF390" i="2"/>
  <c r="AJ390" i="2" s="1"/>
  <c r="AF391" i="2"/>
  <c r="AJ391" i="2" s="1"/>
  <c r="AF392" i="2"/>
  <c r="AJ392" i="2" s="1"/>
  <c r="AF393" i="2"/>
  <c r="AJ393" i="2" s="1"/>
  <c r="AF394" i="2"/>
  <c r="AJ394" i="2" s="1"/>
  <c r="AF395" i="2"/>
  <c r="AJ395" i="2" s="1"/>
  <c r="AF396" i="2"/>
  <c r="AJ396" i="2" s="1"/>
  <c r="AF397" i="2"/>
  <c r="AJ397" i="2" s="1"/>
  <c r="AF398" i="2"/>
  <c r="AJ398" i="2" s="1"/>
  <c r="AF399" i="2"/>
  <c r="AJ399" i="2" s="1"/>
  <c r="AF400" i="2"/>
  <c r="AJ400" i="2" s="1"/>
  <c r="AF401" i="2"/>
  <c r="AJ401" i="2"/>
  <c r="AF402" i="2"/>
  <c r="AJ402" i="2"/>
  <c r="AF403" i="2"/>
  <c r="AJ403" i="2" s="1"/>
  <c r="AF404" i="2"/>
  <c r="AJ404" i="2" s="1"/>
  <c r="AF405" i="2"/>
  <c r="AJ405" i="2" s="1"/>
  <c r="AF406" i="2"/>
  <c r="AJ406" i="2" s="1"/>
  <c r="AF407" i="2"/>
  <c r="AJ407" i="2" s="1"/>
  <c r="AF408" i="2"/>
  <c r="AJ408" i="2" s="1"/>
  <c r="AF409" i="2"/>
  <c r="AJ409" i="2" s="1"/>
  <c r="AF410" i="2"/>
  <c r="AJ410" i="2" s="1"/>
  <c r="AF411" i="2"/>
  <c r="AJ411" i="2"/>
  <c r="AF412" i="2"/>
  <c r="AJ412" i="2" s="1"/>
  <c r="AF413" i="2"/>
  <c r="AJ413" i="2" s="1"/>
  <c r="AF414" i="2"/>
  <c r="AJ414" i="2" s="1"/>
  <c r="AF415" i="2"/>
  <c r="AJ415" i="2"/>
  <c r="AF416" i="2"/>
  <c r="AJ416" i="2" s="1"/>
  <c r="AJ417" i="2"/>
  <c r="AF418" i="2"/>
  <c r="AJ418" i="2" s="1"/>
  <c r="AJ419" i="2"/>
  <c r="AE421" i="2"/>
  <c r="AH421" i="2"/>
  <c r="Q382" i="2"/>
  <c r="T382" i="2" s="1"/>
  <c r="X382" i="2" s="1"/>
  <c r="Q381" i="2"/>
  <c r="T381" i="2" s="1"/>
  <c r="X381" i="2" s="1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3" i="2"/>
  <c r="X383" i="2" s="1"/>
  <c r="T384" i="2"/>
  <c r="X384" i="2" s="1"/>
  <c r="T385" i="2"/>
  <c r="X385" i="2" s="1"/>
  <c r="T386" i="2"/>
  <c r="X386" i="2" s="1"/>
  <c r="T387" i="2"/>
  <c r="X387" i="2" s="1"/>
  <c r="T388" i="2"/>
  <c r="X388" i="2" s="1"/>
  <c r="T389" i="2"/>
  <c r="X389" i="2"/>
  <c r="T390" i="2"/>
  <c r="X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399" i="2"/>
  <c r="X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X406" i="2"/>
  <c r="T407" i="2"/>
  <c r="X407" i="2" s="1"/>
  <c r="T408" i="2"/>
  <c r="X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X414" i="2" s="1"/>
  <c r="T415" i="2"/>
  <c r="X415" i="2" s="1"/>
  <c r="T416" i="2"/>
  <c r="X416" i="2" s="1"/>
  <c r="X417" i="2"/>
  <c r="T418" i="2"/>
  <c r="X418" i="2" s="1"/>
  <c r="X419" i="2"/>
  <c r="R421" i="2"/>
  <c r="S421" i="2"/>
  <c r="K382" i="2"/>
  <c r="K421" i="2" s="1"/>
  <c r="F382" i="2"/>
  <c r="E382" i="2"/>
  <c r="E381" i="2"/>
  <c r="H381" i="2" s="1"/>
  <c r="L381" i="2" s="1"/>
  <c r="E380" i="2"/>
  <c r="H380" i="2" s="1"/>
  <c r="L380" i="2" s="1"/>
  <c r="E379" i="2"/>
  <c r="H379" i="2" s="1"/>
  <c r="J379" i="2"/>
  <c r="J378" i="2"/>
  <c r="E378" i="2"/>
  <c r="H378" i="2" s="1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 s="1"/>
  <c r="H387" i="2"/>
  <c r="L387" i="2" s="1"/>
  <c r="H388" i="2"/>
  <c r="L388" i="2" s="1"/>
  <c r="H389" i="2"/>
  <c r="L389" i="2" s="1"/>
  <c r="H390" i="2"/>
  <c r="L390" i="2" s="1"/>
  <c r="H391" i="2"/>
  <c r="L391" i="2" s="1"/>
  <c r="H392" i="2"/>
  <c r="L392" i="2" s="1"/>
  <c r="H393" i="2"/>
  <c r="L393" i="2"/>
  <c r="H394" i="2"/>
  <c r="L394" i="2" s="1"/>
  <c r="H395" i="2"/>
  <c r="L395" i="2" s="1"/>
  <c r="H396" i="2"/>
  <c r="L396" i="2" s="1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 s="1"/>
  <c r="H404" i="2"/>
  <c r="L404" i="2"/>
  <c r="H405" i="2"/>
  <c r="L405" i="2" s="1"/>
  <c r="H406" i="2"/>
  <c r="L406" i="2" s="1"/>
  <c r="H407" i="2"/>
  <c r="L407" i="2" s="1"/>
  <c r="H408" i="2"/>
  <c r="L408" i="2" s="1"/>
  <c r="H409" i="2"/>
  <c r="L409" i="2" s="1"/>
  <c r="H410" i="2"/>
  <c r="L410" i="2" s="1"/>
  <c r="H411" i="2"/>
  <c r="L411" i="2" s="1"/>
  <c r="H412" i="2"/>
  <c r="L412" i="2"/>
  <c r="H413" i="2"/>
  <c r="L413" i="2" s="1"/>
  <c r="H414" i="2"/>
  <c r="L414" i="2" s="1"/>
  <c r="H415" i="2"/>
  <c r="L415" i="2" s="1"/>
  <c r="H416" i="2"/>
  <c r="L416" i="2" s="1"/>
  <c r="L417" i="2"/>
  <c r="H418" i="2"/>
  <c r="L418" i="2" s="1"/>
  <c r="L419" i="2"/>
  <c r="G421" i="2"/>
  <c r="L378" i="2" l="1"/>
  <c r="T476" i="2"/>
  <c r="AF381" i="2"/>
  <c r="AJ381" i="2" s="1"/>
  <c r="AJ383" i="2"/>
  <c r="J421" i="2"/>
  <c r="AJ384" i="2"/>
  <c r="AI421" i="2"/>
  <c r="H382" i="2"/>
  <c r="L382" i="2" s="1"/>
  <c r="L421" i="2" s="1"/>
  <c r="AF378" i="2"/>
  <c r="AJ378" i="2" s="1"/>
  <c r="AJ434" i="2"/>
  <c r="AJ476" i="2" s="1"/>
  <c r="AF476" i="2"/>
  <c r="X476" i="2"/>
  <c r="L476" i="2"/>
  <c r="AD421" i="2"/>
  <c r="AF379" i="2"/>
  <c r="AJ379" i="2" s="1"/>
  <c r="AC421" i="2"/>
  <c r="Q421" i="2"/>
  <c r="T421" i="2"/>
  <c r="X379" i="2"/>
  <c r="X421" i="2" s="1"/>
  <c r="F421" i="2"/>
  <c r="E421" i="2"/>
  <c r="L379" i="2"/>
  <c r="AC268" i="2"/>
  <c r="AJ421" i="2" l="1"/>
  <c r="H421" i="2"/>
  <c r="AF421" i="2"/>
  <c r="AH325" i="2"/>
  <c r="AC325" i="2" l="1"/>
  <c r="AF325" i="2" s="1"/>
  <c r="AJ325" i="2" s="1"/>
  <c r="AH324" i="2"/>
  <c r="AC324" i="2"/>
  <c r="AH323" i="2"/>
  <c r="AC323" i="2"/>
  <c r="AD323" i="2"/>
  <c r="AD366" i="2" s="1"/>
  <c r="AI366" i="2"/>
  <c r="AB324" i="2"/>
  <c r="AB325" i="2" s="1"/>
  <c r="AF326" i="2"/>
  <c r="AJ326" i="2" s="1"/>
  <c r="AF327" i="2"/>
  <c r="AJ327" i="2" s="1"/>
  <c r="AF328" i="2"/>
  <c r="AJ328" i="2" s="1"/>
  <c r="AF329" i="2"/>
  <c r="AJ329" i="2" s="1"/>
  <c r="AF330" i="2"/>
  <c r="AJ330" i="2" s="1"/>
  <c r="AF331" i="2"/>
  <c r="AJ331" i="2" s="1"/>
  <c r="AF332" i="2"/>
  <c r="AJ332" i="2" s="1"/>
  <c r="AF333" i="2"/>
  <c r="AJ333" i="2" s="1"/>
  <c r="AF334" i="2"/>
  <c r="AJ334" i="2"/>
  <c r="AF335" i="2"/>
  <c r="AJ335" i="2"/>
  <c r="AF336" i="2"/>
  <c r="AJ336" i="2" s="1"/>
  <c r="AF337" i="2"/>
  <c r="AJ337" i="2"/>
  <c r="AF338" i="2"/>
  <c r="AJ338" i="2" s="1"/>
  <c r="AF339" i="2"/>
  <c r="AJ339" i="2" s="1"/>
  <c r="AF340" i="2"/>
  <c r="AJ340" i="2" s="1"/>
  <c r="AF341" i="2"/>
  <c r="AJ341" i="2"/>
  <c r="AF342" i="2"/>
  <c r="AJ342" i="2" s="1"/>
  <c r="AF343" i="2"/>
  <c r="AJ343" i="2" s="1"/>
  <c r="AF344" i="2"/>
  <c r="AJ344" i="2" s="1"/>
  <c r="AF345" i="2"/>
  <c r="AJ345" i="2" s="1"/>
  <c r="AF346" i="2"/>
  <c r="AJ346" i="2" s="1"/>
  <c r="AF347" i="2"/>
  <c r="AJ347" i="2"/>
  <c r="AF348" i="2"/>
  <c r="AJ348" i="2" s="1"/>
  <c r="AF349" i="2"/>
  <c r="AJ349" i="2" s="1"/>
  <c r="AF350" i="2"/>
  <c r="AJ350" i="2"/>
  <c r="AF351" i="2"/>
  <c r="AJ351" i="2" s="1"/>
  <c r="AF352" i="2"/>
  <c r="AJ352" i="2" s="1"/>
  <c r="AF353" i="2"/>
  <c r="AJ353" i="2"/>
  <c r="AF354" i="2"/>
  <c r="AJ354" i="2" s="1"/>
  <c r="AF355" i="2"/>
  <c r="AJ355" i="2" s="1"/>
  <c r="AF356" i="2"/>
  <c r="AJ356" i="2" s="1"/>
  <c r="AF357" i="2"/>
  <c r="AJ357" i="2"/>
  <c r="AF358" i="2"/>
  <c r="AJ358" i="2" s="1"/>
  <c r="AF359" i="2"/>
  <c r="AJ359" i="2"/>
  <c r="AF360" i="2"/>
  <c r="AJ360" i="2" s="1"/>
  <c r="AF361" i="2"/>
  <c r="AJ361" i="2" s="1"/>
  <c r="AJ362" i="2"/>
  <c r="AF363" i="2"/>
  <c r="AJ363" i="2" s="1"/>
  <c r="AJ364" i="2"/>
  <c r="AE366" i="2"/>
  <c r="Q327" i="2"/>
  <c r="T327" i="2" s="1"/>
  <c r="X327" i="2" s="1"/>
  <c r="Q326" i="2"/>
  <c r="T326" i="2" s="1"/>
  <c r="X326" i="2" s="1"/>
  <c r="V325" i="2"/>
  <c r="V366" i="2" s="1"/>
  <c r="Q325" i="2"/>
  <c r="T325" i="2" s="1"/>
  <c r="W324" i="2"/>
  <c r="W366" i="2" s="1"/>
  <c r="R324" i="2"/>
  <c r="R366" i="2" s="1"/>
  <c r="Q324" i="2"/>
  <c r="Q323" i="2"/>
  <c r="T323" i="2" s="1"/>
  <c r="X323" i="2" s="1"/>
  <c r="P324" i="2"/>
  <c r="P325" i="2" s="1"/>
  <c r="P326" i="2" s="1"/>
  <c r="P327" i="2" s="1"/>
  <c r="T328" i="2"/>
  <c r="X328" i="2" s="1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 s="1"/>
  <c r="T341" i="2"/>
  <c r="X341" i="2"/>
  <c r="T342" i="2"/>
  <c r="X342" i="2" s="1"/>
  <c r="T343" i="2"/>
  <c r="X343" i="2" s="1"/>
  <c r="T344" i="2"/>
  <c r="X344" i="2"/>
  <c r="T345" i="2"/>
  <c r="X345" i="2" s="1"/>
  <c r="T346" i="2"/>
  <c r="X346" i="2" s="1"/>
  <c r="T347" i="2"/>
  <c r="X347" i="2"/>
  <c r="T348" i="2"/>
  <c r="X348" i="2" s="1"/>
  <c r="T349" i="2"/>
  <c r="X349" i="2" s="1"/>
  <c r="T350" i="2"/>
  <c r="X350" i="2" s="1"/>
  <c r="T351" i="2"/>
  <c r="X351" i="2" s="1"/>
  <c r="T352" i="2"/>
  <c r="X352" i="2"/>
  <c r="T353" i="2"/>
  <c r="X353" i="2" s="1"/>
  <c r="T354" i="2"/>
  <c r="X354" i="2" s="1"/>
  <c r="T355" i="2"/>
  <c r="X355" i="2"/>
  <c r="T356" i="2"/>
  <c r="X356" i="2" s="1"/>
  <c r="T357" i="2"/>
  <c r="X357" i="2"/>
  <c r="T358" i="2"/>
  <c r="X358" i="2" s="1"/>
  <c r="T359" i="2"/>
  <c r="X359" i="2" s="1"/>
  <c r="T360" i="2"/>
  <c r="X360" i="2" s="1"/>
  <c r="T361" i="2"/>
  <c r="X361" i="2" s="1"/>
  <c r="X362" i="2"/>
  <c r="T363" i="2"/>
  <c r="X363" i="2" s="1"/>
  <c r="X364" i="2"/>
  <c r="S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 s="1"/>
  <c r="H328" i="2"/>
  <c r="L328" i="2" s="1"/>
  <c r="H329" i="2"/>
  <c r="L329" i="2" s="1"/>
  <c r="H330" i="2"/>
  <c r="L330" i="2" s="1"/>
  <c r="H331" i="2"/>
  <c r="L331" i="2" s="1"/>
  <c r="H332" i="2"/>
  <c r="L332" i="2" s="1"/>
  <c r="H333" i="2"/>
  <c r="L333" i="2"/>
  <c r="H334" i="2"/>
  <c r="L334" i="2" s="1"/>
  <c r="H335" i="2"/>
  <c r="L335" i="2" s="1"/>
  <c r="H336" i="2"/>
  <c r="L336" i="2" s="1"/>
  <c r="H337" i="2"/>
  <c r="L337" i="2" s="1"/>
  <c r="H338" i="2"/>
  <c r="L338" i="2" s="1"/>
  <c r="H339" i="2"/>
  <c r="L339" i="2"/>
  <c r="H340" i="2"/>
  <c r="L340" i="2" s="1"/>
  <c r="H341" i="2"/>
  <c r="L341" i="2" s="1"/>
  <c r="H342" i="2"/>
  <c r="L342" i="2"/>
  <c r="H343" i="2"/>
  <c r="L343" i="2" s="1"/>
  <c r="H344" i="2"/>
  <c r="L344" i="2" s="1"/>
  <c r="H345" i="2"/>
  <c r="L345" i="2"/>
  <c r="H346" i="2"/>
  <c r="L346" i="2" s="1"/>
  <c r="H347" i="2"/>
  <c r="L347" i="2" s="1"/>
  <c r="H348" i="2"/>
  <c r="L348" i="2" s="1"/>
  <c r="H349" i="2"/>
  <c r="L349" i="2" s="1"/>
  <c r="H350" i="2"/>
  <c r="L350" i="2"/>
  <c r="H351" i="2"/>
  <c r="L351" i="2" s="1"/>
  <c r="H352" i="2"/>
  <c r="L352" i="2" s="1"/>
  <c r="H353" i="2"/>
  <c r="L353" i="2"/>
  <c r="H354" i="2"/>
  <c r="L354" i="2"/>
  <c r="H355" i="2"/>
  <c r="L355" i="2" s="1"/>
  <c r="H356" i="2"/>
  <c r="L356" i="2" s="1"/>
  <c r="H357" i="2"/>
  <c r="L357" i="2" s="1"/>
  <c r="H358" i="2"/>
  <c r="L358" i="2" s="1"/>
  <c r="H359" i="2"/>
  <c r="L359" i="2" s="1"/>
  <c r="H360" i="2"/>
  <c r="L360" i="2" s="1"/>
  <c r="H361" i="2"/>
  <c r="L361" i="2" s="1"/>
  <c r="L362" i="2"/>
  <c r="H363" i="2"/>
  <c r="L363" i="2" s="1"/>
  <c r="L364" i="2"/>
  <c r="F366" i="2"/>
  <c r="G366" i="2"/>
  <c r="K366" i="2"/>
  <c r="AC366" i="2" l="1"/>
  <c r="AH366" i="2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F274" i="2" s="1"/>
  <c r="AJ274" i="2" s="1"/>
  <c r="AH273" i="2"/>
  <c r="AC273" i="2"/>
  <c r="AF273" i="2" s="1"/>
  <c r="AJ273" i="2" s="1"/>
  <c r="AC272" i="2"/>
  <c r="AF272" i="2" s="1"/>
  <c r="AJ272" i="2" s="1"/>
  <c r="AH271" i="2"/>
  <c r="AH311" i="2" s="1"/>
  <c r="AC271" i="2"/>
  <c r="AF271" i="2" s="1"/>
  <c r="AD271" i="2"/>
  <c r="AH270" i="2"/>
  <c r="AC270" i="2"/>
  <c r="AF270" i="2" s="1"/>
  <c r="AJ270" i="2" s="1"/>
  <c r="AD269" i="2"/>
  <c r="AC269" i="2"/>
  <c r="AI268" i="2"/>
  <c r="AF268" i="2"/>
  <c r="AB269" i="2"/>
  <c r="AB270" i="2" s="1"/>
  <c r="AB271" i="2" s="1"/>
  <c r="AB272" i="2" s="1"/>
  <c r="AB273" i="2" s="1"/>
  <c r="AB274" i="2" s="1"/>
  <c r="AF275" i="2"/>
  <c r="AJ275" i="2" s="1"/>
  <c r="AF276" i="2"/>
  <c r="AJ276" i="2"/>
  <c r="AF277" i="2"/>
  <c r="AJ277" i="2" s="1"/>
  <c r="AF278" i="2"/>
  <c r="AJ278" i="2" s="1"/>
  <c r="AF279" i="2"/>
  <c r="AJ279" i="2"/>
  <c r="AF280" i="2"/>
  <c r="AJ280" i="2" s="1"/>
  <c r="AF281" i="2"/>
  <c r="AJ281" i="2" s="1"/>
  <c r="AF282" i="2"/>
  <c r="AJ282" i="2" s="1"/>
  <c r="AF283" i="2"/>
  <c r="AJ283" i="2" s="1"/>
  <c r="AF284" i="2"/>
  <c r="AJ284" i="2" s="1"/>
  <c r="AF285" i="2"/>
  <c r="AJ285" i="2"/>
  <c r="AF286" i="2"/>
  <c r="AJ286" i="2" s="1"/>
  <c r="AF287" i="2"/>
  <c r="AJ287" i="2" s="1"/>
  <c r="AF288" i="2"/>
  <c r="AJ288" i="2" s="1"/>
  <c r="AF289" i="2"/>
  <c r="AJ289" i="2"/>
  <c r="AF290" i="2"/>
  <c r="AJ290" i="2" s="1"/>
  <c r="AF291" i="2"/>
  <c r="AJ291" i="2" s="1"/>
  <c r="AF292" i="2"/>
  <c r="AJ292" i="2"/>
  <c r="AF293" i="2"/>
  <c r="AJ293" i="2" s="1"/>
  <c r="AF294" i="2"/>
  <c r="AJ294" i="2" s="1"/>
  <c r="AF295" i="2"/>
  <c r="AJ295" i="2"/>
  <c r="AF296" i="2"/>
  <c r="AJ296" i="2" s="1"/>
  <c r="AF297" i="2"/>
  <c r="AJ297" i="2"/>
  <c r="AF298" i="2"/>
  <c r="AJ298" i="2" s="1"/>
  <c r="AF299" i="2"/>
  <c r="AJ299" i="2" s="1"/>
  <c r="AF300" i="2"/>
  <c r="AJ300" i="2" s="1"/>
  <c r="AF301" i="2"/>
  <c r="AJ301" i="2" s="1"/>
  <c r="AF302" i="2"/>
  <c r="AJ302" i="2" s="1"/>
  <c r="AF303" i="2"/>
  <c r="AJ303" i="2"/>
  <c r="AF304" i="2"/>
  <c r="AJ304" i="2" s="1"/>
  <c r="AF305" i="2"/>
  <c r="AJ305" i="2" s="1"/>
  <c r="AF306" i="2"/>
  <c r="AJ306" i="2" s="1"/>
  <c r="AJ307" i="2"/>
  <c r="AF308" i="2"/>
  <c r="AJ308" i="2" s="1"/>
  <c r="AJ309" i="2"/>
  <c r="AE311" i="2"/>
  <c r="W283" i="2"/>
  <c r="Q283" i="2"/>
  <c r="T283" i="2" s="1"/>
  <c r="X283" i="2" s="1"/>
  <c r="V282" i="2"/>
  <c r="Q282" i="2"/>
  <c r="T282" i="2" s="1"/>
  <c r="V281" i="2"/>
  <c r="Q281" i="2"/>
  <c r="R281" i="2"/>
  <c r="W280" i="2"/>
  <c r="Q280" i="2"/>
  <c r="T280" i="2" s="1"/>
  <c r="X280" i="2" s="1"/>
  <c r="V279" i="2"/>
  <c r="R279" i="2"/>
  <c r="Q279" i="2"/>
  <c r="T279" i="2" s="1"/>
  <c r="Q278" i="2"/>
  <c r="T278" i="2" s="1"/>
  <c r="X278" i="2" s="1"/>
  <c r="Q277" i="2"/>
  <c r="T277" i="2" s="1"/>
  <c r="X277" i="2" s="1"/>
  <c r="Q276" i="2"/>
  <c r="T276" i="2" s="1"/>
  <c r="X276" i="2" s="1"/>
  <c r="W275" i="2"/>
  <c r="Q275" i="2"/>
  <c r="T275" i="2" s="1"/>
  <c r="V274" i="2"/>
  <c r="Q274" i="2"/>
  <c r="T274" i="2" s="1"/>
  <c r="Q273" i="2"/>
  <c r="T273" i="2" s="1"/>
  <c r="X273" i="2" s="1"/>
  <c r="W272" i="2"/>
  <c r="Q272" i="2"/>
  <c r="T272" i="2" s="1"/>
  <c r="Q271" i="2"/>
  <c r="T271" i="2" s="1"/>
  <c r="X271" i="2" s="1"/>
  <c r="V270" i="2"/>
  <c r="Q270" i="2"/>
  <c r="T270" i="2" s="1"/>
  <c r="V269" i="2"/>
  <c r="Q269" i="2"/>
  <c r="T269" i="2" s="1"/>
  <c r="W268" i="2"/>
  <c r="Q268" i="2"/>
  <c r="T268" i="2" s="1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T284" i="2"/>
  <c r="X284" i="2" s="1"/>
  <c r="T285" i="2"/>
  <c r="X285" i="2" s="1"/>
  <c r="T286" i="2"/>
  <c r="X286" i="2"/>
  <c r="T287" i="2"/>
  <c r="X287" i="2"/>
  <c r="T288" i="2"/>
  <c r="X288" i="2" s="1"/>
  <c r="T289" i="2"/>
  <c r="X289" i="2" s="1"/>
  <c r="T290" i="2"/>
  <c r="X290" i="2"/>
  <c r="T291" i="2"/>
  <c r="X291" i="2" s="1"/>
  <c r="T292" i="2"/>
  <c r="X292" i="2" s="1"/>
  <c r="T293" i="2"/>
  <c r="X293" i="2" s="1"/>
  <c r="T294" i="2"/>
  <c r="X294" i="2" s="1"/>
  <c r="T295" i="2"/>
  <c r="X295" i="2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/>
  <c r="T302" i="2"/>
  <c r="X302" i="2"/>
  <c r="T303" i="2"/>
  <c r="X303" i="2"/>
  <c r="T304" i="2"/>
  <c r="X304" i="2" s="1"/>
  <c r="T305" i="2"/>
  <c r="X305" i="2"/>
  <c r="T306" i="2"/>
  <c r="X306" i="2" s="1"/>
  <c r="X307" i="2"/>
  <c r="T308" i="2"/>
  <c r="X308" i="2" s="1"/>
  <c r="X309" i="2"/>
  <c r="S311" i="2"/>
  <c r="E277" i="2"/>
  <c r="H277" i="2" s="1"/>
  <c r="L277" i="2" s="1"/>
  <c r="E276" i="2"/>
  <c r="H276" i="2" s="1"/>
  <c r="L276" i="2" s="1"/>
  <c r="E275" i="2"/>
  <c r="H275" i="2" s="1"/>
  <c r="L275" i="2" s="1"/>
  <c r="E274" i="2"/>
  <c r="H274" i="2" s="1"/>
  <c r="L274" i="2" s="1"/>
  <c r="E273" i="2"/>
  <c r="H273" i="2" s="1"/>
  <c r="L273" i="2" s="1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H269" i="2" s="1"/>
  <c r="L269" i="2" s="1"/>
  <c r="E268" i="2"/>
  <c r="H268" i="2" s="1"/>
  <c r="L268" i="2" s="1"/>
  <c r="D269" i="2"/>
  <c r="D270" i="2" s="1"/>
  <c r="D271" i="2" s="1"/>
  <c r="D272" i="2" s="1"/>
  <c r="D273" i="2" s="1"/>
  <c r="D274" i="2" s="1"/>
  <c r="D275" i="2" s="1"/>
  <c r="D276" i="2" s="1"/>
  <c r="D277" i="2" s="1"/>
  <c r="H278" i="2"/>
  <c r="L278" i="2" s="1"/>
  <c r="H279" i="2"/>
  <c r="L279" i="2" s="1"/>
  <c r="H280" i="2"/>
  <c r="L280" i="2" s="1"/>
  <c r="H281" i="2"/>
  <c r="L281" i="2" s="1"/>
  <c r="H282" i="2"/>
  <c r="L282" i="2"/>
  <c r="H283" i="2"/>
  <c r="L283" i="2" s="1"/>
  <c r="H284" i="2"/>
  <c r="L284" i="2"/>
  <c r="H285" i="2"/>
  <c r="L285" i="2"/>
  <c r="H286" i="2"/>
  <c r="L286" i="2" s="1"/>
  <c r="H287" i="2"/>
  <c r="L287" i="2" s="1"/>
  <c r="H288" i="2"/>
  <c r="L288" i="2" s="1"/>
  <c r="H289" i="2"/>
  <c r="L289" i="2" s="1"/>
  <c r="H290" i="2"/>
  <c r="L290" i="2"/>
  <c r="H291" i="2"/>
  <c r="L291" i="2" s="1"/>
  <c r="H292" i="2"/>
  <c r="L292" i="2"/>
  <c r="H293" i="2"/>
  <c r="L293" i="2"/>
  <c r="H294" i="2"/>
  <c r="L294" i="2" s="1"/>
  <c r="H295" i="2"/>
  <c r="L295" i="2" s="1"/>
  <c r="H296" i="2"/>
  <c r="L296" i="2" s="1"/>
  <c r="H297" i="2"/>
  <c r="L297" i="2" s="1"/>
  <c r="H298" i="2"/>
  <c r="L298" i="2" s="1"/>
  <c r="H299" i="2"/>
  <c r="L299" i="2" s="1"/>
  <c r="H300" i="2"/>
  <c r="L300" i="2" s="1"/>
  <c r="H301" i="2"/>
  <c r="L301" i="2" s="1"/>
  <c r="H302" i="2"/>
  <c r="L302" i="2" s="1"/>
  <c r="H303" i="2"/>
  <c r="L303" i="2" s="1"/>
  <c r="H304" i="2"/>
  <c r="L304" i="2"/>
  <c r="H305" i="2"/>
  <c r="L305" i="2"/>
  <c r="H306" i="2"/>
  <c r="L306" i="2"/>
  <c r="L307" i="2"/>
  <c r="H308" i="2"/>
  <c r="L308" i="2" s="1"/>
  <c r="L309" i="2"/>
  <c r="F311" i="2"/>
  <c r="G311" i="2"/>
  <c r="K311" i="2"/>
  <c r="AF269" i="2" l="1"/>
  <c r="X279" i="2"/>
  <c r="X269" i="2"/>
  <c r="AJ271" i="2"/>
  <c r="X275" i="2"/>
  <c r="X272" i="2"/>
  <c r="W311" i="2"/>
  <c r="T281" i="2"/>
  <c r="X281" i="2" s="1"/>
  <c r="X274" i="2"/>
  <c r="AD311" i="2"/>
  <c r="AI311" i="2"/>
  <c r="R311" i="2"/>
  <c r="AJ366" i="2"/>
  <c r="AF366" i="2"/>
  <c r="T366" i="2"/>
  <c r="AJ268" i="2"/>
  <c r="AJ269" i="2"/>
  <c r="AF311" i="2"/>
  <c r="AC311" i="2"/>
  <c r="X282" i="2"/>
  <c r="V311" i="2"/>
  <c r="X270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F218" i="2" s="1"/>
  <c r="AH217" i="2"/>
  <c r="AH256" i="2" s="1"/>
  <c r="AC217" i="2"/>
  <c r="AF217" i="2" s="1"/>
  <c r="AD216" i="2"/>
  <c r="AC216" i="2"/>
  <c r="AD215" i="2"/>
  <c r="AC215" i="2"/>
  <c r="AD214" i="2"/>
  <c r="AC214" i="2"/>
  <c r="AC213" i="2"/>
  <c r="AF213" i="2" s="1"/>
  <c r="AJ213" i="2" s="1"/>
  <c r="AB214" i="2"/>
  <c r="AB215" i="2" s="1"/>
  <c r="AB216" i="2" s="1"/>
  <c r="AB217" i="2" s="1"/>
  <c r="AB218" i="2" s="1"/>
  <c r="AB219" i="2" s="1"/>
  <c r="AF220" i="2"/>
  <c r="AJ220" i="2"/>
  <c r="AF221" i="2"/>
  <c r="AJ221" i="2" s="1"/>
  <c r="AF222" i="2"/>
  <c r="AJ222" i="2" s="1"/>
  <c r="AF223" i="2"/>
  <c r="AJ223" i="2" s="1"/>
  <c r="AF224" i="2"/>
  <c r="AJ224" i="2"/>
  <c r="AF225" i="2"/>
  <c r="AJ225" i="2" s="1"/>
  <c r="AF226" i="2"/>
  <c r="AJ226" i="2" s="1"/>
  <c r="AF227" i="2"/>
  <c r="AJ227" i="2" s="1"/>
  <c r="AF228" i="2"/>
  <c r="AJ228" i="2" s="1"/>
  <c r="AF229" i="2"/>
  <c r="AJ229" i="2" s="1"/>
  <c r="AF230" i="2"/>
  <c r="AJ230" i="2"/>
  <c r="AF231" i="2"/>
  <c r="AJ231" i="2" s="1"/>
  <c r="AF232" i="2"/>
  <c r="AJ232" i="2"/>
  <c r="AF233" i="2"/>
  <c r="AJ233" i="2" s="1"/>
  <c r="AF234" i="2"/>
  <c r="AJ234" i="2" s="1"/>
  <c r="AF235" i="2"/>
  <c r="AJ235" i="2" s="1"/>
  <c r="AF236" i="2"/>
  <c r="AJ236" i="2" s="1"/>
  <c r="AF237" i="2"/>
  <c r="AJ237" i="2" s="1"/>
  <c r="AF238" i="2"/>
  <c r="AJ238" i="2" s="1"/>
  <c r="AF239" i="2"/>
  <c r="AJ239" i="2" s="1"/>
  <c r="AF240" i="2"/>
  <c r="AJ240" i="2" s="1"/>
  <c r="AF241" i="2"/>
  <c r="AJ241" i="2" s="1"/>
  <c r="AF242" i="2"/>
  <c r="AJ242" i="2" s="1"/>
  <c r="AF243" i="2"/>
  <c r="AJ243" i="2" s="1"/>
  <c r="AF244" i="2"/>
  <c r="AJ244" i="2" s="1"/>
  <c r="AF245" i="2"/>
  <c r="AJ245" i="2" s="1"/>
  <c r="AF246" i="2"/>
  <c r="AJ246" i="2"/>
  <c r="AF247" i="2"/>
  <c r="AJ247" i="2" s="1"/>
  <c r="AF248" i="2"/>
  <c r="AJ248" i="2"/>
  <c r="AF249" i="2"/>
  <c r="AJ249" i="2" s="1"/>
  <c r="AF250" i="2"/>
  <c r="AJ250" i="2" s="1"/>
  <c r="AF251" i="2"/>
  <c r="AJ251" i="2" s="1"/>
  <c r="AJ252" i="2"/>
  <c r="AF253" i="2"/>
  <c r="AJ253" i="2" s="1"/>
  <c r="AJ254" i="2"/>
  <c r="AE256" i="2"/>
  <c r="Q218" i="2"/>
  <c r="T218" i="2" s="1"/>
  <c r="X218" i="2" s="1"/>
  <c r="W217" i="2"/>
  <c r="Q217" i="2"/>
  <c r="T217" i="2" s="1"/>
  <c r="R216" i="2"/>
  <c r="Q216" i="2"/>
  <c r="T216" i="2" s="1"/>
  <c r="X216" i="2" s="1"/>
  <c r="V215" i="2"/>
  <c r="V256" i="2" s="1"/>
  <c r="R215" i="2"/>
  <c r="Q215" i="2"/>
  <c r="W214" i="2"/>
  <c r="Q214" i="2"/>
  <c r="T214" i="2" s="1"/>
  <c r="X214" i="2" s="1"/>
  <c r="W213" i="2"/>
  <c r="R213" i="2"/>
  <c r="Q213" i="2"/>
  <c r="H213" i="2"/>
  <c r="L213" i="2" s="1"/>
  <c r="D214" i="2"/>
  <c r="F256" i="2"/>
  <c r="K256" i="2"/>
  <c r="H215" i="2"/>
  <c r="L215" i="2" s="1"/>
  <c r="H216" i="2"/>
  <c r="L216" i="2" s="1"/>
  <c r="H217" i="2"/>
  <c r="L217" i="2" s="1"/>
  <c r="H218" i="2"/>
  <c r="L218" i="2"/>
  <c r="H219" i="2"/>
  <c r="L219" i="2" s="1"/>
  <c r="H220" i="2"/>
  <c r="L220" i="2"/>
  <c r="H221" i="2"/>
  <c r="L221" i="2" s="1"/>
  <c r="H222" i="2"/>
  <c r="L222" i="2"/>
  <c r="H223" i="2"/>
  <c r="L223" i="2" s="1"/>
  <c r="H224" i="2"/>
  <c r="L224" i="2" s="1"/>
  <c r="H225" i="2"/>
  <c r="L225" i="2" s="1"/>
  <c r="H226" i="2"/>
  <c r="L226" i="2" s="1"/>
  <c r="H227" i="2"/>
  <c r="L227" i="2" s="1"/>
  <c r="H228" i="2"/>
  <c r="L228" i="2" s="1"/>
  <c r="H229" i="2"/>
  <c r="L229" i="2"/>
  <c r="H230" i="2"/>
  <c r="L230" i="2" s="1"/>
  <c r="H231" i="2"/>
  <c r="L231" i="2" s="1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 s="1"/>
  <c r="H238" i="2"/>
  <c r="L238" i="2" s="1"/>
  <c r="H239" i="2"/>
  <c r="L239" i="2" s="1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 s="1"/>
  <c r="H246" i="2"/>
  <c r="L246" i="2" s="1"/>
  <c r="H247" i="2"/>
  <c r="L247" i="2"/>
  <c r="H248" i="2"/>
  <c r="L248" i="2"/>
  <c r="H249" i="2"/>
  <c r="L249" i="2" s="1"/>
  <c r="H250" i="2"/>
  <c r="L250" i="2" s="1"/>
  <c r="H251" i="2"/>
  <c r="L251" i="2" s="1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9" i="2"/>
  <c r="X219" i="2" s="1"/>
  <c r="T220" i="2"/>
  <c r="X220" i="2" s="1"/>
  <c r="T221" i="2"/>
  <c r="X221" i="2" s="1"/>
  <c r="T222" i="2"/>
  <c r="X222" i="2" s="1"/>
  <c r="T223" i="2"/>
  <c r="X223" i="2" s="1"/>
  <c r="T224" i="2"/>
  <c r="X224" i="2" s="1"/>
  <c r="T225" i="2"/>
  <c r="X225" i="2" s="1"/>
  <c r="T226" i="2"/>
  <c r="X226" i="2"/>
  <c r="T227" i="2"/>
  <c r="X227" i="2" s="1"/>
  <c r="T228" i="2"/>
  <c r="X228" i="2" s="1"/>
  <c r="T229" i="2"/>
  <c r="X229" i="2" s="1"/>
  <c r="T230" i="2"/>
  <c r="X230" i="2"/>
  <c r="T231" i="2"/>
  <c r="X231" i="2" s="1"/>
  <c r="T232" i="2"/>
  <c r="X232" i="2" s="1"/>
  <c r="T233" i="2"/>
  <c r="X233" i="2"/>
  <c r="T234" i="2"/>
  <c r="X234" i="2" s="1"/>
  <c r="T235" i="2"/>
  <c r="X235" i="2" s="1"/>
  <c r="T236" i="2"/>
  <c r="X236" i="2"/>
  <c r="T237" i="2"/>
  <c r="X237" i="2" s="1"/>
  <c r="T238" i="2"/>
  <c r="X238" i="2" s="1"/>
  <c r="T239" i="2"/>
  <c r="X239" i="2"/>
  <c r="T240" i="2"/>
  <c r="X240" i="2"/>
  <c r="T241" i="2"/>
  <c r="X241" i="2"/>
  <c r="T242" i="2"/>
  <c r="X242" i="2" s="1"/>
  <c r="T243" i="2"/>
  <c r="X243" i="2" s="1"/>
  <c r="T244" i="2"/>
  <c r="X244" i="2"/>
  <c r="T245" i="2"/>
  <c r="X245" i="2" s="1"/>
  <c r="T246" i="2"/>
  <c r="X246" i="2" s="1"/>
  <c r="T247" i="2"/>
  <c r="X247" i="2"/>
  <c r="T248" i="2"/>
  <c r="X248" i="2"/>
  <c r="T249" i="2"/>
  <c r="X249" i="2"/>
  <c r="T250" i="2"/>
  <c r="X250" i="2" s="1"/>
  <c r="T251" i="2"/>
  <c r="X251" i="2" s="1"/>
  <c r="X252" i="2"/>
  <c r="T253" i="2"/>
  <c r="X253" i="2" s="1"/>
  <c r="X254" i="2"/>
  <c r="S256" i="2"/>
  <c r="T213" i="2" l="1"/>
  <c r="AF214" i="2"/>
  <c r="AJ214" i="2" s="1"/>
  <c r="X213" i="2"/>
  <c r="T311" i="2"/>
  <c r="AJ311" i="2"/>
  <c r="T215" i="2"/>
  <c r="T256" i="2" s="1"/>
  <c r="X311" i="2"/>
  <c r="AJ218" i="2"/>
  <c r="AJ217" i="2"/>
  <c r="AF216" i="2"/>
  <c r="AJ216" i="2" s="1"/>
  <c r="AF215" i="2"/>
  <c r="AJ215" i="2" s="1"/>
  <c r="AD256" i="2"/>
  <c r="AC256" i="2"/>
  <c r="X217" i="2"/>
  <c r="W256" i="2"/>
  <c r="X215" i="2"/>
  <c r="R256" i="2"/>
  <c r="Q256" i="2"/>
  <c r="H214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 s="1"/>
  <c r="AF164" i="2"/>
  <c r="AJ164" i="2" s="1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 s="1"/>
  <c r="AF176" i="2"/>
  <c r="AJ176" i="2" s="1"/>
  <c r="AF177" i="2"/>
  <c r="AJ177" i="2" s="1"/>
  <c r="AF178" i="2"/>
  <c r="AJ178" i="2" s="1"/>
  <c r="AF179" i="2"/>
  <c r="AJ179" i="2"/>
  <c r="AF180" i="2"/>
  <c r="AJ180" i="2" s="1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 s="1"/>
  <c r="AF187" i="2"/>
  <c r="AJ187" i="2"/>
  <c r="AF188" i="2"/>
  <c r="AJ188" i="2" s="1"/>
  <c r="AF189" i="2"/>
  <c r="AJ189" i="2" s="1"/>
  <c r="AF190" i="2"/>
  <c r="AJ190" i="2" s="1"/>
  <c r="AF191" i="2"/>
  <c r="AJ191" i="2" s="1"/>
  <c r="AF192" i="2"/>
  <c r="AJ192" i="2" s="1"/>
  <c r="AF193" i="2"/>
  <c r="AJ193" i="2" s="1"/>
  <c r="AF194" i="2"/>
  <c r="AJ194" i="2"/>
  <c r="AF195" i="2"/>
  <c r="AJ195" i="2"/>
  <c r="AF196" i="2"/>
  <c r="AJ196" i="2" s="1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T166" i="2" s="1"/>
  <c r="V165" i="2"/>
  <c r="Q165" i="2"/>
  <c r="T165" i="2" s="1"/>
  <c r="X165" i="2" s="1"/>
  <c r="Q164" i="2"/>
  <c r="T164" i="2" s="1"/>
  <c r="X164" i="2" s="1"/>
  <c r="W163" i="2"/>
  <c r="Q163" i="2"/>
  <c r="T163" i="2" s="1"/>
  <c r="Q162" i="2"/>
  <c r="T162" i="2" s="1"/>
  <c r="W161" i="2"/>
  <c r="Q161" i="2"/>
  <c r="T161" i="2" s="1"/>
  <c r="X161" i="2" s="1"/>
  <c r="V160" i="2"/>
  <c r="R160" i="2"/>
  <c r="Q160" i="2"/>
  <c r="Q159" i="2"/>
  <c r="T159" i="2" s="1"/>
  <c r="X159" i="2" s="1"/>
  <c r="Q158" i="2"/>
  <c r="T158" i="2" s="1"/>
  <c r="P159" i="2"/>
  <c r="P160" i="2" s="1"/>
  <c r="P161" i="2" s="1"/>
  <c r="P162" i="2" s="1"/>
  <c r="P163" i="2" s="1"/>
  <c r="P164" i="2" s="1"/>
  <c r="P165" i="2" s="1"/>
  <c r="P166" i="2" s="1"/>
  <c r="P167" i="2" s="1"/>
  <c r="P168" i="2" s="1"/>
  <c r="T167" i="2"/>
  <c r="T169" i="2"/>
  <c r="X169" i="2"/>
  <c r="T170" i="2"/>
  <c r="X170" i="2" s="1"/>
  <c r="T171" i="2"/>
  <c r="X171" i="2" s="1"/>
  <c r="T172" i="2"/>
  <c r="X172" i="2"/>
  <c r="T173" i="2"/>
  <c r="X173" i="2" s="1"/>
  <c r="T174" i="2"/>
  <c r="X174" i="2" s="1"/>
  <c r="T175" i="2"/>
  <c r="X175" i="2" s="1"/>
  <c r="T176" i="2"/>
  <c r="X176" i="2"/>
  <c r="T177" i="2"/>
  <c r="X177" i="2" s="1"/>
  <c r="T178" i="2"/>
  <c r="X178" i="2" s="1"/>
  <c r="T179" i="2"/>
  <c r="X179" i="2" s="1"/>
  <c r="T180" i="2"/>
  <c r="X180" i="2" s="1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 s="1"/>
  <c r="T188" i="2"/>
  <c r="X188" i="2"/>
  <c r="T189" i="2"/>
  <c r="X189" i="2" s="1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 s="1"/>
  <c r="X197" i="2"/>
  <c r="T198" i="2"/>
  <c r="X198" i="2" s="1"/>
  <c r="X199" i="2"/>
  <c r="S201" i="2"/>
  <c r="K159" i="2"/>
  <c r="J159" i="2"/>
  <c r="J201" i="2" s="1"/>
  <c r="F159" i="2"/>
  <c r="E159" i="2"/>
  <c r="K158" i="2"/>
  <c r="K201" i="2" s="1"/>
  <c r="E158" i="2"/>
  <c r="E201" i="2" s="1"/>
  <c r="H158" i="2"/>
  <c r="L158" i="2" s="1"/>
  <c r="D159" i="2"/>
  <c r="H159" i="2"/>
  <c r="H160" i="2"/>
  <c r="L160" i="2" s="1"/>
  <c r="H161" i="2"/>
  <c r="L161" i="2" s="1"/>
  <c r="H162" i="2"/>
  <c r="L162" i="2" s="1"/>
  <c r="H163" i="2"/>
  <c r="L163" i="2" s="1"/>
  <c r="H164" i="2"/>
  <c r="L164" i="2" s="1"/>
  <c r="H165" i="2"/>
  <c r="L165" i="2" s="1"/>
  <c r="H166" i="2"/>
  <c r="L166" i="2" s="1"/>
  <c r="H167" i="2"/>
  <c r="L167" i="2" s="1"/>
  <c r="H168" i="2"/>
  <c r="L168" i="2"/>
  <c r="H169" i="2"/>
  <c r="L169" i="2"/>
  <c r="H170" i="2"/>
  <c r="L170" i="2" s="1"/>
  <c r="H171" i="2"/>
  <c r="L171" i="2" s="1"/>
  <c r="H172" i="2"/>
  <c r="L172" i="2" s="1"/>
  <c r="H173" i="2"/>
  <c r="L173" i="2" s="1"/>
  <c r="H174" i="2"/>
  <c r="L174" i="2"/>
  <c r="H175" i="2"/>
  <c r="L175" i="2"/>
  <c r="H176" i="2"/>
  <c r="L176" i="2" s="1"/>
  <c r="H177" i="2"/>
  <c r="L177" i="2" s="1"/>
  <c r="H178" i="2"/>
  <c r="L178" i="2" s="1"/>
  <c r="H179" i="2"/>
  <c r="L179" i="2"/>
  <c r="H180" i="2"/>
  <c r="L180" i="2" s="1"/>
  <c r="H181" i="2"/>
  <c r="L181" i="2" s="1"/>
  <c r="H182" i="2"/>
  <c r="L182" i="2"/>
  <c r="H183" i="2"/>
  <c r="L183" i="2" s="1"/>
  <c r="H184" i="2"/>
  <c r="L184" i="2"/>
  <c r="H185" i="2"/>
  <c r="L185" i="2" s="1"/>
  <c r="H186" i="2"/>
  <c r="L186" i="2" s="1"/>
  <c r="H187" i="2"/>
  <c r="L187" i="2" s="1"/>
  <c r="H188" i="2"/>
  <c r="L188" i="2" s="1"/>
  <c r="H189" i="2"/>
  <c r="L189" i="2"/>
  <c r="H190" i="2"/>
  <c r="L190" i="2" s="1"/>
  <c r="H191" i="2"/>
  <c r="L191" i="2" s="1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 s="1"/>
  <c r="L199" i="2"/>
  <c r="F201" i="2"/>
  <c r="G201" i="2"/>
  <c r="X163" i="2" l="1"/>
  <c r="T160" i="2"/>
  <c r="X160" i="2" s="1"/>
  <c r="X256" i="2"/>
  <c r="AJ256" i="2"/>
  <c r="AF256" i="2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D146" i="2" s="1"/>
  <c r="AC104" i="2"/>
  <c r="AF104" i="2" s="1"/>
  <c r="AC103" i="2"/>
  <c r="AF103" i="2" s="1"/>
  <c r="AJ103" i="2" s="1"/>
  <c r="AB104" i="2"/>
  <c r="AB105" i="2" s="1"/>
  <c r="AB106" i="2" s="1"/>
  <c r="AB107" i="2" s="1"/>
  <c r="AB108" i="2" s="1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 s="1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 s="1"/>
  <c r="AF130" i="2"/>
  <c r="AJ130" i="2" s="1"/>
  <c r="AF131" i="2"/>
  <c r="AJ131" i="2"/>
  <c r="AF132" i="2"/>
  <c r="AJ132" i="2" s="1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 s="1"/>
  <c r="AF139" i="2"/>
  <c r="AJ139" i="2" s="1"/>
  <c r="AF140" i="2"/>
  <c r="AJ140" i="2"/>
  <c r="AF141" i="2"/>
  <c r="AJ141" i="2" s="1"/>
  <c r="AJ142" i="2"/>
  <c r="AF143" i="2"/>
  <c r="AJ143" i="2" s="1"/>
  <c r="AJ144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 s="1"/>
  <c r="T112" i="2"/>
  <c r="X112" i="2"/>
  <c r="T113" i="2"/>
  <c r="X113" i="2"/>
  <c r="T114" i="2"/>
  <c r="X114" i="2"/>
  <c r="T115" i="2"/>
  <c r="X115" i="2" s="1"/>
  <c r="T116" i="2"/>
  <c r="X116" i="2" s="1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 s="1"/>
  <c r="T127" i="2"/>
  <c r="X127" i="2"/>
  <c r="T128" i="2"/>
  <c r="X128" i="2"/>
  <c r="T129" i="2"/>
  <c r="X129" i="2"/>
  <c r="T130" i="2"/>
  <c r="X130" i="2"/>
  <c r="T131" i="2"/>
  <c r="X131" i="2"/>
  <c r="T132" i="2"/>
  <c r="X132" i="2" s="1"/>
  <c r="T133" i="2"/>
  <c r="X133" i="2" s="1"/>
  <c r="T134" i="2"/>
  <c r="X134" i="2" s="1"/>
  <c r="T135" i="2"/>
  <c r="X135" i="2" s="1"/>
  <c r="T136" i="2"/>
  <c r="X136" i="2" s="1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 s="1"/>
  <c r="X144" i="2"/>
  <c r="S146" i="2"/>
  <c r="W146" i="2"/>
  <c r="H103" i="2"/>
  <c r="L103" i="2" s="1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 s="1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 s="1"/>
  <c r="H116" i="2"/>
  <c r="L116" i="2" s="1"/>
  <c r="H117" i="2"/>
  <c r="L117" i="2" s="1"/>
  <c r="H118" i="2"/>
  <c r="L118" i="2"/>
  <c r="H119" i="2"/>
  <c r="L119" i="2" s="1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 s="1"/>
  <c r="H127" i="2"/>
  <c r="L127" i="2"/>
  <c r="H128" i="2"/>
  <c r="L128" i="2"/>
  <c r="H129" i="2"/>
  <c r="L129" i="2"/>
  <c r="H130" i="2"/>
  <c r="L130" i="2"/>
  <c r="H131" i="2"/>
  <c r="L131" i="2" s="1"/>
  <c r="H132" i="2"/>
  <c r="L132" i="2" s="1"/>
  <c r="H133" i="2"/>
  <c r="L133" i="2" s="1"/>
  <c r="H134" i="2"/>
  <c r="L134" i="2"/>
  <c r="H135" i="2"/>
  <c r="L135" i="2"/>
  <c r="H136" i="2"/>
  <c r="L136" i="2" s="1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C51" i="2"/>
  <c r="AF51" i="2" s="1"/>
  <c r="AJ51" i="2" s="1"/>
  <c r="AH50" i="2"/>
  <c r="AD50" i="2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 s="1"/>
  <c r="AF60" i="2"/>
  <c r="AJ60" i="2"/>
  <c r="AF61" i="2"/>
  <c r="AJ61" i="2" s="1"/>
  <c r="AF62" i="2"/>
  <c r="AJ62" i="2" s="1"/>
  <c r="AF63" i="2"/>
  <c r="AJ63" i="2" s="1"/>
  <c r="AF64" i="2"/>
  <c r="AJ64" i="2" s="1"/>
  <c r="AF65" i="2"/>
  <c r="AJ65" i="2" s="1"/>
  <c r="AF66" i="2"/>
  <c r="AJ66" i="2" s="1"/>
  <c r="AF67" i="2"/>
  <c r="AJ67" i="2" s="1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 s="1"/>
  <c r="AF76" i="2"/>
  <c r="AJ76" i="2" s="1"/>
  <c r="AF77" i="2"/>
  <c r="AJ77" i="2" s="1"/>
  <c r="AF78" i="2"/>
  <c r="AJ78" i="2" s="1"/>
  <c r="AF79" i="2"/>
  <c r="AJ79" i="2" s="1"/>
  <c r="AF80" i="2"/>
  <c r="AJ80" i="2" s="1"/>
  <c r="AF81" i="2"/>
  <c r="AJ81" i="2" s="1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Q50" i="2"/>
  <c r="W49" i="2"/>
  <c r="Q49" i="2"/>
  <c r="T49" i="2" s="1"/>
  <c r="X49" i="2" s="1"/>
  <c r="W48" i="2"/>
  <c r="V48" i="2"/>
  <c r="R48" i="2"/>
  <c r="Q48" i="2"/>
  <c r="P49" i="2"/>
  <c r="P50" i="2" s="1"/>
  <c r="P51" i="2" s="1"/>
  <c r="P52" i="2" s="1"/>
  <c r="P53" i="2" s="1"/>
  <c r="T54" i="2"/>
  <c r="X54" i="2" s="1"/>
  <c r="T55" i="2"/>
  <c r="X55" i="2" s="1"/>
  <c r="T56" i="2"/>
  <c r="X56" i="2"/>
  <c r="T57" i="2"/>
  <c r="X57" i="2" s="1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 s="1"/>
  <c r="T66" i="2"/>
  <c r="X66" i="2" s="1"/>
  <c r="T67" i="2"/>
  <c r="X67" i="2" s="1"/>
  <c r="T68" i="2"/>
  <c r="X68" i="2" s="1"/>
  <c r="T69" i="2"/>
  <c r="X69" i="2" s="1"/>
  <c r="T70" i="2"/>
  <c r="X70" i="2"/>
  <c r="T71" i="2"/>
  <c r="X71" i="2" s="1"/>
  <c r="T72" i="2"/>
  <c r="X72" i="2" s="1"/>
  <c r="T73" i="2"/>
  <c r="X73" i="2" s="1"/>
  <c r="T74" i="2"/>
  <c r="X74" i="2" s="1"/>
  <c r="T75" i="2"/>
  <c r="X75" i="2" s="1"/>
  <c r="T76" i="2"/>
  <c r="X76" i="2" s="1"/>
  <c r="T77" i="2"/>
  <c r="X77" i="2" s="1"/>
  <c r="T78" i="2"/>
  <c r="X78" i="2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X87" i="2"/>
  <c r="T88" i="2"/>
  <c r="X88" i="2" s="1"/>
  <c r="X89" i="2"/>
  <c r="S91" i="2"/>
  <c r="E58" i="2"/>
  <c r="H58" i="2" s="1"/>
  <c r="L58" i="2" s="1"/>
  <c r="E57" i="2"/>
  <c r="H57" i="2" s="1"/>
  <c r="L57" i="2" s="1"/>
  <c r="E56" i="2"/>
  <c r="H56" i="2" s="1"/>
  <c r="L56" i="2" s="1"/>
  <c r="E55" i="2"/>
  <c r="H55" i="2" s="1"/>
  <c r="L55" i="2" s="1"/>
  <c r="E54" i="2"/>
  <c r="H54" i="2" s="1"/>
  <c r="L54" i="2" s="1"/>
  <c r="E53" i="2"/>
  <c r="H53" i="2" s="1"/>
  <c r="L53" i="2" s="1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 s="1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9" i="2"/>
  <c r="L59" i="2" s="1"/>
  <c r="H60" i="2"/>
  <c r="L60" i="2" s="1"/>
  <c r="H61" i="2"/>
  <c r="L61" i="2" s="1"/>
  <c r="H62" i="2"/>
  <c r="L62" i="2" s="1"/>
  <c r="H63" i="2"/>
  <c r="L63" i="2"/>
  <c r="H64" i="2"/>
  <c r="L64" i="2" s="1"/>
  <c r="H65" i="2"/>
  <c r="L65" i="2" s="1"/>
  <c r="H66" i="2"/>
  <c r="L66" i="2" s="1"/>
  <c r="H67" i="2"/>
  <c r="L67" i="2" s="1"/>
  <c r="H68" i="2"/>
  <c r="L68" i="2" s="1"/>
  <c r="H69" i="2"/>
  <c r="L69" i="2" s="1"/>
  <c r="H70" i="2"/>
  <c r="L70" i="2"/>
  <c r="H71" i="2"/>
  <c r="L71" i="2" s="1"/>
  <c r="H72" i="2"/>
  <c r="L72" i="2" s="1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 s="1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 s="1"/>
  <c r="L87" i="2"/>
  <c r="H88" i="2"/>
  <c r="L88" i="2" s="1"/>
  <c r="L89" i="2"/>
  <c r="F91" i="2"/>
  <c r="G91" i="2"/>
  <c r="J91" i="2"/>
  <c r="K91" i="2"/>
  <c r="AF52" i="2" l="1"/>
  <c r="AJ52" i="2" s="1"/>
  <c r="R91" i="2"/>
  <c r="T48" i="2"/>
  <c r="AD91" i="2"/>
  <c r="AH91" i="2"/>
  <c r="T50" i="2"/>
  <c r="X50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D28" i="1" s="1"/>
  <c r="J29" i="1"/>
  <c r="D29" i="1" s="1"/>
  <c r="J30" i="1"/>
  <c r="D30" i="1" s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X91" i="2" l="1"/>
  <c r="AJ91" i="2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30" authorId="0" shapeId="0" xr:uid="{075DEE45-0A4F-4063-815B-998A3E3B6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3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4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5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6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7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8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  <comment ref="AB659" authorId="0" shapeId="0" xr:uid="{5337FADF-9553-490D-B7A4-689620ED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DINA</t>
        </r>
      </text>
    </comment>
    <comment ref="D708" authorId="0" shapeId="0" xr:uid="{64F08057-FAB1-4A68-8D64-3480810A4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708" authorId="0" shapeId="0" xr:uid="{E52D239E-B369-494E-A2BF-7D12A39F3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/ARAS VAIRETY STORE
BRGY. MANDIH</t>
        </r>
      </text>
    </comment>
    <comment ref="AB708" authorId="0" shapeId="0" xr:uid="{6CE4056A-9F6E-4915-B7E7-80B86B818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D709" authorId="0" shapeId="0" xr:uid="{0E26832E-9C0A-4760-9A98-0A8E9D473A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DAYEN STORE
POB. SINDANGAN</t>
        </r>
      </text>
    </comment>
    <comment ref="P709" authorId="0" shapeId="0" xr:uid="{56C752E6-F0BA-4BBC-B273-E04CB80C4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B709" authorId="0" shapeId="0" xr:uid="{DF295581-143A-473C-821F-108F350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
POBLACION, SALUG
</t>
        </r>
      </text>
    </comment>
    <comment ref="D710" authorId="0" shapeId="0" xr:uid="{17519BD5-0622-4978-8C96-31743C41C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P710" authorId="0" shapeId="0" xr:uid="{7C051360-4F59-4AC9-8175-C7ACA7371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B710" authorId="0" shapeId="0" xr:uid="{01A15CF3-46FD-4C2B-9632-2ADE562D9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711" authorId="0" shapeId="0" xr:uid="{E59E59BE-A43C-4F25-9963-EC5928CF5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P711" authorId="0" shapeId="0" xr:uid="{806A9145-6E3F-4DE1-91A1-48E5FC441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 BACUNGAN</t>
        </r>
      </text>
    </comment>
    <comment ref="AB711" authorId="0" shapeId="0" xr:uid="{3011248B-129A-4339-8938-A2461F60D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
POB. SALUG</t>
        </r>
      </text>
    </comment>
    <comment ref="P712" authorId="0" shapeId="0" xr:uid="{3C77DC22-02C0-4CE3-BD13-36E1F6536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 
BRGY. GOLEO</t>
        </r>
      </text>
    </comment>
    <comment ref="AB712" authorId="0" shapeId="0" xr:uid="{160D88AB-C399-45A5-8C3D-8F03E67888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P713" authorId="0" shapeId="0" xr:uid="{0F35984E-9733-4758-A724-4D85C991CA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B713" authorId="0" shapeId="0" xr:uid="{751E0053-F1AE-459A-B56A-976082EF5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714" authorId="0" shapeId="0" xr:uid="{F7E78308-FD8B-4320-BFD8-E19F45B0D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D763" authorId="0" shapeId="0" xr:uid="{993C665A-30E6-4004-9138-327B42D3F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763" authorId="0" shapeId="0" xr:uid="{490ABFF3-625B-438E-A762-8B3D6CB36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
DATU TANGKILAN</t>
        </r>
      </text>
    </comment>
    <comment ref="AB763" authorId="0" shapeId="0" xr:uid="{1772425E-5B06-42DD-86EB-DA53D8BBBE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D764" authorId="0" shapeId="0" xr:uid="{DCF2F788-2B0F-43E3-A6ED-38D704DD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BALANBAN STORE
GUNYAN SIAYAN
</t>
        </r>
      </text>
    </comment>
    <comment ref="P764" authorId="0" shapeId="0" xr:uid="{335DD2A8-523E-468F-95B7-7E3ADDFBE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</t>
        </r>
      </text>
    </comment>
    <comment ref="AB764" authorId="0" shapeId="0" xr:uid="{A62DF3F5-0395-486C-ADC4-35FDD0146A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
BAYBAY,LILOY</t>
        </r>
      </text>
    </comment>
    <comment ref="D765" authorId="0" shapeId="0" xr:uid="{5A9E6594-1A5E-4E85-B6E9-D859D20E7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LAYDELIA
DENUYAN</t>
        </r>
      </text>
    </comment>
    <comment ref="P765" authorId="0" shapeId="0" xr:uid="{370F2DD6-7028-45F7-8A69-E469F92C0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
DATU TANGKILAN</t>
        </r>
      </text>
    </comment>
    <comment ref="AB765" authorId="0" shapeId="0" xr:uid="{63352154-7429-40C3-B69F-9993B7DA1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 LILOY</t>
        </r>
      </text>
    </comment>
    <comment ref="P766" authorId="0" shapeId="0" xr:uid="{C27D6CCF-EE53-4086-A196-0BBA34CEA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 STORE
MARAS</t>
        </r>
      </text>
    </comment>
    <comment ref="AB766" authorId="0" shapeId="0" xr:uid="{ED15983D-ED43-43C3-9E9A-34AEC6E90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 LILOY</t>
        </r>
      </text>
    </comment>
    <comment ref="P767" authorId="0" shapeId="0" xr:uid="{04143C28-AE6D-4B1A-B409-4F5B4083B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
</t>
        </r>
      </text>
    </comment>
    <comment ref="AB767" authorId="0" shapeId="0" xr:uid="{4C069D74-B8A0-4564-BC9E-5E3916863E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P768" authorId="0" shapeId="0" xr:uid="{6973BDF3-DE75-4D86-A5B3-6C0E440C2C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
MARAS</t>
        </r>
      </text>
    </comment>
    <comment ref="AB768" authorId="0" shapeId="0" xr:uid="{85536E61-2339-472D-B198-CE3E7D5D3E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,SALUG</t>
        </r>
      </text>
    </comment>
    <comment ref="P769" authorId="0" shapeId="0" xr:uid="{66901072-2A7C-444B-8E98-E1CFEE6A4A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BILLLONES STORE
MARAS</t>
        </r>
      </text>
    </comment>
    <comment ref="P770" authorId="0" shapeId="0" xr:uid="{22D94DDF-DC79-468B-85AC-C5AF6595E6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</t>
        </r>
      </text>
    </comment>
    <comment ref="P771" authorId="0" shapeId="0" xr:uid="{597A1995-EA20-49F7-A272-CEC75047A3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POB. SINDANGAN</t>
        </r>
      </text>
    </comment>
    <comment ref="P772" authorId="0" shapeId="0" xr:uid="{A506B50F-3E54-494A-9C8A-C1FFB1553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POB. SINDANGAN</t>
        </r>
      </text>
    </comment>
    <comment ref="P773" authorId="0" shapeId="0" xr:uid="{7DA2BD7D-4E71-4DBD-A159-A9AEB180D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
GOLEO</t>
        </r>
      </text>
    </comment>
    <comment ref="P774" authorId="0" shapeId="0" xr:uid="{D952F9D6-6446-4B9D-B2AE-FE5FECAB9B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GOLEO</t>
        </r>
      </text>
    </comment>
    <comment ref="P775" authorId="0" shapeId="0" xr:uid="{7D9209B6-9E3A-4607-AE6A-2D52BEB2F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P776" authorId="0" shapeId="0" xr:uid="{6A5D5CC5-2A37-437B-8DF3-F12E7636D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CITA ESPAÑOLA STORE
INUMAN</t>
        </r>
      </text>
    </comment>
    <comment ref="P777" authorId="0" shapeId="0" xr:uid="{B90AEC0E-9040-4B3A-878B-6177F303F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 CAÑETE
GOLEO</t>
        </r>
      </text>
    </comment>
    <comment ref="D818" authorId="0" shapeId="0" xr:uid="{54AC8827-AF9E-456D-9EED-96640BA35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PIZON,ALEJANDRO
POB.SIAYAN</t>
        </r>
      </text>
    </comment>
    <comment ref="P818" authorId="0" shapeId="0" xr:uid="{847FAD94-0138-4322-BE7A-14CE99889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GOLEO</t>
        </r>
      </text>
    </comment>
    <comment ref="AB818" authorId="0" shapeId="0" xr:uid="{46AD4417-0EC4-4C10-898A-F017FCD5D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POB.SALUG</t>
        </r>
      </text>
    </comment>
    <comment ref="D819" authorId="0" shapeId="0" xr:uid="{6F9E55C3-D756-42EF-A2A8-2B0EEE3C2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P819" authorId="0" shapeId="0" xr:uid="{12B8866D-3B03-4D3B-82DF-77298EDA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DEXTER
MARAS</t>
        </r>
      </text>
    </comment>
    <comment ref="AB819" authorId="0" shapeId="0" xr:uid="{CBAA9212-A3BE-49F0-97E9-F37EF8C6FE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 SALUG</t>
        </r>
      </text>
    </comment>
    <comment ref="D820" authorId="0" shapeId="0" xr:uid="{50FED673-C127-41C1-9A30-45E8F094CE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</t>
        </r>
      </text>
    </comment>
    <comment ref="P820" authorId="0" shapeId="0" xr:uid="{E8AC4DC6-F380-476A-9A35-4B51A412B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POB.LEON POSTIGO</t>
        </r>
      </text>
    </comment>
    <comment ref="AB820" authorId="0" shapeId="0" xr:uid="{800F6454-CD8D-4AD7-9072-B583FF4FA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BACONG. SALUG</t>
        </r>
      </text>
    </comment>
    <comment ref="D821" authorId="0" shapeId="0" xr:uid="{305E763D-4FE0-410A-97CE-85C33E5D7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AB821" authorId="0" shapeId="0" xr:uid="{9C4191D1-C569-4372-A8AA-7FAF41B56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D822" authorId="0" shapeId="0" xr:uid="{6383F3BE-264B-469C-B23C-A73BC948AA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MARJO MAGTAJAS</t>
        </r>
      </text>
    </comment>
    <comment ref="AB822" authorId="0" shapeId="0" xr:uid="{31A68BCB-658B-4260-8FC3-60996FB19A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823" authorId="0" shapeId="0" xr:uid="{BEF61673-4042-4BED-8A4C-AF733493E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
POB. SINDANGAN</t>
        </r>
      </text>
    </comment>
    <comment ref="D824" authorId="0" shapeId="0" xr:uid="{4E2B5424-E79B-4901-B2A0-16FF81AE58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</t>
        </r>
      </text>
    </comment>
    <comment ref="D825" authorId="0" shapeId="0" xr:uid="{9C9E9121-6C98-47E1-9CD3-5F6D00077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POB. SINDANGAN</t>
        </r>
      </text>
    </comment>
    <comment ref="D826" authorId="0" shapeId="0" xr:uid="{702608E7-A5D3-4099-9B63-B608AA7F9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D827" authorId="0" shapeId="0" xr:uid="{7E91B49D-A64E-449A-9427-BB3C86993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SINGANGAN</t>
        </r>
      </text>
    </comment>
    <comment ref="D828" authorId="0" shapeId="0" xr:uid="{009AA343-C073-46A2-920C-A210F570D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 STORE
DAPAON</t>
        </r>
      </text>
    </comment>
    <comment ref="D873" authorId="0" shapeId="0" xr:uid="{3BA760AF-A5B9-416C-94FA-85BB4C42D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STORE
MAYSAYSAY</t>
        </r>
      </text>
    </comment>
    <comment ref="P873" authorId="0" shapeId="0" xr:uid="{F705BB7D-26F6-444B-840B-C2993BBE2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 EATERY
INUMAN</t>
        </r>
      </text>
    </comment>
    <comment ref="AB873" authorId="0" shapeId="0" xr:uid="{535784CE-8D9E-4F66-91F8-AF6413177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STORE
BAYBAY LILOY</t>
        </r>
      </text>
    </comment>
    <comment ref="D874" authorId="0" shapeId="0" xr:uid="{E345F593-FA0B-4ED9-8D0C-F62BFF5008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4" authorId="0" shapeId="0" xr:uid="{49A48D78-7E2B-4EE3-8918-184BE6864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POB. SINDANGAN</t>
        </r>
      </text>
    </comment>
    <comment ref="AB874" authorId="0" shapeId="0" xr:uid="{2C7527AA-67A1-4E86-BF6C-8FD1A3097D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
POBLACION, SALUG</t>
        </r>
      </text>
    </comment>
    <comment ref="D875" authorId="0" shapeId="0" xr:uid="{4294BD63-484A-4539-9AC3-079A33DC2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5" authorId="0" shapeId="0" xr:uid="{A9598E0D-30D7-4776-994B-CBD3EC704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BELLARMINO JOHNA
DATU TANGKILAN</t>
        </r>
      </text>
    </comment>
    <comment ref="AB875" authorId="0" shapeId="0" xr:uid="{07EFEE9E-A209-4449-BC65-A341233EDA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 LILOY</t>
        </r>
      </text>
    </comment>
    <comment ref="D876" authorId="0" shapeId="0" xr:uid="{BE05A9D4-3AB9-40AA-943A-777B56F97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DELMAR VILLARIN</t>
        </r>
      </text>
    </comment>
    <comment ref="P876" authorId="0" shapeId="0" xr:uid="{29325381-FAF3-498B-AB44-9607FD95C2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</t>
        </r>
      </text>
    </comment>
    <comment ref="D877" authorId="0" shapeId="0" xr:uid="{5A864B14-8E7C-4EBB-B565-29B8539A34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877" authorId="0" shapeId="0" xr:uid="{52354F98-085D-410F-B720-11127C1DD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JENNY
POB.SINDANGAN</t>
        </r>
      </text>
    </comment>
    <comment ref="D878" authorId="0" shapeId="0" xr:uid="{BE62F38F-C79A-429C-A6B2-2145B9BB4D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 SIAYAN</t>
        </r>
      </text>
    </comment>
    <comment ref="P928" authorId="0" shapeId="0" xr:uid="{BC7F7859-52C6-4A2D-9682-69D633EE31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B928" authorId="0" shapeId="0" xr:uid="{C8381D7E-0B9E-471C-8DDC-DCEF27CB2C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P929" authorId="0" shapeId="0" xr:uid="{6D259B8C-57D7-45C5-9F5C-2F2A76BB1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INUMAN</t>
        </r>
      </text>
    </comment>
    <comment ref="AB929" authorId="0" shapeId="0" xr:uid="{EBF81718-7F04-45B6-900A-70507B8B1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0" authorId="0" shapeId="0" xr:uid="{66459CFE-3E34-4735-A2CB-0CC2B5C60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
TINAPLAN</t>
        </r>
      </text>
    </comment>
    <comment ref="AB930" authorId="0" shapeId="0" xr:uid="{355123D9-3BB9-41A8-9691-38A6C9C36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1" authorId="0" shapeId="0" xr:uid="{C72B3BFC-CC60-4502-9D21-E274DA20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JN&amp; SON
LEON POSTIGO</t>
        </r>
      </text>
    </comment>
    <comment ref="AB931" authorId="0" shapeId="0" xr:uid="{7FD9A007-98CD-4BAB-8917-648FEC15A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932" authorId="0" shapeId="0" xr:uid="{B0AC414E-A650-4CE4-8972-46FD645D6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</t>
        </r>
      </text>
    </comment>
    <comment ref="P933" authorId="0" shapeId="0" xr:uid="{39788ECE-E03D-477A-9E23-4E7C77FF1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 SINDANGAN</t>
        </r>
      </text>
    </comment>
    <comment ref="P934" authorId="0" shapeId="0" xr:uid="{BC2EBA1E-0626-42C2-A495-BA59F8DC1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
GOLEO</t>
        </r>
      </text>
    </comment>
    <comment ref="P935" authorId="0" shapeId="0" xr:uid="{DCBDA127-3736-4A51-8CD4-8B9A356566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</t>
        </r>
      </text>
    </comment>
    <comment ref="D983" authorId="0" shapeId="0" xr:uid="{7E005689-F87D-493B-80A7-43A16AE75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983" authorId="0" shapeId="0" xr:uid="{51CEF60B-9422-468B-B364-24AB3E051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BROWNIE
GOLEO</t>
        </r>
      </text>
    </comment>
    <comment ref="AB983" authorId="0" shapeId="0" xr:uid="{4FAB62B1-E0B0-4DB7-8720-3BC2D8FFB4E3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INDAY STORE
BACONG, SALUG</t>
        </r>
      </text>
    </comment>
    <comment ref="D984" authorId="0" shapeId="0" xr:uid="{C187F08F-73B8-4713-AE9E-7888B756C9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 
POB. SINDANGAN</t>
        </r>
      </text>
    </comment>
    <comment ref="P984" authorId="0" shapeId="0" xr:uid="{7420F8BB-17CC-4125-AD92-334BE717C8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CAMPOY
TALINGA</t>
        </r>
      </text>
    </comment>
    <comment ref="AB984" authorId="0" shapeId="0" xr:uid="{9BBE5B98-3B5A-4882-8471-3D677D2506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BACONG, SALUG</t>
        </r>
      </text>
    </comment>
    <comment ref="D985" authorId="0" shapeId="0" xr:uid="{90CE8740-DCA5-4F33-B1B2-F2F899AD4F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 SINDANGAN</t>
        </r>
      </text>
    </comment>
    <comment ref="P985" authorId="0" shapeId="0" xr:uid="{454AB49A-6C4E-4AAC-9E89-E5BA73C2D7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
MANDIH</t>
        </r>
      </text>
    </comment>
    <comment ref="AB985" authorId="0" shapeId="0" xr:uid="{456DC935-0AC8-4FFC-925B-1E7E55DE1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GODOD</t>
        </r>
      </text>
    </comment>
    <comment ref="P986" authorId="0" shapeId="0" xr:uid="{FFAB811E-FFAD-4ED0-B5E9-2ABFF253D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SAMONTE STORE
MARAS SINDANGAN</t>
        </r>
      </text>
    </comment>
    <comment ref="AB986" authorId="0" shapeId="0" xr:uid="{9D98805A-19E6-435B-86C6-A99E8E79A0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POBLACION, SALUG</t>
        </r>
      </text>
    </comment>
    <comment ref="P987" authorId="0" shapeId="0" xr:uid="{3473DAFA-545C-4923-8548-2B9C7E32A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
POB SINDANGAN</t>
        </r>
      </text>
    </comment>
    <comment ref="AB987" authorId="0" shapeId="0" xr:uid="{3567B826-C5F8-48F2-B7CB-F3A43A5AC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POBLACION, SALUG</t>
        </r>
      </text>
    </comment>
    <comment ref="P988" authorId="0" shapeId="0" xr:uid="{CA82EF6B-2B70-442B-B019-16DC4C815F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JADE EATERY</t>
        </r>
      </text>
    </comment>
    <comment ref="AB988" authorId="0" shapeId="0" xr:uid="{DCCC67F0-6ECE-49E1-BD8A-44B84141A7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POBLACION, SALUG</t>
        </r>
      </text>
    </comment>
    <comment ref="AB989" authorId="0" shapeId="0" xr:uid="{D9428CD3-14A2-460B-8D83-52EB69E29C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POBLACION, SALUG</t>
        </r>
      </text>
    </comment>
    <comment ref="AB990" authorId="0" shapeId="0" xr:uid="{DE5CF744-45A4-4675-B0F2-17198CFD0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BAY-BAY, LILOY</t>
        </r>
      </text>
    </comment>
    <comment ref="AB991" authorId="0" shapeId="0" xr:uid="{7D4F9ED0-C59A-4BEB-9652-24FE93CD9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</t>
        </r>
      </text>
    </comment>
    <comment ref="D1038" authorId="0" shapeId="0" xr:uid="{EC653AAD-46E8-4AA4-AAC6-DAADB9A4F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DENUYAN</t>
        </r>
      </text>
    </comment>
    <comment ref="P1038" authorId="0" shapeId="0" xr:uid="{09028F3A-8978-4269-B336-37BC6AD96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
LEON POSTIGO</t>
        </r>
      </text>
    </comment>
    <comment ref="AB1038" authorId="0" shapeId="0" xr:uid="{A4F4E30D-578F-4512-A95E-E538C5C27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</t>
        </r>
      </text>
    </comment>
    <comment ref="D1039" authorId="0" shapeId="0" xr:uid="{5FD6D911-4BC0-4550-9C4D-9C1BE0067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POB.SIAYAN</t>
        </r>
      </text>
    </comment>
    <comment ref="P1039" authorId="0" shapeId="0" xr:uid="{D18DEE9F-E9C3-48EA-BA99-A27640900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LEON POSTIGO</t>
        </r>
      </text>
    </comment>
    <comment ref="AB1039" authorId="0" shapeId="0" xr:uid="{C49C2D94-7BDD-46A9-B08B-97F53B05E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BAY-BAY, LILOY</t>
        </r>
      </text>
    </comment>
    <comment ref="D1040" authorId="0" shapeId="0" xr:uid="{58B3C447-E7E3-4229-98C0-3CC610091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P1040" authorId="0" shapeId="0" xr:uid="{B5D2281A-4191-4CF6-9EC5-7D43A87FAF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GOLEO</t>
        </r>
      </text>
    </comment>
    <comment ref="AB1040" authorId="0" shapeId="0" xr:uid="{328BDBC8-3AED-4AC4-93EF-D7C615574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D1041" authorId="0" shapeId="0" xr:uid="{52E6625E-BA2B-4A35-A2BD-6CD410ADD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B1041" authorId="0" shapeId="0" xr:uid="{0CEBA278-81C3-48B9-880E-3AF0AE83A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D1042" authorId="0" shapeId="0" xr:uid="{BFF0691C-F1DC-4714-8427-4685E8D705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AB1042" authorId="0" shapeId="0" xr:uid="{6AB10070-8E15-4652-BAE9-0DF9A6A0F7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1043" authorId="0" shapeId="0" xr:uid="{E8F44671-F02C-44A1-A211-F36A4399B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AB1044" authorId="0" shapeId="0" xr:uid="{06F6B8D0-1060-4597-B6AC-944FEBF58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STORE
POBLACION</t>
        </r>
      </text>
    </comment>
    <comment ref="AB1045" authorId="0" shapeId="0" xr:uid="{3CD3B27E-C3C2-4FD2-AC21-FF8C78AE4B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ANDOY</t>
        </r>
      </text>
    </comment>
    <comment ref="D1093" authorId="0" shapeId="0" xr:uid="{30907FB9-C484-470B-9142-31EE57BFAE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ESTOTA
PIAO SINDANGAN</t>
        </r>
      </text>
    </comment>
    <comment ref="P1093" authorId="0" shapeId="0" xr:uid="{7C5B9A48-B72A-4CC4-AF90-DFAB45540D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VMS 
D. TANGKILAN</t>
        </r>
      </text>
    </comment>
    <comment ref="AB1093" authorId="0" shapeId="0" xr:uid="{0353D6AD-B38C-4A8C-8ED2-3F963094BF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1094" authorId="0" shapeId="0" xr:uid="{93823F5E-0C4C-4BE3-9427-22E9E0A1D6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 SINDANGAN</t>
        </r>
      </text>
    </comment>
    <comment ref="P1094" authorId="0" shapeId="0" xr:uid="{1C8535DE-0A6F-4401-BC9B-1690D282D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D. TANGKILAN</t>
        </r>
      </text>
    </comment>
    <comment ref="AB1094" authorId="0" shapeId="0" xr:uid="{A02710AF-ADC7-4511-B08C-E81AAF3C7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1095" authorId="0" shapeId="0" xr:uid="{109BD349-8333-45BD-8EAB-69C1038F09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P1095" authorId="0" shapeId="0" xr:uid="{0CD6ECB0-4AC0-443D-9B28-5A16B3A368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
LEON POSTIGO</t>
        </r>
      </text>
    </comment>
    <comment ref="AB1095" authorId="0" shapeId="0" xr:uid="{060C3B1E-42BE-4D1D-B6FA-F87655C872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STORE
POBLACION, SALUG</t>
        </r>
      </text>
    </comment>
    <comment ref="D1096" authorId="0" shapeId="0" xr:uid="{CB1F43A3-2204-4D14-8B51-36731DFD2F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1096" authorId="0" shapeId="0" xr:uid="{1D132A08-E2DE-407D-86C3-A750FE2D5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LEON POSTIGO</t>
        </r>
      </text>
    </comment>
    <comment ref="AB1096" authorId="0" shapeId="0" xr:uid="{79581F0A-8C78-4B93-B8D6-7CC3FBD78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</t>
        </r>
      </text>
    </comment>
    <comment ref="P1097" authorId="0" shapeId="0" xr:uid="{FECBE558-C4D2-40F7-AFF1-8CBDAD916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 SINDANGAN</t>
        </r>
      </text>
    </comment>
    <comment ref="AB1097" authorId="0" shapeId="0" xr:uid="{00BFA716-7BB3-48DB-8D24-DFCFD77B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POBLACION, SALUG</t>
        </r>
      </text>
    </comment>
    <comment ref="P1098" authorId="0" shapeId="0" xr:uid="{CDE3E7B1-C146-4DFD-94A6-FDDFD7620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VARIETY STORE
TALINGA</t>
        </r>
      </text>
    </comment>
    <comment ref="AB1098" authorId="0" shapeId="0" xr:uid="{8DC58516-2DF9-47A5-AA09-922B375A11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
BACONG, SALUG</t>
        </r>
      </text>
    </comment>
    <comment ref="P1099" authorId="0" shapeId="0" xr:uid="{CF67CC67-96D2-4715-8DFD-40754867B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YASSE STORE
TALINGA</t>
        </r>
      </text>
    </comment>
    <comment ref="AB1099" authorId="0" shapeId="0" xr:uid="{3F231E4A-EF32-4114-B305-894D05E035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</t>
        </r>
      </text>
    </comment>
    <comment ref="P1100" authorId="0" shapeId="0" xr:uid="{657FD6E9-AD40-450E-BCA5-96B7E140B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 ANAN SA HIGHWAY</t>
        </r>
      </text>
    </comment>
    <comment ref="AB1100" authorId="0" shapeId="0" xr:uid="{D8ADF100-8C6A-4F82-908F-818D66F695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</t>
        </r>
      </text>
    </comment>
    <comment ref="P1101" authorId="0" shapeId="0" xr:uid="{D1BF03B0-BC51-4EEA-BE26-4A53ABF55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B1101" authorId="0" shapeId="0" xr:uid="{21ECA64B-0A41-4617-BFBF-0F8A39C82B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ALEX</t>
        </r>
      </text>
    </comment>
    <comment ref="P1102" authorId="0" shapeId="0" xr:uid="{C78B552F-531E-46D3-BD17-6012D8421A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STORE
GOLEO</t>
        </r>
      </text>
    </comment>
    <comment ref="P1103" authorId="0" shapeId="0" xr:uid="{FC2687CE-E68B-46FE-B3B1-4F2AD9BBD3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ARCAY STORE
GOLEO</t>
        </r>
      </text>
    </comment>
    <comment ref="P1104" authorId="0" shapeId="0" xr:uid="{7277E396-E1F3-4845-AEEE-3B0DE2442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BBQ
GOLEO</t>
        </r>
      </text>
    </comment>
    <comment ref="P1105" authorId="0" shapeId="0" xr:uid="{8D09DBD8-F6FF-4516-B9E6-0E52505317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STORE
MARAS</t>
        </r>
      </text>
    </comment>
    <comment ref="P1106" authorId="0" shapeId="0" xr:uid="{70F9265A-E307-4833-AECD-0AA3113A6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CD&amp;H STORE
MARAS</t>
        </r>
      </text>
    </comment>
    <comment ref="P1107" authorId="0" shapeId="0" xr:uid="{5DC2666E-3811-4E74-9D83-5C7446257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</t>
        </r>
      </text>
    </comment>
  </commentList>
</comments>
</file>

<file path=xl/sharedStrings.xml><?xml version="1.0" encoding="utf-8"?>
<sst xmlns="http://schemas.openxmlformats.org/spreadsheetml/2006/main" count="1491" uniqueCount="99">
  <si>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</si>
  <si>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</si>
  <si>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</si>
  <si>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</si>
  <si>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</si>
  <si>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</si>
  <si>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</si>
  <si>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</si>
  <si>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</si>
  <si>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</si>
  <si>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</si>
  <si>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</si>
  <si>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</si>
  <si>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</si>
  <si>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</si>
  <si>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</si>
  <si>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</si>
  <si>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</si>
  <si>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</si>
  <si>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</si>
  <si>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</si>
  <si>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</si>
  <si>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</si>
  <si>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</si>
  <si>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</si>
  <si>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</si>
  <si>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</si>
  <si>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</si>
  <si>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</si>
  <si>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</si>
  <si>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</si>
  <si>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</si>
  <si>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</si>
  <si>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</si>
  <si>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</si>
  <si>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</si>
  <si>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</si>
  <si>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</si>
  <si>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</si>
  <si>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</si>
  <si>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</si>
  <si>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</si>
  <si>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</si>
  <si>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</si>
  <si>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</si>
  <si>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</si>
  <si>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</si>
  <si>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</si>
  <si>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</si>
  <si>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</si>
  <si>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</si>
  <si>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</si>
  <si>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</si>
  <si>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</si>
  <si>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</si>
  <si>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</si>
  <si>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</si>
  <si>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</si>
  <si>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</si>
  <si>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</si>
  <si>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</si>
  <si>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</si>
  <si>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</si>
  <si>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</si>
  <si>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</si>
  <si>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</si>
  <si>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</si>
  <si>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</si>
  <si>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</si>
  <si>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</si>
  <si>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</si>
  <si>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</si>
  <si>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</si>
  <si>
    <t>AUGUST 17, 2026</t>
  </si>
  <si>
    <t>08/17/2026</t>
  </si>
  <si>
    <t xml:space="preserve">MONDAY </t>
  </si>
  <si>
    <t>11927-11930/11836-11842/11880-11885</t>
  </si>
  <si>
    <t>AUGUST 18, 2026</t>
  </si>
  <si>
    <t>08/18/2026</t>
  </si>
  <si>
    <t>11931-11933/11843-11857/11886-11891</t>
  </si>
  <si>
    <t>AUGUST 19, 2026</t>
  </si>
  <si>
    <t>08/19/2026</t>
  </si>
  <si>
    <t>LOPEZ, GINA GRACE</t>
  </si>
  <si>
    <t>11934-11944/11958-11960/11892-11896</t>
  </si>
  <si>
    <t>AUGUST 20, 2026</t>
  </si>
  <si>
    <t>08/20/2026</t>
  </si>
  <si>
    <t>11945-11950/11961-11965/11898-11897</t>
  </si>
  <si>
    <t>AUGUST 21, 2026</t>
  </si>
  <si>
    <t>08/21/2026</t>
  </si>
  <si>
    <t>AUGUST 24, 2026</t>
  </si>
  <si>
    <t>08/24/2026</t>
  </si>
  <si>
    <t>12051-12053/11974-11979/12005-12013</t>
  </si>
  <si>
    <t>/11966-11973/11898-11901</t>
  </si>
  <si>
    <t>AUGUST 25, 2026</t>
  </si>
  <si>
    <t>08/25/2026</t>
  </si>
  <si>
    <t xml:space="preserve">TUESDAY </t>
  </si>
  <si>
    <t>12054-12058/11980-11982/12014-12021</t>
  </si>
  <si>
    <t>AUGUST 26, 2026</t>
  </si>
  <si>
    <t>08/26/2026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</si>
</sst>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5" zoomScaleNormal="100" workbookViewId="0">
      <selection activeCell="C34" sqref="C3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38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426928</v>
      </c>
      <c r="F24" s="14"/>
      <c r="G24" s="14"/>
      <c r="H24" s="14">
        <v>426928</v>
      </c>
      <c r="I24" s="14"/>
      <c r="J24" s="17">
        <f t="shared" si="0"/>
        <v>426928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 t="s">
        <v>76</v>
      </c>
      <c r="D26" s="16">
        <f t="shared" si="2"/>
        <v>1122767.5</v>
      </c>
      <c r="F26" s="14">
        <v>344692</v>
      </c>
      <c r="G26" s="14">
        <v>347425.5</v>
      </c>
      <c r="H26" s="14">
        <v>430650</v>
      </c>
      <c r="I26" s="14"/>
      <c r="J26" s="17">
        <f t="shared" ref="J26:J31" si="3">F26+G26+H26</f>
        <v>1122767.5</v>
      </c>
    </row>
    <row r="27" spans="1:10" x14ac:dyDescent="0.25">
      <c r="A27" s="10">
        <f t="shared" si="1"/>
        <v>18</v>
      </c>
      <c r="B27" s="41" t="s">
        <v>8</v>
      </c>
      <c r="C27" s="12" t="s">
        <v>79</v>
      </c>
      <c r="D27" s="16">
        <f t="shared" si="2"/>
        <v>841127</v>
      </c>
      <c r="F27" s="14">
        <v>444618</v>
      </c>
      <c r="G27" s="14">
        <v>192083</v>
      </c>
      <c r="H27" s="14">
        <v>204426</v>
      </c>
      <c r="I27" s="14"/>
      <c r="J27" s="17">
        <f t="shared" si="3"/>
        <v>841127</v>
      </c>
    </row>
    <row r="28" spans="1:10" x14ac:dyDescent="0.25">
      <c r="A28" s="10">
        <f t="shared" si="1"/>
        <v>19</v>
      </c>
      <c r="B28" s="54" t="s">
        <v>9</v>
      </c>
      <c r="C28" s="12" t="s">
        <v>83</v>
      </c>
      <c r="D28" s="16">
        <f t="shared" si="2"/>
        <v>818397.5</v>
      </c>
      <c r="F28" s="14">
        <v>345321</v>
      </c>
      <c r="G28" s="14">
        <v>215351.5</v>
      </c>
      <c r="H28" s="14">
        <v>257725</v>
      </c>
      <c r="I28" s="14"/>
      <c r="J28" s="17">
        <f t="shared" si="3"/>
        <v>818397.5</v>
      </c>
    </row>
    <row r="29" spans="1:10" x14ac:dyDescent="0.25">
      <c r="A29" s="10">
        <f t="shared" si="1"/>
        <v>20</v>
      </c>
      <c r="B29" s="11" t="s">
        <v>30</v>
      </c>
      <c r="C29" s="12" t="s">
        <v>86</v>
      </c>
      <c r="D29" s="16">
        <f t="shared" si="2"/>
        <v>1039492</v>
      </c>
      <c r="F29" s="14">
        <v>565942</v>
      </c>
      <c r="G29" s="14">
        <v>66991</v>
      </c>
      <c r="H29" s="14">
        <v>406559</v>
      </c>
      <c r="I29" s="14"/>
      <c r="J29" s="17">
        <f t="shared" si="3"/>
        <v>1039492</v>
      </c>
    </row>
    <row r="30" spans="1:10" x14ac:dyDescent="0.25">
      <c r="A30" s="10">
        <f t="shared" si="1"/>
        <v>21</v>
      </c>
      <c r="B30" s="41" t="s">
        <v>4</v>
      </c>
      <c r="C30" s="12" t="s">
        <v>92</v>
      </c>
      <c r="D30" s="16">
        <f t="shared" si="2"/>
        <v>664936</v>
      </c>
      <c r="F30" s="14"/>
      <c r="G30" s="14">
        <v>301014</v>
      </c>
      <c r="H30" s="14">
        <v>363922</v>
      </c>
      <c r="I30" s="14"/>
      <c r="J30" s="17">
        <f t="shared" si="3"/>
        <v>664936</v>
      </c>
    </row>
    <row r="31" spans="1:10" x14ac:dyDescent="0.25">
      <c r="A31" s="10">
        <f t="shared" si="1"/>
        <v>22</v>
      </c>
      <c r="B31" s="54" t="s">
        <v>5</v>
      </c>
      <c r="C31" s="42" t="s">
        <v>42</v>
      </c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 t="s">
        <v>91</v>
      </c>
      <c r="D33" s="16">
        <f t="shared" ref="D33:D40" si="4">J33</f>
        <v>1315935</v>
      </c>
      <c r="E33" s="15"/>
      <c r="F33" s="15">
        <v>622017</v>
      </c>
      <c r="G33" s="15">
        <v>252189</v>
      </c>
      <c r="H33" s="15">
        <v>441729</v>
      </c>
      <c r="I33" s="14"/>
      <c r="J33" s="17">
        <f t="shared" si="0"/>
        <v>1315935</v>
      </c>
    </row>
    <row r="34" spans="1:10" x14ac:dyDescent="0.25">
      <c r="A34" s="10">
        <f>A33+1</f>
        <v>25</v>
      </c>
      <c r="B34" s="54" t="s">
        <v>8</v>
      </c>
      <c r="C34" s="12" t="s">
        <v>96</v>
      </c>
      <c r="D34" s="16">
        <f t="shared" si="4"/>
        <v>1662394</v>
      </c>
      <c r="E34" s="14"/>
      <c r="F34" s="15">
        <v>662754</v>
      </c>
      <c r="G34" s="15">
        <v>439843</v>
      </c>
      <c r="H34" s="15">
        <v>559797</v>
      </c>
      <c r="I34" s="14"/>
      <c r="J34" s="17">
        <f t="shared" si="0"/>
        <v>1662394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15" t="s">
        <v>10</v>
      </c>
      <c r="B42" s="116"/>
      <c r="C42" s="117"/>
      <c r="D42" s="46">
        <f>SUM(D2:D41)</f>
        <v>16454517.5</v>
      </c>
      <c r="J42" s="47">
        <f>SUM(J10:J41)</f>
        <v>16454517.5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6"/>
  <sheetViews>
    <sheetView tabSelected="1" topLeftCell="O1100" zoomScale="93" zoomScaleNormal="93" workbookViewId="0">
      <selection activeCell="AB1128" sqref="AB1128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18" t="s">
        <v>17</v>
      </c>
      <c r="F10" s="118"/>
      <c r="G10" s="88"/>
      <c r="H10" s="27"/>
      <c r="J10" s="119" t="s">
        <v>18</v>
      </c>
      <c r="K10" s="120"/>
      <c r="L10" s="121" t="s">
        <v>19</v>
      </c>
      <c r="O10" s="25"/>
      <c r="P10" s="26"/>
      <c r="Q10" s="118" t="s">
        <v>17</v>
      </c>
      <c r="R10" s="118"/>
      <c r="S10" s="73"/>
      <c r="T10" s="27"/>
      <c r="V10" s="119" t="s">
        <v>18</v>
      </c>
      <c r="W10" s="120"/>
      <c r="X10" s="121" t="s">
        <v>19</v>
      </c>
      <c r="AA10" s="25"/>
      <c r="AB10" s="26"/>
      <c r="AC10" s="118" t="s">
        <v>17</v>
      </c>
      <c r="AD10" s="118"/>
      <c r="AE10" s="73"/>
      <c r="AF10" s="27"/>
      <c r="AH10" s="119" t="s">
        <v>18</v>
      </c>
      <c r="AI10" s="120"/>
      <c r="AJ10" s="121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22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22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22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18" t="s">
        <v>17</v>
      </c>
      <c r="F46" s="118"/>
      <c r="G46" s="89"/>
      <c r="H46" s="27"/>
      <c r="J46" s="119" t="s">
        <v>18</v>
      </c>
      <c r="K46" s="120"/>
      <c r="L46" s="121" t="s">
        <v>19</v>
      </c>
      <c r="O46" s="25"/>
      <c r="P46" s="26"/>
      <c r="Q46" s="118" t="s">
        <v>17</v>
      </c>
      <c r="R46" s="118"/>
      <c r="S46" s="89"/>
      <c r="T46" s="27"/>
      <c r="V46" s="119" t="s">
        <v>18</v>
      </c>
      <c r="W46" s="120"/>
      <c r="X46" s="121" t="s">
        <v>19</v>
      </c>
      <c r="AA46" s="25"/>
      <c r="AB46" s="26"/>
      <c r="AC46" s="118" t="s">
        <v>17</v>
      </c>
      <c r="AD46" s="118"/>
      <c r="AE46" s="89"/>
      <c r="AF46" s="27"/>
      <c r="AH46" s="119" t="s">
        <v>18</v>
      </c>
      <c r="AI46" s="120"/>
      <c r="AJ46" s="121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22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22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22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24"/>
      <c r="AP48" s="124"/>
      <c r="AQ48" s="83"/>
      <c r="AR48" s="60"/>
      <c r="AS48" s="124"/>
      <c r="AT48" s="124"/>
      <c r="AU48" s="123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23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18" t="s">
        <v>17</v>
      </c>
      <c r="F101" s="118"/>
      <c r="G101" s="90"/>
      <c r="H101" s="27"/>
      <c r="J101" s="119" t="s">
        <v>18</v>
      </c>
      <c r="K101" s="120"/>
      <c r="L101" s="121" t="s">
        <v>19</v>
      </c>
      <c r="O101" s="25"/>
      <c r="P101" s="26"/>
      <c r="Q101" s="118" t="s">
        <v>17</v>
      </c>
      <c r="R101" s="118"/>
      <c r="S101" s="90"/>
      <c r="T101" s="27"/>
      <c r="V101" s="119" t="s">
        <v>18</v>
      </c>
      <c r="W101" s="120"/>
      <c r="X101" s="121" t="s">
        <v>19</v>
      </c>
      <c r="AA101" s="25"/>
      <c r="AB101" s="26"/>
      <c r="AC101" s="118" t="s">
        <v>17</v>
      </c>
      <c r="AD101" s="118"/>
      <c r="AE101" s="91"/>
      <c r="AF101" s="27"/>
      <c r="AH101" s="119" t="s">
        <v>18</v>
      </c>
      <c r="AI101" s="120"/>
      <c r="AJ101" s="121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22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22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22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18" t="s">
        <v>17</v>
      </c>
      <c r="F156" s="118"/>
      <c r="G156" s="92"/>
      <c r="H156" s="27"/>
      <c r="J156" s="119" t="s">
        <v>18</v>
      </c>
      <c r="K156" s="120"/>
      <c r="L156" s="121" t="s">
        <v>19</v>
      </c>
      <c r="O156" s="25"/>
      <c r="P156" s="26"/>
      <c r="Q156" s="118" t="s">
        <v>17</v>
      </c>
      <c r="R156" s="118"/>
      <c r="S156" s="92"/>
      <c r="T156" s="27"/>
      <c r="V156" s="119" t="s">
        <v>18</v>
      </c>
      <c r="W156" s="120"/>
      <c r="X156" s="121" t="s">
        <v>19</v>
      </c>
      <c r="AA156" s="25"/>
      <c r="AB156" s="26"/>
      <c r="AC156" s="118" t="s">
        <v>17</v>
      </c>
      <c r="AD156" s="118"/>
      <c r="AE156" s="92"/>
      <c r="AF156" s="27"/>
      <c r="AH156" s="119" t="s">
        <v>18</v>
      </c>
      <c r="AI156" s="120"/>
      <c r="AJ156" s="121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22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22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22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24"/>
      <c r="AP162" s="124"/>
      <c r="AQ162" s="83"/>
      <c r="AR162" s="60"/>
      <c r="AS162" s="124"/>
      <c r="AT162" s="124"/>
      <c r="AU162" s="123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23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18" t="s">
        <v>17</v>
      </c>
      <c r="F211" s="118"/>
      <c r="G211" s="93"/>
      <c r="H211" s="27"/>
      <c r="J211" s="119" t="s">
        <v>18</v>
      </c>
      <c r="K211" s="120"/>
      <c r="L211" s="121" t="s">
        <v>19</v>
      </c>
      <c r="O211" s="25"/>
      <c r="P211" s="26"/>
      <c r="Q211" s="118" t="s">
        <v>17</v>
      </c>
      <c r="R211" s="118"/>
      <c r="S211" s="93"/>
      <c r="T211" s="27"/>
      <c r="V211" s="119" t="s">
        <v>18</v>
      </c>
      <c r="W211" s="120"/>
      <c r="X211" s="121" t="s">
        <v>19</v>
      </c>
      <c r="AA211" s="25"/>
      <c r="AB211" s="26"/>
      <c r="AC211" s="118" t="s">
        <v>17</v>
      </c>
      <c r="AD211" s="118"/>
      <c r="AE211" s="93"/>
      <c r="AF211" s="27"/>
      <c r="AH211" s="119" t="s">
        <v>18</v>
      </c>
      <c r="AI211" s="120"/>
      <c r="AJ211" s="121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22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22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22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18" t="s">
        <v>17</v>
      </c>
      <c r="F266" s="118"/>
      <c r="G266" s="94"/>
      <c r="H266" s="27"/>
      <c r="J266" s="119" t="s">
        <v>18</v>
      </c>
      <c r="K266" s="120"/>
      <c r="L266" s="121" t="s">
        <v>19</v>
      </c>
      <c r="O266" s="25"/>
      <c r="P266" s="26"/>
      <c r="Q266" s="118" t="s">
        <v>17</v>
      </c>
      <c r="R266" s="118"/>
      <c r="S266" s="94"/>
      <c r="T266" s="27"/>
      <c r="V266" s="119" t="s">
        <v>18</v>
      </c>
      <c r="W266" s="120"/>
      <c r="X266" s="121" t="s">
        <v>19</v>
      </c>
      <c r="AA266" s="25"/>
      <c r="AB266" s="26"/>
      <c r="AC266" s="118" t="s">
        <v>17</v>
      </c>
      <c r="AD266" s="118"/>
      <c r="AE266" s="94"/>
      <c r="AF266" s="27"/>
      <c r="AH266" s="119" t="s">
        <v>18</v>
      </c>
      <c r="AI266" s="120"/>
      <c r="AJ266" s="121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22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22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22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18" t="s">
        <v>17</v>
      </c>
      <c r="F321" s="118"/>
      <c r="G321" s="95"/>
      <c r="H321" s="27"/>
      <c r="J321" s="119" t="s">
        <v>18</v>
      </c>
      <c r="K321" s="120"/>
      <c r="L321" s="121" t="s">
        <v>19</v>
      </c>
      <c r="O321" s="25"/>
      <c r="P321" s="26"/>
      <c r="Q321" s="118" t="s">
        <v>17</v>
      </c>
      <c r="R321" s="118"/>
      <c r="S321" s="95"/>
      <c r="T321" s="27"/>
      <c r="V321" s="119" t="s">
        <v>18</v>
      </c>
      <c r="W321" s="120"/>
      <c r="X321" s="121" t="s">
        <v>19</v>
      </c>
      <c r="AA321" s="25"/>
      <c r="AB321" s="26"/>
      <c r="AC321" s="118" t="s">
        <v>17</v>
      </c>
      <c r="AD321" s="118"/>
      <c r="AE321" s="95"/>
      <c r="AF321" s="27"/>
      <c r="AH321" s="119" t="s">
        <v>18</v>
      </c>
      <c r="AI321" s="120"/>
      <c r="AJ321" s="121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22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22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22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18" t="s">
        <v>17</v>
      </c>
      <c r="F376" s="118"/>
      <c r="G376" s="96"/>
      <c r="H376" s="27"/>
      <c r="J376" s="119" t="s">
        <v>18</v>
      </c>
      <c r="K376" s="120"/>
      <c r="L376" s="121" t="s">
        <v>19</v>
      </c>
      <c r="O376" s="25"/>
      <c r="P376" s="26"/>
      <c r="Q376" s="118" t="s">
        <v>17</v>
      </c>
      <c r="R376" s="118"/>
      <c r="S376" s="96"/>
      <c r="T376" s="27"/>
      <c r="V376" s="119" t="s">
        <v>18</v>
      </c>
      <c r="W376" s="120"/>
      <c r="X376" s="121" t="s">
        <v>19</v>
      </c>
      <c r="AA376" s="25"/>
      <c r="AB376" s="26"/>
      <c r="AC376" s="118" t="s">
        <v>17</v>
      </c>
      <c r="AD376" s="118"/>
      <c r="AE376" s="96"/>
      <c r="AF376" s="27"/>
      <c r="AH376" s="119" t="s">
        <v>18</v>
      </c>
      <c r="AI376" s="120"/>
      <c r="AJ376" s="121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22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22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22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18" t="s">
        <v>17</v>
      </c>
      <c r="F431" s="118"/>
      <c r="G431" s="97"/>
      <c r="H431" s="27"/>
      <c r="J431" s="119" t="s">
        <v>18</v>
      </c>
      <c r="K431" s="120"/>
      <c r="L431" s="121" t="s">
        <v>19</v>
      </c>
      <c r="O431" s="25"/>
      <c r="P431" s="26"/>
      <c r="Q431" s="118" t="s">
        <v>17</v>
      </c>
      <c r="R431" s="118"/>
      <c r="S431" s="97"/>
      <c r="T431" s="27"/>
      <c r="V431" s="119" t="s">
        <v>18</v>
      </c>
      <c r="W431" s="120"/>
      <c r="X431" s="121" t="s">
        <v>19</v>
      </c>
      <c r="AA431" s="25"/>
      <c r="AB431" s="26"/>
      <c r="AC431" s="118" t="s">
        <v>17</v>
      </c>
      <c r="AD431" s="118"/>
      <c r="AE431" s="97"/>
      <c r="AF431" s="27"/>
      <c r="AH431" s="119" t="s">
        <v>18</v>
      </c>
      <c r="AI431" s="120"/>
      <c r="AJ431" s="121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22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22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22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18" t="s">
        <v>17</v>
      </c>
      <c r="F486" s="118"/>
      <c r="G486" s="98"/>
      <c r="H486" s="27"/>
      <c r="J486" s="119" t="s">
        <v>18</v>
      </c>
      <c r="K486" s="120"/>
      <c r="L486" s="121" t="s">
        <v>19</v>
      </c>
      <c r="O486" s="25"/>
      <c r="P486" s="26"/>
      <c r="Q486" s="118" t="s">
        <v>17</v>
      </c>
      <c r="R486" s="118"/>
      <c r="S486" s="98"/>
      <c r="T486" s="27"/>
      <c r="V486" s="119" t="s">
        <v>18</v>
      </c>
      <c r="W486" s="120"/>
      <c r="X486" s="121" t="s">
        <v>19</v>
      </c>
      <c r="AA486" s="25"/>
      <c r="AB486" s="26"/>
      <c r="AC486" s="118" t="s">
        <v>17</v>
      </c>
      <c r="AD486" s="118"/>
      <c r="AE486" s="98"/>
      <c r="AF486" s="27"/>
      <c r="AH486" s="119" t="s">
        <v>18</v>
      </c>
      <c r="AI486" s="120"/>
      <c r="AJ486" s="121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22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22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22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18" t="s">
        <v>17</v>
      </c>
      <c r="F541" s="118"/>
      <c r="G541" s="100"/>
      <c r="H541" s="27"/>
      <c r="J541" s="119" t="s">
        <v>18</v>
      </c>
      <c r="K541" s="120"/>
      <c r="L541" s="121" t="s">
        <v>19</v>
      </c>
      <c r="O541" s="25"/>
      <c r="P541" s="26"/>
      <c r="Q541" s="118" t="s">
        <v>17</v>
      </c>
      <c r="R541" s="118"/>
      <c r="S541" s="100"/>
      <c r="T541" s="27"/>
      <c r="V541" s="119" t="s">
        <v>18</v>
      </c>
      <c r="W541" s="120"/>
      <c r="X541" s="121" t="s">
        <v>19</v>
      </c>
      <c r="AA541" s="25"/>
      <c r="AB541" s="26"/>
      <c r="AC541" s="118" t="s">
        <v>17</v>
      </c>
      <c r="AD541" s="118"/>
      <c r="AE541" s="100"/>
      <c r="AF541" s="27"/>
      <c r="AH541" s="119" t="s">
        <v>18</v>
      </c>
      <c r="AI541" s="120"/>
      <c r="AJ541" s="121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22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22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22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18" t="s">
        <v>17</v>
      </c>
      <c r="F596" s="118"/>
      <c r="G596" s="101"/>
      <c r="H596" s="27"/>
      <c r="J596" s="119" t="s">
        <v>18</v>
      </c>
      <c r="K596" s="120"/>
      <c r="L596" s="121" t="s">
        <v>19</v>
      </c>
      <c r="O596" s="25"/>
      <c r="P596" s="26"/>
      <c r="Q596" s="118" t="s">
        <v>17</v>
      </c>
      <c r="R596" s="118"/>
      <c r="S596" s="101"/>
      <c r="T596" s="27"/>
      <c r="V596" s="119" t="s">
        <v>18</v>
      </c>
      <c r="W596" s="120"/>
      <c r="X596" s="121" t="s">
        <v>19</v>
      </c>
      <c r="AA596" s="25"/>
      <c r="AB596" s="26"/>
      <c r="AC596" s="118" t="s">
        <v>17</v>
      </c>
      <c r="AD596" s="118"/>
      <c r="AE596" s="101"/>
      <c r="AF596" s="27"/>
      <c r="AH596" s="119" t="s">
        <v>18</v>
      </c>
      <c r="AI596" s="120"/>
      <c r="AJ596" s="121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22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22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22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80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80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80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80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80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80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80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80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80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80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80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80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80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80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80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80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80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80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80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80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80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80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80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80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80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80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80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80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80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80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80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A643" s="60"/>
      <c r="B643" s="60"/>
      <c r="C643" s="104"/>
      <c r="D643" s="104"/>
      <c r="E643" s="104"/>
      <c r="F643" s="104"/>
      <c r="G643" s="104"/>
      <c r="H643" s="104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Z643" t="s">
        <v>0</v>
      </c>
      <c r="AA643" s="55"/>
      <c r="AB643" s="55"/>
      <c r="AC643" s="55"/>
      <c r="AD643" s="55"/>
      <c r="AE643" s="55"/>
      <c r="AF643" s="55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A644" s="60"/>
      <c r="B644" s="60"/>
      <c r="C644" s="104"/>
      <c r="D644" s="104"/>
      <c r="E644" s="104"/>
      <c r="F644" s="104"/>
      <c r="G644" s="104"/>
      <c r="H644" s="104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Z644" t="s">
        <v>28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A645" s="60"/>
      <c r="B645" s="61"/>
      <c r="C645" s="104"/>
      <c r="D645" s="104"/>
      <c r="E645" s="104"/>
      <c r="F645" s="104"/>
      <c r="G645" s="104"/>
      <c r="H645" s="104"/>
      <c r="I645" s="60"/>
      <c r="J645" s="60"/>
      <c r="K645" s="60"/>
      <c r="L645" s="60"/>
      <c r="M645" s="60"/>
      <c r="N645" s="61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A646" s="60"/>
      <c r="B646" s="60"/>
      <c r="C646" s="104"/>
      <c r="D646" s="104"/>
      <c r="E646" s="104"/>
      <c r="F646" s="104"/>
      <c r="G646" s="104"/>
      <c r="H646" s="104"/>
      <c r="I646" s="60"/>
      <c r="J646" s="60"/>
      <c r="K646" s="60"/>
      <c r="L646" s="60"/>
      <c r="M646" s="60"/>
      <c r="N646" s="60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Z646" s="4" t="s">
        <v>14</v>
      </c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ht="15.75" x14ac:dyDescent="0.25">
      <c r="A647" s="60"/>
      <c r="B647" s="60"/>
      <c r="C647" s="104"/>
      <c r="D647" s="104"/>
      <c r="E647" s="104"/>
      <c r="F647" s="104"/>
      <c r="G647" s="104"/>
      <c r="H647" s="104"/>
      <c r="I647" s="60"/>
      <c r="J647" s="104"/>
      <c r="K647" s="71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86"/>
      <c r="W647" s="71"/>
      <c r="X647" s="60"/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x14ac:dyDescent="0.25">
      <c r="A648" s="60"/>
      <c r="B648" s="62"/>
      <c r="C648" s="104"/>
      <c r="D648" s="104"/>
      <c r="E648" s="104"/>
      <c r="F648" s="104"/>
      <c r="G648" s="104"/>
      <c r="H648" s="104"/>
      <c r="I648" s="60"/>
      <c r="J648" s="63"/>
      <c r="K648" s="63"/>
      <c r="L648" s="60"/>
      <c r="M648" s="60"/>
      <c r="N648" s="62"/>
      <c r="O648" s="86"/>
      <c r="P648" s="86"/>
      <c r="Q648" s="86"/>
      <c r="R648" s="86"/>
      <c r="S648" s="86"/>
      <c r="T648" s="86"/>
      <c r="U648" s="60"/>
      <c r="V648" s="63"/>
      <c r="W648" s="63"/>
      <c r="X648" s="60"/>
      <c r="Z648" t="s">
        <v>36</v>
      </c>
      <c r="AA648" s="55"/>
      <c r="AB648" s="55"/>
      <c r="AC648" s="55"/>
      <c r="AD648" s="55"/>
      <c r="AE648" s="55"/>
      <c r="AF648" s="55"/>
      <c r="AH648" s="55" t="s">
        <v>15</v>
      </c>
      <c r="AI648" s="20">
        <v>3</v>
      </c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A649" s="60"/>
      <c r="B649" s="60"/>
      <c r="C649" s="104"/>
      <c r="D649" s="104"/>
      <c r="E649" s="104"/>
      <c r="F649" s="104"/>
      <c r="G649" s="104"/>
      <c r="H649" s="104"/>
      <c r="I649" s="60"/>
      <c r="J649" s="60"/>
      <c r="K649" s="60"/>
      <c r="L649" s="60"/>
      <c r="M649" s="60"/>
      <c r="N649" s="60"/>
      <c r="O649" s="86"/>
      <c r="P649" s="86"/>
      <c r="Q649" s="86"/>
      <c r="R649" s="86"/>
      <c r="S649" s="86"/>
      <c r="T649" s="86"/>
      <c r="U649" s="60"/>
      <c r="V649" s="60"/>
      <c r="W649" s="60"/>
      <c r="X649" s="60"/>
      <c r="Z649" s="21" t="s">
        <v>70</v>
      </c>
      <c r="AA649" s="20"/>
      <c r="AB649" s="55"/>
      <c r="AC649" s="55"/>
      <c r="AD649" s="55"/>
      <c r="AE649" s="55"/>
      <c r="AF649" s="55"/>
      <c r="AH649" s="22" t="s">
        <v>16</v>
      </c>
      <c r="AI649" s="23" t="s">
        <v>41</v>
      </c>
      <c r="AJ649" s="24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ht="15" customHeight="1" x14ac:dyDescent="0.25">
      <c r="A650" s="60"/>
      <c r="B650" s="60"/>
      <c r="C650" s="63"/>
      <c r="D650" s="104"/>
      <c r="E650" s="124"/>
      <c r="F650" s="124"/>
      <c r="G650" s="104"/>
      <c r="H650" s="104"/>
      <c r="I650" s="60"/>
      <c r="J650" s="124"/>
      <c r="K650" s="124"/>
      <c r="L650" s="123"/>
      <c r="M650" s="60"/>
      <c r="N650" s="60"/>
      <c r="O650" s="63"/>
      <c r="P650" s="86"/>
      <c r="Q650" s="124"/>
      <c r="R650" s="124"/>
      <c r="S650" s="86"/>
      <c r="T650" s="86"/>
      <c r="U650" s="60"/>
      <c r="V650" s="124"/>
      <c r="W650" s="124"/>
      <c r="X650" s="123"/>
      <c r="AA650" s="55"/>
      <c r="AB650" s="55"/>
      <c r="AC650" s="55"/>
      <c r="AD650" s="55"/>
      <c r="AE650" s="55"/>
      <c r="AF650" s="55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x14ac:dyDescent="0.25">
      <c r="A651" s="60"/>
      <c r="B651" s="60"/>
      <c r="C651" s="104"/>
      <c r="D651" s="104"/>
      <c r="E651" s="76"/>
      <c r="F651" s="78"/>
      <c r="G651" s="78"/>
      <c r="H651" s="78"/>
      <c r="I651" s="60"/>
      <c r="J651" s="103"/>
      <c r="K651" s="103"/>
      <c r="L651" s="123"/>
      <c r="M651" s="60"/>
      <c r="N651" s="60"/>
      <c r="O651" s="86"/>
      <c r="P651" s="86"/>
      <c r="Q651" s="76"/>
      <c r="R651" s="78"/>
      <c r="S651" s="78"/>
      <c r="T651" s="78"/>
      <c r="U651" s="60"/>
      <c r="V651" s="87"/>
      <c r="W651" s="87"/>
      <c r="X651" s="123"/>
      <c r="AA651" s="25"/>
      <c r="AB651" s="26"/>
      <c r="AC651" s="118" t="s">
        <v>17</v>
      </c>
      <c r="AD651" s="118"/>
      <c r="AE651" s="102"/>
      <c r="AF651" s="27"/>
      <c r="AH651" s="119" t="s">
        <v>18</v>
      </c>
      <c r="AI651" s="120"/>
      <c r="AJ651" s="121" t="s">
        <v>19</v>
      </c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ht="30" x14ac:dyDescent="0.25">
      <c r="A652" s="60"/>
      <c r="B652" s="60"/>
      <c r="C652" s="64"/>
      <c r="D652" s="81"/>
      <c r="E652" s="58"/>
      <c r="F652" s="58"/>
      <c r="G652" s="58"/>
      <c r="H652" s="58"/>
      <c r="I652" s="59"/>
      <c r="J652" s="59"/>
      <c r="K652" s="59"/>
      <c r="L652" s="59"/>
      <c r="M652" s="60"/>
      <c r="N652" s="60"/>
      <c r="O652" s="64"/>
      <c r="P652" s="81"/>
      <c r="Q652" s="58"/>
      <c r="R652" s="58"/>
      <c r="S652" s="58"/>
      <c r="T652" s="58"/>
      <c r="U652" s="59"/>
      <c r="V652" s="59"/>
      <c r="W652" s="59"/>
      <c r="X652" s="59"/>
      <c r="AA652" s="28" t="s">
        <v>20</v>
      </c>
      <c r="AB652" s="28" t="s">
        <v>21</v>
      </c>
      <c r="AC652" s="74" t="s">
        <v>22</v>
      </c>
      <c r="AD652" s="75" t="s">
        <v>23</v>
      </c>
      <c r="AE652" s="75" t="s">
        <v>31</v>
      </c>
      <c r="AF652" s="75" t="s">
        <v>24</v>
      </c>
      <c r="AH652" s="29" t="s">
        <v>25</v>
      </c>
      <c r="AI652" s="29" t="s">
        <v>26</v>
      </c>
      <c r="AJ652" s="122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A653" s="60"/>
      <c r="B653" s="60"/>
      <c r="C653" s="64"/>
      <c r="D653" s="63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Z653" s="10">
        <v>1</v>
      </c>
      <c r="AA653" s="30" t="s">
        <v>71</v>
      </c>
      <c r="AB653" s="31">
        <v>11873</v>
      </c>
      <c r="AC653" s="32">
        <f>650*216+229*8</f>
        <v>142232</v>
      </c>
      <c r="AD653" s="32">
        <f>-216*6</f>
        <v>-1296</v>
      </c>
      <c r="AE653" s="32"/>
      <c r="AF653" s="32">
        <f>SUM(AC653:AD653)</f>
        <v>140936</v>
      </c>
      <c r="AG653" s="12"/>
      <c r="AH653" s="12"/>
      <c r="AI653" s="12"/>
      <c r="AJ653" s="12">
        <f>SUM(AF653:AI653)</f>
        <v>140936</v>
      </c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A654" s="60"/>
      <c r="B654" s="60"/>
      <c r="C654" s="64"/>
      <c r="D654" s="81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Z654" s="10">
        <v>2</v>
      </c>
      <c r="AA654" s="30" t="s">
        <v>71</v>
      </c>
      <c r="AB654" s="31">
        <f>AB653+1</f>
        <v>11874</v>
      </c>
      <c r="AC654" s="32">
        <f>650*216+670*30+229*9</f>
        <v>162561</v>
      </c>
      <c r="AD654" s="32">
        <f>-246*6</f>
        <v>-1476</v>
      </c>
      <c r="AE654" s="32"/>
      <c r="AF654" s="32">
        <f t="shared" ref="AF654:AF691" si="146">SUM(AC654:AD654)</f>
        <v>161085</v>
      </c>
      <c r="AG654" s="12"/>
      <c r="AH654" s="12">
        <f>111*238</f>
        <v>26418</v>
      </c>
      <c r="AI654" s="12"/>
      <c r="AJ654" s="12">
        <f t="shared" ref="AJ654:AJ694" si="147">SUM(AF654:AI654)</f>
        <v>187503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A655" s="60"/>
      <c r="B655" s="60"/>
      <c r="C655" s="64"/>
      <c r="D655" s="81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Z655" s="10">
        <v>3</v>
      </c>
      <c r="AA655" s="30" t="s">
        <v>71</v>
      </c>
      <c r="AB655" s="31">
        <f t="shared" ref="AB655:AB660" si="148">AB654+1</f>
        <v>11875</v>
      </c>
      <c r="AC655" s="33">
        <f>650*46+670*6+229</f>
        <v>34149</v>
      </c>
      <c r="AD655" s="33"/>
      <c r="AE655" s="32"/>
      <c r="AF655" s="32">
        <f t="shared" si="146"/>
        <v>34149</v>
      </c>
      <c r="AG655" s="12"/>
      <c r="AH655" s="12">
        <f>4.5*54</f>
        <v>243</v>
      </c>
      <c r="AI655" s="12"/>
      <c r="AJ655" s="12">
        <f t="shared" si="147"/>
        <v>34392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A656" s="60"/>
      <c r="B656" s="60"/>
      <c r="C656" s="64"/>
      <c r="D656" s="81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Z656" s="10">
        <v>4</v>
      </c>
      <c r="AA656" s="30" t="s">
        <v>71</v>
      </c>
      <c r="AB656" s="31">
        <f t="shared" si="148"/>
        <v>11876</v>
      </c>
      <c r="AC656" s="32">
        <f>650*50+1050*5+872*3+229*2+500</f>
        <v>41324</v>
      </c>
      <c r="AD656" s="32"/>
      <c r="AE656" s="32"/>
      <c r="AF656" s="32">
        <f t="shared" si="146"/>
        <v>41324</v>
      </c>
      <c r="AG656" s="12"/>
      <c r="AH656">
        <f>1.5*72</f>
        <v>108</v>
      </c>
      <c r="AI656" s="12"/>
      <c r="AJ656" s="12">
        <f t="shared" si="147"/>
        <v>41432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1:53" x14ac:dyDescent="0.25">
      <c r="A657" s="60"/>
      <c r="B657" s="60"/>
      <c r="C657" s="64"/>
      <c r="D657" s="81"/>
      <c r="E657" s="58"/>
      <c r="F657" s="58"/>
      <c r="G657" s="58"/>
      <c r="H657" s="58"/>
      <c r="I657" s="59"/>
      <c r="J657" s="59"/>
      <c r="K657" s="60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60"/>
      <c r="X657" s="59"/>
      <c r="Z657" s="10">
        <v>5</v>
      </c>
      <c r="AA657" s="30" t="s">
        <v>71</v>
      </c>
      <c r="AB657" s="31">
        <f t="shared" si="148"/>
        <v>11877</v>
      </c>
      <c r="AC657" s="32">
        <f>51*650+5*622</f>
        <v>36260</v>
      </c>
      <c r="AD657" s="32">
        <f>-56*6</f>
        <v>-336</v>
      </c>
      <c r="AE657" s="32"/>
      <c r="AF657" s="32">
        <f t="shared" si="146"/>
        <v>35924</v>
      </c>
      <c r="AG657" s="12"/>
      <c r="AH657" s="12">
        <f>4.5*42</f>
        <v>189</v>
      </c>
      <c r="AI657" s="12"/>
      <c r="AJ657" s="12">
        <f t="shared" si="147"/>
        <v>36113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1:53" x14ac:dyDescent="0.25">
      <c r="A658" s="60"/>
      <c r="B658" s="60"/>
      <c r="C658" s="64"/>
      <c r="D658" s="81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59"/>
      <c r="X658" s="59"/>
      <c r="Z658" s="10">
        <v>6</v>
      </c>
      <c r="AA658" s="30" t="s">
        <v>71</v>
      </c>
      <c r="AB658" s="31">
        <f t="shared" si="148"/>
        <v>11878</v>
      </c>
      <c r="AC658" s="32">
        <f>650*15+622*5</f>
        <v>12860</v>
      </c>
      <c r="AD658" s="32"/>
      <c r="AE658" s="32"/>
      <c r="AF658" s="32">
        <f t="shared" si="146"/>
        <v>12860</v>
      </c>
      <c r="AG658" s="12"/>
      <c r="AH658" s="12"/>
      <c r="AI658" s="10"/>
      <c r="AJ658" s="12">
        <f t="shared" si="147"/>
        <v>12860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1:53" x14ac:dyDescent="0.25">
      <c r="A659" s="60"/>
      <c r="B659" s="60"/>
      <c r="C659" s="64"/>
      <c r="D659" s="81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Z659" s="10">
        <v>7</v>
      </c>
      <c r="AA659" s="30" t="s">
        <v>71</v>
      </c>
      <c r="AB659" s="31">
        <f t="shared" si="148"/>
        <v>11879</v>
      </c>
      <c r="AC659" s="32">
        <v>650</v>
      </c>
      <c r="AD659" s="32"/>
      <c r="AE659" s="32"/>
      <c r="AF659" s="32">
        <f t="shared" si="146"/>
        <v>650</v>
      </c>
      <c r="AG659" s="12"/>
      <c r="AH659" s="56"/>
      <c r="AI659" s="12"/>
      <c r="AJ659" s="12">
        <f t="shared" si="147"/>
        <v>650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1:53" x14ac:dyDescent="0.25">
      <c r="A660" s="60"/>
      <c r="B660" s="60"/>
      <c r="C660" s="64"/>
      <c r="D660" s="81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Z660" s="10">
        <v>8</v>
      </c>
      <c r="AA660" s="30" t="s">
        <v>71</v>
      </c>
      <c r="AB660" s="31">
        <f t="shared" si="148"/>
        <v>11880</v>
      </c>
      <c r="AC660" s="32"/>
      <c r="AD660" s="32"/>
      <c r="AF660" s="32">
        <f t="shared" si="146"/>
        <v>0</v>
      </c>
      <c r="AG660" s="12"/>
      <c r="AH660" s="12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1:53" x14ac:dyDescent="0.25">
      <c r="A661" s="60"/>
      <c r="B661" s="60"/>
      <c r="C661" s="64"/>
      <c r="D661" s="81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63"/>
      <c r="Q661" s="58"/>
      <c r="R661" s="58"/>
      <c r="S661" s="58"/>
      <c r="T661" s="58"/>
      <c r="U661" s="59"/>
      <c r="V661" s="59"/>
      <c r="W661" s="59"/>
      <c r="X661" s="59"/>
      <c r="Z661" s="10">
        <v>9</v>
      </c>
      <c r="AA661" s="30"/>
      <c r="AB661" s="11" t="s">
        <v>27</v>
      </c>
      <c r="AC661" s="32"/>
      <c r="AD661" s="32"/>
      <c r="AE661" s="32"/>
      <c r="AF661" s="32">
        <f t="shared" si="146"/>
        <v>0</v>
      </c>
      <c r="AG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1:53" x14ac:dyDescent="0.25">
      <c r="A662" s="60"/>
      <c r="B662" s="60"/>
      <c r="C662" s="64"/>
      <c r="D662" s="81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81"/>
      <c r="Q662" s="58"/>
      <c r="R662" s="58"/>
      <c r="S662" s="58"/>
      <c r="T662" s="58"/>
      <c r="U662" s="59"/>
      <c r="V662" s="59"/>
      <c r="W662" s="59"/>
      <c r="X662" s="59"/>
      <c r="Z662" s="10">
        <v>10</v>
      </c>
      <c r="AA662" s="30"/>
      <c r="AB662" s="31"/>
      <c r="AC662" s="32"/>
      <c r="AD662" s="32"/>
      <c r="AE662" s="32"/>
      <c r="AF662" s="32">
        <f t="shared" si="146"/>
        <v>0</v>
      </c>
      <c r="AG662" s="12"/>
      <c r="AH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1:53" x14ac:dyDescent="0.25">
      <c r="A663" s="60"/>
      <c r="B663" s="60"/>
      <c r="C663" s="64"/>
      <c r="D663" s="104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Z663" s="10">
        <v>11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1:53" x14ac:dyDescent="0.25">
      <c r="A664" s="60"/>
      <c r="B664" s="60"/>
      <c r="C664" s="64"/>
      <c r="D664" s="81"/>
      <c r="E664" s="58"/>
      <c r="F664" s="58"/>
      <c r="G664" s="58"/>
      <c r="H664" s="58"/>
      <c r="I664" s="59"/>
      <c r="J664" s="59"/>
      <c r="K664" s="59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Z664" s="10">
        <v>12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1:53" x14ac:dyDescent="0.25">
      <c r="A665" s="60"/>
      <c r="B665" s="60"/>
      <c r="C665" s="64"/>
      <c r="D665" s="81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Z665" s="10">
        <v>13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1:53" x14ac:dyDescent="0.25">
      <c r="A666" s="60"/>
      <c r="B666" s="60"/>
      <c r="C666" s="64"/>
      <c r="D666" s="81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Z666" s="10">
        <v>14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1:53" x14ac:dyDescent="0.25">
      <c r="A667" s="60"/>
      <c r="B667" s="60"/>
      <c r="C667" s="64"/>
      <c r="D667" s="63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63"/>
      <c r="Q667" s="58"/>
      <c r="R667" s="58"/>
      <c r="S667" s="58"/>
      <c r="T667" s="58"/>
      <c r="U667" s="59"/>
      <c r="V667" s="59"/>
      <c r="W667" s="59"/>
      <c r="X667" s="59"/>
      <c r="Z667" s="10">
        <v>15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1:53" x14ac:dyDescent="0.25">
      <c r="A668" s="60"/>
      <c r="B668" s="60"/>
      <c r="C668" s="64"/>
      <c r="D668" s="104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86"/>
      <c r="Q668" s="58"/>
      <c r="R668" s="58"/>
      <c r="S668" s="58"/>
      <c r="T668" s="58"/>
      <c r="U668" s="59"/>
      <c r="V668" s="59"/>
      <c r="W668" s="59"/>
      <c r="X668" s="59"/>
      <c r="Z668" s="10">
        <v>16</v>
      </c>
      <c r="AA668" s="30"/>
      <c r="AB668" s="1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1:53" x14ac:dyDescent="0.25">
      <c r="A669" s="60"/>
      <c r="B669" s="60"/>
      <c r="C669" s="64"/>
      <c r="D669" s="104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Z669" s="10">
        <v>17</v>
      </c>
      <c r="AA669" s="30"/>
      <c r="AB669" s="31"/>
      <c r="AC669" s="35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1:53" x14ac:dyDescent="0.25">
      <c r="A670" s="60"/>
      <c r="B670" s="60"/>
      <c r="C670" s="64"/>
      <c r="D670" s="104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Z670" s="10">
        <v>18</v>
      </c>
      <c r="AA670" s="30"/>
      <c r="AB670" s="31"/>
      <c r="AC670" s="32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1:53" x14ac:dyDescent="0.25">
      <c r="A671" s="60"/>
      <c r="B671" s="60"/>
      <c r="C671" s="64"/>
      <c r="D671" s="104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Z671" s="10">
        <v>19</v>
      </c>
      <c r="AA671" s="30"/>
      <c r="AB671" s="1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1:53" x14ac:dyDescent="0.25">
      <c r="A672" s="60"/>
      <c r="B672" s="60"/>
      <c r="C672" s="64"/>
      <c r="D672" s="104"/>
      <c r="E672" s="65"/>
      <c r="F672" s="104"/>
      <c r="G672" s="104"/>
      <c r="H672" s="58"/>
      <c r="I672" s="60"/>
      <c r="J672" s="60"/>
      <c r="K672" s="60"/>
      <c r="L672" s="59"/>
      <c r="M672" s="60"/>
      <c r="N672" s="60"/>
      <c r="O672" s="64"/>
      <c r="P672" s="86"/>
      <c r="Q672" s="65"/>
      <c r="R672" s="86"/>
      <c r="S672" s="86"/>
      <c r="T672" s="58"/>
      <c r="U672" s="60"/>
      <c r="V672" s="60"/>
      <c r="W672" s="60"/>
      <c r="X672" s="59"/>
      <c r="Z672" s="10">
        <v>20</v>
      </c>
      <c r="AA672" s="30"/>
      <c r="AB672" s="3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1:53" x14ac:dyDescent="0.25">
      <c r="A673" s="60"/>
      <c r="B673" s="60"/>
      <c r="C673" s="64"/>
      <c r="D673" s="104"/>
      <c r="E673" s="66"/>
      <c r="F673" s="104"/>
      <c r="G673" s="104"/>
      <c r="H673" s="58"/>
      <c r="I673" s="60"/>
      <c r="J673" s="60"/>
      <c r="K673" s="60"/>
      <c r="L673" s="59"/>
      <c r="M673" s="60"/>
      <c r="N673" s="60"/>
      <c r="O673" s="64"/>
      <c r="P673" s="86"/>
      <c r="Q673" s="66"/>
      <c r="R673" s="86"/>
      <c r="S673" s="86"/>
      <c r="T673" s="58"/>
      <c r="U673" s="60"/>
      <c r="V673" s="60"/>
      <c r="W673" s="60"/>
      <c r="X673" s="59"/>
      <c r="Z673" s="10">
        <v>21</v>
      </c>
      <c r="AA673" s="30"/>
      <c r="AB673" s="11"/>
      <c r="AC673" s="44"/>
      <c r="AD673" s="31"/>
      <c r="AE673" s="31"/>
      <c r="AF673" s="32">
        <f t="shared" si="146"/>
        <v>0</v>
      </c>
      <c r="AG673" s="10"/>
      <c r="AH673" s="10"/>
      <c r="AI673" s="10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1:53" x14ac:dyDescent="0.25">
      <c r="A674" s="60"/>
      <c r="B674" s="60"/>
      <c r="C674" s="64"/>
      <c r="D674" s="104"/>
      <c r="E674" s="67"/>
      <c r="F674" s="104"/>
      <c r="G674" s="60"/>
      <c r="H674" s="58"/>
      <c r="I674" s="60"/>
      <c r="J674" s="60"/>
      <c r="K674" s="60"/>
      <c r="L674" s="59"/>
      <c r="M674" s="60"/>
      <c r="N674" s="60"/>
      <c r="O674" s="64"/>
      <c r="P674" s="86"/>
      <c r="Q674" s="67"/>
      <c r="R674" s="60"/>
      <c r="S674" s="60"/>
      <c r="T674" s="58"/>
      <c r="U674" s="60"/>
      <c r="V674" s="60"/>
      <c r="W674" s="60"/>
      <c r="X674" s="59"/>
      <c r="Z674" s="10">
        <v>22</v>
      </c>
      <c r="AA674" s="30"/>
      <c r="AB674" s="31"/>
      <c r="AC674" s="43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1:53" x14ac:dyDescent="0.25">
      <c r="A675" s="60"/>
      <c r="B675" s="60"/>
      <c r="C675" s="64"/>
      <c r="D675" s="104"/>
      <c r="E675" s="67"/>
      <c r="F675" s="104"/>
      <c r="G675" s="104"/>
      <c r="H675" s="58"/>
      <c r="I675" s="60"/>
      <c r="J675" s="60"/>
      <c r="K675" s="60"/>
      <c r="L675" s="59"/>
      <c r="M675" s="60"/>
      <c r="N675" s="60"/>
      <c r="O675" s="64"/>
      <c r="P675" s="86"/>
      <c r="Q675" s="67"/>
      <c r="R675" s="86"/>
      <c r="S675" s="86"/>
      <c r="T675" s="58"/>
      <c r="U675" s="60"/>
      <c r="V675" s="60"/>
      <c r="W675" s="60"/>
      <c r="X675" s="59"/>
      <c r="Z675" s="10">
        <v>23</v>
      </c>
      <c r="AA675" s="30"/>
      <c r="AB675" s="31"/>
      <c r="AC675" s="45"/>
      <c r="AD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1:53" x14ac:dyDescent="0.25">
      <c r="A676" s="60"/>
      <c r="B676" s="60"/>
      <c r="C676" s="64"/>
      <c r="D676" s="104"/>
      <c r="E676" s="67"/>
      <c r="F676" s="104"/>
      <c r="G676" s="104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Z676" s="10">
        <v>24</v>
      </c>
      <c r="AA676" s="30"/>
      <c r="AB676" s="31"/>
      <c r="AC676" s="45"/>
      <c r="AD676" s="31"/>
      <c r="AE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1:53" x14ac:dyDescent="0.25">
      <c r="A677" s="60"/>
      <c r="B677" s="60"/>
      <c r="C677" s="64"/>
      <c r="D677" s="104"/>
      <c r="E677" s="67"/>
      <c r="F677" s="104"/>
      <c r="G677" s="104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Z677" s="10">
        <v>25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1:53" x14ac:dyDescent="0.25">
      <c r="A678" s="60"/>
      <c r="B678" s="60"/>
      <c r="C678" s="64"/>
      <c r="D678" s="104"/>
      <c r="E678" s="67"/>
      <c r="F678" s="104"/>
      <c r="G678" s="104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Z678" s="10">
        <v>26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1:53" x14ac:dyDescent="0.25">
      <c r="A679" s="60"/>
      <c r="B679" s="60"/>
      <c r="C679" s="64"/>
      <c r="D679" s="104"/>
      <c r="E679" s="67"/>
      <c r="F679" s="104"/>
      <c r="G679" s="104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Z679" s="10">
        <v>27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1:53" x14ac:dyDescent="0.25">
      <c r="A680" s="60"/>
      <c r="B680" s="60"/>
      <c r="C680" s="64"/>
      <c r="D680" s="104"/>
      <c r="E680" s="67"/>
      <c r="F680" s="104"/>
      <c r="G680" s="104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Z680" s="10">
        <v>28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1:53" x14ac:dyDescent="0.25">
      <c r="A681" s="60"/>
      <c r="B681" s="60"/>
      <c r="C681" s="64"/>
      <c r="D681" s="104"/>
      <c r="E681" s="67"/>
      <c r="F681" s="104"/>
      <c r="G681" s="104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Z681" s="10">
        <v>29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1:53" x14ac:dyDescent="0.25">
      <c r="A682" s="60"/>
      <c r="B682" s="60"/>
      <c r="C682" s="64"/>
      <c r="D682" s="104"/>
      <c r="E682" s="67"/>
      <c r="F682" s="104"/>
      <c r="G682" s="104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Z682" s="10">
        <v>30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1:53" x14ac:dyDescent="0.25">
      <c r="A683" s="60"/>
      <c r="B683" s="60"/>
      <c r="C683" s="64"/>
      <c r="D683" s="104"/>
      <c r="E683" s="67"/>
      <c r="F683" s="104"/>
      <c r="G683" s="104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Z683" s="10">
        <v>31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1:53" x14ac:dyDescent="0.25">
      <c r="A684" s="60"/>
      <c r="B684" s="60"/>
      <c r="C684" s="64"/>
      <c r="D684" s="104"/>
      <c r="E684" s="67"/>
      <c r="F684" s="104"/>
      <c r="G684" s="104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Z684" s="10">
        <v>32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1:53" x14ac:dyDescent="0.25">
      <c r="A685" s="60"/>
      <c r="B685" s="60"/>
      <c r="C685" s="64"/>
      <c r="D685" s="104"/>
      <c r="E685" s="67"/>
      <c r="F685" s="104"/>
      <c r="G685" s="104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Z685" s="10">
        <v>33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1:53" x14ac:dyDescent="0.25">
      <c r="A686" s="60"/>
      <c r="B686" s="60"/>
      <c r="C686" s="64"/>
      <c r="D686" s="104"/>
      <c r="E686" s="67"/>
      <c r="F686" s="104"/>
      <c r="G686" s="104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Z686" s="10">
        <v>34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1:53" x14ac:dyDescent="0.25">
      <c r="A687" s="60"/>
      <c r="B687" s="60"/>
      <c r="C687" s="64"/>
      <c r="D687" s="104"/>
      <c r="E687" s="67"/>
      <c r="F687" s="104"/>
      <c r="G687" s="104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Z687" s="10">
        <v>35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1:53" x14ac:dyDescent="0.25">
      <c r="A688" s="60"/>
      <c r="B688" s="60"/>
      <c r="C688" s="64"/>
      <c r="D688" s="60"/>
      <c r="E688" s="67"/>
      <c r="F688" s="104"/>
      <c r="G688" s="104"/>
      <c r="H688" s="58"/>
      <c r="I688" s="60"/>
      <c r="J688" s="60"/>
      <c r="K688" s="60"/>
      <c r="L688" s="59"/>
      <c r="M688" s="60"/>
      <c r="N688" s="60"/>
      <c r="O688" s="64"/>
      <c r="P688" s="60"/>
      <c r="Q688" s="67"/>
      <c r="R688" s="86"/>
      <c r="S688" s="86"/>
      <c r="T688" s="58"/>
      <c r="U688" s="60"/>
      <c r="V688" s="60"/>
      <c r="W688" s="60"/>
      <c r="X688" s="59"/>
      <c r="Z688" s="10">
        <v>36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1:53" x14ac:dyDescent="0.25">
      <c r="A689" s="60"/>
      <c r="B689" s="60"/>
      <c r="C689" s="64"/>
      <c r="D689" s="104"/>
      <c r="E689" s="67"/>
      <c r="F689" s="104"/>
      <c r="G689" s="104"/>
      <c r="H689" s="58"/>
      <c r="I689" s="60"/>
      <c r="J689" s="60"/>
      <c r="K689" s="60"/>
      <c r="L689" s="59"/>
      <c r="M689" s="60"/>
      <c r="N689" s="60"/>
      <c r="O689" s="64"/>
      <c r="P689" s="86"/>
      <c r="Q689" s="67"/>
      <c r="R689" s="86"/>
      <c r="S689" s="86"/>
      <c r="T689" s="58"/>
      <c r="U689" s="60"/>
      <c r="V689" s="60"/>
      <c r="W689" s="60"/>
      <c r="X689" s="59"/>
      <c r="Z689" s="10">
        <v>37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1:53" x14ac:dyDescent="0.25">
      <c r="A690" s="60"/>
      <c r="B690" s="60"/>
      <c r="C690" s="64"/>
      <c r="D690" s="104"/>
      <c r="E690" s="67"/>
      <c r="F690" s="104"/>
      <c r="G690" s="104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Z690" s="10">
        <v>38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1:53" x14ac:dyDescent="0.25">
      <c r="A691" s="60"/>
      <c r="B691" s="60"/>
      <c r="C691" s="64"/>
      <c r="D691" s="60"/>
      <c r="E691" s="67"/>
      <c r="F691" s="104"/>
      <c r="G691" s="104"/>
      <c r="H691" s="58"/>
      <c r="I691" s="60"/>
      <c r="J691" s="60"/>
      <c r="K691" s="60"/>
      <c r="L691" s="59"/>
      <c r="M691" s="60"/>
      <c r="N691" s="60"/>
      <c r="O691" s="64"/>
      <c r="P691" s="60"/>
      <c r="Q691" s="67"/>
      <c r="R691" s="86"/>
      <c r="S691" s="86"/>
      <c r="T691" s="58"/>
      <c r="U691" s="60"/>
      <c r="V691" s="60"/>
      <c r="W691" s="60"/>
      <c r="X691" s="59"/>
      <c r="Z691" s="10">
        <v>39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1:53" x14ac:dyDescent="0.25">
      <c r="A692" s="60"/>
      <c r="B692" s="60"/>
      <c r="C692" s="64"/>
      <c r="D692" s="104"/>
      <c r="E692" s="67"/>
      <c r="F692" s="104"/>
      <c r="G692" s="104"/>
      <c r="H692" s="58"/>
      <c r="I692" s="60"/>
      <c r="J692" s="60"/>
      <c r="K692" s="60"/>
      <c r="L692" s="59"/>
      <c r="M692" s="60"/>
      <c r="N692" s="60"/>
      <c r="O692" s="64"/>
      <c r="P692" s="86"/>
      <c r="Q692" s="67"/>
      <c r="R692" s="86"/>
      <c r="S692" s="86"/>
      <c r="T692" s="58"/>
      <c r="U692" s="60"/>
      <c r="V692" s="60"/>
      <c r="W692" s="60"/>
      <c r="X692" s="59"/>
      <c r="Z692" s="10"/>
      <c r="AA692" s="30"/>
      <c r="AC692" s="45"/>
      <c r="AD692" s="31"/>
      <c r="AE692" s="31"/>
      <c r="AF692" s="32"/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1:53" x14ac:dyDescent="0.25">
      <c r="A693" s="60"/>
      <c r="B693" s="60"/>
      <c r="C693" s="104"/>
      <c r="D693" s="104"/>
      <c r="E693" s="104"/>
      <c r="F693" s="104"/>
      <c r="G693" s="104"/>
      <c r="H693" s="104"/>
      <c r="I693" s="60"/>
      <c r="J693" s="60"/>
      <c r="K693" s="60"/>
      <c r="L693" s="59"/>
      <c r="M693" s="60"/>
      <c r="N693" s="60"/>
      <c r="O693" s="86"/>
      <c r="P693" s="86"/>
      <c r="Q693" s="86"/>
      <c r="R693" s="86"/>
      <c r="S693" s="86"/>
      <c r="T693" s="86"/>
      <c r="U693" s="60"/>
      <c r="V693" s="60"/>
      <c r="W693" s="60"/>
      <c r="X693" s="59"/>
      <c r="Z693" s="10"/>
      <c r="AA693" s="30"/>
      <c r="AB693" s="31"/>
      <c r="AC693" s="45"/>
      <c r="AD693" s="31"/>
      <c r="AE693" s="31"/>
      <c r="AF693" s="32">
        <f t="shared" ref="AF693" si="149">SUM(AC693:AD693)</f>
        <v>0</v>
      </c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1:53" x14ac:dyDescent="0.25">
      <c r="A694" s="60"/>
      <c r="B694" s="60"/>
      <c r="C694" s="104"/>
      <c r="D694" s="104"/>
      <c r="E694" s="104"/>
      <c r="F694" s="104"/>
      <c r="G694" s="104"/>
      <c r="H694" s="104"/>
      <c r="I694" s="60"/>
      <c r="J694" s="60"/>
      <c r="K694" s="60"/>
      <c r="L694" s="60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60"/>
      <c r="Z694" s="10"/>
      <c r="AA694" s="31"/>
      <c r="AB694" s="31"/>
      <c r="AC694" s="31"/>
      <c r="AD694" s="31"/>
      <c r="AE694" s="31"/>
      <c r="AF694" s="31"/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1:53" x14ac:dyDescent="0.25">
      <c r="A695" s="60"/>
      <c r="B695" s="60"/>
      <c r="C695" s="104"/>
      <c r="D695" s="104"/>
      <c r="E695" s="68"/>
      <c r="F695" s="68"/>
      <c r="G695" s="68"/>
      <c r="H695" s="68"/>
      <c r="I695" s="61"/>
      <c r="J695" s="69"/>
      <c r="K695" s="69"/>
      <c r="L695" s="69"/>
      <c r="M695" s="60"/>
      <c r="N695" s="60"/>
      <c r="O695" s="86"/>
      <c r="P695" s="86"/>
      <c r="Q695" s="68"/>
      <c r="R695" s="68"/>
      <c r="S695" s="68"/>
      <c r="T695" s="68"/>
      <c r="U695" s="61"/>
      <c r="V695" s="69"/>
      <c r="W695" s="69"/>
      <c r="X695" s="69"/>
      <c r="AA695" s="55"/>
      <c r="AB695" s="55"/>
      <c r="AC695" s="36"/>
      <c r="AD695" s="36"/>
      <c r="AE695" s="36"/>
      <c r="AF695" s="36"/>
      <c r="AG695" s="37"/>
      <c r="AH695" s="37"/>
      <c r="AI695" s="37"/>
      <c r="AJ695" s="37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1:53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AA696" s="55"/>
      <c r="AB696" s="55"/>
      <c r="AC696" s="38">
        <f>SUM(AC653:AC695)</f>
        <v>430036</v>
      </c>
      <c r="AD696" s="38">
        <f>SUM(AD653:AD677)</f>
        <v>-3108</v>
      </c>
      <c r="AE696" s="38">
        <f>SUM(AE653:AE677)</f>
        <v>0</v>
      </c>
      <c r="AF696" s="38">
        <f>SUM(AF653:AF695)</f>
        <v>426928</v>
      </c>
      <c r="AG696" s="4"/>
      <c r="AH696" s="39">
        <f>SUM(AH653:AH695)</f>
        <v>26958</v>
      </c>
      <c r="AI696" s="39">
        <f>SUM(AI653:AI677)</f>
        <v>0</v>
      </c>
      <c r="AJ696" s="40">
        <f>SUM(AJ653:AJ695)</f>
        <v>453886</v>
      </c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1:5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1:53" x14ac:dyDescent="0.25">
      <c r="A698" s="18"/>
      <c r="B698" t="s">
        <v>0</v>
      </c>
      <c r="C698" s="55"/>
      <c r="D698" s="55"/>
      <c r="E698" s="55"/>
      <c r="F698" s="55"/>
      <c r="H698" s="55"/>
      <c r="N698" t="s">
        <v>0</v>
      </c>
      <c r="O698" s="55"/>
      <c r="P698" s="55"/>
      <c r="Q698" s="55"/>
      <c r="R698" s="55"/>
      <c r="S698" s="55"/>
      <c r="T698" s="55"/>
      <c r="Z698" t="s">
        <v>0</v>
      </c>
      <c r="AA698" s="55"/>
      <c r="AB698" s="55"/>
      <c r="AC698" s="55"/>
      <c r="AD698" s="55"/>
      <c r="AE698" s="55"/>
      <c r="AF698" s="55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1:53" x14ac:dyDescent="0.25">
      <c r="A699" s="18"/>
      <c r="B699" t="s">
        <v>28</v>
      </c>
      <c r="C699" s="55"/>
      <c r="D699" s="55"/>
      <c r="E699" s="55"/>
      <c r="F699" s="55"/>
      <c r="H699" s="55"/>
      <c r="N699" t="s">
        <v>28</v>
      </c>
      <c r="O699" s="55"/>
      <c r="P699" s="55"/>
      <c r="Q699" s="55"/>
      <c r="R699" s="55"/>
      <c r="S699" s="55"/>
      <c r="T699" s="55"/>
      <c r="Z699" t="s">
        <v>28</v>
      </c>
      <c r="AA699" s="55"/>
      <c r="AB699" s="55"/>
      <c r="AC699" s="55"/>
      <c r="AD699" s="55"/>
      <c r="AE699" s="55"/>
      <c r="AF699" s="55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1:53" x14ac:dyDescent="0.25">
      <c r="A700" s="18"/>
      <c r="C700" s="55"/>
      <c r="D700" s="55"/>
      <c r="E700" s="55"/>
      <c r="F700" s="55"/>
      <c r="H700" s="55"/>
      <c r="O700" s="55"/>
      <c r="P700" s="55"/>
      <c r="Q700" s="55"/>
      <c r="R700" s="55"/>
      <c r="S700" s="55"/>
      <c r="T700" s="55"/>
      <c r="AA700" s="55"/>
      <c r="AB700" s="55"/>
      <c r="AC700" s="55"/>
      <c r="AD700" s="55"/>
      <c r="AE700" s="55"/>
      <c r="AF700" s="55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1:53" x14ac:dyDescent="0.25">
      <c r="A701" s="18"/>
      <c r="B701" s="4" t="s">
        <v>14</v>
      </c>
      <c r="C701" s="55"/>
      <c r="D701" s="55"/>
      <c r="E701" s="55"/>
      <c r="F701" s="55"/>
      <c r="H701" s="55"/>
      <c r="N701" s="4" t="s">
        <v>14</v>
      </c>
      <c r="O701" s="55"/>
      <c r="P701" s="55"/>
      <c r="Q701" s="55"/>
      <c r="R701" s="55"/>
      <c r="S701" s="55"/>
      <c r="T701" s="55"/>
      <c r="Z701" s="4" t="s">
        <v>14</v>
      </c>
      <c r="AA701" s="55"/>
      <c r="AB701" s="55"/>
      <c r="AC701" s="55"/>
      <c r="AD701" s="55"/>
      <c r="AE701" s="55"/>
      <c r="AF701" s="55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1:53" x14ac:dyDescent="0.25">
      <c r="A702" s="18"/>
      <c r="C702" s="55"/>
      <c r="D702" s="55"/>
      <c r="E702" s="55"/>
      <c r="F702" s="55"/>
      <c r="H702" s="55"/>
      <c r="O702" s="55"/>
      <c r="P702" s="55"/>
      <c r="Q702" s="55"/>
      <c r="R702" s="55"/>
      <c r="S702" s="55"/>
      <c r="T702" s="55"/>
      <c r="AA702" s="55"/>
      <c r="AB702" s="55"/>
      <c r="AC702" s="55"/>
      <c r="AD702" s="55"/>
      <c r="AE702" s="55"/>
      <c r="AF702" s="55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1:53" ht="15.75" x14ac:dyDescent="0.25">
      <c r="A703" s="18"/>
      <c r="B703" t="s">
        <v>39</v>
      </c>
      <c r="C703" s="55"/>
      <c r="D703" s="55"/>
      <c r="E703" s="55"/>
      <c r="F703" s="55"/>
      <c r="H703" s="55"/>
      <c r="J703" s="55" t="s">
        <v>15</v>
      </c>
      <c r="K703" s="19">
        <v>1</v>
      </c>
      <c r="N703" t="s">
        <v>39</v>
      </c>
      <c r="O703" s="55"/>
      <c r="P703" s="55"/>
      <c r="Q703" s="55"/>
      <c r="R703" s="55"/>
      <c r="S703" s="55"/>
      <c r="T703" s="55"/>
      <c r="V703" s="55" t="s">
        <v>15</v>
      </c>
      <c r="W703" s="19">
        <v>2</v>
      </c>
      <c r="Z703" t="s">
        <v>75</v>
      </c>
      <c r="AA703" s="55"/>
      <c r="AB703" s="55"/>
      <c r="AC703" s="55"/>
      <c r="AD703" s="55"/>
      <c r="AE703" s="55"/>
      <c r="AF703" s="55"/>
      <c r="AH703" s="55" t="s">
        <v>15</v>
      </c>
      <c r="AI703" s="20">
        <v>3</v>
      </c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1:53" ht="15" customHeight="1" x14ac:dyDescent="0.25">
      <c r="A704" s="18"/>
      <c r="B704" s="21" t="s">
        <v>73</v>
      </c>
      <c r="C704" s="20"/>
      <c r="D704" s="55"/>
      <c r="E704" s="55"/>
      <c r="F704" s="55"/>
      <c r="H704" s="55"/>
      <c r="J704" s="22" t="s">
        <v>16</v>
      </c>
      <c r="K704" s="23" t="s">
        <v>35</v>
      </c>
      <c r="L704" s="24"/>
      <c r="N704" s="21" t="s">
        <v>70</v>
      </c>
      <c r="O704" s="20"/>
      <c r="P704" s="55"/>
      <c r="Q704" s="55"/>
      <c r="R704" s="55"/>
      <c r="S704" s="55"/>
      <c r="T704" s="55"/>
      <c r="V704" s="22" t="s">
        <v>16</v>
      </c>
      <c r="W704" s="23" t="s">
        <v>32</v>
      </c>
      <c r="X704" s="24"/>
      <c r="Z704" s="21" t="s">
        <v>73</v>
      </c>
      <c r="AA704" s="20"/>
      <c r="AB704" s="55"/>
      <c r="AC704" s="55"/>
      <c r="AD704" s="55"/>
      <c r="AE704" s="55"/>
      <c r="AF704" s="55"/>
      <c r="AH704" s="22" t="s">
        <v>16</v>
      </c>
      <c r="AI704" s="23" t="s">
        <v>41</v>
      </c>
      <c r="AJ704" s="24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1:53" x14ac:dyDescent="0.25">
      <c r="A705" s="18"/>
      <c r="C705" s="55"/>
      <c r="D705" s="55"/>
      <c r="E705" s="55"/>
      <c r="F705" s="55"/>
      <c r="H705" s="55"/>
      <c r="O705" s="55"/>
      <c r="P705" s="55"/>
      <c r="Q705" s="55"/>
      <c r="R705" s="55"/>
      <c r="S705" s="55"/>
      <c r="T705" s="55"/>
      <c r="AA705" s="55"/>
      <c r="AB705" s="55"/>
      <c r="AC705" s="55"/>
      <c r="AD705" s="55"/>
      <c r="AE705" s="55"/>
      <c r="AF705" s="55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1:53" x14ac:dyDescent="0.25">
      <c r="A706" s="18"/>
      <c r="C706" s="25"/>
      <c r="D706" s="26"/>
      <c r="E706" s="118" t="s">
        <v>17</v>
      </c>
      <c r="F706" s="118"/>
      <c r="G706" s="105"/>
      <c r="H706" s="27"/>
      <c r="J706" s="119" t="s">
        <v>18</v>
      </c>
      <c r="K706" s="120"/>
      <c r="L706" s="121" t="s">
        <v>19</v>
      </c>
      <c r="O706" s="25"/>
      <c r="P706" s="26"/>
      <c r="Q706" s="118" t="s">
        <v>17</v>
      </c>
      <c r="R706" s="118"/>
      <c r="S706" s="105"/>
      <c r="T706" s="27"/>
      <c r="V706" s="119" t="s">
        <v>18</v>
      </c>
      <c r="W706" s="120"/>
      <c r="X706" s="121" t="s">
        <v>19</v>
      </c>
      <c r="AA706" s="25"/>
      <c r="AB706" s="26"/>
      <c r="AC706" s="118" t="s">
        <v>17</v>
      </c>
      <c r="AD706" s="118"/>
      <c r="AE706" s="105"/>
      <c r="AF706" s="27"/>
      <c r="AH706" s="119" t="s">
        <v>18</v>
      </c>
      <c r="AI706" s="120"/>
      <c r="AJ706" s="121" t="s">
        <v>19</v>
      </c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1:53" ht="30" x14ac:dyDescent="0.25">
      <c r="A707" s="18"/>
      <c r="C707" s="28" t="s">
        <v>20</v>
      </c>
      <c r="D707" s="28" t="s">
        <v>21</v>
      </c>
      <c r="E707" s="74" t="s">
        <v>22</v>
      </c>
      <c r="F707" s="75" t="s">
        <v>23</v>
      </c>
      <c r="G707" s="75" t="s">
        <v>31</v>
      </c>
      <c r="H707" s="75" t="s">
        <v>24</v>
      </c>
      <c r="J707" s="29" t="s">
        <v>25</v>
      </c>
      <c r="K707" s="29" t="s">
        <v>26</v>
      </c>
      <c r="L707" s="122"/>
      <c r="O707" s="28" t="s">
        <v>20</v>
      </c>
      <c r="P707" s="28" t="s">
        <v>21</v>
      </c>
      <c r="Q707" s="74" t="s">
        <v>22</v>
      </c>
      <c r="R707" s="75" t="s">
        <v>23</v>
      </c>
      <c r="S707" s="75" t="s">
        <v>31</v>
      </c>
      <c r="T707" s="75" t="s">
        <v>24</v>
      </c>
      <c r="V707" s="29" t="s">
        <v>25</v>
      </c>
      <c r="W707" s="29" t="s">
        <v>26</v>
      </c>
      <c r="X707" s="122"/>
      <c r="AA707" s="28" t="s">
        <v>20</v>
      </c>
      <c r="AB707" s="28" t="s">
        <v>21</v>
      </c>
      <c r="AC707" s="74" t="s">
        <v>22</v>
      </c>
      <c r="AD707" s="75" t="s">
        <v>23</v>
      </c>
      <c r="AE707" s="75" t="s">
        <v>31</v>
      </c>
      <c r="AF707" s="75" t="s">
        <v>24</v>
      </c>
      <c r="AH707" s="29" t="s">
        <v>25</v>
      </c>
      <c r="AI707" s="29" t="s">
        <v>26</v>
      </c>
      <c r="AJ707" s="122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1:53" x14ac:dyDescent="0.25">
      <c r="A708" s="18"/>
      <c r="B708" s="10">
        <v>1</v>
      </c>
      <c r="C708" s="30" t="s">
        <v>74</v>
      </c>
      <c r="D708" s="80">
        <v>11927</v>
      </c>
      <c r="E708" s="32">
        <f>650*50+670+622*3</f>
        <v>35036</v>
      </c>
      <c r="F708" s="32"/>
      <c r="G708" s="32"/>
      <c r="H708" s="32">
        <f>SUM(E708:F708)</f>
        <v>35036</v>
      </c>
      <c r="I708" s="12"/>
      <c r="J708" s="12">
        <f>4.5*30</f>
        <v>135</v>
      </c>
      <c r="K708" s="12"/>
      <c r="L708" s="12">
        <f>SUM(H708:K708)</f>
        <v>35171</v>
      </c>
      <c r="N708" s="10">
        <v>1</v>
      </c>
      <c r="O708" s="30" t="s">
        <v>74</v>
      </c>
      <c r="P708" s="80">
        <v>11836</v>
      </c>
      <c r="Q708" s="32">
        <f>650*38+670*2+622*15+912+1050+872+229*3</f>
        <v>38891</v>
      </c>
      <c r="R708" s="32"/>
      <c r="S708" s="32"/>
      <c r="T708" s="32">
        <f>SUM(Q708:R708)</f>
        <v>38891</v>
      </c>
      <c r="U708" s="12"/>
      <c r="V708" s="12">
        <f>4.5*42</f>
        <v>189</v>
      </c>
      <c r="W708" s="12"/>
      <c r="X708" s="12">
        <f>SUM(T708:W708)</f>
        <v>39080</v>
      </c>
      <c r="Z708" s="10">
        <v>1</v>
      </c>
      <c r="AA708" s="30" t="s">
        <v>74</v>
      </c>
      <c r="AB708" s="31">
        <v>11880</v>
      </c>
      <c r="AC708" s="32">
        <f>650*187+670*5+229*3</f>
        <v>125587</v>
      </c>
      <c r="AD708" s="32">
        <f>-192*6</f>
        <v>-1152</v>
      </c>
      <c r="AE708" s="32"/>
      <c r="AF708" s="32">
        <f>SUM(AC708:AD708)</f>
        <v>124435</v>
      </c>
      <c r="AG708" s="12"/>
      <c r="AH708" s="12"/>
      <c r="AI708" s="12"/>
      <c r="AJ708" s="12">
        <f>SUM(AF708:AI708)</f>
        <v>124435</v>
      </c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1:53" x14ac:dyDescent="0.25">
      <c r="A709" s="18"/>
      <c r="B709" s="10">
        <v>2</v>
      </c>
      <c r="C709" s="30" t="s">
        <v>74</v>
      </c>
      <c r="D709" s="80">
        <f>D708+1</f>
        <v>11928</v>
      </c>
      <c r="E709" s="32">
        <f>650*108+622*108+229*8</f>
        <v>139208</v>
      </c>
      <c r="F709" s="32">
        <f>-216*6</f>
        <v>-1296</v>
      </c>
      <c r="G709" s="32"/>
      <c r="H709" s="32">
        <f t="shared" ref="H709:H746" si="150">SUM(E709:F709)</f>
        <v>137912</v>
      </c>
      <c r="I709" s="12"/>
      <c r="J709" s="12"/>
      <c r="K709" s="12">
        <f>-111*324</f>
        <v>-35964</v>
      </c>
      <c r="L709" s="12">
        <f t="shared" ref="L709:L749" si="151">SUM(H709:K709)</f>
        <v>101948</v>
      </c>
      <c r="N709" s="10">
        <v>2</v>
      </c>
      <c r="O709" s="30" t="s">
        <v>74</v>
      </c>
      <c r="P709" s="80">
        <f>P708+1</f>
        <v>11837</v>
      </c>
      <c r="Q709" s="32">
        <f>650*117+622*9+229*2</f>
        <v>82106</v>
      </c>
      <c r="R709" s="32">
        <f>-126*6</f>
        <v>-756</v>
      </c>
      <c r="S709" s="32"/>
      <c r="T709" s="32">
        <f t="shared" ref="T709:T746" si="152">SUM(Q709:R709)</f>
        <v>81350</v>
      </c>
      <c r="U709" s="12"/>
      <c r="V709" s="12">
        <f>1.5*48</f>
        <v>72</v>
      </c>
      <c r="W709" s="12"/>
      <c r="X709" s="12">
        <f t="shared" ref="X709:X749" si="153">SUM(T709:W709)</f>
        <v>81422</v>
      </c>
      <c r="Z709" s="10">
        <v>2</v>
      </c>
      <c r="AA709" s="30" t="s">
        <v>74</v>
      </c>
      <c r="AB709" s="31">
        <f>AB708+1</f>
        <v>11881</v>
      </c>
      <c r="AC709" s="32">
        <f>650*80+670*3+622*20+912+229*4</f>
        <v>68278</v>
      </c>
      <c r="AD709" s="32">
        <f>-104*6</f>
        <v>-624</v>
      </c>
      <c r="AE709" s="32"/>
      <c r="AF709" s="32">
        <f t="shared" ref="AF709:AF746" si="154">SUM(AC709:AD709)</f>
        <v>67654</v>
      </c>
      <c r="AG709" s="12"/>
      <c r="AH709" s="12"/>
      <c r="AI709" s="12"/>
      <c r="AJ709" s="12">
        <f t="shared" ref="AJ709:AJ749" si="155">SUM(AF709:AI709)</f>
        <v>67654</v>
      </c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1:53" x14ac:dyDescent="0.25">
      <c r="A710" s="18"/>
      <c r="B710" s="10">
        <v>3</v>
      </c>
      <c r="C710" s="30" t="s">
        <v>74</v>
      </c>
      <c r="D710" s="80">
        <f t="shared" ref="D710:D711" si="156">D709+1</f>
        <v>11929</v>
      </c>
      <c r="E710" s="33">
        <f>650*216+1175+973*5+1175+912*5+1175+1102+229*8+500*5+650*3</f>
        <v>160734</v>
      </c>
      <c r="F710" s="33">
        <f>-230*6</f>
        <v>-1380</v>
      </c>
      <c r="G710" s="32"/>
      <c r="H710" s="32">
        <f t="shared" si="150"/>
        <v>159354</v>
      </c>
      <c r="I710" s="12"/>
      <c r="J710" s="34">
        <f>120*6</f>
        <v>720</v>
      </c>
      <c r="K710" s="34">
        <f>-111*6+-84+-42*14+-1.5*13</f>
        <v>-1357.5</v>
      </c>
      <c r="L710" s="12">
        <f t="shared" si="151"/>
        <v>158716.5</v>
      </c>
      <c r="N710" s="10">
        <v>3</v>
      </c>
      <c r="O710" s="30" t="s">
        <v>74</v>
      </c>
      <c r="P710" s="80">
        <f t="shared" ref="P710:P714" si="157">P709+1</f>
        <v>11838</v>
      </c>
      <c r="Q710" s="33">
        <f>650*216+229*9+650*2</f>
        <v>143761</v>
      </c>
      <c r="R710" s="33">
        <f>-216*6</f>
        <v>-1296</v>
      </c>
      <c r="S710" s="32"/>
      <c r="T710" s="32">
        <f t="shared" si="152"/>
        <v>142465</v>
      </c>
      <c r="U710" s="12"/>
      <c r="V710" s="34">
        <f>78*7</f>
        <v>546</v>
      </c>
      <c r="W710" s="34">
        <f>-42*11</f>
        <v>-462</v>
      </c>
      <c r="X710" s="12">
        <f t="shared" si="153"/>
        <v>142549</v>
      </c>
      <c r="Z710" s="10">
        <v>3</v>
      </c>
      <c r="AA710" s="30" t="s">
        <v>74</v>
      </c>
      <c r="AB710" s="31">
        <f t="shared" ref="AB710:AB713" si="158">AB709+1</f>
        <v>11882</v>
      </c>
      <c r="AC710" s="33">
        <f>30*650+622*5+229</f>
        <v>22839</v>
      </c>
      <c r="AD710" s="33"/>
      <c r="AE710" s="32"/>
      <c r="AF710" s="32">
        <f t="shared" si="154"/>
        <v>22839</v>
      </c>
      <c r="AG710" s="12"/>
      <c r="AH710" s="12"/>
      <c r="AI710" s="12"/>
      <c r="AJ710" s="12">
        <f t="shared" si="155"/>
        <v>22839</v>
      </c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1:53" x14ac:dyDescent="0.25">
      <c r="A711" s="18"/>
      <c r="B711" s="10">
        <v>4</v>
      </c>
      <c r="C711" s="30" t="s">
        <v>74</v>
      </c>
      <c r="D711" s="80">
        <f t="shared" si="156"/>
        <v>11930</v>
      </c>
      <c r="E711" s="32">
        <f>650*17+670*2</f>
        <v>12390</v>
      </c>
      <c r="F711" s="32"/>
      <c r="G711" s="32"/>
      <c r="H711" s="32">
        <f t="shared" si="150"/>
        <v>12390</v>
      </c>
      <c r="I711" s="12"/>
      <c r="J711" s="12"/>
      <c r="K711" s="12">
        <f>-111*88</f>
        <v>-9768</v>
      </c>
      <c r="L711" s="12">
        <f t="shared" si="151"/>
        <v>2622</v>
      </c>
      <c r="N711" s="10">
        <v>4</v>
      </c>
      <c r="O711" s="30" t="s">
        <v>74</v>
      </c>
      <c r="P711" s="80">
        <f t="shared" si="157"/>
        <v>11839</v>
      </c>
      <c r="Q711" s="32">
        <f>650*5+9.5*5</f>
        <v>3297.5</v>
      </c>
      <c r="R711" s="32"/>
      <c r="S711" s="32"/>
      <c r="T711" s="32">
        <f t="shared" si="152"/>
        <v>3297.5</v>
      </c>
      <c r="U711" s="12"/>
      <c r="V711" s="12"/>
      <c r="W711" s="12"/>
      <c r="X711" s="12">
        <f t="shared" si="153"/>
        <v>3297.5</v>
      </c>
      <c r="Z711" s="10">
        <v>4</v>
      </c>
      <c r="AA711" s="30" t="s">
        <v>74</v>
      </c>
      <c r="AB711" s="31">
        <f t="shared" si="158"/>
        <v>11883</v>
      </c>
      <c r="AC711" s="32">
        <f>670*4</f>
        <v>2680</v>
      </c>
      <c r="AD711" s="32"/>
      <c r="AE711" s="32"/>
      <c r="AF711" s="32">
        <f t="shared" si="154"/>
        <v>2680</v>
      </c>
      <c r="AG711" s="12"/>
      <c r="AI711" s="12"/>
      <c r="AJ711" s="12">
        <f t="shared" si="155"/>
        <v>2680</v>
      </c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1:53" x14ac:dyDescent="0.25">
      <c r="A712" s="18"/>
      <c r="B712" s="10">
        <v>5</v>
      </c>
      <c r="C712" s="30"/>
      <c r="D712" s="11" t="s">
        <v>27</v>
      </c>
      <c r="E712" s="32"/>
      <c r="F712" s="32"/>
      <c r="G712" s="32"/>
      <c r="H712" s="32">
        <f t="shared" si="150"/>
        <v>0</v>
      </c>
      <c r="I712" s="12"/>
      <c r="J712" s="12"/>
      <c r="K712" s="12"/>
      <c r="L712" s="12">
        <f t="shared" si="151"/>
        <v>0</v>
      </c>
      <c r="N712" s="10">
        <v>5</v>
      </c>
      <c r="O712" s="30" t="s">
        <v>74</v>
      </c>
      <c r="P712" s="80">
        <f t="shared" si="157"/>
        <v>11840</v>
      </c>
      <c r="Q712" s="32">
        <f>650*14+9.5*14</f>
        <v>9233</v>
      </c>
      <c r="R712" s="32"/>
      <c r="S712" s="32"/>
      <c r="T712" s="32">
        <f t="shared" si="152"/>
        <v>9233</v>
      </c>
      <c r="U712" s="12"/>
      <c r="V712" s="12">
        <f>84</f>
        <v>84</v>
      </c>
      <c r="W712" s="12"/>
      <c r="X712" s="12">
        <f t="shared" si="153"/>
        <v>9317</v>
      </c>
      <c r="Z712" s="10">
        <v>5</v>
      </c>
      <c r="AA712" s="30" t="s">
        <v>74</v>
      </c>
      <c r="AB712" s="31">
        <f t="shared" si="158"/>
        <v>11884</v>
      </c>
      <c r="AC712" s="32">
        <f>650*216+622*108+229*4</f>
        <v>208492</v>
      </c>
      <c r="AD712" s="32"/>
      <c r="AE712" s="32"/>
      <c r="AF712" s="32">
        <f t="shared" si="154"/>
        <v>208492</v>
      </c>
      <c r="AG712" s="12"/>
      <c r="AH712" s="12">
        <f>111*185+4.5*156</f>
        <v>21237</v>
      </c>
      <c r="AI712" s="12">
        <f>-78*7</f>
        <v>-546</v>
      </c>
      <c r="AJ712" s="12">
        <f t="shared" si="155"/>
        <v>229183</v>
      </c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1:53" x14ac:dyDescent="0.25">
      <c r="A713" s="18"/>
      <c r="B713" s="10">
        <v>6</v>
      </c>
      <c r="C713" s="30"/>
      <c r="D713" s="80"/>
      <c r="E713" s="32"/>
      <c r="F713" s="32"/>
      <c r="G713" s="32"/>
      <c r="H713" s="32">
        <f t="shared" si="150"/>
        <v>0</v>
      </c>
      <c r="I713" s="12"/>
      <c r="J713" s="12"/>
      <c r="K713" s="10"/>
      <c r="L713" s="12">
        <f t="shared" si="151"/>
        <v>0</v>
      </c>
      <c r="N713" s="10">
        <v>6</v>
      </c>
      <c r="O713" s="30" t="s">
        <v>74</v>
      </c>
      <c r="P713" s="80">
        <f t="shared" si="157"/>
        <v>11841</v>
      </c>
      <c r="Q713" s="32">
        <f>650*108+229*3</f>
        <v>70887</v>
      </c>
      <c r="R713" s="32">
        <f>-108*6</f>
        <v>-648</v>
      </c>
      <c r="S713" s="32"/>
      <c r="T713" s="32">
        <f t="shared" si="152"/>
        <v>70239</v>
      </c>
      <c r="U713" s="12"/>
      <c r="V713" s="12">
        <f>1.5*72</f>
        <v>108</v>
      </c>
      <c r="W713" s="10"/>
      <c r="X713" s="12">
        <f t="shared" si="153"/>
        <v>70347</v>
      </c>
      <c r="Z713" s="10">
        <v>6</v>
      </c>
      <c r="AA713" s="30" t="s">
        <v>74</v>
      </c>
      <c r="AB713" s="31">
        <f t="shared" si="158"/>
        <v>11885</v>
      </c>
      <c r="AC713" s="32">
        <f>650*7</f>
        <v>4550</v>
      </c>
      <c r="AD713" s="32"/>
      <c r="AE713" s="32"/>
      <c r="AF713" s="32">
        <f t="shared" si="154"/>
        <v>4550</v>
      </c>
      <c r="AG713" s="12"/>
      <c r="AH713" s="12"/>
      <c r="AI713" s="10">
        <f>-111*12</f>
        <v>-1332</v>
      </c>
      <c r="AJ713" s="12">
        <f t="shared" si="155"/>
        <v>3218</v>
      </c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1:53" x14ac:dyDescent="0.25">
      <c r="A714" s="18"/>
      <c r="B714" s="10">
        <v>7</v>
      </c>
      <c r="C714" s="30"/>
      <c r="D714" s="80"/>
      <c r="E714" s="32"/>
      <c r="F714" s="32"/>
      <c r="G714" s="32"/>
      <c r="H714" s="32">
        <f t="shared" si="150"/>
        <v>0</v>
      </c>
      <c r="I714" s="12"/>
      <c r="J714" s="12"/>
      <c r="K714" s="12"/>
      <c r="L714" s="12">
        <f t="shared" si="151"/>
        <v>0</v>
      </c>
      <c r="N714" s="10">
        <v>7</v>
      </c>
      <c r="O714" s="30" t="s">
        <v>74</v>
      </c>
      <c r="P714" s="80">
        <f t="shared" si="157"/>
        <v>11842</v>
      </c>
      <c r="Q714" s="32">
        <f>650*3</f>
        <v>1950</v>
      </c>
      <c r="R714" s="32"/>
      <c r="S714" s="32"/>
      <c r="T714" s="32">
        <f t="shared" si="152"/>
        <v>1950</v>
      </c>
      <c r="U714" s="12"/>
      <c r="V714" s="12"/>
      <c r="W714" s="12"/>
      <c r="X714" s="12">
        <f t="shared" si="153"/>
        <v>1950</v>
      </c>
      <c r="Z714" s="10">
        <v>7</v>
      </c>
      <c r="AA714" s="30"/>
      <c r="AB714" s="11" t="s">
        <v>27</v>
      </c>
      <c r="AC714" s="32"/>
      <c r="AD714" s="32"/>
      <c r="AE714" s="32"/>
      <c r="AF714" s="32">
        <f t="shared" si="154"/>
        <v>0</v>
      </c>
      <c r="AG714" s="12"/>
      <c r="AH714" s="56"/>
      <c r="AI714" s="12"/>
      <c r="AJ714" s="12">
        <f t="shared" si="155"/>
        <v>0</v>
      </c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1:53" x14ac:dyDescent="0.25">
      <c r="A715" s="18"/>
      <c r="B715" s="10">
        <v>8</v>
      </c>
      <c r="C715" s="30"/>
      <c r="D715" s="80"/>
      <c r="E715" s="32"/>
      <c r="F715" s="32"/>
      <c r="G715" s="32"/>
      <c r="H715" s="32">
        <f t="shared" si="150"/>
        <v>0</v>
      </c>
      <c r="I715" s="12"/>
      <c r="J715" s="12"/>
      <c r="K715" s="12"/>
      <c r="L715" s="12">
        <f t="shared" si="151"/>
        <v>0</v>
      </c>
      <c r="N715" s="10">
        <v>8</v>
      </c>
      <c r="O715" s="30"/>
      <c r="P715" s="11" t="s">
        <v>27</v>
      </c>
      <c r="Q715" s="32"/>
      <c r="R715" s="32"/>
      <c r="S715" s="32"/>
      <c r="T715" s="32">
        <f t="shared" si="152"/>
        <v>0</v>
      </c>
      <c r="U715" s="12"/>
      <c r="V715" s="12"/>
      <c r="W715" s="12"/>
      <c r="X715" s="12">
        <f t="shared" si="153"/>
        <v>0</v>
      </c>
      <c r="Z715" s="10">
        <v>8</v>
      </c>
      <c r="AA715" s="30"/>
      <c r="AB715" s="31"/>
      <c r="AC715" s="32"/>
      <c r="AD715" s="32"/>
      <c r="AF715" s="32">
        <f t="shared" si="154"/>
        <v>0</v>
      </c>
      <c r="AG715" s="12"/>
      <c r="AH715" s="12"/>
      <c r="AI715" s="12"/>
      <c r="AJ715" s="12">
        <f t="shared" si="155"/>
        <v>0</v>
      </c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1:53" x14ac:dyDescent="0.25">
      <c r="A716" s="18"/>
      <c r="B716" s="10">
        <v>9</v>
      </c>
      <c r="C716" s="30"/>
      <c r="D716" s="80"/>
      <c r="E716" s="32"/>
      <c r="F716" s="32"/>
      <c r="G716" s="32"/>
      <c r="H716" s="32">
        <f t="shared" si="150"/>
        <v>0</v>
      </c>
      <c r="I716" s="12"/>
      <c r="J716" s="12"/>
      <c r="K716" s="12"/>
      <c r="L716" s="12">
        <f t="shared" si="151"/>
        <v>0</v>
      </c>
      <c r="N716" s="10">
        <v>9</v>
      </c>
      <c r="O716" s="30"/>
      <c r="Q716" s="32"/>
      <c r="R716" s="32"/>
      <c r="S716" s="32"/>
      <c r="T716" s="32">
        <f t="shared" si="152"/>
        <v>0</v>
      </c>
      <c r="U716" s="12"/>
      <c r="V716" s="12"/>
      <c r="W716" s="12"/>
      <c r="X716" s="12">
        <f t="shared" si="153"/>
        <v>0</v>
      </c>
      <c r="Z716" s="10">
        <v>9</v>
      </c>
      <c r="AA716" s="30"/>
      <c r="AC716" s="32"/>
      <c r="AD716" s="32"/>
      <c r="AE716" s="32"/>
      <c r="AF716" s="32">
        <f t="shared" si="154"/>
        <v>0</v>
      </c>
      <c r="AG716" s="12"/>
      <c r="AI716" s="12"/>
      <c r="AJ716" s="12">
        <f t="shared" si="155"/>
        <v>0</v>
      </c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1:53" x14ac:dyDescent="0.25">
      <c r="A717" s="18"/>
      <c r="B717" s="10">
        <v>10</v>
      </c>
      <c r="C717" s="30"/>
      <c r="D717" s="80"/>
      <c r="E717" s="32"/>
      <c r="F717" s="32"/>
      <c r="G717" s="32"/>
      <c r="H717" s="32">
        <f t="shared" si="150"/>
        <v>0</v>
      </c>
      <c r="I717" s="12"/>
      <c r="J717" s="12"/>
      <c r="K717" s="12"/>
      <c r="L717" s="12">
        <f t="shared" si="151"/>
        <v>0</v>
      </c>
      <c r="N717" s="10">
        <v>10</v>
      </c>
      <c r="O717" s="30"/>
      <c r="P717" s="80"/>
      <c r="Q717" s="32"/>
      <c r="R717" s="32"/>
      <c r="S717" s="32"/>
      <c r="T717" s="32">
        <f t="shared" si="152"/>
        <v>0</v>
      </c>
      <c r="U717" s="12"/>
      <c r="V717" s="12"/>
      <c r="W717" s="12"/>
      <c r="X717" s="12">
        <f t="shared" si="153"/>
        <v>0</v>
      </c>
      <c r="Z717" s="10">
        <v>10</v>
      </c>
      <c r="AA717" s="30"/>
      <c r="AB717" s="31"/>
      <c r="AC717" s="32"/>
      <c r="AD717" s="32"/>
      <c r="AE717" s="32"/>
      <c r="AF717" s="32">
        <f t="shared" si="154"/>
        <v>0</v>
      </c>
      <c r="AG717" s="12"/>
      <c r="AH717" s="12"/>
      <c r="AI717" s="12"/>
      <c r="AJ717" s="12">
        <f t="shared" si="155"/>
        <v>0</v>
      </c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1:53" x14ac:dyDescent="0.25">
      <c r="A718" s="18"/>
      <c r="B718" s="10">
        <v>11</v>
      </c>
      <c r="C718" s="30"/>
      <c r="D718" s="80"/>
      <c r="E718" s="32"/>
      <c r="F718" s="32"/>
      <c r="G718" s="32"/>
      <c r="H718" s="32">
        <f t="shared" si="150"/>
        <v>0</v>
      </c>
      <c r="I718" s="12"/>
      <c r="J718" s="12"/>
      <c r="K718" s="12"/>
      <c r="L718" s="12">
        <f t="shared" si="151"/>
        <v>0</v>
      </c>
      <c r="N718" s="10">
        <v>11</v>
      </c>
      <c r="O718" s="30"/>
      <c r="Q718" s="32"/>
      <c r="R718" s="32"/>
      <c r="S718" s="32"/>
      <c r="T718" s="32">
        <f t="shared" si="152"/>
        <v>0</v>
      </c>
      <c r="U718" s="12"/>
      <c r="V718" s="12"/>
      <c r="W718" s="12"/>
      <c r="X718" s="12">
        <f t="shared" si="153"/>
        <v>0</v>
      </c>
      <c r="Z718" s="10">
        <v>11</v>
      </c>
      <c r="AA718" s="30"/>
      <c r="AB718" s="31"/>
      <c r="AC718" s="32"/>
      <c r="AD718" s="32"/>
      <c r="AE718" s="32"/>
      <c r="AF718" s="32">
        <f t="shared" si="154"/>
        <v>0</v>
      </c>
      <c r="AG718" s="12"/>
      <c r="AH718" s="12"/>
      <c r="AI718" s="12"/>
      <c r="AJ718" s="12">
        <f t="shared" si="155"/>
        <v>0</v>
      </c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1:53" x14ac:dyDescent="0.25">
      <c r="A719" s="18"/>
      <c r="B719" s="10">
        <v>12</v>
      </c>
      <c r="C719" s="30"/>
      <c r="E719" s="32"/>
      <c r="F719" s="32"/>
      <c r="G719" s="32"/>
      <c r="H719" s="32">
        <f t="shared" si="150"/>
        <v>0</v>
      </c>
      <c r="I719" s="12"/>
      <c r="J719" s="12"/>
      <c r="K719" s="12"/>
      <c r="L719" s="12">
        <f t="shared" si="151"/>
        <v>0</v>
      </c>
      <c r="N719" s="10">
        <v>12</v>
      </c>
      <c r="O719" s="30"/>
      <c r="P719" s="80"/>
      <c r="Q719" s="32"/>
      <c r="R719" s="32"/>
      <c r="S719" s="32"/>
      <c r="T719" s="32">
        <f t="shared" si="152"/>
        <v>0</v>
      </c>
      <c r="U719" s="12"/>
      <c r="V719" s="12"/>
      <c r="W719" s="12"/>
      <c r="X719" s="12">
        <f t="shared" si="153"/>
        <v>0</v>
      </c>
      <c r="Z719" s="10">
        <v>12</v>
      </c>
      <c r="AA719" s="30"/>
      <c r="AB719" s="31"/>
      <c r="AC719" s="32"/>
      <c r="AD719" s="32"/>
      <c r="AE719" s="32"/>
      <c r="AF719" s="32">
        <f t="shared" si="154"/>
        <v>0</v>
      </c>
      <c r="AG719" s="12"/>
      <c r="AH719" s="12"/>
      <c r="AI719" s="12"/>
      <c r="AJ719" s="12">
        <f t="shared" si="155"/>
        <v>0</v>
      </c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1:53" x14ac:dyDescent="0.25">
      <c r="A720" s="18"/>
      <c r="B720" s="10">
        <v>13</v>
      </c>
      <c r="C720" s="30"/>
      <c r="D720" s="80"/>
      <c r="E720" s="32"/>
      <c r="F720" s="32"/>
      <c r="G720" s="32"/>
      <c r="H720" s="32">
        <f t="shared" si="150"/>
        <v>0</v>
      </c>
      <c r="I720" s="12"/>
      <c r="J720" s="12"/>
      <c r="K720" s="12"/>
      <c r="L720" s="12">
        <f t="shared" si="151"/>
        <v>0</v>
      </c>
      <c r="N720" s="10">
        <v>13</v>
      </c>
      <c r="O720" s="30"/>
      <c r="P720" s="80"/>
      <c r="Q720" s="32"/>
      <c r="R720" s="32"/>
      <c r="S720" s="32"/>
      <c r="T720" s="32">
        <f t="shared" si="152"/>
        <v>0</v>
      </c>
      <c r="U720" s="12"/>
      <c r="V720" s="12"/>
      <c r="W720" s="12"/>
      <c r="X720" s="12">
        <f t="shared" si="153"/>
        <v>0</v>
      </c>
      <c r="Z720" s="10">
        <v>13</v>
      </c>
      <c r="AA720" s="30"/>
      <c r="AB720" s="31"/>
      <c r="AC720" s="32"/>
      <c r="AD720" s="32"/>
      <c r="AE720" s="32"/>
      <c r="AF720" s="32">
        <f t="shared" si="154"/>
        <v>0</v>
      </c>
      <c r="AG720" s="12"/>
      <c r="AH720" s="12"/>
      <c r="AI720" s="12"/>
      <c r="AJ720" s="12">
        <f t="shared" si="155"/>
        <v>0</v>
      </c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1:53" x14ac:dyDescent="0.25">
      <c r="A721" s="18"/>
      <c r="B721" s="10">
        <v>14</v>
      </c>
      <c r="C721" s="30"/>
      <c r="D721" s="80"/>
      <c r="E721" s="32"/>
      <c r="F721" s="32"/>
      <c r="G721" s="32"/>
      <c r="H721" s="32">
        <f t="shared" si="150"/>
        <v>0</v>
      </c>
      <c r="I721" s="12"/>
      <c r="J721" s="12"/>
      <c r="K721" s="12"/>
      <c r="L721" s="12">
        <f t="shared" si="151"/>
        <v>0</v>
      </c>
      <c r="N721" s="10">
        <v>14</v>
      </c>
      <c r="O721" s="30"/>
      <c r="Q721" s="32"/>
      <c r="R721" s="32"/>
      <c r="S721" s="32"/>
      <c r="T721" s="32">
        <f t="shared" si="152"/>
        <v>0</v>
      </c>
      <c r="U721" s="12"/>
      <c r="V721" s="12"/>
      <c r="W721" s="12"/>
      <c r="X721" s="12">
        <f t="shared" si="153"/>
        <v>0</v>
      </c>
      <c r="Z721" s="10">
        <v>14</v>
      </c>
      <c r="AA721" s="30"/>
      <c r="AB721" s="31"/>
      <c r="AC721" s="32"/>
      <c r="AD721" s="32"/>
      <c r="AE721" s="32"/>
      <c r="AF721" s="32">
        <f t="shared" si="154"/>
        <v>0</v>
      </c>
      <c r="AG721" s="12"/>
      <c r="AH721" s="12"/>
      <c r="AI721" s="12"/>
      <c r="AJ721" s="12">
        <f t="shared" si="155"/>
        <v>0</v>
      </c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1:53" x14ac:dyDescent="0.25">
      <c r="A722" s="18"/>
      <c r="B722" s="10">
        <v>15</v>
      </c>
      <c r="C722" s="30"/>
      <c r="D722" s="80"/>
      <c r="E722" s="32"/>
      <c r="F722" s="32"/>
      <c r="G722" s="32"/>
      <c r="H722" s="32">
        <f t="shared" si="150"/>
        <v>0</v>
      </c>
      <c r="I722" s="12"/>
      <c r="J722" s="12"/>
      <c r="K722" s="12"/>
      <c r="L722" s="12">
        <f t="shared" si="151"/>
        <v>0</v>
      </c>
      <c r="N722" s="10">
        <v>15</v>
      </c>
      <c r="O722" s="30"/>
      <c r="P722" s="80"/>
      <c r="Q722" s="32"/>
      <c r="R722" s="32"/>
      <c r="S722" s="32"/>
      <c r="T722" s="32">
        <f t="shared" si="152"/>
        <v>0</v>
      </c>
      <c r="U722" s="12"/>
      <c r="V722" s="12"/>
      <c r="W722" s="12"/>
      <c r="X722" s="12">
        <f t="shared" si="153"/>
        <v>0</v>
      </c>
      <c r="Z722" s="10">
        <v>15</v>
      </c>
      <c r="AA722" s="30"/>
      <c r="AB722" s="31"/>
      <c r="AC722" s="32"/>
      <c r="AD722" s="32"/>
      <c r="AE722" s="32"/>
      <c r="AF722" s="32">
        <f t="shared" si="154"/>
        <v>0</v>
      </c>
      <c r="AG722" s="12"/>
      <c r="AH722" s="12"/>
      <c r="AI722" s="12"/>
      <c r="AJ722" s="12">
        <f t="shared" si="155"/>
        <v>0</v>
      </c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1:53" x14ac:dyDescent="0.25">
      <c r="A723" s="18"/>
      <c r="B723" s="10">
        <v>16</v>
      </c>
      <c r="C723" s="30"/>
      <c r="D723" s="11"/>
      <c r="E723" s="32"/>
      <c r="F723" s="32"/>
      <c r="G723" s="32"/>
      <c r="H723" s="32">
        <f t="shared" si="150"/>
        <v>0</v>
      </c>
      <c r="I723" s="12"/>
      <c r="J723" s="12"/>
      <c r="K723" s="12"/>
      <c r="L723" s="12">
        <f t="shared" si="151"/>
        <v>0</v>
      </c>
      <c r="N723" s="10">
        <v>16</v>
      </c>
      <c r="O723" s="30"/>
      <c r="P723" s="11"/>
      <c r="Q723" s="32"/>
      <c r="R723" s="32"/>
      <c r="S723" s="32"/>
      <c r="T723" s="32">
        <f t="shared" si="152"/>
        <v>0</v>
      </c>
      <c r="U723" s="12"/>
      <c r="V723" s="12"/>
      <c r="W723" s="12"/>
      <c r="X723" s="12">
        <f t="shared" si="153"/>
        <v>0</v>
      </c>
      <c r="Z723" s="10">
        <v>16</v>
      </c>
      <c r="AA723" s="30"/>
      <c r="AB723" s="11"/>
      <c r="AC723" s="32"/>
      <c r="AD723" s="32"/>
      <c r="AE723" s="32"/>
      <c r="AF723" s="32">
        <f t="shared" si="154"/>
        <v>0</v>
      </c>
      <c r="AG723" s="12"/>
      <c r="AH723" s="12"/>
      <c r="AI723" s="12"/>
      <c r="AJ723" s="12">
        <f t="shared" si="155"/>
        <v>0</v>
      </c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1:53" x14ac:dyDescent="0.25">
      <c r="A724" s="18"/>
      <c r="B724" s="10">
        <v>17</v>
      </c>
      <c r="C724" s="30"/>
      <c r="D724" s="31"/>
      <c r="E724" s="35"/>
      <c r="F724" s="32"/>
      <c r="G724" s="32"/>
      <c r="H724" s="32">
        <f t="shared" si="150"/>
        <v>0</v>
      </c>
      <c r="I724" s="12"/>
      <c r="J724" s="12"/>
      <c r="K724" s="12"/>
      <c r="L724" s="12">
        <f t="shared" si="151"/>
        <v>0</v>
      </c>
      <c r="N724" s="10">
        <v>17</v>
      </c>
      <c r="O724" s="30"/>
      <c r="P724" s="80"/>
      <c r="Q724" s="35"/>
      <c r="R724" s="32"/>
      <c r="S724" s="32"/>
      <c r="T724" s="32">
        <f t="shared" si="152"/>
        <v>0</v>
      </c>
      <c r="U724" s="12"/>
      <c r="V724" s="12"/>
      <c r="W724" s="12"/>
      <c r="X724" s="12">
        <f t="shared" si="153"/>
        <v>0</v>
      </c>
      <c r="Z724" s="10">
        <v>17</v>
      </c>
      <c r="AA724" s="30"/>
      <c r="AB724" s="31"/>
      <c r="AC724" s="35"/>
      <c r="AD724" s="32"/>
      <c r="AE724" s="32"/>
      <c r="AF724" s="32">
        <f t="shared" si="154"/>
        <v>0</v>
      </c>
      <c r="AG724" s="12"/>
      <c r="AH724" s="12"/>
      <c r="AI724" s="12"/>
      <c r="AJ724" s="12">
        <f t="shared" si="155"/>
        <v>0</v>
      </c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1:53" x14ac:dyDescent="0.25">
      <c r="A725" s="18"/>
      <c r="B725" s="10">
        <v>18</v>
      </c>
      <c r="C725" s="30"/>
      <c r="D725" s="31"/>
      <c r="E725" s="32"/>
      <c r="F725" s="32"/>
      <c r="G725" s="32"/>
      <c r="H725" s="32">
        <f t="shared" si="150"/>
        <v>0</v>
      </c>
      <c r="I725" s="12"/>
      <c r="J725" s="12"/>
      <c r="K725" s="12"/>
      <c r="L725" s="12">
        <f t="shared" si="151"/>
        <v>0</v>
      </c>
      <c r="N725" s="10">
        <v>18</v>
      </c>
      <c r="O725" s="30"/>
      <c r="P725" s="80"/>
      <c r="Q725" s="32"/>
      <c r="R725" s="32"/>
      <c r="S725" s="32"/>
      <c r="T725" s="32">
        <f t="shared" si="152"/>
        <v>0</v>
      </c>
      <c r="U725" s="12"/>
      <c r="V725" s="12"/>
      <c r="W725" s="12"/>
      <c r="X725" s="12">
        <f t="shared" si="153"/>
        <v>0</v>
      </c>
      <c r="Z725" s="10">
        <v>18</v>
      </c>
      <c r="AA725" s="30"/>
      <c r="AB725" s="31"/>
      <c r="AC725" s="32"/>
      <c r="AD725" s="32"/>
      <c r="AE725" s="32"/>
      <c r="AF725" s="32">
        <f t="shared" si="154"/>
        <v>0</v>
      </c>
      <c r="AG725" s="12"/>
      <c r="AH725" s="12"/>
      <c r="AI725" s="12"/>
      <c r="AJ725" s="12">
        <f t="shared" si="155"/>
        <v>0</v>
      </c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1:53" x14ac:dyDescent="0.25">
      <c r="A726" s="18"/>
      <c r="B726" s="10">
        <v>19</v>
      </c>
      <c r="C726" s="30"/>
      <c r="D726" s="31"/>
      <c r="E726" s="32"/>
      <c r="F726" s="32"/>
      <c r="G726" s="32"/>
      <c r="H726" s="32">
        <f t="shared" si="150"/>
        <v>0</v>
      </c>
      <c r="I726" s="12"/>
      <c r="J726" s="12"/>
      <c r="K726" s="12"/>
      <c r="L726" s="12">
        <f t="shared" si="151"/>
        <v>0</v>
      </c>
      <c r="N726" s="10">
        <v>19</v>
      </c>
      <c r="O726" s="30"/>
      <c r="P726" s="80"/>
      <c r="Q726" s="32"/>
      <c r="R726" s="32"/>
      <c r="S726" s="32"/>
      <c r="T726" s="32">
        <f t="shared" si="152"/>
        <v>0</v>
      </c>
      <c r="U726" s="12"/>
      <c r="V726" s="12"/>
      <c r="W726" s="12"/>
      <c r="X726" s="12">
        <f t="shared" si="153"/>
        <v>0</v>
      </c>
      <c r="Z726" s="10">
        <v>19</v>
      </c>
      <c r="AA726" s="30"/>
      <c r="AB726" s="11"/>
      <c r="AC726" s="32"/>
      <c r="AD726" s="32"/>
      <c r="AE726" s="32"/>
      <c r="AF726" s="32">
        <f t="shared" si="154"/>
        <v>0</v>
      </c>
      <c r="AG726" s="12"/>
      <c r="AH726" s="12"/>
      <c r="AI726" s="12"/>
      <c r="AJ726" s="12">
        <f t="shared" si="155"/>
        <v>0</v>
      </c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1:53" x14ac:dyDescent="0.25">
      <c r="A727" s="18"/>
      <c r="B727" s="10">
        <v>20</v>
      </c>
      <c r="C727" s="30"/>
      <c r="D727" s="31"/>
      <c r="E727" s="32"/>
      <c r="F727" s="32"/>
      <c r="G727" s="32"/>
      <c r="H727" s="32">
        <f t="shared" si="150"/>
        <v>0</v>
      </c>
      <c r="I727" s="12"/>
      <c r="J727" s="12"/>
      <c r="K727" s="12"/>
      <c r="L727" s="12">
        <f t="shared" si="151"/>
        <v>0</v>
      </c>
      <c r="N727" s="10">
        <v>20</v>
      </c>
      <c r="O727" s="30"/>
      <c r="P727" s="80"/>
      <c r="Q727" s="32"/>
      <c r="R727" s="32"/>
      <c r="S727" s="32"/>
      <c r="T727" s="32">
        <f t="shared" si="152"/>
        <v>0</v>
      </c>
      <c r="U727" s="12"/>
      <c r="V727" s="12"/>
      <c r="W727" s="12"/>
      <c r="X727" s="12">
        <f t="shared" si="153"/>
        <v>0</v>
      </c>
      <c r="Z727" s="10">
        <v>20</v>
      </c>
      <c r="AA727" s="30"/>
      <c r="AB727" s="31"/>
      <c r="AC727" s="32"/>
      <c r="AD727" s="32"/>
      <c r="AE727" s="32"/>
      <c r="AF727" s="32">
        <f t="shared" si="154"/>
        <v>0</v>
      </c>
      <c r="AG727" s="12"/>
      <c r="AH727" s="12"/>
      <c r="AI727" s="12"/>
      <c r="AJ727" s="12">
        <f t="shared" si="155"/>
        <v>0</v>
      </c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1:53" x14ac:dyDescent="0.25">
      <c r="A728" s="18"/>
      <c r="B728" s="10">
        <v>21</v>
      </c>
      <c r="C728" s="30"/>
      <c r="D728" s="31"/>
      <c r="E728" s="44"/>
      <c r="F728" s="31"/>
      <c r="G728" s="31"/>
      <c r="H728" s="32">
        <f t="shared" si="150"/>
        <v>0</v>
      </c>
      <c r="I728" s="10"/>
      <c r="J728" s="10"/>
      <c r="K728" s="10"/>
      <c r="L728" s="12">
        <f t="shared" si="151"/>
        <v>0</v>
      </c>
      <c r="N728" s="10">
        <v>21</v>
      </c>
      <c r="O728" s="30"/>
      <c r="P728" s="11"/>
      <c r="Q728" s="44"/>
      <c r="R728" s="31"/>
      <c r="S728" s="31"/>
      <c r="T728" s="32">
        <f t="shared" si="152"/>
        <v>0</v>
      </c>
      <c r="U728" s="10"/>
      <c r="V728" s="10"/>
      <c r="W728" s="10"/>
      <c r="X728" s="12">
        <f t="shared" si="153"/>
        <v>0</v>
      </c>
      <c r="Z728" s="10">
        <v>21</v>
      </c>
      <c r="AA728" s="30"/>
      <c r="AB728" s="11"/>
      <c r="AC728" s="44"/>
      <c r="AD728" s="31"/>
      <c r="AE728" s="31"/>
      <c r="AF728" s="32">
        <f t="shared" si="154"/>
        <v>0</v>
      </c>
      <c r="AG728" s="10"/>
      <c r="AH728" s="10"/>
      <c r="AI728" s="10"/>
      <c r="AJ728" s="12">
        <f t="shared" si="155"/>
        <v>0</v>
      </c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1:53" x14ac:dyDescent="0.25">
      <c r="A729" s="18"/>
      <c r="B729" s="10">
        <v>22</v>
      </c>
      <c r="C729" s="30"/>
      <c r="D729" s="31"/>
      <c r="E729" s="43"/>
      <c r="F729" s="31"/>
      <c r="G729" s="31"/>
      <c r="H729" s="32">
        <f t="shared" si="150"/>
        <v>0</v>
      </c>
      <c r="I729" s="10"/>
      <c r="J729" s="10"/>
      <c r="K729" s="10"/>
      <c r="L729" s="12">
        <f t="shared" si="151"/>
        <v>0</v>
      </c>
      <c r="N729" s="10">
        <v>22</v>
      </c>
      <c r="O729" s="30"/>
      <c r="P729" s="31"/>
      <c r="Q729" s="43"/>
      <c r="R729" s="31"/>
      <c r="S729" s="31"/>
      <c r="T729" s="32">
        <f t="shared" si="152"/>
        <v>0</v>
      </c>
      <c r="U729" s="10"/>
      <c r="V729" s="10"/>
      <c r="W729" s="10"/>
      <c r="X729" s="12">
        <f t="shared" si="153"/>
        <v>0</v>
      </c>
      <c r="Z729" s="10">
        <v>22</v>
      </c>
      <c r="AA729" s="30"/>
      <c r="AB729" s="31"/>
      <c r="AC729" s="43"/>
      <c r="AD729" s="31"/>
      <c r="AE729" s="31"/>
      <c r="AF729" s="32">
        <f t="shared" si="154"/>
        <v>0</v>
      </c>
      <c r="AG729" s="10"/>
      <c r="AH729" s="10"/>
      <c r="AI729" s="10"/>
      <c r="AJ729" s="12">
        <f t="shared" si="155"/>
        <v>0</v>
      </c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1:53" x14ac:dyDescent="0.25">
      <c r="A730" s="18"/>
      <c r="B730" s="10">
        <v>23</v>
      </c>
      <c r="C730" s="30"/>
      <c r="D730" s="31"/>
      <c r="E730" s="45"/>
      <c r="F730" s="31"/>
      <c r="G730"/>
      <c r="H730" s="32">
        <f t="shared" si="150"/>
        <v>0</v>
      </c>
      <c r="I730" s="10"/>
      <c r="J730" s="10"/>
      <c r="K730" s="10"/>
      <c r="L730" s="12">
        <f t="shared" si="151"/>
        <v>0</v>
      </c>
      <c r="N730" s="10">
        <v>23</v>
      </c>
      <c r="O730" s="30"/>
      <c r="P730" s="31"/>
      <c r="Q730" s="45"/>
      <c r="T730" s="32">
        <f t="shared" si="152"/>
        <v>0</v>
      </c>
      <c r="U730" s="10"/>
      <c r="V730" s="10"/>
      <c r="W730" s="10"/>
      <c r="X730" s="12">
        <f t="shared" si="153"/>
        <v>0</v>
      </c>
      <c r="Z730" s="10">
        <v>23</v>
      </c>
      <c r="AA730" s="30"/>
      <c r="AB730" s="31"/>
      <c r="AC730" s="45"/>
      <c r="AD730" s="31"/>
      <c r="AF730" s="32">
        <f t="shared" si="154"/>
        <v>0</v>
      </c>
      <c r="AG730" s="10"/>
      <c r="AH730" s="10"/>
      <c r="AI730" s="10"/>
      <c r="AJ730" s="12">
        <f t="shared" si="155"/>
        <v>0</v>
      </c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1:53" x14ac:dyDescent="0.25">
      <c r="A731" s="18"/>
      <c r="B731" s="10">
        <v>24</v>
      </c>
      <c r="C731" s="30"/>
      <c r="D731" s="31"/>
      <c r="E731" s="45"/>
      <c r="F731" s="31"/>
      <c r="G731" s="31"/>
      <c r="H731" s="32">
        <f t="shared" si="150"/>
        <v>0</v>
      </c>
      <c r="I731" s="10"/>
      <c r="J731" s="10"/>
      <c r="K731" s="10"/>
      <c r="L731" s="12">
        <f t="shared" si="151"/>
        <v>0</v>
      </c>
      <c r="N731" s="10">
        <v>24</v>
      </c>
      <c r="O731" s="30"/>
      <c r="P731" s="31"/>
      <c r="Q731" s="45"/>
      <c r="R731" s="31"/>
      <c r="S731" s="31"/>
      <c r="T731" s="32">
        <f t="shared" si="152"/>
        <v>0</v>
      </c>
      <c r="U731" s="10"/>
      <c r="V731" s="10"/>
      <c r="W731" s="10"/>
      <c r="X731" s="12">
        <f t="shared" si="153"/>
        <v>0</v>
      </c>
      <c r="Z731" s="10">
        <v>24</v>
      </c>
      <c r="AA731" s="30"/>
      <c r="AB731" s="31"/>
      <c r="AC731" s="45"/>
      <c r="AD731" s="31"/>
      <c r="AE731" s="31"/>
      <c r="AF731" s="32">
        <f t="shared" si="154"/>
        <v>0</v>
      </c>
      <c r="AG731" s="10"/>
      <c r="AH731" s="10"/>
      <c r="AI731" s="10"/>
      <c r="AJ731" s="12">
        <f t="shared" si="155"/>
        <v>0</v>
      </c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1:53" x14ac:dyDescent="0.25">
      <c r="A732" s="18"/>
      <c r="B732" s="10">
        <v>25</v>
      </c>
      <c r="C732" s="30"/>
      <c r="D732" s="31"/>
      <c r="E732" s="45"/>
      <c r="F732" s="31"/>
      <c r="G732" s="31"/>
      <c r="H732" s="32">
        <f t="shared" si="150"/>
        <v>0</v>
      </c>
      <c r="I732" s="10"/>
      <c r="J732" s="10"/>
      <c r="K732" s="10"/>
      <c r="L732" s="12">
        <f t="shared" si="151"/>
        <v>0</v>
      </c>
      <c r="N732" s="10">
        <v>25</v>
      </c>
      <c r="O732" s="30"/>
      <c r="P732" s="31"/>
      <c r="Q732" s="45"/>
      <c r="R732" s="31"/>
      <c r="S732" s="31"/>
      <c r="T732" s="32">
        <f t="shared" si="152"/>
        <v>0</v>
      </c>
      <c r="U732" s="10"/>
      <c r="V732" s="10"/>
      <c r="W732" s="10"/>
      <c r="X732" s="12">
        <f t="shared" si="153"/>
        <v>0</v>
      </c>
      <c r="Z732" s="10">
        <v>25</v>
      </c>
      <c r="AA732" s="30"/>
      <c r="AB732" s="31"/>
      <c r="AC732" s="45"/>
      <c r="AD732" s="31"/>
      <c r="AE732" s="31"/>
      <c r="AF732" s="32">
        <f t="shared" si="154"/>
        <v>0</v>
      </c>
      <c r="AG732" s="10"/>
      <c r="AH732" s="10"/>
      <c r="AI732" s="10"/>
      <c r="AJ732" s="12">
        <f t="shared" si="155"/>
        <v>0</v>
      </c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1:53" x14ac:dyDescent="0.25">
      <c r="A733" s="18"/>
      <c r="B733" s="10">
        <v>26</v>
      </c>
      <c r="C733" s="30"/>
      <c r="D733" s="31"/>
      <c r="E733" s="45"/>
      <c r="F733" s="31"/>
      <c r="G733" s="31"/>
      <c r="H733" s="32">
        <f t="shared" si="150"/>
        <v>0</v>
      </c>
      <c r="I733" s="10"/>
      <c r="J733" s="10"/>
      <c r="K733" s="10"/>
      <c r="L733" s="12">
        <f t="shared" si="151"/>
        <v>0</v>
      </c>
      <c r="N733" s="10">
        <v>26</v>
      </c>
      <c r="O733" s="30"/>
      <c r="P733" s="31"/>
      <c r="Q733" s="45"/>
      <c r="R733" s="31"/>
      <c r="S733" s="31"/>
      <c r="T733" s="32">
        <f t="shared" si="152"/>
        <v>0</v>
      </c>
      <c r="U733" s="10"/>
      <c r="V733" s="10"/>
      <c r="W733" s="10"/>
      <c r="X733" s="12">
        <f t="shared" si="153"/>
        <v>0</v>
      </c>
      <c r="Z733" s="10">
        <v>26</v>
      </c>
      <c r="AA733" s="30"/>
      <c r="AB733" s="31"/>
      <c r="AC733" s="45"/>
      <c r="AD733" s="31"/>
      <c r="AE733" s="31"/>
      <c r="AF733" s="32">
        <f t="shared" si="154"/>
        <v>0</v>
      </c>
      <c r="AG733" s="10"/>
      <c r="AH733" s="10"/>
      <c r="AI733" s="10"/>
      <c r="AJ733" s="12">
        <f t="shared" si="155"/>
        <v>0</v>
      </c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1:53" x14ac:dyDescent="0.25">
      <c r="A734" s="18"/>
      <c r="B734" s="10">
        <v>27</v>
      </c>
      <c r="C734" s="30"/>
      <c r="D734" s="31"/>
      <c r="E734" s="45"/>
      <c r="F734" s="31"/>
      <c r="G734" s="31"/>
      <c r="H734" s="32">
        <f t="shared" si="150"/>
        <v>0</v>
      </c>
      <c r="I734" s="10"/>
      <c r="J734" s="10"/>
      <c r="K734" s="10"/>
      <c r="L734" s="12">
        <f t="shared" si="151"/>
        <v>0</v>
      </c>
      <c r="N734" s="10">
        <v>27</v>
      </c>
      <c r="O734" s="30"/>
      <c r="P734" s="31"/>
      <c r="Q734" s="45"/>
      <c r="R734" s="31"/>
      <c r="S734" s="31"/>
      <c r="T734" s="32">
        <f t="shared" si="152"/>
        <v>0</v>
      </c>
      <c r="U734" s="10"/>
      <c r="V734" s="10"/>
      <c r="W734" s="10"/>
      <c r="X734" s="12">
        <f t="shared" si="153"/>
        <v>0</v>
      </c>
      <c r="Z734" s="10">
        <v>27</v>
      </c>
      <c r="AA734" s="30"/>
      <c r="AB734" s="31"/>
      <c r="AC734" s="45"/>
      <c r="AD734" s="31"/>
      <c r="AE734" s="31"/>
      <c r="AF734" s="32">
        <f t="shared" si="154"/>
        <v>0</v>
      </c>
      <c r="AG734" s="10"/>
      <c r="AH734" s="10"/>
      <c r="AI734" s="10"/>
      <c r="AJ734" s="12">
        <f t="shared" si="155"/>
        <v>0</v>
      </c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1:53" x14ac:dyDescent="0.25">
      <c r="A735" s="18"/>
      <c r="B735" s="10">
        <v>28</v>
      </c>
      <c r="C735" s="30"/>
      <c r="D735" s="31"/>
      <c r="E735" s="45"/>
      <c r="F735" s="31"/>
      <c r="G735" s="31"/>
      <c r="H735" s="32">
        <f t="shared" si="150"/>
        <v>0</v>
      </c>
      <c r="I735" s="10"/>
      <c r="J735" s="10"/>
      <c r="K735" s="10"/>
      <c r="L735" s="12">
        <f t="shared" si="151"/>
        <v>0</v>
      </c>
      <c r="N735" s="10">
        <v>28</v>
      </c>
      <c r="O735" s="30"/>
      <c r="P735" s="31"/>
      <c r="Q735" s="45"/>
      <c r="R735" s="31"/>
      <c r="S735" s="31"/>
      <c r="T735" s="32">
        <f t="shared" si="152"/>
        <v>0</v>
      </c>
      <c r="U735" s="10"/>
      <c r="V735" s="10"/>
      <c r="W735" s="10"/>
      <c r="X735" s="12">
        <f t="shared" si="153"/>
        <v>0</v>
      </c>
      <c r="Z735" s="10">
        <v>28</v>
      </c>
      <c r="AA735" s="30"/>
      <c r="AB735" s="31"/>
      <c r="AC735" s="45"/>
      <c r="AD735" s="31"/>
      <c r="AE735" s="31"/>
      <c r="AF735" s="32">
        <f t="shared" si="154"/>
        <v>0</v>
      </c>
      <c r="AG735" s="10"/>
      <c r="AH735" s="10"/>
      <c r="AI735" s="10"/>
      <c r="AJ735" s="12">
        <f t="shared" si="155"/>
        <v>0</v>
      </c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1:53" x14ac:dyDescent="0.25">
      <c r="A736" s="18"/>
      <c r="B736" s="10">
        <v>29</v>
      </c>
      <c r="C736" s="30"/>
      <c r="D736" s="31"/>
      <c r="E736" s="45"/>
      <c r="F736" s="31"/>
      <c r="G736" s="31"/>
      <c r="H736" s="32">
        <f t="shared" si="150"/>
        <v>0</v>
      </c>
      <c r="I736" s="10"/>
      <c r="J736" s="10"/>
      <c r="K736" s="10"/>
      <c r="L736" s="12">
        <f t="shared" si="151"/>
        <v>0</v>
      </c>
      <c r="N736" s="10">
        <v>29</v>
      </c>
      <c r="O736" s="30"/>
      <c r="P736" s="31"/>
      <c r="Q736" s="45"/>
      <c r="R736" s="31"/>
      <c r="S736" s="31"/>
      <c r="T736" s="32">
        <f t="shared" si="152"/>
        <v>0</v>
      </c>
      <c r="U736" s="10"/>
      <c r="V736" s="10"/>
      <c r="W736" s="10"/>
      <c r="X736" s="12">
        <f t="shared" si="153"/>
        <v>0</v>
      </c>
      <c r="Z736" s="10">
        <v>29</v>
      </c>
      <c r="AA736" s="30"/>
      <c r="AB736" s="31"/>
      <c r="AC736" s="45"/>
      <c r="AD736" s="31"/>
      <c r="AE736" s="31"/>
      <c r="AF736" s="32">
        <f t="shared" si="154"/>
        <v>0</v>
      </c>
      <c r="AG736" s="10"/>
      <c r="AH736" s="10"/>
      <c r="AI736" s="10"/>
      <c r="AJ736" s="12">
        <f t="shared" si="155"/>
        <v>0</v>
      </c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1:53" x14ac:dyDescent="0.25">
      <c r="A737" s="18"/>
      <c r="B737" s="10">
        <v>30</v>
      </c>
      <c r="C737" s="30"/>
      <c r="D737" s="31"/>
      <c r="E737" s="45"/>
      <c r="F737" s="31"/>
      <c r="G737" s="31"/>
      <c r="H737" s="32">
        <f t="shared" si="150"/>
        <v>0</v>
      </c>
      <c r="I737" s="10"/>
      <c r="J737" s="10"/>
      <c r="K737" s="10"/>
      <c r="L737" s="12">
        <f t="shared" si="151"/>
        <v>0</v>
      </c>
      <c r="N737" s="10">
        <v>30</v>
      </c>
      <c r="O737" s="30"/>
      <c r="P737" s="31"/>
      <c r="Q737" s="45"/>
      <c r="R737" s="31"/>
      <c r="S737" s="31"/>
      <c r="T737" s="32">
        <f t="shared" si="152"/>
        <v>0</v>
      </c>
      <c r="U737" s="10"/>
      <c r="V737" s="10"/>
      <c r="W737" s="10"/>
      <c r="X737" s="12">
        <f t="shared" si="153"/>
        <v>0</v>
      </c>
      <c r="Z737" s="10">
        <v>30</v>
      </c>
      <c r="AA737" s="30"/>
      <c r="AB737" s="31"/>
      <c r="AC737" s="45"/>
      <c r="AD737" s="31"/>
      <c r="AE737" s="31"/>
      <c r="AF737" s="32">
        <f t="shared" si="154"/>
        <v>0</v>
      </c>
      <c r="AG737" s="10"/>
      <c r="AH737" s="10"/>
      <c r="AI737" s="10"/>
      <c r="AJ737" s="12">
        <f t="shared" si="155"/>
        <v>0</v>
      </c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1:53" x14ac:dyDescent="0.25">
      <c r="A738" s="18"/>
      <c r="B738" s="10">
        <v>31</v>
      </c>
      <c r="C738" s="30"/>
      <c r="D738" s="31"/>
      <c r="E738" s="45"/>
      <c r="F738" s="31"/>
      <c r="G738" s="31"/>
      <c r="H738" s="32">
        <f t="shared" si="150"/>
        <v>0</v>
      </c>
      <c r="I738" s="10"/>
      <c r="J738" s="10"/>
      <c r="K738" s="10"/>
      <c r="L738" s="12">
        <f t="shared" si="151"/>
        <v>0</v>
      </c>
      <c r="N738" s="10">
        <v>31</v>
      </c>
      <c r="O738" s="30"/>
      <c r="P738" s="31"/>
      <c r="Q738" s="45"/>
      <c r="R738" s="31"/>
      <c r="S738" s="31"/>
      <c r="T738" s="32">
        <f t="shared" si="152"/>
        <v>0</v>
      </c>
      <c r="U738" s="10"/>
      <c r="V738" s="10"/>
      <c r="W738" s="10"/>
      <c r="X738" s="12">
        <f t="shared" si="153"/>
        <v>0</v>
      </c>
      <c r="Z738" s="10">
        <v>31</v>
      </c>
      <c r="AA738" s="30"/>
      <c r="AB738" s="31"/>
      <c r="AC738" s="45"/>
      <c r="AD738" s="31"/>
      <c r="AE738" s="31"/>
      <c r="AF738" s="32">
        <f t="shared" si="154"/>
        <v>0</v>
      </c>
      <c r="AG738" s="10"/>
      <c r="AH738" s="10"/>
      <c r="AI738" s="10"/>
      <c r="AJ738" s="12">
        <f t="shared" si="155"/>
        <v>0</v>
      </c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1:53" x14ac:dyDescent="0.25">
      <c r="A739" s="18"/>
      <c r="B739" s="10">
        <v>32</v>
      </c>
      <c r="C739" s="30"/>
      <c r="D739" s="31"/>
      <c r="E739" s="45"/>
      <c r="F739" s="31"/>
      <c r="G739" s="31"/>
      <c r="H739" s="32">
        <f t="shared" si="150"/>
        <v>0</v>
      </c>
      <c r="I739" s="10"/>
      <c r="J739" s="10"/>
      <c r="K739" s="10"/>
      <c r="L739" s="12">
        <f t="shared" si="151"/>
        <v>0</v>
      </c>
      <c r="N739" s="10">
        <v>32</v>
      </c>
      <c r="O739" s="30"/>
      <c r="P739" s="31"/>
      <c r="Q739" s="45"/>
      <c r="R739" s="31"/>
      <c r="S739" s="31"/>
      <c r="T739" s="32">
        <f t="shared" si="152"/>
        <v>0</v>
      </c>
      <c r="U739" s="10"/>
      <c r="V739" s="10"/>
      <c r="W739" s="10"/>
      <c r="X739" s="12">
        <f t="shared" si="153"/>
        <v>0</v>
      </c>
      <c r="Z739" s="10">
        <v>32</v>
      </c>
      <c r="AA739" s="30"/>
      <c r="AB739" s="31"/>
      <c r="AC739" s="45"/>
      <c r="AD739" s="31"/>
      <c r="AE739" s="31"/>
      <c r="AF739" s="32">
        <f t="shared" si="154"/>
        <v>0</v>
      </c>
      <c r="AG739" s="10"/>
      <c r="AH739" s="10"/>
      <c r="AI739" s="10"/>
      <c r="AJ739" s="12">
        <f t="shared" si="155"/>
        <v>0</v>
      </c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1:53" x14ac:dyDescent="0.25">
      <c r="A740" s="18"/>
      <c r="B740" s="10">
        <v>33</v>
      </c>
      <c r="C740" s="30"/>
      <c r="D740" s="31"/>
      <c r="E740" s="45"/>
      <c r="F740" s="31"/>
      <c r="G740" s="31"/>
      <c r="H740" s="32">
        <f t="shared" si="150"/>
        <v>0</v>
      </c>
      <c r="I740" s="10"/>
      <c r="J740" s="10"/>
      <c r="K740" s="10"/>
      <c r="L740" s="12">
        <f t="shared" si="151"/>
        <v>0</v>
      </c>
      <c r="N740" s="10">
        <v>33</v>
      </c>
      <c r="O740" s="30"/>
      <c r="P740" s="31"/>
      <c r="Q740" s="45"/>
      <c r="R740" s="31"/>
      <c r="S740" s="31"/>
      <c r="T740" s="32">
        <f t="shared" si="152"/>
        <v>0</v>
      </c>
      <c r="U740" s="10"/>
      <c r="V740" s="10"/>
      <c r="W740" s="10"/>
      <c r="X740" s="12">
        <f t="shared" si="153"/>
        <v>0</v>
      </c>
      <c r="Z740" s="10">
        <v>33</v>
      </c>
      <c r="AA740" s="30"/>
      <c r="AB740" s="31"/>
      <c r="AC740" s="45"/>
      <c r="AD740" s="31"/>
      <c r="AE740" s="31"/>
      <c r="AF740" s="32">
        <f t="shared" si="154"/>
        <v>0</v>
      </c>
      <c r="AG740" s="10"/>
      <c r="AH740" s="10"/>
      <c r="AI740" s="10"/>
      <c r="AJ740" s="12">
        <f t="shared" si="155"/>
        <v>0</v>
      </c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1:53" x14ac:dyDescent="0.25">
      <c r="A741" s="18"/>
      <c r="B741" s="10">
        <v>34</v>
      </c>
      <c r="C741" s="30"/>
      <c r="D741" s="31"/>
      <c r="E741" s="45"/>
      <c r="F741" s="31"/>
      <c r="G741" s="31"/>
      <c r="H741" s="32">
        <f t="shared" si="150"/>
        <v>0</v>
      </c>
      <c r="I741" s="10"/>
      <c r="J741" s="10"/>
      <c r="K741" s="10"/>
      <c r="L741" s="12">
        <f t="shared" si="151"/>
        <v>0</v>
      </c>
      <c r="N741" s="10">
        <v>34</v>
      </c>
      <c r="O741" s="30"/>
      <c r="P741" s="31"/>
      <c r="Q741" s="45"/>
      <c r="R741" s="31"/>
      <c r="S741" s="31"/>
      <c r="T741" s="32">
        <f t="shared" si="152"/>
        <v>0</v>
      </c>
      <c r="U741" s="10"/>
      <c r="V741" s="10"/>
      <c r="W741" s="10"/>
      <c r="X741" s="12">
        <f t="shared" si="153"/>
        <v>0</v>
      </c>
      <c r="Z741" s="10">
        <v>34</v>
      </c>
      <c r="AA741" s="30"/>
      <c r="AB741" s="31"/>
      <c r="AC741" s="45"/>
      <c r="AD741" s="31"/>
      <c r="AE741" s="31"/>
      <c r="AF741" s="32">
        <f t="shared" si="154"/>
        <v>0</v>
      </c>
      <c r="AG741" s="10"/>
      <c r="AH741" s="10"/>
      <c r="AI741" s="10"/>
      <c r="AJ741" s="12">
        <f t="shared" si="155"/>
        <v>0</v>
      </c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1:53" x14ac:dyDescent="0.25">
      <c r="A742" s="18"/>
      <c r="B742" s="10">
        <v>35</v>
      </c>
      <c r="C742" s="30"/>
      <c r="D742" s="31"/>
      <c r="E742" s="45"/>
      <c r="F742" s="31"/>
      <c r="G742" s="31"/>
      <c r="H742" s="32">
        <f t="shared" si="150"/>
        <v>0</v>
      </c>
      <c r="I742" s="10"/>
      <c r="J742" s="10"/>
      <c r="K742" s="10"/>
      <c r="L742" s="12">
        <f t="shared" si="151"/>
        <v>0</v>
      </c>
      <c r="N742" s="10">
        <v>35</v>
      </c>
      <c r="O742" s="30"/>
      <c r="P742" s="31"/>
      <c r="Q742" s="45"/>
      <c r="R742" s="31"/>
      <c r="S742" s="31"/>
      <c r="T742" s="32">
        <f t="shared" si="152"/>
        <v>0</v>
      </c>
      <c r="U742" s="10"/>
      <c r="V742" s="10"/>
      <c r="W742" s="10"/>
      <c r="X742" s="12">
        <f t="shared" si="153"/>
        <v>0</v>
      </c>
      <c r="Z742" s="10">
        <v>35</v>
      </c>
      <c r="AA742" s="30"/>
      <c r="AB742" s="31"/>
      <c r="AC742" s="45"/>
      <c r="AD742" s="31"/>
      <c r="AE742" s="31"/>
      <c r="AF742" s="32">
        <f t="shared" si="154"/>
        <v>0</v>
      </c>
      <c r="AG742" s="10"/>
      <c r="AH742" s="10"/>
      <c r="AI742" s="10"/>
      <c r="AJ742" s="12">
        <f t="shared" si="155"/>
        <v>0</v>
      </c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1:53" x14ac:dyDescent="0.25">
      <c r="A743" s="18"/>
      <c r="B743" s="10">
        <v>36</v>
      </c>
      <c r="C743" s="30"/>
      <c r="D743" s="31"/>
      <c r="E743" s="45"/>
      <c r="F743" s="31"/>
      <c r="G743" s="31"/>
      <c r="H743" s="32">
        <f t="shared" si="150"/>
        <v>0</v>
      </c>
      <c r="I743" s="10"/>
      <c r="J743" s="10"/>
      <c r="K743" s="10"/>
      <c r="L743" s="12">
        <f t="shared" si="151"/>
        <v>0</v>
      </c>
      <c r="N743" s="10">
        <v>36</v>
      </c>
      <c r="O743" s="30"/>
      <c r="P743" s="31"/>
      <c r="Q743" s="45"/>
      <c r="R743" s="31"/>
      <c r="S743" s="31"/>
      <c r="T743" s="32">
        <f t="shared" si="152"/>
        <v>0</v>
      </c>
      <c r="U743" s="10"/>
      <c r="V743" s="10"/>
      <c r="W743" s="10"/>
      <c r="X743" s="12">
        <f t="shared" si="153"/>
        <v>0</v>
      </c>
      <c r="Z743" s="10">
        <v>36</v>
      </c>
      <c r="AA743" s="30"/>
      <c r="AB743" s="31"/>
      <c r="AC743" s="45"/>
      <c r="AD743" s="31"/>
      <c r="AE743" s="31"/>
      <c r="AF743" s="32">
        <f t="shared" si="154"/>
        <v>0</v>
      </c>
      <c r="AG743" s="10"/>
      <c r="AH743" s="10"/>
      <c r="AI743" s="10"/>
      <c r="AJ743" s="12">
        <f t="shared" si="155"/>
        <v>0</v>
      </c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1:53" x14ac:dyDescent="0.25">
      <c r="A744" s="18"/>
      <c r="B744" s="10">
        <v>37</v>
      </c>
      <c r="C744" s="30"/>
      <c r="D744"/>
      <c r="E744" s="45"/>
      <c r="F744" s="31"/>
      <c r="G744" s="31"/>
      <c r="H744" s="32">
        <f t="shared" si="150"/>
        <v>0</v>
      </c>
      <c r="I744" s="10"/>
      <c r="J744" s="10"/>
      <c r="K744" s="10"/>
      <c r="L744" s="12">
        <f t="shared" si="151"/>
        <v>0</v>
      </c>
      <c r="N744" s="10">
        <v>37</v>
      </c>
      <c r="O744" s="30"/>
      <c r="Q744" s="45"/>
      <c r="R744" s="31"/>
      <c r="S744" s="31"/>
      <c r="T744" s="32">
        <f t="shared" si="152"/>
        <v>0</v>
      </c>
      <c r="U744" s="10"/>
      <c r="V744" s="10"/>
      <c r="W744" s="10"/>
      <c r="X744" s="12">
        <f t="shared" si="153"/>
        <v>0</v>
      </c>
      <c r="Z744" s="10">
        <v>37</v>
      </c>
      <c r="AA744" s="30"/>
      <c r="AB744" s="31"/>
      <c r="AC744" s="45"/>
      <c r="AD744" s="31"/>
      <c r="AE744" s="31"/>
      <c r="AF744" s="32">
        <f t="shared" si="154"/>
        <v>0</v>
      </c>
      <c r="AG744" s="10"/>
      <c r="AH744" s="10"/>
      <c r="AI744" s="10"/>
      <c r="AJ744" s="12">
        <f t="shared" si="155"/>
        <v>0</v>
      </c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1:53" x14ac:dyDescent="0.25">
      <c r="A745" s="18"/>
      <c r="B745" s="10">
        <v>38</v>
      </c>
      <c r="C745" s="30"/>
      <c r="D745" s="31"/>
      <c r="E745" s="45"/>
      <c r="F745" s="31"/>
      <c r="G745" s="31"/>
      <c r="H745" s="32">
        <f t="shared" si="150"/>
        <v>0</v>
      </c>
      <c r="I745" s="10"/>
      <c r="J745" s="10"/>
      <c r="K745" s="10"/>
      <c r="L745" s="12">
        <f t="shared" si="151"/>
        <v>0</v>
      </c>
      <c r="N745" s="10">
        <v>38</v>
      </c>
      <c r="O745" s="30"/>
      <c r="P745" s="31"/>
      <c r="Q745" s="45"/>
      <c r="R745" s="31"/>
      <c r="S745" s="31"/>
      <c r="T745" s="32">
        <f t="shared" si="152"/>
        <v>0</v>
      </c>
      <c r="U745" s="10"/>
      <c r="V745" s="10"/>
      <c r="W745" s="10"/>
      <c r="X745" s="12">
        <f t="shared" si="153"/>
        <v>0</v>
      </c>
      <c r="Z745" s="10">
        <v>38</v>
      </c>
      <c r="AA745" s="30"/>
      <c r="AB745" s="31"/>
      <c r="AC745" s="45"/>
      <c r="AD745" s="31"/>
      <c r="AE745" s="31"/>
      <c r="AF745" s="32">
        <f t="shared" si="154"/>
        <v>0</v>
      </c>
      <c r="AG745" s="10"/>
      <c r="AH745" s="10"/>
      <c r="AI745" s="10"/>
      <c r="AJ745" s="12">
        <f t="shared" si="155"/>
        <v>0</v>
      </c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1:53" x14ac:dyDescent="0.25">
      <c r="A746" s="18"/>
      <c r="B746" s="10">
        <v>39</v>
      </c>
      <c r="C746" s="30"/>
      <c r="D746" s="31"/>
      <c r="E746" s="45"/>
      <c r="F746" s="31"/>
      <c r="G746" s="31"/>
      <c r="H746" s="32">
        <f t="shared" si="150"/>
        <v>0</v>
      </c>
      <c r="I746" s="10"/>
      <c r="J746" s="10"/>
      <c r="K746" s="10"/>
      <c r="L746" s="12">
        <f t="shared" si="151"/>
        <v>0</v>
      </c>
      <c r="N746" s="10">
        <v>39</v>
      </c>
      <c r="O746" s="30"/>
      <c r="P746" s="31"/>
      <c r="Q746" s="45"/>
      <c r="R746" s="31"/>
      <c r="S746" s="31"/>
      <c r="T746" s="32">
        <f t="shared" si="152"/>
        <v>0</v>
      </c>
      <c r="U746" s="10"/>
      <c r="V746" s="10"/>
      <c r="W746" s="10"/>
      <c r="X746" s="12">
        <f t="shared" si="153"/>
        <v>0</v>
      </c>
      <c r="Z746" s="10">
        <v>39</v>
      </c>
      <c r="AA746" s="30"/>
      <c r="AB746" s="31"/>
      <c r="AC746" s="45"/>
      <c r="AD746" s="31"/>
      <c r="AE746" s="31"/>
      <c r="AF746" s="32">
        <f t="shared" si="154"/>
        <v>0</v>
      </c>
      <c r="AG746" s="10"/>
      <c r="AH746" s="10"/>
      <c r="AI746" s="10"/>
      <c r="AJ746" s="12">
        <f t="shared" si="155"/>
        <v>0</v>
      </c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1:53" x14ac:dyDescent="0.25">
      <c r="A747" s="18"/>
      <c r="B747" s="10"/>
      <c r="C747" s="30"/>
      <c r="D747"/>
      <c r="E747" s="45"/>
      <c r="F747" s="31"/>
      <c r="G747" s="31"/>
      <c r="H747" s="32"/>
      <c r="I747" s="10"/>
      <c r="J747" s="10"/>
      <c r="K747" s="10"/>
      <c r="L747" s="12">
        <f t="shared" si="151"/>
        <v>0</v>
      </c>
      <c r="N747" s="10"/>
      <c r="O747" s="30"/>
      <c r="Q747" s="45"/>
      <c r="R747" s="31"/>
      <c r="S747" s="31"/>
      <c r="T747" s="32"/>
      <c r="U747" s="10"/>
      <c r="V747" s="10"/>
      <c r="W747" s="10"/>
      <c r="X747" s="12">
        <f t="shared" si="153"/>
        <v>0</v>
      </c>
      <c r="Z747" s="10"/>
      <c r="AA747" s="30"/>
      <c r="AC747" s="45"/>
      <c r="AD747" s="31"/>
      <c r="AE747" s="31"/>
      <c r="AF747" s="32"/>
      <c r="AG747" s="10"/>
      <c r="AH747" s="10"/>
      <c r="AI747" s="10"/>
      <c r="AJ747" s="12">
        <f t="shared" si="155"/>
        <v>0</v>
      </c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1:53" x14ac:dyDescent="0.25">
      <c r="A748" s="18"/>
      <c r="B748" s="10"/>
      <c r="C748" s="30"/>
      <c r="D748" s="31"/>
      <c r="E748" s="45"/>
      <c r="F748" s="31"/>
      <c r="G748" s="31"/>
      <c r="H748" s="32">
        <f t="shared" ref="H748" si="159">SUM(E748:F748)</f>
        <v>0</v>
      </c>
      <c r="I748" s="10"/>
      <c r="J748" s="10"/>
      <c r="K748" s="10"/>
      <c r="L748" s="12">
        <f t="shared" si="151"/>
        <v>0</v>
      </c>
      <c r="N748" s="10"/>
      <c r="O748" s="30"/>
      <c r="P748" s="31"/>
      <c r="Q748" s="45"/>
      <c r="R748" s="31"/>
      <c r="S748" s="31"/>
      <c r="T748" s="32">
        <f t="shared" ref="T748" si="160">SUM(Q748:R748)</f>
        <v>0</v>
      </c>
      <c r="U748" s="10"/>
      <c r="V748" s="10"/>
      <c r="W748" s="10"/>
      <c r="X748" s="12">
        <f t="shared" si="153"/>
        <v>0</v>
      </c>
      <c r="Z748" s="10"/>
      <c r="AA748" s="30"/>
      <c r="AB748" s="31"/>
      <c r="AC748" s="45"/>
      <c r="AD748" s="31"/>
      <c r="AE748" s="31"/>
      <c r="AF748" s="32">
        <f t="shared" ref="AF748" si="161">SUM(AC748:AD748)</f>
        <v>0</v>
      </c>
      <c r="AG748" s="10"/>
      <c r="AH748" s="10"/>
      <c r="AI748" s="10"/>
      <c r="AJ748" s="12">
        <f t="shared" si="155"/>
        <v>0</v>
      </c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1:53" x14ac:dyDescent="0.25">
      <c r="A749" s="18"/>
      <c r="B749" s="10"/>
      <c r="C749" s="31"/>
      <c r="D749" s="31"/>
      <c r="E749" s="31"/>
      <c r="F749" s="31"/>
      <c r="G749" s="31"/>
      <c r="H749" s="31"/>
      <c r="I749" s="10"/>
      <c r="J749" s="10"/>
      <c r="K749" s="10"/>
      <c r="L749" s="12">
        <f t="shared" si="151"/>
        <v>0</v>
      </c>
      <c r="N749" s="10"/>
      <c r="O749" s="31"/>
      <c r="P749" s="31"/>
      <c r="Q749" s="31"/>
      <c r="R749" s="31"/>
      <c r="S749" s="31"/>
      <c r="T749" s="31"/>
      <c r="U749" s="10"/>
      <c r="V749" s="10"/>
      <c r="W749" s="10"/>
      <c r="X749" s="12">
        <f t="shared" si="153"/>
        <v>0</v>
      </c>
      <c r="Z749" s="10"/>
      <c r="AA749" s="31"/>
      <c r="AB749" s="31"/>
      <c r="AC749" s="31"/>
      <c r="AD749" s="31"/>
      <c r="AE749" s="31"/>
      <c r="AF749" s="31"/>
      <c r="AG749" s="10"/>
      <c r="AH749" s="10"/>
      <c r="AI749" s="10"/>
      <c r="AJ749" s="12">
        <f t="shared" si="155"/>
        <v>0</v>
      </c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1:53" x14ac:dyDescent="0.25">
      <c r="A750" s="18"/>
      <c r="C750" s="55"/>
      <c r="D750" s="55"/>
      <c r="E750" s="36"/>
      <c r="F750" s="36"/>
      <c r="G750" s="36"/>
      <c r="H750" s="36"/>
      <c r="I750" s="37"/>
      <c r="J750" s="37"/>
      <c r="K750" s="37"/>
      <c r="L750" s="37"/>
      <c r="O750" s="55"/>
      <c r="P750" s="55"/>
      <c r="Q750" s="36"/>
      <c r="R750" s="36"/>
      <c r="S750" s="36"/>
      <c r="T750" s="36"/>
      <c r="U750" s="37"/>
      <c r="V750" s="37"/>
      <c r="W750" s="37"/>
      <c r="X750" s="37"/>
      <c r="AA750" s="55"/>
      <c r="AB750" s="55"/>
      <c r="AC750" s="36"/>
      <c r="AD750" s="36"/>
      <c r="AE750" s="36"/>
      <c r="AF750" s="36"/>
      <c r="AG750" s="37"/>
      <c r="AH750" s="37"/>
      <c r="AI750" s="37"/>
      <c r="AJ750" s="37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1:53" x14ac:dyDescent="0.25">
      <c r="A751" s="18"/>
      <c r="C751" s="55"/>
      <c r="D751" s="55"/>
      <c r="E751" s="38">
        <f>SUM(E708:E750)</f>
        <v>347368</v>
      </c>
      <c r="F751" s="38">
        <f>SUM(F708:F732)</f>
        <v>-2676</v>
      </c>
      <c r="G751" s="38">
        <f>SUM(G708:G732)</f>
        <v>0</v>
      </c>
      <c r="H751" s="38">
        <f>SUM(H708:H750)</f>
        <v>344692</v>
      </c>
      <c r="I751" s="4"/>
      <c r="J751" s="39">
        <f>SUM(J708:J750)</f>
        <v>855</v>
      </c>
      <c r="K751" s="39">
        <f>SUM(K708:K732)</f>
        <v>-47089.5</v>
      </c>
      <c r="L751" s="40">
        <f>SUM(L708:L750)</f>
        <v>298457.5</v>
      </c>
      <c r="O751" s="55"/>
      <c r="P751" s="55"/>
      <c r="Q751" s="38">
        <f>SUM(Q708:Q750)</f>
        <v>350125.5</v>
      </c>
      <c r="R751" s="38">
        <f>SUM(R708:R732)</f>
        <v>-2700</v>
      </c>
      <c r="S751" s="38">
        <f>SUM(S708:S732)</f>
        <v>0</v>
      </c>
      <c r="T751" s="38">
        <f>SUM(T708:T750)</f>
        <v>347425.5</v>
      </c>
      <c r="U751" s="4"/>
      <c r="V751" s="39">
        <f>SUM(V708:V750)</f>
        <v>999</v>
      </c>
      <c r="W751" s="39">
        <f>SUM(W708:W732)</f>
        <v>-462</v>
      </c>
      <c r="X751" s="40">
        <f>SUM(X708:X750)</f>
        <v>347962.5</v>
      </c>
      <c r="AA751" s="55"/>
      <c r="AB751" s="55"/>
      <c r="AC751" s="38">
        <f>SUM(AC708:AC750)</f>
        <v>432426</v>
      </c>
      <c r="AD751" s="38">
        <f>SUM(AD708:AD732)</f>
        <v>-1776</v>
      </c>
      <c r="AE751" s="38">
        <f>SUM(AE708:AE732)</f>
        <v>0</v>
      </c>
      <c r="AF751" s="38">
        <f>SUM(AF708:AF750)</f>
        <v>430650</v>
      </c>
      <c r="AG751" s="4"/>
      <c r="AH751" s="39">
        <f>SUM(AH708:AH750)</f>
        <v>21237</v>
      </c>
      <c r="AI751" s="39">
        <f>SUM(AI708:AI732)</f>
        <v>-1878</v>
      </c>
      <c r="AJ751" s="40">
        <f>SUM(AJ708:AJ750)</f>
        <v>450009</v>
      </c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1:5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1:53" x14ac:dyDescent="0.25">
      <c r="A753" s="18"/>
      <c r="B753" t="s">
        <v>0</v>
      </c>
      <c r="C753" s="55"/>
      <c r="D753" s="55"/>
      <c r="E753" s="55"/>
      <c r="F753" s="55"/>
      <c r="H753" s="55"/>
      <c r="N753" t="s">
        <v>0</v>
      </c>
      <c r="O753" s="55"/>
      <c r="P753" s="55"/>
      <c r="Q753" s="55"/>
      <c r="R753" s="55"/>
      <c r="S753" s="55"/>
      <c r="T753" s="55"/>
      <c r="Z753" t="s">
        <v>0</v>
      </c>
      <c r="AA753" s="55"/>
      <c r="AB753" s="55"/>
      <c r="AC753" s="55"/>
      <c r="AD753" s="55"/>
      <c r="AE753" s="55"/>
      <c r="AF753" s="55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1:53" x14ac:dyDescent="0.25">
      <c r="A754" s="18"/>
      <c r="B754" t="s">
        <v>28</v>
      </c>
      <c r="C754" s="55"/>
      <c r="D754" s="55"/>
      <c r="E754" s="55"/>
      <c r="F754" s="55"/>
      <c r="H754" s="55"/>
      <c r="N754" t="s">
        <v>28</v>
      </c>
      <c r="O754" s="55"/>
      <c r="P754" s="55"/>
      <c r="Q754" s="55"/>
      <c r="R754" s="55"/>
      <c r="S754" s="55"/>
      <c r="T754" s="55"/>
      <c r="Z754" t="s">
        <v>28</v>
      </c>
      <c r="AA754" s="55"/>
      <c r="AB754" s="55"/>
      <c r="AC754" s="55"/>
      <c r="AD754" s="55"/>
      <c r="AE754" s="55"/>
      <c r="AF754" s="55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1:53" x14ac:dyDescent="0.25">
      <c r="A755" s="18"/>
      <c r="C755" s="55"/>
      <c r="D755" s="55"/>
      <c r="E755" s="55"/>
      <c r="F755" s="55"/>
      <c r="H755" s="55"/>
      <c r="O755" s="55"/>
      <c r="P755" s="55"/>
      <c r="Q755" s="55"/>
      <c r="R755" s="55"/>
      <c r="S755" s="55"/>
      <c r="T755" s="55"/>
      <c r="AA755" s="55"/>
      <c r="AB755" s="55"/>
      <c r="AC755" s="55"/>
      <c r="AD755" s="55"/>
      <c r="AE755" s="55"/>
      <c r="AF755" s="55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1:53" x14ac:dyDescent="0.25">
      <c r="A756" s="18"/>
      <c r="B756" s="4" t="s">
        <v>14</v>
      </c>
      <c r="C756" s="55"/>
      <c r="D756" s="55"/>
      <c r="E756" s="55"/>
      <c r="F756" s="55"/>
      <c r="H756" s="55"/>
      <c r="N756" s="4" t="s">
        <v>14</v>
      </c>
      <c r="O756" s="55"/>
      <c r="P756" s="55"/>
      <c r="Q756" s="55"/>
      <c r="R756" s="55"/>
      <c r="S756" s="55"/>
      <c r="T756" s="55"/>
      <c r="Z756" s="4" t="s">
        <v>14</v>
      </c>
      <c r="AA756" s="55"/>
      <c r="AB756" s="55"/>
      <c r="AC756" s="55"/>
      <c r="AD756" s="55"/>
      <c r="AE756" s="55"/>
      <c r="AF756" s="55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1:53" x14ac:dyDescent="0.25">
      <c r="A757" s="18"/>
      <c r="C757" s="55"/>
      <c r="D757" s="55"/>
      <c r="E757" s="55"/>
      <c r="F757" s="55"/>
      <c r="H757" s="55"/>
      <c r="O757" s="55"/>
      <c r="P757" s="55"/>
      <c r="Q757" s="55"/>
      <c r="R757" s="55"/>
      <c r="S757" s="55"/>
      <c r="T757" s="55"/>
      <c r="AA757" s="55"/>
      <c r="AB757" s="55"/>
      <c r="AC757" s="55"/>
      <c r="AD757" s="55"/>
      <c r="AE757" s="55"/>
      <c r="AF757" s="55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1:53" ht="15.75" x14ac:dyDescent="0.25">
      <c r="A758" s="18"/>
      <c r="B758" t="s">
        <v>44</v>
      </c>
      <c r="C758" s="55"/>
      <c r="D758" s="55"/>
      <c r="E758" s="55"/>
      <c r="F758" s="55"/>
      <c r="H758" s="55"/>
      <c r="J758" s="55" t="s">
        <v>15</v>
      </c>
      <c r="K758" s="19">
        <v>1</v>
      </c>
      <c r="N758" t="s">
        <v>44</v>
      </c>
      <c r="O758" s="55"/>
      <c r="P758" s="55"/>
      <c r="Q758" s="55"/>
      <c r="R758" s="55"/>
      <c r="S758" s="55"/>
      <c r="T758" s="55"/>
      <c r="V758" s="55" t="s">
        <v>15</v>
      </c>
      <c r="W758" s="19">
        <v>2</v>
      </c>
      <c r="Z758" t="s">
        <v>44</v>
      </c>
      <c r="AA758" s="55"/>
      <c r="AB758" s="55"/>
      <c r="AC758" s="55"/>
      <c r="AD758" s="55"/>
      <c r="AE758" s="55"/>
      <c r="AF758" s="55"/>
      <c r="AH758" s="55" t="s">
        <v>15</v>
      </c>
      <c r="AI758" s="20">
        <v>3</v>
      </c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1:53" x14ac:dyDescent="0.25">
      <c r="A759" s="18"/>
      <c r="B759" s="21" t="s">
        <v>77</v>
      </c>
      <c r="C759" s="20"/>
      <c r="D759" s="55"/>
      <c r="E759" s="55"/>
      <c r="F759" s="55"/>
      <c r="H759" s="55"/>
      <c r="J759" s="22" t="s">
        <v>16</v>
      </c>
      <c r="K759" s="23" t="s">
        <v>35</v>
      </c>
      <c r="L759" s="24"/>
      <c r="N759" s="21" t="s">
        <v>77</v>
      </c>
      <c r="O759" s="20"/>
      <c r="P759" s="55"/>
      <c r="Q759" s="55"/>
      <c r="R759" s="55"/>
      <c r="S759" s="55"/>
      <c r="T759" s="55"/>
      <c r="V759" s="22" t="s">
        <v>16</v>
      </c>
      <c r="W759" s="23" t="s">
        <v>82</v>
      </c>
      <c r="X759" s="24"/>
      <c r="Z759" s="21" t="s">
        <v>77</v>
      </c>
      <c r="AA759" s="20"/>
      <c r="AB759" s="55"/>
      <c r="AC759" s="55"/>
      <c r="AD759" s="55"/>
      <c r="AE759" s="55"/>
      <c r="AF759" s="55"/>
      <c r="AH759" s="22" t="s">
        <v>16</v>
      </c>
      <c r="AI759" s="23" t="s">
        <v>41</v>
      </c>
      <c r="AJ759" s="24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1:53" x14ac:dyDescent="0.25">
      <c r="A760" s="18"/>
      <c r="C760" s="55"/>
      <c r="D760" s="55"/>
      <c r="E760" s="55"/>
      <c r="F760" s="55"/>
      <c r="H760" s="55"/>
      <c r="O760" s="55"/>
      <c r="P760" s="55"/>
      <c r="Q760" s="55"/>
      <c r="R760" s="55"/>
      <c r="S760" s="55"/>
      <c r="T760" s="55"/>
      <c r="AA760" s="55"/>
      <c r="AB760" s="55"/>
      <c r="AC760" s="55"/>
      <c r="AD760" s="55"/>
      <c r="AE760" s="55"/>
      <c r="AF760" s="55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1:53" x14ac:dyDescent="0.25">
      <c r="A761" s="18"/>
      <c r="C761" s="25"/>
      <c r="D761" s="26"/>
      <c r="E761" s="118" t="s">
        <v>17</v>
      </c>
      <c r="F761" s="118"/>
      <c r="G761" s="106"/>
      <c r="H761" s="27"/>
      <c r="J761" s="119" t="s">
        <v>18</v>
      </c>
      <c r="K761" s="120"/>
      <c r="L761" s="121" t="s">
        <v>19</v>
      </c>
      <c r="O761" s="25"/>
      <c r="P761" s="26"/>
      <c r="Q761" s="118" t="s">
        <v>17</v>
      </c>
      <c r="R761" s="118"/>
      <c r="S761" s="106"/>
      <c r="T761" s="27"/>
      <c r="V761" s="119" t="s">
        <v>18</v>
      </c>
      <c r="W761" s="120"/>
      <c r="X761" s="121" t="s">
        <v>19</v>
      </c>
      <c r="AA761" s="25"/>
      <c r="AB761" s="26"/>
      <c r="AC761" s="118" t="s">
        <v>17</v>
      </c>
      <c r="AD761" s="118"/>
      <c r="AE761" s="106"/>
      <c r="AF761" s="27"/>
      <c r="AH761" s="119" t="s">
        <v>18</v>
      </c>
      <c r="AI761" s="120"/>
      <c r="AJ761" s="121" t="s">
        <v>19</v>
      </c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1:53" ht="30" x14ac:dyDescent="0.25">
      <c r="A762" s="18"/>
      <c r="C762" s="28" t="s">
        <v>20</v>
      </c>
      <c r="D762" s="28" t="s">
        <v>21</v>
      </c>
      <c r="E762" s="74" t="s">
        <v>22</v>
      </c>
      <c r="F762" s="75" t="s">
        <v>23</v>
      </c>
      <c r="G762" s="75" t="s">
        <v>31</v>
      </c>
      <c r="H762" s="75" t="s">
        <v>24</v>
      </c>
      <c r="J762" s="29" t="s">
        <v>25</v>
      </c>
      <c r="K762" s="29" t="s">
        <v>26</v>
      </c>
      <c r="L762" s="122"/>
      <c r="O762" s="28" t="s">
        <v>20</v>
      </c>
      <c r="P762" s="28" t="s">
        <v>21</v>
      </c>
      <c r="Q762" s="74" t="s">
        <v>22</v>
      </c>
      <c r="R762" s="75" t="s">
        <v>23</v>
      </c>
      <c r="S762" s="75" t="s">
        <v>31</v>
      </c>
      <c r="T762" s="75" t="s">
        <v>24</v>
      </c>
      <c r="V762" s="29" t="s">
        <v>25</v>
      </c>
      <c r="W762" s="29" t="s">
        <v>26</v>
      </c>
      <c r="X762" s="122"/>
      <c r="AA762" s="28" t="s">
        <v>20</v>
      </c>
      <c r="AB762" s="28" t="s">
        <v>21</v>
      </c>
      <c r="AC762" s="74" t="s">
        <v>22</v>
      </c>
      <c r="AD762" s="75" t="s">
        <v>23</v>
      </c>
      <c r="AE762" s="75" t="s">
        <v>31</v>
      </c>
      <c r="AF762" s="75" t="s">
        <v>24</v>
      </c>
      <c r="AH762" s="29" t="s">
        <v>25</v>
      </c>
      <c r="AI762" s="29" t="s">
        <v>26</v>
      </c>
      <c r="AJ762" s="122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1:53" x14ac:dyDescent="0.25">
      <c r="A763" s="18"/>
      <c r="B763" s="10">
        <v>1</v>
      </c>
      <c r="C763" s="30" t="s">
        <v>78</v>
      </c>
      <c r="D763" s="80">
        <v>11931</v>
      </c>
      <c r="E763" s="32">
        <f>650*108</f>
        <v>70200</v>
      </c>
      <c r="F763" s="32"/>
      <c r="G763" s="32"/>
      <c r="H763" s="32">
        <f>SUM(E763:F763)</f>
        <v>70200</v>
      </c>
      <c r="I763" s="12"/>
      <c r="J763" s="12">
        <f>111*7</f>
        <v>777</v>
      </c>
      <c r="K763" s="12"/>
      <c r="L763" s="12">
        <f>SUM(H763:K763)</f>
        <v>70977</v>
      </c>
      <c r="N763" s="10">
        <v>1</v>
      </c>
      <c r="O763" s="30" t="s">
        <v>78</v>
      </c>
      <c r="P763" s="80">
        <v>11843</v>
      </c>
      <c r="Q763" s="32">
        <f>650*5+622*4</f>
        <v>5738</v>
      </c>
      <c r="R763" s="32"/>
      <c r="S763" s="32"/>
      <c r="T763" s="32">
        <f>SUM(Q763:R763)</f>
        <v>5738</v>
      </c>
      <c r="U763" s="12"/>
      <c r="V763" s="12">
        <f>4.5*20</f>
        <v>90</v>
      </c>
      <c r="W763" s="12"/>
      <c r="X763" s="12">
        <f>SUM(T763:W763)</f>
        <v>5828</v>
      </c>
      <c r="Z763" s="10">
        <v>1</v>
      </c>
      <c r="AA763" s="30" t="s">
        <v>78</v>
      </c>
      <c r="AB763" s="31">
        <v>11886</v>
      </c>
      <c r="AC763" s="32">
        <f>650*50+622*20+1175+229+650</f>
        <v>46994</v>
      </c>
      <c r="AD763" s="32"/>
      <c r="AE763" s="32"/>
      <c r="AF763" s="32">
        <f>SUM(AC763:AD763)</f>
        <v>46994</v>
      </c>
      <c r="AG763" s="12"/>
      <c r="AH763" s="12"/>
      <c r="AI763" s="12"/>
      <c r="AJ763" s="12">
        <f>SUM(AF763:AI763)</f>
        <v>46994</v>
      </c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1:53" x14ac:dyDescent="0.25">
      <c r="A764" s="18"/>
      <c r="B764" s="10">
        <v>2</v>
      </c>
      <c r="C764" s="30" t="s">
        <v>78</v>
      </c>
      <c r="D764" s="80">
        <f>D763+1</f>
        <v>11932</v>
      </c>
      <c r="E764" s="32">
        <f>650*540+670*7+700*5+229*10</f>
        <v>361480</v>
      </c>
      <c r="F764" s="32">
        <f>-552*6</f>
        <v>-3312</v>
      </c>
      <c r="G764" s="32"/>
      <c r="H764" s="32">
        <f t="shared" ref="H764:H801" si="162">SUM(E764:F764)</f>
        <v>358168</v>
      </c>
      <c r="I764" s="12"/>
      <c r="J764" s="12"/>
      <c r="K764" s="12"/>
      <c r="L764" s="12">
        <f t="shared" ref="L764:L804" si="163">SUM(H764:K764)</f>
        <v>358168</v>
      </c>
      <c r="N764" s="10">
        <v>2</v>
      </c>
      <c r="O764" s="30" t="s">
        <v>78</v>
      </c>
      <c r="P764" s="80">
        <f>P763+1</f>
        <v>11844</v>
      </c>
      <c r="Q764" s="32">
        <f>650*10+9.5*10</f>
        <v>6595</v>
      </c>
      <c r="R764" s="32"/>
      <c r="S764" s="32"/>
      <c r="T764" s="32">
        <f t="shared" ref="T764:T801" si="164">SUM(Q764:R764)</f>
        <v>6595</v>
      </c>
      <c r="U764" s="12"/>
      <c r="V764" s="12">
        <f>4.5*24</f>
        <v>108</v>
      </c>
      <c r="W764" s="12"/>
      <c r="X764" s="12">
        <f t="shared" ref="X764:X804" si="165">SUM(T764:W764)</f>
        <v>6703</v>
      </c>
      <c r="Z764" s="10">
        <v>2</v>
      </c>
      <c r="AA764" s="30" t="s">
        <v>78</v>
      </c>
      <c r="AB764" s="31">
        <f>AB763+1</f>
        <v>11887</v>
      </c>
      <c r="AC764" s="32">
        <f>650*27+622*5+229</f>
        <v>20889</v>
      </c>
      <c r="AD764" s="32"/>
      <c r="AE764" s="32"/>
      <c r="AF764" s="32">
        <f t="shared" ref="AF764:AF801" si="166">SUM(AC764:AD764)</f>
        <v>20889</v>
      </c>
      <c r="AG764" s="12"/>
      <c r="AH764" s="12">
        <f>1.5*9</f>
        <v>13.5</v>
      </c>
      <c r="AI764" s="12"/>
      <c r="AJ764" s="12">
        <f t="shared" ref="AJ764:AJ804" si="167">SUM(AF764:AI764)</f>
        <v>20902.5</v>
      </c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1:53" x14ac:dyDescent="0.25">
      <c r="A765" s="18"/>
      <c r="B765" s="10">
        <v>3</v>
      </c>
      <c r="C765" s="30" t="s">
        <v>78</v>
      </c>
      <c r="D765" s="80">
        <f t="shared" ref="D765" si="168">D764+1</f>
        <v>11933</v>
      </c>
      <c r="E765" s="33">
        <f>650*25</f>
        <v>16250</v>
      </c>
      <c r="F765" s="33"/>
      <c r="G765" s="32"/>
      <c r="H765" s="32">
        <f t="shared" si="162"/>
        <v>16250</v>
      </c>
      <c r="I765" s="12"/>
      <c r="J765" s="34"/>
      <c r="K765" s="34"/>
      <c r="L765" s="12">
        <f t="shared" si="163"/>
        <v>16250</v>
      </c>
      <c r="N765" s="10">
        <v>3</v>
      </c>
      <c r="O765" s="30" t="s">
        <v>78</v>
      </c>
      <c r="P765" s="80">
        <f t="shared" ref="P765:P777" si="169">P764+1</f>
        <v>11845</v>
      </c>
      <c r="Q765" s="33">
        <f>650*2</f>
        <v>1300</v>
      </c>
      <c r="R765" s="33"/>
      <c r="S765" s="32"/>
      <c r="T765" s="32">
        <f t="shared" si="164"/>
        <v>1300</v>
      </c>
      <c r="U765" s="12"/>
      <c r="V765" s="34"/>
      <c r="W765" s="34"/>
      <c r="X765" s="12">
        <f t="shared" si="165"/>
        <v>1300</v>
      </c>
      <c r="Z765" s="10">
        <v>3</v>
      </c>
      <c r="AA765" s="30" t="s">
        <v>78</v>
      </c>
      <c r="AB765" s="31">
        <f t="shared" ref="AB765:AB768" si="170">AB764+1</f>
        <v>11888</v>
      </c>
      <c r="AC765" s="33">
        <f>650*148+229*6</f>
        <v>97574</v>
      </c>
      <c r="AD765" s="33"/>
      <c r="AE765" s="32"/>
      <c r="AF765" s="32">
        <f t="shared" si="166"/>
        <v>97574</v>
      </c>
      <c r="AG765" s="12"/>
      <c r="AH765" s="12"/>
      <c r="AI765" s="12"/>
      <c r="AJ765" s="12">
        <f t="shared" si="167"/>
        <v>97574</v>
      </c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1:53" x14ac:dyDescent="0.25">
      <c r="A766" s="18"/>
      <c r="B766" s="10">
        <v>4</v>
      </c>
      <c r="C766" s="30"/>
      <c r="D766" s="11" t="s">
        <v>27</v>
      </c>
      <c r="E766" s="32"/>
      <c r="F766" s="32"/>
      <c r="G766" s="32"/>
      <c r="H766" s="32">
        <f t="shared" si="162"/>
        <v>0</v>
      </c>
      <c r="I766" s="12"/>
      <c r="J766" s="12"/>
      <c r="K766" s="12"/>
      <c r="L766" s="12">
        <f t="shared" si="163"/>
        <v>0</v>
      </c>
      <c r="N766" s="10">
        <v>4</v>
      </c>
      <c r="O766" s="30" t="s">
        <v>78</v>
      </c>
      <c r="P766" s="80">
        <f t="shared" si="169"/>
        <v>11846</v>
      </c>
      <c r="Q766" s="32">
        <f>650*8+670+9.5*9</f>
        <v>5955.5</v>
      </c>
      <c r="R766" s="32"/>
      <c r="S766" s="32"/>
      <c r="T766" s="32">
        <f t="shared" si="164"/>
        <v>5955.5</v>
      </c>
      <c r="U766" s="12"/>
      <c r="V766" s="12"/>
      <c r="W766" s="12"/>
      <c r="X766" s="12">
        <f t="shared" si="165"/>
        <v>5955.5</v>
      </c>
      <c r="Z766" s="10">
        <v>4</v>
      </c>
      <c r="AA766" s="30" t="s">
        <v>78</v>
      </c>
      <c r="AB766" s="31">
        <f t="shared" si="170"/>
        <v>11889</v>
      </c>
      <c r="AC766" s="32">
        <f>650*9+670</f>
        <v>6520</v>
      </c>
      <c r="AD766" s="32"/>
      <c r="AE766" s="32"/>
      <c r="AF766" s="32">
        <f t="shared" si="166"/>
        <v>6520</v>
      </c>
      <c r="AG766" s="12"/>
      <c r="AI766" s="12"/>
      <c r="AJ766" s="12">
        <f t="shared" si="167"/>
        <v>6520</v>
      </c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1:53" x14ac:dyDescent="0.25">
      <c r="A767" s="18"/>
      <c r="B767" s="10">
        <v>5</v>
      </c>
      <c r="C767" s="30"/>
      <c r="D767" s="80"/>
      <c r="E767" s="32"/>
      <c r="F767" s="32"/>
      <c r="G767" s="32"/>
      <c r="H767" s="32">
        <f t="shared" si="162"/>
        <v>0</v>
      </c>
      <c r="I767" s="12"/>
      <c r="J767" s="12"/>
      <c r="K767" s="12"/>
      <c r="L767" s="12">
        <f t="shared" si="163"/>
        <v>0</v>
      </c>
      <c r="N767" s="10">
        <v>5</v>
      </c>
      <c r="O767" s="30" t="s">
        <v>78</v>
      </c>
      <c r="P767" s="80">
        <f t="shared" si="169"/>
        <v>11847</v>
      </c>
      <c r="Q767" s="32">
        <f>650*8+9.5*8</f>
        <v>5276</v>
      </c>
      <c r="R767" s="32"/>
      <c r="S767" s="32"/>
      <c r="T767" s="32">
        <f t="shared" si="164"/>
        <v>5276</v>
      </c>
      <c r="U767" s="12"/>
      <c r="V767" s="12"/>
      <c r="W767" s="12">
        <f>-111*5</f>
        <v>-555</v>
      </c>
      <c r="X767" s="12">
        <f t="shared" si="165"/>
        <v>4721</v>
      </c>
      <c r="Z767" s="10">
        <v>5</v>
      </c>
      <c r="AA767" s="30" t="s">
        <v>78</v>
      </c>
      <c r="AB767" s="31">
        <f t="shared" si="170"/>
        <v>11890</v>
      </c>
      <c r="AC767" s="32">
        <f>650*15+622*5+229</f>
        <v>13089</v>
      </c>
      <c r="AD767" s="32"/>
      <c r="AE767" s="32"/>
      <c r="AF767" s="32">
        <f t="shared" si="166"/>
        <v>13089</v>
      </c>
      <c r="AG767" s="12"/>
      <c r="AH767" s="12"/>
      <c r="AI767" s="12"/>
      <c r="AJ767" s="12">
        <f t="shared" si="167"/>
        <v>13089</v>
      </c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1:53" x14ac:dyDescent="0.25">
      <c r="A768" s="18"/>
      <c r="B768" s="10">
        <v>6</v>
      </c>
      <c r="C768" s="30"/>
      <c r="E768" s="32"/>
      <c r="F768" s="32"/>
      <c r="G768" s="32"/>
      <c r="H768" s="32">
        <f t="shared" si="162"/>
        <v>0</v>
      </c>
      <c r="I768" s="12"/>
      <c r="J768" s="12"/>
      <c r="K768" s="10"/>
      <c r="L768" s="12">
        <f t="shared" si="163"/>
        <v>0</v>
      </c>
      <c r="N768" s="10">
        <v>6</v>
      </c>
      <c r="O768" s="30" t="s">
        <v>78</v>
      </c>
      <c r="P768" s="80">
        <f t="shared" si="169"/>
        <v>11848</v>
      </c>
      <c r="Q768" s="32">
        <f>650*9+670+622+700</f>
        <v>7842</v>
      </c>
      <c r="R768" s="32"/>
      <c r="S768" s="32"/>
      <c r="T768" s="32">
        <f t="shared" si="164"/>
        <v>7842</v>
      </c>
      <c r="U768" s="12"/>
      <c r="V768" s="12"/>
      <c r="W768" s="10">
        <f>-111*4</f>
        <v>-444</v>
      </c>
      <c r="X768" s="12">
        <f t="shared" si="165"/>
        <v>7398</v>
      </c>
      <c r="Z768" s="10">
        <v>6</v>
      </c>
      <c r="AA768" s="30" t="s">
        <v>78</v>
      </c>
      <c r="AB768" s="31">
        <f t="shared" si="170"/>
        <v>11891</v>
      </c>
      <c r="AC768" s="32">
        <f>650*25+622*5</f>
        <v>19360</v>
      </c>
      <c r="AD768" s="32"/>
      <c r="AE768" s="32"/>
      <c r="AF768" s="32">
        <f t="shared" si="166"/>
        <v>19360</v>
      </c>
      <c r="AG768" s="12"/>
      <c r="AH768" s="12"/>
      <c r="AI768" s="10">
        <f>-111*5</f>
        <v>-555</v>
      </c>
      <c r="AJ768" s="12">
        <f t="shared" si="167"/>
        <v>18805</v>
      </c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1:53" x14ac:dyDescent="0.25">
      <c r="A769" s="18"/>
      <c r="B769" s="10">
        <v>7</v>
      </c>
      <c r="C769" s="30"/>
      <c r="D769" s="80"/>
      <c r="E769" s="32"/>
      <c r="F769" s="32"/>
      <c r="G769" s="32"/>
      <c r="H769" s="32">
        <f t="shared" si="162"/>
        <v>0</v>
      </c>
      <c r="I769" s="12"/>
      <c r="J769" s="12"/>
      <c r="K769" s="12"/>
      <c r="L769" s="12">
        <f t="shared" si="163"/>
        <v>0</v>
      </c>
      <c r="N769" s="10">
        <v>7</v>
      </c>
      <c r="O769" s="30" t="s">
        <v>78</v>
      </c>
      <c r="P769" s="80">
        <f t="shared" si="169"/>
        <v>11849</v>
      </c>
      <c r="Q769" s="32">
        <f>650*3+9.5*3</f>
        <v>1978.5</v>
      </c>
      <c r="R769" s="32"/>
      <c r="S769" s="32"/>
      <c r="T769" s="32">
        <f t="shared" si="164"/>
        <v>1978.5</v>
      </c>
      <c r="U769" s="12"/>
      <c r="V769" s="12"/>
      <c r="W769" s="12"/>
      <c r="X769" s="12">
        <f t="shared" si="165"/>
        <v>1978.5</v>
      </c>
      <c r="Z769" s="10">
        <v>7</v>
      </c>
      <c r="AA769" s="30"/>
      <c r="AB769" s="11" t="s">
        <v>27</v>
      </c>
      <c r="AC769" s="32"/>
      <c r="AD769" s="32"/>
      <c r="AE769" s="32"/>
      <c r="AF769" s="32">
        <f t="shared" si="166"/>
        <v>0</v>
      </c>
      <c r="AG769" s="12"/>
      <c r="AH769" s="56"/>
      <c r="AI769" s="12"/>
      <c r="AJ769" s="12">
        <f t="shared" si="167"/>
        <v>0</v>
      </c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1:53" x14ac:dyDescent="0.25">
      <c r="A770" s="18"/>
      <c r="B770" s="10">
        <v>8</v>
      </c>
      <c r="C770" s="30"/>
      <c r="D770" s="80"/>
      <c r="E770" s="32"/>
      <c r="F770" s="32"/>
      <c r="G770" s="32"/>
      <c r="H770" s="32">
        <f t="shared" si="162"/>
        <v>0</v>
      </c>
      <c r="I770" s="12"/>
      <c r="J770" s="12"/>
      <c r="K770" s="12"/>
      <c r="L770" s="12">
        <f t="shared" si="163"/>
        <v>0</v>
      </c>
      <c r="N770" s="10">
        <v>8</v>
      </c>
      <c r="O770" s="30" t="s">
        <v>78</v>
      </c>
      <c r="P770" s="80">
        <f t="shared" si="169"/>
        <v>11850</v>
      </c>
      <c r="Q770" s="32">
        <f>650*108+670*6+229*2</f>
        <v>74678</v>
      </c>
      <c r="R770" s="32">
        <f>-114*6</f>
        <v>-684</v>
      </c>
      <c r="S770" s="32"/>
      <c r="T770" s="32">
        <f t="shared" si="164"/>
        <v>73994</v>
      </c>
      <c r="U770" s="12"/>
      <c r="V770" s="12">
        <f>1.5*48</f>
        <v>72</v>
      </c>
      <c r="W770" s="12"/>
      <c r="X770" s="12">
        <f t="shared" si="165"/>
        <v>74066</v>
      </c>
      <c r="Z770" s="10">
        <v>8</v>
      </c>
      <c r="AA770" s="30"/>
      <c r="AB770" s="31"/>
      <c r="AC770" s="32"/>
      <c r="AD770" s="32"/>
      <c r="AF770" s="32">
        <f t="shared" si="166"/>
        <v>0</v>
      </c>
      <c r="AG770" s="12"/>
      <c r="AH770" s="12"/>
      <c r="AI770" s="12"/>
      <c r="AJ770" s="12">
        <f t="shared" si="167"/>
        <v>0</v>
      </c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1:53" x14ac:dyDescent="0.25">
      <c r="A771" s="18"/>
      <c r="B771" s="10">
        <v>9</v>
      </c>
      <c r="C771" s="30"/>
      <c r="D771" s="80"/>
      <c r="E771" s="32"/>
      <c r="F771" s="32"/>
      <c r="G771" s="32"/>
      <c r="H771" s="32">
        <f t="shared" si="162"/>
        <v>0</v>
      </c>
      <c r="I771" s="12"/>
      <c r="J771" s="12"/>
      <c r="K771" s="12"/>
      <c r="L771" s="12">
        <f t="shared" si="163"/>
        <v>0</v>
      </c>
      <c r="N771" s="10">
        <v>9</v>
      </c>
      <c r="O771" s="30" t="s">
        <v>78</v>
      </c>
      <c r="P771" s="80">
        <f t="shared" si="169"/>
        <v>11851</v>
      </c>
      <c r="Q771" s="32">
        <f>650*60+622*10+229*2+650*2</f>
        <v>46978</v>
      </c>
      <c r="R771" s="32">
        <f>-72*6</f>
        <v>-432</v>
      </c>
      <c r="S771" s="32"/>
      <c r="T771" s="32">
        <f t="shared" si="164"/>
        <v>46546</v>
      </c>
      <c r="U771" s="12"/>
      <c r="V771" s="12">
        <f>1.5*24</f>
        <v>36</v>
      </c>
      <c r="W771" s="12"/>
      <c r="X771" s="12">
        <f t="shared" si="165"/>
        <v>46582</v>
      </c>
      <c r="Z771" s="10">
        <v>9</v>
      </c>
      <c r="AA771" s="30"/>
      <c r="AC771" s="32"/>
      <c r="AD771" s="32"/>
      <c r="AE771" s="32"/>
      <c r="AF771" s="32">
        <f t="shared" si="166"/>
        <v>0</v>
      </c>
      <c r="AG771" s="12"/>
      <c r="AI771" s="12"/>
      <c r="AJ771" s="12">
        <f t="shared" si="167"/>
        <v>0</v>
      </c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1:53" x14ac:dyDescent="0.25">
      <c r="A772" s="18"/>
      <c r="B772" s="10">
        <v>10</v>
      </c>
      <c r="C772" s="30"/>
      <c r="D772" s="80"/>
      <c r="E772" s="32"/>
      <c r="F772" s="32"/>
      <c r="G772" s="32"/>
      <c r="H772" s="32">
        <f t="shared" si="162"/>
        <v>0</v>
      </c>
      <c r="I772" s="12"/>
      <c r="J772" s="12"/>
      <c r="K772" s="12"/>
      <c r="L772" s="12">
        <f t="shared" si="163"/>
        <v>0</v>
      </c>
      <c r="N772" s="10">
        <v>10</v>
      </c>
      <c r="O772" s="30" t="s">
        <v>78</v>
      </c>
      <c r="P772" s="80">
        <f t="shared" si="169"/>
        <v>11852</v>
      </c>
      <c r="Q772" s="32">
        <f>650*5+622</f>
        <v>3872</v>
      </c>
      <c r="R772" s="32"/>
      <c r="S772" s="32"/>
      <c r="T772" s="32">
        <f t="shared" si="164"/>
        <v>3872</v>
      </c>
      <c r="U772" s="12"/>
      <c r="V772" s="12"/>
      <c r="W772" s="12"/>
      <c r="X772" s="12">
        <f t="shared" si="165"/>
        <v>3872</v>
      </c>
      <c r="Z772" s="10">
        <v>10</v>
      </c>
      <c r="AA772" s="30"/>
      <c r="AB772" s="31"/>
      <c r="AC772" s="32"/>
      <c r="AD772" s="32"/>
      <c r="AE772" s="32"/>
      <c r="AF772" s="32">
        <f t="shared" si="166"/>
        <v>0</v>
      </c>
      <c r="AG772" s="12"/>
      <c r="AH772" s="12"/>
      <c r="AI772" s="12"/>
      <c r="AJ772" s="12">
        <f t="shared" si="167"/>
        <v>0</v>
      </c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1:53" x14ac:dyDescent="0.25">
      <c r="A773" s="18"/>
      <c r="B773" s="10">
        <v>11</v>
      </c>
      <c r="C773" s="30"/>
      <c r="D773" s="80"/>
      <c r="E773" s="32"/>
      <c r="F773" s="32"/>
      <c r="G773" s="32"/>
      <c r="H773" s="32">
        <f t="shared" si="162"/>
        <v>0</v>
      </c>
      <c r="I773" s="12"/>
      <c r="J773" s="12"/>
      <c r="K773" s="12"/>
      <c r="L773" s="12">
        <f t="shared" si="163"/>
        <v>0</v>
      </c>
      <c r="N773" s="10">
        <v>11</v>
      </c>
      <c r="O773" s="30" t="s">
        <v>78</v>
      </c>
      <c r="P773" s="80">
        <f t="shared" si="169"/>
        <v>11853</v>
      </c>
      <c r="Q773" s="32">
        <f>650+9.5</f>
        <v>659.5</v>
      </c>
      <c r="R773" s="32"/>
      <c r="S773" s="32"/>
      <c r="T773" s="32">
        <f t="shared" si="164"/>
        <v>659.5</v>
      </c>
      <c r="U773" s="12"/>
      <c r="V773" s="12"/>
      <c r="W773" s="12"/>
      <c r="X773" s="12">
        <f t="shared" si="165"/>
        <v>659.5</v>
      </c>
      <c r="Z773" s="10">
        <v>11</v>
      </c>
      <c r="AA773" s="30"/>
      <c r="AB773" s="31"/>
      <c r="AC773" s="32"/>
      <c r="AD773" s="32"/>
      <c r="AE773" s="32"/>
      <c r="AF773" s="32">
        <f t="shared" si="166"/>
        <v>0</v>
      </c>
      <c r="AG773" s="12"/>
      <c r="AH773" s="12"/>
      <c r="AI773" s="12"/>
      <c r="AJ773" s="12">
        <f t="shared" si="167"/>
        <v>0</v>
      </c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1:53" x14ac:dyDescent="0.25">
      <c r="A774" s="18"/>
      <c r="B774" s="10">
        <v>12</v>
      </c>
      <c r="C774" s="30"/>
      <c r="D774" s="55"/>
      <c r="E774" s="32"/>
      <c r="F774" s="32"/>
      <c r="G774" s="32"/>
      <c r="H774" s="32">
        <f t="shared" si="162"/>
        <v>0</v>
      </c>
      <c r="I774" s="12"/>
      <c r="J774" s="12"/>
      <c r="K774" s="12"/>
      <c r="L774" s="12">
        <f t="shared" si="163"/>
        <v>0</v>
      </c>
      <c r="N774" s="10">
        <v>12</v>
      </c>
      <c r="O774" s="30" t="s">
        <v>78</v>
      </c>
      <c r="P774" s="80">
        <f t="shared" si="169"/>
        <v>11854</v>
      </c>
      <c r="Q774" s="32">
        <f>650*5+622+9.5*6+500</f>
        <v>4429</v>
      </c>
      <c r="R774" s="32"/>
      <c r="S774" s="32"/>
      <c r="T774" s="32">
        <f t="shared" si="164"/>
        <v>4429</v>
      </c>
      <c r="U774" s="12"/>
      <c r="V774" s="12"/>
      <c r="W774" s="12"/>
      <c r="X774" s="12">
        <f t="shared" si="165"/>
        <v>4429</v>
      </c>
      <c r="Z774" s="10">
        <v>12</v>
      </c>
      <c r="AA774" s="30"/>
      <c r="AB774" s="31"/>
      <c r="AC774" s="32"/>
      <c r="AD774" s="32"/>
      <c r="AE774" s="32"/>
      <c r="AF774" s="32">
        <f t="shared" si="166"/>
        <v>0</v>
      </c>
      <c r="AG774" s="12"/>
      <c r="AH774" s="12"/>
      <c r="AI774" s="12"/>
      <c r="AJ774" s="12">
        <f t="shared" si="167"/>
        <v>0</v>
      </c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1:53" x14ac:dyDescent="0.25">
      <c r="A775" s="18"/>
      <c r="B775" s="10">
        <v>13</v>
      </c>
      <c r="C775" s="30"/>
      <c r="D775" s="80"/>
      <c r="E775" s="32"/>
      <c r="F775" s="32"/>
      <c r="G775" s="32"/>
      <c r="H775" s="32">
        <f t="shared" si="162"/>
        <v>0</v>
      </c>
      <c r="I775" s="12"/>
      <c r="J775" s="12"/>
      <c r="K775" s="12"/>
      <c r="L775" s="12">
        <f t="shared" si="163"/>
        <v>0</v>
      </c>
      <c r="N775" s="10">
        <v>13</v>
      </c>
      <c r="O775" s="30" t="s">
        <v>78</v>
      </c>
      <c r="P775" s="80">
        <f t="shared" si="169"/>
        <v>11855</v>
      </c>
      <c r="Q775" s="32">
        <f>650*9+622*3+872</f>
        <v>8588</v>
      </c>
      <c r="R775" s="32"/>
      <c r="S775" s="32"/>
      <c r="T775" s="32">
        <f t="shared" si="164"/>
        <v>8588</v>
      </c>
      <c r="U775" s="12"/>
      <c r="V775" s="12"/>
      <c r="W775" s="12">
        <f>-111*5</f>
        <v>-555</v>
      </c>
      <c r="X775" s="12">
        <f t="shared" si="165"/>
        <v>8033</v>
      </c>
      <c r="Z775" s="10">
        <v>13</v>
      </c>
      <c r="AA775" s="30"/>
      <c r="AB775" s="31"/>
      <c r="AC775" s="32"/>
      <c r="AD775" s="32"/>
      <c r="AE775" s="32"/>
      <c r="AF775" s="32">
        <f t="shared" si="166"/>
        <v>0</v>
      </c>
      <c r="AG775" s="12"/>
      <c r="AH775" s="12"/>
      <c r="AI775" s="12"/>
      <c r="AJ775" s="12">
        <f t="shared" si="167"/>
        <v>0</v>
      </c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1:53" x14ac:dyDescent="0.25">
      <c r="A776" s="18"/>
      <c r="B776" s="10">
        <v>14</v>
      </c>
      <c r="C776" s="30"/>
      <c r="D776" s="80"/>
      <c r="E776" s="32"/>
      <c r="F776" s="32"/>
      <c r="G776" s="32"/>
      <c r="H776" s="32">
        <f t="shared" si="162"/>
        <v>0</v>
      </c>
      <c r="I776" s="12"/>
      <c r="J776" s="12"/>
      <c r="K776" s="12"/>
      <c r="L776" s="12">
        <f t="shared" si="163"/>
        <v>0</v>
      </c>
      <c r="N776" s="10">
        <v>14</v>
      </c>
      <c r="O776" s="30" t="s">
        <v>78</v>
      </c>
      <c r="P776" s="80">
        <f t="shared" si="169"/>
        <v>11856</v>
      </c>
      <c r="Q776" s="32">
        <f>650*17+622*3+229*2</f>
        <v>13374</v>
      </c>
      <c r="R776" s="32"/>
      <c r="S776" s="32"/>
      <c r="T776" s="32">
        <f t="shared" si="164"/>
        <v>13374</v>
      </c>
      <c r="U776" s="12"/>
      <c r="V776" s="12">
        <f>4.5*13</f>
        <v>58.5</v>
      </c>
      <c r="W776" s="12"/>
      <c r="X776" s="12">
        <f t="shared" si="165"/>
        <v>13432.5</v>
      </c>
      <c r="Z776" s="10">
        <v>14</v>
      </c>
      <c r="AA776" s="30"/>
      <c r="AB776" s="31"/>
      <c r="AC776" s="32"/>
      <c r="AD776" s="32"/>
      <c r="AE776" s="32"/>
      <c r="AF776" s="32">
        <f t="shared" si="166"/>
        <v>0</v>
      </c>
      <c r="AG776" s="12"/>
      <c r="AH776" s="12"/>
      <c r="AI776" s="12"/>
      <c r="AJ776" s="12">
        <f t="shared" si="167"/>
        <v>0</v>
      </c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1:53" x14ac:dyDescent="0.25">
      <c r="A777" s="18"/>
      <c r="B777" s="10">
        <v>15</v>
      </c>
      <c r="C777" s="30"/>
      <c r="D777" s="80"/>
      <c r="E777" s="32"/>
      <c r="F777" s="32"/>
      <c r="G777" s="32"/>
      <c r="H777" s="32">
        <f t="shared" si="162"/>
        <v>0</v>
      </c>
      <c r="I777" s="12"/>
      <c r="J777" s="12"/>
      <c r="K777" s="12"/>
      <c r="L777" s="12">
        <f t="shared" si="163"/>
        <v>0</v>
      </c>
      <c r="N777" s="10">
        <v>15</v>
      </c>
      <c r="O777" s="30" t="s">
        <v>78</v>
      </c>
      <c r="P777" s="80">
        <f t="shared" si="169"/>
        <v>11857</v>
      </c>
      <c r="Q777" s="32">
        <f>650*9+9.5*9</f>
        <v>5935.5</v>
      </c>
      <c r="R777" s="32"/>
      <c r="S777" s="32"/>
      <c r="T777" s="32">
        <f t="shared" si="164"/>
        <v>5935.5</v>
      </c>
      <c r="U777" s="12"/>
      <c r="V777" s="12"/>
      <c r="W777" s="12"/>
      <c r="X777" s="12">
        <f t="shared" si="165"/>
        <v>5935.5</v>
      </c>
      <c r="Z777" s="10">
        <v>15</v>
      </c>
      <c r="AA777" s="30"/>
      <c r="AB777" s="31"/>
      <c r="AC777" s="32"/>
      <c r="AD777" s="32"/>
      <c r="AE777" s="32"/>
      <c r="AF777" s="32">
        <f t="shared" si="166"/>
        <v>0</v>
      </c>
      <c r="AG777" s="12"/>
      <c r="AH777" s="12"/>
      <c r="AI777" s="12"/>
      <c r="AJ777" s="12">
        <f t="shared" si="167"/>
        <v>0</v>
      </c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1:53" x14ac:dyDescent="0.25">
      <c r="A778" s="18"/>
      <c r="B778" s="10">
        <v>16</v>
      </c>
      <c r="C778" s="30"/>
      <c r="D778" s="11"/>
      <c r="E778" s="32"/>
      <c r="F778" s="32"/>
      <c r="G778" s="32"/>
      <c r="H778" s="32">
        <f t="shared" si="162"/>
        <v>0</v>
      </c>
      <c r="I778" s="12"/>
      <c r="J778" s="12"/>
      <c r="K778" s="12"/>
      <c r="L778" s="12">
        <f t="shared" si="163"/>
        <v>0</v>
      </c>
      <c r="N778" s="10">
        <v>16</v>
      </c>
      <c r="O778" s="30"/>
      <c r="P778" s="11" t="s">
        <v>27</v>
      </c>
      <c r="Q778" s="32"/>
      <c r="R778" s="32"/>
      <c r="S778" s="32"/>
      <c r="T778" s="32">
        <f t="shared" si="164"/>
        <v>0</v>
      </c>
      <c r="U778" s="12"/>
      <c r="V778" s="12"/>
      <c r="W778" s="12"/>
      <c r="X778" s="12">
        <f t="shared" si="165"/>
        <v>0</v>
      </c>
      <c r="Z778" s="10">
        <v>16</v>
      </c>
      <c r="AA778" s="30"/>
      <c r="AB778" s="11"/>
      <c r="AC778" s="32"/>
      <c r="AD778" s="32"/>
      <c r="AE778" s="32"/>
      <c r="AF778" s="32">
        <f t="shared" si="166"/>
        <v>0</v>
      </c>
      <c r="AG778" s="12"/>
      <c r="AH778" s="12"/>
      <c r="AI778" s="12"/>
      <c r="AJ778" s="12">
        <f t="shared" si="167"/>
        <v>0</v>
      </c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1:53" x14ac:dyDescent="0.25">
      <c r="A779" s="18"/>
      <c r="B779" s="10">
        <v>17</v>
      </c>
      <c r="C779" s="30"/>
      <c r="D779" s="31"/>
      <c r="E779" s="35"/>
      <c r="F779" s="32"/>
      <c r="G779" s="32"/>
      <c r="H779" s="32">
        <f t="shared" si="162"/>
        <v>0</v>
      </c>
      <c r="I779" s="12"/>
      <c r="J779" s="12"/>
      <c r="K779" s="12"/>
      <c r="L779" s="12">
        <f t="shared" si="163"/>
        <v>0</v>
      </c>
      <c r="N779" s="10">
        <v>17</v>
      </c>
      <c r="O779" s="30"/>
      <c r="Q779" s="35"/>
      <c r="R779" s="32"/>
      <c r="S779" s="32"/>
      <c r="T779" s="32">
        <f t="shared" si="164"/>
        <v>0</v>
      </c>
      <c r="U779" s="12"/>
      <c r="V779" s="12"/>
      <c r="W779" s="12"/>
      <c r="X779" s="12">
        <f t="shared" si="165"/>
        <v>0</v>
      </c>
      <c r="Z779" s="10">
        <v>17</v>
      </c>
      <c r="AA779" s="30"/>
      <c r="AB779" s="31"/>
      <c r="AC779" s="35"/>
      <c r="AD779" s="32"/>
      <c r="AE779" s="32"/>
      <c r="AF779" s="32">
        <f t="shared" si="166"/>
        <v>0</v>
      </c>
      <c r="AG779" s="12"/>
      <c r="AH779" s="12"/>
      <c r="AI779" s="12"/>
      <c r="AJ779" s="12">
        <f t="shared" si="167"/>
        <v>0</v>
      </c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1:53" x14ac:dyDescent="0.25">
      <c r="A780" s="18"/>
      <c r="B780" s="10">
        <v>18</v>
      </c>
      <c r="C780" s="30"/>
      <c r="D780" s="31"/>
      <c r="E780" s="32"/>
      <c r="F780" s="32"/>
      <c r="G780" s="32"/>
      <c r="H780" s="32">
        <f t="shared" si="162"/>
        <v>0</v>
      </c>
      <c r="I780" s="12"/>
      <c r="J780" s="12"/>
      <c r="K780" s="12"/>
      <c r="L780" s="12">
        <f t="shared" si="163"/>
        <v>0</v>
      </c>
      <c r="N780" s="10">
        <v>18</v>
      </c>
      <c r="O780" s="30"/>
      <c r="P780" s="80"/>
      <c r="Q780" s="32"/>
      <c r="R780" s="32"/>
      <c r="S780" s="32"/>
      <c r="T780" s="32">
        <f t="shared" si="164"/>
        <v>0</v>
      </c>
      <c r="U780" s="12"/>
      <c r="V780" s="12"/>
      <c r="W780" s="12"/>
      <c r="X780" s="12">
        <f t="shared" si="165"/>
        <v>0</v>
      </c>
      <c r="Z780" s="10">
        <v>18</v>
      </c>
      <c r="AA780" s="30"/>
      <c r="AB780" s="31"/>
      <c r="AC780" s="32"/>
      <c r="AD780" s="32"/>
      <c r="AE780" s="32"/>
      <c r="AF780" s="32">
        <f t="shared" si="166"/>
        <v>0</v>
      </c>
      <c r="AG780" s="12"/>
      <c r="AH780" s="12"/>
      <c r="AI780" s="12"/>
      <c r="AJ780" s="12">
        <f t="shared" si="167"/>
        <v>0</v>
      </c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1:53" x14ac:dyDescent="0.25">
      <c r="A781" s="18"/>
      <c r="B781" s="10">
        <v>19</v>
      </c>
      <c r="C781" s="30"/>
      <c r="D781" s="31"/>
      <c r="E781" s="32"/>
      <c r="F781" s="32"/>
      <c r="G781" s="32"/>
      <c r="H781" s="32">
        <f t="shared" si="162"/>
        <v>0</v>
      </c>
      <c r="I781" s="12"/>
      <c r="J781" s="12"/>
      <c r="K781" s="12"/>
      <c r="L781" s="12">
        <f t="shared" si="163"/>
        <v>0</v>
      </c>
      <c r="N781" s="10">
        <v>19</v>
      </c>
      <c r="O781" s="30"/>
      <c r="P781" s="80"/>
      <c r="Q781" s="32"/>
      <c r="R781" s="32"/>
      <c r="S781" s="32"/>
      <c r="T781" s="32">
        <f t="shared" si="164"/>
        <v>0</v>
      </c>
      <c r="U781" s="12"/>
      <c r="V781" s="12"/>
      <c r="W781" s="12"/>
      <c r="X781" s="12">
        <f t="shared" si="165"/>
        <v>0</v>
      </c>
      <c r="Z781" s="10">
        <v>19</v>
      </c>
      <c r="AA781" s="30"/>
      <c r="AB781" s="11"/>
      <c r="AC781" s="32"/>
      <c r="AD781" s="32"/>
      <c r="AE781" s="32"/>
      <c r="AF781" s="32">
        <f t="shared" si="166"/>
        <v>0</v>
      </c>
      <c r="AG781" s="12"/>
      <c r="AH781" s="12"/>
      <c r="AI781" s="12"/>
      <c r="AJ781" s="12">
        <f t="shared" si="167"/>
        <v>0</v>
      </c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1:53" x14ac:dyDescent="0.25">
      <c r="A782" s="18"/>
      <c r="B782" s="10">
        <v>20</v>
      </c>
      <c r="C782" s="30"/>
      <c r="D782" s="31"/>
      <c r="E782" s="32"/>
      <c r="F782" s="32"/>
      <c r="G782" s="32"/>
      <c r="H782" s="32">
        <f t="shared" si="162"/>
        <v>0</v>
      </c>
      <c r="I782" s="12"/>
      <c r="J782" s="12"/>
      <c r="K782" s="12"/>
      <c r="L782" s="12">
        <f t="shared" si="163"/>
        <v>0</v>
      </c>
      <c r="N782" s="10">
        <v>20</v>
      </c>
      <c r="O782" s="30"/>
      <c r="P782" s="80"/>
      <c r="Q782" s="32"/>
      <c r="R782" s="32"/>
      <c r="S782" s="32"/>
      <c r="T782" s="32">
        <f t="shared" si="164"/>
        <v>0</v>
      </c>
      <c r="U782" s="12"/>
      <c r="V782" s="12"/>
      <c r="W782" s="12"/>
      <c r="X782" s="12">
        <f t="shared" si="165"/>
        <v>0</v>
      </c>
      <c r="Z782" s="10">
        <v>20</v>
      </c>
      <c r="AA782" s="30"/>
      <c r="AB782" s="31"/>
      <c r="AC782" s="32"/>
      <c r="AD782" s="32"/>
      <c r="AE782" s="32"/>
      <c r="AF782" s="32">
        <f t="shared" si="166"/>
        <v>0</v>
      </c>
      <c r="AG782" s="12"/>
      <c r="AH782" s="12"/>
      <c r="AI782" s="12"/>
      <c r="AJ782" s="12">
        <f t="shared" si="167"/>
        <v>0</v>
      </c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1:53" x14ac:dyDescent="0.25">
      <c r="A783" s="18"/>
      <c r="B783" s="10">
        <v>21</v>
      </c>
      <c r="C783" s="30"/>
      <c r="D783" s="31"/>
      <c r="E783" s="44"/>
      <c r="F783" s="31"/>
      <c r="G783" s="31"/>
      <c r="H783" s="32">
        <f t="shared" si="162"/>
        <v>0</v>
      </c>
      <c r="I783" s="10"/>
      <c r="J783" s="10"/>
      <c r="K783" s="10"/>
      <c r="L783" s="12">
        <f t="shared" si="163"/>
        <v>0</v>
      </c>
      <c r="N783" s="10">
        <v>21</v>
      </c>
      <c r="O783" s="30"/>
      <c r="P783" s="11"/>
      <c r="Q783" s="44"/>
      <c r="R783" s="31"/>
      <c r="S783" s="31"/>
      <c r="T783" s="32">
        <f t="shared" si="164"/>
        <v>0</v>
      </c>
      <c r="U783" s="10"/>
      <c r="V783" s="10"/>
      <c r="W783" s="10"/>
      <c r="X783" s="12">
        <f t="shared" si="165"/>
        <v>0</v>
      </c>
      <c r="Z783" s="10">
        <v>21</v>
      </c>
      <c r="AA783" s="30"/>
      <c r="AB783" s="11"/>
      <c r="AC783" s="44"/>
      <c r="AD783" s="31"/>
      <c r="AE783" s="31"/>
      <c r="AF783" s="32">
        <f t="shared" si="166"/>
        <v>0</v>
      </c>
      <c r="AG783" s="10"/>
      <c r="AH783" s="10"/>
      <c r="AI783" s="10"/>
      <c r="AJ783" s="12">
        <f t="shared" si="167"/>
        <v>0</v>
      </c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1:53" x14ac:dyDescent="0.25">
      <c r="A784" s="18"/>
      <c r="B784" s="10">
        <v>22</v>
      </c>
      <c r="C784" s="30"/>
      <c r="D784" s="31"/>
      <c r="E784" s="43"/>
      <c r="F784" s="31"/>
      <c r="G784" s="31"/>
      <c r="H784" s="32">
        <f t="shared" si="162"/>
        <v>0</v>
      </c>
      <c r="I784" s="10"/>
      <c r="J784" s="10"/>
      <c r="K784" s="10"/>
      <c r="L784" s="12">
        <f t="shared" si="163"/>
        <v>0</v>
      </c>
      <c r="N784" s="10">
        <v>22</v>
      </c>
      <c r="O784" s="30"/>
      <c r="P784" s="31"/>
      <c r="Q784" s="43"/>
      <c r="R784" s="31"/>
      <c r="S784" s="31"/>
      <c r="T784" s="32">
        <f t="shared" si="164"/>
        <v>0</v>
      </c>
      <c r="U784" s="10"/>
      <c r="V784" s="10"/>
      <c r="W784" s="10"/>
      <c r="X784" s="12">
        <f t="shared" si="165"/>
        <v>0</v>
      </c>
      <c r="Z784" s="10">
        <v>22</v>
      </c>
      <c r="AA784" s="30"/>
      <c r="AB784" s="31"/>
      <c r="AC784" s="43"/>
      <c r="AD784" s="31"/>
      <c r="AE784" s="31"/>
      <c r="AF784" s="32">
        <f t="shared" si="166"/>
        <v>0</v>
      </c>
      <c r="AG784" s="10"/>
      <c r="AH784" s="10"/>
      <c r="AI784" s="10"/>
      <c r="AJ784" s="12">
        <f t="shared" si="167"/>
        <v>0</v>
      </c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1:53" x14ac:dyDescent="0.25">
      <c r="A785" s="18"/>
      <c r="B785" s="10">
        <v>23</v>
      </c>
      <c r="C785" s="30"/>
      <c r="D785" s="31"/>
      <c r="E785" s="45"/>
      <c r="F785" s="31"/>
      <c r="G785"/>
      <c r="H785" s="32">
        <f t="shared" si="162"/>
        <v>0</v>
      </c>
      <c r="I785" s="10"/>
      <c r="J785" s="10"/>
      <c r="K785" s="10"/>
      <c r="L785" s="12">
        <f t="shared" si="163"/>
        <v>0</v>
      </c>
      <c r="N785" s="10">
        <v>23</v>
      </c>
      <c r="O785" s="30"/>
      <c r="P785" s="31"/>
      <c r="Q785" s="45"/>
      <c r="T785" s="32">
        <f t="shared" si="164"/>
        <v>0</v>
      </c>
      <c r="U785" s="10"/>
      <c r="V785" s="10"/>
      <c r="W785" s="10"/>
      <c r="X785" s="12">
        <f t="shared" si="165"/>
        <v>0</v>
      </c>
      <c r="Z785" s="10">
        <v>23</v>
      </c>
      <c r="AA785" s="30"/>
      <c r="AB785" s="31"/>
      <c r="AC785" s="45"/>
      <c r="AD785" s="31"/>
      <c r="AF785" s="32">
        <f t="shared" si="166"/>
        <v>0</v>
      </c>
      <c r="AG785" s="10"/>
      <c r="AH785" s="10"/>
      <c r="AI785" s="10"/>
      <c r="AJ785" s="12">
        <f t="shared" si="167"/>
        <v>0</v>
      </c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1:53" x14ac:dyDescent="0.25">
      <c r="A786" s="18"/>
      <c r="B786" s="10">
        <v>24</v>
      </c>
      <c r="C786" s="30"/>
      <c r="D786" s="31"/>
      <c r="E786" s="45"/>
      <c r="F786" s="31"/>
      <c r="G786" s="31"/>
      <c r="H786" s="32">
        <f t="shared" si="162"/>
        <v>0</v>
      </c>
      <c r="I786" s="10"/>
      <c r="J786" s="10"/>
      <c r="K786" s="10"/>
      <c r="L786" s="12">
        <f t="shared" si="163"/>
        <v>0</v>
      </c>
      <c r="N786" s="10">
        <v>24</v>
      </c>
      <c r="O786" s="30"/>
      <c r="P786" s="31"/>
      <c r="Q786" s="45"/>
      <c r="R786" s="31"/>
      <c r="S786" s="31"/>
      <c r="T786" s="32">
        <f t="shared" si="164"/>
        <v>0</v>
      </c>
      <c r="U786" s="10"/>
      <c r="V786" s="10"/>
      <c r="W786" s="10"/>
      <c r="X786" s="12">
        <f t="shared" si="165"/>
        <v>0</v>
      </c>
      <c r="Z786" s="10">
        <v>24</v>
      </c>
      <c r="AA786" s="30"/>
      <c r="AB786" s="31"/>
      <c r="AC786" s="45"/>
      <c r="AD786" s="31"/>
      <c r="AE786" s="31"/>
      <c r="AF786" s="32">
        <f t="shared" si="166"/>
        <v>0</v>
      </c>
      <c r="AG786" s="10"/>
      <c r="AH786" s="10"/>
      <c r="AI786" s="10"/>
      <c r="AJ786" s="12">
        <f t="shared" si="167"/>
        <v>0</v>
      </c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1:53" x14ac:dyDescent="0.25">
      <c r="A787" s="18"/>
      <c r="B787" s="10">
        <v>25</v>
      </c>
      <c r="C787" s="30"/>
      <c r="D787" s="31"/>
      <c r="E787" s="45"/>
      <c r="F787" s="31"/>
      <c r="G787" s="31"/>
      <c r="H787" s="32">
        <f t="shared" si="162"/>
        <v>0</v>
      </c>
      <c r="I787" s="10"/>
      <c r="J787" s="10"/>
      <c r="K787" s="10"/>
      <c r="L787" s="12">
        <f t="shared" si="163"/>
        <v>0</v>
      </c>
      <c r="N787" s="10">
        <v>25</v>
      </c>
      <c r="O787" s="30"/>
      <c r="P787" s="31"/>
      <c r="Q787" s="45"/>
      <c r="R787" s="31"/>
      <c r="S787" s="31"/>
      <c r="T787" s="32">
        <f t="shared" si="164"/>
        <v>0</v>
      </c>
      <c r="U787" s="10"/>
      <c r="V787" s="10"/>
      <c r="W787" s="10"/>
      <c r="X787" s="12">
        <f t="shared" si="165"/>
        <v>0</v>
      </c>
      <c r="Z787" s="10">
        <v>25</v>
      </c>
      <c r="AA787" s="30"/>
      <c r="AB787" s="31"/>
      <c r="AC787" s="45"/>
      <c r="AD787" s="31"/>
      <c r="AE787" s="31"/>
      <c r="AF787" s="32">
        <f t="shared" si="166"/>
        <v>0</v>
      </c>
      <c r="AG787" s="10"/>
      <c r="AH787" s="10"/>
      <c r="AI787" s="10"/>
      <c r="AJ787" s="12">
        <f t="shared" si="167"/>
        <v>0</v>
      </c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1:53" x14ac:dyDescent="0.25">
      <c r="A788" s="18"/>
      <c r="B788" s="10">
        <v>26</v>
      </c>
      <c r="C788" s="30"/>
      <c r="D788" s="31"/>
      <c r="E788" s="45"/>
      <c r="F788" s="31"/>
      <c r="G788" s="31"/>
      <c r="H788" s="32">
        <f t="shared" si="162"/>
        <v>0</v>
      </c>
      <c r="I788" s="10"/>
      <c r="J788" s="10"/>
      <c r="K788" s="10"/>
      <c r="L788" s="12">
        <f t="shared" si="163"/>
        <v>0</v>
      </c>
      <c r="N788" s="10">
        <v>26</v>
      </c>
      <c r="O788" s="30"/>
      <c r="P788" s="31"/>
      <c r="Q788" s="45"/>
      <c r="R788" s="31"/>
      <c r="S788" s="31"/>
      <c r="T788" s="32">
        <f t="shared" si="164"/>
        <v>0</v>
      </c>
      <c r="U788" s="10"/>
      <c r="V788" s="10"/>
      <c r="W788" s="10"/>
      <c r="X788" s="12">
        <f t="shared" si="165"/>
        <v>0</v>
      </c>
      <c r="Z788" s="10">
        <v>26</v>
      </c>
      <c r="AA788" s="30"/>
      <c r="AB788" s="31"/>
      <c r="AC788" s="45"/>
      <c r="AD788" s="31"/>
      <c r="AE788" s="31"/>
      <c r="AF788" s="32">
        <f t="shared" si="166"/>
        <v>0</v>
      </c>
      <c r="AG788" s="10"/>
      <c r="AH788" s="10"/>
      <c r="AI788" s="10"/>
      <c r="AJ788" s="12">
        <f t="shared" si="167"/>
        <v>0</v>
      </c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1:53" x14ac:dyDescent="0.25">
      <c r="A789" s="18"/>
      <c r="B789" s="10">
        <v>27</v>
      </c>
      <c r="C789" s="30"/>
      <c r="D789" s="31"/>
      <c r="E789" s="45"/>
      <c r="F789" s="31"/>
      <c r="G789" s="31"/>
      <c r="H789" s="32">
        <f t="shared" si="162"/>
        <v>0</v>
      </c>
      <c r="I789" s="10"/>
      <c r="J789" s="10"/>
      <c r="K789" s="10"/>
      <c r="L789" s="12">
        <f t="shared" si="163"/>
        <v>0</v>
      </c>
      <c r="N789" s="10">
        <v>27</v>
      </c>
      <c r="O789" s="30"/>
      <c r="P789" s="31"/>
      <c r="Q789" s="45"/>
      <c r="R789" s="31"/>
      <c r="S789" s="31"/>
      <c r="T789" s="32">
        <f t="shared" si="164"/>
        <v>0</v>
      </c>
      <c r="U789" s="10"/>
      <c r="V789" s="10"/>
      <c r="W789" s="10"/>
      <c r="X789" s="12">
        <f t="shared" si="165"/>
        <v>0</v>
      </c>
      <c r="Z789" s="10">
        <v>27</v>
      </c>
      <c r="AA789" s="30"/>
      <c r="AB789" s="31"/>
      <c r="AC789" s="45"/>
      <c r="AD789" s="31"/>
      <c r="AE789" s="31"/>
      <c r="AF789" s="32">
        <f t="shared" si="166"/>
        <v>0</v>
      </c>
      <c r="AG789" s="10"/>
      <c r="AH789" s="10"/>
      <c r="AI789" s="10"/>
      <c r="AJ789" s="12">
        <f t="shared" si="167"/>
        <v>0</v>
      </c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1:53" x14ac:dyDescent="0.25">
      <c r="A790" s="18"/>
      <c r="B790" s="10">
        <v>28</v>
      </c>
      <c r="C790" s="30"/>
      <c r="D790" s="31"/>
      <c r="E790" s="45"/>
      <c r="F790" s="31"/>
      <c r="G790" s="31"/>
      <c r="H790" s="32">
        <f t="shared" si="162"/>
        <v>0</v>
      </c>
      <c r="I790" s="10"/>
      <c r="J790" s="10"/>
      <c r="K790" s="10"/>
      <c r="L790" s="12">
        <f t="shared" si="163"/>
        <v>0</v>
      </c>
      <c r="N790" s="10">
        <v>28</v>
      </c>
      <c r="O790" s="30"/>
      <c r="P790" s="31"/>
      <c r="Q790" s="45"/>
      <c r="R790" s="31"/>
      <c r="S790" s="31"/>
      <c r="T790" s="32">
        <f t="shared" si="164"/>
        <v>0</v>
      </c>
      <c r="U790" s="10"/>
      <c r="V790" s="10"/>
      <c r="W790" s="10"/>
      <c r="X790" s="12">
        <f t="shared" si="165"/>
        <v>0</v>
      </c>
      <c r="Z790" s="10">
        <v>28</v>
      </c>
      <c r="AA790" s="30"/>
      <c r="AB790" s="31"/>
      <c r="AC790" s="45"/>
      <c r="AD790" s="31"/>
      <c r="AE790" s="31"/>
      <c r="AF790" s="32">
        <f t="shared" si="166"/>
        <v>0</v>
      </c>
      <c r="AG790" s="10"/>
      <c r="AH790" s="10"/>
      <c r="AI790" s="10"/>
      <c r="AJ790" s="12">
        <f t="shared" si="167"/>
        <v>0</v>
      </c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1:53" x14ac:dyDescent="0.25">
      <c r="A791" s="18"/>
      <c r="B791" s="10">
        <v>29</v>
      </c>
      <c r="C791" s="30"/>
      <c r="D791" s="31"/>
      <c r="E791" s="45"/>
      <c r="F791" s="31"/>
      <c r="G791" s="31"/>
      <c r="H791" s="32">
        <f t="shared" si="162"/>
        <v>0</v>
      </c>
      <c r="I791" s="10"/>
      <c r="J791" s="10"/>
      <c r="K791" s="10"/>
      <c r="L791" s="12">
        <f t="shared" si="163"/>
        <v>0</v>
      </c>
      <c r="N791" s="10">
        <v>29</v>
      </c>
      <c r="O791" s="30"/>
      <c r="P791" s="31"/>
      <c r="Q791" s="45"/>
      <c r="R791" s="31"/>
      <c r="S791" s="31"/>
      <c r="T791" s="32">
        <f t="shared" si="164"/>
        <v>0</v>
      </c>
      <c r="U791" s="10"/>
      <c r="V791" s="10"/>
      <c r="W791" s="10"/>
      <c r="X791" s="12">
        <f t="shared" si="165"/>
        <v>0</v>
      </c>
      <c r="Z791" s="10">
        <v>29</v>
      </c>
      <c r="AA791" s="30"/>
      <c r="AB791" s="31"/>
      <c r="AC791" s="45"/>
      <c r="AD791" s="31"/>
      <c r="AE791" s="31"/>
      <c r="AF791" s="32">
        <f t="shared" si="166"/>
        <v>0</v>
      </c>
      <c r="AG791" s="10"/>
      <c r="AH791" s="10"/>
      <c r="AI791" s="10"/>
      <c r="AJ791" s="12">
        <f t="shared" si="167"/>
        <v>0</v>
      </c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1:53" x14ac:dyDescent="0.25">
      <c r="A792" s="18"/>
      <c r="B792" s="10">
        <v>30</v>
      </c>
      <c r="C792" s="30"/>
      <c r="D792" s="31"/>
      <c r="E792" s="45"/>
      <c r="F792" s="31"/>
      <c r="G792" s="31"/>
      <c r="H792" s="32">
        <f t="shared" si="162"/>
        <v>0</v>
      </c>
      <c r="I792" s="10"/>
      <c r="J792" s="10"/>
      <c r="K792" s="10"/>
      <c r="L792" s="12">
        <f t="shared" si="163"/>
        <v>0</v>
      </c>
      <c r="N792" s="10">
        <v>30</v>
      </c>
      <c r="O792" s="30"/>
      <c r="P792" s="31"/>
      <c r="Q792" s="45"/>
      <c r="R792" s="31"/>
      <c r="S792" s="31"/>
      <c r="T792" s="32">
        <f t="shared" si="164"/>
        <v>0</v>
      </c>
      <c r="U792" s="10"/>
      <c r="V792" s="10"/>
      <c r="W792" s="10"/>
      <c r="X792" s="12">
        <f t="shared" si="165"/>
        <v>0</v>
      </c>
      <c r="Z792" s="10">
        <v>30</v>
      </c>
      <c r="AA792" s="30"/>
      <c r="AB792" s="31"/>
      <c r="AC792" s="45"/>
      <c r="AD792" s="31"/>
      <c r="AE792" s="31"/>
      <c r="AF792" s="32">
        <f t="shared" si="166"/>
        <v>0</v>
      </c>
      <c r="AG792" s="10"/>
      <c r="AH792" s="10"/>
      <c r="AI792" s="10"/>
      <c r="AJ792" s="12">
        <f t="shared" si="167"/>
        <v>0</v>
      </c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1:53" x14ac:dyDescent="0.25">
      <c r="A793" s="18"/>
      <c r="B793" s="10">
        <v>31</v>
      </c>
      <c r="C793" s="30"/>
      <c r="D793" s="31"/>
      <c r="E793" s="45"/>
      <c r="F793" s="31"/>
      <c r="G793" s="31"/>
      <c r="H793" s="32">
        <f t="shared" si="162"/>
        <v>0</v>
      </c>
      <c r="I793" s="10"/>
      <c r="J793" s="10"/>
      <c r="K793" s="10"/>
      <c r="L793" s="12">
        <f t="shared" si="163"/>
        <v>0</v>
      </c>
      <c r="N793" s="10">
        <v>31</v>
      </c>
      <c r="O793" s="30"/>
      <c r="P793" s="31"/>
      <c r="Q793" s="45"/>
      <c r="R793" s="31"/>
      <c r="S793" s="31"/>
      <c r="T793" s="32">
        <f t="shared" si="164"/>
        <v>0</v>
      </c>
      <c r="U793" s="10"/>
      <c r="V793" s="10"/>
      <c r="W793" s="10"/>
      <c r="X793" s="12">
        <f t="shared" si="165"/>
        <v>0</v>
      </c>
      <c r="Z793" s="10">
        <v>31</v>
      </c>
      <c r="AA793" s="30"/>
      <c r="AB793" s="31"/>
      <c r="AC793" s="45"/>
      <c r="AD793" s="31"/>
      <c r="AE793" s="31"/>
      <c r="AF793" s="32">
        <f t="shared" si="166"/>
        <v>0</v>
      </c>
      <c r="AG793" s="10"/>
      <c r="AH793" s="10"/>
      <c r="AI793" s="10"/>
      <c r="AJ793" s="12">
        <f t="shared" si="167"/>
        <v>0</v>
      </c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1:53" x14ac:dyDescent="0.25">
      <c r="A794" s="18"/>
      <c r="B794" s="10">
        <v>32</v>
      </c>
      <c r="C794" s="30"/>
      <c r="D794" s="31"/>
      <c r="E794" s="45"/>
      <c r="F794" s="31"/>
      <c r="G794" s="31"/>
      <c r="H794" s="32">
        <f t="shared" si="162"/>
        <v>0</v>
      </c>
      <c r="I794" s="10"/>
      <c r="J794" s="10"/>
      <c r="K794" s="10"/>
      <c r="L794" s="12">
        <f t="shared" si="163"/>
        <v>0</v>
      </c>
      <c r="N794" s="10">
        <v>32</v>
      </c>
      <c r="O794" s="30"/>
      <c r="P794" s="31"/>
      <c r="Q794" s="45"/>
      <c r="R794" s="31"/>
      <c r="S794" s="31"/>
      <c r="T794" s="32">
        <f t="shared" si="164"/>
        <v>0</v>
      </c>
      <c r="U794" s="10"/>
      <c r="V794" s="10"/>
      <c r="W794" s="10"/>
      <c r="X794" s="12">
        <f t="shared" si="165"/>
        <v>0</v>
      </c>
      <c r="Z794" s="10">
        <v>32</v>
      </c>
      <c r="AA794" s="30"/>
      <c r="AB794" s="31"/>
      <c r="AC794" s="45"/>
      <c r="AD794" s="31"/>
      <c r="AE794" s="31"/>
      <c r="AF794" s="32">
        <f t="shared" si="166"/>
        <v>0</v>
      </c>
      <c r="AG794" s="10"/>
      <c r="AH794" s="10"/>
      <c r="AI794" s="10"/>
      <c r="AJ794" s="12">
        <f t="shared" si="167"/>
        <v>0</v>
      </c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1:53" x14ac:dyDescent="0.25">
      <c r="A795" s="18"/>
      <c r="B795" s="10">
        <v>33</v>
      </c>
      <c r="C795" s="30"/>
      <c r="D795" s="31"/>
      <c r="E795" s="45"/>
      <c r="F795" s="31"/>
      <c r="G795" s="31"/>
      <c r="H795" s="32">
        <f t="shared" si="162"/>
        <v>0</v>
      </c>
      <c r="I795" s="10"/>
      <c r="J795" s="10"/>
      <c r="K795" s="10"/>
      <c r="L795" s="12">
        <f t="shared" si="163"/>
        <v>0</v>
      </c>
      <c r="N795" s="10">
        <v>33</v>
      </c>
      <c r="O795" s="30"/>
      <c r="P795" s="31"/>
      <c r="Q795" s="45"/>
      <c r="R795" s="31"/>
      <c r="S795" s="31"/>
      <c r="T795" s="32">
        <f t="shared" si="164"/>
        <v>0</v>
      </c>
      <c r="U795" s="10"/>
      <c r="V795" s="10"/>
      <c r="W795" s="10"/>
      <c r="X795" s="12">
        <f t="shared" si="165"/>
        <v>0</v>
      </c>
      <c r="Z795" s="10">
        <v>33</v>
      </c>
      <c r="AA795" s="30"/>
      <c r="AB795" s="31"/>
      <c r="AC795" s="45"/>
      <c r="AD795" s="31"/>
      <c r="AE795" s="31"/>
      <c r="AF795" s="32">
        <f t="shared" si="166"/>
        <v>0</v>
      </c>
      <c r="AG795" s="10"/>
      <c r="AH795" s="10"/>
      <c r="AI795" s="10"/>
      <c r="AJ795" s="12">
        <f t="shared" si="167"/>
        <v>0</v>
      </c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1:53" x14ac:dyDescent="0.25">
      <c r="A796" s="18"/>
      <c r="B796" s="10">
        <v>34</v>
      </c>
      <c r="C796" s="30"/>
      <c r="D796" s="31"/>
      <c r="E796" s="45"/>
      <c r="F796" s="31"/>
      <c r="G796" s="31"/>
      <c r="H796" s="32">
        <f t="shared" si="162"/>
        <v>0</v>
      </c>
      <c r="I796" s="10"/>
      <c r="J796" s="10"/>
      <c r="K796" s="10"/>
      <c r="L796" s="12">
        <f t="shared" si="163"/>
        <v>0</v>
      </c>
      <c r="N796" s="10">
        <v>34</v>
      </c>
      <c r="O796" s="30"/>
      <c r="P796" s="31"/>
      <c r="Q796" s="45"/>
      <c r="R796" s="31"/>
      <c r="S796" s="31"/>
      <c r="T796" s="32">
        <f t="shared" si="164"/>
        <v>0</v>
      </c>
      <c r="U796" s="10"/>
      <c r="V796" s="10"/>
      <c r="W796" s="10"/>
      <c r="X796" s="12">
        <f t="shared" si="165"/>
        <v>0</v>
      </c>
      <c r="Z796" s="10">
        <v>34</v>
      </c>
      <c r="AA796" s="30"/>
      <c r="AB796" s="31"/>
      <c r="AC796" s="45"/>
      <c r="AD796" s="31"/>
      <c r="AE796" s="31"/>
      <c r="AF796" s="32">
        <f t="shared" si="166"/>
        <v>0</v>
      </c>
      <c r="AG796" s="10"/>
      <c r="AH796" s="10"/>
      <c r="AI796" s="10"/>
      <c r="AJ796" s="12">
        <f t="shared" si="167"/>
        <v>0</v>
      </c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1:53" x14ac:dyDescent="0.25">
      <c r="A797" s="18"/>
      <c r="B797" s="10">
        <v>35</v>
      </c>
      <c r="C797" s="30"/>
      <c r="D797" s="31"/>
      <c r="E797" s="45"/>
      <c r="F797" s="31"/>
      <c r="G797" s="31"/>
      <c r="H797" s="32">
        <f t="shared" si="162"/>
        <v>0</v>
      </c>
      <c r="I797" s="10"/>
      <c r="J797" s="10"/>
      <c r="K797" s="10"/>
      <c r="L797" s="12">
        <f t="shared" si="163"/>
        <v>0</v>
      </c>
      <c r="N797" s="10">
        <v>35</v>
      </c>
      <c r="O797" s="30"/>
      <c r="P797" s="31"/>
      <c r="Q797" s="45"/>
      <c r="R797" s="31"/>
      <c r="S797" s="31"/>
      <c r="T797" s="32">
        <f t="shared" si="164"/>
        <v>0</v>
      </c>
      <c r="U797" s="10"/>
      <c r="V797" s="10"/>
      <c r="W797" s="10"/>
      <c r="X797" s="12">
        <f t="shared" si="165"/>
        <v>0</v>
      </c>
      <c r="Z797" s="10">
        <v>35</v>
      </c>
      <c r="AA797" s="30"/>
      <c r="AB797" s="31"/>
      <c r="AC797" s="45"/>
      <c r="AD797" s="31"/>
      <c r="AE797" s="31"/>
      <c r="AF797" s="32">
        <f t="shared" si="166"/>
        <v>0</v>
      </c>
      <c r="AG797" s="10"/>
      <c r="AH797" s="10"/>
      <c r="AI797" s="10"/>
      <c r="AJ797" s="12">
        <f t="shared" si="167"/>
        <v>0</v>
      </c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1:53" x14ac:dyDescent="0.25">
      <c r="A798" s="18"/>
      <c r="B798" s="10">
        <v>36</v>
      </c>
      <c r="C798" s="30"/>
      <c r="D798" s="31"/>
      <c r="E798" s="45"/>
      <c r="F798" s="31"/>
      <c r="G798" s="31"/>
      <c r="H798" s="32">
        <f t="shared" si="162"/>
        <v>0</v>
      </c>
      <c r="I798" s="10"/>
      <c r="J798" s="10"/>
      <c r="K798" s="10"/>
      <c r="L798" s="12">
        <f t="shared" si="163"/>
        <v>0</v>
      </c>
      <c r="N798" s="10">
        <v>36</v>
      </c>
      <c r="O798" s="30"/>
      <c r="P798" s="31"/>
      <c r="Q798" s="45"/>
      <c r="R798" s="31"/>
      <c r="S798" s="31"/>
      <c r="T798" s="32">
        <f t="shared" si="164"/>
        <v>0</v>
      </c>
      <c r="U798" s="10"/>
      <c r="V798" s="10"/>
      <c r="W798" s="10"/>
      <c r="X798" s="12">
        <f t="shared" si="165"/>
        <v>0</v>
      </c>
      <c r="Z798" s="10">
        <v>36</v>
      </c>
      <c r="AA798" s="30"/>
      <c r="AB798" s="31"/>
      <c r="AC798" s="45"/>
      <c r="AD798" s="31"/>
      <c r="AE798" s="31"/>
      <c r="AF798" s="32">
        <f t="shared" si="166"/>
        <v>0</v>
      </c>
      <c r="AG798" s="10"/>
      <c r="AH798" s="10"/>
      <c r="AI798" s="10"/>
      <c r="AJ798" s="12">
        <f t="shared" si="167"/>
        <v>0</v>
      </c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1:53" x14ac:dyDescent="0.25">
      <c r="A799" s="18"/>
      <c r="B799" s="10">
        <v>37</v>
      </c>
      <c r="C799" s="30"/>
      <c r="D799"/>
      <c r="E799" s="45"/>
      <c r="F799" s="31"/>
      <c r="G799" s="31"/>
      <c r="H799" s="32">
        <f t="shared" si="162"/>
        <v>0</v>
      </c>
      <c r="I799" s="10"/>
      <c r="J799" s="10"/>
      <c r="K799" s="10"/>
      <c r="L799" s="12">
        <f t="shared" si="163"/>
        <v>0</v>
      </c>
      <c r="N799" s="10">
        <v>37</v>
      </c>
      <c r="O799" s="30"/>
      <c r="Q799" s="45"/>
      <c r="R799" s="31"/>
      <c r="S799" s="31"/>
      <c r="T799" s="32">
        <f t="shared" si="164"/>
        <v>0</v>
      </c>
      <c r="U799" s="10"/>
      <c r="V799" s="10"/>
      <c r="W799" s="10"/>
      <c r="X799" s="12">
        <f t="shared" si="165"/>
        <v>0</v>
      </c>
      <c r="Z799" s="10">
        <v>37</v>
      </c>
      <c r="AA799" s="30"/>
      <c r="AB799" s="31"/>
      <c r="AC799" s="45"/>
      <c r="AD799" s="31"/>
      <c r="AE799" s="31"/>
      <c r="AF799" s="32">
        <f t="shared" si="166"/>
        <v>0</v>
      </c>
      <c r="AG799" s="10"/>
      <c r="AH799" s="10"/>
      <c r="AI799" s="10"/>
      <c r="AJ799" s="12">
        <f t="shared" si="167"/>
        <v>0</v>
      </c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1:53" x14ac:dyDescent="0.25">
      <c r="A800" s="18"/>
      <c r="B800" s="10">
        <v>38</v>
      </c>
      <c r="C800" s="30"/>
      <c r="D800" s="31"/>
      <c r="E800" s="45"/>
      <c r="F800" s="31"/>
      <c r="G800" s="31"/>
      <c r="H800" s="32">
        <f t="shared" si="162"/>
        <v>0</v>
      </c>
      <c r="I800" s="10"/>
      <c r="J800" s="10"/>
      <c r="K800" s="10"/>
      <c r="L800" s="12">
        <f t="shared" si="163"/>
        <v>0</v>
      </c>
      <c r="N800" s="10">
        <v>38</v>
      </c>
      <c r="O800" s="30"/>
      <c r="P800" s="31"/>
      <c r="Q800" s="45"/>
      <c r="R800" s="31"/>
      <c r="S800" s="31"/>
      <c r="T800" s="32">
        <f t="shared" si="164"/>
        <v>0</v>
      </c>
      <c r="U800" s="10"/>
      <c r="V800" s="10"/>
      <c r="W800" s="10"/>
      <c r="X800" s="12">
        <f t="shared" si="165"/>
        <v>0</v>
      </c>
      <c r="Z800" s="10">
        <v>38</v>
      </c>
      <c r="AA800" s="30"/>
      <c r="AB800" s="31"/>
      <c r="AC800" s="45"/>
      <c r="AD800" s="31"/>
      <c r="AE800" s="31"/>
      <c r="AF800" s="32">
        <f t="shared" si="166"/>
        <v>0</v>
      </c>
      <c r="AG800" s="10"/>
      <c r="AH800" s="10"/>
      <c r="AI800" s="10"/>
      <c r="AJ800" s="12">
        <f t="shared" si="167"/>
        <v>0</v>
      </c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1:53" x14ac:dyDescent="0.25">
      <c r="A801" s="18"/>
      <c r="B801" s="10">
        <v>39</v>
      </c>
      <c r="C801" s="30"/>
      <c r="D801" s="31"/>
      <c r="E801" s="45"/>
      <c r="F801" s="31"/>
      <c r="G801" s="31"/>
      <c r="H801" s="32">
        <f t="shared" si="162"/>
        <v>0</v>
      </c>
      <c r="I801" s="10"/>
      <c r="J801" s="10"/>
      <c r="K801" s="10"/>
      <c r="L801" s="12">
        <f t="shared" si="163"/>
        <v>0</v>
      </c>
      <c r="N801" s="10">
        <v>39</v>
      </c>
      <c r="O801" s="30"/>
      <c r="P801" s="31"/>
      <c r="Q801" s="45"/>
      <c r="R801" s="31"/>
      <c r="S801" s="31"/>
      <c r="T801" s="32">
        <f t="shared" si="164"/>
        <v>0</v>
      </c>
      <c r="U801" s="10"/>
      <c r="V801" s="10"/>
      <c r="W801" s="10"/>
      <c r="X801" s="12">
        <f t="shared" si="165"/>
        <v>0</v>
      </c>
      <c r="Z801" s="10">
        <v>39</v>
      </c>
      <c r="AA801" s="30"/>
      <c r="AB801" s="31"/>
      <c r="AC801" s="45"/>
      <c r="AD801" s="31"/>
      <c r="AE801" s="31"/>
      <c r="AF801" s="32">
        <f t="shared" si="166"/>
        <v>0</v>
      </c>
      <c r="AG801" s="10"/>
      <c r="AH801" s="10"/>
      <c r="AI801" s="10"/>
      <c r="AJ801" s="12">
        <f t="shared" si="167"/>
        <v>0</v>
      </c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1:53" x14ac:dyDescent="0.25">
      <c r="A802" s="18"/>
      <c r="B802" s="10"/>
      <c r="C802" s="30"/>
      <c r="D802"/>
      <c r="E802" s="45"/>
      <c r="F802" s="31"/>
      <c r="G802" s="31"/>
      <c r="H802" s="32"/>
      <c r="I802" s="10"/>
      <c r="J802" s="10"/>
      <c r="K802" s="10"/>
      <c r="L802" s="12">
        <f t="shared" si="163"/>
        <v>0</v>
      </c>
      <c r="N802" s="10"/>
      <c r="O802" s="30"/>
      <c r="Q802" s="45"/>
      <c r="R802" s="31"/>
      <c r="S802" s="31"/>
      <c r="T802" s="32"/>
      <c r="U802" s="10"/>
      <c r="V802" s="10"/>
      <c r="W802" s="10"/>
      <c r="X802" s="12">
        <f t="shared" si="165"/>
        <v>0</v>
      </c>
      <c r="Z802" s="10"/>
      <c r="AA802" s="30"/>
      <c r="AC802" s="45"/>
      <c r="AD802" s="31"/>
      <c r="AE802" s="31"/>
      <c r="AF802" s="32"/>
      <c r="AG802" s="10"/>
      <c r="AH802" s="10"/>
      <c r="AI802" s="10"/>
      <c r="AJ802" s="12">
        <f t="shared" si="167"/>
        <v>0</v>
      </c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1:53" x14ac:dyDescent="0.25">
      <c r="A803" s="18"/>
      <c r="B803" s="10"/>
      <c r="C803" s="30"/>
      <c r="D803" s="31"/>
      <c r="E803" s="45"/>
      <c r="F803" s="31"/>
      <c r="G803" s="31"/>
      <c r="H803" s="32">
        <f t="shared" ref="H803" si="171">SUM(E803:F803)</f>
        <v>0</v>
      </c>
      <c r="I803" s="10"/>
      <c r="J803" s="10"/>
      <c r="K803" s="10"/>
      <c r="L803" s="12">
        <f t="shared" si="163"/>
        <v>0</v>
      </c>
      <c r="N803" s="10"/>
      <c r="O803" s="30"/>
      <c r="P803" s="31"/>
      <c r="Q803" s="45"/>
      <c r="R803" s="31"/>
      <c r="S803" s="31"/>
      <c r="T803" s="32">
        <f t="shared" ref="T803" si="172">SUM(Q803:R803)</f>
        <v>0</v>
      </c>
      <c r="U803" s="10"/>
      <c r="V803" s="10"/>
      <c r="W803" s="10"/>
      <c r="X803" s="12">
        <f t="shared" si="165"/>
        <v>0</v>
      </c>
      <c r="Z803" s="10"/>
      <c r="AA803" s="30"/>
      <c r="AB803" s="31"/>
      <c r="AC803" s="45"/>
      <c r="AD803" s="31"/>
      <c r="AE803" s="31"/>
      <c r="AF803" s="32">
        <f t="shared" ref="AF803" si="173">SUM(AC803:AD803)</f>
        <v>0</v>
      </c>
      <c r="AG803" s="10"/>
      <c r="AH803" s="10"/>
      <c r="AI803" s="10"/>
      <c r="AJ803" s="12">
        <f t="shared" si="167"/>
        <v>0</v>
      </c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1:53" x14ac:dyDescent="0.25">
      <c r="A804" s="18"/>
      <c r="B804" s="10"/>
      <c r="C804" s="31"/>
      <c r="D804" s="31"/>
      <c r="E804" s="31"/>
      <c r="F804" s="31"/>
      <c r="G804" s="31"/>
      <c r="H804" s="31"/>
      <c r="I804" s="10"/>
      <c r="J804" s="10"/>
      <c r="K804" s="10"/>
      <c r="L804" s="12">
        <f t="shared" si="163"/>
        <v>0</v>
      </c>
      <c r="N804" s="10"/>
      <c r="O804" s="31"/>
      <c r="P804" s="31"/>
      <c r="Q804" s="31"/>
      <c r="R804" s="31"/>
      <c r="S804" s="31"/>
      <c r="T804" s="31"/>
      <c r="U804" s="10"/>
      <c r="V804" s="10"/>
      <c r="W804" s="10"/>
      <c r="X804" s="12">
        <f t="shared" si="165"/>
        <v>0</v>
      </c>
      <c r="Z804" s="10"/>
      <c r="AA804" s="31"/>
      <c r="AB804" s="31"/>
      <c r="AC804" s="31"/>
      <c r="AD804" s="31"/>
      <c r="AE804" s="31"/>
      <c r="AF804" s="31"/>
      <c r="AG804" s="10"/>
      <c r="AH804" s="10"/>
      <c r="AI804" s="10"/>
      <c r="AJ804" s="12">
        <f t="shared" si="167"/>
        <v>0</v>
      </c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1:53" x14ac:dyDescent="0.25">
      <c r="A805" s="18"/>
      <c r="C805" s="55"/>
      <c r="D805" s="55"/>
      <c r="E805" s="36"/>
      <c r="F805" s="36"/>
      <c r="G805" s="36"/>
      <c r="H805" s="36"/>
      <c r="I805" s="37"/>
      <c r="J805" s="37"/>
      <c r="K805" s="37"/>
      <c r="L805" s="37"/>
      <c r="O805" s="55"/>
      <c r="P805" s="55"/>
      <c r="Q805" s="36"/>
      <c r="R805" s="36"/>
      <c r="S805" s="36"/>
      <c r="T805" s="36"/>
      <c r="U805" s="37"/>
      <c r="V805" s="37"/>
      <c r="W805" s="37"/>
      <c r="X805" s="37"/>
      <c r="AA805" s="55"/>
      <c r="AB805" s="55"/>
      <c r="AC805" s="36"/>
      <c r="AD805" s="36"/>
      <c r="AE805" s="36"/>
      <c r="AF805" s="36"/>
      <c r="AG805" s="37"/>
      <c r="AH805" s="37"/>
      <c r="AI805" s="37"/>
      <c r="AJ805" s="37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1:53" x14ac:dyDescent="0.25">
      <c r="A806" s="18"/>
      <c r="C806" s="55"/>
      <c r="D806" s="55"/>
      <c r="E806" s="38">
        <f>SUM(E763:E805)</f>
        <v>447930</v>
      </c>
      <c r="F806" s="38">
        <f>SUM(F763:F787)</f>
        <v>-3312</v>
      </c>
      <c r="G806" s="38">
        <f>SUM(G763:G787)</f>
        <v>0</v>
      </c>
      <c r="H806" s="38">
        <f>SUM(H763:H805)</f>
        <v>444618</v>
      </c>
      <c r="I806" s="4"/>
      <c r="J806" s="39">
        <f>SUM(J763:J805)</f>
        <v>777</v>
      </c>
      <c r="K806" s="39">
        <f>SUM(K763:K787)</f>
        <v>0</v>
      </c>
      <c r="L806" s="40">
        <f>SUM(L763:L805)</f>
        <v>445395</v>
      </c>
      <c r="O806" s="55"/>
      <c r="P806" s="55"/>
      <c r="Q806" s="38">
        <f>SUM(Q763:Q805)</f>
        <v>193199</v>
      </c>
      <c r="R806" s="38">
        <f>SUM(R763:R787)</f>
        <v>-1116</v>
      </c>
      <c r="S806" s="38">
        <f>SUM(S763:S787)</f>
        <v>0</v>
      </c>
      <c r="T806" s="38">
        <f>SUM(T763:T805)</f>
        <v>192083</v>
      </c>
      <c r="U806" s="4"/>
      <c r="V806" s="39">
        <f>SUM(V763:V805)</f>
        <v>364.5</v>
      </c>
      <c r="W806" s="39">
        <f>SUM(W763:W787)</f>
        <v>-1554</v>
      </c>
      <c r="X806" s="40">
        <f>SUM(X763:X805)</f>
        <v>190893.5</v>
      </c>
      <c r="AA806" s="55"/>
      <c r="AB806" s="55"/>
      <c r="AC806" s="38">
        <f>SUM(AC763:AC805)</f>
        <v>204426</v>
      </c>
      <c r="AD806" s="38">
        <f>SUM(AD763:AD787)</f>
        <v>0</v>
      </c>
      <c r="AE806" s="38">
        <f>SUM(AE763:AE787)</f>
        <v>0</v>
      </c>
      <c r="AF806" s="38">
        <f>SUM(AF763:AF805)</f>
        <v>204426</v>
      </c>
      <c r="AG806" s="4"/>
      <c r="AH806" s="39">
        <f>SUM(AH763:AH805)</f>
        <v>13.5</v>
      </c>
      <c r="AI806" s="39">
        <f>SUM(AI763:AI787)</f>
        <v>-555</v>
      </c>
      <c r="AJ806" s="40">
        <f>SUM(AJ763:AJ805)</f>
        <v>203884.5</v>
      </c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1:5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1:53" x14ac:dyDescent="0.25">
      <c r="A808" s="18"/>
      <c r="B808" t="s">
        <v>0</v>
      </c>
      <c r="C808" s="55"/>
      <c r="D808" s="55"/>
      <c r="E808" s="55"/>
      <c r="F808" s="55"/>
      <c r="H808" s="55"/>
      <c r="N808" t="s">
        <v>0</v>
      </c>
      <c r="O808" s="55"/>
      <c r="P808" s="55"/>
      <c r="Q808" s="55"/>
      <c r="R808" s="55"/>
      <c r="S808" s="55"/>
      <c r="T808" s="55"/>
      <c r="Z808" t="s">
        <v>0</v>
      </c>
      <c r="AA808" s="55"/>
      <c r="AB808" s="55"/>
      <c r="AC808" s="55"/>
      <c r="AD808" s="55"/>
      <c r="AE808" s="55"/>
      <c r="AF808" s="55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1:53" x14ac:dyDescent="0.25">
      <c r="A809" s="18"/>
      <c r="B809" t="s">
        <v>28</v>
      </c>
      <c r="C809" s="55"/>
      <c r="D809" s="55"/>
      <c r="E809" s="55"/>
      <c r="F809" s="55"/>
      <c r="H809" s="55"/>
      <c r="N809" t="s">
        <v>28</v>
      </c>
      <c r="O809" s="55"/>
      <c r="P809" s="55"/>
      <c r="Q809" s="55"/>
      <c r="R809" s="55"/>
      <c r="S809" s="55"/>
      <c r="T809" s="55"/>
      <c r="Z809" t="s">
        <v>28</v>
      </c>
      <c r="AA809" s="55"/>
      <c r="AB809" s="55"/>
      <c r="AC809" s="55"/>
      <c r="AD809" s="55"/>
      <c r="AE809" s="55"/>
      <c r="AF809" s="55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1:53" x14ac:dyDescent="0.25">
      <c r="A810" s="18"/>
      <c r="C810" s="55"/>
      <c r="D810" s="55"/>
      <c r="E810" s="55"/>
      <c r="F810" s="55"/>
      <c r="H810" s="55"/>
      <c r="O810" s="55"/>
      <c r="P810" s="55"/>
      <c r="Q810" s="55"/>
      <c r="R810" s="55"/>
      <c r="S810" s="55"/>
      <c r="T810" s="55"/>
      <c r="AA810" s="55"/>
      <c r="AB810" s="55"/>
      <c r="AC810" s="55"/>
      <c r="AD810" s="55"/>
      <c r="AE810" s="55"/>
      <c r="AF810" s="55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1:53" x14ac:dyDescent="0.25">
      <c r="A811" s="18"/>
      <c r="B811" s="4" t="s">
        <v>14</v>
      </c>
      <c r="C811" s="55"/>
      <c r="D811" s="55"/>
      <c r="E811" s="55"/>
      <c r="F811" s="55"/>
      <c r="H811" s="55"/>
      <c r="N811" s="4" t="s">
        <v>14</v>
      </c>
      <c r="O811" s="55"/>
      <c r="P811" s="55"/>
      <c r="Q811" s="55"/>
      <c r="R811" s="55"/>
      <c r="S811" s="55"/>
      <c r="T811" s="55"/>
      <c r="Z811" s="4" t="s">
        <v>14</v>
      </c>
      <c r="AA811" s="55"/>
      <c r="AB811" s="55"/>
      <c r="AC811" s="55"/>
      <c r="AD811" s="55"/>
      <c r="AE811" s="55"/>
      <c r="AF811" s="55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1:53" x14ac:dyDescent="0.25">
      <c r="A812" s="18"/>
      <c r="C812" s="55"/>
      <c r="D812" s="55"/>
      <c r="E812" s="55"/>
      <c r="F812" s="55"/>
      <c r="H812" s="55"/>
      <c r="O812" s="55"/>
      <c r="P812" s="55"/>
      <c r="Q812" s="55"/>
      <c r="R812" s="55"/>
      <c r="S812" s="55"/>
      <c r="T812" s="55"/>
      <c r="AA812" s="55"/>
      <c r="AB812" s="55"/>
      <c r="AC812" s="55"/>
      <c r="AD812" s="55"/>
      <c r="AE812" s="55"/>
      <c r="AF812" s="55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1:53" ht="15.75" x14ac:dyDescent="0.25">
      <c r="A813" s="18"/>
      <c r="B813" t="s">
        <v>47</v>
      </c>
      <c r="C813" s="55"/>
      <c r="D813" s="55"/>
      <c r="E813" s="55"/>
      <c r="F813" s="55"/>
      <c r="H813" s="55"/>
      <c r="J813" s="55" t="s">
        <v>15</v>
      </c>
      <c r="K813" s="19">
        <v>1</v>
      </c>
      <c r="N813" t="s">
        <v>47</v>
      </c>
      <c r="O813" s="55"/>
      <c r="P813" s="55"/>
      <c r="Q813" s="55"/>
      <c r="R813" s="55"/>
      <c r="S813" s="55"/>
      <c r="T813" s="55"/>
      <c r="V813" s="55" t="s">
        <v>15</v>
      </c>
      <c r="W813" s="19">
        <v>2</v>
      </c>
      <c r="Z813" t="s">
        <v>47</v>
      </c>
      <c r="AA813" s="55"/>
      <c r="AB813" s="55"/>
      <c r="AC813" s="55"/>
      <c r="AD813" s="55"/>
      <c r="AE813" s="55"/>
      <c r="AF813" s="55"/>
      <c r="AH813" s="55" t="s">
        <v>15</v>
      </c>
      <c r="AI813" s="20">
        <v>3</v>
      </c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1:53" x14ac:dyDescent="0.25">
      <c r="A814" s="18"/>
      <c r="B814" s="21" t="s">
        <v>80</v>
      </c>
      <c r="C814" s="20"/>
      <c r="D814" s="55"/>
      <c r="E814" s="55"/>
      <c r="F814" s="55"/>
      <c r="H814" s="55"/>
      <c r="J814" s="22" t="s">
        <v>16</v>
      </c>
      <c r="K814" s="23" t="s">
        <v>35</v>
      </c>
      <c r="L814" s="24"/>
      <c r="N814" s="21" t="s">
        <v>80</v>
      </c>
      <c r="O814" s="20"/>
      <c r="P814" s="55"/>
      <c r="Q814" s="55"/>
      <c r="R814" s="55"/>
      <c r="S814" s="55"/>
      <c r="T814" s="55"/>
      <c r="V814" s="22" t="s">
        <v>16</v>
      </c>
      <c r="W814" s="23" t="s">
        <v>82</v>
      </c>
      <c r="X814" s="24"/>
      <c r="Z814" s="21" t="s">
        <v>80</v>
      </c>
      <c r="AA814" s="20"/>
      <c r="AB814" s="55"/>
      <c r="AC814" s="55"/>
      <c r="AD814" s="55"/>
      <c r="AE814" s="55"/>
      <c r="AF814" s="55"/>
      <c r="AH814" s="22" t="s">
        <v>16</v>
      </c>
      <c r="AI814" s="23" t="s">
        <v>41</v>
      </c>
      <c r="AJ814" s="24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1:53" x14ac:dyDescent="0.25">
      <c r="A815" s="18"/>
      <c r="C815" s="55"/>
      <c r="D815" s="55"/>
      <c r="E815" s="55"/>
      <c r="F815" s="55"/>
      <c r="H815" s="55"/>
      <c r="O815" s="55"/>
      <c r="P815" s="55"/>
      <c r="Q815" s="55"/>
      <c r="R815" s="55"/>
      <c r="S815" s="55"/>
      <c r="T815" s="55"/>
      <c r="AA815" s="55"/>
      <c r="AB815" s="55"/>
      <c r="AC815" s="55"/>
      <c r="AD815" s="55"/>
      <c r="AE815" s="55"/>
      <c r="AF815" s="55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1:53" x14ac:dyDescent="0.25">
      <c r="A816" s="18"/>
      <c r="C816" s="25"/>
      <c r="D816" s="26"/>
      <c r="E816" s="118" t="s">
        <v>17</v>
      </c>
      <c r="F816" s="118"/>
      <c r="G816" s="107"/>
      <c r="H816" s="27"/>
      <c r="J816" s="119" t="s">
        <v>18</v>
      </c>
      <c r="K816" s="120"/>
      <c r="L816" s="121" t="s">
        <v>19</v>
      </c>
      <c r="O816" s="25"/>
      <c r="P816" s="26"/>
      <c r="Q816" s="118" t="s">
        <v>17</v>
      </c>
      <c r="R816" s="118"/>
      <c r="S816" s="107"/>
      <c r="T816" s="27"/>
      <c r="V816" s="119" t="s">
        <v>18</v>
      </c>
      <c r="W816" s="120"/>
      <c r="X816" s="121" t="s">
        <v>19</v>
      </c>
      <c r="AA816" s="25"/>
      <c r="AB816" s="26"/>
      <c r="AC816" s="118" t="s">
        <v>17</v>
      </c>
      <c r="AD816" s="118"/>
      <c r="AE816" s="107"/>
      <c r="AF816" s="27"/>
      <c r="AH816" s="119" t="s">
        <v>18</v>
      </c>
      <c r="AI816" s="120"/>
      <c r="AJ816" s="121" t="s">
        <v>19</v>
      </c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1:53" ht="30" x14ac:dyDescent="0.25">
      <c r="A817" s="18"/>
      <c r="C817" s="28" t="s">
        <v>20</v>
      </c>
      <c r="D817" s="28" t="s">
        <v>21</v>
      </c>
      <c r="E817" s="74" t="s">
        <v>22</v>
      </c>
      <c r="F817" s="75" t="s">
        <v>23</v>
      </c>
      <c r="G817" s="75" t="s">
        <v>31</v>
      </c>
      <c r="H817" s="75" t="s">
        <v>24</v>
      </c>
      <c r="J817" s="29" t="s">
        <v>25</v>
      </c>
      <c r="K817" s="29" t="s">
        <v>26</v>
      </c>
      <c r="L817" s="122"/>
      <c r="O817" s="28" t="s">
        <v>20</v>
      </c>
      <c r="P817" s="28" t="s">
        <v>21</v>
      </c>
      <c r="Q817" s="74" t="s">
        <v>22</v>
      </c>
      <c r="R817" s="75" t="s">
        <v>23</v>
      </c>
      <c r="S817" s="75" t="s">
        <v>31</v>
      </c>
      <c r="T817" s="75" t="s">
        <v>24</v>
      </c>
      <c r="V817" s="29" t="s">
        <v>25</v>
      </c>
      <c r="W817" s="29" t="s">
        <v>26</v>
      </c>
      <c r="X817" s="122"/>
      <c r="AA817" s="28" t="s">
        <v>20</v>
      </c>
      <c r="AB817" s="28" t="s">
        <v>21</v>
      </c>
      <c r="AC817" s="74" t="s">
        <v>22</v>
      </c>
      <c r="AD817" s="75" t="s">
        <v>23</v>
      </c>
      <c r="AE817" s="75" t="s">
        <v>31</v>
      </c>
      <c r="AF817" s="75" t="s">
        <v>24</v>
      </c>
      <c r="AH817" s="29" t="s">
        <v>25</v>
      </c>
      <c r="AI817" s="29" t="s">
        <v>26</v>
      </c>
      <c r="AJ817" s="122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1:53" x14ac:dyDescent="0.25">
      <c r="A818" s="18"/>
      <c r="B818" s="10">
        <v>1</v>
      </c>
      <c r="C818" s="30" t="s">
        <v>81</v>
      </c>
      <c r="D818" s="80">
        <v>11934</v>
      </c>
      <c r="E818" s="32">
        <f>650*279+670*10+622*49+1102+229*2+650*2</f>
        <v>221388</v>
      </c>
      <c r="F818" s="32"/>
      <c r="G818" s="32"/>
      <c r="H818" s="32">
        <f>SUM(E818:F818)</f>
        <v>221388</v>
      </c>
      <c r="I818" s="12"/>
      <c r="J818" s="12">
        <f>78*2</f>
        <v>156</v>
      </c>
      <c r="K818" s="12"/>
      <c r="L818" s="12">
        <f>SUM(H818:K818)</f>
        <v>221544</v>
      </c>
      <c r="N818" s="10">
        <v>1</v>
      </c>
      <c r="O818" s="30" t="s">
        <v>81</v>
      </c>
      <c r="P818" s="80">
        <v>11958</v>
      </c>
      <c r="Q818" s="32">
        <f>650*5+9.5*5</f>
        <v>3297.5</v>
      </c>
      <c r="R818" s="32"/>
      <c r="S818" s="32"/>
      <c r="T818" s="32">
        <f>SUM(Q818:R818)</f>
        <v>3297.5</v>
      </c>
      <c r="U818" s="12"/>
      <c r="V818" s="12"/>
      <c r="W818" s="12">
        <f>-111*3+-84*2</f>
        <v>-501</v>
      </c>
      <c r="X818" s="12">
        <f>SUM(T818:W818)</f>
        <v>2796.5</v>
      </c>
      <c r="Z818" s="10">
        <v>1</v>
      </c>
      <c r="AA818" s="30" t="s">
        <v>81</v>
      </c>
      <c r="AB818" s="31">
        <v>11892</v>
      </c>
      <c r="AC818" s="32">
        <f>650*137+670*10+650*5+622*40+912+229*4</f>
        <v>125708</v>
      </c>
      <c r="AD818" s="32">
        <f>-193*6</f>
        <v>-1158</v>
      </c>
      <c r="AE818" s="32"/>
      <c r="AF818" s="32">
        <f>SUM(AC818:AD818)</f>
        <v>124550</v>
      </c>
      <c r="AG818" s="12"/>
      <c r="AH818" s="12"/>
      <c r="AI818" s="12"/>
      <c r="AJ818" s="12">
        <f>SUM(AF818:AI818)</f>
        <v>124550</v>
      </c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1:53" x14ac:dyDescent="0.25">
      <c r="A819" s="18"/>
      <c r="B819" s="10">
        <v>2</v>
      </c>
      <c r="C819" s="30" t="s">
        <v>81</v>
      </c>
      <c r="D819" s="80">
        <f>D818+1</f>
        <v>11935</v>
      </c>
      <c r="E819" s="32">
        <f>650*12+622*3</f>
        <v>9666</v>
      </c>
      <c r="F819" s="32"/>
      <c r="G819" s="32"/>
      <c r="H819" s="32">
        <f t="shared" ref="H819:H856" si="174">SUM(E819:F819)</f>
        <v>9666</v>
      </c>
      <c r="I819" s="12"/>
      <c r="J819" s="12"/>
      <c r="K819" s="12"/>
      <c r="L819" s="12">
        <f t="shared" ref="L819:L859" si="175">SUM(H819:K819)</f>
        <v>9666</v>
      </c>
      <c r="N819" s="10">
        <v>2</v>
      </c>
      <c r="O819" s="30" t="s">
        <v>81</v>
      </c>
      <c r="P819" s="80">
        <f>P818+1</f>
        <v>11959</v>
      </c>
      <c r="Q819" s="32">
        <f>650</f>
        <v>650</v>
      </c>
      <c r="R819" s="32"/>
      <c r="S819" s="32"/>
      <c r="T819" s="32">
        <f t="shared" ref="T819:T856" si="176">SUM(Q819:R819)</f>
        <v>650</v>
      </c>
      <c r="U819" s="12"/>
      <c r="V819" s="12"/>
      <c r="W819" s="12"/>
      <c r="X819" s="12">
        <f t="shared" ref="X819:X859" si="177">SUM(T819:W819)</f>
        <v>650</v>
      </c>
      <c r="Z819" s="10">
        <v>2</v>
      </c>
      <c r="AA819" s="30" t="s">
        <v>81</v>
      </c>
      <c r="AB819" s="31">
        <f>AB818+1</f>
        <v>11893</v>
      </c>
      <c r="AC819" s="32">
        <f>650*83+229*4</f>
        <v>54866</v>
      </c>
      <c r="AD819" s="32">
        <f>-83*6</f>
        <v>-498</v>
      </c>
      <c r="AE819" s="32"/>
      <c r="AF819" s="32">
        <f t="shared" ref="AF819:AF856" si="178">SUM(AC819:AD819)</f>
        <v>54368</v>
      </c>
      <c r="AG819" s="12"/>
      <c r="AH819" s="12">
        <f>78+4.5*30</f>
        <v>213</v>
      </c>
      <c r="AI819" s="12"/>
      <c r="AJ819" s="12">
        <f t="shared" ref="AJ819:AJ859" si="179">SUM(AF819:AI819)</f>
        <v>54581</v>
      </c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1:53" x14ac:dyDescent="0.25">
      <c r="A820" s="18"/>
      <c r="B820" s="10">
        <v>3</v>
      </c>
      <c r="C820" s="30" t="s">
        <v>81</v>
      </c>
      <c r="D820" s="80">
        <f t="shared" ref="D820:D828" si="180">D819+1</f>
        <v>11936</v>
      </c>
      <c r="E820" s="33">
        <f>650*10+622*5+1050+872+650*10</f>
        <v>18032</v>
      </c>
      <c r="F820" s="33"/>
      <c r="G820" s="32"/>
      <c r="H820" s="32">
        <f t="shared" si="174"/>
        <v>18032</v>
      </c>
      <c r="I820" s="12"/>
      <c r="J820" s="34"/>
      <c r="K820" s="34"/>
      <c r="L820" s="12">
        <f t="shared" si="175"/>
        <v>18032</v>
      </c>
      <c r="N820" s="10">
        <v>3</v>
      </c>
      <c r="O820" s="30" t="s">
        <v>81</v>
      </c>
      <c r="P820" s="80">
        <f t="shared" ref="P820" si="181">P819+1</f>
        <v>11960</v>
      </c>
      <c r="Q820" s="33">
        <f>650*324+229*12</f>
        <v>213348</v>
      </c>
      <c r="R820" s="33">
        <f>-324*6</f>
        <v>-1944</v>
      </c>
      <c r="S820" s="32"/>
      <c r="T820" s="32">
        <f t="shared" si="176"/>
        <v>211404</v>
      </c>
      <c r="U820" s="12"/>
      <c r="V820" s="34">
        <f>78*3+1.5*96</f>
        <v>378</v>
      </c>
      <c r="W820" s="34"/>
      <c r="X820" s="12">
        <f t="shared" si="177"/>
        <v>211782</v>
      </c>
      <c r="Z820" s="10">
        <v>3</v>
      </c>
      <c r="AA820" s="30" t="s">
        <v>81</v>
      </c>
      <c r="AB820" s="31">
        <f t="shared" ref="AB820:AB822" si="182">AB819+1</f>
        <v>11894</v>
      </c>
      <c r="AC820" s="33">
        <f>650*50+670*2+622*10</f>
        <v>40060</v>
      </c>
      <c r="AD820" s="33"/>
      <c r="AE820" s="32"/>
      <c r="AF820" s="32">
        <f t="shared" si="178"/>
        <v>40060</v>
      </c>
      <c r="AG820" s="12"/>
      <c r="AH820" s="12">
        <f>111*20</f>
        <v>2220</v>
      </c>
      <c r="AI820" s="12"/>
      <c r="AJ820" s="12">
        <f t="shared" si="179"/>
        <v>42280</v>
      </c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1:53" x14ac:dyDescent="0.25">
      <c r="A821" s="18"/>
      <c r="B821" s="10">
        <v>4</v>
      </c>
      <c r="C821" s="30" t="s">
        <v>81</v>
      </c>
      <c r="D821" s="80">
        <f t="shared" si="180"/>
        <v>11937</v>
      </c>
      <c r="E821" s="32">
        <f>650*12</f>
        <v>7800</v>
      </c>
      <c r="F821" s="32"/>
      <c r="G821" s="32"/>
      <c r="H821" s="32">
        <f t="shared" si="174"/>
        <v>7800</v>
      </c>
      <c r="I821" s="12"/>
      <c r="J821" s="12"/>
      <c r="K821" s="12"/>
      <c r="L821" s="12">
        <f t="shared" si="175"/>
        <v>7800</v>
      </c>
      <c r="N821" s="10">
        <v>4</v>
      </c>
      <c r="O821" s="30"/>
      <c r="P821" s="11" t="s">
        <v>27</v>
      </c>
      <c r="Q821" s="32"/>
      <c r="R821" s="32"/>
      <c r="S821" s="32"/>
      <c r="T821" s="32">
        <f t="shared" si="176"/>
        <v>0</v>
      </c>
      <c r="U821" s="12"/>
      <c r="V821" s="12"/>
      <c r="W821" s="12"/>
      <c r="X821" s="12">
        <f t="shared" si="177"/>
        <v>0</v>
      </c>
      <c r="Z821" s="10">
        <v>4</v>
      </c>
      <c r="AA821" s="30" t="s">
        <v>81</v>
      </c>
      <c r="AB821" s="31">
        <f t="shared" si="182"/>
        <v>11895</v>
      </c>
      <c r="AC821" s="32">
        <f>650*35+670*3+622*14+229+500</f>
        <v>34197</v>
      </c>
      <c r="AD821" s="32"/>
      <c r="AE821" s="32"/>
      <c r="AF821" s="32">
        <f t="shared" si="178"/>
        <v>34197</v>
      </c>
      <c r="AG821" s="12"/>
      <c r="AH821">
        <f>111*5</f>
        <v>555</v>
      </c>
      <c r="AI821" s="12"/>
      <c r="AJ821" s="12">
        <f t="shared" si="179"/>
        <v>34752</v>
      </c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1:53" x14ac:dyDescent="0.25">
      <c r="A822" s="18"/>
      <c r="B822" s="10">
        <v>5</v>
      </c>
      <c r="C822" s="30" t="s">
        <v>81</v>
      </c>
      <c r="D822" s="80">
        <f t="shared" si="180"/>
        <v>11938</v>
      </c>
      <c r="E822" s="32">
        <f>650*2</f>
        <v>1300</v>
      </c>
      <c r="F822" s="32"/>
      <c r="G822" s="32"/>
      <c r="H822" s="32">
        <f t="shared" si="174"/>
        <v>1300</v>
      </c>
      <c r="I822" s="12"/>
      <c r="J822" s="12"/>
      <c r="K822" s="12"/>
      <c r="L822" s="12">
        <f t="shared" si="175"/>
        <v>1300</v>
      </c>
      <c r="N822" s="10">
        <v>5</v>
      </c>
      <c r="O822" s="30"/>
      <c r="P822" s="80"/>
      <c r="Q822" s="32"/>
      <c r="R822" s="32"/>
      <c r="S822" s="32"/>
      <c r="T822" s="32">
        <f t="shared" si="176"/>
        <v>0</v>
      </c>
      <c r="U822" s="12"/>
      <c r="V822" s="12"/>
      <c r="W822" s="12"/>
      <c r="X822" s="12">
        <f t="shared" si="177"/>
        <v>0</v>
      </c>
      <c r="Z822" s="10">
        <v>5</v>
      </c>
      <c r="AA822" s="30" t="s">
        <v>81</v>
      </c>
      <c r="AB822" s="31">
        <f t="shared" si="182"/>
        <v>11896</v>
      </c>
      <c r="AC822" s="32">
        <f>650*7</f>
        <v>4550</v>
      </c>
      <c r="AD822" s="32"/>
      <c r="AE822" s="32"/>
      <c r="AF822" s="32">
        <f t="shared" si="178"/>
        <v>4550</v>
      </c>
      <c r="AG822" s="12"/>
      <c r="AH822" s="12"/>
      <c r="AI822" s="12">
        <f>-111*9</f>
        <v>-999</v>
      </c>
      <c r="AJ822" s="12">
        <f t="shared" si="179"/>
        <v>3551</v>
      </c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1:53" x14ac:dyDescent="0.25">
      <c r="A823" s="18"/>
      <c r="B823" s="10">
        <v>6</v>
      </c>
      <c r="C823" s="30" t="s">
        <v>81</v>
      </c>
      <c r="D823" s="80">
        <f t="shared" si="180"/>
        <v>11939</v>
      </c>
      <c r="E823" s="32">
        <f>650</f>
        <v>650</v>
      </c>
      <c r="F823" s="32"/>
      <c r="G823" s="32"/>
      <c r="H823" s="32">
        <f t="shared" si="174"/>
        <v>650</v>
      </c>
      <c r="I823" s="12"/>
      <c r="J823" s="12"/>
      <c r="K823" s="10"/>
      <c r="L823" s="12">
        <f t="shared" si="175"/>
        <v>650</v>
      </c>
      <c r="N823" s="10">
        <v>6</v>
      </c>
      <c r="O823" s="30"/>
      <c r="P823" s="80"/>
      <c r="Q823" s="32"/>
      <c r="R823" s="32"/>
      <c r="S823" s="32"/>
      <c r="T823" s="32">
        <f t="shared" si="176"/>
        <v>0</v>
      </c>
      <c r="U823" s="12"/>
      <c r="V823" s="12"/>
      <c r="W823" s="10"/>
      <c r="X823" s="12">
        <f t="shared" si="177"/>
        <v>0</v>
      </c>
      <c r="Z823" s="10">
        <v>6</v>
      </c>
      <c r="AA823" s="30"/>
      <c r="AB823" s="11" t="s">
        <v>27</v>
      </c>
      <c r="AC823" s="32"/>
      <c r="AD823" s="32"/>
      <c r="AE823" s="32"/>
      <c r="AF823" s="32">
        <f t="shared" si="178"/>
        <v>0</v>
      </c>
      <c r="AG823" s="12"/>
      <c r="AH823" s="12"/>
      <c r="AI823" s="10"/>
      <c r="AJ823" s="12">
        <f t="shared" si="179"/>
        <v>0</v>
      </c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1:53" x14ac:dyDescent="0.25">
      <c r="A824" s="18"/>
      <c r="B824" s="10">
        <v>7</v>
      </c>
      <c r="C824" s="30" t="s">
        <v>81</v>
      </c>
      <c r="D824" s="80">
        <f t="shared" si="180"/>
        <v>11940</v>
      </c>
      <c r="E824" s="32">
        <f>650*18+622*2</f>
        <v>12944</v>
      </c>
      <c r="F824" s="32"/>
      <c r="G824" s="32"/>
      <c r="H824" s="32">
        <f t="shared" si="174"/>
        <v>12944</v>
      </c>
      <c r="I824" s="12"/>
      <c r="J824" s="12"/>
      <c r="K824" s="12"/>
      <c r="L824" s="12">
        <f t="shared" si="175"/>
        <v>12944</v>
      </c>
      <c r="N824" s="10">
        <v>7</v>
      </c>
      <c r="O824" s="30"/>
      <c r="P824" s="80"/>
      <c r="Q824" s="32"/>
      <c r="R824" s="32"/>
      <c r="S824" s="32"/>
      <c r="T824" s="32">
        <f t="shared" si="176"/>
        <v>0</v>
      </c>
      <c r="U824" s="12"/>
      <c r="V824" s="12"/>
      <c r="W824" s="12"/>
      <c r="X824" s="12">
        <f t="shared" si="177"/>
        <v>0</v>
      </c>
      <c r="Z824" s="10">
        <v>7</v>
      </c>
      <c r="AA824" s="30"/>
      <c r="AC824" s="32"/>
      <c r="AD824" s="32"/>
      <c r="AE824" s="32"/>
      <c r="AF824" s="32">
        <f t="shared" si="178"/>
        <v>0</v>
      </c>
      <c r="AG824" s="12"/>
      <c r="AH824" s="56"/>
      <c r="AI824" s="12"/>
      <c r="AJ824" s="12">
        <f t="shared" si="179"/>
        <v>0</v>
      </c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1:53" x14ac:dyDescent="0.25">
      <c r="A825" s="18"/>
      <c r="B825" s="10">
        <v>8</v>
      </c>
      <c r="C825" s="30" t="s">
        <v>81</v>
      </c>
      <c r="D825" s="80">
        <f t="shared" si="180"/>
        <v>11941</v>
      </c>
      <c r="E825" s="32">
        <f>650*4</f>
        <v>2600</v>
      </c>
      <c r="F825" s="32"/>
      <c r="G825" s="32"/>
      <c r="H825" s="32">
        <f t="shared" si="174"/>
        <v>2600</v>
      </c>
      <c r="I825" s="12"/>
      <c r="J825" s="12">
        <f>4.5*24</f>
        <v>108</v>
      </c>
      <c r="K825" s="12"/>
      <c r="L825" s="12">
        <f t="shared" si="175"/>
        <v>2708</v>
      </c>
      <c r="N825" s="10">
        <v>8</v>
      </c>
      <c r="O825" s="30"/>
      <c r="P825" s="80"/>
      <c r="Q825" s="32"/>
      <c r="R825" s="32"/>
      <c r="S825" s="32"/>
      <c r="T825" s="32">
        <f t="shared" si="176"/>
        <v>0</v>
      </c>
      <c r="U825" s="12"/>
      <c r="V825" s="12"/>
      <c r="W825" s="12"/>
      <c r="X825" s="12">
        <f t="shared" si="177"/>
        <v>0</v>
      </c>
      <c r="Z825" s="10">
        <v>8</v>
      </c>
      <c r="AA825" s="30"/>
      <c r="AB825" s="31"/>
      <c r="AC825" s="32"/>
      <c r="AD825" s="32"/>
      <c r="AF825" s="32">
        <f t="shared" si="178"/>
        <v>0</v>
      </c>
      <c r="AG825" s="12"/>
      <c r="AH825" s="12"/>
      <c r="AI825" s="12"/>
      <c r="AJ825" s="12">
        <f t="shared" si="179"/>
        <v>0</v>
      </c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1:53" x14ac:dyDescent="0.25">
      <c r="A826" s="18"/>
      <c r="B826" s="10">
        <v>9</v>
      </c>
      <c r="C826" s="30" t="s">
        <v>81</v>
      </c>
      <c r="D826" s="80">
        <f t="shared" si="180"/>
        <v>11942</v>
      </c>
      <c r="E826" s="32">
        <f>650*20+622*2</f>
        <v>14244</v>
      </c>
      <c r="F826" s="32"/>
      <c r="G826" s="32"/>
      <c r="H826" s="32">
        <f t="shared" si="174"/>
        <v>14244</v>
      </c>
      <c r="I826" s="12"/>
      <c r="J826" s="12"/>
      <c r="K826" s="12"/>
      <c r="L826" s="12">
        <f t="shared" si="175"/>
        <v>14244</v>
      </c>
      <c r="N826" s="10">
        <v>9</v>
      </c>
      <c r="O826" s="30"/>
      <c r="P826" s="80"/>
      <c r="Q826" s="32"/>
      <c r="R826" s="32"/>
      <c r="S826" s="32"/>
      <c r="T826" s="32">
        <f t="shared" si="176"/>
        <v>0</v>
      </c>
      <c r="U826" s="12"/>
      <c r="V826" s="12"/>
      <c r="W826" s="12"/>
      <c r="X826" s="12">
        <f t="shared" si="177"/>
        <v>0</v>
      </c>
      <c r="Z826" s="10">
        <v>9</v>
      </c>
      <c r="AA826" s="30"/>
      <c r="AC826" s="32"/>
      <c r="AD826" s="32"/>
      <c r="AE826" s="32"/>
      <c r="AF826" s="32">
        <f t="shared" si="178"/>
        <v>0</v>
      </c>
      <c r="AG826" s="12"/>
      <c r="AI826" s="12"/>
      <c r="AJ826" s="12">
        <f t="shared" si="179"/>
        <v>0</v>
      </c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1:53" x14ac:dyDescent="0.25">
      <c r="A827" s="18"/>
      <c r="B827" s="10">
        <v>10</v>
      </c>
      <c r="C827" s="30" t="s">
        <v>81</v>
      </c>
      <c r="D827" s="80">
        <f t="shared" si="180"/>
        <v>11943</v>
      </c>
      <c r="E827" s="32">
        <f>973*47+1050*2+872*2</f>
        <v>49575</v>
      </c>
      <c r="F827" s="32"/>
      <c r="G827" s="32"/>
      <c r="H827" s="32">
        <f t="shared" si="174"/>
        <v>49575</v>
      </c>
      <c r="I827" s="12"/>
      <c r="J827" s="12"/>
      <c r="K827" s="12"/>
      <c r="L827" s="12">
        <f t="shared" si="175"/>
        <v>49575</v>
      </c>
      <c r="N827" s="10">
        <v>10</v>
      </c>
      <c r="O827" s="30"/>
      <c r="P827" s="80"/>
      <c r="Q827" s="32"/>
      <c r="R827" s="32"/>
      <c r="S827" s="32"/>
      <c r="T827" s="32">
        <f t="shared" si="176"/>
        <v>0</v>
      </c>
      <c r="U827" s="12"/>
      <c r="V827" s="12"/>
      <c r="W827" s="12"/>
      <c r="X827" s="12">
        <f t="shared" si="177"/>
        <v>0</v>
      </c>
      <c r="Z827" s="10">
        <v>10</v>
      </c>
      <c r="AA827" s="30"/>
      <c r="AB827" s="31"/>
      <c r="AC827" s="32"/>
      <c r="AD827" s="32"/>
      <c r="AE827" s="32"/>
      <c r="AF827" s="32">
        <f t="shared" si="178"/>
        <v>0</v>
      </c>
      <c r="AG827" s="12"/>
      <c r="AH827" s="12"/>
      <c r="AI827" s="12"/>
      <c r="AJ827" s="12">
        <f t="shared" si="179"/>
        <v>0</v>
      </c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1:53" x14ac:dyDescent="0.25">
      <c r="A828" s="18"/>
      <c r="B828" s="10">
        <v>11</v>
      </c>
      <c r="C828" s="30" t="s">
        <v>81</v>
      </c>
      <c r="D828" s="80">
        <f t="shared" si="180"/>
        <v>11944</v>
      </c>
      <c r="E828" s="32">
        <f>650*10+622</f>
        <v>7122</v>
      </c>
      <c r="F828" s="32"/>
      <c r="G828" s="32"/>
      <c r="H828" s="32">
        <f t="shared" si="174"/>
        <v>7122</v>
      </c>
      <c r="I828" s="12"/>
      <c r="J828" s="12"/>
      <c r="K828" s="12"/>
      <c r="L828" s="12">
        <f t="shared" si="175"/>
        <v>7122</v>
      </c>
      <c r="N828" s="10">
        <v>11</v>
      </c>
      <c r="O828" s="30"/>
      <c r="P828" s="80"/>
      <c r="Q828" s="32"/>
      <c r="R828" s="32"/>
      <c r="S828" s="32"/>
      <c r="T828" s="32">
        <f t="shared" si="176"/>
        <v>0</v>
      </c>
      <c r="U828" s="12"/>
      <c r="V828" s="12"/>
      <c r="W828" s="12"/>
      <c r="X828" s="12">
        <f t="shared" si="177"/>
        <v>0</v>
      </c>
      <c r="Z828" s="10">
        <v>11</v>
      </c>
      <c r="AA828" s="30"/>
      <c r="AB828" s="31"/>
      <c r="AC828" s="32"/>
      <c r="AD828" s="32"/>
      <c r="AE828" s="32"/>
      <c r="AF828" s="32">
        <f t="shared" si="178"/>
        <v>0</v>
      </c>
      <c r="AG828" s="12"/>
      <c r="AH828" s="12"/>
      <c r="AI828" s="12"/>
      <c r="AJ828" s="12">
        <f t="shared" si="179"/>
        <v>0</v>
      </c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1:53" x14ac:dyDescent="0.25">
      <c r="A829" s="18"/>
      <c r="B829" s="10">
        <v>12</v>
      </c>
      <c r="C829" s="30"/>
      <c r="D829" s="11" t="s">
        <v>27</v>
      </c>
      <c r="E829" s="32"/>
      <c r="F829" s="32"/>
      <c r="G829" s="32"/>
      <c r="H829" s="32">
        <f t="shared" si="174"/>
        <v>0</v>
      </c>
      <c r="I829" s="12"/>
      <c r="J829" s="12"/>
      <c r="K829" s="12"/>
      <c r="L829" s="12">
        <f t="shared" si="175"/>
        <v>0</v>
      </c>
      <c r="N829" s="10">
        <v>12</v>
      </c>
      <c r="O829" s="30"/>
      <c r="P829" s="80"/>
      <c r="Q829" s="32"/>
      <c r="R829" s="32"/>
      <c r="S829" s="32"/>
      <c r="T829" s="32">
        <f t="shared" si="176"/>
        <v>0</v>
      </c>
      <c r="U829" s="12"/>
      <c r="V829" s="12"/>
      <c r="W829" s="12"/>
      <c r="X829" s="12">
        <f t="shared" si="177"/>
        <v>0</v>
      </c>
      <c r="Z829" s="10">
        <v>12</v>
      </c>
      <c r="AA829" s="30"/>
      <c r="AB829" s="31"/>
      <c r="AC829" s="32"/>
      <c r="AD829" s="32"/>
      <c r="AE829" s="32"/>
      <c r="AF829" s="32">
        <f t="shared" si="178"/>
        <v>0</v>
      </c>
      <c r="AG829" s="12"/>
      <c r="AH829" s="12"/>
      <c r="AI829" s="12"/>
      <c r="AJ829" s="12">
        <f t="shared" si="179"/>
        <v>0</v>
      </c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1:53" x14ac:dyDescent="0.25">
      <c r="A830" s="18"/>
      <c r="B830" s="10">
        <v>13</v>
      </c>
      <c r="C830" s="30"/>
      <c r="D830" s="80"/>
      <c r="E830" s="32"/>
      <c r="F830" s="32"/>
      <c r="G830" s="32"/>
      <c r="H830" s="32">
        <f t="shared" si="174"/>
        <v>0</v>
      </c>
      <c r="I830" s="12"/>
      <c r="J830" s="12"/>
      <c r="K830" s="12"/>
      <c r="L830" s="12">
        <f t="shared" si="175"/>
        <v>0</v>
      </c>
      <c r="N830" s="10">
        <v>13</v>
      </c>
      <c r="O830" s="30"/>
      <c r="P830" s="80"/>
      <c r="Q830" s="32"/>
      <c r="R830" s="32"/>
      <c r="S830" s="32"/>
      <c r="T830" s="32">
        <f t="shared" si="176"/>
        <v>0</v>
      </c>
      <c r="U830" s="12"/>
      <c r="V830" s="12"/>
      <c r="W830" s="12"/>
      <c r="X830" s="12">
        <f t="shared" si="177"/>
        <v>0</v>
      </c>
      <c r="Z830" s="10">
        <v>13</v>
      </c>
      <c r="AA830" s="30"/>
      <c r="AB830" s="31"/>
      <c r="AC830" s="32"/>
      <c r="AD830" s="32"/>
      <c r="AE830" s="32"/>
      <c r="AF830" s="32">
        <f t="shared" si="178"/>
        <v>0</v>
      </c>
      <c r="AG830" s="12"/>
      <c r="AH830" s="12"/>
      <c r="AI830" s="12"/>
      <c r="AJ830" s="12">
        <f t="shared" si="179"/>
        <v>0</v>
      </c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1:53" x14ac:dyDescent="0.25">
      <c r="A831" s="18"/>
      <c r="B831" s="10">
        <v>14</v>
      </c>
      <c r="C831" s="30"/>
      <c r="D831" s="80"/>
      <c r="E831" s="32"/>
      <c r="F831" s="32"/>
      <c r="G831" s="32"/>
      <c r="H831" s="32">
        <f t="shared" si="174"/>
        <v>0</v>
      </c>
      <c r="I831" s="12"/>
      <c r="J831" s="12"/>
      <c r="K831" s="12"/>
      <c r="L831" s="12">
        <f t="shared" si="175"/>
        <v>0</v>
      </c>
      <c r="N831" s="10">
        <v>14</v>
      </c>
      <c r="O831" s="30"/>
      <c r="P831" s="80"/>
      <c r="Q831" s="32"/>
      <c r="R831" s="32"/>
      <c r="S831" s="32"/>
      <c r="T831" s="32">
        <f t="shared" si="176"/>
        <v>0</v>
      </c>
      <c r="U831" s="12"/>
      <c r="V831" s="12"/>
      <c r="W831" s="12"/>
      <c r="X831" s="12">
        <f t="shared" si="177"/>
        <v>0</v>
      </c>
      <c r="Z831" s="10">
        <v>14</v>
      </c>
      <c r="AA831" s="30"/>
      <c r="AB831" s="31"/>
      <c r="AC831" s="32"/>
      <c r="AD831" s="32"/>
      <c r="AE831" s="32"/>
      <c r="AF831" s="32">
        <f t="shared" si="178"/>
        <v>0</v>
      </c>
      <c r="AG831" s="12"/>
      <c r="AH831" s="12"/>
      <c r="AI831" s="12"/>
      <c r="AJ831" s="12">
        <f t="shared" si="179"/>
        <v>0</v>
      </c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1:53" x14ac:dyDescent="0.25">
      <c r="A832" s="18"/>
      <c r="B832" s="10">
        <v>15</v>
      </c>
      <c r="C832" s="30"/>
      <c r="D832" s="80"/>
      <c r="E832" s="32"/>
      <c r="F832" s="32"/>
      <c r="G832" s="32"/>
      <c r="H832" s="32">
        <f t="shared" si="174"/>
        <v>0</v>
      </c>
      <c r="I832" s="12"/>
      <c r="J832" s="12"/>
      <c r="K832" s="12"/>
      <c r="L832" s="12">
        <f t="shared" si="175"/>
        <v>0</v>
      </c>
      <c r="N832" s="10">
        <v>15</v>
      </c>
      <c r="O832" s="30"/>
      <c r="P832" s="80"/>
      <c r="Q832" s="32"/>
      <c r="R832" s="32"/>
      <c r="S832" s="32"/>
      <c r="T832" s="32">
        <f t="shared" si="176"/>
        <v>0</v>
      </c>
      <c r="U832" s="12"/>
      <c r="V832" s="12"/>
      <c r="W832" s="12"/>
      <c r="X832" s="12">
        <f t="shared" si="177"/>
        <v>0</v>
      </c>
      <c r="Z832" s="10">
        <v>15</v>
      </c>
      <c r="AA832" s="30"/>
      <c r="AB832" s="31"/>
      <c r="AC832" s="32"/>
      <c r="AD832" s="32"/>
      <c r="AE832" s="32"/>
      <c r="AF832" s="32">
        <f t="shared" si="178"/>
        <v>0</v>
      </c>
      <c r="AG832" s="12"/>
      <c r="AH832" s="12"/>
      <c r="AI832" s="12"/>
      <c r="AJ832" s="12">
        <f t="shared" si="179"/>
        <v>0</v>
      </c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1:53" x14ac:dyDescent="0.25">
      <c r="A833" s="18"/>
      <c r="B833" s="10">
        <v>16</v>
      </c>
      <c r="C833" s="30"/>
      <c r="D833" s="11"/>
      <c r="E833" s="32"/>
      <c r="F833" s="32"/>
      <c r="G833" s="32"/>
      <c r="H833" s="32">
        <f t="shared" si="174"/>
        <v>0</v>
      </c>
      <c r="I833" s="12"/>
      <c r="J833" s="12"/>
      <c r="K833" s="12"/>
      <c r="L833" s="12">
        <f t="shared" si="175"/>
        <v>0</v>
      </c>
      <c r="N833" s="10">
        <v>16</v>
      </c>
      <c r="O833" s="30"/>
      <c r="Q833" s="32"/>
      <c r="R833" s="32"/>
      <c r="S833" s="32"/>
      <c r="T833" s="32">
        <f t="shared" si="176"/>
        <v>0</v>
      </c>
      <c r="U833" s="12"/>
      <c r="V833" s="12"/>
      <c r="W833" s="12"/>
      <c r="X833" s="12">
        <f t="shared" si="177"/>
        <v>0</v>
      </c>
      <c r="Z833" s="10">
        <v>16</v>
      </c>
      <c r="AA833" s="30"/>
      <c r="AB833" s="11"/>
      <c r="AC833" s="32"/>
      <c r="AD833" s="32"/>
      <c r="AE833" s="32"/>
      <c r="AF833" s="32">
        <f t="shared" si="178"/>
        <v>0</v>
      </c>
      <c r="AG833" s="12"/>
      <c r="AH833" s="12"/>
      <c r="AI833" s="12"/>
      <c r="AJ833" s="12">
        <f t="shared" si="179"/>
        <v>0</v>
      </c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1:53" x14ac:dyDescent="0.25">
      <c r="A834" s="18"/>
      <c r="B834" s="10">
        <v>17</v>
      </c>
      <c r="C834" s="30"/>
      <c r="D834" s="31"/>
      <c r="E834" s="35"/>
      <c r="F834" s="32"/>
      <c r="G834" s="32"/>
      <c r="H834" s="32">
        <f t="shared" si="174"/>
        <v>0</v>
      </c>
      <c r="I834" s="12"/>
      <c r="J834" s="12"/>
      <c r="K834" s="12"/>
      <c r="L834" s="12">
        <f t="shared" si="175"/>
        <v>0</v>
      </c>
      <c r="N834" s="10">
        <v>17</v>
      </c>
      <c r="O834" s="30"/>
      <c r="Q834" s="35"/>
      <c r="R834" s="32"/>
      <c r="S834" s="32"/>
      <c r="T834" s="32">
        <f t="shared" si="176"/>
        <v>0</v>
      </c>
      <c r="U834" s="12"/>
      <c r="V834" s="12"/>
      <c r="W834" s="12"/>
      <c r="X834" s="12">
        <f t="shared" si="177"/>
        <v>0</v>
      </c>
      <c r="Z834" s="10">
        <v>17</v>
      </c>
      <c r="AA834" s="30"/>
      <c r="AB834" s="31"/>
      <c r="AC834" s="35"/>
      <c r="AD834" s="32"/>
      <c r="AE834" s="32"/>
      <c r="AF834" s="32">
        <f t="shared" si="178"/>
        <v>0</v>
      </c>
      <c r="AG834" s="12"/>
      <c r="AH834" s="12"/>
      <c r="AI834" s="12"/>
      <c r="AJ834" s="12">
        <f t="shared" si="179"/>
        <v>0</v>
      </c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1:53" x14ac:dyDescent="0.25">
      <c r="A835" s="18"/>
      <c r="B835" s="10">
        <v>18</v>
      </c>
      <c r="C835" s="30"/>
      <c r="D835" s="31"/>
      <c r="E835" s="32"/>
      <c r="F835" s="32"/>
      <c r="G835" s="32"/>
      <c r="H835" s="32">
        <f t="shared" si="174"/>
        <v>0</v>
      </c>
      <c r="I835" s="12"/>
      <c r="J835" s="12"/>
      <c r="K835" s="12"/>
      <c r="L835" s="12">
        <f t="shared" si="175"/>
        <v>0</v>
      </c>
      <c r="N835" s="10">
        <v>18</v>
      </c>
      <c r="O835" s="30"/>
      <c r="P835" s="80"/>
      <c r="Q835" s="32"/>
      <c r="R835" s="32"/>
      <c r="S835" s="32"/>
      <c r="T835" s="32">
        <f t="shared" si="176"/>
        <v>0</v>
      </c>
      <c r="U835" s="12"/>
      <c r="V835" s="12"/>
      <c r="W835" s="12"/>
      <c r="X835" s="12">
        <f t="shared" si="177"/>
        <v>0</v>
      </c>
      <c r="Z835" s="10">
        <v>18</v>
      </c>
      <c r="AA835" s="30"/>
      <c r="AB835" s="31"/>
      <c r="AC835" s="32"/>
      <c r="AD835" s="32"/>
      <c r="AE835" s="32"/>
      <c r="AF835" s="32">
        <f t="shared" si="178"/>
        <v>0</v>
      </c>
      <c r="AG835" s="12"/>
      <c r="AH835" s="12"/>
      <c r="AI835" s="12"/>
      <c r="AJ835" s="12">
        <f t="shared" si="179"/>
        <v>0</v>
      </c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1:53" x14ac:dyDescent="0.25">
      <c r="A836" s="18"/>
      <c r="B836" s="10">
        <v>19</v>
      </c>
      <c r="C836" s="30"/>
      <c r="D836" s="31"/>
      <c r="E836" s="32"/>
      <c r="F836" s="32"/>
      <c r="G836" s="32"/>
      <c r="H836" s="32">
        <f t="shared" si="174"/>
        <v>0</v>
      </c>
      <c r="I836" s="12"/>
      <c r="J836" s="12"/>
      <c r="K836" s="12"/>
      <c r="L836" s="12">
        <f t="shared" si="175"/>
        <v>0</v>
      </c>
      <c r="N836" s="10">
        <v>19</v>
      </c>
      <c r="O836" s="30"/>
      <c r="P836" s="80"/>
      <c r="Q836" s="32"/>
      <c r="R836" s="32"/>
      <c r="S836" s="32"/>
      <c r="T836" s="32">
        <f t="shared" si="176"/>
        <v>0</v>
      </c>
      <c r="U836" s="12"/>
      <c r="V836" s="12"/>
      <c r="W836" s="12"/>
      <c r="X836" s="12">
        <f t="shared" si="177"/>
        <v>0</v>
      </c>
      <c r="Z836" s="10">
        <v>19</v>
      </c>
      <c r="AA836" s="30"/>
      <c r="AB836" s="11"/>
      <c r="AC836" s="32"/>
      <c r="AD836" s="32"/>
      <c r="AE836" s="32"/>
      <c r="AF836" s="32">
        <f t="shared" si="178"/>
        <v>0</v>
      </c>
      <c r="AG836" s="12"/>
      <c r="AH836" s="12"/>
      <c r="AI836" s="12"/>
      <c r="AJ836" s="12">
        <f t="shared" si="179"/>
        <v>0</v>
      </c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1:53" x14ac:dyDescent="0.25">
      <c r="A837" s="18"/>
      <c r="B837" s="10">
        <v>20</v>
      </c>
      <c r="C837" s="30"/>
      <c r="D837" s="31"/>
      <c r="E837" s="32"/>
      <c r="F837" s="32"/>
      <c r="G837" s="32"/>
      <c r="H837" s="32">
        <f t="shared" si="174"/>
        <v>0</v>
      </c>
      <c r="I837" s="12"/>
      <c r="J837" s="12"/>
      <c r="K837" s="12"/>
      <c r="L837" s="12">
        <f t="shared" si="175"/>
        <v>0</v>
      </c>
      <c r="N837" s="10">
        <v>20</v>
      </c>
      <c r="O837" s="30"/>
      <c r="P837" s="80"/>
      <c r="Q837" s="32"/>
      <c r="R837" s="32"/>
      <c r="S837" s="32"/>
      <c r="T837" s="32">
        <f t="shared" si="176"/>
        <v>0</v>
      </c>
      <c r="U837" s="12"/>
      <c r="V837" s="12"/>
      <c r="W837" s="12"/>
      <c r="X837" s="12">
        <f t="shared" si="177"/>
        <v>0</v>
      </c>
      <c r="Z837" s="10">
        <v>20</v>
      </c>
      <c r="AA837" s="30"/>
      <c r="AB837" s="31"/>
      <c r="AC837" s="32"/>
      <c r="AD837" s="32"/>
      <c r="AE837" s="32"/>
      <c r="AF837" s="32">
        <f t="shared" si="178"/>
        <v>0</v>
      </c>
      <c r="AG837" s="12"/>
      <c r="AH837" s="12"/>
      <c r="AI837" s="12"/>
      <c r="AJ837" s="12">
        <f t="shared" si="179"/>
        <v>0</v>
      </c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1:53" x14ac:dyDescent="0.25">
      <c r="A838" s="18"/>
      <c r="B838" s="10">
        <v>21</v>
      </c>
      <c r="C838" s="30"/>
      <c r="D838" s="31"/>
      <c r="E838" s="44"/>
      <c r="F838" s="31"/>
      <c r="G838" s="31"/>
      <c r="H838" s="32">
        <f t="shared" si="174"/>
        <v>0</v>
      </c>
      <c r="I838" s="10"/>
      <c r="J838" s="10"/>
      <c r="K838" s="10"/>
      <c r="L838" s="12">
        <f t="shared" si="175"/>
        <v>0</v>
      </c>
      <c r="N838" s="10">
        <v>21</v>
      </c>
      <c r="O838" s="30"/>
      <c r="P838" s="11"/>
      <c r="Q838" s="44"/>
      <c r="R838" s="31"/>
      <c r="S838" s="31"/>
      <c r="T838" s="32">
        <f t="shared" si="176"/>
        <v>0</v>
      </c>
      <c r="U838" s="10"/>
      <c r="V838" s="10"/>
      <c r="W838" s="10"/>
      <c r="X838" s="12">
        <f t="shared" si="177"/>
        <v>0</v>
      </c>
      <c r="Z838" s="10">
        <v>21</v>
      </c>
      <c r="AA838" s="30"/>
      <c r="AB838" s="11"/>
      <c r="AC838" s="44"/>
      <c r="AD838" s="31"/>
      <c r="AE838" s="31"/>
      <c r="AF838" s="32">
        <f t="shared" si="178"/>
        <v>0</v>
      </c>
      <c r="AG838" s="10"/>
      <c r="AH838" s="10"/>
      <c r="AI838" s="10"/>
      <c r="AJ838" s="12">
        <f t="shared" si="179"/>
        <v>0</v>
      </c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1:53" x14ac:dyDescent="0.25">
      <c r="A839" s="18"/>
      <c r="B839" s="10">
        <v>22</v>
      </c>
      <c r="C839" s="30"/>
      <c r="D839" s="31"/>
      <c r="E839" s="43"/>
      <c r="F839" s="31"/>
      <c r="G839" s="31"/>
      <c r="H839" s="32">
        <f t="shared" si="174"/>
        <v>0</v>
      </c>
      <c r="I839" s="10"/>
      <c r="J839" s="10"/>
      <c r="K839" s="10"/>
      <c r="L839" s="12">
        <f t="shared" si="175"/>
        <v>0</v>
      </c>
      <c r="N839" s="10">
        <v>22</v>
      </c>
      <c r="O839" s="30"/>
      <c r="P839" s="31"/>
      <c r="Q839" s="43"/>
      <c r="R839" s="31"/>
      <c r="S839" s="31"/>
      <c r="T839" s="32">
        <f t="shared" si="176"/>
        <v>0</v>
      </c>
      <c r="U839" s="10"/>
      <c r="V839" s="10"/>
      <c r="W839" s="10"/>
      <c r="X839" s="12">
        <f t="shared" si="177"/>
        <v>0</v>
      </c>
      <c r="Z839" s="10">
        <v>22</v>
      </c>
      <c r="AA839" s="30"/>
      <c r="AB839" s="31"/>
      <c r="AC839" s="43"/>
      <c r="AD839" s="31"/>
      <c r="AE839" s="31"/>
      <c r="AF839" s="32">
        <f t="shared" si="178"/>
        <v>0</v>
      </c>
      <c r="AG839" s="10"/>
      <c r="AH839" s="10"/>
      <c r="AI839" s="10"/>
      <c r="AJ839" s="12">
        <f t="shared" si="179"/>
        <v>0</v>
      </c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1:53" x14ac:dyDescent="0.25">
      <c r="A840" s="18"/>
      <c r="B840" s="10">
        <v>23</v>
      </c>
      <c r="C840" s="30"/>
      <c r="D840" s="31"/>
      <c r="E840" s="45"/>
      <c r="F840" s="31"/>
      <c r="G840"/>
      <c r="H840" s="32">
        <f t="shared" si="174"/>
        <v>0</v>
      </c>
      <c r="I840" s="10"/>
      <c r="J840" s="10"/>
      <c r="K840" s="10"/>
      <c r="L840" s="12">
        <f t="shared" si="175"/>
        <v>0</v>
      </c>
      <c r="N840" s="10">
        <v>23</v>
      </c>
      <c r="O840" s="30"/>
      <c r="P840" s="31"/>
      <c r="Q840" s="45"/>
      <c r="T840" s="32">
        <f t="shared" si="176"/>
        <v>0</v>
      </c>
      <c r="U840" s="10"/>
      <c r="V840" s="10"/>
      <c r="W840" s="10"/>
      <c r="X840" s="12">
        <f t="shared" si="177"/>
        <v>0</v>
      </c>
      <c r="Z840" s="10">
        <v>23</v>
      </c>
      <c r="AA840" s="30"/>
      <c r="AB840" s="31"/>
      <c r="AC840" s="45"/>
      <c r="AD840" s="31"/>
      <c r="AF840" s="32">
        <f t="shared" si="178"/>
        <v>0</v>
      </c>
      <c r="AG840" s="10"/>
      <c r="AH840" s="10"/>
      <c r="AI840" s="10"/>
      <c r="AJ840" s="12">
        <f t="shared" si="179"/>
        <v>0</v>
      </c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1:53" x14ac:dyDescent="0.25">
      <c r="A841" s="18"/>
      <c r="B841" s="10">
        <v>24</v>
      </c>
      <c r="C841" s="30"/>
      <c r="D841" s="31"/>
      <c r="E841" s="45"/>
      <c r="F841" s="31"/>
      <c r="G841" s="31"/>
      <c r="H841" s="32">
        <f t="shared" si="174"/>
        <v>0</v>
      </c>
      <c r="I841" s="10"/>
      <c r="J841" s="10"/>
      <c r="K841" s="10"/>
      <c r="L841" s="12">
        <f t="shared" si="175"/>
        <v>0</v>
      </c>
      <c r="N841" s="10">
        <v>24</v>
      </c>
      <c r="O841" s="30"/>
      <c r="P841" s="31"/>
      <c r="Q841" s="45"/>
      <c r="R841" s="31"/>
      <c r="S841" s="31"/>
      <c r="T841" s="32">
        <f t="shared" si="176"/>
        <v>0</v>
      </c>
      <c r="U841" s="10"/>
      <c r="V841" s="10"/>
      <c r="W841" s="10"/>
      <c r="X841" s="12">
        <f t="shared" si="177"/>
        <v>0</v>
      </c>
      <c r="Z841" s="10">
        <v>24</v>
      </c>
      <c r="AA841" s="30"/>
      <c r="AB841" s="31"/>
      <c r="AC841" s="45"/>
      <c r="AD841" s="31"/>
      <c r="AE841" s="31"/>
      <c r="AF841" s="32">
        <f t="shared" si="178"/>
        <v>0</v>
      </c>
      <c r="AG841" s="10"/>
      <c r="AH841" s="10"/>
      <c r="AI841" s="10"/>
      <c r="AJ841" s="12">
        <f t="shared" si="179"/>
        <v>0</v>
      </c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1:53" x14ac:dyDescent="0.25">
      <c r="A842" s="18"/>
      <c r="B842" s="10">
        <v>25</v>
      </c>
      <c r="C842" s="30"/>
      <c r="D842" s="31"/>
      <c r="E842" s="45"/>
      <c r="F842" s="31"/>
      <c r="G842" s="31"/>
      <c r="H842" s="32">
        <f t="shared" si="174"/>
        <v>0</v>
      </c>
      <c r="I842" s="10"/>
      <c r="J842" s="10"/>
      <c r="K842" s="10"/>
      <c r="L842" s="12">
        <f t="shared" si="175"/>
        <v>0</v>
      </c>
      <c r="N842" s="10">
        <v>25</v>
      </c>
      <c r="O842" s="30"/>
      <c r="P842" s="31"/>
      <c r="Q842" s="45"/>
      <c r="R842" s="31"/>
      <c r="S842" s="31"/>
      <c r="T842" s="32">
        <f t="shared" si="176"/>
        <v>0</v>
      </c>
      <c r="U842" s="10"/>
      <c r="V842" s="10"/>
      <c r="W842" s="10"/>
      <c r="X842" s="12">
        <f t="shared" si="177"/>
        <v>0</v>
      </c>
      <c r="Z842" s="10">
        <v>25</v>
      </c>
      <c r="AA842" s="30"/>
      <c r="AB842" s="31"/>
      <c r="AC842" s="45"/>
      <c r="AD842" s="31"/>
      <c r="AE842" s="31"/>
      <c r="AF842" s="32">
        <f t="shared" si="178"/>
        <v>0</v>
      </c>
      <c r="AG842" s="10"/>
      <c r="AH842" s="10"/>
      <c r="AI842" s="10"/>
      <c r="AJ842" s="12">
        <f t="shared" si="179"/>
        <v>0</v>
      </c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1:53" x14ac:dyDescent="0.25">
      <c r="A843" s="18"/>
      <c r="B843" s="10">
        <v>26</v>
      </c>
      <c r="C843" s="30"/>
      <c r="D843" s="31"/>
      <c r="E843" s="45"/>
      <c r="F843" s="31"/>
      <c r="G843" s="31"/>
      <c r="H843" s="32">
        <f t="shared" si="174"/>
        <v>0</v>
      </c>
      <c r="I843" s="10"/>
      <c r="J843" s="10"/>
      <c r="K843" s="10"/>
      <c r="L843" s="12">
        <f t="shared" si="175"/>
        <v>0</v>
      </c>
      <c r="N843" s="10">
        <v>26</v>
      </c>
      <c r="O843" s="30"/>
      <c r="P843" s="31"/>
      <c r="Q843" s="45"/>
      <c r="R843" s="31"/>
      <c r="S843" s="31"/>
      <c r="T843" s="32">
        <f t="shared" si="176"/>
        <v>0</v>
      </c>
      <c r="U843" s="10"/>
      <c r="V843" s="10"/>
      <c r="W843" s="10"/>
      <c r="X843" s="12">
        <f t="shared" si="177"/>
        <v>0</v>
      </c>
      <c r="Z843" s="10">
        <v>26</v>
      </c>
      <c r="AA843" s="30"/>
      <c r="AB843" s="31"/>
      <c r="AC843" s="45"/>
      <c r="AD843" s="31"/>
      <c r="AE843" s="31"/>
      <c r="AF843" s="32">
        <f t="shared" si="178"/>
        <v>0</v>
      </c>
      <c r="AG843" s="10"/>
      <c r="AH843" s="10"/>
      <c r="AI843" s="10"/>
      <c r="AJ843" s="12">
        <f t="shared" si="179"/>
        <v>0</v>
      </c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1:53" x14ac:dyDescent="0.25">
      <c r="A844" s="18"/>
      <c r="B844" s="10">
        <v>27</v>
      </c>
      <c r="C844" s="30"/>
      <c r="D844" s="31"/>
      <c r="E844" s="45"/>
      <c r="F844" s="31"/>
      <c r="G844" s="31"/>
      <c r="H844" s="32">
        <f t="shared" si="174"/>
        <v>0</v>
      </c>
      <c r="I844" s="10"/>
      <c r="J844" s="10"/>
      <c r="K844" s="10"/>
      <c r="L844" s="12">
        <f t="shared" si="175"/>
        <v>0</v>
      </c>
      <c r="N844" s="10">
        <v>27</v>
      </c>
      <c r="O844" s="30"/>
      <c r="P844" s="31"/>
      <c r="Q844" s="45"/>
      <c r="R844" s="31"/>
      <c r="S844" s="31"/>
      <c r="T844" s="32">
        <f t="shared" si="176"/>
        <v>0</v>
      </c>
      <c r="U844" s="10"/>
      <c r="V844" s="10"/>
      <c r="W844" s="10"/>
      <c r="X844" s="12">
        <f t="shared" si="177"/>
        <v>0</v>
      </c>
      <c r="Z844" s="10">
        <v>27</v>
      </c>
      <c r="AA844" s="30"/>
      <c r="AB844" s="31"/>
      <c r="AC844" s="45"/>
      <c r="AD844" s="31"/>
      <c r="AE844" s="31"/>
      <c r="AF844" s="32">
        <f t="shared" si="178"/>
        <v>0</v>
      </c>
      <c r="AG844" s="10"/>
      <c r="AH844" s="10"/>
      <c r="AI844" s="10"/>
      <c r="AJ844" s="12">
        <f t="shared" si="179"/>
        <v>0</v>
      </c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1:53" x14ac:dyDescent="0.25">
      <c r="A845" s="18"/>
      <c r="B845" s="10">
        <v>28</v>
      </c>
      <c r="C845" s="30"/>
      <c r="D845" s="31"/>
      <c r="E845" s="45"/>
      <c r="F845" s="31"/>
      <c r="G845" s="31"/>
      <c r="H845" s="32">
        <f t="shared" si="174"/>
        <v>0</v>
      </c>
      <c r="I845" s="10"/>
      <c r="J845" s="10"/>
      <c r="K845" s="10"/>
      <c r="L845" s="12">
        <f t="shared" si="175"/>
        <v>0</v>
      </c>
      <c r="N845" s="10">
        <v>28</v>
      </c>
      <c r="O845" s="30"/>
      <c r="P845" s="31"/>
      <c r="Q845" s="45"/>
      <c r="R845" s="31"/>
      <c r="S845" s="31"/>
      <c r="T845" s="32">
        <f t="shared" si="176"/>
        <v>0</v>
      </c>
      <c r="U845" s="10"/>
      <c r="V845" s="10"/>
      <c r="W845" s="10"/>
      <c r="X845" s="12">
        <f t="shared" si="177"/>
        <v>0</v>
      </c>
      <c r="Z845" s="10">
        <v>28</v>
      </c>
      <c r="AA845" s="30"/>
      <c r="AB845" s="31"/>
      <c r="AC845" s="45"/>
      <c r="AD845" s="31"/>
      <c r="AE845" s="31"/>
      <c r="AF845" s="32">
        <f t="shared" si="178"/>
        <v>0</v>
      </c>
      <c r="AG845" s="10"/>
      <c r="AH845" s="10"/>
      <c r="AI845" s="10"/>
      <c r="AJ845" s="12">
        <f t="shared" si="179"/>
        <v>0</v>
      </c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1:53" x14ac:dyDescent="0.25">
      <c r="A846" s="18"/>
      <c r="B846" s="10">
        <v>29</v>
      </c>
      <c r="C846" s="30"/>
      <c r="D846" s="31"/>
      <c r="E846" s="45"/>
      <c r="F846" s="31"/>
      <c r="G846" s="31"/>
      <c r="H846" s="32">
        <f t="shared" si="174"/>
        <v>0</v>
      </c>
      <c r="I846" s="10"/>
      <c r="J846" s="10"/>
      <c r="K846" s="10"/>
      <c r="L846" s="12">
        <f t="shared" si="175"/>
        <v>0</v>
      </c>
      <c r="N846" s="10">
        <v>29</v>
      </c>
      <c r="O846" s="30"/>
      <c r="P846" s="31"/>
      <c r="Q846" s="45"/>
      <c r="R846" s="31"/>
      <c r="S846" s="31"/>
      <c r="T846" s="32">
        <f t="shared" si="176"/>
        <v>0</v>
      </c>
      <c r="U846" s="10"/>
      <c r="V846" s="10"/>
      <c r="W846" s="10"/>
      <c r="X846" s="12">
        <f t="shared" si="177"/>
        <v>0</v>
      </c>
      <c r="Z846" s="10">
        <v>29</v>
      </c>
      <c r="AA846" s="30"/>
      <c r="AB846" s="31"/>
      <c r="AC846" s="45"/>
      <c r="AD846" s="31"/>
      <c r="AE846" s="31"/>
      <c r="AF846" s="32">
        <f t="shared" si="178"/>
        <v>0</v>
      </c>
      <c r="AG846" s="10"/>
      <c r="AH846" s="10"/>
      <c r="AI846" s="10"/>
      <c r="AJ846" s="12">
        <f t="shared" si="179"/>
        <v>0</v>
      </c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1:53" x14ac:dyDescent="0.25">
      <c r="A847" s="18"/>
      <c r="B847" s="10">
        <v>30</v>
      </c>
      <c r="C847" s="30"/>
      <c r="D847" s="31"/>
      <c r="E847" s="45"/>
      <c r="F847" s="31"/>
      <c r="G847" s="31"/>
      <c r="H847" s="32">
        <f t="shared" si="174"/>
        <v>0</v>
      </c>
      <c r="I847" s="10"/>
      <c r="J847" s="10"/>
      <c r="K847" s="10"/>
      <c r="L847" s="12">
        <f t="shared" si="175"/>
        <v>0</v>
      </c>
      <c r="N847" s="10">
        <v>30</v>
      </c>
      <c r="O847" s="30"/>
      <c r="P847" s="31"/>
      <c r="Q847" s="45"/>
      <c r="R847" s="31"/>
      <c r="S847" s="31"/>
      <c r="T847" s="32">
        <f t="shared" si="176"/>
        <v>0</v>
      </c>
      <c r="U847" s="10"/>
      <c r="V847" s="10"/>
      <c r="W847" s="10"/>
      <c r="X847" s="12">
        <f t="shared" si="177"/>
        <v>0</v>
      </c>
      <c r="Z847" s="10">
        <v>30</v>
      </c>
      <c r="AA847" s="30"/>
      <c r="AB847" s="31"/>
      <c r="AC847" s="45"/>
      <c r="AD847" s="31"/>
      <c r="AE847" s="31"/>
      <c r="AF847" s="32">
        <f t="shared" si="178"/>
        <v>0</v>
      </c>
      <c r="AG847" s="10"/>
      <c r="AH847" s="10"/>
      <c r="AI847" s="10"/>
      <c r="AJ847" s="12">
        <f t="shared" si="179"/>
        <v>0</v>
      </c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1:53" x14ac:dyDescent="0.25">
      <c r="A848" s="18"/>
      <c r="B848" s="10">
        <v>31</v>
      </c>
      <c r="C848" s="30"/>
      <c r="D848" s="31"/>
      <c r="E848" s="45"/>
      <c r="F848" s="31"/>
      <c r="G848" s="31"/>
      <c r="H848" s="32">
        <f t="shared" si="174"/>
        <v>0</v>
      </c>
      <c r="I848" s="10"/>
      <c r="J848" s="10"/>
      <c r="K848" s="10"/>
      <c r="L848" s="12">
        <f t="shared" si="175"/>
        <v>0</v>
      </c>
      <c r="N848" s="10">
        <v>31</v>
      </c>
      <c r="O848" s="30"/>
      <c r="P848" s="31"/>
      <c r="Q848" s="45"/>
      <c r="R848" s="31"/>
      <c r="S848" s="31"/>
      <c r="T848" s="32">
        <f t="shared" si="176"/>
        <v>0</v>
      </c>
      <c r="U848" s="10"/>
      <c r="V848" s="10"/>
      <c r="W848" s="10"/>
      <c r="X848" s="12">
        <f t="shared" si="177"/>
        <v>0</v>
      </c>
      <c r="Z848" s="10">
        <v>31</v>
      </c>
      <c r="AA848" s="30"/>
      <c r="AB848" s="31"/>
      <c r="AC848" s="45"/>
      <c r="AD848" s="31"/>
      <c r="AE848" s="31"/>
      <c r="AF848" s="32">
        <f t="shared" si="178"/>
        <v>0</v>
      </c>
      <c r="AG848" s="10"/>
      <c r="AH848" s="10"/>
      <c r="AI848" s="10"/>
      <c r="AJ848" s="12">
        <f t="shared" si="179"/>
        <v>0</v>
      </c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1:53" x14ac:dyDescent="0.25">
      <c r="A849" s="18"/>
      <c r="B849" s="10">
        <v>32</v>
      </c>
      <c r="C849" s="30"/>
      <c r="D849" s="31"/>
      <c r="E849" s="45"/>
      <c r="F849" s="31"/>
      <c r="G849" s="31"/>
      <c r="H849" s="32">
        <f t="shared" si="174"/>
        <v>0</v>
      </c>
      <c r="I849" s="10"/>
      <c r="J849" s="10"/>
      <c r="K849" s="10"/>
      <c r="L849" s="12">
        <f t="shared" si="175"/>
        <v>0</v>
      </c>
      <c r="N849" s="10">
        <v>32</v>
      </c>
      <c r="O849" s="30"/>
      <c r="P849" s="31"/>
      <c r="Q849" s="45"/>
      <c r="R849" s="31"/>
      <c r="S849" s="31"/>
      <c r="T849" s="32">
        <f t="shared" si="176"/>
        <v>0</v>
      </c>
      <c r="U849" s="10"/>
      <c r="V849" s="10"/>
      <c r="W849" s="10"/>
      <c r="X849" s="12">
        <f t="shared" si="177"/>
        <v>0</v>
      </c>
      <c r="Z849" s="10">
        <v>32</v>
      </c>
      <c r="AA849" s="30"/>
      <c r="AB849" s="31"/>
      <c r="AC849" s="45"/>
      <c r="AD849" s="31"/>
      <c r="AE849" s="31"/>
      <c r="AF849" s="32">
        <f t="shared" si="178"/>
        <v>0</v>
      </c>
      <c r="AG849" s="10"/>
      <c r="AH849" s="10"/>
      <c r="AI849" s="10"/>
      <c r="AJ849" s="12">
        <f t="shared" si="179"/>
        <v>0</v>
      </c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1:53" x14ac:dyDescent="0.25">
      <c r="A850" s="18"/>
      <c r="B850" s="10">
        <v>33</v>
      </c>
      <c r="C850" s="30"/>
      <c r="D850" s="31"/>
      <c r="E850" s="45"/>
      <c r="F850" s="31"/>
      <c r="G850" s="31"/>
      <c r="H850" s="32">
        <f t="shared" si="174"/>
        <v>0</v>
      </c>
      <c r="I850" s="10"/>
      <c r="J850" s="10"/>
      <c r="K850" s="10"/>
      <c r="L850" s="12">
        <f t="shared" si="175"/>
        <v>0</v>
      </c>
      <c r="N850" s="10">
        <v>33</v>
      </c>
      <c r="O850" s="30"/>
      <c r="P850" s="31"/>
      <c r="Q850" s="45"/>
      <c r="R850" s="31"/>
      <c r="S850" s="31"/>
      <c r="T850" s="32">
        <f t="shared" si="176"/>
        <v>0</v>
      </c>
      <c r="U850" s="10"/>
      <c r="V850" s="10"/>
      <c r="W850" s="10"/>
      <c r="X850" s="12">
        <f t="shared" si="177"/>
        <v>0</v>
      </c>
      <c r="Z850" s="10">
        <v>33</v>
      </c>
      <c r="AA850" s="30"/>
      <c r="AB850" s="31"/>
      <c r="AC850" s="45"/>
      <c r="AD850" s="31"/>
      <c r="AE850" s="31"/>
      <c r="AF850" s="32">
        <f t="shared" si="178"/>
        <v>0</v>
      </c>
      <c r="AG850" s="10"/>
      <c r="AH850" s="10"/>
      <c r="AI850" s="10"/>
      <c r="AJ850" s="12">
        <f t="shared" si="179"/>
        <v>0</v>
      </c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1:53" ht="15" customHeight="1" x14ac:dyDescent="0.25">
      <c r="A851" s="18"/>
      <c r="B851" s="10">
        <v>34</v>
      </c>
      <c r="C851" s="30"/>
      <c r="D851" s="31"/>
      <c r="E851" s="45"/>
      <c r="F851" s="31"/>
      <c r="G851" s="31"/>
      <c r="H851" s="32">
        <f t="shared" si="174"/>
        <v>0</v>
      </c>
      <c r="I851" s="10"/>
      <c r="J851" s="10"/>
      <c r="K851" s="10"/>
      <c r="L851" s="12">
        <f t="shared" si="175"/>
        <v>0</v>
      </c>
      <c r="N851" s="10">
        <v>34</v>
      </c>
      <c r="O851" s="30"/>
      <c r="P851" s="31"/>
      <c r="Q851" s="45"/>
      <c r="R851" s="31"/>
      <c r="S851" s="31"/>
      <c r="T851" s="32">
        <f t="shared" si="176"/>
        <v>0</v>
      </c>
      <c r="U851" s="10"/>
      <c r="V851" s="10"/>
      <c r="W851" s="10"/>
      <c r="X851" s="12">
        <f t="shared" si="177"/>
        <v>0</v>
      </c>
      <c r="Z851" s="10">
        <v>34</v>
      </c>
      <c r="AA851" s="30"/>
      <c r="AB851" s="31"/>
      <c r="AC851" s="45"/>
      <c r="AD851" s="31"/>
      <c r="AE851" s="31"/>
      <c r="AF851" s="32">
        <f t="shared" si="178"/>
        <v>0</v>
      </c>
      <c r="AG851" s="10"/>
      <c r="AH851" s="10"/>
      <c r="AI851" s="10"/>
      <c r="AJ851" s="12">
        <f t="shared" si="179"/>
        <v>0</v>
      </c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1:53" x14ac:dyDescent="0.25">
      <c r="A852" s="18"/>
      <c r="B852" s="10">
        <v>35</v>
      </c>
      <c r="C852" s="30"/>
      <c r="D852" s="31"/>
      <c r="E852" s="45"/>
      <c r="F852" s="31"/>
      <c r="G852" s="31"/>
      <c r="H852" s="32">
        <f t="shared" si="174"/>
        <v>0</v>
      </c>
      <c r="I852" s="10"/>
      <c r="J852" s="10"/>
      <c r="K852" s="10"/>
      <c r="L852" s="12">
        <f t="shared" si="175"/>
        <v>0</v>
      </c>
      <c r="N852" s="10">
        <v>35</v>
      </c>
      <c r="O852" s="30"/>
      <c r="P852" s="31"/>
      <c r="Q852" s="45"/>
      <c r="R852" s="31"/>
      <c r="S852" s="31"/>
      <c r="T852" s="32">
        <f t="shared" si="176"/>
        <v>0</v>
      </c>
      <c r="U852" s="10"/>
      <c r="V852" s="10"/>
      <c r="W852" s="10"/>
      <c r="X852" s="12">
        <f t="shared" si="177"/>
        <v>0</v>
      </c>
      <c r="Z852" s="10">
        <v>35</v>
      </c>
      <c r="AA852" s="30"/>
      <c r="AB852" s="31"/>
      <c r="AC852" s="45"/>
      <c r="AD852" s="31"/>
      <c r="AE852" s="31"/>
      <c r="AF852" s="32">
        <f t="shared" si="178"/>
        <v>0</v>
      </c>
      <c r="AG852" s="10"/>
      <c r="AH852" s="10"/>
      <c r="AI852" s="10"/>
      <c r="AJ852" s="12">
        <f t="shared" si="179"/>
        <v>0</v>
      </c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1:53" x14ac:dyDescent="0.25">
      <c r="A853" s="18"/>
      <c r="B853" s="10">
        <v>36</v>
      </c>
      <c r="C853" s="30"/>
      <c r="D853" s="31"/>
      <c r="E853" s="45"/>
      <c r="F853" s="31"/>
      <c r="G853" s="31"/>
      <c r="H853" s="32">
        <f t="shared" si="174"/>
        <v>0</v>
      </c>
      <c r="I853" s="10"/>
      <c r="J853" s="10"/>
      <c r="K853" s="10"/>
      <c r="L853" s="12">
        <f t="shared" si="175"/>
        <v>0</v>
      </c>
      <c r="N853" s="10">
        <v>36</v>
      </c>
      <c r="O853" s="30"/>
      <c r="P853" s="31"/>
      <c r="Q853" s="45"/>
      <c r="R853" s="31"/>
      <c r="S853" s="31"/>
      <c r="T853" s="32">
        <f t="shared" si="176"/>
        <v>0</v>
      </c>
      <c r="U853" s="10"/>
      <c r="V853" s="10"/>
      <c r="W853" s="10"/>
      <c r="X853" s="12">
        <f t="shared" si="177"/>
        <v>0</v>
      </c>
      <c r="Z853" s="10">
        <v>36</v>
      </c>
      <c r="AA853" s="30"/>
      <c r="AB853" s="31"/>
      <c r="AC853" s="45"/>
      <c r="AD853" s="31"/>
      <c r="AE853" s="31"/>
      <c r="AF853" s="32">
        <f t="shared" si="178"/>
        <v>0</v>
      </c>
      <c r="AG853" s="10"/>
      <c r="AH853" s="10"/>
      <c r="AI853" s="10"/>
      <c r="AJ853" s="12">
        <f t="shared" si="179"/>
        <v>0</v>
      </c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1:53" x14ac:dyDescent="0.25">
      <c r="A854" s="18"/>
      <c r="B854" s="10">
        <v>37</v>
      </c>
      <c r="C854" s="30"/>
      <c r="D854"/>
      <c r="E854" s="45"/>
      <c r="F854" s="31"/>
      <c r="G854" s="31"/>
      <c r="H854" s="32">
        <f t="shared" si="174"/>
        <v>0</v>
      </c>
      <c r="I854" s="10"/>
      <c r="J854" s="10"/>
      <c r="K854" s="10"/>
      <c r="L854" s="12">
        <f t="shared" si="175"/>
        <v>0</v>
      </c>
      <c r="N854" s="10">
        <v>37</v>
      </c>
      <c r="O854" s="30"/>
      <c r="Q854" s="45"/>
      <c r="R854" s="31"/>
      <c r="S854" s="31"/>
      <c r="T854" s="32">
        <f t="shared" si="176"/>
        <v>0</v>
      </c>
      <c r="U854" s="10"/>
      <c r="V854" s="10"/>
      <c r="W854" s="10"/>
      <c r="X854" s="12">
        <f t="shared" si="177"/>
        <v>0</v>
      </c>
      <c r="Z854" s="10">
        <v>37</v>
      </c>
      <c r="AA854" s="30"/>
      <c r="AB854" s="31"/>
      <c r="AC854" s="45"/>
      <c r="AD854" s="31"/>
      <c r="AE854" s="31"/>
      <c r="AF854" s="32">
        <f t="shared" si="178"/>
        <v>0</v>
      </c>
      <c r="AG854" s="10"/>
      <c r="AH854" s="10"/>
      <c r="AI854" s="10"/>
      <c r="AJ854" s="12">
        <f t="shared" si="179"/>
        <v>0</v>
      </c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1:53" x14ac:dyDescent="0.25">
      <c r="A855" s="18"/>
      <c r="B855" s="10">
        <v>38</v>
      </c>
      <c r="C855" s="30"/>
      <c r="D855" s="31"/>
      <c r="E855" s="45"/>
      <c r="F855" s="31"/>
      <c r="G855" s="31"/>
      <c r="H855" s="32">
        <f t="shared" si="174"/>
        <v>0</v>
      </c>
      <c r="I855" s="10"/>
      <c r="J855" s="10"/>
      <c r="K855" s="10"/>
      <c r="L855" s="12">
        <f t="shared" si="175"/>
        <v>0</v>
      </c>
      <c r="N855" s="10">
        <v>38</v>
      </c>
      <c r="O855" s="30"/>
      <c r="P855" s="31"/>
      <c r="Q855" s="45"/>
      <c r="R855" s="31"/>
      <c r="S855" s="31"/>
      <c r="T855" s="32">
        <f t="shared" si="176"/>
        <v>0</v>
      </c>
      <c r="U855" s="10"/>
      <c r="V855" s="10"/>
      <c r="W855" s="10"/>
      <c r="X855" s="12">
        <f t="shared" si="177"/>
        <v>0</v>
      </c>
      <c r="Z855" s="10">
        <v>38</v>
      </c>
      <c r="AA855" s="30"/>
      <c r="AB855" s="31"/>
      <c r="AC855" s="45"/>
      <c r="AD855" s="31"/>
      <c r="AE855" s="31"/>
      <c r="AF855" s="32">
        <f t="shared" si="178"/>
        <v>0</v>
      </c>
      <c r="AG855" s="10"/>
      <c r="AH855" s="10"/>
      <c r="AI855" s="10"/>
      <c r="AJ855" s="12">
        <f t="shared" si="179"/>
        <v>0</v>
      </c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1:53" x14ac:dyDescent="0.25">
      <c r="A856" s="18"/>
      <c r="B856" s="10">
        <v>39</v>
      </c>
      <c r="C856" s="30"/>
      <c r="D856" s="31"/>
      <c r="E856" s="45"/>
      <c r="F856" s="31"/>
      <c r="G856" s="31"/>
      <c r="H856" s="32">
        <f t="shared" si="174"/>
        <v>0</v>
      </c>
      <c r="I856" s="10"/>
      <c r="J856" s="10"/>
      <c r="K856" s="10"/>
      <c r="L856" s="12">
        <f t="shared" si="175"/>
        <v>0</v>
      </c>
      <c r="N856" s="10">
        <v>39</v>
      </c>
      <c r="O856" s="30"/>
      <c r="P856" s="31"/>
      <c r="Q856" s="45"/>
      <c r="R856" s="31"/>
      <c r="S856" s="31"/>
      <c r="T856" s="32">
        <f t="shared" si="176"/>
        <v>0</v>
      </c>
      <c r="U856" s="10"/>
      <c r="V856" s="10"/>
      <c r="W856" s="10"/>
      <c r="X856" s="12">
        <f t="shared" si="177"/>
        <v>0</v>
      </c>
      <c r="Z856" s="10">
        <v>39</v>
      </c>
      <c r="AA856" s="30"/>
      <c r="AB856" s="31"/>
      <c r="AC856" s="45"/>
      <c r="AD856" s="31"/>
      <c r="AE856" s="31"/>
      <c r="AF856" s="32">
        <f t="shared" si="178"/>
        <v>0</v>
      </c>
      <c r="AG856" s="10"/>
      <c r="AH856" s="10"/>
      <c r="AI856" s="10"/>
      <c r="AJ856" s="12">
        <f t="shared" si="179"/>
        <v>0</v>
      </c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1:53" x14ac:dyDescent="0.25">
      <c r="A857" s="18"/>
      <c r="B857" s="10"/>
      <c r="C857" s="30"/>
      <c r="D857"/>
      <c r="E857" s="45"/>
      <c r="F857" s="31"/>
      <c r="G857" s="31"/>
      <c r="H857" s="32"/>
      <c r="I857" s="10"/>
      <c r="J857" s="10"/>
      <c r="K857" s="10"/>
      <c r="L857" s="12">
        <f t="shared" si="175"/>
        <v>0</v>
      </c>
      <c r="N857" s="10"/>
      <c r="O857" s="30"/>
      <c r="Q857" s="45"/>
      <c r="R857" s="31"/>
      <c r="S857" s="31"/>
      <c r="T857" s="32"/>
      <c r="U857" s="10"/>
      <c r="V857" s="10"/>
      <c r="W857" s="10"/>
      <c r="X857" s="12">
        <f t="shared" si="177"/>
        <v>0</v>
      </c>
      <c r="Z857" s="10"/>
      <c r="AA857" s="30"/>
      <c r="AC857" s="45"/>
      <c r="AD857" s="31"/>
      <c r="AE857" s="31"/>
      <c r="AF857" s="32"/>
      <c r="AG857" s="10"/>
      <c r="AH857" s="10"/>
      <c r="AI857" s="10"/>
      <c r="AJ857" s="12">
        <f t="shared" si="179"/>
        <v>0</v>
      </c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1:53" x14ac:dyDescent="0.25">
      <c r="A858" s="18"/>
      <c r="B858" s="10"/>
      <c r="C858" s="30"/>
      <c r="D858" s="31"/>
      <c r="E858" s="45"/>
      <c r="F858" s="31"/>
      <c r="G858" s="31"/>
      <c r="H858" s="32">
        <f t="shared" ref="H858" si="183">SUM(E858:F858)</f>
        <v>0</v>
      </c>
      <c r="I858" s="10"/>
      <c r="J858" s="10"/>
      <c r="K858" s="10"/>
      <c r="L858" s="12">
        <f t="shared" si="175"/>
        <v>0</v>
      </c>
      <c r="N858" s="10"/>
      <c r="O858" s="30"/>
      <c r="P858" s="31"/>
      <c r="Q858" s="45"/>
      <c r="R858" s="31"/>
      <c r="S858" s="31"/>
      <c r="T858" s="32">
        <f t="shared" ref="T858" si="184">SUM(Q858:R858)</f>
        <v>0</v>
      </c>
      <c r="U858" s="10"/>
      <c r="V858" s="10"/>
      <c r="W858" s="10"/>
      <c r="X858" s="12">
        <f t="shared" si="177"/>
        <v>0</v>
      </c>
      <c r="Z858" s="10"/>
      <c r="AA858" s="30"/>
      <c r="AB858" s="31"/>
      <c r="AC858" s="45"/>
      <c r="AD858" s="31"/>
      <c r="AE858" s="31"/>
      <c r="AF858" s="32">
        <f t="shared" ref="AF858" si="185">SUM(AC858:AD858)</f>
        <v>0</v>
      </c>
      <c r="AG858" s="10"/>
      <c r="AH858" s="10"/>
      <c r="AI858" s="10"/>
      <c r="AJ858" s="12">
        <f t="shared" si="179"/>
        <v>0</v>
      </c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1:53" x14ac:dyDescent="0.25">
      <c r="A859" s="18"/>
      <c r="B859" s="10"/>
      <c r="C859" s="31"/>
      <c r="D859" s="31"/>
      <c r="E859" s="31"/>
      <c r="F859" s="31"/>
      <c r="G859" s="31"/>
      <c r="H859" s="31"/>
      <c r="I859" s="10"/>
      <c r="J859" s="10"/>
      <c r="K859" s="10"/>
      <c r="L859" s="12">
        <f t="shared" si="175"/>
        <v>0</v>
      </c>
      <c r="N859" s="10"/>
      <c r="O859" s="31"/>
      <c r="P859" s="31"/>
      <c r="Q859" s="31"/>
      <c r="R859" s="31"/>
      <c r="S859" s="31"/>
      <c r="T859" s="31"/>
      <c r="U859" s="10"/>
      <c r="V859" s="10"/>
      <c r="W859" s="10"/>
      <c r="X859" s="12">
        <f t="shared" si="177"/>
        <v>0</v>
      </c>
      <c r="Z859" s="10"/>
      <c r="AA859" s="31"/>
      <c r="AB859" s="31"/>
      <c r="AC859" s="31"/>
      <c r="AD859" s="31"/>
      <c r="AE859" s="31"/>
      <c r="AF859" s="31"/>
      <c r="AG859" s="10"/>
      <c r="AH859" s="10"/>
      <c r="AI859" s="10"/>
      <c r="AJ859" s="12">
        <f t="shared" si="179"/>
        <v>0</v>
      </c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1:53" x14ac:dyDescent="0.25">
      <c r="A860" s="18"/>
      <c r="C860" s="55"/>
      <c r="D860" s="55"/>
      <c r="E860" s="36"/>
      <c r="F860" s="36"/>
      <c r="G860" s="36"/>
      <c r="H860" s="36"/>
      <c r="I860" s="37"/>
      <c r="J860" s="37"/>
      <c r="K860" s="37"/>
      <c r="L860" s="37"/>
      <c r="O860" s="55"/>
      <c r="P860" s="55"/>
      <c r="Q860" s="36"/>
      <c r="R860" s="36"/>
      <c r="S860" s="36"/>
      <c r="T860" s="36"/>
      <c r="U860" s="37"/>
      <c r="V860" s="37"/>
      <c r="W860" s="37"/>
      <c r="X860" s="37"/>
      <c r="AA860" s="55"/>
      <c r="AB860" s="55"/>
      <c r="AC860" s="36"/>
      <c r="AD860" s="36"/>
      <c r="AE860" s="36"/>
      <c r="AF860" s="36"/>
      <c r="AG860" s="37"/>
      <c r="AH860" s="37"/>
      <c r="AI860" s="37"/>
      <c r="AJ860" s="37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1:53" x14ac:dyDescent="0.25">
      <c r="A861" s="18"/>
      <c r="C861" s="55"/>
      <c r="D861" s="55"/>
      <c r="E861" s="38">
        <f>SUM(E818:E860)</f>
        <v>345321</v>
      </c>
      <c r="F861" s="38">
        <f>SUM(F818:F842)</f>
        <v>0</v>
      </c>
      <c r="G861" s="38">
        <f>SUM(G818:G842)</f>
        <v>0</v>
      </c>
      <c r="H861" s="38">
        <f>SUM(H818:H860)</f>
        <v>345321</v>
      </c>
      <c r="I861" s="4"/>
      <c r="J861" s="39">
        <f>SUM(J818:J860)</f>
        <v>264</v>
      </c>
      <c r="K861" s="39">
        <f>SUM(K818:K842)</f>
        <v>0</v>
      </c>
      <c r="L861" s="40">
        <f>SUM(L818:L860)</f>
        <v>345585</v>
      </c>
      <c r="O861" s="55"/>
      <c r="P861" s="55"/>
      <c r="Q861" s="38">
        <f>SUM(Q818:Q860)</f>
        <v>217295.5</v>
      </c>
      <c r="R861" s="38">
        <f>SUM(R818:R842)</f>
        <v>-1944</v>
      </c>
      <c r="S861" s="38">
        <f>SUM(S818:S842)</f>
        <v>0</v>
      </c>
      <c r="T861" s="38">
        <f>SUM(T818:T860)</f>
        <v>215351.5</v>
      </c>
      <c r="U861" s="4"/>
      <c r="V861" s="39">
        <f>SUM(V818:V860)</f>
        <v>378</v>
      </c>
      <c r="W861" s="39">
        <f>SUM(W818:W842)</f>
        <v>-501</v>
      </c>
      <c r="X861" s="40">
        <f>SUM(X818:X860)</f>
        <v>215228.5</v>
      </c>
      <c r="AA861" s="55"/>
      <c r="AB861" s="55"/>
      <c r="AC861" s="38">
        <f>SUM(AC818:AC860)</f>
        <v>259381</v>
      </c>
      <c r="AD861" s="38">
        <f>SUM(AD818:AD842)</f>
        <v>-1656</v>
      </c>
      <c r="AE861" s="38">
        <f>SUM(AE818:AE842)</f>
        <v>0</v>
      </c>
      <c r="AF861" s="38">
        <f>SUM(AF818:AF860)</f>
        <v>257725</v>
      </c>
      <c r="AG861" s="4"/>
      <c r="AH861" s="39">
        <f>SUM(AH818:AH860)</f>
        <v>2988</v>
      </c>
      <c r="AI861" s="39">
        <f>SUM(AI818:AI842)</f>
        <v>-999</v>
      </c>
      <c r="AJ861" s="40">
        <f>SUM(AJ818:AJ860)</f>
        <v>259714</v>
      </c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1:5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1:53" x14ac:dyDescent="0.25">
      <c r="A863" s="18"/>
      <c r="B863" t="s">
        <v>0</v>
      </c>
      <c r="C863" s="55"/>
      <c r="D863" s="55"/>
      <c r="E863" s="55"/>
      <c r="F863" s="55"/>
      <c r="H863" s="55"/>
      <c r="N863" t="s">
        <v>0</v>
      </c>
      <c r="O863" s="55"/>
      <c r="P863" s="55"/>
      <c r="Q863" s="55"/>
      <c r="R863" s="55"/>
      <c r="S863" s="55"/>
      <c r="T863" s="55"/>
      <c r="Z863" t="s">
        <v>0</v>
      </c>
      <c r="AA863" s="55"/>
      <c r="AB863" s="55"/>
      <c r="AC863" s="55"/>
      <c r="AD863" s="55"/>
      <c r="AE863" s="55"/>
      <c r="AF863" s="55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1:53" x14ac:dyDescent="0.25">
      <c r="A864" s="18"/>
      <c r="B864" t="s">
        <v>28</v>
      </c>
      <c r="C864" s="55"/>
      <c r="D864" s="55"/>
      <c r="E864" s="55"/>
      <c r="F864" s="55"/>
      <c r="H864" s="55"/>
      <c r="N864" t="s">
        <v>28</v>
      </c>
      <c r="O864" s="55"/>
      <c r="P864" s="55"/>
      <c r="Q864" s="55"/>
      <c r="R864" s="55"/>
      <c r="S864" s="55"/>
      <c r="T864" s="55"/>
      <c r="Z864" t="s">
        <v>28</v>
      </c>
      <c r="AA864" s="55"/>
      <c r="AB864" s="55"/>
      <c r="AC864" s="55"/>
      <c r="AD864" s="55"/>
      <c r="AE864" s="55"/>
      <c r="AF864" s="55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1:53" x14ac:dyDescent="0.25">
      <c r="A865" s="18"/>
      <c r="C865" s="55"/>
      <c r="D865" s="55"/>
      <c r="E865" s="55"/>
      <c r="F865" s="55"/>
      <c r="H865" s="55"/>
      <c r="O865" s="55"/>
      <c r="P865" s="55"/>
      <c r="Q865" s="55"/>
      <c r="R865" s="55"/>
      <c r="S865" s="55"/>
      <c r="T865" s="55"/>
      <c r="AA865" s="55"/>
      <c r="AB865" s="55"/>
      <c r="AC865" s="55"/>
      <c r="AD865" s="55"/>
      <c r="AE865" s="55"/>
      <c r="AF865" s="55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1:53" x14ac:dyDescent="0.25">
      <c r="A866" s="18"/>
      <c r="B866" s="4" t="s">
        <v>14</v>
      </c>
      <c r="C866" s="55"/>
      <c r="D866" s="55"/>
      <c r="E866" s="55"/>
      <c r="F866" s="55"/>
      <c r="H866" s="55"/>
      <c r="N866" s="4" t="s">
        <v>14</v>
      </c>
      <c r="O866" s="55"/>
      <c r="P866" s="55"/>
      <c r="Q866" s="55"/>
      <c r="R866" s="55"/>
      <c r="S866" s="55"/>
      <c r="T866" s="55"/>
      <c r="Z866" s="4" t="s">
        <v>14</v>
      </c>
      <c r="AA866" s="55"/>
      <c r="AB866" s="55"/>
      <c r="AC866" s="55"/>
      <c r="AD866" s="55"/>
      <c r="AE866" s="55"/>
      <c r="AF866" s="55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1:53" x14ac:dyDescent="0.25">
      <c r="A867" s="18"/>
      <c r="C867" s="55"/>
      <c r="D867" s="55"/>
      <c r="E867" s="55"/>
      <c r="F867" s="55"/>
      <c r="H867" s="55"/>
      <c r="O867" s="55"/>
      <c r="P867" s="55"/>
      <c r="Q867" s="55"/>
      <c r="R867" s="55"/>
      <c r="S867" s="55"/>
      <c r="T867" s="55"/>
      <c r="AA867" s="55"/>
      <c r="AB867" s="55"/>
      <c r="AC867" s="55"/>
      <c r="AD867" s="55"/>
      <c r="AE867" s="55"/>
      <c r="AF867" s="55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1:53" ht="15.75" x14ac:dyDescent="0.25">
      <c r="A868" s="18"/>
      <c r="B868" t="s">
        <v>50</v>
      </c>
      <c r="C868" s="55"/>
      <c r="D868" s="55"/>
      <c r="E868" s="55"/>
      <c r="F868" s="55"/>
      <c r="H868" s="55"/>
      <c r="J868" s="55" t="s">
        <v>15</v>
      </c>
      <c r="K868" s="19">
        <v>1</v>
      </c>
      <c r="N868" t="s">
        <v>50</v>
      </c>
      <c r="O868" s="55"/>
      <c r="P868" s="55"/>
      <c r="Q868" s="55"/>
      <c r="R868" s="55"/>
      <c r="S868" s="55"/>
      <c r="T868" s="55"/>
      <c r="V868" s="55" t="s">
        <v>15</v>
      </c>
      <c r="W868" s="19">
        <v>2</v>
      </c>
      <c r="Z868" t="s">
        <v>50</v>
      </c>
      <c r="AA868" s="55"/>
      <c r="AB868" s="55"/>
      <c r="AC868" s="55"/>
      <c r="AD868" s="55"/>
      <c r="AE868" s="55"/>
      <c r="AF868" s="55"/>
      <c r="AH868" s="55" t="s">
        <v>15</v>
      </c>
      <c r="AI868" s="20">
        <v>3</v>
      </c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1:53" x14ac:dyDescent="0.25">
      <c r="A869" s="18"/>
      <c r="B869" s="21" t="s">
        <v>84</v>
      </c>
      <c r="C869" s="20"/>
      <c r="D869" s="55"/>
      <c r="E869" s="55"/>
      <c r="F869" s="55"/>
      <c r="H869" s="55"/>
      <c r="J869" s="22" t="s">
        <v>16</v>
      </c>
      <c r="K869" s="23" t="s">
        <v>35</v>
      </c>
      <c r="L869" s="24"/>
      <c r="N869" s="21" t="s">
        <v>84</v>
      </c>
      <c r="O869" s="20"/>
      <c r="P869" s="55"/>
      <c r="Q869" s="55"/>
      <c r="R869" s="55"/>
      <c r="S869" s="55"/>
      <c r="T869" s="55"/>
      <c r="V869" s="22" t="s">
        <v>16</v>
      </c>
      <c r="W869" s="23" t="s">
        <v>82</v>
      </c>
      <c r="X869" s="24"/>
      <c r="Z869" s="21" t="s">
        <v>84</v>
      </c>
      <c r="AA869" s="20"/>
      <c r="AB869" s="55"/>
      <c r="AC869" s="55"/>
      <c r="AD869" s="55"/>
      <c r="AE869" s="55"/>
      <c r="AF869" s="55"/>
      <c r="AH869" s="22" t="s">
        <v>16</v>
      </c>
      <c r="AI869" s="23" t="s">
        <v>41</v>
      </c>
      <c r="AJ869" s="24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1:53" x14ac:dyDescent="0.25">
      <c r="A870" s="18"/>
      <c r="C870" s="55"/>
      <c r="D870" s="55"/>
      <c r="E870" s="55"/>
      <c r="F870" s="55"/>
      <c r="H870" s="55"/>
      <c r="O870" s="55"/>
      <c r="P870" s="55"/>
      <c r="Q870" s="55"/>
      <c r="R870" s="55"/>
      <c r="S870" s="55"/>
      <c r="T870" s="55"/>
      <c r="AA870" s="55"/>
      <c r="AB870" s="55"/>
      <c r="AC870" s="55"/>
      <c r="AD870" s="55"/>
      <c r="AE870" s="55"/>
      <c r="AF870" s="55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1:53" x14ac:dyDescent="0.25">
      <c r="A871" s="18"/>
      <c r="C871" s="25"/>
      <c r="D871" s="26"/>
      <c r="E871" s="118" t="s">
        <v>17</v>
      </c>
      <c r="F871" s="118"/>
      <c r="G871" s="108"/>
      <c r="H871" s="27"/>
      <c r="J871" s="119" t="s">
        <v>18</v>
      </c>
      <c r="K871" s="120"/>
      <c r="L871" s="121" t="s">
        <v>19</v>
      </c>
      <c r="O871" s="25"/>
      <c r="P871" s="26"/>
      <c r="Q871" s="118" t="s">
        <v>17</v>
      </c>
      <c r="R871" s="118"/>
      <c r="S871" s="108"/>
      <c r="T871" s="27"/>
      <c r="V871" s="119" t="s">
        <v>18</v>
      </c>
      <c r="W871" s="120"/>
      <c r="X871" s="121" t="s">
        <v>19</v>
      </c>
      <c r="AA871" s="25"/>
      <c r="AB871" s="26"/>
      <c r="AC871" s="118" t="s">
        <v>17</v>
      </c>
      <c r="AD871" s="118"/>
      <c r="AE871" s="108"/>
      <c r="AF871" s="27"/>
      <c r="AH871" s="119" t="s">
        <v>18</v>
      </c>
      <c r="AI871" s="120"/>
      <c r="AJ871" s="121" t="s">
        <v>19</v>
      </c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1:53" ht="30" x14ac:dyDescent="0.25">
      <c r="A872" s="18"/>
      <c r="C872" s="28" t="s">
        <v>20</v>
      </c>
      <c r="D872" s="28" t="s">
        <v>21</v>
      </c>
      <c r="E872" s="74" t="s">
        <v>22</v>
      </c>
      <c r="F872" s="75" t="s">
        <v>23</v>
      </c>
      <c r="G872" s="75" t="s">
        <v>31</v>
      </c>
      <c r="H872" s="75" t="s">
        <v>24</v>
      </c>
      <c r="J872" s="29" t="s">
        <v>25</v>
      </c>
      <c r="K872" s="29" t="s">
        <v>26</v>
      </c>
      <c r="L872" s="122"/>
      <c r="O872" s="28" t="s">
        <v>20</v>
      </c>
      <c r="P872" s="28" t="s">
        <v>21</v>
      </c>
      <c r="Q872" s="74" t="s">
        <v>22</v>
      </c>
      <c r="R872" s="75" t="s">
        <v>23</v>
      </c>
      <c r="S872" s="75" t="s">
        <v>31</v>
      </c>
      <c r="T872" s="75" t="s">
        <v>24</v>
      </c>
      <c r="V872" s="29" t="s">
        <v>25</v>
      </c>
      <c r="W872" s="29" t="s">
        <v>26</v>
      </c>
      <c r="X872" s="122"/>
      <c r="AA872" s="28" t="s">
        <v>20</v>
      </c>
      <c r="AB872" s="28" t="s">
        <v>21</v>
      </c>
      <c r="AC872" s="74" t="s">
        <v>22</v>
      </c>
      <c r="AD872" s="75" t="s">
        <v>23</v>
      </c>
      <c r="AE872" s="75" t="s">
        <v>31</v>
      </c>
      <c r="AF872" s="75" t="s">
        <v>24</v>
      </c>
      <c r="AH872" s="29" t="s">
        <v>25</v>
      </c>
      <c r="AI872" s="29" t="s">
        <v>26</v>
      </c>
      <c r="AJ872" s="122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1:53" x14ac:dyDescent="0.25">
      <c r="A873" s="18"/>
      <c r="B873" s="10">
        <v>1</v>
      </c>
      <c r="C873" s="30" t="s">
        <v>85</v>
      </c>
      <c r="D873" s="80">
        <v>11945</v>
      </c>
      <c r="E873" s="32">
        <f>650*127+670*5+973+622*3+912+1050+872*2+229*10+500+700*3</f>
        <v>97335</v>
      </c>
      <c r="F873" s="32"/>
      <c r="G873" s="32"/>
      <c r="H873" s="32">
        <f>SUM(E873:F873)</f>
        <v>97335</v>
      </c>
      <c r="I873" s="12"/>
      <c r="J873" s="12">
        <f>1.5*48+4.5*102+4.5*6</f>
        <v>558</v>
      </c>
      <c r="K873" s="12"/>
      <c r="L873" s="12">
        <f>SUM(H873:K873)</f>
        <v>97893</v>
      </c>
      <c r="N873" s="10">
        <v>1</v>
      </c>
      <c r="O873" s="30" t="s">
        <v>85</v>
      </c>
      <c r="P873" s="80">
        <v>11961</v>
      </c>
      <c r="Q873" s="32">
        <f>650*7</f>
        <v>4550</v>
      </c>
      <c r="R873" s="32"/>
      <c r="S873" s="32"/>
      <c r="T873" s="32">
        <f>SUM(Q873:R873)</f>
        <v>4550</v>
      </c>
      <c r="U873" s="12"/>
      <c r="V873" s="12"/>
      <c r="W873" s="12"/>
      <c r="X873" s="12">
        <f>SUM(T873:W873)</f>
        <v>4550</v>
      </c>
      <c r="Z873" s="10">
        <v>1</v>
      </c>
      <c r="AA873" s="30" t="s">
        <v>85</v>
      </c>
      <c r="AB873" s="31">
        <v>11898</v>
      </c>
      <c r="AC873" s="32">
        <f>650*108+229*4</f>
        <v>71116</v>
      </c>
      <c r="AD873" s="32">
        <f>-108*6</f>
        <v>-648</v>
      </c>
      <c r="AE873" s="32"/>
      <c r="AF873" s="32">
        <f>SUM(AC873:AD873)</f>
        <v>70468</v>
      </c>
      <c r="AG873" s="12"/>
      <c r="AH873" s="12">
        <f>1.5*36</f>
        <v>54</v>
      </c>
      <c r="AI873" s="12">
        <f>-120+-84*13</f>
        <v>-1212</v>
      </c>
      <c r="AJ873" s="12">
        <f>SUM(AF873:AI873)</f>
        <v>69310</v>
      </c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1:53" x14ac:dyDescent="0.25">
      <c r="A874" s="18"/>
      <c r="B874" s="10">
        <v>2</v>
      </c>
      <c r="C874" s="30" t="s">
        <v>85</v>
      </c>
      <c r="D874" s="80">
        <f>D873+1</f>
        <v>11946</v>
      </c>
      <c r="E874" s="32">
        <f>650*264+670*20+1582+622*25+912*10+1050+872*10+872*2+500*2+1582+700*10</f>
        <v>232348</v>
      </c>
      <c r="F874" s="32"/>
      <c r="G874" s="32"/>
      <c r="H874" s="32">
        <f t="shared" ref="H874:H911" si="186">SUM(E874:F874)</f>
        <v>232348</v>
      </c>
      <c r="I874" s="12"/>
      <c r="J874" s="12">
        <f>120*27+111*319</f>
        <v>38649</v>
      </c>
      <c r="K874" s="12">
        <f>-111*44+-84*259</f>
        <v>-26640</v>
      </c>
      <c r="L874" s="12">
        <f t="shared" ref="L874:L914" si="187">SUM(H874:K874)</f>
        <v>244357</v>
      </c>
      <c r="N874" s="10">
        <v>2</v>
      </c>
      <c r="O874" s="30" t="s">
        <v>85</v>
      </c>
      <c r="P874" s="80">
        <f>P873+1</f>
        <v>11962</v>
      </c>
      <c r="Q874" s="32">
        <f>650*60+670*5+622*20+912*2+872*2+229*3</f>
        <v>59045</v>
      </c>
      <c r="R874" s="32">
        <f>-89*6</f>
        <v>-534</v>
      </c>
      <c r="S874" s="32"/>
      <c r="T874" s="32">
        <f t="shared" ref="T874:T911" si="188">SUM(Q874:R874)</f>
        <v>58511</v>
      </c>
      <c r="U874" s="12"/>
      <c r="V874" s="12">
        <f>1.5*48</f>
        <v>72</v>
      </c>
      <c r="W874" s="12"/>
      <c r="X874" s="12">
        <f t="shared" ref="X874:X914" si="189">SUM(T874:W874)</f>
        <v>58583</v>
      </c>
      <c r="Z874" s="10">
        <v>2</v>
      </c>
      <c r="AA874" s="30" t="s">
        <v>85</v>
      </c>
      <c r="AB874" s="31">
        <f>AB873+1</f>
        <v>11899</v>
      </c>
      <c r="AC874" s="32">
        <f>650+622*2</f>
        <v>1894</v>
      </c>
      <c r="AD874" s="32"/>
      <c r="AE874" s="32"/>
      <c r="AF874" s="32">
        <f t="shared" ref="AF874:AF911" si="190">SUM(AC874:AD874)</f>
        <v>1894</v>
      </c>
      <c r="AG874" s="12"/>
      <c r="AH874" s="12"/>
      <c r="AI874" s="12"/>
      <c r="AJ874" s="12">
        <f t="shared" ref="AJ874:AJ914" si="191">SUM(AF874:AI874)</f>
        <v>1894</v>
      </c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1:53" x14ac:dyDescent="0.25">
      <c r="A875" s="18"/>
      <c r="B875" s="10">
        <v>3</v>
      </c>
      <c r="C875" s="30" t="s">
        <v>85</v>
      </c>
      <c r="D875" s="80">
        <f t="shared" ref="D875:D878" si="192">D874+1</f>
        <v>11947</v>
      </c>
      <c r="E875" s="33">
        <f>1667+650*9+650*10+650*10</f>
        <v>20517</v>
      </c>
      <c r="F875" s="33"/>
      <c r="G875" s="32"/>
      <c r="H875" s="32">
        <f t="shared" si="186"/>
        <v>20517</v>
      </c>
      <c r="I875" s="12"/>
      <c r="J875" s="34"/>
      <c r="K875" s="34"/>
      <c r="L875" s="12">
        <f t="shared" si="187"/>
        <v>20517</v>
      </c>
      <c r="N875" s="10">
        <v>3</v>
      </c>
      <c r="O875" s="30" t="s">
        <v>85</v>
      </c>
      <c r="P875" s="80">
        <f t="shared" ref="P875:P877" si="193">P874+1</f>
        <v>11963</v>
      </c>
      <c r="Q875" s="33">
        <f>650*2+9.5*2</f>
        <v>1319</v>
      </c>
      <c r="R875" s="33"/>
      <c r="S875" s="32"/>
      <c r="T875" s="32">
        <f t="shared" si="188"/>
        <v>1319</v>
      </c>
      <c r="U875" s="12"/>
      <c r="V875" s="34"/>
      <c r="W875" s="34"/>
      <c r="X875" s="12">
        <f t="shared" si="189"/>
        <v>1319</v>
      </c>
      <c r="Z875" s="10">
        <v>3</v>
      </c>
      <c r="AA875" s="30" t="s">
        <v>85</v>
      </c>
      <c r="AB875" s="31">
        <f t="shared" ref="AB875" si="194">AB874+1</f>
        <v>11900</v>
      </c>
      <c r="AC875" s="33">
        <f>650*356+670*44+973*2+622*108+1050*2+872*2+229*15</f>
        <v>337281</v>
      </c>
      <c r="AD875" s="33">
        <f>-514*6</f>
        <v>-3084</v>
      </c>
      <c r="AE875" s="32"/>
      <c r="AF875" s="32">
        <f t="shared" si="190"/>
        <v>334197</v>
      </c>
      <c r="AG875" s="12"/>
      <c r="AH875" s="12"/>
      <c r="AI875" s="12"/>
      <c r="AJ875" s="12">
        <f t="shared" si="191"/>
        <v>334197</v>
      </c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1:53" x14ac:dyDescent="0.25">
      <c r="A876" s="18"/>
      <c r="B876" s="10">
        <v>4</v>
      </c>
      <c r="C876" s="30" t="s">
        <v>85</v>
      </c>
      <c r="D876" s="80">
        <f t="shared" si="192"/>
        <v>11948</v>
      </c>
      <c r="E876" s="32">
        <f>650*43+670*2+622*2</f>
        <v>30534</v>
      </c>
      <c r="F876" s="32"/>
      <c r="G876" s="32"/>
      <c r="H876" s="32">
        <f t="shared" si="186"/>
        <v>30534</v>
      </c>
      <c r="I876" s="12"/>
      <c r="J876" s="12"/>
      <c r="K876" s="12"/>
      <c r="L876" s="12">
        <f t="shared" si="187"/>
        <v>30534</v>
      </c>
      <c r="N876" s="10">
        <v>4</v>
      </c>
      <c r="O876" s="30" t="s">
        <v>85</v>
      </c>
      <c r="P876" s="80">
        <f t="shared" si="193"/>
        <v>11964</v>
      </c>
      <c r="Q876" s="32">
        <f>650*2+670+9.5*2</f>
        <v>1989</v>
      </c>
      <c r="R876" s="32"/>
      <c r="S876" s="32"/>
      <c r="T876" s="32">
        <f t="shared" si="188"/>
        <v>1989</v>
      </c>
      <c r="U876" s="12"/>
      <c r="V876" s="12"/>
      <c r="W876" s="12">
        <f>-111*2</f>
        <v>-222</v>
      </c>
      <c r="X876" s="12">
        <f t="shared" si="189"/>
        <v>1767</v>
      </c>
      <c r="Z876" s="10">
        <v>4</v>
      </c>
      <c r="AA876" s="30"/>
      <c r="AB876" s="11" t="s">
        <v>27</v>
      </c>
      <c r="AC876" s="32"/>
      <c r="AD876" s="32"/>
      <c r="AE876" s="32"/>
      <c r="AF876" s="32">
        <f t="shared" si="190"/>
        <v>0</v>
      </c>
      <c r="AG876" s="12"/>
      <c r="AI876" s="12"/>
      <c r="AJ876" s="12">
        <f t="shared" si="191"/>
        <v>0</v>
      </c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1:53" x14ac:dyDescent="0.25">
      <c r="A877" s="18"/>
      <c r="B877" s="10">
        <v>5</v>
      </c>
      <c r="C877" s="30" t="s">
        <v>85</v>
      </c>
      <c r="D877" s="80">
        <f t="shared" si="192"/>
        <v>11949</v>
      </c>
      <c r="E877" s="32">
        <f>650*198+622*18+229*2</f>
        <v>140354</v>
      </c>
      <c r="F877" s="32">
        <f>-216*6</f>
        <v>-1296</v>
      </c>
      <c r="G877" s="32"/>
      <c r="H877" s="32">
        <f t="shared" si="186"/>
        <v>139058</v>
      </c>
      <c r="I877" s="12"/>
      <c r="J877" s="12"/>
      <c r="K877" s="12"/>
      <c r="L877" s="12">
        <f t="shared" si="187"/>
        <v>139058</v>
      </c>
      <c r="N877" s="10">
        <v>5</v>
      </c>
      <c r="O877" s="30" t="s">
        <v>85</v>
      </c>
      <c r="P877" s="80">
        <f t="shared" si="193"/>
        <v>11965</v>
      </c>
      <c r="Q877" s="32">
        <f>622</f>
        <v>622</v>
      </c>
      <c r="R877" s="32"/>
      <c r="S877" s="32"/>
      <c r="T877" s="32">
        <f t="shared" si="188"/>
        <v>622</v>
      </c>
      <c r="U877" s="12"/>
      <c r="V877" s="12"/>
      <c r="W877" s="12"/>
      <c r="X877" s="12">
        <f t="shared" si="189"/>
        <v>622</v>
      </c>
      <c r="Z877" s="10">
        <v>5</v>
      </c>
      <c r="AA877" s="30"/>
      <c r="AB877" s="31"/>
      <c r="AC877" s="32"/>
      <c r="AD877" s="32"/>
      <c r="AE877" s="32"/>
      <c r="AF877" s="32">
        <f t="shared" si="190"/>
        <v>0</v>
      </c>
      <c r="AG877" s="12"/>
      <c r="AH877" s="12"/>
      <c r="AI877" s="12"/>
      <c r="AJ877" s="12">
        <f t="shared" si="191"/>
        <v>0</v>
      </c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1:53" x14ac:dyDescent="0.25">
      <c r="A878" s="18"/>
      <c r="B878" s="10">
        <v>6</v>
      </c>
      <c r="C878" s="30" t="s">
        <v>85</v>
      </c>
      <c r="D878" s="80">
        <f t="shared" si="192"/>
        <v>11950</v>
      </c>
      <c r="E878" s="32">
        <f>650*71</f>
        <v>46150</v>
      </c>
      <c r="F878" s="32"/>
      <c r="G878" s="32"/>
      <c r="H878" s="32">
        <f t="shared" si="186"/>
        <v>46150</v>
      </c>
      <c r="I878" s="12"/>
      <c r="J878" s="12"/>
      <c r="K878" s="10">
        <f>-111*33</f>
        <v>-3663</v>
      </c>
      <c r="L878" s="12">
        <f t="shared" si="187"/>
        <v>42487</v>
      </c>
      <c r="N878" s="10">
        <v>6</v>
      </c>
      <c r="O878" s="30"/>
      <c r="P878" s="11" t="s">
        <v>27</v>
      </c>
      <c r="Q878" s="32"/>
      <c r="R878" s="32"/>
      <c r="S878" s="32"/>
      <c r="T878" s="32">
        <f t="shared" si="188"/>
        <v>0</v>
      </c>
      <c r="U878" s="12"/>
      <c r="V878" s="12"/>
      <c r="W878" s="10"/>
      <c r="X878" s="12">
        <f t="shared" si="189"/>
        <v>0</v>
      </c>
      <c r="Z878" s="10">
        <v>6</v>
      </c>
      <c r="AA878" s="30"/>
      <c r="AC878" s="32"/>
      <c r="AD878" s="32"/>
      <c r="AE878" s="32"/>
      <c r="AF878" s="32">
        <f t="shared" si="190"/>
        <v>0</v>
      </c>
      <c r="AG878" s="12"/>
      <c r="AH878" s="12"/>
      <c r="AI878" s="10"/>
      <c r="AJ878" s="12">
        <f t="shared" si="191"/>
        <v>0</v>
      </c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1:53" x14ac:dyDescent="0.25">
      <c r="A879" s="18"/>
      <c r="B879" s="10">
        <v>7</v>
      </c>
      <c r="C879" s="30"/>
      <c r="D879" s="11" t="s">
        <v>27</v>
      </c>
      <c r="E879" s="32"/>
      <c r="F879" s="32"/>
      <c r="G879" s="32"/>
      <c r="H879" s="32">
        <f t="shared" si="186"/>
        <v>0</v>
      </c>
      <c r="I879" s="12"/>
      <c r="J879" s="12"/>
      <c r="K879" s="12"/>
      <c r="L879" s="12">
        <f t="shared" si="187"/>
        <v>0</v>
      </c>
      <c r="N879" s="10">
        <v>7</v>
      </c>
      <c r="O879" s="30"/>
      <c r="Q879" s="32"/>
      <c r="R879" s="32"/>
      <c r="S879" s="32"/>
      <c r="T879" s="32">
        <f t="shared" si="188"/>
        <v>0</v>
      </c>
      <c r="U879" s="12"/>
      <c r="V879" s="12"/>
      <c r="W879" s="12"/>
      <c r="X879" s="12">
        <f t="shared" si="189"/>
        <v>0</v>
      </c>
      <c r="Z879" s="10">
        <v>7</v>
      </c>
      <c r="AA879" s="30"/>
      <c r="AC879" s="32"/>
      <c r="AD879" s="32"/>
      <c r="AE879" s="32"/>
      <c r="AF879" s="32">
        <f t="shared" si="190"/>
        <v>0</v>
      </c>
      <c r="AG879" s="12"/>
      <c r="AH879" s="56"/>
      <c r="AI879" s="12"/>
      <c r="AJ879" s="12">
        <f t="shared" si="191"/>
        <v>0</v>
      </c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1:53" x14ac:dyDescent="0.25">
      <c r="A880" s="18"/>
      <c r="B880" s="10">
        <v>8</v>
      </c>
      <c r="C880" s="30"/>
      <c r="D880" s="80"/>
      <c r="E880" s="32"/>
      <c r="F880" s="32"/>
      <c r="G880" s="32"/>
      <c r="H880" s="32">
        <f t="shared" si="186"/>
        <v>0</v>
      </c>
      <c r="I880" s="12"/>
      <c r="J880" s="12"/>
      <c r="K880" s="12"/>
      <c r="L880" s="12">
        <f t="shared" si="187"/>
        <v>0</v>
      </c>
      <c r="N880" s="10">
        <v>8</v>
      </c>
      <c r="O880" s="30"/>
      <c r="P880" s="80"/>
      <c r="Q880" s="32"/>
      <c r="R880" s="32"/>
      <c r="S880" s="32"/>
      <c r="T880" s="32">
        <f t="shared" si="188"/>
        <v>0</v>
      </c>
      <c r="U880" s="12"/>
      <c r="V880" s="12"/>
      <c r="W880" s="12"/>
      <c r="X880" s="12">
        <f t="shared" si="189"/>
        <v>0</v>
      </c>
      <c r="Z880" s="10">
        <v>8</v>
      </c>
      <c r="AA880" s="30"/>
      <c r="AB880" s="31"/>
      <c r="AC880" s="32"/>
      <c r="AD880" s="32"/>
      <c r="AF880" s="32">
        <f t="shared" si="190"/>
        <v>0</v>
      </c>
      <c r="AG880" s="12"/>
      <c r="AH880" s="12"/>
      <c r="AI880" s="12"/>
      <c r="AJ880" s="12">
        <f t="shared" si="191"/>
        <v>0</v>
      </c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1:53" x14ac:dyDescent="0.25">
      <c r="A881" s="18"/>
      <c r="B881" s="10">
        <v>9</v>
      </c>
      <c r="C881" s="30"/>
      <c r="D881" s="80"/>
      <c r="E881" s="32"/>
      <c r="F881" s="32"/>
      <c r="G881" s="32"/>
      <c r="H881" s="32">
        <f t="shared" si="186"/>
        <v>0</v>
      </c>
      <c r="I881" s="12"/>
      <c r="J881" s="12"/>
      <c r="K881" s="12"/>
      <c r="L881" s="12">
        <f t="shared" si="187"/>
        <v>0</v>
      </c>
      <c r="N881" s="10">
        <v>9</v>
      </c>
      <c r="O881" s="30"/>
      <c r="P881" s="80"/>
      <c r="Q881" s="32"/>
      <c r="R881" s="32"/>
      <c r="S881" s="32"/>
      <c r="T881" s="32">
        <f t="shared" si="188"/>
        <v>0</v>
      </c>
      <c r="U881" s="12"/>
      <c r="V881" s="12"/>
      <c r="W881" s="12"/>
      <c r="X881" s="12">
        <f t="shared" si="189"/>
        <v>0</v>
      </c>
      <c r="Z881" s="10">
        <v>9</v>
      </c>
      <c r="AA881" s="30"/>
      <c r="AC881" s="32"/>
      <c r="AD881" s="32"/>
      <c r="AE881" s="32"/>
      <c r="AF881" s="32">
        <f t="shared" si="190"/>
        <v>0</v>
      </c>
      <c r="AG881" s="12"/>
      <c r="AI881" s="12"/>
      <c r="AJ881" s="12">
        <f t="shared" si="191"/>
        <v>0</v>
      </c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1:53" x14ac:dyDescent="0.25">
      <c r="A882" s="18"/>
      <c r="B882" s="10">
        <v>10</v>
      </c>
      <c r="C882" s="30"/>
      <c r="D882" s="80"/>
      <c r="E882" s="32"/>
      <c r="F882" s="32"/>
      <c r="G882" s="32"/>
      <c r="H882" s="32">
        <f t="shared" si="186"/>
        <v>0</v>
      </c>
      <c r="I882" s="12"/>
      <c r="J882" s="12"/>
      <c r="K882" s="12"/>
      <c r="L882" s="12">
        <f t="shared" si="187"/>
        <v>0</v>
      </c>
      <c r="N882" s="10">
        <v>10</v>
      </c>
      <c r="O882" s="30"/>
      <c r="P882" s="80"/>
      <c r="Q882" s="32"/>
      <c r="R882" s="32"/>
      <c r="S882" s="32"/>
      <c r="T882" s="32">
        <f t="shared" si="188"/>
        <v>0</v>
      </c>
      <c r="U882" s="12"/>
      <c r="V882" s="12"/>
      <c r="W882" s="12"/>
      <c r="X882" s="12">
        <f t="shared" si="189"/>
        <v>0</v>
      </c>
      <c r="Z882" s="10">
        <v>10</v>
      </c>
      <c r="AA882" s="30"/>
      <c r="AB882" s="31"/>
      <c r="AC882" s="32"/>
      <c r="AD882" s="32"/>
      <c r="AE882" s="32"/>
      <c r="AF882" s="32">
        <f t="shared" si="190"/>
        <v>0</v>
      </c>
      <c r="AG882" s="12"/>
      <c r="AH882" s="12"/>
      <c r="AI882" s="12"/>
      <c r="AJ882" s="12">
        <f t="shared" si="191"/>
        <v>0</v>
      </c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1:53" x14ac:dyDescent="0.25">
      <c r="A883" s="18"/>
      <c r="B883" s="10">
        <v>11</v>
      </c>
      <c r="C883" s="30"/>
      <c r="D883" s="80"/>
      <c r="E883" s="32"/>
      <c r="F883" s="32"/>
      <c r="G883" s="32"/>
      <c r="H883" s="32">
        <f t="shared" si="186"/>
        <v>0</v>
      </c>
      <c r="I883" s="12"/>
      <c r="J883" s="12"/>
      <c r="K883" s="12"/>
      <c r="L883" s="12">
        <f t="shared" si="187"/>
        <v>0</v>
      </c>
      <c r="N883" s="10">
        <v>11</v>
      </c>
      <c r="O883" s="30"/>
      <c r="P883" s="80"/>
      <c r="Q883" s="32"/>
      <c r="R883" s="32"/>
      <c r="S883" s="32"/>
      <c r="T883" s="32">
        <f t="shared" si="188"/>
        <v>0</v>
      </c>
      <c r="U883" s="12"/>
      <c r="V883" s="12"/>
      <c r="W883" s="12"/>
      <c r="X883" s="12">
        <f t="shared" si="189"/>
        <v>0</v>
      </c>
      <c r="Z883" s="10">
        <v>11</v>
      </c>
      <c r="AA883" s="30"/>
      <c r="AB883" s="31"/>
      <c r="AC883" s="32"/>
      <c r="AD883" s="32"/>
      <c r="AE883" s="32"/>
      <c r="AF883" s="32">
        <f t="shared" si="190"/>
        <v>0</v>
      </c>
      <c r="AG883" s="12"/>
      <c r="AH883" s="12"/>
      <c r="AI883" s="12"/>
      <c r="AJ883" s="12">
        <f t="shared" si="191"/>
        <v>0</v>
      </c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1:53" x14ac:dyDescent="0.25">
      <c r="A884" s="18"/>
      <c r="B884" s="10">
        <v>12</v>
      </c>
      <c r="C884" s="30"/>
      <c r="E884" s="32"/>
      <c r="F884" s="32"/>
      <c r="G884" s="32"/>
      <c r="H884" s="32">
        <f t="shared" si="186"/>
        <v>0</v>
      </c>
      <c r="I884" s="12"/>
      <c r="J884" s="12"/>
      <c r="K884" s="12"/>
      <c r="L884" s="12">
        <f t="shared" si="187"/>
        <v>0</v>
      </c>
      <c r="N884" s="10">
        <v>12</v>
      </c>
      <c r="O884" s="30"/>
      <c r="P884" s="80"/>
      <c r="Q884" s="32"/>
      <c r="R884" s="32"/>
      <c r="S884" s="32"/>
      <c r="T884" s="32">
        <f t="shared" si="188"/>
        <v>0</v>
      </c>
      <c r="U884" s="12"/>
      <c r="V884" s="12"/>
      <c r="W884" s="12"/>
      <c r="X884" s="12">
        <f t="shared" si="189"/>
        <v>0</v>
      </c>
      <c r="Z884" s="10">
        <v>12</v>
      </c>
      <c r="AA884" s="30"/>
      <c r="AB884" s="31"/>
      <c r="AC884" s="32"/>
      <c r="AD884" s="32"/>
      <c r="AE884" s="32"/>
      <c r="AF884" s="32">
        <f t="shared" si="190"/>
        <v>0</v>
      </c>
      <c r="AG884" s="12"/>
      <c r="AH884" s="12"/>
      <c r="AI884" s="12"/>
      <c r="AJ884" s="12">
        <f t="shared" si="191"/>
        <v>0</v>
      </c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1:53" x14ac:dyDescent="0.25">
      <c r="A885" s="18"/>
      <c r="B885" s="10">
        <v>13</v>
      </c>
      <c r="C885" s="30"/>
      <c r="D885" s="80"/>
      <c r="E885" s="32"/>
      <c r="F885" s="32"/>
      <c r="G885" s="32"/>
      <c r="H885" s="32">
        <f t="shared" si="186"/>
        <v>0</v>
      </c>
      <c r="I885" s="12"/>
      <c r="J885" s="12"/>
      <c r="K885" s="12"/>
      <c r="L885" s="12">
        <f t="shared" si="187"/>
        <v>0</v>
      </c>
      <c r="N885" s="10">
        <v>13</v>
      </c>
      <c r="O885" s="30"/>
      <c r="P885" s="80"/>
      <c r="Q885" s="32"/>
      <c r="R885" s="32"/>
      <c r="S885" s="32"/>
      <c r="T885" s="32">
        <f t="shared" si="188"/>
        <v>0</v>
      </c>
      <c r="U885" s="12"/>
      <c r="V885" s="12"/>
      <c r="W885" s="12"/>
      <c r="X885" s="12">
        <f t="shared" si="189"/>
        <v>0</v>
      </c>
      <c r="Z885" s="10">
        <v>13</v>
      </c>
      <c r="AA885" s="30"/>
      <c r="AB885" s="31"/>
      <c r="AC885" s="32"/>
      <c r="AD885" s="32"/>
      <c r="AE885" s="32"/>
      <c r="AF885" s="32">
        <f t="shared" si="190"/>
        <v>0</v>
      </c>
      <c r="AG885" s="12"/>
      <c r="AH885" s="12"/>
      <c r="AI885" s="12"/>
      <c r="AJ885" s="12">
        <f t="shared" si="191"/>
        <v>0</v>
      </c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1:53" x14ac:dyDescent="0.25">
      <c r="A886" s="18"/>
      <c r="B886" s="10">
        <v>14</v>
      </c>
      <c r="C886" s="30"/>
      <c r="D886" s="80"/>
      <c r="E886" s="32"/>
      <c r="F886" s="32"/>
      <c r="G886" s="32"/>
      <c r="H886" s="32">
        <f t="shared" si="186"/>
        <v>0</v>
      </c>
      <c r="I886" s="12"/>
      <c r="J886" s="12"/>
      <c r="K886" s="12"/>
      <c r="L886" s="12">
        <f t="shared" si="187"/>
        <v>0</v>
      </c>
      <c r="N886" s="10">
        <v>14</v>
      </c>
      <c r="O886" s="30"/>
      <c r="P886" s="80"/>
      <c r="Q886" s="32"/>
      <c r="R886" s="32"/>
      <c r="S886" s="32"/>
      <c r="T886" s="32">
        <f t="shared" si="188"/>
        <v>0</v>
      </c>
      <c r="U886" s="12"/>
      <c r="V886" s="12"/>
      <c r="W886" s="12"/>
      <c r="X886" s="12">
        <f t="shared" si="189"/>
        <v>0</v>
      </c>
      <c r="Z886" s="10">
        <v>14</v>
      </c>
      <c r="AA886" s="30"/>
      <c r="AB886" s="31"/>
      <c r="AC886" s="32"/>
      <c r="AD886" s="32"/>
      <c r="AE886" s="32"/>
      <c r="AF886" s="32">
        <f t="shared" si="190"/>
        <v>0</v>
      </c>
      <c r="AG886" s="12"/>
      <c r="AH886" s="12"/>
      <c r="AI886" s="12"/>
      <c r="AJ886" s="12">
        <f t="shared" si="191"/>
        <v>0</v>
      </c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1:53" x14ac:dyDescent="0.25">
      <c r="A887" s="18"/>
      <c r="B887" s="10">
        <v>15</v>
      </c>
      <c r="C887" s="30"/>
      <c r="D887" s="80"/>
      <c r="E887" s="32"/>
      <c r="F887" s="32"/>
      <c r="G887" s="32"/>
      <c r="H887" s="32">
        <f t="shared" si="186"/>
        <v>0</v>
      </c>
      <c r="I887" s="12"/>
      <c r="J887" s="12"/>
      <c r="K887" s="12"/>
      <c r="L887" s="12">
        <f t="shared" si="187"/>
        <v>0</v>
      </c>
      <c r="N887" s="10">
        <v>15</v>
      </c>
      <c r="O887" s="30"/>
      <c r="Q887" s="32"/>
      <c r="R887" s="32"/>
      <c r="S887" s="32"/>
      <c r="T887" s="32">
        <f t="shared" si="188"/>
        <v>0</v>
      </c>
      <c r="U887" s="12"/>
      <c r="V887" s="12"/>
      <c r="W887" s="12"/>
      <c r="X887" s="12">
        <f t="shared" si="189"/>
        <v>0</v>
      </c>
      <c r="Z887" s="10">
        <v>15</v>
      </c>
      <c r="AA887" s="30"/>
      <c r="AB887" s="31"/>
      <c r="AC887" s="32"/>
      <c r="AD887" s="32"/>
      <c r="AE887" s="32"/>
      <c r="AF887" s="32">
        <f t="shared" si="190"/>
        <v>0</v>
      </c>
      <c r="AG887" s="12"/>
      <c r="AH887" s="12"/>
      <c r="AI887" s="12"/>
      <c r="AJ887" s="12">
        <f t="shared" si="191"/>
        <v>0</v>
      </c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1:53" x14ac:dyDescent="0.25">
      <c r="A888" s="18"/>
      <c r="B888" s="10">
        <v>16</v>
      </c>
      <c r="C888" s="30"/>
      <c r="D888" s="11"/>
      <c r="E888" s="32"/>
      <c r="F888" s="32"/>
      <c r="G888" s="32"/>
      <c r="H888" s="32">
        <f t="shared" si="186"/>
        <v>0</v>
      </c>
      <c r="I888" s="12"/>
      <c r="J888" s="12"/>
      <c r="K888" s="12"/>
      <c r="L888" s="12">
        <f t="shared" si="187"/>
        <v>0</v>
      </c>
      <c r="N888" s="10">
        <v>16</v>
      </c>
      <c r="O888" s="30"/>
      <c r="P888" s="80"/>
      <c r="Q888" s="32"/>
      <c r="R888" s="32"/>
      <c r="S888" s="32"/>
      <c r="T888" s="32">
        <f t="shared" si="188"/>
        <v>0</v>
      </c>
      <c r="U888" s="12"/>
      <c r="V888" s="12"/>
      <c r="W888" s="12"/>
      <c r="X888" s="12">
        <f t="shared" si="189"/>
        <v>0</v>
      </c>
      <c r="Z888" s="10">
        <v>16</v>
      </c>
      <c r="AA888" s="30"/>
      <c r="AB888" s="11"/>
      <c r="AC888" s="32"/>
      <c r="AD888" s="32"/>
      <c r="AE888" s="32"/>
      <c r="AF888" s="32">
        <f t="shared" si="190"/>
        <v>0</v>
      </c>
      <c r="AG888" s="12"/>
      <c r="AH888" s="12"/>
      <c r="AI888" s="12"/>
      <c r="AJ888" s="12">
        <f t="shared" si="191"/>
        <v>0</v>
      </c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1:53" x14ac:dyDescent="0.25">
      <c r="A889" s="18"/>
      <c r="B889" s="10">
        <v>17</v>
      </c>
      <c r="C889" s="30"/>
      <c r="D889" s="31"/>
      <c r="E889" s="35"/>
      <c r="F889" s="32"/>
      <c r="G889" s="32"/>
      <c r="H889" s="32">
        <f t="shared" si="186"/>
        <v>0</v>
      </c>
      <c r="I889" s="12"/>
      <c r="J889" s="12"/>
      <c r="K889" s="12"/>
      <c r="L889" s="12">
        <f t="shared" si="187"/>
        <v>0</v>
      </c>
      <c r="N889" s="10">
        <v>17</v>
      </c>
      <c r="O889" s="30"/>
      <c r="Q889" s="35"/>
      <c r="R889" s="32"/>
      <c r="S889" s="32"/>
      <c r="T889" s="32">
        <f t="shared" si="188"/>
        <v>0</v>
      </c>
      <c r="U889" s="12"/>
      <c r="V889" s="12"/>
      <c r="W889" s="12"/>
      <c r="X889" s="12">
        <f t="shared" si="189"/>
        <v>0</v>
      </c>
      <c r="Z889" s="10">
        <v>17</v>
      </c>
      <c r="AA889" s="30"/>
      <c r="AB889" s="31"/>
      <c r="AC889" s="35"/>
      <c r="AD889" s="32"/>
      <c r="AE889" s="32"/>
      <c r="AF889" s="32">
        <f t="shared" si="190"/>
        <v>0</v>
      </c>
      <c r="AG889" s="12"/>
      <c r="AH889" s="12"/>
      <c r="AI889" s="12"/>
      <c r="AJ889" s="12">
        <f t="shared" si="191"/>
        <v>0</v>
      </c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1:53" x14ac:dyDescent="0.25">
      <c r="A890" s="18"/>
      <c r="B890" s="10">
        <v>18</v>
      </c>
      <c r="C890" s="30"/>
      <c r="D890" s="31"/>
      <c r="E890" s="32"/>
      <c r="F890" s="32"/>
      <c r="G890" s="32"/>
      <c r="H890" s="32">
        <f t="shared" si="186"/>
        <v>0</v>
      </c>
      <c r="I890" s="12"/>
      <c r="J890" s="12"/>
      <c r="K890" s="12"/>
      <c r="L890" s="12">
        <f t="shared" si="187"/>
        <v>0</v>
      </c>
      <c r="N890" s="10">
        <v>18</v>
      </c>
      <c r="O890" s="30"/>
      <c r="P890" s="80"/>
      <c r="Q890" s="32"/>
      <c r="R890" s="32"/>
      <c r="S890" s="32"/>
      <c r="T890" s="32">
        <f t="shared" si="188"/>
        <v>0</v>
      </c>
      <c r="U890" s="12"/>
      <c r="V890" s="12"/>
      <c r="W890" s="12"/>
      <c r="X890" s="12">
        <f t="shared" si="189"/>
        <v>0</v>
      </c>
      <c r="Z890" s="10">
        <v>18</v>
      </c>
      <c r="AA890" s="30"/>
      <c r="AB890" s="31"/>
      <c r="AC890" s="32"/>
      <c r="AD890" s="32"/>
      <c r="AE890" s="32"/>
      <c r="AF890" s="32">
        <f t="shared" si="190"/>
        <v>0</v>
      </c>
      <c r="AG890" s="12"/>
      <c r="AH890" s="12"/>
      <c r="AI890" s="12"/>
      <c r="AJ890" s="12">
        <f t="shared" si="191"/>
        <v>0</v>
      </c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1:53" x14ac:dyDescent="0.25">
      <c r="A891" s="18"/>
      <c r="B891" s="10">
        <v>19</v>
      </c>
      <c r="C891" s="30"/>
      <c r="D891" s="31"/>
      <c r="E891" s="32"/>
      <c r="F891" s="32"/>
      <c r="G891" s="32"/>
      <c r="H891" s="32">
        <f t="shared" si="186"/>
        <v>0</v>
      </c>
      <c r="I891" s="12"/>
      <c r="J891" s="12"/>
      <c r="K891" s="12"/>
      <c r="L891" s="12">
        <f t="shared" si="187"/>
        <v>0</v>
      </c>
      <c r="N891" s="10">
        <v>19</v>
      </c>
      <c r="O891" s="30"/>
      <c r="P891" s="80"/>
      <c r="Q891" s="32"/>
      <c r="R891" s="32"/>
      <c r="S891" s="32"/>
      <c r="T891" s="32">
        <f t="shared" si="188"/>
        <v>0</v>
      </c>
      <c r="U891" s="12"/>
      <c r="V891" s="12"/>
      <c r="W891" s="12"/>
      <c r="X891" s="12">
        <f t="shared" si="189"/>
        <v>0</v>
      </c>
      <c r="Z891" s="10">
        <v>19</v>
      </c>
      <c r="AA891" s="30"/>
      <c r="AB891" s="11"/>
      <c r="AC891" s="32"/>
      <c r="AD891" s="32"/>
      <c r="AE891" s="32"/>
      <c r="AF891" s="32">
        <f t="shared" si="190"/>
        <v>0</v>
      </c>
      <c r="AG891" s="12"/>
      <c r="AH891" s="12"/>
      <c r="AI891" s="12"/>
      <c r="AJ891" s="12">
        <f t="shared" si="191"/>
        <v>0</v>
      </c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1:53" x14ac:dyDescent="0.25">
      <c r="A892" s="18"/>
      <c r="B892" s="10">
        <v>20</v>
      </c>
      <c r="C892" s="30"/>
      <c r="D892" s="31"/>
      <c r="E892" s="32"/>
      <c r="F892" s="32"/>
      <c r="G892" s="32"/>
      <c r="H892" s="32">
        <f t="shared" si="186"/>
        <v>0</v>
      </c>
      <c r="I892" s="12"/>
      <c r="J892" s="12"/>
      <c r="K892" s="12"/>
      <c r="L892" s="12">
        <f t="shared" si="187"/>
        <v>0</v>
      </c>
      <c r="N892" s="10">
        <v>20</v>
      </c>
      <c r="O892" s="30"/>
      <c r="P892" s="80"/>
      <c r="Q892" s="32"/>
      <c r="R892" s="32"/>
      <c r="S892" s="32"/>
      <c r="T892" s="32">
        <f t="shared" si="188"/>
        <v>0</v>
      </c>
      <c r="U892" s="12"/>
      <c r="V892" s="12"/>
      <c r="W892" s="12"/>
      <c r="X892" s="12">
        <f t="shared" si="189"/>
        <v>0</v>
      </c>
      <c r="Z892" s="10">
        <v>20</v>
      </c>
      <c r="AA892" s="30"/>
      <c r="AB892" s="31"/>
      <c r="AC892" s="32"/>
      <c r="AD892" s="32"/>
      <c r="AE892" s="32"/>
      <c r="AF892" s="32">
        <f t="shared" si="190"/>
        <v>0</v>
      </c>
      <c r="AG892" s="12"/>
      <c r="AH892" s="12"/>
      <c r="AI892" s="12"/>
      <c r="AJ892" s="12">
        <f t="shared" si="191"/>
        <v>0</v>
      </c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1:53" x14ac:dyDescent="0.25">
      <c r="A893" s="18"/>
      <c r="B893" s="10">
        <v>21</v>
      </c>
      <c r="C893" s="30"/>
      <c r="D893" s="31"/>
      <c r="E893" s="44"/>
      <c r="F893" s="31"/>
      <c r="G893" s="31"/>
      <c r="H893" s="32">
        <f t="shared" si="186"/>
        <v>0</v>
      </c>
      <c r="I893" s="10"/>
      <c r="J893" s="10"/>
      <c r="K893" s="10"/>
      <c r="L893" s="12">
        <f t="shared" si="187"/>
        <v>0</v>
      </c>
      <c r="N893" s="10">
        <v>21</v>
      </c>
      <c r="O893" s="30"/>
      <c r="P893" s="11"/>
      <c r="Q893" s="44"/>
      <c r="R893" s="31"/>
      <c r="S893" s="31"/>
      <c r="T893" s="32">
        <f t="shared" si="188"/>
        <v>0</v>
      </c>
      <c r="U893" s="10"/>
      <c r="V893" s="10"/>
      <c r="W893" s="10"/>
      <c r="X893" s="12">
        <f t="shared" si="189"/>
        <v>0</v>
      </c>
      <c r="Z893" s="10">
        <v>21</v>
      </c>
      <c r="AA893" s="30"/>
      <c r="AB893" s="11"/>
      <c r="AC893" s="44"/>
      <c r="AD893" s="31"/>
      <c r="AE893" s="31"/>
      <c r="AF893" s="32">
        <f t="shared" si="190"/>
        <v>0</v>
      </c>
      <c r="AG893" s="10"/>
      <c r="AH893" s="10"/>
      <c r="AI893" s="10"/>
      <c r="AJ893" s="12">
        <f t="shared" si="191"/>
        <v>0</v>
      </c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1:53" x14ac:dyDescent="0.25">
      <c r="A894" s="18"/>
      <c r="B894" s="10">
        <v>22</v>
      </c>
      <c r="C894" s="30"/>
      <c r="D894" s="31"/>
      <c r="E894" s="43"/>
      <c r="F894" s="31"/>
      <c r="G894" s="31"/>
      <c r="H894" s="32">
        <f t="shared" si="186"/>
        <v>0</v>
      </c>
      <c r="I894" s="10"/>
      <c r="J894" s="10"/>
      <c r="K894" s="10"/>
      <c r="L894" s="12">
        <f t="shared" si="187"/>
        <v>0</v>
      </c>
      <c r="N894" s="10">
        <v>22</v>
      </c>
      <c r="O894" s="30"/>
      <c r="P894" s="31"/>
      <c r="Q894" s="43"/>
      <c r="R894" s="31"/>
      <c r="S894" s="31"/>
      <c r="T894" s="32">
        <f t="shared" si="188"/>
        <v>0</v>
      </c>
      <c r="U894" s="10"/>
      <c r="V894" s="10"/>
      <c r="W894" s="10"/>
      <c r="X894" s="12">
        <f t="shared" si="189"/>
        <v>0</v>
      </c>
      <c r="Z894" s="10">
        <v>22</v>
      </c>
      <c r="AA894" s="30"/>
      <c r="AB894" s="31"/>
      <c r="AC894" s="43"/>
      <c r="AD894" s="31"/>
      <c r="AE894" s="31"/>
      <c r="AF894" s="32">
        <f t="shared" si="190"/>
        <v>0</v>
      </c>
      <c r="AG894" s="10"/>
      <c r="AH894" s="10"/>
      <c r="AI894" s="10"/>
      <c r="AJ894" s="12">
        <f t="shared" si="191"/>
        <v>0</v>
      </c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1:53" x14ac:dyDescent="0.25">
      <c r="A895" s="18"/>
      <c r="B895" s="10">
        <v>23</v>
      </c>
      <c r="C895" s="30"/>
      <c r="D895" s="31"/>
      <c r="E895" s="45"/>
      <c r="F895" s="31"/>
      <c r="G895"/>
      <c r="H895" s="32">
        <f t="shared" si="186"/>
        <v>0</v>
      </c>
      <c r="I895" s="10"/>
      <c r="J895" s="10"/>
      <c r="K895" s="10"/>
      <c r="L895" s="12">
        <f t="shared" si="187"/>
        <v>0</v>
      </c>
      <c r="N895" s="10">
        <v>23</v>
      </c>
      <c r="O895" s="30"/>
      <c r="P895" s="31"/>
      <c r="Q895" s="45"/>
      <c r="T895" s="32">
        <f t="shared" si="188"/>
        <v>0</v>
      </c>
      <c r="U895" s="10"/>
      <c r="V895" s="10"/>
      <c r="W895" s="10"/>
      <c r="X895" s="12">
        <f t="shared" si="189"/>
        <v>0</v>
      </c>
      <c r="Z895" s="10">
        <v>23</v>
      </c>
      <c r="AA895" s="30"/>
      <c r="AB895" s="31"/>
      <c r="AC895" s="45"/>
      <c r="AD895" s="31"/>
      <c r="AF895" s="32">
        <f t="shared" si="190"/>
        <v>0</v>
      </c>
      <c r="AG895" s="10"/>
      <c r="AH895" s="10"/>
      <c r="AI895" s="10"/>
      <c r="AJ895" s="12">
        <f t="shared" si="191"/>
        <v>0</v>
      </c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1:53" x14ac:dyDescent="0.25">
      <c r="A896" s="18"/>
      <c r="B896" s="10">
        <v>24</v>
      </c>
      <c r="C896" s="30"/>
      <c r="D896" s="31"/>
      <c r="E896" s="45"/>
      <c r="F896" s="31"/>
      <c r="G896" s="31"/>
      <c r="H896" s="32">
        <f t="shared" si="186"/>
        <v>0</v>
      </c>
      <c r="I896" s="10"/>
      <c r="J896" s="10"/>
      <c r="K896" s="10"/>
      <c r="L896" s="12">
        <f t="shared" si="187"/>
        <v>0</v>
      </c>
      <c r="N896" s="10">
        <v>24</v>
      </c>
      <c r="O896" s="30"/>
      <c r="P896" s="31"/>
      <c r="Q896" s="45"/>
      <c r="R896" s="31"/>
      <c r="S896" s="31"/>
      <c r="T896" s="32">
        <f t="shared" si="188"/>
        <v>0</v>
      </c>
      <c r="U896" s="10"/>
      <c r="V896" s="10"/>
      <c r="W896" s="10"/>
      <c r="X896" s="12">
        <f t="shared" si="189"/>
        <v>0</v>
      </c>
      <c r="Z896" s="10">
        <v>24</v>
      </c>
      <c r="AA896" s="30"/>
      <c r="AB896" s="31"/>
      <c r="AC896" s="45"/>
      <c r="AD896" s="31"/>
      <c r="AE896" s="31"/>
      <c r="AF896" s="32">
        <f t="shared" si="190"/>
        <v>0</v>
      </c>
      <c r="AG896" s="10"/>
      <c r="AH896" s="10"/>
      <c r="AI896" s="10"/>
      <c r="AJ896" s="12">
        <f t="shared" si="191"/>
        <v>0</v>
      </c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1:53" x14ac:dyDescent="0.25">
      <c r="A897" s="18"/>
      <c r="B897" s="10">
        <v>25</v>
      </c>
      <c r="C897" s="30"/>
      <c r="D897" s="31"/>
      <c r="E897" s="45"/>
      <c r="F897" s="31"/>
      <c r="G897" s="31"/>
      <c r="H897" s="32">
        <f t="shared" si="186"/>
        <v>0</v>
      </c>
      <c r="I897" s="10"/>
      <c r="J897" s="10"/>
      <c r="K897" s="10"/>
      <c r="L897" s="12">
        <f t="shared" si="187"/>
        <v>0</v>
      </c>
      <c r="N897" s="10">
        <v>25</v>
      </c>
      <c r="O897" s="30"/>
      <c r="P897" s="31"/>
      <c r="Q897" s="45"/>
      <c r="R897" s="31"/>
      <c r="S897" s="31"/>
      <c r="T897" s="32">
        <f t="shared" si="188"/>
        <v>0</v>
      </c>
      <c r="U897" s="10"/>
      <c r="V897" s="10"/>
      <c r="W897" s="10"/>
      <c r="X897" s="12">
        <f t="shared" si="189"/>
        <v>0</v>
      </c>
      <c r="Z897" s="10">
        <v>25</v>
      </c>
      <c r="AA897" s="30"/>
      <c r="AB897" s="31"/>
      <c r="AC897" s="45"/>
      <c r="AD897" s="31"/>
      <c r="AE897" s="31"/>
      <c r="AF897" s="32">
        <f t="shared" si="190"/>
        <v>0</v>
      </c>
      <c r="AG897" s="10"/>
      <c r="AH897" s="10"/>
      <c r="AI897" s="10"/>
      <c r="AJ897" s="12">
        <f t="shared" si="191"/>
        <v>0</v>
      </c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1:53" x14ac:dyDescent="0.25">
      <c r="A898" s="18"/>
      <c r="B898" s="10">
        <v>26</v>
      </c>
      <c r="C898" s="30"/>
      <c r="D898" s="31"/>
      <c r="E898" s="45"/>
      <c r="F898" s="31"/>
      <c r="G898" s="31"/>
      <c r="H898" s="32">
        <f t="shared" si="186"/>
        <v>0</v>
      </c>
      <c r="I898" s="10"/>
      <c r="J898" s="10"/>
      <c r="K898" s="10"/>
      <c r="L898" s="12">
        <f t="shared" si="187"/>
        <v>0</v>
      </c>
      <c r="N898" s="10">
        <v>26</v>
      </c>
      <c r="O898" s="30"/>
      <c r="P898" s="31"/>
      <c r="Q898" s="45"/>
      <c r="R898" s="31"/>
      <c r="S898" s="31"/>
      <c r="T898" s="32">
        <f t="shared" si="188"/>
        <v>0</v>
      </c>
      <c r="U898" s="10"/>
      <c r="V898" s="10"/>
      <c r="W898" s="10"/>
      <c r="X898" s="12">
        <f t="shared" si="189"/>
        <v>0</v>
      </c>
      <c r="Z898" s="10">
        <v>26</v>
      </c>
      <c r="AA898" s="30"/>
      <c r="AB898" s="31"/>
      <c r="AC898" s="45"/>
      <c r="AD898" s="31"/>
      <c r="AE898" s="31"/>
      <c r="AF898" s="32">
        <f t="shared" si="190"/>
        <v>0</v>
      </c>
      <c r="AG898" s="10"/>
      <c r="AH898" s="10"/>
      <c r="AI898" s="10"/>
      <c r="AJ898" s="12">
        <f t="shared" si="191"/>
        <v>0</v>
      </c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1:53" x14ac:dyDescent="0.25">
      <c r="A899" s="18"/>
      <c r="B899" s="10">
        <v>27</v>
      </c>
      <c r="C899" s="30"/>
      <c r="D899" s="31"/>
      <c r="E899" s="45"/>
      <c r="F899" s="31"/>
      <c r="G899" s="31"/>
      <c r="H899" s="32">
        <f t="shared" si="186"/>
        <v>0</v>
      </c>
      <c r="I899" s="10"/>
      <c r="J899" s="10"/>
      <c r="K899" s="10"/>
      <c r="L899" s="12">
        <f t="shared" si="187"/>
        <v>0</v>
      </c>
      <c r="N899" s="10">
        <v>27</v>
      </c>
      <c r="O899" s="30"/>
      <c r="P899" s="31"/>
      <c r="Q899" s="45"/>
      <c r="R899" s="31"/>
      <c r="S899" s="31"/>
      <c r="T899" s="32">
        <f t="shared" si="188"/>
        <v>0</v>
      </c>
      <c r="U899" s="10"/>
      <c r="V899" s="10"/>
      <c r="W899" s="10"/>
      <c r="X899" s="12">
        <f t="shared" si="189"/>
        <v>0</v>
      </c>
      <c r="Z899" s="10">
        <v>27</v>
      </c>
      <c r="AA899" s="30"/>
      <c r="AB899" s="31"/>
      <c r="AC899" s="45"/>
      <c r="AD899" s="31"/>
      <c r="AE899" s="31"/>
      <c r="AF899" s="32">
        <f t="shared" si="190"/>
        <v>0</v>
      </c>
      <c r="AG899" s="10"/>
      <c r="AH899" s="10"/>
      <c r="AI899" s="10"/>
      <c r="AJ899" s="12">
        <f t="shared" si="191"/>
        <v>0</v>
      </c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1:53" x14ac:dyDescent="0.25">
      <c r="A900" s="18"/>
      <c r="B900" s="10">
        <v>28</v>
      </c>
      <c r="C900" s="30"/>
      <c r="D900" s="31"/>
      <c r="E900" s="45"/>
      <c r="F900" s="31"/>
      <c r="G900" s="31"/>
      <c r="H900" s="32">
        <f t="shared" si="186"/>
        <v>0</v>
      </c>
      <c r="I900" s="10"/>
      <c r="J900" s="10"/>
      <c r="K900" s="10"/>
      <c r="L900" s="12">
        <f t="shared" si="187"/>
        <v>0</v>
      </c>
      <c r="N900" s="10">
        <v>28</v>
      </c>
      <c r="O900" s="30"/>
      <c r="P900" s="31"/>
      <c r="Q900" s="45"/>
      <c r="R900" s="31"/>
      <c r="S900" s="31"/>
      <c r="T900" s="32">
        <f t="shared" si="188"/>
        <v>0</v>
      </c>
      <c r="U900" s="10"/>
      <c r="V900" s="10"/>
      <c r="W900" s="10"/>
      <c r="X900" s="12">
        <f t="shared" si="189"/>
        <v>0</v>
      </c>
      <c r="Z900" s="10">
        <v>28</v>
      </c>
      <c r="AA900" s="30"/>
      <c r="AB900" s="31"/>
      <c r="AC900" s="45"/>
      <c r="AD900" s="31"/>
      <c r="AE900" s="31"/>
      <c r="AF900" s="32">
        <f t="shared" si="190"/>
        <v>0</v>
      </c>
      <c r="AG900" s="10"/>
      <c r="AH900" s="10"/>
      <c r="AI900" s="10"/>
      <c r="AJ900" s="12">
        <f t="shared" si="191"/>
        <v>0</v>
      </c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1:53" x14ac:dyDescent="0.25">
      <c r="A901" s="18"/>
      <c r="B901" s="10">
        <v>29</v>
      </c>
      <c r="C901" s="30"/>
      <c r="D901" s="31"/>
      <c r="E901" s="45"/>
      <c r="F901" s="31"/>
      <c r="G901" s="31"/>
      <c r="H901" s="32">
        <f t="shared" si="186"/>
        <v>0</v>
      </c>
      <c r="I901" s="10"/>
      <c r="J901" s="10"/>
      <c r="K901" s="10"/>
      <c r="L901" s="12">
        <f t="shared" si="187"/>
        <v>0</v>
      </c>
      <c r="N901" s="10">
        <v>29</v>
      </c>
      <c r="O901" s="30"/>
      <c r="P901" s="31"/>
      <c r="Q901" s="45"/>
      <c r="R901" s="31"/>
      <c r="S901" s="31"/>
      <c r="T901" s="32">
        <f t="shared" si="188"/>
        <v>0</v>
      </c>
      <c r="U901" s="10"/>
      <c r="V901" s="10"/>
      <c r="W901" s="10"/>
      <c r="X901" s="12">
        <f t="shared" si="189"/>
        <v>0</v>
      </c>
      <c r="Z901" s="10">
        <v>29</v>
      </c>
      <c r="AA901" s="30"/>
      <c r="AB901" s="31"/>
      <c r="AC901" s="45"/>
      <c r="AD901" s="31"/>
      <c r="AE901" s="31"/>
      <c r="AF901" s="32">
        <f t="shared" si="190"/>
        <v>0</v>
      </c>
      <c r="AG901" s="10"/>
      <c r="AH901" s="10"/>
      <c r="AI901" s="10"/>
      <c r="AJ901" s="12">
        <f t="shared" si="191"/>
        <v>0</v>
      </c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1:53" x14ac:dyDescent="0.25">
      <c r="A902" s="18"/>
      <c r="B902" s="10">
        <v>30</v>
      </c>
      <c r="C902" s="30"/>
      <c r="D902" s="31"/>
      <c r="E902" s="45"/>
      <c r="F902" s="31"/>
      <c r="G902" s="31"/>
      <c r="H902" s="32">
        <f t="shared" si="186"/>
        <v>0</v>
      </c>
      <c r="I902" s="10"/>
      <c r="J902" s="10"/>
      <c r="K902" s="10"/>
      <c r="L902" s="12">
        <f t="shared" si="187"/>
        <v>0</v>
      </c>
      <c r="N902" s="10">
        <v>30</v>
      </c>
      <c r="O902" s="30"/>
      <c r="P902" s="31"/>
      <c r="Q902" s="45"/>
      <c r="R902" s="31"/>
      <c r="S902" s="31"/>
      <c r="T902" s="32">
        <f t="shared" si="188"/>
        <v>0</v>
      </c>
      <c r="U902" s="10"/>
      <c r="V902" s="10"/>
      <c r="W902" s="10"/>
      <c r="X902" s="12">
        <f t="shared" si="189"/>
        <v>0</v>
      </c>
      <c r="Z902" s="10">
        <v>30</v>
      </c>
      <c r="AA902" s="30"/>
      <c r="AB902" s="31"/>
      <c r="AC902" s="45"/>
      <c r="AD902" s="31"/>
      <c r="AE902" s="31"/>
      <c r="AF902" s="32">
        <f t="shared" si="190"/>
        <v>0</v>
      </c>
      <c r="AG902" s="10"/>
      <c r="AH902" s="10"/>
      <c r="AI902" s="10"/>
      <c r="AJ902" s="12">
        <f t="shared" si="191"/>
        <v>0</v>
      </c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1:53" x14ac:dyDescent="0.25">
      <c r="A903" s="18"/>
      <c r="B903" s="10">
        <v>31</v>
      </c>
      <c r="C903" s="30"/>
      <c r="D903" s="31"/>
      <c r="E903" s="45"/>
      <c r="F903" s="31"/>
      <c r="G903" s="31"/>
      <c r="H903" s="32">
        <f t="shared" si="186"/>
        <v>0</v>
      </c>
      <c r="I903" s="10"/>
      <c r="J903" s="10"/>
      <c r="K903" s="10"/>
      <c r="L903" s="12">
        <f t="shared" si="187"/>
        <v>0</v>
      </c>
      <c r="N903" s="10">
        <v>31</v>
      </c>
      <c r="O903" s="30"/>
      <c r="P903" s="31"/>
      <c r="Q903" s="45"/>
      <c r="R903" s="31"/>
      <c r="S903" s="31"/>
      <c r="T903" s="32">
        <f t="shared" si="188"/>
        <v>0</v>
      </c>
      <c r="U903" s="10"/>
      <c r="V903" s="10"/>
      <c r="W903" s="10"/>
      <c r="X903" s="12">
        <f t="shared" si="189"/>
        <v>0</v>
      </c>
      <c r="Z903" s="10">
        <v>31</v>
      </c>
      <c r="AA903" s="30"/>
      <c r="AB903" s="31"/>
      <c r="AC903" s="45"/>
      <c r="AD903" s="31"/>
      <c r="AE903" s="31"/>
      <c r="AF903" s="32">
        <f t="shared" si="190"/>
        <v>0</v>
      </c>
      <c r="AG903" s="10"/>
      <c r="AH903" s="10"/>
      <c r="AI903" s="10"/>
      <c r="AJ903" s="12">
        <f t="shared" si="191"/>
        <v>0</v>
      </c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1:53" x14ac:dyDescent="0.25">
      <c r="A904" s="18"/>
      <c r="B904" s="10">
        <v>32</v>
      </c>
      <c r="C904" s="30"/>
      <c r="D904" s="31"/>
      <c r="E904" s="45"/>
      <c r="F904" s="31"/>
      <c r="G904" s="31"/>
      <c r="H904" s="32">
        <f t="shared" si="186"/>
        <v>0</v>
      </c>
      <c r="I904" s="10"/>
      <c r="J904" s="10"/>
      <c r="K904" s="10"/>
      <c r="L904" s="12">
        <f t="shared" si="187"/>
        <v>0</v>
      </c>
      <c r="N904" s="10">
        <v>32</v>
      </c>
      <c r="O904" s="30"/>
      <c r="P904" s="31"/>
      <c r="Q904" s="45"/>
      <c r="R904" s="31"/>
      <c r="S904" s="31"/>
      <c r="T904" s="32">
        <f t="shared" si="188"/>
        <v>0</v>
      </c>
      <c r="U904" s="10"/>
      <c r="V904" s="10"/>
      <c r="W904" s="10"/>
      <c r="X904" s="12">
        <f t="shared" si="189"/>
        <v>0</v>
      </c>
      <c r="Z904" s="10">
        <v>32</v>
      </c>
      <c r="AA904" s="30"/>
      <c r="AB904" s="31"/>
      <c r="AC904" s="45"/>
      <c r="AD904" s="31"/>
      <c r="AE904" s="31"/>
      <c r="AF904" s="32">
        <f t="shared" si="190"/>
        <v>0</v>
      </c>
      <c r="AG904" s="10"/>
      <c r="AH904" s="10"/>
      <c r="AI904" s="10"/>
      <c r="AJ904" s="12">
        <f t="shared" si="191"/>
        <v>0</v>
      </c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1:53" x14ac:dyDescent="0.25">
      <c r="A905" s="18"/>
      <c r="B905" s="10">
        <v>33</v>
      </c>
      <c r="C905" s="30"/>
      <c r="D905" s="31"/>
      <c r="E905" s="45"/>
      <c r="F905" s="31"/>
      <c r="G905" s="31"/>
      <c r="H905" s="32">
        <f t="shared" si="186"/>
        <v>0</v>
      </c>
      <c r="I905" s="10"/>
      <c r="J905" s="10"/>
      <c r="K905" s="10"/>
      <c r="L905" s="12">
        <f t="shared" si="187"/>
        <v>0</v>
      </c>
      <c r="N905" s="10">
        <v>33</v>
      </c>
      <c r="O905" s="30"/>
      <c r="P905" s="31"/>
      <c r="Q905" s="45"/>
      <c r="R905" s="31"/>
      <c r="S905" s="31"/>
      <c r="T905" s="32">
        <f t="shared" si="188"/>
        <v>0</v>
      </c>
      <c r="U905" s="10"/>
      <c r="V905" s="10"/>
      <c r="W905" s="10"/>
      <c r="X905" s="12">
        <f t="shared" si="189"/>
        <v>0</v>
      </c>
      <c r="Z905" s="10">
        <v>33</v>
      </c>
      <c r="AA905" s="30"/>
      <c r="AB905" s="31"/>
      <c r="AC905" s="45"/>
      <c r="AD905" s="31"/>
      <c r="AE905" s="31"/>
      <c r="AF905" s="32">
        <f t="shared" si="190"/>
        <v>0</v>
      </c>
      <c r="AG905" s="10"/>
      <c r="AH905" s="10"/>
      <c r="AI905" s="10"/>
      <c r="AJ905" s="12">
        <f t="shared" si="191"/>
        <v>0</v>
      </c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1:53" x14ac:dyDescent="0.25">
      <c r="A906" s="18"/>
      <c r="B906" s="10">
        <v>34</v>
      </c>
      <c r="C906" s="30"/>
      <c r="D906" s="31"/>
      <c r="E906" s="45"/>
      <c r="F906" s="31"/>
      <c r="G906" s="31"/>
      <c r="H906" s="32">
        <f t="shared" si="186"/>
        <v>0</v>
      </c>
      <c r="I906" s="10"/>
      <c r="J906" s="10"/>
      <c r="K906" s="10"/>
      <c r="L906" s="12">
        <f t="shared" si="187"/>
        <v>0</v>
      </c>
      <c r="N906" s="10">
        <v>34</v>
      </c>
      <c r="O906" s="30"/>
      <c r="P906" s="31"/>
      <c r="Q906" s="45"/>
      <c r="R906" s="31"/>
      <c r="S906" s="31"/>
      <c r="T906" s="32">
        <f t="shared" si="188"/>
        <v>0</v>
      </c>
      <c r="U906" s="10"/>
      <c r="V906" s="10"/>
      <c r="W906" s="10"/>
      <c r="X906" s="12">
        <f t="shared" si="189"/>
        <v>0</v>
      </c>
      <c r="Z906" s="10">
        <v>34</v>
      </c>
      <c r="AA906" s="30"/>
      <c r="AB906" s="31"/>
      <c r="AC906" s="45"/>
      <c r="AD906" s="31"/>
      <c r="AE906" s="31"/>
      <c r="AF906" s="32">
        <f t="shared" si="190"/>
        <v>0</v>
      </c>
      <c r="AG906" s="10"/>
      <c r="AH906" s="10"/>
      <c r="AI906" s="10"/>
      <c r="AJ906" s="12">
        <f t="shared" si="191"/>
        <v>0</v>
      </c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1:53" x14ac:dyDescent="0.25">
      <c r="A907" s="18"/>
      <c r="B907" s="10">
        <v>35</v>
      </c>
      <c r="C907" s="30"/>
      <c r="D907" s="31"/>
      <c r="E907" s="45"/>
      <c r="F907" s="31"/>
      <c r="G907" s="31"/>
      <c r="H907" s="32">
        <f t="shared" si="186"/>
        <v>0</v>
      </c>
      <c r="I907" s="10"/>
      <c r="J907" s="10"/>
      <c r="K907" s="10"/>
      <c r="L907" s="12">
        <f t="shared" si="187"/>
        <v>0</v>
      </c>
      <c r="N907" s="10">
        <v>35</v>
      </c>
      <c r="O907" s="30"/>
      <c r="P907" s="31"/>
      <c r="Q907" s="45"/>
      <c r="R907" s="31"/>
      <c r="S907" s="31"/>
      <c r="T907" s="32">
        <f t="shared" si="188"/>
        <v>0</v>
      </c>
      <c r="U907" s="10"/>
      <c r="V907" s="10"/>
      <c r="W907" s="10"/>
      <c r="X907" s="12">
        <f t="shared" si="189"/>
        <v>0</v>
      </c>
      <c r="Z907" s="10">
        <v>35</v>
      </c>
      <c r="AA907" s="30"/>
      <c r="AB907" s="31"/>
      <c r="AC907" s="45"/>
      <c r="AD907" s="31"/>
      <c r="AE907" s="31"/>
      <c r="AF907" s="32">
        <f t="shared" si="190"/>
        <v>0</v>
      </c>
      <c r="AG907" s="10"/>
      <c r="AH907" s="10"/>
      <c r="AI907" s="10"/>
      <c r="AJ907" s="12">
        <f t="shared" si="191"/>
        <v>0</v>
      </c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1:53" x14ac:dyDescent="0.25">
      <c r="A908" s="18"/>
      <c r="B908" s="10">
        <v>36</v>
      </c>
      <c r="C908" s="30"/>
      <c r="D908" s="31"/>
      <c r="E908" s="45"/>
      <c r="F908" s="31"/>
      <c r="G908" s="31"/>
      <c r="H908" s="32">
        <f t="shared" si="186"/>
        <v>0</v>
      </c>
      <c r="I908" s="10"/>
      <c r="J908" s="10"/>
      <c r="K908" s="10"/>
      <c r="L908" s="12">
        <f t="shared" si="187"/>
        <v>0</v>
      </c>
      <c r="N908" s="10">
        <v>36</v>
      </c>
      <c r="O908" s="30"/>
      <c r="P908" s="31"/>
      <c r="Q908" s="45"/>
      <c r="R908" s="31"/>
      <c r="S908" s="31"/>
      <c r="T908" s="32">
        <f t="shared" si="188"/>
        <v>0</v>
      </c>
      <c r="U908" s="10"/>
      <c r="V908" s="10"/>
      <c r="W908" s="10"/>
      <c r="X908" s="12">
        <f t="shared" si="189"/>
        <v>0</v>
      </c>
      <c r="Z908" s="10">
        <v>36</v>
      </c>
      <c r="AA908" s="30"/>
      <c r="AB908" s="31"/>
      <c r="AC908" s="45"/>
      <c r="AD908" s="31"/>
      <c r="AE908" s="31"/>
      <c r="AF908" s="32">
        <f t="shared" si="190"/>
        <v>0</v>
      </c>
      <c r="AG908" s="10"/>
      <c r="AH908" s="10"/>
      <c r="AI908" s="10"/>
      <c r="AJ908" s="12">
        <f t="shared" si="191"/>
        <v>0</v>
      </c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1:53" x14ac:dyDescent="0.25">
      <c r="A909" s="18"/>
      <c r="B909" s="10">
        <v>37</v>
      </c>
      <c r="C909" s="30"/>
      <c r="D909"/>
      <c r="E909" s="45"/>
      <c r="F909" s="31"/>
      <c r="G909" s="31"/>
      <c r="H909" s="32">
        <f t="shared" si="186"/>
        <v>0</v>
      </c>
      <c r="I909" s="10"/>
      <c r="J909" s="10"/>
      <c r="K909" s="10"/>
      <c r="L909" s="12">
        <f t="shared" si="187"/>
        <v>0</v>
      </c>
      <c r="N909" s="10">
        <v>37</v>
      </c>
      <c r="O909" s="30"/>
      <c r="Q909" s="45"/>
      <c r="R909" s="31"/>
      <c r="S909" s="31"/>
      <c r="T909" s="32">
        <f t="shared" si="188"/>
        <v>0</v>
      </c>
      <c r="U909" s="10"/>
      <c r="V909" s="10"/>
      <c r="W909" s="10"/>
      <c r="X909" s="12">
        <f t="shared" si="189"/>
        <v>0</v>
      </c>
      <c r="Z909" s="10">
        <v>37</v>
      </c>
      <c r="AA909" s="30"/>
      <c r="AB909" s="31"/>
      <c r="AC909" s="45"/>
      <c r="AD909" s="31"/>
      <c r="AE909" s="31"/>
      <c r="AF909" s="32">
        <f t="shared" si="190"/>
        <v>0</v>
      </c>
      <c r="AG909" s="10"/>
      <c r="AH909" s="10"/>
      <c r="AI909" s="10"/>
      <c r="AJ909" s="12">
        <f t="shared" si="191"/>
        <v>0</v>
      </c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1:53" x14ac:dyDescent="0.25">
      <c r="A910" s="18"/>
      <c r="B910" s="10">
        <v>38</v>
      </c>
      <c r="C910" s="30"/>
      <c r="D910" s="31"/>
      <c r="E910" s="45"/>
      <c r="F910" s="31"/>
      <c r="G910" s="31"/>
      <c r="H910" s="32">
        <f t="shared" si="186"/>
        <v>0</v>
      </c>
      <c r="I910" s="10"/>
      <c r="J910" s="10"/>
      <c r="K910" s="10"/>
      <c r="L910" s="12">
        <f t="shared" si="187"/>
        <v>0</v>
      </c>
      <c r="N910" s="10">
        <v>38</v>
      </c>
      <c r="O910" s="30"/>
      <c r="P910" s="31"/>
      <c r="Q910" s="45"/>
      <c r="R910" s="31"/>
      <c r="S910" s="31"/>
      <c r="T910" s="32">
        <f t="shared" si="188"/>
        <v>0</v>
      </c>
      <c r="U910" s="10"/>
      <c r="V910" s="10"/>
      <c r="W910" s="10"/>
      <c r="X910" s="12">
        <f t="shared" si="189"/>
        <v>0</v>
      </c>
      <c r="Z910" s="10">
        <v>38</v>
      </c>
      <c r="AA910" s="30"/>
      <c r="AB910" s="31"/>
      <c r="AC910" s="45"/>
      <c r="AD910" s="31"/>
      <c r="AE910" s="31"/>
      <c r="AF910" s="32">
        <f t="shared" si="190"/>
        <v>0</v>
      </c>
      <c r="AG910" s="10"/>
      <c r="AH910" s="10"/>
      <c r="AI910" s="10"/>
      <c r="AJ910" s="12">
        <f t="shared" si="191"/>
        <v>0</v>
      </c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1:53" x14ac:dyDescent="0.25">
      <c r="A911" s="18"/>
      <c r="B911" s="10">
        <v>39</v>
      </c>
      <c r="C911" s="30"/>
      <c r="D911" s="31"/>
      <c r="E911" s="45"/>
      <c r="F911" s="31"/>
      <c r="G911" s="31"/>
      <c r="H911" s="32">
        <f t="shared" si="186"/>
        <v>0</v>
      </c>
      <c r="I911" s="10"/>
      <c r="J911" s="10"/>
      <c r="K911" s="10"/>
      <c r="L911" s="12">
        <f t="shared" si="187"/>
        <v>0</v>
      </c>
      <c r="N911" s="10">
        <v>39</v>
      </c>
      <c r="O911" s="30"/>
      <c r="P911" s="31"/>
      <c r="Q911" s="45"/>
      <c r="R911" s="31"/>
      <c r="S911" s="31"/>
      <c r="T911" s="32">
        <f t="shared" si="188"/>
        <v>0</v>
      </c>
      <c r="U911" s="10"/>
      <c r="V911" s="10"/>
      <c r="W911" s="10"/>
      <c r="X911" s="12">
        <f t="shared" si="189"/>
        <v>0</v>
      </c>
      <c r="Z911" s="10">
        <v>39</v>
      </c>
      <c r="AA911" s="30"/>
      <c r="AB911" s="31"/>
      <c r="AC911" s="45"/>
      <c r="AD911" s="31"/>
      <c r="AE911" s="31"/>
      <c r="AF911" s="32">
        <f t="shared" si="190"/>
        <v>0</v>
      </c>
      <c r="AG911" s="10"/>
      <c r="AH911" s="10"/>
      <c r="AI911" s="10"/>
      <c r="AJ911" s="12">
        <f t="shared" si="191"/>
        <v>0</v>
      </c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1:53" x14ac:dyDescent="0.25">
      <c r="A912" s="18"/>
      <c r="B912" s="10"/>
      <c r="C912" s="30"/>
      <c r="D912"/>
      <c r="E912" s="45"/>
      <c r="F912" s="31"/>
      <c r="G912" s="31"/>
      <c r="H912" s="32"/>
      <c r="I912" s="10"/>
      <c r="J912" s="10"/>
      <c r="K912" s="10"/>
      <c r="L912" s="12">
        <f t="shared" si="187"/>
        <v>0</v>
      </c>
      <c r="N912" s="10"/>
      <c r="O912" s="30"/>
      <c r="Q912" s="45"/>
      <c r="R912" s="31"/>
      <c r="S912" s="31"/>
      <c r="T912" s="32"/>
      <c r="U912" s="10"/>
      <c r="V912" s="10"/>
      <c r="W912" s="10"/>
      <c r="X912" s="12">
        <f t="shared" si="189"/>
        <v>0</v>
      </c>
      <c r="Z912" s="10"/>
      <c r="AA912" s="30"/>
      <c r="AC912" s="45"/>
      <c r="AD912" s="31"/>
      <c r="AE912" s="31"/>
      <c r="AF912" s="32"/>
      <c r="AG912" s="10"/>
      <c r="AH912" s="10"/>
      <c r="AI912" s="10"/>
      <c r="AJ912" s="12">
        <f t="shared" si="191"/>
        <v>0</v>
      </c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1:53" x14ac:dyDescent="0.25">
      <c r="A913" s="18"/>
      <c r="B913" s="10"/>
      <c r="C913" s="30"/>
      <c r="D913" s="31"/>
      <c r="E913" s="45"/>
      <c r="F913" s="31"/>
      <c r="G913" s="31"/>
      <c r="H913" s="32">
        <f t="shared" ref="H913" si="195">SUM(E913:F913)</f>
        <v>0</v>
      </c>
      <c r="I913" s="10"/>
      <c r="J913" s="10"/>
      <c r="K913" s="10"/>
      <c r="L913" s="12">
        <f t="shared" si="187"/>
        <v>0</v>
      </c>
      <c r="N913" s="10"/>
      <c r="O913" s="30"/>
      <c r="P913" s="31"/>
      <c r="Q913" s="45"/>
      <c r="R913" s="31"/>
      <c r="S913" s="31"/>
      <c r="T913" s="32">
        <f t="shared" ref="T913" si="196">SUM(Q913:R913)</f>
        <v>0</v>
      </c>
      <c r="U913" s="10"/>
      <c r="V913" s="10"/>
      <c r="W913" s="10"/>
      <c r="X913" s="12">
        <f t="shared" si="189"/>
        <v>0</v>
      </c>
      <c r="Z913" s="10"/>
      <c r="AA913" s="30"/>
      <c r="AB913" s="31"/>
      <c r="AC913" s="45"/>
      <c r="AD913" s="31"/>
      <c r="AE913" s="31"/>
      <c r="AF913" s="32">
        <f t="shared" ref="AF913" si="197">SUM(AC913:AD913)</f>
        <v>0</v>
      </c>
      <c r="AG913" s="10"/>
      <c r="AH913" s="10"/>
      <c r="AI913" s="10"/>
      <c r="AJ913" s="12">
        <f t="shared" si="191"/>
        <v>0</v>
      </c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1:53" x14ac:dyDescent="0.25">
      <c r="A914" s="18"/>
      <c r="B914" s="10"/>
      <c r="C914" s="31"/>
      <c r="D914" s="31"/>
      <c r="E914" s="31"/>
      <c r="F914" s="31"/>
      <c r="G914" s="31"/>
      <c r="H914" s="31"/>
      <c r="I914" s="10"/>
      <c r="J914" s="10"/>
      <c r="K914" s="10"/>
      <c r="L914" s="12">
        <f t="shared" si="187"/>
        <v>0</v>
      </c>
      <c r="N914" s="10"/>
      <c r="O914" s="31"/>
      <c r="P914" s="31"/>
      <c r="Q914" s="31"/>
      <c r="R914" s="31"/>
      <c r="S914" s="31"/>
      <c r="T914" s="31"/>
      <c r="U914" s="10"/>
      <c r="V914" s="10"/>
      <c r="W914" s="10"/>
      <c r="X914" s="12">
        <f t="shared" si="189"/>
        <v>0</v>
      </c>
      <c r="Z914" s="10"/>
      <c r="AA914" s="31"/>
      <c r="AB914" s="31"/>
      <c r="AC914" s="31"/>
      <c r="AD914" s="31"/>
      <c r="AE914" s="31"/>
      <c r="AF914" s="31"/>
      <c r="AG914" s="10"/>
      <c r="AH914" s="10"/>
      <c r="AI914" s="10"/>
      <c r="AJ914" s="12">
        <f t="shared" si="191"/>
        <v>0</v>
      </c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1:53" x14ac:dyDescent="0.25">
      <c r="A915" s="18"/>
      <c r="C915" s="55"/>
      <c r="D915" s="55"/>
      <c r="E915" s="36"/>
      <c r="F915" s="36"/>
      <c r="G915" s="36"/>
      <c r="H915" s="36"/>
      <c r="I915" s="37"/>
      <c r="J915" s="37"/>
      <c r="K915" s="37"/>
      <c r="L915" s="37"/>
      <c r="O915" s="55"/>
      <c r="P915" s="55"/>
      <c r="Q915" s="36"/>
      <c r="R915" s="36"/>
      <c r="S915" s="36"/>
      <c r="T915" s="36"/>
      <c r="U915" s="37"/>
      <c r="V915" s="37"/>
      <c r="W915" s="37"/>
      <c r="X915" s="37"/>
      <c r="AA915" s="55"/>
      <c r="AB915" s="55"/>
      <c r="AC915" s="36"/>
      <c r="AD915" s="36"/>
      <c r="AE915" s="36"/>
      <c r="AF915" s="36"/>
      <c r="AG915" s="37"/>
      <c r="AH915" s="37"/>
      <c r="AI915" s="37"/>
      <c r="AJ915" s="37"/>
      <c r="AL915" s="60"/>
      <c r="AM915" s="83"/>
      <c r="AN915" s="83"/>
      <c r="AO915" s="83"/>
      <c r="AP915" s="83"/>
      <c r="AQ915" s="83"/>
      <c r="AR915" s="83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1:53" x14ac:dyDescent="0.25">
      <c r="A916" s="18"/>
      <c r="C916" s="55"/>
      <c r="D916" s="55"/>
      <c r="E916" s="38">
        <f>SUM(E873:E915)</f>
        <v>567238</v>
      </c>
      <c r="F916" s="38">
        <f>SUM(F873:F897)</f>
        <v>-1296</v>
      </c>
      <c r="G916" s="38">
        <f>SUM(G873:G897)</f>
        <v>0</v>
      </c>
      <c r="H916" s="38">
        <f>SUM(H873:H915)</f>
        <v>565942</v>
      </c>
      <c r="I916" s="4"/>
      <c r="J916" s="39">
        <f>SUM(J873:J915)</f>
        <v>39207</v>
      </c>
      <c r="K916" s="39">
        <f>SUM(K873:K897)</f>
        <v>-30303</v>
      </c>
      <c r="L916" s="40">
        <f>SUM(L873:L915)</f>
        <v>574846</v>
      </c>
      <c r="O916" s="55"/>
      <c r="P916" s="55"/>
      <c r="Q916" s="38">
        <f>SUM(Q873:Q915)</f>
        <v>67525</v>
      </c>
      <c r="R916" s="38">
        <f>SUM(R873:R897)</f>
        <v>-534</v>
      </c>
      <c r="S916" s="38">
        <f>SUM(S873:S897)</f>
        <v>0</v>
      </c>
      <c r="T916" s="38">
        <f>SUM(T873:T915)</f>
        <v>66991</v>
      </c>
      <c r="U916" s="4"/>
      <c r="V916" s="39">
        <f>SUM(V873:V915)</f>
        <v>72</v>
      </c>
      <c r="W916" s="39">
        <f>SUM(W873:W897)</f>
        <v>-222</v>
      </c>
      <c r="X916" s="40">
        <f>SUM(X873:X915)</f>
        <v>66841</v>
      </c>
      <c r="AA916" s="55"/>
      <c r="AB916" s="55"/>
      <c r="AC916" s="38">
        <f>SUM(AC873:AC915)</f>
        <v>410291</v>
      </c>
      <c r="AD916" s="38">
        <f>SUM(AD873:AD897)</f>
        <v>-3732</v>
      </c>
      <c r="AE916" s="38">
        <f>SUM(AE873:AE897)</f>
        <v>0</v>
      </c>
      <c r="AF916" s="38">
        <f>SUM(AF873:AF915)</f>
        <v>406559</v>
      </c>
      <c r="AG916" s="4"/>
      <c r="AH916" s="39">
        <f>SUM(AH873:AH915)</f>
        <v>54</v>
      </c>
      <c r="AI916" s="39">
        <f>SUM(AI873:AI897)</f>
        <v>-1212</v>
      </c>
      <c r="AJ916" s="40">
        <f>SUM(AJ873:AJ915)</f>
        <v>405401</v>
      </c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1:53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1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N918" t="s">
        <v>0</v>
      </c>
      <c r="O918" s="55"/>
      <c r="P918" s="55"/>
      <c r="Q918" s="55"/>
      <c r="R918" s="55"/>
      <c r="S918" s="55"/>
      <c r="T918" s="55"/>
      <c r="Z918" t="s">
        <v>0</v>
      </c>
      <c r="AA918" s="55"/>
      <c r="AB918" s="55"/>
      <c r="AC918" s="55"/>
      <c r="AD918" s="55"/>
      <c r="AE918" s="55"/>
      <c r="AF918" s="55"/>
      <c r="AL918" s="61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1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N919" t="s">
        <v>28</v>
      </c>
      <c r="O919" s="55"/>
      <c r="P919" s="55"/>
      <c r="Q919" s="55"/>
      <c r="R919" s="55"/>
      <c r="S919" s="55"/>
      <c r="T919" s="55"/>
      <c r="Z919" t="s">
        <v>28</v>
      </c>
      <c r="AA919" s="55"/>
      <c r="AB919" s="55"/>
      <c r="AC919" s="55"/>
      <c r="AD919" s="55"/>
      <c r="AE919" s="55"/>
      <c r="AF919" s="55"/>
      <c r="AL919" s="60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1:53" x14ac:dyDescent="0.25">
      <c r="B920" s="61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O920" s="55"/>
      <c r="P920" s="55"/>
      <c r="Q920" s="55"/>
      <c r="R920" s="55"/>
      <c r="S920" s="55"/>
      <c r="T920" s="55"/>
      <c r="AA920" s="55"/>
      <c r="AB920" s="55"/>
      <c r="AC920" s="55"/>
      <c r="AD920" s="55"/>
      <c r="AE920" s="55"/>
      <c r="AF920" s="55"/>
      <c r="AL920" s="60"/>
      <c r="AM920" s="83"/>
      <c r="AN920" s="83"/>
      <c r="AO920" s="83"/>
      <c r="AP920" s="83"/>
      <c r="AQ920" s="83"/>
      <c r="AR920" s="83"/>
      <c r="AS920" s="60"/>
      <c r="AT920" s="83"/>
      <c r="AU920" s="83"/>
      <c r="AV920" s="60"/>
      <c r="AW920" s="60"/>
      <c r="AX920" s="60"/>
      <c r="AY920" s="60"/>
      <c r="AZ920" s="60"/>
      <c r="BA920" s="60"/>
    </row>
    <row r="921" spans="1:53" x14ac:dyDescent="0.25">
      <c r="B921" s="60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N921" s="4" t="s">
        <v>14</v>
      </c>
      <c r="O921" s="55"/>
      <c r="P921" s="55"/>
      <c r="Q921" s="55"/>
      <c r="R921" s="55"/>
      <c r="S921" s="55"/>
      <c r="T921" s="55"/>
      <c r="Z921" s="4" t="s">
        <v>14</v>
      </c>
      <c r="AA921" s="55"/>
      <c r="AB921" s="55"/>
      <c r="AC921" s="55"/>
      <c r="AD921" s="55"/>
      <c r="AE921" s="55"/>
      <c r="AF921" s="55"/>
      <c r="AL921" s="62"/>
      <c r="AM921" s="83"/>
      <c r="AN921" s="83"/>
      <c r="AO921" s="83"/>
      <c r="AP921" s="83"/>
      <c r="AQ921" s="83"/>
      <c r="AR921" s="83"/>
      <c r="AS921" s="60"/>
      <c r="AT921" s="63"/>
      <c r="AU921" s="63"/>
      <c r="AV921" s="60"/>
      <c r="AW921" s="60"/>
      <c r="AX921" s="60"/>
      <c r="AY921" s="60"/>
      <c r="AZ921" s="60"/>
      <c r="BA921" s="60"/>
    </row>
    <row r="922" spans="1:53" ht="15.75" x14ac:dyDescent="0.25">
      <c r="B922" s="60"/>
      <c r="C922" s="84"/>
      <c r="D922" s="84"/>
      <c r="E922" s="84"/>
      <c r="F922" s="84"/>
      <c r="G922" s="84"/>
      <c r="H922" s="84"/>
      <c r="I922" s="60"/>
      <c r="J922" s="84"/>
      <c r="K922" s="71"/>
      <c r="L922" s="60"/>
      <c r="O922" s="55"/>
      <c r="P922" s="55"/>
      <c r="Q922" s="55"/>
      <c r="R922" s="55"/>
      <c r="S922" s="55"/>
      <c r="T922" s="55"/>
      <c r="AA922" s="55"/>
      <c r="AB922" s="55"/>
      <c r="AC922" s="55"/>
      <c r="AD922" s="55"/>
      <c r="AE922" s="55"/>
      <c r="AF922" s="55"/>
      <c r="AL922" s="60"/>
      <c r="AM922" s="83"/>
      <c r="AN922" s="83"/>
      <c r="AO922" s="83"/>
      <c r="AP922" s="83"/>
      <c r="AQ922" s="83"/>
      <c r="AR922" s="83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1:53" ht="15" customHeight="1" x14ac:dyDescent="0.25">
      <c r="B923" s="62"/>
      <c r="C923" s="84"/>
      <c r="D923" s="84"/>
      <c r="E923" s="84"/>
      <c r="F923" s="84"/>
      <c r="G923" s="84"/>
      <c r="H923" s="84"/>
      <c r="I923" s="60"/>
      <c r="J923" s="63"/>
      <c r="K923" s="63"/>
      <c r="L923" s="60"/>
      <c r="N923" t="s">
        <v>53</v>
      </c>
      <c r="O923" s="55"/>
      <c r="P923" s="55"/>
      <c r="Q923" s="55"/>
      <c r="R923" s="55"/>
      <c r="S923" s="55"/>
      <c r="T923" s="55"/>
      <c r="V923" s="55" t="s">
        <v>15</v>
      </c>
      <c r="W923" s="19">
        <v>2</v>
      </c>
      <c r="Z923" t="s">
        <v>53</v>
      </c>
      <c r="AA923" s="55"/>
      <c r="AB923" s="55"/>
      <c r="AC923" s="55"/>
      <c r="AD923" s="55"/>
      <c r="AE923" s="55"/>
      <c r="AF923" s="55"/>
      <c r="AH923" s="55" t="s">
        <v>15</v>
      </c>
      <c r="AI923" s="20">
        <v>3</v>
      </c>
      <c r="AL923" s="60"/>
      <c r="AM923" s="63"/>
      <c r="AN923" s="83"/>
      <c r="AO923" s="124"/>
      <c r="AP923" s="124"/>
      <c r="AQ923" s="83"/>
      <c r="AR923" s="83"/>
      <c r="AS923" s="60"/>
      <c r="AT923" s="124"/>
      <c r="AU923" s="124"/>
      <c r="AV923" s="123"/>
      <c r="AW923" s="60"/>
      <c r="AX923" s="60"/>
      <c r="AY923" s="60"/>
      <c r="AZ923" s="60"/>
      <c r="BA923" s="60"/>
    </row>
    <row r="924" spans="1:53" x14ac:dyDescent="0.25">
      <c r="B924" s="60"/>
      <c r="C924" s="84"/>
      <c r="D924" s="84"/>
      <c r="E924" s="84"/>
      <c r="F924" s="84"/>
      <c r="G924" s="84"/>
      <c r="H924" s="84"/>
      <c r="I924" s="60"/>
      <c r="J924" s="60"/>
      <c r="K924" s="60"/>
      <c r="L924" s="60"/>
      <c r="N924" s="21" t="s">
        <v>87</v>
      </c>
      <c r="O924" s="20"/>
      <c r="P924" s="55"/>
      <c r="Q924" s="55"/>
      <c r="R924" s="55"/>
      <c r="S924" s="55"/>
      <c r="T924" s="55"/>
      <c r="V924" s="22" t="s">
        <v>16</v>
      </c>
      <c r="W924" s="23" t="s">
        <v>82</v>
      </c>
      <c r="X924" s="24"/>
      <c r="Z924" s="21" t="s">
        <v>87</v>
      </c>
      <c r="AA924" s="20"/>
      <c r="AB924" s="55"/>
      <c r="AC924" s="55"/>
      <c r="AD924" s="55"/>
      <c r="AE924" s="55"/>
      <c r="AF924" s="55"/>
      <c r="AH924" s="22" t="s">
        <v>16</v>
      </c>
      <c r="AI924" s="23" t="s">
        <v>41</v>
      </c>
      <c r="AJ924" s="24"/>
      <c r="AL924" s="60"/>
      <c r="AM924" s="83"/>
      <c r="AN924" s="83"/>
      <c r="AO924" s="76"/>
      <c r="AP924" s="78"/>
      <c r="AQ924" s="78"/>
      <c r="AR924" s="78"/>
      <c r="AS924" s="60"/>
      <c r="AT924" s="82"/>
      <c r="AU924" s="82"/>
      <c r="AV924" s="123"/>
      <c r="AW924" s="60"/>
      <c r="AX924" s="60"/>
      <c r="AY924" s="60"/>
      <c r="AZ924" s="60"/>
      <c r="BA924" s="60"/>
    </row>
    <row r="925" spans="1:53" x14ac:dyDescent="0.25">
      <c r="B925" s="60"/>
      <c r="C925" s="63"/>
      <c r="D925" s="84"/>
      <c r="E925" s="124"/>
      <c r="F925" s="124"/>
      <c r="G925" s="84"/>
      <c r="H925" s="84"/>
      <c r="I925" s="60"/>
      <c r="J925" s="124"/>
      <c r="K925" s="124"/>
      <c r="L925" s="123"/>
      <c r="O925" s="55"/>
      <c r="P925" s="55"/>
      <c r="Q925" s="55"/>
      <c r="R925" s="55"/>
      <c r="S925" s="55"/>
      <c r="T925" s="55"/>
      <c r="AA925" s="55"/>
      <c r="AB925" s="55"/>
      <c r="AC925" s="55"/>
      <c r="AD925" s="55"/>
      <c r="AE925" s="55"/>
      <c r="AF925" s="55"/>
      <c r="AL925" s="60"/>
      <c r="AM925" s="64"/>
      <c r="AN925" s="83"/>
      <c r="AO925" s="58"/>
      <c r="AP925" s="58"/>
      <c r="AQ925" s="58"/>
      <c r="AR925" s="58"/>
      <c r="AS925" s="59"/>
      <c r="AT925" s="59"/>
      <c r="AU925" s="59"/>
      <c r="AV925" s="59"/>
      <c r="AW925" s="60"/>
      <c r="AX925" s="60"/>
      <c r="AY925" s="60"/>
      <c r="AZ925" s="60"/>
      <c r="BA925" s="60"/>
    </row>
    <row r="926" spans="1:53" x14ac:dyDescent="0.25">
      <c r="B926" s="60"/>
      <c r="C926" s="84"/>
      <c r="D926" s="84"/>
      <c r="E926" s="76"/>
      <c r="F926" s="77"/>
      <c r="G926" s="78"/>
      <c r="H926" s="78"/>
      <c r="I926" s="60"/>
      <c r="J926" s="85"/>
      <c r="K926" s="85"/>
      <c r="L926" s="123"/>
      <c r="O926" s="25"/>
      <c r="P926" s="26"/>
      <c r="Q926" s="118" t="s">
        <v>17</v>
      </c>
      <c r="R926" s="118"/>
      <c r="S926" s="109"/>
      <c r="T926" s="27"/>
      <c r="V926" s="119" t="s">
        <v>18</v>
      </c>
      <c r="W926" s="120"/>
      <c r="X926" s="121" t="s">
        <v>19</v>
      </c>
      <c r="AA926" s="25"/>
      <c r="AB926" s="26"/>
      <c r="AC926" s="118" t="s">
        <v>17</v>
      </c>
      <c r="AD926" s="118"/>
      <c r="AE926" s="109"/>
      <c r="AF926" s="27"/>
      <c r="AH926" s="119" t="s">
        <v>18</v>
      </c>
      <c r="AI926" s="120"/>
      <c r="AJ926" s="121" t="s">
        <v>19</v>
      </c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1:53" ht="30" x14ac:dyDescent="0.25">
      <c r="B927" s="60"/>
      <c r="C927" s="64"/>
      <c r="D927" s="81"/>
      <c r="E927" s="58"/>
      <c r="F927" s="58"/>
      <c r="G927" s="58"/>
      <c r="H927" s="58"/>
      <c r="I927" s="59"/>
      <c r="J927" s="59"/>
      <c r="K927" s="59"/>
      <c r="L927" s="59"/>
      <c r="O927" s="28" t="s">
        <v>20</v>
      </c>
      <c r="P927" s="28" t="s">
        <v>21</v>
      </c>
      <c r="Q927" s="74" t="s">
        <v>22</v>
      </c>
      <c r="R927" s="75" t="s">
        <v>23</v>
      </c>
      <c r="S927" s="75" t="s">
        <v>31</v>
      </c>
      <c r="T927" s="75" t="s">
        <v>24</v>
      </c>
      <c r="V927" s="29" t="s">
        <v>25</v>
      </c>
      <c r="W927" s="29" t="s">
        <v>26</v>
      </c>
      <c r="X927" s="122"/>
      <c r="AA927" s="28" t="s">
        <v>20</v>
      </c>
      <c r="AB927" s="28" t="s">
        <v>21</v>
      </c>
      <c r="AC927" s="74" t="s">
        <v>22</v>
      </c>
      <c r="AD927" s="75" t="s">
        <v>23</v>
      </c>
      <c r="AE927" s="75" t="s">
        <v>31</v>
      </c>
      <c r="AF927" s="75" t="s">
        <v>24</v>
      </c>
      <c r="AH927" s="29" t="s">
        <v>25</v>
      </c>
      <c r="AI927" s="29" t="s">
        <v>26</v>
      </c>
      <c r="AJ927" s="122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1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N928" s="10">
        <v>1</v>
      </c>
      <c r="O928" s="30" t="s">
        <v>88</v>
      </c>
      <c r="P928" s="80">
        <v>11966</v>
      </c>
      <c r="Q928" s="32">
        <f>650*3+622*2</f>
        <v>3194</v>
      </c>
      <c r="R928" s="32"/>
      <c r="S928" s="32"/>
      <c r="T928" s="32">
        <f>SUM(Q928:R928)</f>
        <v>3194</v>
      </c>
      <c r="U928" s="12"/>
      <c r="V928" s="12"/>
      <c r="W928" s="12"/>
      <c r="X928" s="12">
        <f>SUM(T928:W928)</f>
        <v>3194</v>
      </c>
      <c r="Z928" s="10">
        <v>1</v>
      </c>
      <c r="AA928" s="30" t="s">
        <v>88</v>
      </c>
      <c r="AB928" s="31">
        <v>11898</v>
      </c>
      <c r="AC928" s="32">
        <f>650*50</f>
        <v>32500</v>
      </c>
      <c r="AD928" s="32">
        <f>-50*6</f>
        <v>-300</v>
      </c>
      <c r="AE928" s="32"/>
      <c r="AF928" s="32">
        <f>SUM(AC928:AD928)</f>
        <v>32200</v>
      </c>
      <c r="AG928" s="12"/>
      <c r="AH928" s="12"/>
      <c r="AI928" s="12">
        <f>-111*7</f>
        <v>-777</v>
      </c>
      <c r="AJ928" s="12">
        <f>SUM(AF928:AI928)</f>
        <v>31423</v>
      </c>
      <c r="AL928" s="60"/>
      <c r="AM928" s="64"/>
      <c r="AN928" s="83"/>
      <c r="AO928" s="58"/>
      <c r="AP928" s="58"/>
      <c r="AQ928" s="58"/>
      <c r="AR928" s="58"/>
      <c r="AS928" s="59"/>
      <c r="AT928" s="60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N929" s="10">
        <v>2</v>
      </c>
      <c r="O929" s="30" t="s">
        <v>88</v>
      </c>
      <c r="P929" s="80">
        <f>P928+1</f>
        <v>11967</v>
      </c>
      <c r="Q929" s="32">
        <f>650*8</f>
        <v>5200</v>
      </c>
      <c r="R929" s="32"/>
      <c r="S929" s="32"/>
      <c r="T929" s="32">
        <f t="shared" ref="T929:T966" si="198">SUM(Q929:R929)</f>
        <v>5200</v>
      </c>
      <c r="U929" s="12"/>
      <c r="V929" s="12"/>
      <c r="W929" s="12">
        <f>-111*5</f>
        <v>-555</v>
      </c>
      <c r="X929" s="12">
        <f t="shared" ref="X929:X969" si="199">SUM(T929:W929)</f>
        <v>4645</v>
      </c>
      <c r="Z929" s="10">
        <v>2</v>
      </c>
      <c r="AA929" s="30" t="s">
        <v>88</v>
      </c>
      <c r="AB929" s="31">
        <f>AB928+1</f>
        <v>11899</v>
      </c>
      <c r="AC929" s="32">
        <f>650*15+650*5+1667+500</f>
        <v>15167</v>
      </c>
      <c r="AD929" s="32"/>
      <c r="AE929" s="32"/>
      <c r="AF929" s="32">
        <f t="shared" ref="AF929:AF966" si="200">SUM(AC929:AD929)</f>
        <v>15167</v>
      </c>
      <c r="AG929" s="12"/>
      <c r="AH929" s="12">
        <f>120</f>
        <v>120</v>
      </c>
      <c r="AI929" s="12"/>
      <c r="AJ929" s="12">
        <f t="shared" ref="AJ929:AJ969" si="201">SUM(AF929:AI929)</f>
        <v>15287</v>
      </c>
      <c r="AL929" s="60"/>
      <c r="AM929" s="64"/>
      <c r="AN929" s="83"/>
      <c r="AO929" s="58"/>
      <c r="AP929" s="58"/>
      <c r="AQ929" s="58"/>
      <c r="AR929" s="58"/>
      <c r="AS929" s="59"/>
      <c r="AT929" s="59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N930" s="10">
        <v>3</v>
      </c>
      <c r="O930" s="30" t="s">
        <v>88</v>
      </c>
      <c r="P930" s="80">
        <f t="shared" ref="P930:P935" si="202">P929+1</f>
        <v>11968</v>
      </c>
      <c r="Q930" s="33">
        <f>650*32+622*9</f>
        <v>26398</v>
      </c>
      <c r="R930" s="33"/>
      <c r="S930" s="32"/>
      <c r="T930" s="32">
        <f t="shared" si="198"/>
        <v>26398</v>
      </c>
      <c r="U930" s="12"/>
      <c r="V930" s="34"/>
      <c r="W930" s="34"/>
      <c r="X930" s="12">
        <f t="shared" si="199"/>
        <v>26398</v>
      </c>
      <c r="Z930" s="10">
        <v>3</v>
      </c>
      <c r="AA930" s="30" t="s">
        <v>88</v>
      </c>
      <c r="AB930" s="31">
        <f t="shared" ref="AB930:AB931" si="203">AB929+1</f>
        <v>11900</v>
      </c>
      <c r="AC930" s="33">
        <f>650*300+670*35+973*15+622*50+912*20+1050*10+872*2+872*8+500*5+700*15</f>
        <v>314605</v>
      </c>
      <c r="AD930" s="33"/>
      <c r="AE930" s="32"/>
      <c r="AF930" s="32">
        <f t="shared" si="200"/>
        <v>314605</v>
      </c>
      <c r="AG930" s="12"/>
      <c r="AH930" s="12">
        <f>111*400+120*60</f>
        <v>51600</v>
      </c>
      <c r="AI930" s="12">
        <f>-111*56+-120*7+-84*377</f>
        <v>-38724</v>
      </c>
      <c r="AJ930" s="12">
        <f t="shared" si="201"/>
        <v>327481</v>
      </c>
      <c r="AL930" s="60"/>
      <c r="AM930" s="64"/>
      <c r="AN930" s="63"/>
      <c r="AO930" s="58"/>
      <c r="AP930" s="58"/>
      <c r="AQ930" s="58"/>
      <c r="AR930" s="58"/>
      <c r="AS930" s="59"/>
      <c r="AT930" s="59"/>
      <c r="AU930" s="60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N931" s="10">
        <v>4</v>
      </c>
      <c r="O931" s="30" t="s">
        <v>88</v>
      </c>
      <c r="P931" s="80">
        <f t="shared" si="202"/>
        <v>11969</v>
      </c>
      <c r="Q931" s="32">
        <f>650*200+622*30+912*5+229*9</f>
        <v>155281</v>
      </c>
      <c r="R931" s="32">
        <f>-235*6</f>
        <v>-1410</v>
      </c>
      <c r="S931" s="32"/>
      <c r="T931" s="32">
        <f t="shared" si="198"/>
        <v>153871</v>
      </c>
      <c r="U931" s="12"/>
      <c r="V931" s="12"/>
      <c r="W931" s="12">
        <f>-111*61+-120*3+-78+-84*2+-42*10+-1.5*20</f>
        <v>-7827</v>
      </c>
      <c r="X931" s="12">
        <f t="shared" si="199"/>
        <v>146044</v>
      </c>
      <c r="Z931" s="10">
        <v>4</v>
      </c>
      <c r="AA931" s="30" t="s">
        <v>88</v>
      </c>
      <c r="AB931" s="31">
        <f t="shared" si="203"/>
        <v>11901</v>
      </c>
      <c r="AC931" s="32">
        <f>650*3</f>
        <v>1950</v>
      </c>
      <c r="AD931" s="32"/>
      <c r="AE931" s="32"/>
      <c r="AF931" s="32">
        <f t="shared" si="200"/>
        <v>1950</v>
      </c>
      <c r="AG931" s="12"/>
      <c r="AI931" s="12">
        <f>-84*18</f>
        <v>-1512</v>
      </c>
      <c r="AJ931" s="12">
        <f t="shared" si="201"/>
        <v>438</v>
      </c>
      <c r="AL931" s="60"/>
      <c r="AM931" s="64"/>
      <c r="AN931" s="83"/>
      <c r="AO931" s="58"/>
      <c r="AP931" s="58"/>
      <c r="AQ931" s="58"/>
      <c r="AR931" s="58"/>
      <c r="AS931" s="59"/>
      <c r="AT931" s="59"/>
      <c r="AU931" s="59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N932" s="10">
        <v>5</v>
      </c>
      <c r="O932" s="30" t="s">
        <v>88</v>
      </c>
      <c r="P932" s="80">
        <f t="shared" si="202"/>
        <v>11970</v>
      </c>
      <c r="Q932" s="32">
        <f>650*100+229*2</f>
        <v>65458</v>
      </c>
      <c r="R932" s="32">
        <f>-100*6</f>
        <v>-600</v>
      </c>
      <c r="S932" s="32"/>
      <c r="T932" s="32">
        <f t="shared" si="198"/>
        <v>64858</v>
      </c>
      <c r="U932" s="12"/>
      <c r="V932" s="12">
        <f>4.5*36+1.5*48</f>
        <v>234</v>
      </c>
      <c r="W932" s="12"/>
      <c r="X932" s="12">
        <f t="shared" si="199"/>
        <v>65092</v>
      </c>
      <c r="Z932" s="10">
        <v>5</v>
      </c>
      <c r="AA932" s="30"/>
      <c r="AB932" s="11" t="s">
        <v>27</v>
      </c>
      <c r="AC932" s="32"/>
      <c r="AD932" s="32"/>
      <c r="AE932" s="32"/>
      <c r="AF932" s="32">
        <f t="shared" si="200"/>
        <v>0</v>
      </c>
      <c r="AG932" s="12"/>
      <c r="AH932" s="12"/>
      <c r="AI932" s="12"/>
      <c r="AJ932" s="12">
        <f t="shared" si="201"/>
        <v>0</v>
      </c>
      <c r="AL932" s="60"/>
      <c r="AM932" s="64"/>
      <c r="AN932" s="83"/>
      <c r="AO932" s="58"/>
      <c r="AP932" s="58"/>
      <c r="AQ932" s="60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N933" s="10">
        <v>6</v>
      </c>
      <c r="O933" s="30" t="s">
        <v>88</v>
      </c>
      <c r="P933" s="80">
        <f t="shared" si="202"/>
        <v>11971</v>
      </c>
      <c r="Q933" s="32">
        <f>650*12</f>
        <v>7800</v>
      </c>
      <c r="R933" s="32"/>
      <c r="S933" s="32"/>
      <c r="T933" s="32">
        <f t="shared" si="198"/>
        <v>7800</v>
      </c>
      <c r="U933" s="12"/>
      <c r="V933" s="12"/>
      <c r="W933" s="10"/>
      <c r="X933" s="12">
        <f t="shared" si="199"/>
        <v>7800</v>
      </c>
      <c r="Z933" s="10">
        <v>6</v>
      </c>
      <c r="AA933" s="30"/>
      <c r="AC933" s="32"/>
      <c r="AD933" s="32"/>
      <c r="AE933" s="32"/>
      <c r="AF933" s="32">
        <f t="shared" si="200"/>
        <v>0</v>
      </c>
      <c r="AG933" s="12"/>
      <c r="AH933" s="12"/>
      <c r="AI933" s="10"/>
      <c r="AJ933" s="12">
        <f t="shared" si="201"/>
        <v>0</v>
      </c>
      <c r="AL933" s="60"/>
      <c r="AM933" s="64"/>
      <c r="AN933" s="83"/>
      <c r="AO933" s="60"/>
      <c r="AP933" s="58"/>
      <c r="AQ933" s="58"/>
      <c r="AR933" s="58"/>
      <c r="AS933" s="59"/>
      <c r="AT933" s="60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N934" s="10">
        <v>7</v>
      </c>
      <c r="O934" s="30" t="s">
        <v>88</v>
      </c>
      <c r="P934" s="80">
        <f t="shared" si="202"/>
        <v>11972</v>
      </c>
      <c r="Q934" s="32">
        <f>973</f>
        <v>973</v>
      </c>
      <c r="R934" s="32"/>
      <c r="S934" s="32"/>
      <c r="T934" s="32">
        <f t="shared" si="198"/>
        <v>973</v>
      </c>
      <c r="U934" s="12"/>
      <c r="V934" s="12"/>
      <c r="W934" s="12"/>
      <c r="X934" s="12">
        <f t="shared" si="199"/>
        <v>973</v>
      </c>
      <c r="Z934" s="10">
        <v>7</v>
      </c>
      <c r="AA934" s="30"/>
      <c r="AC934" s="32"/>
      <c r="AD934" s="32"/>
      <c r="AE934" s="32"/>
      <c r="AF934" s="32">
        <f t="shared" si="200"/>
        <v>0</v>
      </c>
      <c r="AG934" s="12"/>
      <c r="AH934" s="56"/>
      <c r="AI934" s="12"/>
      <c r="AJ934" s="12">
        <f t="shared" si="201"/>
        <v>0</v>
      </c>
      <c r="AL934" s="60"/>
      <c r="AM934" s="64"/>
      <c r="AN934" s="60"/>
      <c r="AO934" s="58"/>
      <c r="AP934" s="58"/>
      <c r="AQ934" s="58"/>
      <c r="AR934" s="58"/>
      <c r="AS934" s="59"/>
      <c r="AT934" s="59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N935" s="10">
        <v>8</v>
      </c>
      <c r="O935" s="30" t="s">
        <v>88</v>
      </c>
      <c r="P935" s="80">
        <f t="shared" si="202"/>
        <v>11973</v>
      </c>
      <c r="Q935" s="32">
        <f>650*50+622*10</f>
        <v>38720</v>
      </c>
      <c r="R935" s="32"/>
      <c r="S935" s="32"/>
      <c r="T935" s="32">
        <f t="shared" si="198"/>
        <v>38720</v>
      </c>
      <c r="U935" s="12"/>
      <c r="V935" s="12"/>
      <c r="W935" s="12"/>
      <c r="X935" s="12">
        <f t="shared" si="199"/>
        <v>38720</v>
      </c>
      <c r="Z935" s="10">
        <v>8</v>
      </c>
      <c r="AA935" s="30"/>
      <c r="AB935" s="31"/>
      <c r="AC935" s="32"/>
      <c r="AD935" s="32"/>
      <c r="AF935" s="32">
        <f t="shared" si="200"/>
        <v>0</v>
      </c>
      <c r="AG935" s="12"/>
      <c r="AH935" s="12"/>
      <c r="AI935" s="12"/>
      <c r="AJ935" s="12">
        <f t="shared" si="201"/>
        <v>0</v>
      </c>
      <c r="AL935" s="60"/>
      <c r="AM935" s="64"/>
      <c r="AN935" s="83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N936" s="10">
        <v>9</v>
      </c>
      <c r="O936" s="30"/>
      <c r="P936" s="11" t="s">
        <v>27</v>
      </c>
      <c r="Q936" s="32"/>
      <c r="R936" s="32"/>
      <c r="S936" s="32"/>
      <c r="T936" s="32">
        <f t="shared" si="198"/>
        <v>0</v>
      </c>
      <c r="U936" s="12"/>
      <c r="V936" s="12"/>
      <c r="W936" s="12"/>
      <c r="X936" s="12">
        <f t="shared" si="199"/>
        <v>0</v>
      </c>
      <c r="Z936" s="10">
        <v>9</v>
      </c>
      <c r="AA936" s="30"/>
      <c r="AC936" s="32"/>
      <c r="AD936" s="32"/>
      <c r="AE936" s="32"/>
      <c r="AF936" s="32">
        <f t="shared" si="200"/>
        <v>0</v>
      </c>
      <c r="AG936" s="12"/>
      <c r="AI936" s="12"/>
      <c r="AJ936" s="12">
        <f t="shared" si="201"/>
        <v>0</v>
      </c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63"/>
      <c r="E937" s="58"/>
      <c r="F937" s="58"/>
      <c r="G937" s="58"/>
      <c r="H937" s="58"/>
      <c r="I937" s="59"/>
      <c r="J937" s="59"/>
      <c r="K937" s="59"/>
      <c r="L937" s="59"/>
      <c r="N937" s="10">
        <v>10</v>
      </c>
      <c r="O937" s="30"/>
      <c r="P937" s="80"/>
      <c r="Q937" s="32"/>
      <c r="R937" s="32"/>
      <c r="S937" s="32"/>
      <c r="T937" s="32">
        <f t="shared" si="198"/>
        <v>0</v>
      </c>
      <c r="U937" s="12"/>
      <c r="V937" s="12"/>
      <c r="W937" s="12"/>
      <c r="X937" s="12">
        <f t="shared" si="199"/>
        <v>0</v>
      </c>
      <c r="Z937" s="10">
        <v>10</v>
      </c>
      <c r="AA937" s="30"/>
      <c r="AB937" s="31"/>
      <c r="AC937" s="32"/>
      <c r="AD937" s="32"/>
      <c r="AE937" s="32"/>
      <c r="AF937" s="32">
        <f t="shared" si="200"/>
        <v>0</v>
      </c>
      <c r="AG937" s="12"/>
      <c r="AH937" s="12"/>
      <c r="AI937" s="12"/>
      <c r="AJ937" s="12">
        <f t="shared" si="201"/>
        <v>0</v>
      </c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81"/>
      <c r="E938" s="58"/>
      <c r="F938" s="58"/>
      <c r="G938" s="58"/>
      <c r="H938" s="58"/>
      <c r="I938" s="59"/>
      <c r="J938" s="59"/>
      <c r="K938" s="60"/>
      <c r="L938" s="59"/>
      <c r="N938" s="10">
        <v>11</v>
      </c>
      <c r="O938" s="30"/>
      <c r="P938" s="80"/>
      <c r="Q938" s="32"/>
      <c r="R938" s="32"/>
      <c r="S938" s="32"/>
      <c r="T938" s="32">
        <f t="shared" si="198"/>
        <v>0</v>
      </c>
      <c r="U938" s="12"/>
      <c r="V938" s="12"/>
      <c r="W938" s="12"/>
      <c r="X938" s="12">
        <f t="shared" si="199"/>
        <v>0</v>
      </c>
      <c r="Z938" s="10">
        <v>11</v>
      </c>
      <c r="AA938" s="30"/>
      <c r="AB938" s="31"/>
      <c r="AC938" s="32"/>
      <c r="AD938" s="32"/>
      <c r="AE938" s="32"/>
      <c r="AF938" s="32">
        <f t="shared" si="200"/>
        <v>0</v>
      </c>
      <c r="AG938" s="12"/>
      <c r="AH938" s="12"/>
      <c r="AI938" s="12"/>
      <c r="AJ938" s="12">
        <f t="shared" si="201"/>
        <v>0</v>
      </c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59"/>
      <c r="L939" s="59"/>
      <c r="N939" s="10">
        <v>12</v>
      </c>
      <c r="O939" s="30"/>
      <c r="P939" s="80"/>
      <c r="Q939" s="32"/>
      <c r="R939" s="32"/>
      <c r="S939" s="32"/>
      <c r="T939" s="32">
        <f t="shared" si="198"/>
        <v>0</v>
      </c>
      <c r="U939" s="12"/>
      <c r="V939" s="12"/>
      <c r="W939" s="12"/>
      <c r="X939" s="12">
        <f t="shared" si="199"/>
        <v>0</v>
      </c>
      <c r="Z939" s="10">
        <v>12</v>
      </c>
      <c r="AA939" s="30"/>
      <c r="AB939" s="31"/>
      <c r="AC939" s="32"/>
      <c r="AD939" s="32"/>
      <c r="AE939" s="32"/>
      <c r="AF939" s="32">
        <f t="shared" si="200"/>
        <v>0</v>
      </c>
      <c r="AG939" s="12"/>
      <c r="AH939" s="12"/>
      <c r="AI939" s="12"/>
      <c r="AJ939" s="12">
        <f t="shared" si="201"/>
        <v>0</v>
      </c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N940" s="10">
        <v>13</v>
      </c>
      <c r="O940" s="30"/>
      <c r="P940" s="80"/>
      <c r="Q940" s="32"/>
      <c r="R940" s="32"/>
      <c r="S940" s="32"/>
      <c r="T940" s="32">
        <f t="shared" si="198"/>
        <v>0</v>
      </c>
      <c r="U940" s="12"/>
      <c r="V940" s="12"/>
      <c r="W940" s="12"/>
      <c r="X940" s="12">
        <f t="shared" si="199"/>
        <v>0</v>
      </c>
      <c r="Z940" s="10">
        <v>13</v>
      </c>
      <c r="AA940" s="30"/>
      <c r="AB940" s="31"/>
      <c r="AC940" s="32"/>
      <c r="AD940" s="32"/>
      <c r="AE940" s="32"/>
      <c r="AF940" s="32">
        <f t="shared" si="200"/>
        <v>0</v>
      </c>
      <c r="AG940" s="12"/>
      <c r="AH940" s="12"/>
      <c r="AI940" s="12"/>
      <c r="AJ940" s="12">
        <f t="shared" si="201"/>
        <v>0</v>
      </c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N941" s="10">
        <v>14</v>
      </c>
      <c r="O941" s="30"/>
      <c r="P941" s="80"/>
      <c r="Q941" s="32"/>
      <c r="R941" s="32"/>
      <c r="S941" s="32"/>
      <c r="T941" s="32">
        <f t="shared" si="198"/>
        <v>0</v>
      </c>
      <c r="U941" s="12"/>
      <c r="V941" s="12"/>
      <c r="W941" s="12"/>
      <c r="X941" s="12">
        <f t="shared" si="199"/>
        <v>0</v>
      </c>
      <c r="Z941" s="10">
        <v>14</v>
      </c>
      <c r="AA941" s="30"/>
      <c r="AB941" s="31"/>
      <c r="AC941" s="32"/>
      <c r="AD941" s="32"/>
      <c r="AE941" s="32"/>
      <c r="AF941" s="32">
        <f t="shared" si="200"/>
        <v>0</v>
      </c>
      <c r="AG941" s="12"/>
      <c r="AH941" s="12"/>
      <c r="AI941" s="12"/>
      <c r="AJ941" s="12">
        <f t="shared" si="201"/>
        <v>0</v>
      </c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63"/>
      <c r="E942" s="58"/>
      <c r="F942" s="58"/>
      <c r="G942" s="58"/>
      <c r="H942" s="58"/>
      <c r="I942" s="59"/>
      <c r="J942" s="59"/>
      <c r="K942" s="59"/>
      <c r="L942" s="59"/>
      <c r="N942" s="10">
        <v>15</v>
      </c>
      <c r="O942" s="30"/>
      <c r="Q942" s="32"/>
      <c r="R942" s="32"/>
      <c r="S942" s="32"/>
      <c r="T942" s="32">
        <f t="shared" si="198"/>
        <v>0</v>
      </c>
      <c r="U942" s="12"/>
      <c r="V942" s="12"/>
      <c r="W942" s="12"/>
      <c r="X942" s="12">
        <f t="shared" si="199"/>
        <v>0</v>
      </c>
      <c r="Z942" s="10">
        <v>15</v>
      </c>
      <c r="AA942" s="30"/>
      <c r="AB942" s="31"/>
      <c r="AC942" s="32"/>
      <c r="AD942" s="32"/>
      <c r="AE942" s="32"/>
      <c r="AF942" s="32">
        <f t="shared" si="200"/>
        <v>0</v>
      </c>
      <c r="AG942" s="12"/>
      <c r="AH942" s="12"/>
      <c r="AI942" s="12"/>
      <c r="AJ942" s="12">
        <f t="shared" si="201"/>
        <v>0</v>
      </c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81"/>
      <c r="E943" s="58"/>
      <c r="F943" s="58"/>
      <c r="G943" s="58"/>
      <c r="H943" s="58"/>
      <c r="I943" s="59"/>
      <c r="J943" s="59"/>
      <c r="K943" s="59"/>
      <c r="L943" s="59"/>
      <c r="N943" s="10">
        <v>16</v>
      </c>
      <c r="O943" s="30"/>
      <c r="P943" s="80"/>
      <c r="Q943" s="32"/>
      <c r="R943" s="32"/>
      <c r="S943" s="32"/>
      <c r="T943" s="32">
        <f t="shared" si="198"/>
        <v>0</v>
      </c>
      <c r="U943" s="12"/>
      <c r="V943" s="12"/>
      <c r="W943" s="12"/>
      <c r="X943" s="12">
        <f t="shared" si="199"/>
        <v>0</v>
      </c>
      <c r="Z943" s="10">
        <v>16</v>
      </c>
      <c r="AA943" s="30"/>
      <c r="AB943" s="11"/>
      <c r="AC943" s="32"/>
      <c r="AD943" s="32"/>
      <c r="AE943" s="32"/>
      <c r="AF943" s="32">
        <f t="shared" si="200"/>
        <v>0</v>
      </c>
      <c r="AG943" s="12"/>
      <c r="AH943" s="12"/>
      <c r="AI943" s="12"/>
      <c r="AJ943" s="12">
        <f t="shared" si="201"/>
        <v>0</v>
      </c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N944" s="10">
        <v>17</v>
      </c>
      <c r="O944" s="30"/>
      <c r="Q944" s="35"/>
      <c r="R944" s="32"/>
      <c r="S944" s="32"/>
      <c r="T944" s="32">
        <f t="shared" si="198"/>
        <v>0</v>
      </c>
      <c r="U944" s="12"/>
      <c r="V944" s="12"/>
      <c r="W944" s="12"/>
      <c r="X944" s="12">
        <f t="shared" si="199"/>
        <v>0</v>
      </c>
      <c r="Z944" s="10">
        <v>17</v>
      </c>
      <c r="AA944" s="30"/>
      <c r="AB944" s="31"/>
      <c r="AC944" s="35"/>
      <c r="AD944" s="32"/>
      <c r="AE944" s="32"/>
      <c r="AF944" s="32">
        <f t="shared" si="200"/>
        <v>0</v>
      </c>
      <c r="AG944" s="12"/>
      <c r="AH944" s="12"/>
      <c r="AI944" s="12"/>
      <c r="AJ944" s="12">
        <f t="shared" si="201"/>
        <v>0</v>
      </c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N945" s="10">
        <v>18</v>
      </c>
      <c r="O945" s="30"/>
      <c r="P945" s="80"/>
      <c r="Q945" s="32"/>
      <c r="R945" s="32"/>
      <c r="S945" s="32"/>
      <c r="T945" s="32">
        <f t="shared" si="198"/>
        <v>0</v>
      </c>
      <c r="U945" s="12"/>
      <c r="V945" s="12"/>
      <c r="W945" s="12"/>
      <c r="X945" s="12">
        <f t="shared" si="199"/>
        <v>0</v>
      </c>
      <c r="Z945" s="10">
        <v>18</v>
      </c>
      <c r="AA945" s="30"/>
      <c r="AB945" s="31"/>
      <c r="AC945" s="32"/>
      <c r="AD945" s="32"/>
      <c r="AE945" s="32"/>
      <c r="AF945" s="32">
        <f t="shared" si="200"/>
        <v>0</v>
      </c>
      <c r="AG945" s="12"/>
      <c r="AH945" s="12"/>
      <c r="AI945" s="12"/>
      <c r="AJ945" s="12">
        <f t="shared" si="201"/>
        <v>0</v>
      </c>
      <c r="AL945" s="60"/>
      <c r="AM945" s="64"/>
      <c r="AN945" s="83"/>
      <c r="AO945" s="65"/>
      <c r="AP945" s="83"/>
      <c r="AQ945" s="83"/>
      <c r="AR945" s="58"/>
      <c r="AS945" s="60"/>
      <c r="AT945" s="60"/>
      <c r="AU945" s="60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N946" s="10">
        <v>19</v>
      </c>
      <c r="O946" s="30"/>
      <c r="P946" s="80"/>
      <c r="Q946" s="32"/>
      <c r="R946" s="32"/>
      <c r="S946" s="32"/>
      <c r="T946" s="32">
        <f t="shared" si="198"/>
        <v>0</v>
      </c>
      <c r="U946" s="12"/>
      <c r="V946" s="12"/>
      <c r="W946" s="12"/>
      <c r="X946" s="12">
        <f t="shared" si="199"/>
        <v>0</v>
      </c>
      <c r="Z946" s="10">
        <v>19</v>
      </c>
      <c r="AA946" s="30"/>
      <c r="AB946" s="11"/>
      <c r="AC946" s="32"/>
      <c r="AD946" s="32"/>
      <c r="AE946" s="32"/>
      <c r="AF946" s="32">
        <f t="shared" si="200"/>
        <v>0</v>
      </c>
      <c r="AG946" s="12"/>
      <c r="AH946" s="12"/>
      <c r="AI946" s="12"/>
      <c r="AJ946" s="12">
        <f t="shared" si="201"/>
        <v>0</v>
      </c>
      <c r="AL946" s="60"/>
      <c r="AM946" s="64"/>
      <c r="AN946" s="83"/>
      <c r="AO946" s="66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60"/>
      <c r="J947" s="60"/>
      <c r="K947" s="60"/>
      <c r="L947" s="59"/>
      <c r="N947" s="10">
        <v>20</v>
      </c>
      <c r="O947" s="30"/>
      <c r="P947" s="80"/>
      <c r="Q947" s="32"/>
      <c r="R947" s="32"/>
      <c r="S947" s="32"/>
      <c r="T947" s="32">
        <f t="shared" si="198"/>
        <v>0</v>
      </c>
      <c r="U947" s="12"/>
      <c r="V947" s="12"/>
      <c r="W947" s="12"/>
      <c r="X947" s="12">
        <f t="shared" si="199"/>
        <v>0</v>
      </c>
      <c r="Z947" s="10">
        <v>20</v>
      </c>
      <c r="AA947" s="30"/>
      <c r="AB947" s="31"/>
      <c r="AC947" s="32"/>
      <c r="AD947" s="32"/>
      <c r="AE947" s="32"/>
      <c r="AF947" s="32">
        <f t="shared" si="200"/>
        <v>0</v>
      </c>
      <c r="AG947" s="12"/>
      <c r="AH947" s="12"/>
      <c r="AI947" s="12"/>
      <c r="AJ947" s="12">
        <f t="shared" si="201"/>
        <v>0</v>
      </c>
      <c r="AL947" s="60"/>
      <c r="AM947" s="64"/>
      <c r="AN947" s="83"/>
      <c r="AO947" s="67"/>
      <c r="AP947" s="60"/>
      <c r="AQ947" s="60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N948" s="10">
        <v>21</v>
      </c>
      <c r="O948" s="30"/>
      <c r="P948" s="11"/>
      <c r="Q948" s="44"/>
      <c r="R948" s="31"/>
      <c r="S948" s="31"/>
      <c r="T948" s="32">
        <f t="shared" si="198"/>
        <v>0</v>
      </c>
      <c r="U948" s="10"/>
      <c r="V948" s="10"/>
      <c r="W948" s="10"/>
      <c r="X948" s="12">
        <f t="shared" si="199"/>
        <v>0</v>
      </c>
      <c r="Z948" s="10">
        <v>21</v>
      </c>
      <c r="AA948" s="30"/>
      <c r="AB948" s="11"/>
      <c r="AC948" s="44"/>
      <c r="AD948" s="31"/>
      <c r="AE948" s="31"/>
      <c r="AF948" s="32">
        <f t="shared" si="200"/>
        <v>0</v>
      </c>
      <c r="AG948" s="10"/>
      <c r="AH948" s="10"/>
      <c r="AI948" s="10"/>
      <c r="AJ948" s="12">
        <f t="shared" si="201"/>
        <v>0</v>
      </c>
      <c r="AL948" s="60"/>
      <c r="AM948" s="64"/>
      <c r="AN948" s="83"/>
      <c r="AO948" s="67"/>
      <c r="AP948" s="83"/>
      <c r="AQ948" s="83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59"/>
      <c r="L949" s="59"/>
      <c r="N949" s="10">
        <v>22</v>
      </c>
      <c r="O949" s="30"/>
      <c r="P949" s="31"/>
      <c r="Q949" s="43"/>
      <c r="R949" s="31"/>
      <c r="S949" s="31"/>
      <c r="T949" s="32">
        <f t="shared" si="198"/>
        <v>0</v>
      </c>
      <c r="U949" s="10"/>
      <c r="V949" s="10"/>
      <c r="W949" s="10"/>
      <c r="X949" s="12">
        <f t="shared" si="199"/>
        <v>0</v>
      </c>
      <c r="Z949" s="10">
        <v>22</v>
      </c>
      <c r="AA949" s="30"/>
      <c r="AB949" s="31"/>
      <c r="AC949" s="43"/>
      <c r="AD949" s="31"/>
      <c r="AE949" s="31"/>
      <c r="AF949" s="32">
        <f t="shared" si="200"/>
        <v>0</v>
      </c>
      <c r="AG949" s="10"/>
      <c r="AH949" s="10"/>
      <c r="AI949" s="10"/>
      <c r="AJ949" s="12">
        <f t="shared" si="201"/>
        <v>0</v>
      </c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60"/>
      <c r="L950" s="59"/>
      <c r="N950" s="10">
        <v>23</v>
      </c>
      <c r="O950" s="30"/>
      <c r="P950" s="31"/>
      <c r="Q950" s="45"/>
      <c r="T950" s="32">
        <f t="shared" si="198"/>
        <v>0</v>
      </c>
      <c r="U950" s="10"/>
      <c r="V950" s="10"/>
      <c r="W950" s="10"/>
      <c r="X950" s="12">
        <f t="shared" si="199"/>
        <v>0</v>
      </c>
      <c r="Z950" s="10">
        <v>23</v>
      </c>
      <c r="AA950" s="30"/>
      <c r="AB950" s="31"/>
      <c r="AC950" s="45"/>
      <c r="AD950" s="31"/>
      <c r="AF950" s="32">
        <f t="shared" si="200"/>
        <v>0</v>
      </c>
      <c r="AG950" s="10"/>
      <c r="AH950" s="10"/>
      <c r="AI950" s="10"/>
      <c r="AJ950" s="12">
        <f t="shared" si="201"/>
        <v>0</v>
      </c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N951" s="10">
        <v>24</v>
      </c>
      <c r="O951" s="30"/>
      <c r="P951" s="31"/>
      <c r="Q951" s="45"/>
      <c r="R951" s="31"/>
      <c r="S951" s="31"/>
      <c r="T951" s="32">
        <f t="shared" si="198"/>
        <v>0</v>
      </c>
      <c r="U951" s="10"/>
      <c r="V951" s="10"/>
      <c r="W951" s="10"/>
      <c r="X951" s="12">
        <f t="shared" si="199"/>
        <v>0</v>
      </c>
      <c r="Z951" s="10">
        <v>24</v>
      </c>
      <c r="AA951" s="30"/>
      <c r="AB951" s="31"/>
      <c r="AC951" s="45"/>
      <c r="AD951" s="31"/>
      <c r="AE951" s="31"/>
      <c r="AF951" s="32">
        <f t="shared" si="200"/>
        <v>0</v>
      </c>
      <c r="AG951" s="10"/>
      <c r="AH951" s="10"/>
      <c r="AI951" s="10"/>
      <c r="AJ951" s="12">
        <f t="shared" si="201"/>
        <v>0</v>
      </c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N952" s="10">
        <v>25</v>
      </c>
      <c r="O952" s="30"/>
      <c r="P952" s="31"/>
      <c r="Q952" s="45"/>
      <c r="R952" s="31"/>
      <c r="S952" s="31"/>
      <c r="T952" s="32">
        <f t="shared" si="198"/>
        <v>0</v>
      </c>
      <c r="U952" s="10"/>
      <c r="V952" s="10"/>
      <c r="W952" s="10"/>
      <c r="X952" s="12">
        <f t="shared" si="199"/>
        <v>0</v>
      </c>
      <c r="Z952" s="10">
        <v>25</v>
      </c>
      <c r="AA952" s="30"/>
      <c r="AB952" s="31"/>
      <c r="AC952" s="45"/>
      <c r="AD952" s="31"/>
      <c r="AE952" s="31"/>
      <c r="AF952" s="32">
        <f t="shared" si="200"/>
        <v>0</v>
      </c>
      <c r="AG952" s="10"/>
      <c r="AH952" s="10"/>
      <c r="AI952" s="10"/>
      <c r="AJ952" s="12">
        <f t="shared" si="201"/>
        <v>0</v>
      </c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N953" s="10">
        <v>26</v>
      </c>
      <c r="O953" s="30"/>
      <c r="P953" s="31"/>
      <c r="Q953" s="45"/>
      <c r="R953" s="31"/>
      <c r="S953" s="31"/>
      <c r="T953" s="32">
        <f t="shared" si="198"/>
        <v>0</v>
      </c>
      <c r="U953" s="10"/>
      <c r="V953" s="10"/>
      <c r="W953" s="10"/>
      <c r="X953" s="12">
        <f t="shared" si="199"/>
        <v>0</v>
      </c>
      <c r="Z953" s="10">
        <v>26</v>
      </c>
      <c r="AA953" s="30"/>
      <c r="AB953" s="31"/>
      <c r="AC953" s="45"/>
      <c r="AD953" s="31"/>
      <c r="AE953" s="31"/>
      <c r="AF953" s="32">
        <f t="shared" si="200"/>
        <v>0</v>
      </c>
      <c r="AG953" s="10"/>
      <c r="AH953" s="10"/>
      <c r="AI953" s="10"/>
      <c r="AJ953" s="12">
        <f t="shared" si="201"/>
        <v>0</v>
      </c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N954" s="10">
        <v>27</v>
      </c>
      <c r="O954" s="30"/>
      <c r="P954" s="31"/>
      <c r="Q954" s="45"/>
      <c r="R954" s="31"/>
      <c r="S954" s="31"/>
      <c r="T954" s="32">
        <f t="shared" si="198"/>
        <v>0</v>
      </c>
      <c r="U954" s="10"/>
      <c r="V954" s="10"/>
      <c r="W954" s="10"/>
      <c r="X954" s="12">
        <f t="shared" si="199"/>
        <v>0</v>
      </c>
      <c r="Z954" s="10">
        <v>27</v>
      </c>
      <c r="AA954" s="30"/>
      <c r="AB954" s="31"/>
      <c r="AC954" s="45"/>
      <c r="AD954" s="31"/>
      <c r="AE954" s="31"/>
      <c r="AF954" s="32">
        <f t="shared" si="200"/>
        <v>0</v>
      </c>
      <c r="AG954" s="10"/>
      <c r="AH954" s="10"/>
      <c r="AI954" s="10"/>
      <c r="AJ954" s="12">
        <f t="shared" si="201"/>
        <v>0</v>
      </c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N955" s="10">
        <v>28</v>
      </c>
      <c r="O955" s="30"/>
      <c r="P955" s="31"/>
      <c r="Q955" s="45"/>
      <c r="R955" s="31"/>
      <c r="S955" s="31"/>
      <c r="T955" s="32">
        <f t="shared" si="198"/>
        <v>0</v>
      </c>
      <c r="U955" s="10"/>
      <c r="V955" s="10"/>
      <c r="W955" s="10"/>
      <c r="X955" s="12">
        <f t="shared" si="199"/>
        <v>0</v>
      </c>
      <c r="Z955" s="10">
        <v>28</v>
      </c>
      <c r="AA955" s="30"/>
      <c r="AB955" s="31"/>
      <c r="AC955" s="45"/>
      <c r="AD955" s="31"/>
      <c r="AE955" s="31"/>
      <c r="AF955" s="32">
        <f t="shared" si="200"/>
        <v>0</v>
      </c>
      <c r="AG955" s="10"/>
      <c r="AH955" s="10"/>
      <c r="AI955" s="10"/>
      <c r="AJ955" s="12">
        <f t="shared" si="201"/>
        <v>0</v>
      </c>
      <c r="AL955" s="60"/>
      <c r="AM955" s="64"/>
      <c r="AN955" s="60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N956" s="10">
        <v>29</v>
      </c>
      <c r="O956" s="30"/>
      <c r="P956" s="31"/>
      <c r="Q956" s="45"/>
      <c r="R956" s="31"/>
      <c r="S956" s="31"/>
      <c r="T956" s="32">
        <f t="shared" si="198"/>
        <v>0</v>
      </c>
      <c r="U956" s="10"/>
      <c r="V956" s="10"/>
      <c r="W956" s="10"/>
      <c r="X956" s="12">
        <f t="shared" si="199"/>
        <v>0</v>
      </c>
      <c r="Z956" s="10">
        <v>29</v>
      </c>
      <c r="AA956" s="30"/>
      <c r="AB956" s="31"/>
      <c r="AC956" s="45"/>
      <c r="AD956" s="31"/>
      <c r="AE956" s="31"/>
      <c r="AF956" s="32">
        <f t="shared" si="200"/>
        <v>0</v>
      </c>
      <c r="AG956" s="10"/>
      <c r="AH956" s="10"/>
      <c r="AI956" s="10"/>
      <c r="AJ956" s="12">
        <f t="shared" si="201"/>
        <v>0</v>
      </c>
      <c r="AL956" s="60"/>
      <c r="AM956" s="64"/>
      <c r="AN956" s="83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N957" s="10">
        <v>30</v>
      </c>
      <c r="O957" s="30"/>
      <c r="P957" s="31"/>
      <c r="Q957" s="45"/>
      <c r="R957" s="31"/>
      <c r="S957" s="31"/>
      <c r="T957" s="32">
        <f t="shared" si="198"/>
        <v>0</v>
      </c>
      <c r="U957" s="10"/>
      <c r="V957" s="10"/>
      <c r="W957" s="10"/>
      <c r="X957" s="12">
        <f t="shared" si="199"/>
        <v>0</v>
      </c>
      <c r="Z957" s="10">
        <v>30</v>
      </c>
      <c r="AA957" s="30"/>
      <c r="AB957" s="31"/>
      <c r="AC957" s="45"/>
      <c r="AD957" s="31"/>
      <c r="AE957" s="31"/>
      <c r="AF957" s="32">
        <f t="shared" si="200"/>
        <v>0</v>
      </c>
      <c r="AG957" s="10"/>
      <c r="AH957" s="10"/>
      <c r="AI957" s="10"/>
      <c r="AJ957" s="12">
        <f t="shared" si="201"/>
        <v>0</v>
      </c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N958" s="10">
        <v>31</v>
      </c>
      <c r="O958" s="30"/>
      <c r="P958" s="31"/>
      <c r="Q958" s="45"/>
      <c r="R958" s="31"/>
      <c r="S958" s="31"/>
      <c r="T958" s="32">
        <f t="shared" si="198"/>
        <v>0</v>
      </c>
      <c r="U958" s="10"/>
      <c r="V958" s="10"/>
      <c r="W958" s="10"/>
      <c r="X958" s="12">
        <f t="shared" si="199"/>
        <v>0</v>
      </c>
      <c r="Z958" s="10">
        <v>31</v>
      </c>
      <c r="AA958" s="30"/>
      <c r="AB958" s="31"/>
      <c r="AC958" s="45"/>
      <c r="AD958" s="31"/>
      <c r="AE958" s="31"/>
      <c r="AF958" s="32">
        <f t="shared" si="200"/>
        <v>0</v>
      </c>
      <c r="AG958" s="10"/>
      <c r="AH958" s="10"/>
      <c r="AI958" s="10"/>
      <c r="AJ958" s="12">
        <f t="shared" si="201"/>
        <v>0</v>
      </c>
      <c r="AL958" s="60"/>
      <c r="AM958" s="64"/>
      <c r="AN958" s="60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N959" s="10">
        <v>32</v>
      </c>
      <c r="O959" s="30"/>
      <c r="P959" s="31"/>
      <c r="Q959" s="45"/>
      <c r="R959" s="31"/>
      <c r="S959" s="31"/>
      <c r="T959" s="32">
        <f t="shared" si="198"/>
        <v>0</v>
      </c>
      <c r="U959" s="10"/>
      <c r="V959" s="10"/>
      <c r="W959" s="10"/>
      <c r="X959" s="12">
        <f t="shared" si="199"/>
        <v>0</v>
      </c>
      <c r="Z959" s="10">
        <v>32</v>
      </c>
      <c r="AA959" s="30"/>
      <c r="AB959" s="31"/>
      <c r="AC959" s="45"/>
      <c r="AD959" s="31"/>
      <c r="AE959" s="31"/>
      <c r="AF959" s="32">
        <f t="shared" si="200"/>
        <v>0</v>
      </c>
      <c r="AG959" s="10"/>
      <c r="AH959" s="10"/>
      <c r="AI959" s="10"/>
      <c r="AJ959" s="12">
        <f t="shared" si="201"/>
        <v>0</v>
      </c>
      <c r="AL959" s="60"/>
      <c r="AM959" s="64"/>
      <c r="AN959" s="83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N960" s="10">
        <v>33</v>
      </c>
      <c r="O960" s="30"/>
      <c r="P960" s="31"/>
      <c r="Q960" s="45"/>
      <c r="R960" s="31"/>
      <c r="S960" s="31"/>
      <c r="T960" s="32">
        <f t="shared" si="198"/>
        <v>0</v>
      </c>
      <c r="U960" s="10"/>
      <c r="V960" s="10"/>
      <c r="W960" s="10"/>
      <c r="X960" s="12">
        <f t="shared" si="199"/>
        <v>0</v>
      </c>
      <c r="Z960" s="10">
        <v>33</v>
      </c>
      <c r="AA960" s="30"/>
      <c r="AB960" s="31"/>
      <c r="AC960" s="45"/>
      <c r="AD960" s="31"/>
      <c r="AE960" s="31"/>
      <c r="AF960" s="32">
        <f t="shared" si="200"/>
        <v>0</v>
      </c>
      <c r="AG960" s="10"/>
      <c r="AH960" s="10"/>
      <c r="AI960" s="10"/>
      <c r="AJ960" s="12">
        <f t="shared" si="201"/>
        <v>0</v>
      </c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1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N961" s="10">
        <v>34</v>
      </c>
      <c r="O961" s="30"/>
      <c r="P961" s="31"/>
      <c r="Q961" s="45"/>
      <c r="R961" s="31"/>
      <c r="S961" s="31"/>
      <c r="T961" s="32">
        <f t="shared" si="198"/>
        <v>0</v>
      </c>
      <c r="U961" s="10"/>
      <c r="V961" s="10"/>
      <c r="W961" s="10"/>
      <c r="X961" s="12">
        <f t="shared" si="199"/>
        <v>0</v>
      </c>
      <c r="Z961" s="10">
        <v>34</v>
      </c>
      <c r="AA961" s="30"/>
      <c r="AB961" s="31"/>
      <c r="AC961" s="45"/>
      <c r="AD961" s="31"/>
      <c r="AE961" s="31"/>
      <c r="AF961" s="32">
        <f t="shared" si="200"/>
        <v>0</v>
      </c>
      <c r="AG961" s="10"/>
      <c r="AH961" s="10"/>
      <c r="AI961" s="10"/>
      <c r="AJ961" s="12">
        <f t="shared" si="201"/>
        <v>0</v>
      </c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1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N962" s="10">
        <v>35</v>
      </c>
      <c r="O962" s="30"/>
      <c r="P962" s="31"/>
      <c r="Q962" s="45"/>
      <c r="R962" s="31"/>
      <c r="S962" s="31"/>
      <c r="T962" s="32">
        <f t="shared" si="198"/>
        <v>0</v>
      </c>
      <c r="U962" s="10"/>
      <c r="V962" s="10"/>
      <c r="W962" s="10"/>
      <c r="X962" s="12">
        <f t="shared" si="199"/>
        <v>0</v>
      </c>
      <c r="Z962" s="10">
        <v>35</v>
      </c>
      <c r="AA962" s="30"/>
      <c r="AB962" s="31"/>
      <c r="AC962" s="45"/>
      <c r="AD962" s="31"/>
      <c r="AE962" s="31"/>
      <c r="AF962" s="32">
        <f t="shared" si="200"/>
        <v>0</v>
      </c>
      <c r="AG962" s="10"/>
      <c r="AH962" s="10"/>
      <c r="AI962" s="10"/>
      <c r="AJ962" s="12">
        <f t="shared" si="201"/>
        <v>0</v>
      </c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1:53" x14ac:dyDescent="0.25">
      <c r="B963" s="60"/>
      <c r="C963" s="64"/>
      <c r="D963" s="84"/>
      <c r="E963" s="58"/>
      <c r="F963" s="58"/>
      <c r="G963" s="58"/>
      <c r="H963" s="58"/>
      <c r="I963" s="60"/>
      <c r="J963" s="60"/>
      <c r="K963" s="60"/>
      <c r="L963" s="59"/>
      <c r="N963" s="10">
        <v>36</v>
      </c>
      <c r="O963" s="30"/>
      <c r="P963" s="31"/>
      <c r="Q963" s="45"/>
      <c r="R963" s="31"/>
      <c r="S963" s="31"/>
      <c r="T963" s="32">
        <f t="shared" si="198"/>
        <v>0</v>
      </c>
      <c r="U963" s="10"/>
      <c r="V963" s="10"/>
      <c r="W963" s="10"/>
      <c r="X963" s="12">
        <f t="shared" si="199"/>
        <v>0</v>
      </c>
      <c r="Z963" s="10">
        <v>36</v>
      </c>
      <c r="AA963" s="30"/>
      <c r="AB963" s="31"/>
      <c r="AC963" s="45"/>
      <c r="AD963" s="31"/>
      <c r="AE963" s="31"/>
      <c r="AF963" s="32">
        <f t="shared" si="200"/>
        <v>0</v>
      </c>
      <c r="AG963" s="10"/>
      <c r="AH963" s="10"/>
      <c r="AI963" s="10"/>
      <c r="AJ963" s="12">
        <f t="shared" si="201"/>
        <v>0</v>
      </c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1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N964" s="10">
        <v>37</v>
      </c>
      <c r="O964" s="30"/>
      <c r="Q964" s="45"/>
      <c r="R964" s="31"/>
      <c r="S964" s="31"/>
      <c r="T964" s="32">
        <f t="shared" si="198"/>
        <v>0</v>
      </c>
      <c r="U964" s="10"/>
      <c r="V964" s="10"/>
      <c r="W964" s="10"/>
      <c r="X964" s="12">
        <f t="shared" si="199"/>
        <v>0</v>
      </c>
      <c r="Z964" s="10">
        <v>37</v>
      </c>
      <c r="AA964" s="30"/>
      <c r="AB964" s="31"/>
      <c r="AC964" s="45"/>
      <c r="AD964" s="31"/>
      <c r="AE964" s="31"/>
      <c r="AF964" s="32">
        <f t="shared" si="200"/>
        <v>0</v>
      </c>
      <c r="AG964" s="10"/>
      <c r="AH964" s="10"/>
      <c r="AI964" s="10"/>
      <c r="AJ964" s="12">
        <f t="shared" si="201"/>
        <v>0</v>
      </c>
      <c r="AL964" s="60"/>
      <c r="AM964" s="64"/>
      <c r="AN964" s="60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1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N965" s="10">
        <v>38</v>
      </c>
      <c r="O965" s="30"/>
      <c r="P965" s="31"/>
      <c r="Q965" s="45"/>
      <c r="R965" s="31"/>
      <c r="S965" s="31"/>
      <c r="T965" s="32">
        <f t="shared" si="198"/>
        <v>0</v>
      </c>
      <c r="U965" s="10"/>
      <c r="V965" s="10"/>
      <c r="W965" s="10"/>
      <c r="X965" s="12">
        <f t="shared" si="199"/>
        <v>0</v>
      </c>
      <c r="Z965" s="10">
        <v>38</v>
      </c>
      <c r="AA965" s="30"/>
      <c r="AB965" s="31"/>
      <c r="AC965" s="45"/>
      <c r="AD965" s="31"/>
      <c r="AE965" s="31"/>
      <c r="AF965" s="32">
        <f t="shared" si="200"/>
        <v>0</v>
      </c>
      <c r="AG965" s="10"/>
      <c r="AH965" s="10"/>
      <c r="AI965" s="10"/>
      <c r="AJ965" s="12">
        <f t="shared" si="201"/>
        <v>0</v>
      </c>
      <c r="AL965" s="60"/>
      <c r="AM965" s="64"/>
      <c r="AN965" s="83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1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N966" s="10">
        <v>39</v>
      </c>
      <c r="O966" s="30"/>
      <c r="P966" s="31"/>
      <c r="Q966" s="45"/>
      <c r="R966" s="31"/>
      <c r="S966" s="31"/>
      <c r="T966" s="32">
        <f t="shared" si="198"/>
        <v>0</v>
      </c>
      <c r="U966" s="10"/>
      <c r="V966" s="10"/>
      <c r="W966" s="10"/>
      <c r="X966" s="12">
        <f t="shared" si="199"/>
        <v>0</v>
      </c>
      <c r="Z966" s="10">
        <v>39</v>
      </c>
      <c r="AA966" s="30"/>
      <c r="AB966" s="31"/>
      <c r="AC966" s="45"/>
      <c r="AD966" s="31"/>
      <c r="AE966" s="31"/>
      <c r="AF966" s="32">
        <f t="shared" si="200"/>
        <v>0</v>
      </c>
      <c r="AG966" s="10"/>
      <c r="AH966" s="10"/>
      <c r="AI966" s="10"/>
      <c r="AJ966" s="12">
        <f t="shared" si="201"/>
        <v>0</v>
      </c>
      <c r="AL966" s="60"/>
      <c r="AM966" s="83"/>
      <c r="AN966" s="83"/>
      <c r="AO966" s="83"/>
      <c r="AP966" s="83"/>
      <c r="AQ966" s="83"/>
      <c r="AR966" s="83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1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N967" s="10"/>
      <c r="O967" s="30"/>
      <c r="Q967" s="45"/>
      <c r="R967" s="31"/>
      <c r="S967" s="31"/>
      <c r="T967" s="32"/>
      <c r="U967" s="10"/>
      <c r="V967" s="10"/>
      <c r="W967" s="10"/>
      <c r="X967" s="12">
        <f t="shared" si="199"/>
        <v>0</v>
      </c>
      <c r="Z967" s="10"/>
      <c r="AA967" s="30"/>
      <c r="AC967" s="45"/>
      <c r="AD967" s="31"/>
      <c r="AE967" s="31"/>
      <c r="AF967" s="32"/>
      <c r="AG967" s="10"/>
      <c r="AH967" s="10"/>
      <c r="AI967" s="10"/>
      <c r="AJ967" s="12">
        <f t="shared" si="201"/>
        <v>0</v>
      </c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60"/>
      <c r="AW967" s="60"/>
      <c r="AX967" s="60"/>
      <c r="AY967" s="60"/>
      <c r="AZ967" s="60"/>
      <c r="BA967" s="60"/>
    </row>
    <row r="968" spans="1:53" x14ac:dyDescent="0.25">
      <c r="B968" s="60"/>
      <c r="C968" s="64"/>
      <c r="D968" s="64"/>
      <c r="E968" s="58"/>
      <c r="F968" s="58"/>
      <c r="G968" s="58"/>
      <c r="H968" s="58"/>
      <c r="I968" s="60"/>
      <c r="J968" s="60"/>
      <c r="K968" s="60"/>
      <c r="L968" s="59"/>
      <c r="N968" s="10"/>
      <c r="O968" s="30"/>
      <c r="P968" s="31"/>
      <c r="Q968" s="45"/>
      <c r="R968" s="31"/>
      <c r="S968" s="31"/>
      <c r="T968" s="32">
        <f t="shared" ref="T968" si="204">SUM(Q968:R968)</f>
        <v>0</v>
      </c>
      <c r="U968" s="10"/>
      <c r="V968" s="10"/>
      <c r="W968" s="10"/>
      <c r="X968" s="12">
        <f t="shared" si="199"/>
        <v>0</v>
      </c>
      <c r="Z968" s="10"/>
      <c r="AA968" s="30"/>
      <c r="AB968" s="31"/>
      <c r="AC968" s="45"/>
      <c r="AD968" s="31"/>
      <c r="AE968" s="31"/>
      <c r="AF968" s="32">
        <f t="shared" ref="AF968" si="205">SUM(AC968:AD968)</f>
        <v>0</v>
      </c>
      <c r="AG968" s="10"/>
      <c r="AH968" s="10"/>
      <c r="AI968" s="10"/>
      <c r="AJ968" s="12">
        <f t="shared" si="201"/>
        <v>0</v>
      </c>
      <c r="AL968" s="60"/>
      <c r="AM968" s="83"/>
      <c r="AN968" s="83"/>
      <c r="AO968" s="68"/>
      <c r="AP968" s="68"/>
      <c r="AQ968" s="68"/>
      <c r="AR968" s="68"/>
      <c r="AS968" s="61"/>
      <c r="AT968" s="69"/>
      <c r="AU968" s="69"/>
      <c r="AV968" s="69"/>
      <c r="AW968" s="60"/>
      <c r="AX968" s="60"/>
      <c r="AY968" s="60"/>
      <c r="AZ968" s="60"/>
      <c r="BA968" s="60"/>
    </row>
    <row r="969" spans="1:53" x14ac:dyDescent="0.25">
      <c r="B969" s="60"/>
      <c r="C969" s="84"/>
      <c r="D969" s="84"/>
      <c r="E969" s="84"/>
      <c r="F969" s="84"/>
      <c r="G969" s="84"/>
      <c r="H969" s="84"/>
      <c r="I969" s="60"/>
      <c r="J969" s="60"/>
      <c r="K969" s="60"/>
      <c r="L969" s="60"/>
      <c r="N969" s="10"/>
      <c r="O969" s="31"/>
      <c r="P969" s="31"/>
      <c r="Q969" s="31"/>
      <c r="R969" s="31"/>
      <c r="S969" s="31"/>
      <c r="T969" s="31"/>
      <c r="U969" s="10"/>
      <c r="V969" s="10"/>
      <c r="W969" s="10"/>
      <c r="X969" s="12">
        <f t="shared" si="199"/>
        <v>0</v>
      </c>
      <c r="Z969" s="10"/>
      <c r="AA969" s="31"/>
      <c r="AB969" s="31"/>
      <c r="AC969" s="31"/>
      <c r="AD969" s="31"/>
      <c r="AE969" s="31"/>
      <c r="AF969" s="31"/>
      <c r="AG969" s="10"/>
      <c r="AH969" s="10"/>
      <c r="AI969" s="10"/>
      <c r="AJ969" s="12">
        <f t="shared" si="201"/>
        <v>0</v>
      </c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</row>
    <row r="970" spans="1:53" x14ac:dyDescent="0.25">
      <c r="B970" s="60"/>
      <c r="C970" s="84"/>
      <c r="D970" s="84"/>
      <c r="E970" s="68"/>
      <c r="F970" s="68"/>
      <c r="G970" s="68"/>
      <c r="H970" s="68"/>
      <c r="I970" s="61"/>
      <c r="J970" s="68"/>
      <c r="K970" s="68"/>
      <c r="L970" s="68"/>
      <c r="O970" s="55"/>
      <c r="P970" s="55"/>
      <c r="Q970" s="36"/>
      <c r="R970" s="36"/>
      <c r="S970" s="36"/>
      <c r="T970" s="36"/>
      <c r="U970" s="37"/>
      <c r="V970" s="37"/>
      <c r="W970" s="37"/>
      <c r="X970" s="37"/>
      <c r="AA970" s="55"/>
      <c r="AB970" s="55"/>
      <c r="AC970" s="36"/>
      <c r="AD970" s="36"/>
      <c r="AE970" s="36"/>
      <c r="AF970" s="36"/>
      <c r="AG970" s="37"/>
      <c r="AH970" s="37"/>
      <c r="AI970" s="37"/>
      <c r="AJ970" s="37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1:53" x14ac:dyDescent="0.25"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O971" s="55"/>
      <c r="P971" s="55"/>
      <c r="Q971" s="38">
        <f>SUM(Q928:Q970)</f>
        <v>303024</v>
      </c>
      <c r="R971" s="38">
        <f>SUM(R928:R952)</f>
        <v>-2010</v>
      </c>
      <c r="S971" s="38">
        <f>SUM(S928:S952)</f>
        <v>0</v>
      </c>
      <c r="T971" s="38">
        <f>SUM(T928:T970)</f>
        <v>301014</v>
      </c>
      <c r="U971" s="4"/>
      <c r="V971" s="39">
        <f>SUM(V928:V970)</f>
        <v>234</v>
      </c>
      <c r="W971" s="39">
        <f>SUM(W928:W952)</f>
        <v>-8382</v>
      </c>
      <c r="X971" s="40">
        <f>SUM(X928:X970)</f>
        <v>292866</v>
      </c>
      <c r="AA971" s="55"/>
      <c r="AB971" s="55"/>
      <c r="AC971" s="38">
        <f>SUM(AC928:AC970)</f>
        <v>364222</v>
      </c>
      <c r="AD971" s="38">
        <f>SUM(AD928:AD952)</f>
        <v>-300</v>
      </c>
      <c r="AE971" s="38">
        <f>SUM(AE928:AE952)</f>
        <v>0</v>
      </c>
      <c r="AF971" s="38">
        <f>SUM(AF928:AF970)</f>
        <v>363922</v>
      </c>
      <c r="AG971" s="4"/>
      <c r="AH971" s="39">
        <f>SUM(AH928:AH970)</f>
        <v>51720</v>
      </c>
      <c r="AI971" s="39">
        <f>SUM(AI928:AI952)</f>
        <v>-41013</v>
      </c>
      <c r="AJ971" s="40">
        <f>SUM(AJ928:AJ970)</f>
        <v>374629</v>
      </c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1:53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1:53" x14ac:dyDescent="0.25">
      <c r="A973" s="18"/>
      <c r="B973" t="s">
        <v>0</v>
      </c>
      <c r="C973" s="55"/>
      <c r="D973" s="55"/>
      <c r="E973" s="55"/>
      <c r="F973" s="55"/>
      <c r="H973" s="55"/>
      <c r="N973" t="s">
        <v>0</v>
      </c>
      <c r="O973" s="55"/>
      <c r="P973" s="55"/>
      <c r="Q973" s="55"/>
      <c r="R973" s="55"/>
      <c r="S973" s="55"/>
      <c r="T973" s="55"/>
      <c r="Z973" t="s">
        <v>0</v>
      </c>
      <c r="AA973" s="55"/>
      <c r="AB973" s="55"/>
      <c r="AC973" s="55"/>
      <c r="AD973" s="55"/>
      <c r="AE973" s="55"/>
      <c r="AF973" s="55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1:53" x14ac:dyDescent="0.25">
      <c r="A974" s="18"/>
      <c r="B974" t="s">
        <v>28</v>
      </c>
      <c r="C974" s="55"/>
      <c r="D974" s="55"/>
      <c r="E974" s="55"/>
      <c r="F974" s="55"/>
      <c r="H974" s="55"/>
      <c r="N974" t="s">
        <v>28</v>
      </c>
      <c r="O974" s="55"/>
      <c r="P974" s="55"/>
      <c r="Q974" s="55"/>
      <c r="R974" s="55"/>
      <c r="S974" s="55"/>
      <c r="T974" s="55"/>
      <c r="Z974" t="s">
        <v>28</v>
      </c>
      <c r="AA974" s="55"/>
      <c r="AB974" s="55"/>
      <c r="AC974" s="55"/>
      <c r="AD974" s="55"/>
      <c r="AE974" s="55"/>
      <c r="AF974" s="55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1:53" x14ac:dyDescent="0.25">
      <c r="A975" s="18"/>
      <c r="C975" s="55"/>
      <c r="D975" s="55"/>
      <c r="E975" s="55"/>
      <c r="F975" s="55"/>
      <c r="H975" s="55"/>
      <c r="O975" s="55"/>
      <c r="P975" s="55"/>
      <c r="Q975" s="55"/>
      <c r="R975" s="55"/>
      <c r="S975" s="55"/>
      <c r="T975" s="55"/>
      <c r="AA975" s="55"/>
      <c r="AB975" s="55"/>
      <c r="AC975" s="55"/>
      <c r="AD975" s="55"/>
      <c r="AE975" s="55"/>
      <c r="AF975" s="55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1:53" x14ac:dyDescent="0.25">
      <c r="A976" s="18"/>
      <c r="B976" s="4" t="s">
        <v>14</v>
      </c>
      <c r="C976" s="55"/>
      <c r="D976" s="55"/>
      <c r="E976" s="55"/>
      <c r="F976" s="55"/>
      <c r="H976" s="55"/>
      <c r="N976" s="4" t="s">
        <v>14</v>
      </c>
      <c r="O976" s="55"/>
      <c r="P976" s="55"/>
      <c r="Q976" s="55"/>
      <c r="R976" s="55"/>
      <c r="S976" s="55"/>
      <c r="T976" s="55"/>
      <c r="Z976" s="4" t="s">
        <v>14</v>
      </c>
      <c r="AA976" s="55"/>
      <c r="AB976" s="55"/>
      <c r="AC976" s="55"/>
      <c r="AD976" s="55"/>
      <c r="AE976" s="55"/>
      <c r="AF976" s="55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1:53" x14ac:dyDescent="0.25">
      <c r="A977" s="18"/>
      <c r="C977" s="55"/>
      <c r="D977" s="55"/>
      <c r="E977" s="55"/>
      <c r="F977" s="55"/>
      <c r="H977" s="55"/>
      <c r="O977" s="55"/>
      <c r="P977" s="55"/>
      <c r="Q977" s="55"/>
      <c r="R977" s="55"/>
      <c r="S977" s="55"/>
      <c r="T977" s="55"/>
      <c r="AA977" s="55"/>
      <c r="AB977" s="55"/>
      <c r="AC977" s="55"/>
      <c r="AD977" s="55"/>
      <c r="AE977" s="55"/>
      <c r="AF977" s="55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1:53" ht="15.75" x14ac:dyDescent="0.25">
      <c r="A978" s="18"/>
      <c r="B978" t="s">
        <v>39</v>
      </c>
      <c r="C978" s="55"/>
      <c r="D978" s="55"/>
      <c r="E978" s="55"/>
      <c r="F978" s="55"/>
      <c r="H978" s="55"/>
      <c r="J978" s="55" t="s">
        <v>15</v>
      </c>
      <c r="K978" s="19">
        <v>1</v>
      </c>
      <c r="N978" t="s">
        <v>39</v>
      </c>
      <c r="O978" s="55"/>
      <c r="P978" s="55"/>
      <c r="Q978" s="55"/>
      <c r="R978" s="55"/>
      <c r="S978" s="55"/>
      <c r="T978" s="55"/>
      <c r="V978" s="55" t="s">
        <v>15</v>
      </c>
      <c r="W978" s="19">
        <v>2</v>
      </c>
      <c r="Z978" t="s">
        <v>39</v>
      </c>
      <c r="AA978" s="55"/>
      <c r="AB978" s="55"/>
      <c r="AC978" s="55"/>
      <c r="AD978" s="55"/>
      <c r="AE978" s="55"/>
      <c r="AF978" s="55"/>
      <c r="AH978" s="55" t="s">
        <v>15</v>
      </c>
      <c r="AI978" s="20">
        <v>3</v>
      </c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1:53" x14ac:dyDescent="0.25">
      <c r="A979" s="18"/>
      <c r="B979" s="21" t="s">
        <v>89</v>
      </c>
      <c r="C979" s="20"/>
      <c r="D979" s="55"/>
      <c r="E979" s="55"/>
      <c r="F979" s="55"/>
      <c r="H979" s="55"/>
      <c r="J979" s="22" t="s">
        <v>16</v>
      </c>
      <c r="K979" s="23" t="s">
        <v>35</v>
      </c>
      <c r="L979" s="24"/>
      <c r="N979" s="21" t="s">
        <v>89</v>
      </c>
      <c r="O979" s="20"/>
      <c r="P979" s="55"/>
      <c r="Q979" s="55"/>
      <c r="R979" s="55"/>
      <c r="S979" s="55"/>
      <c r="T979" s="55"/>
      <c r="V979" s="22" t="s">
        <v>16</v>
      </c>
      <c r="W979" s="23" t="s">
        <v>82</v>
      </c>
      <c r="X979" s="24"/>
      <c r="Z979" s="21" t="s">
        <v>89</v>
      </c>
      <c r="AA979" s="20"/>
      <c r="AB979" s="55"/>
      <c r="AC979" s="55"/>
      <c r="AD979" s="55"/>
      <c r="AE979" s="55"/>
      <c r="AF979" s="55"/>
      <c r="AH979" s="22" t="s">
        <v>16</v>
      </c>
      <c r="AI979" s="23" t="s">
        <v>41</v>
      </c>
      <c r="AJ979" s="24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1:53" x14ac:dyDescent="0.25">
      <c r="A980" s="18"/>
      <c r="C980" s="55"/>
      <c r="D980" s="55"/>
      <c r="E980" s="55"/>
      <c r="F980" s="55"/>
      <c r="H980" s="55"/>
      <c r="O980" s="55"/>
      <c r="P980" s="55"/>
      <c r="Q980" s="55"/>
      <c r="R980" s="55"/>
      <c r="S980" s="55"/>
      <c r="T980" s="55"/>
      <c r="AA980" s="55"/>
      <c r="AB980" s="55"/>
      <c r="AC980" s="55"/>
      <c r="AD980" s="55"/>
      <c r="AE980" s="55"/>
      <c r="AF980" s="55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1:53" x14ac:dyDescent="0.25">
      <c r="A981" s="18"/>
      <c r="C981" s="25"/>
      <c r="D981" s="26"/>
      <c r="E981" s="118" t="s">
        <v>17</v>
      </c>
      <c r="F981" s="118"/>
      <c r="G981" s="110"/>
      <c r="H981" s="27"/>
      <c r="J981" s="119" t="s">
        <v>18</v>
      </c>
      <c r="K981" s="120"/>
      <c r="L981" s="121" t="s">
        <v>19</v>
      </c>
      <c r="O981" s="25"/>
      <c r="P981" s="26"/>
      <c r="Q981" s="118" t="s">
        <v>17</v>
      </c>
      <c r="R981" s="118"/>
      <c r="S981" s="110"/>
      <c r="T981" s="27"/>
      <c r="V981" s="119" t="s">
        <v>18</v>
      </c>
      <c r="W981" s="120"/>
      <c r="X981" s="121" t="s">
        <v>19</v>
      </c>
      <c r="AA981" s="25"/>
      <c r="AB981" s="26"/>
      <c r="AC981" s="118" t="s">
        <v>17</v>
      </c>
      <c r="AD981" s="118"/>
      <c r="AE981" s="110"/>
      <c r="AF981" s="27"/>
      <c r="AH981" s="119" t="s">
        <v>18</v>
      </c>
      <c r="AI981" s="120"/>
      <c r="AJ981" s="121" t="s">
        <v>19</v>
      </c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1:53" ht="30" x14ac:dyDescent="0.25">
      <c r="A982" s="18"/>
      <c r="C982" s="28" t="s">
        <v>20</v>
      </c>
      <c r="D982" s="28" t="s">
        <v>21</v>
      </c>
      <c r="E982" s="74" t="s">
        <v>22</v>
      </c>
      <c r="F982" s="75" t="s">
        <v>23</v>
      </c>
      <c r="G982" s="75" t="s">
        <v>31</v>
      </c>
      <c r="H982" s="75" t="s">
        <v>24</v>
      </c>
      <c r="J982" s="29" t="s">
        <v>25</v>
      </c>
      <c r="K982" s="29" t="s">
        <v>26</v>
      </c>
      <c r="L982" s="122"/>
      <c r="O982" s="28" t="s">
        <v>20</v>
      </c>
      <c r="P982" s="28" t="s">
        <v>21</v>
      </c>
      <c r="Q982" s="74" t="s">
        <v>22</v>
      </c>
      <c r="R982" s="75" t="s">
        <v>23</v>
      </c>
      <c r="S982" s="75" t="s">
        <v>31</v>
      </c>
      <c r="T982" s="75" t="s">
        <v>24</v>
      </c>
      <c r="V982" s="29" t="s">
        <v>25</v>
      </c>
      <c r="W982" s="29" t="s">
        <v>26</v>
      </c>
      <c r="X982" s="122"/>
      <c r="AA982" s="28" t="s">
        <v>20</v>
      </c>
      <c r="AB982" s="28" t="s">
        <v>21</v>
      </c>
      <c r="AC982" s="74" t="s">
        <v>22</v>
      </c>
      <c r="AD982" s="75" t="s">
        <v>23</v>
      </c>
      <c r="AE982" s="75" t="s">
        <v>31</v>
      </c>
      <c r="AF982" s="75" t="s">
        <v>24</v>
      </c>
      <c r="AH982" s="29" t="s">
        <v>25</v>
      </c>
      <c r="AI982" s="29" t="s">
        <v>26</v>
      </c>
      <c r="AJ982" s="122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1:53" x14ac:dyDescent="0.25">
      <c r="A983" s="18"/>
      <c r="B983" s="10">
        <v>1</v>
      </c>
      <c r="C983" s="30" t="s">
        <v>90</v>
      </c>
      <c r="D983" s="80">
        <v>12051</v>
      </c>
      <c r="E983" s="32">
        <f>650*630+622*18+229*25</f>
        <v>426421</v>
      </c>
      <c r="F983" s="32">
        <f>-648*6</f>
        <v>-3888</v>
      </c>
      <c r="G983" s="32"/>
      <c r="H983" s="32">
        <f>SUM(E983:F983)</f>
        <v>422533</v>
      </c>
      <c r="I983" s="12"/>
      <c r="J983" s="12">
        <f>111*507+78*25</f>
        <v>58227</v>
      </c>
      <c r="K983" s="12"/>
      <c r="L983" s="12">
        <f>SUM(H983:K983)</f>
        <v>480760</v>
      </c>
      <c r="N983" s="10">
        <v>1</v>
      </c>
      <c r="O983" s="30" t="s">
        <v>90</v>
      </c>
      <c r="P983" s="80">
        <v>11974</v>
      </c>
      <c r="Q983" s="32">
        <f>650*4</f>
        <v>2600</v>
      </c>
      <c r="R983" s="32"/>
      <c r="S983" s="32"/>
      <c r="T983" s="32">
        <f>SUM(Q983:R983)</f>
        <v>2600</v>
      </c>
      <c r="U983" s="12"/>
      <c r="V983" s="12"/>
      <c r="W983" s="12">
        <f>-111*4</f>
        <v>-444</v>
      </c>
      <c r="X983" s="12">
        <f>SUM(T983:W983)</f>
        <v>2156</v>
      </c>
      <c r="Z983" s="10">
        <v>1</v>
      </c>
      <c r="AA983" s="30" t="s">
        <v>90</v>
      </c>
      <c r="AB983" s="31">
        <v>12005</v>
      </c>
      <c r="AC983" s="32">
        <f>650*40+622*10</f>
        <v>32220</v>
      </c>
      <c r="AD983" s="32">
        <f>-50*6</f>
        <v>-300</v>
      </c>
      <c r="AE983" s="32"/>
      <c r="AF983" s="32">
        <f>SUM(AC983:AD983)</f>
        <v>31920</v>
      </c>
      <c r="AG983" s="12"/>
      <c r="AH983" s="12"/>
      <c r="AI983" s="12"/>
      <c r="AJ983" s="12">
        <f>SUM(AF983:AI983)</f>
        <v>31920</v>
      </c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1:53" x14ac:dyDescent="0.25">
      <c r="A984" s="18"/>
      <c r="B984" s="10">
        <v>2</v>
      </c>
      <c r="C984" s="30" t="s">
        <v>90</v>
      </c>
      <c r="D984" s="80">
        <f>D983+1</f>
        <v>12052</v>
      </c>
      <c r="E984" s="32">
        <f>650*60+670+622*9</f>
        <v>45268</v>
      </c>
      <c r="F984" s="32"/>
      <c r="G984" s="32"/>
      <c r="H984" s="32">
        <f t="shared" ref="H984:H1021" si="206">SUM(E984:F984)</f>
        <v>45268</v>
      </c>
      <c r="I984" s="12"/>
      <c r="J984" s="12"/>
      <c r="K984" s="12">
        <f>-111*30</f>
        <v>-3330</v>
      </c>
      <c r="L984" s="12">
        <f t="shared" ref="L984:L1024" si="207">SUM(H984:K984)</f>
        <v>41938</v>
      </c>
      <c r="N984" s="10">
        <v>2</v>
      </c>
      <c r="O984" s="30" t="s">
        <v>90</v>
      </c>
      <c r="P984" s="80">
        <f>P983+1</f>
        <v>11975</v>
      </c>
      <c r="Q984" s="32">
        <f>650*20</f>
        <v>13000</v>
      </c>
      <c r="R984" s="32"/>
      <c r="S984" s="32"/>
      <c r="T984" s="32">
        <f t="shared" ref="T984:T1021" si="208">SUM(Q984:R984)</f>
        <v>13000</v>
      </c>
      <c r="U984" s="12"/>
      <c r="V984" s="12">
        <f>111*9</f>
        <v>999</v>
      </c>
      <c r="W984" s="12"/>
      <c r="X984" s="12">
        <f t="shared" ref="X984:X1024" si="209">SUM(T984:W984)</f>
        <v>13999</v>
      </c>
      <c r="Z984" s="10">
        <v>2</v>
      </c>
      <c r="AA984" s="30" t="s">
        <v>90</v>
      </c>
      <c r="AB984" s="31">
        <f>AB983+1</f>
        <v>12006</v>
      </c>
      <c r="AC984" s="32">
        <f>670*2</f>
        <v>1340</v>
      </c>
      <c r="AD984" s="32"/>
      <c r="AE984" s="32"/>
      <c r="AF984" s="32">
        <f t="shared" ref="AF984:AF1021" si="210">SUM(AC984:AD984)</f>
        <v>1340</v>
      </c>
      <c r="AG984" s="12"/>
      <c r="AH984" s="12"/>
      <c r="AI984" s="12"/>
      <c r="AJ984" s="12">
        <f t="shared" ref="AJ984:AJ1024" si="211">SUM(AF984:AI984)</f>
        <v>1340</v>
      </c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1:53" x14ac:dyDescent="0.25">
      <c r="A985" s="18"/>
      <c r="B985" s="10">
        <v>3</v>
      </c>
      <c r="C985" s="30" t="s">
        <v>90</v>
      </c>
      <c r="D985" s="80">
        <f t="shared" ref="D985" si="212">D984+1</f>
        <v>12053</v>
      </c>
      <c r="E985" s="33">
        <f>650*216+670*20+229*8</f>
        <v>155632</v>
      </c>
      <c r="F985" s="33">
        <f>-236*6</f>
        <v>-1416</v>
      </c>
      <c r="G985" s="32"/>
      <c r="H985" s="32">
        <f t="shared" si="206"/>
        <v>154216</v>
      </c>
      <c r="I985" s="12"/>
      <c r="J985" s="34"/>
      <c r="K985" s="34">
        <f>-720+-13431+-78+-420+-630+-24+-18</f>
        <v>-15321</v>
      </c>
      <c r="L985" s="12">
        <f t="shared" si="207"/>
        <v>138895</v>
      </c>
      <c r="N985" s="10">
        <v>3</v>
      </c>
      <c r="O985" s="30" t="s">
        <v>90</v>
      </c>
      <c r="P985" s="80">
        <f t="shared" ref="P985:P988" si="213">P984+1</f>
        <v>11976</v>
      </c>
      <c r="Q985" s="33">
        <f>650*216+229*6</f>
        <v>141774</v>
      </c>
      <c r="R985" s="33">
        <f>-216*6</f>
        <v>-1296</v>
      </c>
      <c r="S985" s="32"/>
      <c r="T985" s="32">
        <f t="shared" si="208"/>
        <v>140478</v>
      </c>
      <c r="U985" s="12"/>
      <c r="V985" s="34">
        <f>1.5*96</f>
        <v>144</v>
      </c>
      <c r="W985" s="34"/>
      <c r="X985" s="12">
        <f t="shared" si="209"/>
        <v>140622</v>
      </c>
      <c r="Z985" s="10">
        <v>3</v>
      </c>
      <c r="AA985" s="30" t="s">
        <v>90</v>
      </c>
      <c r="AB985" s="31">
        <f t="shared" ref="AB985:AB991" si="214">AB984+1</f>
        <v>12007</v>
      </c>
      <c r="AC985" s="33">
        <f>650*57+622*14+229</f>
        <v>45987</v>
      </c>
      <c r="AD985" s="33"/>
      <c r="AE985" s="32"/>
      <c r="AF985" s="32">
        <f t="shared" si="210"/>
        <v>45987</v>
      </c>
      <c r="AG985" s="12"/>
      <c r="AH985" s="12">
        <f>78</f>
        <v>78</v>
      </c>
      <c r="AI985" s="12"/>
      <c r="AJ985" s="12">
        <f t="shared" si="211"/>
        <v>46065</v>
      </c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1:53" x14ac:dyDescent="0.25">
      <c r="A986" s="18"/>
      <c r="B986" s="10">
        <v>4</v>
      </c>
      <c r="C986" s="30"/>
      <c r="D986" s="11" t="s">
        <v>27</v>
      </c>
      <c r="E986" s="32"/>
      <c r="F986" s="32"/>
      <c r="G986" s="32"/>
      <c r="H986" s="32">
        <f t="shared" si="206"/>
        <v>0</v>
      </c>
      <c r="I986" s="12"/>
      <c r="J986" s="12"/>
      <c r="K986" s="12"/>
      <c r="L986" s="12">
        <f t="shared" si="207"/>
        <v>0</v>
      </c>
      <c r="N986" s="10">
        <v>4</v>
      </c>
      <c r="O986" s="30" t="s">
        <v>90</v>
      </c>
      <c r="P986" s="80">
        <f t="shared" si="213"/>
        <v>11977</v>
      </c>
      <c r="Q986" s="32">
        <f>650*4+9.5*4</f>
        <v>2638</v>
      </c>
      <c r="R986" s="32"/>
      <c r="S986" s="32"/>
      <c r="T986" s="32">
        <f t="shared" si="208"/>
        <v>2638</v>
      </c>
      <c r="U986" s="12"/>
      <c r="V986" s="12"/>
      <c r="W986" s="12"/>
      <c r="X986" s="12">
        <f t="shared" si="209"/>
        <v>2638</v>
      </c>
      <c r="Z986" s="10">
        <v>4</v>
      </c>
      <c r="AA986" s="30" t="s">
        <v>90</v>
      </c>
      <c r="AB986" s="31">
        <f t="shared" si="214"/>
        <v>12008</v>
      </c>
      <c r="AC986" s="32">
        <f>650*65+622*15+229*2</f>
        <v>52038</v>
      </c>
      <c r="AD986" s="32"/>
      <c r="AE986" s="32"/>
      <c r="AF986" s="32">
        <f t="shared" si="210"/>
        <v>52038</v>
      </c>
      <c r="AG986" s="12"/>
      <c r="AH986">
        <f>4.5*24</f>
        <v>108</v>
      </c>
      <c r="AI986" s="12"/>
      <c r="AJ986" s="12">
        <f t="shared" si="211"/>
        <v>52146</v>
      </c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1:53" x14ac:dyDescent="0.25">
      <c r="A987" s="18"/>
      <c r="B987" s="10">
        <v>5</v>
      </c>
      <c r="C987" s="30"/>
      <c r="D987" s="80"/>
      <c r="E987" s="32"/>
      <c r="F987" s="32"/>
      <c r="G987" s="32"/>
      <c r="H987" s="32">
        <f t="shared" si="206"/>
        <v>0</v>
      </c>
      <c r="I987" s="12"/>
      <c r="J987" s="12"/>
      <c r="K987" s="12"/>
      <c r="L987" s="12">
        <f t="shared" si="207"/>
        <v>0</v>
      </c>
      <c r="N987" s="10">
        <v>5</v>
      </c>
      <c r="O987" s="30" t="s">
        <v>90</v>
      </c>
      <c r="P987" s="80">
        <f t="shared" si="213"/>
        <v>11978</v>
      </c>
      <c r="Q987" s="32">
        <f>650*125+622*15+229*5+650*2</f>
        <v>93025</v>
      </c>
      <c r="R987" s="32">
        <f>-142*6</f>
        <v>-852</v>
      </c>
      <c r="S987" s="32"/>
      <c r="T987" s="32">
        <f t="shared" si="208"/>
        <v>92173</v>
      </c>
      <c r="U987" s="12"/>
      <c r="V987" s="12">
        <f>1.5*48</f>
        <v>72</v>
      </c>
      <c r="W987" s="12"/>
      <c r="X987" s="12">
        <f t="shared" si="209"/>
        <v>92245</v>
      </c>
      <c r="Z987" s="10">
        <v>5</v>
      </c>
      <c r="AA987" s="30" t="s">
        <v>90</v>
      </c>
      <c r="AB987" s="31">
        <f t="shared" si="214"/>
        <v>12009</v>
      </c>
      <c r="AC987" s="32">
        <f>650*216+622*66+229*6</f>
        <v>182826</v>
      </c>
      <c r="AD987" s="32">
        <f>-282*6</f>
        <v>-1692</v>
      </c>
      <c r="AE987" s="32"/>
      <c r="AF987" s="32">
        <f t="shared" si="210"/>
        <v>181134</v>
      </c>
      <c r="AG987" s="12"/>
      <c r="AH987" s="12">
        <f>111*27</f>
        <v>2997</v>
      </c>
      <c r="AI987" s="12"/>
      <c r="AJ987" s="12">
        <f t="shared" si="211"/>
        <v>184131</v>
      </c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1:53" x14ac:dyDescent="0.25">
      <c r="A988" s="18"/>
      <c r="B988" s="10">
        <v>6</v>
      </c>
      <c r="C988" s="30"/>
      <c r="D988" s="80"/>
      <c r="E988" s="32"/>
      <c r="F988" s="32"/>
      <c r="G988" s="32"/>
      <c r="H988" s="32">
        <f t="shared" si="206"/>
        <v>0</v>
      </c>
      <c r="I988" s="12"/>
      <c r="J988" s="12"/>
      <c r="K988" s="10"/>
      <c r="L988" s="12">
        <f t="shared" si="207"/>
        <v>0</v>
      </c>
      <c r="N988" s="10">
        <v>6</v>
      </c>
      <c r="O988" s="30" t="s">
        <v>90</v>
      </c>
      <c r="P988" s="80">
        <f t="shared" si="213"/>
        <v>11979</v>
      </c>
      <c r="Q988" s="32">
        <f>650*2</f>
        <v>1300</v>
      </c>
      <c r="R988" s="32"/>
      <c r="S988" s="32"/>
      <c r="T988" s="32">
        <f t="shared" si="208"/>
        <v>1300</v>
      </c>
      <c r="U988" s="12"/>
      <c r="V988" s="12"/>
      <c r="W988" s="10"/>
      <c r="X988" s="12">
        <f t="shared" si="209"/>
        <v>1300</v>
      </c>
      <c r="Z988" s="10">
        <v>6</v>
      </c>
      <c r="AA988" s="30" t="s">
        <v>90</v>
      </c>
      <c r="AB988" s="31">
        <f t="shared" si="214"/>
        <v>12010</v>
      </c>
      <c r="AC988" s="32">
        <f>670*13</f>
        <v>8710</v>
      </c>
      <c r="AD988" s="32">
        <f>-13*6</f>
        <v>-78</v>
      </c>
      <c r="AE988" s="32"/>
      <c r="AF988" s="32">
        <f t="shared" si="210"/>
        <v>8632</v>
      </c>
      <c r="AG988" s="12"/>
      <c r="AH988" s="12"/>
      <c r="AI988" s="10"/>
      <c r="AJ988" s="12">
        <f t="shared" si="211"/>
        <v>8632</v>
      </c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1:53" x14ac:dyDescent="0.25">
      <c r="A989" s="18"/>
      <c r="B989" s="10">
        <v>7</v>
      </c>
      <c r="C989" s="30"/>
      <c r="E989" s="32"/>
      <c r="F989" s="32"/>
      <c r="G989" s="32"/>
      <c r="H989" s="32">
        <f t="shared" si="206"/>
        <v>0</v>
      </c>
      <c r="I989" s="12"/>
      <c r="J989" s="12"/>
      <c r="K989" s="12"/>
      <c r="L989" s="12">
        <f t="shared" si="207"/>
        <v>0</v>
      </c>
      <c r="N989" s="10">
        <v>7</v>
      </c>
      <c r="O989" s="30"/>
      <c r="P989" s="11" t="s">
        <v>27</v>
      </c>
      <c r="Q989" s="32"/>
      <c r="R989" s="32"/>
      <c r="S989" s="32"/>
      <c r="T989" s="32">
        <f t="shared" si="208"/>
        <v>0</v>
      </c>
      <c r="U989" s="12"/>
      <c r="V989" s="12"/>
      <c r="W989" s="12"/>
      <c r="X989" s="12">
        <f t="shared" si="209"/>
        <v>0</v>
      </c>
      <c r="Z989" s="10">
        <v>7</v>
      </c>
      <c r="AA989" s="30" t="s">
        <v>90</v>
      </c>
      <c r="AB989" s="31">
        <f t="shared" si="214"/>
        <v>12011</v>
      </c>
      <c r="AC989" s="32">
        <f>650*58+622*2+912*3+229*2</f>
        <v>42138</v>
      </c>
      <c r="AD989" s="32">
        <f>-63*6</f>
        <v>-378</v>
      </c>
      <c r="AE989" s="32"/>
      <c r="AF989" s="32">
        <f t="shared" si="210"/>
        <v>41760</v>
      </c>
      <c r="AG989" s="12"/>
      <c r="AH989" s="56"/>
      <c r="AI989" s="12"/>
      <c r="AJ989" s="12">
        <f t="shared" si="211"/>
        <v>41760</v>
      </c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1:53" x14ac:dyDescent="0.25">
      <c r="A990" s="18"/>
      <c r="B990" s="10">
        <v>8</v>
      </c>
      <c r="C990" s="30"/>
      <c r="E990" s="32"/>
      <c r="F990" s="32"/>
      <c r="G990" s="32"/>
      <c r="H990" s="32">
        <f t="shared" si="206"/>
        <v>0</v>
      </c>
      <c r="I990" s="12"/>
      <c r="J990" s="12"/>
      <c r="K990" s="12"/>
      <c r="L990" s="12">
        <f t="shared" si="207"/>
        <v>0</v>
      </c>
      <c r="N990" s="10">
        <v>8</v>
      </c>
      <c r="O990" s="30"/>
      <c r="P990" s="80"/>
      <c r="Q990" s="32"/>
      <c r="R990" s="32"/>
      <c r="S990" s="32"/>
      <c r="T990" s="32">
        <f t="shared" si="208"/>
        <v>0</v>
      </c>
      <c r="U990" s="12"/>
      <c r="V990" s="12"/>
      <c r="W990" s="12"/>
      <c r="X990" s="12">
        <f t="shared" si="209"/>
        <v>0</v>
      </c>
      <c r="Z990" s="10">
        <v>8</v>
      </c>
      <c r="AA990" s="30" t="s">
        <v>90</v>
      </c>
      <c r="AB990" s="31">
        <f t="shared" si="214"/>
        <v>12012</v>
      </c>
      <c r="AC990" s="32">
        <f>650*108+229*4</f>
        <v>71116</v>
      </c>
      <c r="AD990" s="32">
        <f>-108*6</f>
        <v>-648</v>
      </c>
      <c r="AF990" s="32">
        <f t="shared" si="210"/>
        <v>70468</v>
      </c>
      <c r="AG990" s="12"/>
      <c r="AH990" s="12"/>
      <c r="AI990" s="12"/>
      <c r="AJ990" s="12">
        <f t="shared" si="211"/>
        <v>70468</v>
      </c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1:53" x14ac:dyDescent="0.25">
      <c r="A991" s="18"/>
      <c r="B991" s="10">
        <v>9</v>
      </c>
      <c r="C991" s="30"/>
      <c r="D991" s="80"/>
      <c r="E991" s="32"/>
      <c r="F991" s="32"/>
      <c r="G991" s="32"/>
      <c r="H991" s="32">
        <f t="shared" si="206"/>
        <v>0</v>
      </c>
      <c r="I991" s="12"/>
      <c r="J991" s="12"/>
      <c r="K991" s="12"/>
      <c r="L991" s="12">
        <f t="shared" si="207"/>
        <v>0</v>
      </c>
      <c r="N991" s="10">
        <v>9</v>
      </c>
      <c r="O991" s="30"/>
      <c r="Q991" s="32"/>
      <c r="R991" s="32"/>
      <c r="S991" s="32"/>
      <c r="T991" s="32">
        <f t="shared" si="208"/>
        <v>0</v>
      </c>
      <c r="U991" s="12"/>
      <c r="V991" s="12"/>
      <c r="W991" s="12"/>
      <c r="X991" s="12">
        <f t="shared" si="209"/>
        <v>0</v>
      </c>
      <c r="Z991" s="10">
        <v>9</v>
      </c>
      <c r="AA991" s="30" t="s">
        <v>90</v>
      </c>
      <c r="AB991" s="31">
        <f t="shared" si="214"/>
        <v>12013</v>
      </c>
      <c r="AC991" s="32">
        <f>650*13</f>
        <v>8450</v>
      </c>
      <c r="AD991" s="32"/>
      <c r="AE991" s="32"/>
      <c r="AF991" s="32">
        <f t="shared" si="210"/>
        <v>8450</v>
      </c>
      <c r="AG991" s="12"/>
      <c r="AI991" s="12">
        <f>-111*6</f>
        <v>-666</v>
      </c>
      <c r="AJ991" s="12">
        <f t="shared" si="211"/>
        <v>7784</v>
      </c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1:53" x14ac:dyDescent="0.25">
      <c r="A992" s="18"/>
      <c r="B992" s="10">
        <v>10</v>
      </c>
      <c r="C992" s="30"/>
      <c r="D992" s="80"/>
      <c r="E992" s="32"/>
      <c r="F992" s="32"/>
      <c r="G992" s="32"/>
      <c r="H992" s="32">
        <f t="shared" si="206"/>
        <v>0</v>
      </c>
      <c r="I992" s="12"/>
      <c r="J992" s="12"/>
      <c r="K992" s="12"/>
      <c r="L992" s="12">
        <f t="shared" si="207"/>
        <v>0</v>
      </c>
      <c r="N992" s="10">
        <v>10</v>
      </c>
      <c r="O992" s="30"/>
      <c r="P992" s="80"/>
      <c r="Q992" s="32"/>
      <c r="R992" s="32"/>
      <c r="S992" s="32"/>
      <c r="T992" s="32">
        <f t="shared" si="208"/>
        <v>0</v>
      </c>
      <c r="U992" s="12"/>
      <c r="V992" s="12"/>
      <c r="W992" s="12"/>
      <c r="X992" s="12">
        <f t="shared" si="209"/>
        <v>0</v>
      </c>
      <c r="Z992" s="10">
        <v>10</v>
      </c>
      <c r="AA992" s="30"/>
      <c r="AB992" s="11" t="s">
        <v>27</v>
      </c>
      <c r="AC992" s="32"/>
      <c r="AD992" s="32"/>
      <c r="AE992" s="32"/>
      <c r="AF992" s="32">
        <f t="shared" si="210"/>
        <v>0</v>
      </c>
      <c r="AG992" s="12"/>
      <c r="AH992" s="12"/>
      <c r="AI992" s="12"/>
      <c r="AJ992" s="12">
        <f t="shared" si="211"/>
        <v>0</v>
      </c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1:53" x14ac:dyDescent="0.25">
      <c r="A993" s="18"/>
      <c r="B993" s="10">
        <v>11</v>
      </c>
      <c r="C993" s="30"/>
      <c r="D993" s="80"/>
      <c r="E993" s="32"/>
      <c r="F993" s="32"/>
      <c r="G993" s="32"/>
      <c r="H993" s="32">
        <f t="shared" si="206"/>
        <v>0</v>
      </c>
      <c r="I993" s="12"/>
      <c r="J993" s="12"/>
      <c r="K993" s="12"/>
      <c r="L993" s="12">
        <f t="shared" si="207"/>
        <v>0</v>
      </c>
      <c r="N993" s="10">
        <v>11</v>
      </c>
      <c r="O993" s="30"/>
      <c r="P993" s="80"/>
      <c r="Q993" s="32"/>
      <c r="R993" s="32"/>
      <c r="S993" s="32"/>
      <c r="T993" s="32">
        <f t="shared" si="208"/>
        <v>0</v>
      </c>
      <c r="U993" s="12"/>
      <c r="V993" s="12"/>
      <c r="W993" s="12"/>
      <c r="X993" s="12">
        <f t="shared" si="209"/>
        <v>0</v>
      </c>
      <c r="Z993" s="10">
        <v>11</v>
      </c>
      <c r="AA993" s="30"/>
      <c r="AB993" s="31"/>
      <c r="AC993" s="32"/>
      <c r="AD993" s="32"/>
      <c r="AE993" s="32"/>
      <c r="AF993" s="32">
        <f t="shared" si="210"/>
        <v>0</v>
      </c>
      <c r="AG993" s="12"/>
      <c r="AH993" s="12"/>
      <c r="AI993" s="12"/>
      <c r="AJ993" s="12">
        <f t="shared" si="211"/>
        <v>0</v>
      </c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1:53" x14ac:dyDescent="0.25">
      <c r="A994" s="18"/>
      <c r="B994" s="10">
        <v>12</v>
      </c>
      <c r="C994" s="30"/>
      <c r="D994" s="55"/>
      <c r="E994" s="32"/>
      <c r="F994" s="32"/>
      <c r="G994" s="32"/>
      <c r="H994" s="32">
        <f t="shared" si="206"/>
        <v>0</v>
      </c>
      <c r="I994" s="12"/>
      <c r="J994" s="12"/>
      <c r="K994" s="12"/>
      <c r="L994" s="12">
        <f t="shared" si="207"/>
        <v>0</v>
      </c>
      <c r="N994" s="10">
        <v>12</v>
      </c>
      <c r="O994" s="30"/>
      <c r="P994" s="80"/>
      <c r="Q994" s="32"/>
      <c r="R994" s="32"/>
      <c r="S994" s="32"/>
      <c r="T994" s="32">
        <f t="shared" si="208"/>
        <v>0</v>
      </c>
      <c r="U994" s="12"/>
      <c r="V994" s="12"/>
      <c r="W994" s="12"/>
      <c r="X994" s="12">
        <f t="shared" si="209"/>
        <v>0</v>
      </c>
      <c r="Z994" s="10">
        <v>12</v>
      </c>
      <c r="AA994" s="30"/>
      <c r="AB994" s="31"/>
      <c r="AC994" s="32"/>
      <c r="AD994" s="32"/>
      <c r="AE994" s="32"/>
      <c r="AF994" s="32">
        <f t="shared" si="210"/>
        <v>0</v>
      </c>
      <c r="AG994" s="12"/>
      <c r="AH994" s="12"/>
      <c r="AI994" s="12"/>
      <c r="AJ994" s="12">
        <f t="shared" si="211"/>
        <v>0</v>
      </c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1:53" x14ac:dyDescent="0.25">
      <c r="A995" s="18"/>
      <c r="B995" s="10">
        <v>13</v>
      </c>
      <c r="C995" s="30"/>
      <c r="D995" s="80"/>
      <c r="E995" s="32"/>
      <c r="F995" s="32"/>
      <c r="G995" s="32"/>
      <c r="H995" s="32">
        <f t="shared" si="206"/>
        <v>0</v>
      </c>
      <c r="I995" s="12"/>
      <c r="J995" s="12"/>
      <c r="K995" s="12"/>
      <c r="L995" s="12">
        <f t="shared" si="207"/>
        <v>0</v>
      </c>
      <c r="N995" s="10">
        <v>13</v>
      </c>
      <c r="O995" s="30"/>
      <c r="P995" s="80"/>
      <c r="Q995" s="32"/>
      <c r="R995" s="32"/>
      <c r="S995" s="32"/>
      <c r="T995" s="32">
        <f t="shared" si="208"/>
        <v>0</v>
      </c>
      <c r="U995" s="12"/>
      <c r="V995" s="12"/>
      <c r="W995" s="12"/>
      <c r="X995" s="12">
        <f t="shared" si="209"/>
        <v>0</v>
      </c>
      <c r="Z995" s="10">
        <v>13</v>
      </c>
      <c r="AA995" s="30"/>
      <c r="AB995" s="31"/>
      <c r="AC995" s="32"/>
      <c r="AD995" s="32"/>
      <c r="AE995" s="32"/>
      <c r="AF995" s="32">
        <f t="shared" si="210"/>
        <v>0</v>
      </c>
      <c r="AG995" s="12"/>
      <c r="AH995" s="12"/>
      <c r="AI995" s="12"/>
      <c r="AJ995" s="12">
        <f t="shared" si="211"/>
        <v>0</v>
      </c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1:53" x14ac:dyDescent="0.25">
      <c r="A996" s="18"/>
      <c r="B996" s="10">
        <v>14</v>
      </c>
      <c r="C996" s="30"/>
      <c r="D996" s="80"/>
      <c r="E996" s="32"/>
      <c r="F996" s="32"/>
      <c r="G996" s="32"/>
      <c r="H996" s="32">
        <f t="shared" si="206"/>
        <v>0</v>
      </c>
      <c r="I996" s="12"/>
      <c r="J996" s="12"/>
      <c r="K996" s="12"/>
      <c r="L996" s="12">
        <f t="shared" si="207"/>
        <v>0</v>
      </c>
      <c r="N996" s="10">
        <v>14</v>
      </c>
      <c r="O996" s="30"/>
      <c r="P996" s="80"/>
      <c r="Q996" s="32"/>
      <c r="R996" s="32"/>
      <c r="S996" s="32"/>
      <c r="T996" s="32">
        <f t="shared" si="208"/>
        <v>0</v>
      </c>
      <c r="U996" s="12"/>
      <c r="V996" s="12"/>
      <c r="W996" s="12"/>
      <c r="X996" s="12">
        <f t="shared" si="209"/>
        <v>0</v>
      </c>
      <c r="Z996" s="10">
        <v>14</v>
      </c>
      <c r="AA996" s="30"/>
      <c r="AB996" s="31"/>
      <c r="AC996" s="32"/>
      <c r="AD996" s="32"/>
      <c r="AE996" s="32"/>
      <c r="AF996" s="32">
        <f t="shared" si="210"/>
        <v>0</v>
      </c>
      <c r="AG996" s="12"/>
      <c r="AH996" s="12"/>
      <c r="AI996" s="12"/>
      <c r="AJ996" s="12">
        <f t="shared" si="211"/>
        <v>0</v>
      </c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1:53" x14ac:dyDescent="0.25">
      <c r="A997" s="18"/>
      <c r="B997" s="10">
        <v>15</v>
      </c>
      <c r="C997" s="30"/>
      <c r="D997" s="80"/>
      <c r="E997" s="32"/>
      <c r="F997" s="32"/>
      <c r="G997" s="32"/>
      <c r="H997" s="32">
        <f t="shared" si="206"/>
        <v>0</v>
      </c>
      <c r="I997" s="12"/>
      <c r="J997" s="12"/>
      <c r="K997" s="12"/>
      <c r="L997" s="12">
        <f t="shared" si="207"/>
        <v>0</v>
      </c>
      <c r="N997" s="10">
        <v>15</v>
      </c>
      <c r="O997" s="30"/>
      <c r="Q997" s="32"/>
      <c r="R997" s="32"/>
      <c r="S997" s="32"/>
      <c r="T997" s="32">
        <f t="shared" si="208"/>
        <v>0</v>
      </c>
      <c r="U997" s="12"/>
      <c r="V997" s="12"/>
      <c r="W997" s="12"/>
      <c r="X997" s="12">
        <f t="shared" si="209"/>
        <v>0</v>
      </c>
      <c r="Z997" s="10">
        <v>15</v>
      </c>
      <c r="AA997" s="30"/>
      <c r="AB997" s="31"/>
      <c r="AC997" s="32"/>
      <c r="AD997" s="32"/>
      <c r="AE997" s="32"/>
      <c r="AF997" s="32">
        <f t="shared" si="210"/>
        <v>0</v>
      </c>
      <c r="AG997" s="12"/>
      <c r="AH997" s="12"/>
      <c r="AI997" s="12"/>
      <c r="AJ997" s="12">
        <f t="shared" si="211"/>
        <v>0</v>
      </c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1:53" x14ac:dyDescent="0.25">
      <c r="A998" s="18"/>
      <c r="B998" s="10">
        <v>16</v>
      </c>
      <c r="C998" s="30"/>
      <c r="D998" s="11"/>
      <c r="E998" s="32"/>
      <c r="F998" s="32"/>
      <c r="G998" s="32"/>
      <c r="H998" s="32">
        <f t="shared" si="206"/>
        <v>0</v>
      </c>
      <c r="I998" s="12"/>
      <c r="J998" s="12"/>
      <c r="K998" s="12"/>
      <c r="L998" s="12">
        <f t="shared" si="207"/>
        <v>0</v>
      </c>
      <c r="N998" s="10">
        <v>16</v>
      </c>
      <c r="O998" s="30"/>
      <c r="P998" s="80"/>
      <c r="Q998" s="32"/>
      <c r="R998" s="32"/>
      <c r="S998" s="32"/>
      <c r="T998" s="32">
        <f t="shared" si="208"/>
        <v>0</v>
      </c>
      <c r="U998" s="12"/>
      <c r="V998" s="12"/>
      <c r="W998" s="12"/>
      <c r="X998" s="12">
        <f t="shared" si="209"/>
        <v>0</v>
      </c>
      <c r="Z998" s="10">
        <v>16</v>
      </c>
      <c r="AA998" s="30"/>
      <c r="AB998" s="11"/>
      <c r="AC998" s="32"/>
      <c r="AD998" s="32"/>
      <c r="AE998" s="32"/>
      <c r="AF998" s="32">
        <f t="shared" si="210"/>
        <v>0</v>
      </c>
      <c r="AG998" s="12"/>
      <c r="AH998" s="12"/>
      <c r="AI998" s="12"/>
      <c r="AJ998" s="12">
        <f t="shared" si="211"/>
        <v>0</v>
      </c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1:53" x14ac:dyDescent="0.25">
      <c r="A999" s="18"/>
      <c r="B999" s="10">
        <v>17</v>
      </c>
      <c r="C999" s="30"/>
      <c r="D999" s="31"/>
      <c r="E999" s="35"/>
      <c r="F999" s="32"/>
      <c r="G999" s="32"/>
      <c r="H999" s="32">
        <f t="shared" si="206"/>
        <v>0</v>
      </c>
      <c r="I999" s="12"/>
      <c r="J999" s="12"/>
      <c r="K999" s="12"/>
      <c r="L999" s="12">
        <f t="shared" si="207"/>
        <v>0</v>
      </c>
      <c r="N999" s="10">
        <v>17</v>
      </c>
      <c r="O999" s="30"/>
      <c r="Q999" s="35"/>
      <c r="R999" s="32"/>
      <c r="S999" s="32"/>
      <c r="T999" s="32">
        <f t="shared" si="208"/>
        <v>0</v>
      </c>
      <c r="U999" s="12"/>
      <c r="V999" s="12"/>
      <c r="W999" s="12"/>
      <c r="X999" s="12">
        <f t="shared" si="209"/>
        <v>0</v>
      </c>
      <c r="Z999" s="10">
        <v>17</v>
      </c>
      <c r="AA999" s="30"/>
      <c r="AB999" s="31"/>
      <c r="AC999" s="35"/>
      <c r="AD999" s="32"/>
      <c r="AE999" s="32"/>
      <c r="AF999" s="32">
        <f t="shared" si="210"/>
        <v>0</v>
      </c>
      <c r="AG999" s="12"/>
      <c r="AH999" s="12"/>
      <c r="AI999" s="12"/>
      <c r="AJ999" s="12">
        <f t="shared" si="211"/>
        <v>0</v>
      </c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1:53" x14ac:dyDescent="0.25">
      <c r="A1000" s="18"/>
      <c r="B1000" s="10">
        <v>18</v>
      </c>
      <c r="C1000" s="30"/>
      <c r="D1000" s="31"/>
      <c r="E1000" s="32"/>
      <c r="F1000" s="32"/>
      <c r="G1000" s="32"/>
      <c r="H1000" s="32">
        <f t="shared" si="206"/>
        <v>0</v>
      </c>
      <c r="I1000" s="12"/>
      <c r="J1000" s="12"/>
      <c r="K1000" s="12"/>
      <c r="L1000" s="12">
        <f t="shared" si="207"/>
        <v>0</v>
      </c>
      <c r="N1000" s="10">
        <v>18</v>
      </c>
      <c r="O1000" s="30"/>
      <c r="P1000" s="80"/>
      <c r="Q1000" s="32"/>
      <c r="R1000" s="32"/>
      <c r="S1000" s="32"/>
      <c r="T1000" s="32">
        <f t="shared" si="208"/>
        <v>0</v>
      </c>
      <c r="U1000" s="12"/>
      <c r="V1000" s="12"/>
      <c r="W1000" s="12"/>
      <c r="X1000" s="12">
        <f t="shared" si="209"/>
        <v>0</v>
      </c>
      <c r="Z1000" s="10">
        <v>18</v>
      </c>
      <c r="AA1000" s="30"/>
      <c r="AB1000" s="31"/>
      <c r="AC1000" s="32"/>
      <c r="AD1000" s="32"/>
      <c r="AE1000" s="32"/>
      <c r="AF1000" s="32">
        <f t="shared" si="210"/>
        <v>0</v>
      </c>
      <c r="AG1000" s="12"/>
      <c r="AH1000" s="12"/>
      <c r="AI1000" s="12"/>
      <c r="AJ1000" s="12">
        <f t="shared" si="211"/>
        <v>0</v>
      </c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1:53" x14ac:dyDescent="0.25">
      <c r="A1001" s="18"/>
      <c r="B1001" s="10">
        <v>19</v>
      </c>
      <c r="C1001" s="30"/>
      <c r="D1001" s="31"/>
      <c r="E1001" s="32"/>
      <c r="F1001" s="32"/>
      <c r="G1001" s="32"/>
      <c r="H1001" s="32">
        <f t="shared" si="206"/>
        <v>0</v>
      </c>
      <c r="I1001" s="12"/>
      <c r="J1001" s="12"/>
      <c r="K1001" s="12"/>
      <c r="L1001" s="12">
        <f t="shared" si="207"/>
        <v>0</v>
      </c>
      <c r="N1001" s="10">
        <v>19</v>
      </c>
      <c r="O1001" s="30"/>
      <c r="P1001" s="80"/>
      <c r="Q1001" s="32"/>
      <c r="R1001" s="32"/>
      <c r="S1001" s="32"/>
      <c r="T1001" s="32">
        <f t="shared" si="208"/>
        <v>0</v>
      </c>
      <c r="U1001" s="12"/>
      <c r="V1001" s="12"/>
      <c r="W1001" s="12"/>
      <c r="X1001" s="12">
        <f t="shared" si="209"/>
        <v>0</v>
      </c>
      <c r="Z1001" s="10">
        <v>19</v>
      </c>
      <c r="AA1001" s="30"/>
      <c r="AB1001" s="11"/>
      <c r="AC1001" s="32"/>
      <c r="AD1001" s="32"/>
      <c r="AE1001" s="32"/>
      <c r="AF1001" s="32">
        <f t="shared" si="210"/>
        <v>0</v>
      </c>
      <c r="AG1001" s="12"/>
      <c r="AH1001" s="12"/>
      <c r="AI1001" s="12"/>
      <c r="AJ1001" s="12">
        <f t="shared" si="211"/>
        <v>0</v>
      </c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1:53" x14ac:dyDescent="0.25">
      <c r="A1002" s="18"/>
      <c r="B1002" s="10">
        <v>20</v>
      </c>
      <c r="C1002" s="30"/>
      <c r="D1002" s="31"/>
      <c r="E1002" s="32"/>
      <c r="F1002" s="32"/>
      <c r="G1002" s="32"/>
      <c r="H1002" s="32">
        <f t="shared" si="206"/>
        <v>0</v>
      </c>
      <c r="I1002" s="12"/>
      <c r="J1002" s="12"/>
      <c r="K1002" s="12"/>
      <c r="L1002" s="12">
        <f t="shared" si="207"/>
        <v>0</v>
      </c>
      <c r="N1002" s="10">
        <v>20</v>
      </c>
      <c r="O1002" s="30"/>
      <c r="P1002" s="80"/>
      <c r="Q1002" s="32"/>
      <c r="R1002" s="32"/>
      <c r="S1002" s="32"/>
      <c r="T1002" s="32">
        <f t="shared" si="208"/>
        <v>0</v>
      </c>
      <c r="U1002" s="12"/>
      <c r="V1002" s="12"/>
      <c r="W1002" s="12"/>
      <c r="X1002" s="12">
        <f t="shared" si="209"/>
        <v>0</v>
      </c>
      <c r="Z1002" s="10">
        <v>20</v>
      </c>
      <c r="AA1002" s="30"/>
      <c r="AB1002" s="31"/>
      <c r="AC1002" s="32"/>
      <c r="AD1002" s="32"/>
      <c r="AE1002" s="32"/>
      <c r="AF1002" s="32">
        <f t="shared" si="210"/>
        <v>0</v>
      </c>
      <c r="AG1002" s="12"/>
      <c r="AH1002" s="12"/>
      <c r="AI1002" s="12"/>
      <c r="AJ1002" s="12">
        <f t="shared" si="211"/>
        <v>0</v>
      </c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1:53" x14ac:dyDescent="0.25">
      <c r="A1003" s="18"/>
      <c r="B1003" s="10">
        <v>21</v>
      </c>
      <c r="C1003" s="30"/>
      <c r="D1003" s="31"/>
      <c r="E1003" s="44"/>
      <c r="F1003" s="31"/>
      <c r="G1003" s="31"/>
      <c r="H1003" s="32">
        <f t="shared" si="206"/>
        <v>0</v>
      </c>
      <c r="I1003" s="10"/>
      <c r="J1003" s="10"/>
      <c r="K1003" s="10"/>
      <c r="L1003" s="12">
        <f t="shared" si="207"/>
        <v>0</v>
      </c>
      <c r="N1003" s="10">
        <v>21</v>
      </c>
      <c r="O1003" s="30"/>
      <c r="P1003" s="11"/>
      <c r="Q1003" s="44"/>
      <c r="R1003" s="31"/>
      <c r="S1003" s="31"/>
      <c r="T1003" s="32">
        <f t="shared" si="208"/>
        <v>0</v>
      </c>
      <c r="U1003" s="10"/>
      <c r="V1003" s="10"/>
      <c r="W1003" s="10"/>
      <c r="X1003" s="12">
        <f t="shared" si="209"/>
        <v>0</v>
      </c>
      <c r="Z1003" s="10">
        <v>21</v>
      </c>
      <c r="AA1003" s="30"/>
      <c r="AB1003" s="11"/>
      <c r="AC1003" s="44"/>
      <c r="AD1003" s="31"/>
      <c r="AE1003" s="31"/>
      <c r="AF1003" s="32">
        <f t="shared" si="210"/>
        <v>0</v>
      </c>
      <c r="AG1003" s="10"/>
      <c r="AH1003" s="10"/>
      <c r="AI1003" s="10"/>
      <c r="AJ1003" s="12">
        <f t="shared" si="211"/>
        <v>0</v>
      </c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1:53" x14ac:dyDescent="0.25">
      <c r="A1004" s="18"/>
      <c r="B1004" s="10">
        <v>22</v>
      </c>
      <c r="C1004" s="30"/>
      <c r="D1004" s="31"/>
      <c r="E1004" s="43"/>
      <c r="F1004" s="31"/>
      <c r="G1004" s="31"/>
      <c r="H1004" s="32">
        <f t="shared" si="206"/>
        <v>0</v>
      </c>
      <c r="I1004" s="10"/>
      <c r="J1004" s="10"/>
      <c r="K1004" s="10"/>
      <c r="L1004" s="12">
        <f t="shared" si="207"/>
        <v>0</v>
      </c>
      <c r="N1004" s="10">
        <v>22</v>
      </c>
      <c r="O1004" s="30"/>
      <c r="P1004" s="31"/>
      <c r="Q1004" s="43"/>
      <c r="R1004" s="31"/>
      <c r="S1004" s="31"/>
      <c r="T1004" s="32">
        <f t="shared" si="208"/>
        <v>0</v>
      </c>
      <c r="U1004" s="10"/>
      <c r="V1004" s="10"/>
      <c r="W1004" s="10"/>
      <c r="X1004" s="12">
        <f t="shared" si="209"/>
        <v>0</v>
      </c>
      <c r="Z1004" s="10">
        <v>22</v>
      </c>
      <c r="AA1004" s="30"/>
      <c r="AB1004" s="31"/>
      <c r="AC1004" s="43"/>
      <c r="AD1004" s="31"/>
      <c r="AE1004" s="31"/>
      <c r="AF1004" s="32">
        <f t="shared" si="210"/>
        <v>0</v>
      </c>
      <c r="AG1004" s="10"/>
      <c r="AH1004" s="10"/>
      <c r="AI1004" s="10"/>
      <c r="AJ1004" s="12">
        <f t="shared" si="211"/>
        <v>0</v>
      </c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1:53" x14ac:dyDescent="0.25">
      <c r="A1005" s="18"/>
      <c r="B1005" s="10">
        <v>23</v>
      </c>
      <c r="C1005" s="30"/>
      <c r="D1005" s="31"/>
      <c r="E1005" s="45"/>
      <c r="F1005" s="31"/>
      <c r="G1005"/>
      <c r="H1005" s="32">
        <f t="shared" si="206"/>
        <v>0</v>
      </c>
      <c r="I1005" s="10"/>
      <c r="J1005" s="10"/>
      <c r="K1005" s="10"/>
      <c r="L1005" s="12">
        <f t="shared" si="207"/>
        <v>0</v>
      </c>
      <c r="N1005" s="10">
        <v>23</v>
      </c>
      <c r="O1005" s="30"/>
      <c r="P1005" s="31"/>
      <c r="Q1005" s="45"/>
      <c r="T1005" s="32">
        <f t="shared" si="208"/>
        <v>0</v>
      </c>
      <c r="U1005" s="10"/>
      <c r="V1005" s="10"/>
      <c r="W1005" s="10"/>
      <c r="X1005" s="12">
        <f t="shared" si="209"/>
        <v>0</v>
      </c>
      <c r="Z1005" s="10">
        <v>23</v>
      </c>
      <c r="AA1005" s="30"/>
      <c r="AB1005" s="31"/>
      <c r="AC1005" s="45"/>
      <c r="AD1005" s="31"/>
      <c r="AF1005" s="32">
        <f t="shared" si="210"/>
        <v>0</v>
      </c>
      <c r="AG1005" s="10"/>
      <c r="AH1005" s="10"/>
      <c r="AI1005" s="10"/>
      <c r="AJ1005" s="12">
        <f t="shared" si="211"/>
        <v>0</v>
      </c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1:53" x14ac:dyDescent="0.25">
      <c r="A1006" s="18"/>
      <c r="B1006" s="10">
        <v>24</v>
      </c>
      <c r="C1006" s="30"/>
      <c r="D1006" s="31"/>
      <c r="E1006" s="45"/>
      <c r="F1006" s="31"/>
      <c r="G1006" s="31"/>
      <c r="H1006" s="32">
        <f t="shared" si="206"/>
        <v>0</v>
      </c>
      <c r="I1006" s="10"/>
      <c r="J1006" s="10"/>
      <c r="K1006" s="10"/>
      <c r="L1006" s="12">
        <f t="shared" si="207"/>
        <v>0</v>
      </c>
      <c r="N1006" s="10">
        <v>24</v>
      </c>
      <c r="O1006" s="30"/>
      <c r="P1006" s="31"/>
      <c r="Q1006" s="45"/>
      <c r="R1006" s="31"/>
      <c r="S1006" s="31"/>
      <c r="T1006" s="32">
        <f t="shared" si="208"/>
        <v>0</v>
      </c>
      <c r="U1006" s="10"/>
      <c r="V1006" s="10"/>
      <c r="W1006" s="10"/>
      <c r="X1006" s="12">
        <f t="shared" si="209"/>
        <v>0</v>
      </c>
      <c r="Z1006" s="10">
        <v>24</v>
      </c>
      <c r="AA1006" s="30"/>
      <c r="AB1006" s="31"/>
      <c r="AC1006" s="45"/>
      <c r="AD1006" s="31"/>
      <c r="AE1006" s="31"/>
      <c r="AF1006" s="32">
        <f t="shared" si="210"/>
        <v>0</v>
      </c>
      <c r="AG1006" s="10"/>
      <c r="AH1006" s="10"/>
      <c r="AI1006" s="10"/>
      <c r="AJ1006" s="12">
        <f t="shared" si="211"/>
        <v>0</v>
      </c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1:53" x14ac:dyDescent="0.25">
      <c r="A1007" s="18"/>
      <c r="B1007" s="10">
        <v>25</v>
      </c>
      <c r="C1007" s="30"/>
      <c r="D1007" s="31"/>
      <c r="E1007" s="45"/>
      <c r="F1007" s="31"/>
      <c r="G1007" s="31"/>
      <c r="H1007" s="32">
        <f t="shared" si="206"/>
        <v>0</v>
      </c>
      <c r="I1007" s="10"/>
      <c r="J1007" s="10"/>
      <c r="K1007" s="10"/>
      <c r="L1007" s="12">
        <f t="shared" si="207"/>
        <v>0</v>
      </c>
      <c r="N1007" s="10">
        <v>25</v>
      </c>
      <c r="O1007" s="30"/>
      <c r="P1007" s="31"/>
      <c r="Q1007" s="45"/>
      <c r="R1007" s="31"/>
      <c r="S1007" s="31"/>
      <c r="T1007" s="32">
        <f t="shared" si="208"/>
        <v>0</v>
      </c>
      <c r="U1007" s="10"/>
      <c r="V1007" s="10"/>
      <c r="W1007" s="10"/>
      <c r="X1007" s="12">
        <f t="shared" si="209"/>
        <v>0</v>
      </c>
      <c r="Z1007" s="10">
        <v>25</v>
      </c>
      <c r="AA1007" s="30"/>
      <c r="AB1007" s="31"/>
      <c r="AC1007" s="45"/>
      <c r="AD1007" s="31"/>
      <c r="AE1007" s="31"/>
      <c r="AF1007" s="32">
        <f t="shared" si="210"/>
        <v>0</v>
      </c>
      <c r="AG1007" s="10"/>
      <c r="AH1007" s="10"/>
      <c r="AI1007" s="10"/>
      <c r="AJ1007" s="12">
        <f t="shared" si="211"/>
        <v>0</v>
      </c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1:53" x14ac:dyDescent="0.25">
      <c r="A1008" s="18"/>
      <c r="B1008" s="10">
        <v>26</v>
      </c>
      <c r="C1008" s="30"/>
      <c r="D1008" s="31"/>
      <c r="E1008" s="45"/>
      <c r="F1008" s="31"/>
      <c r="G1008" s="31"/>
      <c r="H1008" s="32">
        <f t="shared" si="206"/>
        <v>0</v>
      </c>
      <c r="I1008" s="10"/>
      <c r="J1008" s="10"/>
      <c r="K1008" s="10"/>
      <c r="L1008" s="12">
        <f t="shared" si="207"/>
        <v>0</v>
      </c>
      <c r="N1008" s="10">
        <v>26</v>
      </c>
      <c r="O1008" s="30"/>
      <c r="P1008" s="31"/>
      <c r="Q1008" s="45"/>
      <c r="R1008" s="31"/>
      <c r="S1008" s="31"/>
      <c r="T1008" s="32">
        <f t="shared" si="208"/>
        <v>0</v>
      </c>
      <c r="U1008" s="10"/>
      <c r="V1008" s="10"/>
      <c r="W1008" s="10"/>
      <c r="X1008" s="12">
        <f t="shared" si="209"/>
        <v>0</v>
      </c>
      <c r="Z1008" s="10">
        <v>26</v>
      </c>
      <c r="AA1008" s="30"/>
      <c r="AB1008" s="31"/>
      <c r="AC1008" s="45"/>
      <c r="AD1008" s="31"/>
      <c r="AE1008" s="31"/>
      <c r="AF1008" s="32">
        <f t="shared" si="210"/>
        <v>0</v>
      </c>
      <c r="AG1008" s="10"/>
      <c r="AH1008" s="10"/>
      <c r="AI1008" s="10"/>
      <c r="AJ1008" s="12">
        <f t="shared" si="211"/>
        <v>0</v>
      </c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1:53" x14ac:dyDescent="0.25">
      <c r="A1009" s="18"/>
      <c r="B1009" s="10">
        <v>27</v>
      </c>
      <c r="C1009" s="30"/>
      <c r="D1009" s="31"/>
      <c r="E1009" s="45"/>
      <c r="F1009" s="31"/>
      <c r="G1009" s="31"/>
      <c r="H1009" s="32">
        <f t="shared" si="206"/>
        <v>0</v>
      </c>
      <c r="I1009" s="10"/>
      <c r="J1009" s="10"/>
      <c r="K1009" s="10"/>
      <c r="L1009" s="12">
        <f t="shared" si="207"/>
        <v>0</v>
      </c>
      <c r="N1009" s="10">
        <v>27</v>
      </c>
      <c r="O1009" s="30"/>
      <c r="P1009" s="31"/>
      <c r="Q1009" s="45"/>
      <c r="R1009" s="31"/>
      <c r="S1009" s="31"/>
      <c r="T1009" s="32">
        <f t="shared" si="208"/>
        <v>0</v>
      </c>
      <c r="U1009" s="10"/>
      <c r="V1009" s="10"/>
      <c r="W1009" s="10"/>
      <c r="X1009" s="12">
        <f t="shared" si="209"/>
        <v>0</v>
      </c>
      <c r="Z1009" s="10">
        <v>27</v>
      </c>
      <c r="AA1009" s="30"/>
      <c r="AB1009" s="31"/>
      <c r="AC1009" s="45"/>
      <c r="AD1009" s="31"/>
      <c r="AE1009" s="31"/>
      <c r="AF1009" s="32">
        <f t="shared" si="210"/>
        <v>0</v>
      </c>
      <c r="AG1009" s="10"/>
      <c r="AH1009" s="10"/>
      <c r="AI1009" s="10"/>
      <c r="AJ1009" s="12">
        <f t="shared" si="211"/>
        <v>0</v>
      </c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1:53" x14ac:dyDescent="0.25">
      <c r="A1010" s="18"/>
      <c r="B1010" s="10">
        <v>28</v>
      </c>
      <c r="C1010" s="30"/>
      <c r="D1010" s="31"/>
      <c r="E1010" s="45"/>
      <c r="F1010" s="31"/>
      <c r="G1010" s="31"/>
      <c r="H1010" s="32">
        <f t="shared" si="206"/>
        <v>0</v>
      </c>
      <c r="I1010" s="10"/>
      <c r="J1010" s="10"/>
      <c r="K1010" s="10"/>
      <c r="L1010" s="12">
        <f t="shared" si="207"/>
        <v>0</v>
      </c>
      <c r="N1010" s="10">
        <v>28</v>
      </c>
      <c r="O1010" s="30"/>
      <c r="P1010" s="31"/>
      <c r="Q1010" s="45"/>
      <c r="R1010" s="31"/>
      <c r="S1010" s="31"/>
      <c r="T1010" s="32">
        <f t="shared" si="208"/>
        <v>0</v>
      </c>
      <c r="U1010" s="10"/>
      <c r="V1010" s="10"/>
      <c r="W1010" s="10"/>
      <c r="X1010" s="12">
        <f t="shared" si="209"/>
        <v>0</v>
      </c>
      <c r="Z1010" s="10">
        <v>28</v>
      </c>
      <c r="AA1010" s="30"/>
      <c r="AB1010" s="31"/>
      <c r="AC1010" s="45"/>
      <c r="AD1010" s="31"/>
      <c r="AE1010" s="31"/>
      <c r="AF1010" s="32">
        <f t="shared" si="210"/>
        <v>0</v>
      </c>
      <c r="AG1010" s="10"/>
      <c r="AH1010" s="10"/>
      <c r="AI1010" s="10"/>
      <c r="AJ1010" s="12">
        <f t="shared" si="211"/>
        <v>0</v>
      </c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1:53" x14ac:dyDescent="0.25">
      <c r="A1011" s="18"/>
      <c r="B1011" s="10">
        <v>29</v>
      </c>
      <c r="C1011" s="30"/>
      <c r="D1011" s="31"/>
      <c r="E1011" s="45"/>
      <c r="F1011" s="31"/>
      <c r="G1011" s="31"/>
      <c r="H1011" s="32">
        <f t="shared" si="206"/>
        <v>0</v>
      </c>
      <c r="I1011" s="10"/>
      <c r="J1011" s="10"/>
      <c r="K1011" s="10"/>
      <c r="L1011" s="12">
        <f t="shared" si="207"/>
        <v>0</v>
      </c>
      <c r="N1011" s="10">
        <v>29</v>
      </c>
      <c r="O1011" s="30"/>
      <c r="P1011" s="31"/>
      <c r="Q1011" s="45"/>
      <c r="R1011" s="31"/>
      <c r="S1011" s="31"/>
      <c r="T1011" s="32">
        <f t="shared" si="208"/>
        <v>0</v>
      </c>
      <c r="U1011" s="10"/>
      <c r="V1011" s="10"/>
      <c r="W1011" s="10"/>
      <c r="X1011" s="12">
        <f t="shared" si="209"/>
        <v>0</v>
      </c>
      <c r="Z1011" s="10">
        <v>29</v>
      </c>
      <c r="AA1011" s="30"/>
      <c r="AB1011" s="31"/>
      <c r="AC1011" s="45"/>
      <c r="AD1011" s="31"/>
      <c r="AE1011" s="31"/>
      <c r="AF1011" s="32">
        <f t="shared" si="210"/>
        <v>0</v>
      </c>
      <c r="AG1011" s="10"/>
      <c r="AH1011" s="10"/>
      <c r="AI1011" s="10"/>
      <c r="AJ1011" s="12">
        <f t="shared" si="211"/>
        <v>0</v>
      </c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1:53" x14ac:dyDescent="0.25">
      <c r="A1012" s="18"/>
      <c r="B1012" s="10">
        <v>30</v>
      </c>
      <c r="C1012" s="30"/>
      <c r="D1012" s="31"/>
      <c r="E1012" s="45"/>
      <c r="F1012" s="31"/>
      <c r="G1012" s="31"/>
      <c r="H1012" s="32">
        <f t="shared" si="206"/>
        <v>0</v>
      </c>
      <c r="I1012" s="10"/>
      <c r="J1012" s="10"/>
      <c r="K1012" s="10"/>
      <c r="L1012" s="12">
        <f t="shared" si="207"/>
        <v>0</v>
      </c>
      <c r="N1012" s="10">
        <v>30</v>
      </c>
      <c r="O1012" s="30"/>
      <c r="P1012" s="31"/>
      <c r="Q1012" s="45"/>
      <c r="R1012" s="31"/>
      <c r="S1012" s="31"/>
      <c r="T1012" s="32">
        <f t="shared" si="208"/>
        <v>0</v>
      </c>
      <c r="U1012" s="10"/>
      <c r="V1012" s="10"/>
      <c r="W1012" s="10"/>
      <c r="X1012" s="12">
        <f t="shared" si="209"/>
        <v>0</v>
      </c>
      <c r="Z1012" s="10">
        <v>30</v>
      </c>
      <c r="AA1012" s="30"/>
      <c r="AB1012" s="31"/>
      <c r="AC1012" s="45"/>
      <c r="AD1012" s="31"/>
      <c r="AE1012" s="31"/>
      <c r="AF1012" s="32">
        <f t="shared" si="210"/>
        <v>0</v>
      </c>
      <c r="AG1012" s="10"/>
      <c r="AH1012" s="10"/>
      <c r="AI1012" s="10"/>
      <c r="AJ1012" s="12">
        <f t="shared" si="211"/>
        <v>0</v>
      </c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1:53" x14ac:dyDescent="0.25">
      <c r="A1013" s="18"/>
      <c r="B1013" s="10">
        <v>31</v>
      </c>
      <c r="C1013" s="30"/>
      <c r="D1013" s="31"/>
      <c r="E1013" s="45"/>
      <c r="F1013" s="31"/>
      <c r="G1013" s="31"/>
      <c r="H1013" s="32">
        <f t="shared" si="206"/>
        <v>0</v>
      </c>
      <c r="I1013" s="10"/>
      <c r="J1013" s="10"/>
      <c r="K1013" s="10"/>
      <c r="L1013" s="12">
        <f t="shared" si="207"/>
        <v>0</v>
      </c>
      <c r="N1013" s="10">
        <v>31</v>
      </c>
      <c r="O1013" s="30"/>
      <c r="P1013" s="31"/>
      <c r="Q1013" s="45"/>
      <c r="R1013" s="31"/>
      <c r="S1013" s="31"/>
      <c r="T1013" s="32">
        <f t="shared" si="208"/>
        <v>0</v>
      </c>
      <c r="U1013" s="10"/>
      <c r="V1013" s="10"/>
      <c r="W1013" s="10"/>
      <c r="X1013" s="12">
        <f t="shared" si="209"/>
        <v>0</v>
      </c>
      <c r="Z1013" s="10">
        <v>31</v>
      </c>
      <c r="AA1013" s="30"/>
      <c r="AB1013" s="31"/>
      <c r="AC1013" s="45"/>
      <c r="AD1013" s="31"/>
      <c r="AE1013" s="31"/>
      <c r="AF1013" s="32">
        <f t="shared" si="210"/>
        <v>0</v>
      </c>
      <c r="AG1013" s="10"/>
      <c r="AH1013" s="10"/>
      <c r="AI1013" s="10"/>
      <c r="AJ1013" s="12">
        <f t="shared" si="211"/>
        <v>0</v>
      </c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1:53" x14ac:dyDescent="0.25">
      <c r="A1014" s="18"/>
      <c r="B1014" s="10">
        <v>32</v>
      </c>
      <c r="C1014" s="30"/>
      <c r="D1014" s="31"/>
      <c r="E1014" s="45"/>
      <c r="F1014" s="31"/>
      <c r="G1014" s="31"/>
      <c r="H1014" s="32">
        <f t="shared" si="206"/>
        <v>0</v>
      </c>
      <c r="I1014" s="10"/>
      <c r="J1014" s="10"/>
      <c r="K1014" s="10"/>
      <c r="L1014" s="12">
        <f t="shared" si="207"/>
        <v>0</v>
      </c>
      <c r="N1014" s="10">
        <v>32</v>
      </c>
      <c r="O1014" s="30"/>
      <c r="P1014" s="31"/>
      <c r="Q1014" s="45"/>
      <c r="R1014" s="31"/>
      <c r="S1014" s="31"/>
      <c r="T1014" s="32">
        <f t="shared" si="208"/>
        <v>0</v>
      </c>
      <c r="U1014" s="10"/>
      <c r="V1014" s="10"/>
      <c r="W1014" s="10"/>
      <c r="X1014" s="12">
        <f t="shared" si="209"/>
        <v>0</v>
      </c>
      <c r="Z1014" s="10">
        <v>32</v>
      </c>
      <c r="AA1014" s="30"/>
      <c r="AB1014" s="31"/>
      <c r="AC1014" s="45"/>
      <c r="AD1014" s="31"/>
      <c r="AE1014" s="31"/>
      <c r="AF1014" s="32">
        <f t="shared" si="210"/>
        <v>0</v>
      </c>
      <c r="AG1014" s="10"/>
      <c r="AH1014" s="10"/>
      <c r="AI1014" s="10"/>
      <c r="AJ1014" s="12">
        <f t="shared" si="211"/>
        <v>0</v>
      </c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1:53" x14ac:dyDescent="0.25">
      <c r="A1015" s="18"/>
      <c r="B1015" s="10">
        <v>33</v>
      </c>
      <c r="C1015" s="30"/>
      <c r="D1015" s="31"/>
      <c r="E1015" s="45"/>
      <c r="F1015" s="31"/>
      <c r="G1015" s="31"/>
      <c r="H1015" s="32">
        <f t="shared" si="206"/>
        <v>0</v>
      </c>
      <c r="I1015" s="10"/>
      <c r="J1015" s="10"/>
      <c r="K1015" s="10"/>
      <c r="L1015" s="12">
        <f t="shared" si="207"/>
        <v>0</v>
      </c>
      <c r="N1015" s="10">
        <v>33</v>
      </c>
      <c r="O1015" s="30"/>
      <c r="P1015" s="31"/>
      <c r="Q1015" s="45"/>
      <c r="R1015" s="31"/>
      <c r="S1015" s="31"/>
      <c r="T1015" s="32">
        <f t="shared" si="208"/>
        <v>0</v>
      </c>
      <c r="U1015" s="10"/>
      <c r="V1015" s="10"/>
      <c r="W1015" s="10"/>
      <c r="X1015" s="12">
        <f t="shared" si="209"/>
        <v>0</v>
      </c>
      <c r="Z1015" s="10">
        <v>33</v>
      </c>
      <c r="AA1015" s="30"/>
      <c r="AB1015" s="31"/>
      <c r="AC1015" s="45"/>
      <c r="AD1015" s="31"/>
      <c r="AE1015" s="31"/>
      <c r="AF1015" s="32">
        <f t="shared" si="210"/>
        <v>0</v>
      </c>
      <c r="AG1015" s="10"/>
      <c r="AH1015" s="10"/>
      <c r="AI1015" s="10"/>
      <c r="AJ1015" s="12">
        <f t="shared" si="211"/>
        <v>0</v>
      </c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1:53" x14ac:dyDescent="0.25">
      <c r="A1016" s="18"/>
      <c r="B1016" s="10">
        <v>34</v>
      </c>
      <c r="C1016" s="30"/>
      <c r="D1016" s="31"/>
      <c r="E1016" s="45"/>
      <c r="F1016" s="31"/>
      <c r="G1016" s="31"/>
      <c r="H1016" s="32">
        <f t="shared" si="206"/>
        <v>0</v>
      </c>
      <c r="I1016" s="10"/>
      <c r="J1016" s="10"/>
      <c r="K1016" s="10"/>
      <c r="L1016" s="12">
        <f t="shared" si="207"/>
        <v>0</v>
      </c>
      <c r="N1016" s="10">
        <v>34</v>
      </c>
      <c r="O1016" s="30"/>
      <c r="P1016" s="31"/>
      <c r="Q1016" s="45"/>
      <c r="R1016" s="31"/>
      <c r="S1016" s="31"/>
      <c r="T1016" s="32">
        <f t="shared" si="208"/>
        <v>0</v>
      </c>
      <c r="U1016" s="10"/>
      <c r="V1016" s="10"/>
      <c r="W1016" s="10"/>
      <c r="X1016" s="12">
        <f t="shared" si="209"/>
        <v>0</v>
      </c>
      <c r="Z1016" s="10">
        <v>34</v>
      </c>
      <c r="AA1016" s="30"/>
      <c r="AB1016" s="31"/>
      <c r="AC1016" s="45"/>
      <c r="AD1016" s="31"/>
      <c r="AE1016" s="31"/>
      <c r="AF1016" s="32">
        <f t="shared" si="210"/>
        <v>0</v>
      </c>
      <c r="AG1016" s="10"/>
      <c r="AH1016" s="10"/>
      <c r="AI1016" s="10"/>
      <c r="AJ1016" s="12">
        <f t="shared" si="211"/>
        <v>0</v>
      </c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1:53" x14ac:dyDescent="0.25">
      <c r="A1017" s="18"/>
      <c r="B1017" s="10">
        <v>35</v>
      </c>
      <c r="C1017" s="30"/>
      <c r="D1017" s="31"/>
      <c r="E1017" s="45"/>
      <c r="F1017" s="31"/>
      <c r="G1017" s="31"/>
      <c r="H1017" s="32">
        <f t="shared" si="206"/>
        <v>0</v>
      </c>
      <c r="I1017" s="10"/>
      <c r="J1017" s="10"/>
      <c r="K1017" s="10"/>
      <c r="L1017" s="12">
        <f t="shared" si="207"/>
        <v>0</v>
      </c>
      <c r="N1017" s="10">
        <v>35</v>
      </c>
      <c r="O1017" s="30"/>
      <c r="P1017" s="31"/>
      <c r="Q1017" s="45"/>
      <c r="R1017" s="31"/>
      <c r="S1017" s="31"/>
      <c r="T1017" s="32">
        <f t="shared" si="208"/>
        <v>0</v>
      </c>
      <c r="U1017" s="10"/>
      <c r="V1017" s="10"/>
      <c r="W1017" s="10"/>
      <c r="X1017" s="12">
        <f t="shared" si="209"/>
        <v>0</v>
      </c>
      <c r="Z1017" s="10">
        <v>35</v>
      </c>
      <c r="AA1017" s="30"/>
      <c r="AB1017" s="31"/>
      <c r="AC1017" s="45"/>
      <c r="AD1017" s="31"/>
      <c r="AE1017" s="31"/>
      <c r="AF1017" s="32">
        <f t="shared" si="210"/>
        <v>0</v>
      </c>
      <c r="AG1017" s="10"/>
      <c r="AH1017" s="10"/>
      <c r="AI1017" s="10"/>
      <c r="AJ1017" s="12">
        <f t="shared" si="211"/>
        <v>0</v>
      </c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1:53" x14ac:dyDescent="0.25">
      <c r="A1018" s="18"/>
      <c r="B1018" s="10">
        <v>36</v>
      </c>
      <c r="C1018" s="30"/>
      <c r="D1018" s="31"/>
      <c r="E1018" s="45"/>
      <c r="F1018" s="31"/>
      <c r="G1018" s="31"/>
      <c r="H1018" s="32">
        <f t="shared" si="206"/>
        <v>0</v>
      </c>
      <c r="I1018" s="10"/>
      <c r="J1018" s="10"/>
      <c r="K1018" s="10"/>
      <c r="L1018" s="12">
        <f t="shared" si="207"/>
        <v>0</v>
      </c>
      <c r="N1018" s="10">
        <v>36</v>
      </c>
      <c r="O1018" s="30"/>
      <c r="P1018" s="31"/>
      <c r="Q1018" s="45"/>
      <c r="R1018" s="31"/>
      <c r="S1018" s="31"/>
      <c r="T1018" s="32">
        <f t="shared" si="208"/>
        <v>0</v>
      </c>
      <c r="U1018" s="10"/>
      <c r="V1018" s="10"/>
      <c r="W1018" s="10"/>
      <c r="X1018" s="12">
        <f t="shared" si="209"/>
        <v>0</v>
      </c>
      <c r="Z1018" s="10">
        <v>36</v>
      </c>
      <c r="AA1018" s="30"/>
      <c r="AB1018" s="31"/>
      <c r="AC1018" s="45"/>
      <c r="AD1018" s="31"/>
      <c r="AE1018" s="31"/>
      <c r="AF1018" s="32">
        <f t="shared" si="210"/>
        <v>0</v>
      </c>
      <c r="AG1018" s="10"/>
      <c r="AH1018" s="10"/>
      <c r="AI1018" s="10"/>
      <c r="AJ1018" s="12">
        <f t="shared" si="211"/>
        <v>0</v>
      </c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1:53" x14ac:dyDescent="0.25">
      <c r="A1019" s="18"/>
      <c r="B1019" s="10">
        <v>37</v>
      </c>
      <c r="C1019" s="30"/>
      <c r="D1019"/>
      <c r="E1019" s="45"/>
      <c r="F1019" s="31"/>
      <c r="G1019" s="31"/>
      <c r="H1019" s="32">
        <f t="shared" si="206"/>
        <v>0</v>
      </c>
      <c r="I1019" s="10"/>
      <c r="J1019" s="10"/>
      <c r="K1019" s="10"/>
      <c r="L1019" s="12">
        <f t="shared" si="207"/>
        <v>0</v>
      </c>
      <c r="N1019" s="10">
        <v>37</v>
      </c>
      <c r="O1019" s="30"/>
      <c r="Q1019" s="45"/>
      <c r="R1019" s="31"/>
      <c r="S1019" s="31"/>
      <c r="T1019" s="32">
        <f t="shared" si="208"/>
        <v>0</v>
      </c>
      <c r="U1019" s="10"/>
      <c r="V1019" s="10"/>
      <c r="W1019" s="10"/>
      <c r="X1019" s="12">
        <f t="shared" si="209"/>
        <v>0</v>
      </c>
      <c r="Z1019" s="10">
        <v>37</v>
      </c>
      <c r="AA1019" s="30"/>
      <c r="AB1019" s="31"/>
      <c r="AC1019" s="45"/>
      <c r="AD1019" s="31"/>
      <c r="AE1019" s="31"/>
      <c r="AF1019" s="32">
        <f t="shared" si="210"/>
        <v>0</v>
      </c>
      <c r="AG1019" s="10"/>
      <c r="AH1019" s="10"/>
      <c r="AI1019" s="10"/>
      <c r="AJ1019" s="12">
        <f t="shared" si="211"/>
        <v>0</v>
      </c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1:53" x14ac:dyDescent="0.25">
      <c r="A1020" s="18"/>
      <c r="B1020" s="10">
        <v>38</v>
      </c>
      <c r="C1020" s="30"/>
      <c r="D1020" s="31"/>
      <c r="E1020" s="45"/>
      <c r="F1020" s="31"/>
      <c r="G1020" s="31"/>
      <c r="H1020" s="32">
        <f t="shared" si="206"/>
        <v>0</v>
      </c>
      <c r="I1020" s="10"/>
      <c r="J1020" s="10"/>
      <c r="K1020" s="10"/>
      <c r="L1020" s="12">
        <f t="shared" si="207"/>
        <v>0</v>
      </c>
      <c r="N1020" s="10">
        <v>38</v>
      </c>
      <c r="O1020" s="30"/>
      <c r="P1020" s="31"/>
      <c r="Q1020" s="45"/>
      <c r="R1020" s="31"/>
      <c r="S1020" s="31"/>
      <c r="T1020" s="32">
        <f t="shared" si="208"/>
        <v>0</v>
      </c>
      <c r="U1020" s="10"/>
      <c r="V1020" s="10"/>
      <c r="W1020" s="10"/>
      <c r="X1020" s="12">
        <f t="shared" si="209"/>
        <v>0</v>
      </c>
      <c r="Z1020" s="10">
        <v>38</v>
      </c>
      <c r="AA1020" s="30"/>
      <c r="AB1020" s="31"/>
      <c r="AC1020" s="45"/>
      <c r="AD1020" s="31"/>
      <c r="AE1020" s="31"/>
      <c r="AF1020" s="32">
        <f t="shared" si="210"/>
        <v>0</v>
      </c>
      <c r="AG1020" s="10"/>
      <c r="AH1020" s="10"/>
      <c r="AI1020" s="10"/>
      <c r="AJ1020" s="12">
        <f t="shared" si="211"/>
        <v>0</v>
      </c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1:53" x14ac:dyDescent="0.25">
      <c r="A1021" s="18"/>
      <c r="B1021" s="10">
        <v>39</v>
      </c>
      <c r="C1021" s="30"/>
      <c r="D1021" s="31"/>
      <c r="E1021" s="45"/>
      <c r="F1021" s="31"/>
      <c r="G1021" s="31"/>
      <c r="H1021" s="32">
        <f t="shared" si="206"/>
        <v>0</v>
      </c>
      <c r="I1021" s="10"/>
      <c r="J1021" s="10"/>
      <c r="K1021" s="10"/>
      <c r="L1021" s="12">
        <f t="shared" si="207"/>
        <v>0</v>
      </c>
      <c r="N1021" s="10">
        <v>39</v>
      </c>
      <c r="O1021" s="30"/>
      <c r="P1021" s="31"/>
      <c r="Q1021" s="45"/>
      <c r="R1021" s="31"/>
      <c r="S1021" s="31"/>
      <c r="T1021" s="32">
        <f t="shared" si="208"/>
        <v>0</v>
      </c>
      <c r="U1021" s="10"/>
      <c r="V1021" s="10"/>
      <c r="W1021" s="10"/>
      <c r="X1021" s="12">
        <f t="shared" si="209"/>
        <v>0</v>
      </c>
      <c r="Z1021" s="10">
        <v>39</v>
      </c>
      <c r="AA1021" s="30"/>
      <c r="AB1021" s="31"/>
      <c r="AC1021" s="45"/>
      <c r="AD1021" s="31"/>
      <c r="AE1021" s="31"/>
      <c r="AF1021" s="32">
        <f t="shared" si="210"/>
        <v>0</v>
      </c>
      <c r="AG1021" s="10"/>
      <c r="AH1021" s="10"/>
      <c r="AI1021" s="10"/>
      <c r="AJ1021" s="12">
        <f t="shared" si="211"/>
        <v>0</v>
      </c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1:53" x14ac:dyDescent="0.25">
      <c r="A1022" s="18"/>
      <c r="B1022" s="10"/>
      <c r="C1022" s="30"/>
      <c r="D1022"/>
      <c r="E1022" s="45"/>
      <c r="F1022" s="31"/>
      <c r="G1022" s="31"/>
      <c r="H1022" s="32"/>
      <c r="I1022" s="10"/>
      <c r="J1022" s="10"/>
      <c r="K1022" s="10"/>
      <c r="L1022" s="12">
        <f t="shared" si="207"/>
        <v>0</v>
      </c>
      <c r="N1022" s="10"/>
      <c r="O1022" s="30"/>
      <c r="Q1022" s="45"/>
      <c r="R1022" s="31"/>
      <c r="S1022" s="31"/>
      <c r="T1022" s="32"/>
      <c r="U1022" s="10"/>
      <c r="V1022" s="10"/>
      <c r="W1022" s="10"/>
      <c r="X1022" s="12">
        <f t="shared" si="209"/>
        <v>0</v>
      </c>
      <c r="Z1022" s="10"/>
      <c r="AA1022" s="30"/>
      <c r="AC1022" s="45"/>
      <c r="AD1022" s="31"/>
      <c r="AE1022" s="31"/>
      <c r="AF1022" s="32"/>
      <c r="AG1022" s="10"/>
      <c r="AH1022" s="10"/>
      <c r="AI1022" s="10"/>
      <c r="AJ1022" s="12">
        <f t="shared" si="211"/>
        <v>0</v>
      </c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1:53" x14ac:dyDescent="0.25">
      <c r="A1023" s="18"/>
      <c r="B1023" s="10"/>
      <c r="C1023" s="30"/>
      <c r="D1023" s="31"/>
      <c r="E1023" s="45"/>
      <c r="F1023" s="31"/>
      <c r="G1023" s="31"/>
      <c r="H1023" s="32">
        <f t="shared" ref="H1023" si="215">SUM(E1023:F1023)</f>
        <v>0</v>
      </c>
      <c r="I1023" s="10"/>
      <c r="J1023" s="10"/>
      <c r="K1023" s="10"/>
      <c r="L1023" s="12">
        <f t="shared" si="207"/>
        <v>0</v>
      </c>
      <c r="N1023" s="10"/>
      <c r="O1023" s="30"/>
      <c r="P1023" s="31"/>
      <c r="Q1023" s="45"/>
      <c r="R1023" s="31"/>
      <c r="S1023" s="31"/>
      <c r="T1023" s="32">
        <f t="shared" ref="T1023" si="216">SUM(Q1023:R1023)</f>
        <v>0</v>
      </c>
      <c r="U1023" s="10"/>
      <c r="V1023" s="10"/>
      <c r="W1023" s="10"/>
      <c r="X1023" s="12">
        <f t="shared" si="209"/>
        <v>0</v>
      </c>
      <c r="Z1023" s="10"/>
      <c r="AA1023" s="30"/>
      <c r="AB1023" s="31"/>
      <c r="AC1023" s="45"/>
      <c r="AD1023" s="31"/>
      <c r="AE1023" s="31"/>
      <c r="AF1023" s="32">
        <f t="shared" ref="AF1023" si="217">SUM(AC1023:AD1023)</f>
        <v>0</v>
      </c>
      <c r="AG1023" s="10"/>
      <c r="AH1023" s="10"/>
      <c r="AI1023" s="10"/>
      <c r="AJ1023" s="12">
        <f t="shared" si="211"/>
        <v>0</v>
      </c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1:53" x14ac:dyDescent="0.25">
      <c r="A1024" s="18"/>
      <c r="B1024" s="10"/>
      <c r="C1024" s="31"/>
      <c r="D1024" s="31"/>
      <c r="E1024" s="31"/>
      <c r="F1024" s="31"/>
      <c r="G1024" s="31"/>
      <c r="H1024" s="31"/>
      <c r="I1024" s="10"/>
      <c r="J1024" s="10"/>
      <c r="K1024" s="10"/>
      <c r="L1024" s="12">
        <f t="shared" si="207"/>
        <v>0</v>
      </c>
      <c r="N1024" s="10"/>
      <c r="O1024" s="31"/>
      <c r="P1024" s="31"/>
      <c r="Q1024" s="31"/>
      <c r="R1024" s="31"/>
      <c r="S1024" s="31"/>
      <c r="T1024" s="31"/>
      <c r="U1024" s="10"/>
      <c r="V1024" s="10"/>
      <c r="W1024" s="10"/>
      <c r="X1024" s="12">
        <f t="shared" si="209"/>
        <v>0</v>
      </c>
      <c r="Z1024" s="10"/>
      <c r="AA1024" s="31"/>
      <c r="AB1024" s="31"/>
      <c r="AC1024" s="31"/>
      <c r="AD1024" s="31"/>
      <c r="AE1024" s="31"/>
      <c r="AF1024" s="31"/>
      <c r="AG1024" s="10"/>
      <c r="AH1024" s="10"/>
      <c r="AI1024" s="10"/>
      <c r="AJ1024" s="12">
        <f t="shared" si="211"/>
        <v>0</v>
      </c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1:53" x14ac:dyDescent="0.25">
      <c r="A1025" s="18"/>
      <c r="C1025" s="55"/>
      <c r="D1025" s="55"/>
      <c r="E1025" s="36"/>
      <c r="F1025" s="36"/>
      <c r="G1025" s="36"/>
      <c r="H1025" s="36"/>
      <c r="I1025" s="37"/>
      <c r="J1025" s="37"/>
      <c r="K1025" s="37"/>
      <c r="L1025" s="37"/>
      <c r="O1025" s="55"/>
      <c r="P1025" s="55"/>
      <c r="Q1025" s="36"/>
      <c r="R1025" s="36"/>
      <c r="S1025" s="36"/>
      <c r="T1025" s="36"/>
      <c r="U1025" s="37"/>
      <c r="V1025" s="37"/>
      <c r="W1025" s="37"/>
      <c r="X1025" s="37"/>
      <c r="AA1025" s="55"/>
      <c r="AB1025" s="55"/>
      <c r="AC1025" s="36"/>
      <c r="AD1025" s="36"/>
      <c r="AE1025" s="36"/>
      <c r="AF1025" s="36"/>
      <c r="AG1025" s="37"/>
      <c r="AH1025" s="37"/>
      <c r="AI1025" s="37"/>
      <c r="AJ1025" s="37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1:53" x14ac:dyDescent="0.25">
      <c r="A1026" s="18"/>
      <c r="C1026" s="55"/>
      <c r="D1026" s="55"/>
      <c r="E1026" s="38">
        <f>SUM(E983:E1025)</f>
        <v>627321</v>
      </c>
      <c r="F1026" s="38">
        <f>SUM(F983:F1007)</f>
        <v>-5304</v>
      </c>
      <c r="G1026" s="38">
        <f>SUM(G983:G1007)</f>
        <v>0</v>
      </c>
      <c r="H1026" s="38">
        <f>SUM(H983:H1025)</f>
        <v>622017</v>
      </c>
      <c r="I1026" s="4"/>
      <c r="J1026" s="39">
        <f>SUM(J983:J1025)</f>
        <v>58227</v>
      </c>
      <c r="K1026" s="39">
        <f>SUM(K983:K1007)</f>
        <v>-18651</v>
      </c>
      <c r="L1026" s="40">
        <f>SUM(L983:L1025)</f>
        <v>661593</v>
      </c>
      <c r="O1026" s="55"/>
      <c r="P1026" s="55"/>
      <c r="Q1026" s="38">
        <f>SUM(Q983:Q1025)</f>
        <v>254337</v>
      </c>
      <c r="R1026" s="38">
        <f>SUM(R983:R1007)</f>
        <v>-2148</v>
      </c>
      <c r="S1026" s="38">
        <f>SUM(S983:S1007)</f>
        <v>0</v>
      </c>
      <c r="T1026" s="38">
        <f>SUM(T983:T1025)</f>
        <v>252189</v>
      </c>
      <c r="U1026" s="4"/>
      <c r="V1026" s="39">
        <f>SUM(V983:V1025)</f>
        <v>1215</v>
      </c>
      <c r="W1026" s="39">
        <f>SUM(W983:W1007)</f>
        <v>-444</v>
      </c>
      <c r="X1026" s="40">
        <f>SUM(X983:X1025)</f>
        <v>252960</v>
      </c>
      <c r="AA1026" s="55"/>
      <c r="AB1026" s="55"/>
      <c r="AC1026" s="38">
        <f>SUM(AC983:AC1025)</f>
        <v>444825</v>
      </c>
      <c r="AD1026" s="38">
        <f>SUM(AD983:AD1007)</f>
        <v>-3096</v>
      </c>
      <c r="AE1026" s="38">
        <f>SUM(AE983:AE1007)</f>
        <v>0</v>
      </c>
      <c r="AF1026" s="38">
        <f>SUM(AF983:AF1025)</f>
        <v>441729</v>
      </c>
      <c r="AG1026" s="4"/>
      <c r="AH1026" s="39">
        <f>SUM(AH983:AH1025)</f>
        <v>3183</v>
      </c>
      <c r="AI1026" s="39">
        <f>SUM(AI983:AI1007)</f>
        <v>-666</v>
      </c>
      <c r="AJ1026" s="40">
        <f>SUM(AJ983:AJ1025)</f>
        <v>444246</v>
      </c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1:53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Z1027" s="18"/>
      <c r="AA1027" s="18"/>
      <c r="AB1027" s="18"/>
      <c r="AC1027" s="18"/>
      <c r="AD1027" s="18"/>
      <c r="AE1027" s="18"/>
      <c r="AF1027" s="18"/>
      <c r="AG1027" s="18"/>
      <c r="AH1027" s="18"/>
      <c r="AI1027" s="18"/>
      <c r="AJ1027" s="18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1:53" x14ac:dyDescent="0.25">
      <c r="A1028" s="18"/>
      <c r="B1028" t="s">
        <v>0</v>
      </c>
      <c r="C1028" s="55"/>
      <c r="D1028" s="55"/>
      <c r="E1028" s="55"/>
      <c r="F1028" s="55"/>
      <c r="H1028" s="55"/>
      <c r="N1028" t="s">
        <v>0</v>
      </c>
      <c r="O1028" s="55"/>
      <c r="P1028" s="55"/>
      <c r="Q1028" s="55"/>
      <c r="R1028" s="55"/>
      <c r="S1028" s="55"/>
      <c r="T1028" s="55"/>
      <c r="Z1028" t="s">
        <v>0</v>
      </c>
      <c r="AA1028" s="55"/>
      <c r="AB1028" s="55"/>
      <c r="AC1028" s="55"/>
      <c r="AD1028" s="55"/>
      <c r="AE1028" s="55"/>
      <c r="AF1028" s="55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1:53" x14ac:dyDescent="0.25">
      <c r="A1029" s="18"/>
      <c r="B1029" t="s">
        <v>28</v>
      </c>
      <c r="C1029" s="55"/>
      <c r="D1029" s="55"/>
      <c r="E1029" s="55"/>
      <c r="F1029" s="55"/>
      <c r="H1029" s="55"/>
      <c r="N1029" t="s">
        <v>28</v>
      </c>
      <c r="O1029" s="55"/>
      <c r="P1029" s="55"/>
      <c r="Q1029" s="55"/>
      <c r="R1029" s="55"/>
      <c r="S1029" s="55"/>
      <c r="T1029" s="55"/>
      <c r="Z1029" t="s">
        <v>28</v>
      </c>
      <c r="AA1029" s="55"/>
      <c r="AB1029" s="55"/>
      <c r="AC1029" s="55"/>
      <c r="AD1029" s="55"/>
      <c r="AE1029" s="55"/>
      <c r="AF1029" s="55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1:53" x14ac:dyDescent="0.25">
      <c r="A1030" s="18"/>
      <c r="C1030" s="55"/>
      <c r="D1030" s="55"/>
      <c r="E1030" s="55"/>
      <c r="F1030" s="55"/>
      <c r="H1030" s="55"/>
      <c r="O1030" s="55"/>
      <c r="P1030" s="55"/>
      <c r="Q1030" s="55"/>
      <c r="R1030" s="55"/>
      <c r="S1030" s="55"/>
      <c r="T1030" s="55"/>
      <c r="AA1030" s="55"/>
      <c r="AB1030" s="55"/>
      <c r="AC1030" s="55"/>
      <c r="AD1030" s="55"/>
      <c r="AE1030" s="55"/>
      <c r="AF1030" s="55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1:53" x14ac:dyDescent="0.25">
      <c r="A1031" s="18"/>
      <c r="B1031" s="4" t="s">
        <v>14</v>
      </c>
      <c r="C1031" s="55"/>
      <c r="D1031" s="55"/>
      <c r="E1031" s="55"/>
      <c r="F1031" s="55"/>
      <c r="H1031" s="55"/>
      <c r="N1031" s="4" t="s">
        <v>14</v>
      </c>
      <c r="O1031" s="55"/>
      <c r="P1031" s="55"/>
      <c r="Q1031" s="55"/>
      <c r="R1031" s="55"/>
      <c r="S1031" s="55"/>
      <c r="T1031" s="55"/>
      <c r="Z1031" s="4" t="s">
        <v>14</v>
      </c>
      <c r="AA1031" s="55"/>
      <c r="AB1031" s="55"/>
      <c r="AC1031" s="55"/>
      <c r="AD1031" s="55"/>
      <c r="AE1031" s="55"/>
      <c r="AF1031" s="55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1:53" x14ac:dyDescent="0.25">
      <c r="A1032" s="18"/>
      <c r="C1032" s="55"/>
      <c r="D1032" s="55"/>
      <c r="E1032" s="55"/>
      <c r="F1032" s="55"/>
      <c r="H1032" s="55"/>
      <c r="O1032" s="55"/>
      <c r="P1032" s="55"/>
      <c r="Q1032" s="55"/>
      <c r="R1032" s="55"/>
      <c r="S1032" s="55"/>
      <c r="T1032" s="55"/>
      <c r="AA1032" s="55"/>
      <c r="AB1032" s="55"/>
      <c r="AC1032" s="55"/>
      <c r="AD1032" s="55"/>
      <c r="AE1032" s="55"/>
      <c r="AF1032" s="55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1:53" ht="15.75" x14ac:dyDescent="0.25">
      <c r="A1033" s="18"/>
      <c r="B1033" t="s">
        <v>44</v>
      </c>
      <c r="C1033" s="55"/>
      <c r="D1033" s="55"/>
      <c r="E1033" s="55"/>
      <c r="F1033" s="55"/>
      <c r="H1033" s="55"/>
      <c r="J1033" s="55" t="s">
        <v>15</v>
      </c>
      <c r="K1033" s="19">
        <v>1</v>
      </c>
      <c r="N1033" t="s">
        <v>95</v>
      </c>
      <c r="O1033" s="55"/>
      <c r="P1033" s="55"/>
      <c r="Q1033" s="55"/>
      <c r="R1033" s="55"/>
      <c r="S1033" s="55"/>
      <c r="T1033" s="55"/>
      <c r="V1033" s="55" t="s">
        <v>15</v>
      </c>
      <c r="W1033" s="19">
        <v>2</v>
      </c>
      <c r="Z1033" t="s">
        <v>44</v>
      </c>
      <c r="AA1033" s="55"/>
      <c r="AB1033" s="55"/>
      <c r="AC1033" s="55"/>
      <c r="AD1033" s="55"/>
      <c r="AE1033" s="55"/>
      <c r="AF1033" s="55"/>
      <c r="AH1033" s="55" t="s">
        <v>15</v>
      </c>
      <c r="AI1033" s="20">
        <v>3</v>
      </c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1:53" x14ac:dyDescent="0.25">
      <c r="A1034" s="18"/>
      <c r="B1034" s="21" t="s">
        <v>93</v>
      </c>
      <c r="C1034" s="20"/>
      <c r="D1034" s="55"/>
      <c r="E1034" s="55"/>
      <c r="F1034" s="55"/>
      <c r="H1034" s="55"/>
      <c r="J1034" s="22" t="s">
        <v>16</v>
      </c>
      <c r="K1034" s="23" t="s">
        <v>35</v>
      </c>
      <c r="L1034" s="24"/>
      <c r="N1034" s="21" t="s">
        <v>93</v>
      </c>
      <c r="O1034" s="20"/>
      <c r="P1034" s="55"/>
      <c r="Q1034" s="55"/>
      <c r="R1034" s="55"/>
      <c r="S1034" s="55"/>
      <c r="T1034" s="55"/>
      <c r="V1034" s="22" t="s">
        <v>16</v>
      </c>
      <c r="W1034" s="23" t="s">
        <v>82</v>
      </c>
      <c r="X1034" s="24"/>
      <c r="Z1034" s="21" t="s">
        <v>93</v>
      </c>
      <c r="AA1034" s="20"/>
      <c r="AB1034" s="55"/>
      <c r="AC1034" s="55"/>
      <c r="AD1034" s="55"/>
      <c r="AE1034" s="55"/>
      <c r="AF1034" s="55"/>
      <c r="AH1034" s="22" t="s">
        <v>16</v>
      </c>
      <c r="AI1034" s="23" t="s">
        <v>41</v>
      </c>
      <c r="AJ1034" s="24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1:53" x14ac:dyDescent="0.25">
      <c r="A1035" s="18"/>
      <c r="C1035" s="55"/>
      <c r="D1035" s="55"/>
      <c r="E1035" s="55"/>
      <c r="F1035" s="55"/>
      <c r="H1035" s="55"/>
      <c r="O1035" s="55"/>
      <c r="P1035" s="55"/>
      <c r="Q1035" s="55"/>
      <c r="R1035" s="55"/>
      <c r="S1035" s="55"/>
      <c r="T1035" s="55"/>
      <c r="AA1035" s="55"/>
      <c r="AB1035" s="55"/>
      <c r="AC1035" s="55"/>
      <c r="AD1035" s="55"/>
      <c r="AE1035" s="55"/>
      <c r="AF1035" s="55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1:53" x14ac:dyDescent="0.25">
      <c r="A1036" s="18"/>
      <c r="C1036" s="25"/>
      <c r="D1036" s="26"/>
      <c r="E1036" s="118" t="s">
        <v>17</v>
      </c>
      <c r="F1036" s="118"/>
      <c r="G1036" s="111"/>
      <c r="H1036" s="27"/>
      <c r="J1036" s="119" t="s">
        <v>18</v>
      </c>
      <c r="K1036" s="120"/>
      <c r="L1036" s="121" t="s">
        <v>19</v>
      </c>
      <c r="O1036" s="25"/>
      <c r="P1036" s="26"/>
      <c r="Q1036" s="118" t="s">
        <v>17</v>
      </c>
      <c r="R1036" s="118"/>
      <c r="S1036" s="112"/>
      <c r="T1036" s="27"/>
      <c r="V1036" s="119" t="s">
        <v>18</v>
      </c>
      <c r="W1036" s="120"/>
      <c r="X1036" s="121" t="s">
        <v>19</v>
      </c>
      <c r="AA1036" s="25"/>
      <c r="AB1036" s="26"/>
      <c r="AC1036" s="118" t="s">
        <v>17</v>
      </c>
      <c r="AD1036" s="118"/>
      <c r="AE1036" s="112"/>
      <c r="AF1036" s="27"/>
      <c r="AH1036" s="119" t="s">
        <v>18</v>
      </c>
      <c r="AI1036" s="120"/>
      <c r="AJ1036" s="121" t="s">
        <v>19</v>
      </c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1:53" ht="30" x14ac:dyDescent="0.25">
      <c r="A1037" s="18"/>
      <c r="C1037" s="28" t="s">
        <v>20</v>
      </c>
      <c r="D1037" s="28" t="s">
        <v>21</v>
      </c>
      <c r="E1037" s="74" t="s">
        <v>22</v>
      </c>
      <c r="F1037" s="75" t="s">
        <v>23</v>
      </c>
      <c r="G1037" s="75" t="s">
        <v>31</v>
      </c>
      <c r="H1037" s="75" t="s">
        <v>24</v>
      </c>
      <c r="J1037" s="29" t="s">
        <v>25</v>
      </c>
      <c r="K1037" s="29" t="s">
        <v>26</v>
      </c>
      <c r="L1037" s="122"/>
      <c r="O1037" s="28" t="s">
        <v>20</v>
      </c>
      <c r="P1037" s="28" t="s">
        <v>21</v>
      </c>
      <c r="Q1037" s="74" t="s">
        <v>22</v>
      </c>
      <c r="R1037" s="75" t="s">
        <v>23</v>
      </c>
      <c r="S1037" s="75" t="s">
        <v>31</v>
      </c>
      <c r="T1037" s="75" t="s">
        <v>24</v>
      </c>
      <c r="V1037" s="29" t="s">
        <v>25</v>
      </c>
      <c r="W1037" s="29" t="s">
        <v>26</v>
      </c>
      <c r="X1037" s="122"/>
      <c r="AA1037" s="28" t="s">
        <v>20</v>
      </c>
      <c r="AB1037" s="28" t="s">
        <v>21</v>
      </c>
      <c r="AC1037" s="74" t="s">
        <v>22</v>
      </c>
      <c r="AD1037" s="75" t="s">
        <v>23</v>
      </c>
      <c r="AE1037" s="75" t="s">
        <v>31</v>
      </c>
      <c r="AF1037" s="75" t="s">
        <v>24</v>
      </c>
      <c r="AH1037" s="29" t="s">
        <v>25</v>
      </c>
      <c r="AI1037" s="29" t="s">
        <v>26</v>
      </c>
      <c r="AJ1037" s="122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1:53" x14ac:dyDescent="0.25">
      <c r="A1038" s="18"/>
      <c r="B1038" s="10">
        <v>1</v>
      </c>
      <c r="C1038" s="30" t="s">
        <v>94</v>
      </c>
      <c r="D1038" s="80">
        <v>12054</v>
      </c>
      <c r="E1038" s="32">
        <f>650*40+622*10+229</f>
        <v>32449</v>
      </c>
      <c r="F1038" s="32"/>
      <c r="G1038" s="32"/>
      <c r="H1038" s="32">
        <f>SUM(E1038:F1038)</f>
        <v>32449</v>
      </c>
      <c r="I1038" s="12"/>
      <c r="J1038" s="12"/>
      <c r="K1038" s="12"/>
      <c r="L1038" s="12">
        <f>SUM(H1038:K1038)</f>
        <v>32449</v>
      </c>
      <c r="N1038" s="10">
        <v>1</v>
      </c>
      <c r="O1038" s="30" t="s">
        <v>94</v>
      </c>
      <c r="P1038" s="80">
        <v>11980</v>
      </c>
      <c r="Q1038" s="32">
        <f>650*109+622*28+229*3</f>
        <v>88953</v>
      </c>
      <c r="R1038" s="32">
        <f>-137*6</f>
        <v>-822</v>
      </c>
      <c r="S1038" s="32"/>
      <c r="T1038" s="32">
        <f>SUM(Q1038:R1038)</f>
        <v>88131</v>
      </c>
      <c r="U1038" s="12"/>
      <c r="V1038" s="12">
        <f>1.5*72</f>
        <v>108</v>
      </c>
      <c r="W1038" s="12"/>
      <c r="X1038" s="12">
        <f>SUM(T1038:W1038)</f>
        <v>88239</v>
      </c>
      <c r="Z1038" s="10">
        <v>1</v>
      </c>
      <c r="AA1038" s="30" t="s">
        <v>94</v>
      </c>
      <c r="AB1038" s="31">
        <v>12014</v>
      </c>
      <c r="AC1038" s="32">
        <f>650*108+229*4</f>
        <v>71116</v>
      </c>
      <c r="AD1038" s="32">
        <f>-108*6</f>
        <v>-648</v>
      </c>
      <c r="AE1038" s="32"/>
      <c r="AF1038" s="32">
        <f>SUM(AC1038:AD1038)</f>
        <v>70468</v>
      </c>
      <c r="AG1038" s="12"/>
      <c r="AH1038" s="12">
        <f>78*2</f>
        <v>156</v>
      </c>
      <c r="AI1038" s="12"/>
      <c r="AJ1038" s="12">
        <f>SUM(AF1038:AI1038)</f>
        <v>70624</v>
      </c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1:53" x14ac:dyDescent="0.25">
      <c r="A1039" s="18"/>
      <c r="B1039" s="10">
        <v>2</v>
      </c>
      <c r="C1039" s="30" t="s">
        <v>94</v>
      </c>
      <c r="D1039" s="80">
        <f>D1038+1</f>
        <v>12055</v>
      </c>
      <c r="E1039" s="32">
        <f>650*862+229*29</f>
        <v>566941</v>
      </c>
      <c r="F1039" s="32">
        <f>-862*6</f>
        <v>-5172</v>
      </c>
      <c r="G1039" s="32"/>
      <c r="H1039" s="32">
        <f t="shared" ref="H1039:H1076" si="218">SUM(E1039:F1039)</f>
        <v>561769</v>
      </c>
      <c r="I1039" s="12"/>
      <c r="J1039" s="12">
        <f>111*125</f>
        <v>13875</v>
      </c>
      <c r="K1039" s="12"/>
      <c r="L1039" s="12">
        <f t="shared" ref="L1039:L1079" si="219">SUM(H1039:K1039)</f>
        <v>575644</v>
      </c>
      <c r="N1039" s="10">
        <v>2</v>
      </c>
      <c r="O1039" s="30" t="s">
        <v>94</v>
      </c>
      <c r="P1039" s="80">
        <f>P1038+1</f>
        <v>11981</v>
      </c>
      <c r="Q1039" s="32">
        <f>650*432+622*108+229*22+650*2</f>
        <v>354314</v>
      </c>
      <c r="R1039" s="32">
        <f>-542*6</f>
        <v>-3252</v>
      </c>
      <c r="S1039" s="32"/>
      <c r="T1039" s="32">
        <f t="shared" ref="T1039:T1076" si="220">SUM(Q1039:R1039)</f>
        <v>351062</v>
      </c>
      <c r="U1039" s="12"/>
      <c r="V1039" s="12">
        <f>78*8</f>
        <v>624</v>
      </c>
      <c r="W1039" s="12">
        <f>-42*5</f>
        <v>-210</v>
      </c>
      <c r="X1039" s="12">
        <f t="shared" ref="X1039:X1079" si="221">SUM(T1039:W1039)</f>
        <v>351476</v>
      </c>
      <c r="Z1039" s="10">
        <v>2</v>
      </c>
      <c r="AA1039" s="30" t="s">
        <v>94</v>
      </c>
      <c r="AB1039" s="31">
        <f>AB1038+1</f>
        <v>12015</v>
      </c>
      <c r="AC1039" s="32">
        <f>650*90+622*10+872*3+229*2</f>
        <v>67794</v>
      </c>
      <c r="AD1039" s="32"/>
      <c r="AE1039" s="32"/>
      <c r="AF1039" s="32">
        <f t="shared" ref="AF1039:AF1076" si="222">SUM(AC1039:AD1039)</f>
        <v>67794</v>
      </c>
      <c r="AG1039" s="12"/>
      <c r="AH1039" s="12">
        <f>4.5*18</f>
        <v>81</v>
      </c>
      <c r="AI1039" s="12"/>
      <c r="AJ1039" s="12">
        <f t="shared" ref="AJ1039:AJ1079" si="223">SUM(AF1039:AI1039)</f>
        <v>67875</v>
      </c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1:53" x14ac:dyDescent="0.25">
      <c r="A1040" s="18"/>
      <c r="B1040" s="10">
        <v>3</v>
      </c>
      <c r="C1040" s="30" t="s">
        <v>94</v>
      </c>
      <c r="D1040" s="80">
        <f t="shared" ref="D1040:D1042" si="224">D1039+1</f>
        <v>12056</v>
      </c>
      <c r="E1040" s="33">
        <f>650*18+622*3</f>
        <v>13566</v>
      </c>
      <c r="F1040" s="33"/>
      <c r="G1040" s="32"/>
      <c r="H1040" s="32">
        <f t="shared" si="218"/>
        <v>13566</v>
      </c>
      <c r="I1040" s="12"/>
      <c r="J1040" s="34"/>
      <c r="K1040" s="34">
        <f>-111*14</f>
        <v>-1554</v>
      </c>
      <c r="L1040" s="12">
        <f t="shared" si="219"/>
        <v>12012</v>
      </c>
      <c r="N1040" s="10">
        <v>3</v>
      </c>
      <c r="O1040" s="30" t="s">
        <v>94</v>
      </c>
      <c r="P1040" s="80">
        <f t="shared" ref="P1040:P1043" si="225">P1039+1</f>
        <v>11982</v>
      </c>
      <c r="Q1040" s="33">
        <f>650</f>
        <v>650</v>
      </c>
      <c r="R1040" s="33"/>
      <c r="S1040" s="32"/>
      <c r="T1040" s="32">
        <f t="shared" si="220"/>
        <v>650</v>
      </c>
      <c r="U1040" s="12"/>
      <c r="V1040" s="34"/>
      <c r="W1040" s="34">
        <f>-111*4</f>
        <v>-444</v>
      </c>
      <c r="X1040" s="12">
        <f t="shared" si="221"/>
        <v>206</v>
      </c>
      <c r="Z1040" s="10">
        <v>3</v>
      </c>
      <c r="AA1040" s="30" t="s">
        <v>94</v>
      </c>
      <c r="AB1040" s="31">
        <f t="shared" ref="AB1040:AB1046" si="226">AB1039+1</f>
        <v>12016</v>
      </c>
      <c r="AC1040" s="33">
        <f>650*45+670*4+622*8+229</f>
        <v>37135</v>
      </c>
      <c r="AD1040" s="33"/>
      <c r="AE1040" s="32"/>
      <c r="AF1040" s="32">
        <f t="shared" si="222"/>
        <v>37135</v>
      </c>
      <c r="AG1040" s="12"/>
      <c r="AH1040" s="12"/>
      <c r="AI1040" s="12"/>
      <c r="AJ1040" s="12">
        <f t="shared" si="223"/>
        <v>37135</v>
      </c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1:53" x14ac:dyDescent="0.25">
      <c r="A1041" s="18"/>
      <c r="B1041" s="10">
        <v>4</v>
      </c>
      <c r="C1041" s="30" t="s">
        <v>94</v>
      </c>
      <c r="D1041" s="80">
        <f t="shared" si="224"/>
        <v>12057</v>
      </c>
      <c r="E1041" s="32">
        <f>650*55+622*5</f>
        <v>38860</v>
      </c>
      <c r="F1041" s="32"/>
      <c r="G1041" s="32"/>
      <c r="H1041" s="32">
        <f t="shared" si="218"/>
        <v>38860</v>
      </c>
      <c r="I1041" s="12"/>
      <c r="J1041" s="12"/>
      <c r="K1041" s="12"/>
      <c r="L1041" s="12">
        <f t="shared" si="219"/>
        <v>38860</v>
      </c>
      <c r="N1041" s="10">
        <v>4</v>
      </c>
      <c r="O1041" s="30"/>
      <c r="P1041" s="11" t="s">
        <v>27</v>
      </c>
      <c r="Q1041" s="32"/>
      <c r="R1041" s="32"/>
      <c r="S1041" s="32"/>
      <c r="T1041" s="32">
        <f t="shared" si="220"/>
        <v>0</v>
      </c>
      <c r="U1041" s="12"/>
      <c r="V1041" s="12"/>
      <c r="W1041" s="12"/>
      <c r="X1041" s="12">
        <f t="shared" si="221"/>
        <v>0</v>
      </c>
      <c r="Z1041" s="10">
        <v>4</v>
      </c>
      <c r="AA1041" s="30" t="s">
        <v>94</v>
      </c>
      <c r="AB1041" s="31">
        <f t="shared" si="226"/>
        <v>12017</v>
      </c>
      <c r="AC1041" s="32">
        <f>650*20+622*2</f>
        <v>14244</v>
      </c>
      <c r="AD1041" s="32"/>
      <c r="AE1041" s="32"/>
      <c r="AF1041" s="32">
        <f t="shared" si="222"/>
        <v>14244</v>
      </c>
      <c r="AG1041" s="12"/>
      <c r="AH1041">
        <f>4.5*24</f>
        <v>108</v>
      </c>
      <c r="AI1041" s="12"/>
      <c r="AJ1041" s="12">
        <f t="shared" si="223"/>
        <v>14352</v>
      </c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1:53" x14ac:dyDescent="0.25">
      <c r="A1042" s="18"/>
      <c r="B1042" s="10">
        <v>5</v>
      </c>
      <c r="C1042" s="30" t="s">
        <v>94</v>
      </c>
      <c r="D1042" s="80">
        <f t="shared" si="224"/>
        <v>12058</v>
      </c>
      <c r="E1042" s="32">
        <f>650*20+622*5</f>
        <v>16110</v>
      </c>
      <c r="F1042" s="32"/>
      <c r="G1042" s="32"/>
      <c r="H1042" s="32">
        <f t="shared" si="218"/>
        <v>16110</v>
      </c>
      <c r="I1042" s="12"/>
      <c r="J1042" s="12"/>
      <c r="K1042" s="12"/>
      <c r="L1042" s="12">
        <f t="shared" si="219"/>
        <v>16110</v>
      </c>
      <c r="N1042" s="10">
        <v>5</v>
      </c>
      <c r="O1042" s="30"/>
      <c r="P1042" s="80"/>
      <c r="Q1042" s="32"/>
      <c r="R1042" s="32"/>
      <c r="S1042" s="32"/>
      <c r="T1042" s="32">
        <f t="shared" si="220"/>
        <v>0</v>
      </c>
      <c r="U1042" s="12"/>
      <c r="V1042" s="12"/>
      <c r="W1042" s="12"/>
      <c r="X1042" s="12">
        <f t="shared" si="221"/>
        <v>0</v>
      </c>
      <c r="Z1042" s="10">
        <v>5</v>
      </c>
      <c r="AA1042" s="30" t="s">
        <v>94</v>
      </c>
      <c r="AB1042" s="31">
        <f t="shared" si="226"/>
        <v>12018</v>
      </c>
      <c r="AC1042" s="32">
        <f>650*266+912*8+1050*16+872*15+229*10+500*2</f>
        <v>213366</v>
      </c>
      <c r="AD1042" s="32">
        <f>-305*6</f>
        <v>-1830</v>
      </c>
      <c r="AE1042" s="32"/>
      <c r="AF1042" s="32">
        <f t="shared" si="222"/>
        <v>211536</v>
      </c>
      <c r="AG1042" s="12"/>
      <c r="AH1042" s="12">
        <f>1.5*72</f>
        <v>108</v>
      </c>
      <c r="AI1042" s="12"/>
      <c r="AJ1042" s="12">
        <f t="shared" si="223"/>
        <v>211644</v>
      </c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1:53" x14ac:dyDescent="0.25">
      <c r="A1043" s="18"/>
      <c r="B1043" s="10">
        <v>6</v>
      </c>
      <c r="C1043" s="30"/>
      <c r="D1043" s="11" t="s">
        <v>27</v>
      </c>
      <c r="E1043" s="32"/>
      <c r="F1043" s="32"/>
      <c r="G1043" s="32"/>
      <c r="H1043" s="32">
        <f t="shared" si="218"/>
        <v>0</v>
      </c>
      <c r="I1043" s="12"/>
      <c r="J1043" s="12"/>
      <c r="K1043" s="10"/>
      <c r="L1043" s="12">
        <f t="shared" si="219"/>
        <v>0</v>
      </c>
      <c r="N1043" s="10">
        <v>6</v>
      </c>
      <c r="O1043" s="30"/>
      <c r="P1043" s="80"/>
      <c r="Q1043" s="32"/>
      <c r="R1043" s="32"/>
      <c r="S1043" s="32"/>
      <c r="T1043" s="32">
        <f t="shared" si="220"/>
        <v>0</v>
      </c>
      <c r="U1043" s="12"/>
      <c r="V1043" s="12"/>
      <c r="W1043" s="10"/>
      <c r="X1043" s="12">
        <f t="shared" si="221"/>
        <v>0</v>
      </c>
      <c r="Z1043" s="10">
        <v>6</v>
      </c>
      <c r="AA1043" s="30" t="s">
        <v>94</v>
      </c>
      <c r="AB1043" s="31">
        <f t="shared" si="226"/>
        <v>12019</v>
      </c>
      <c r="AC1043" s="32">
        <f>650*108+229*4</f>
        <v>71116</v>
      </c>
      <c r="AD1043" s="32">
        <f>-108*6</f>
        <v>-648</v>
      </c>
      <c r="AE1043" s="32"/>
      <c r="AF1043" s="32">
        <f t="shared" si="222"/>
        <v>70468</v>
      </c>
      <c r="AG1043" s="12"/>
      <c r="AH1043" s="12"/>
      <c r="AI1043" s="10"/>
      <c r="AJ1043" s="12">
        <f t="shared" si="223"/>
        <v>70468</v>
      </c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1:53" x14ac:dyDescent="0.25">
      <c r="A1044" s="18"/>
      <c r="B1044" s="10">
        <v>7</v>
      </c>
      <c r="C1044" s="30"/>
      <c r="D1044" s="55"/>
      <c r="E1044" s="32"/>
      <c r="F1044" s="32"/>
      <c r="G1044" s="32"/>
      <c r="H1044" s="32">
        <f t="shared" si="218"/>
        <v>0</v>
      </c>
      <c r="I1044" s="12"/>
      <c r="J1044" s="12"/>
      <c r="K1044" s="12"/>
      <c r="L1044" s="12">
        <f t="shared" si="219"/>
        <v>0</v>
      </c>
      <c r="N1044" s="10">
        <v>7</v>
      </c>
      <c r="O1044" s="30"/>
      <c r="Q1044" s="32"/>
      <c r="R1044" s="32"/>
      <c r="S1044" s="32"/>
      <c r="T1044" s="32">
        <f t="shared" si="220"/>
        <v>0</v>
      </c>
      <c r="U1044" s="12"/>
      <c r="V1044" s="12"/>
      <c r="W1044" s="12"/>
      <c r="X1044" s="12">
        <f t="shared" si="221"/>
        <v>0</v>
      </c>
      <c r="Z1044" s="10">
        <v>7</v>
      </c>
      <c r="AA1044" s="30" t="s">
        <v>94</v>
      </c>
      <c r="AB1044" s="31">
        <f t="shared" si="226"/>
        <v>12020</v>
      </c>
      <c r="AC1044" s="32">
        <f>650*108+670*2+622*16+229*4</f>
        <v>82408</v>
      </c>
      <c r="AD1044" s="32">
        <f>-126*6</f>
        <v>-756</v>
      </c>
      <c r="AE1044" s="32"/>
      <c r="AF1044" s="32">
        <f t="shared" si="222"/>
        <v>81652</v>
      </c>
      <c r="AG1044" s="12"/>
      <c r="AH1044" s="56"/>
      <c r="AI1044" s="12"/>
      <c r="AJ1044" s="12">
        <f t="shared" si="223"/>
        <v>81652</v>
      </c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1:53" x14ac:dyDescent="0.25">
      <c r="A1045" s="18"/>
      <c r="B1045" s="10">
        <v>8</v>
      </c>
      <c r="C1045" s="30"/>
      <c r="D1045" s="55"/>
      <c r="E1045" s="32"/>
      <c r="F1045" s="32"/>
      <c r="G1045" s="32"/>
      <c r="H1045" s="32">
        <f t="shared" si="218"/>
        <v>0</v>
      </c>
      <c r="I1045" s="12"/>
      <c r="J1045" s="12"/>
      <c r="K1045" s="12"/>
      <c r="L1045" s="12">
        <f t="shared" si="219"/>
        <v>0</v>
      </c>
      <c r="N1045" s="10">
        <v>8</v>
      </c>
      <c r="O1045" s="30"/>
      <c r="P1045" s="80"/>
      <c r="Q1045" s="32"/>
      <c r="R1045" s="32"/>
      <c r="S1045" s="32"/>
      <c r="T1045" s="32">
        <f t="shared" si="220"/>
        <v>0</v>
      </c>
      <c r="U1045" s="12"/>
      <c r="V1045" s="12"/>
      <c r="W1045" s="12"/>
      <c r="X1045" s="12">
        <f t="shared" si="221"/>
        <v>0</v>
      </c>
      <c r="Z1045" s="10">
        <v>8</v>
      </c>
      <c r="AA1045" s="30" t="s">
        <v>94</v>
      </c>
      <c r="AB1045" s="31">
        <f t="shared" si="226"/>
        <v>12021</v>
      </c>
      <c r="AC1045" s="32">
        <f>650*10</f>
        <v>6500</v>
      </c>
      <c r="AD1045" s="32"/>
      <c r="AF1045" s="32">
        <f t="shared" si="222"/>
        <v>6500</v>
      </c>
      <c r="AG1045" s="12"/>
      <c r="AH1045" s="12"/>
      <c r="AI1045" s="12">
        <f>-111*10</f>
        <v>-1110</v>
      </c>
      <c r="AJ1045" s="12">
        <f t="shared" si="223"/>
        <v>5390</v>
      </c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1:53" x14ac:dyDescent="0.25">
      <c r="A1046" s="18"/>
      <c r="B1046" s="10">
        <v>9</v>
      </c>
      <c r="C1046" s="30"/>
      <c r="D1046" s="80"/>
      <c r="E1046" s="32"/>
      <c r="F1046" s="32"/>
      <c r="G1046" s="32"/>
      <c r="H1046" s="32">
        <f t="shared" si="218"/>
        <v>0</v>
      </c>
      <c r="I1046" s="12"/>
      <c r="J1046" s="12"/>
      <c r="K1046" s="12"/>
      <c r="L1046" s="12">
        <f t="shared" si="219"/>
        <v>0</v>
      </c>
      <c r="N1046" s="10">
        <v>9</v>
      </c>
      <c r="O1046" s="30"/>
      <c r="Q1046" s="32"/>
      <c r="R1046" s="32"/>
      <c r="S1046" s="32"/>
      <c r="T1046" s="32">
        <f t="shared" si="220"/>
        <v>0</v>
      </c>
      <c r="U1046" s="12"/>
      <c r="V1046" s="12"/>
      <c r="W1046" s="12"/>
      <c r="X1046" s="12">
        <f t="shared" si="221"/>
        <v>0</v>
      </c>
      <c r="Z1046" s="10">
        <v>9</v>
      </c>
      <c r="AA1046" s="30" t="s">
        <v>94</v>
      </c>
      <c r="AB1046" s="31">
        <f t="shared" si="226"/>
        <v>12022</v>
      </c>
      <c r="AC1046" s="32"/>
      <c r="AD1046" s="32"/>
      <c r="AE1046" s="32"/>
      <c r="AF1046" s="32">
        <f t="shared" si="222"/>
        <v>0</v>
      </c>
      <c r="AG1046" s="12"/>
      <c r="AI1046" s="12"/>
      <c r="AJ1046" s="12">
        <f t="shared" si="223"/>
        <v>0</v>
      </c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1:53" x14ac:dyDescent="0.25">
      <c r="A1047" s="18"/>
      <c r="B1047" s="10">
        <v>10</v>
      </c>
      <c r="C1047" s="30"/>
      <c r="D1047" s="80"/>
      <c r="E1047" s="32"/>
      <c r="F1047" s="32"/>
      <c r="G1047" s="32"/>
      <c r="H1047" s="32">
        <f t="shared" si="218"/>
        <v>0</v>
      </c>
      <c r="I1047" s="12"/>
      <c r="J1047" s="12"/>
      <c r="K1047" s="12"/>
      <c r="L1047" s="12">
        <f t="shared" si="219"/>
        <v>0</v>
      </c>
      <c r="N1047" s="10">
        <v>10</v>
      </c>
      <c r="O1047" s="30"/>
      <c r="P1047" s="80"/>
      <c r="Q1047" s="32"/>
      <c r="R1047" s="32"/>
      <c r="S1047" s="32"/>
      <c r="T1047" s="32">
        <f t="shared" si="220"/>
        <v>0</v>
      </c>
      <c r="U1047" s="12"/>
      <c r="V1047" s="12"/>
      <c r="W1047" s="12"/>
      <c r="X1047" s="12">
        <f t="shared" si="221"/>
        <v>0</v>
      </c>
      <c r="Z1047" s="10">
        <v>10</v>
      </c>
      <c r="AA1047" s="30"/>
      <c r="AB1047" s="11" t="s">
        <v>27</v>
      </c>
      <c r="AC1047" s="32"/>
      <c r="AD1047" s="32"/>
      <c r="AE1047" s="32"/>
      <c r="AF1047" s="32">
        <f t="shared" si="222"/>
        <v>0</v>
      </c>
      <c r="AG1047" s="12"/>
      <c r="AH1047" s="12"/>
      <c r="AI1047" s="12"/>
      <c r="AJ1047" s="12">
        <f t="shared" si="223"/>
        <v>0</v>
      </c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1:53" x14ac:dyDescent="0.25">
      <c r="A1048" s="18"/>
      <c r="B1048" s="10">
        <v>11</v>
      </c>
      <c r="C1048" s="30"/>
      <c r="D1048" s="80"/>
      <c r="E1048" s="32"/>
      <c r="F1048" s="32"/>
      <c r="G1048" s="32"/>
      <c r="H1048" s="32">
        <f t="shared" si="218"/>
        <v>0</v>
      </c>
      <c r="I1048" s="12"/>
      <c r="J1048" s="12"/>
      <c r="K1048" s="12"/>
      <c r="L1048" s="12">
        <f t="shared" si="219"/>
        <v>0</v>
      </c>
      <c r="N1048" s="10">
        <v>11</v>
      </c>
      <c r="O1048" s="30"/>
      <c r="P1048" s="80"/>
      <c r="Q1048" s="32"/>
      <c r="R1048" s="32"/>
      <c r="S1048" s="32"/>
      <c r="T1048" s="32">
        <f t="shared" si="220"/>
        <v>0</v>
      </c>
      <c r="U1048" s="12"/>
      <c r="V1048" s="12"/>
      <c r="W1048" s="12"/>
      <c r="X1048" s="12">
        <f t="shared" si="221"/>
        <v>0</v>
      </c>
      <c r="Z1048" s="10">
        <v>11</v>
      </c>
      <c r="AA1048" s="30"/>
      <c r="AB1048" s="31"/>
      <c r="AC1048" s="32"/>
      <c r="AD1048" s="32"/>
      <c r="AE1048" s="32"/>
      <c r="AF1048" s="32">
        <f t="shared" si="222"/>
        <v>0</v>
      </c>
      <c r="AG1048" s="12"/>
      <c r="AH1048" s="12"/>
      <c r="AI1048" s="12"/>
      <c r="AJ1048" s="12">
        <f t="shared" si="223"/>
        <v>0</v>
      </c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1:53" x14ac:dyDescent="0.25">
      <c r="A1049" s="18"/>
      <c r="B1049" s="10">
        <v>12</v>
      </c>
      <c r="C1049" s="30"/>
      <c r="D1049" s="55"/>
      <c r="E1049" s="32"/>
      <c r="F1049" s="32"/>
      <c r="G1049" s="32"/>
      <c r="H1049" s="32">
        <f t="shared" si="218"/>
        <v>0</v>
      </c>
      <c r="I1049" s="12"/>
      <c r="J1049" s="12"/>
      <c r="K1049" s="12"/>
      <c r="L1049" s="12">
        <f t="shared" si="219"/>
        <v>0</v>
      </c>
      <c r="N1049" s="10">
        <v>12</v>
      </c>
      <c r="O1049" s="30"/>
      <c r="P1049" s="80"/>
      <c r="Q1049" s="32"/>
      <c r="R1049" s="32"/>
      <c r="S1049" s="32"/>
      <c r="T1049" s="32">
        <f t="shared" si="220"/>
        <v>0</v>
      </c>
      <c r="U1049" s="12"/>
      <c r="V1049" s="12"/>
      <c r="W1049" s="12"/>
      <c r="X1049" s="12">
        <f t="shared" si="221"/>
        <v>0</v>
      </c>
      <c r="Z1049" s="10">
        <v>12</v>
      </c>
      <c r="AA1049" s="30"/>
      <c r="AB1049" s="31"/>
      <c r="AC1049" s="32"/>
      <c r="AD1049" s="32"/>
      <c r="AE1049" s="32"/>
      <c r="AF1049" s="32">
        <f t="shared" si="222"/>
        <v>0</v>
      </c>
      <c r="AG1049" s="12"/>
      <c r="AH1049" s="12"/>
      <c r="AI1049" s="12"/>
      <c r="AJ1049" s="12">
        <f t="shared" si="223"/>
        <v>0</v>
      </c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1:53" x14ac:dyDescent="0.25">
      <c r="A1050" s="18"/>
      <c r="B1050" s="10">
        <v>13</v>
      </c>
      <c r="C1050" s="30"/>
      <c r="D1050" s="80"/>
      <c r="E1050" s="32"/>
      <c r="F1050" s="32"/>
      <c r="G1050" s="32"/>
      <c r="H1050" s="32">
        <f t="shared" si="218"/>
        <v>0</v>
      </c>
      <c r="I1050" s="12"/>
      <c r="J1050" s="12"/>
      <c r="K1050" s="12"/>
      <c r="L1050" s="12">
        <f t="shared" si="219"/>
        <v>0</v>
      </c>
      <c r="N1050" s="10">
        <v>13</v>
      </c>
      <c r="O1050" s="30"/>
      <c r="P1050" s="80"/>
      <c r="Q1050" s="32"/>
      <c r="R1050" s="32"/>
      <c r="S1050" s="32"/>
      <c r="T1050" s="32">
        <f t="shared" si="220"/>
        <v>0</v>
      </c>
      <c r="U1050" s="12"/>
      <c r="V1050" s="12"/>
      <c r="W1050" s="12"/>
      <c r="X1050" s="12">
        <f t="shared" si="221"/>
        <v>0</v>
      </c>
      <c r="Z1050" s="10">
        <v>13</v>
      </c>
      <c r="AA1050" s="30"/>
      <c r="AB1050" s="31"/>
      <c r="AC1050" s="32"/>
      <c r="AD1050" s="32"/>
      <c r="AE1050" s="32"/>
      <c r="AF1050" s="32">
        <f t="shared" si="222"/>
        <v>0</v>
      </c>
      <c r="AG1050" s="12"/>
      <c r="AH1050" s="12"/>
      <c r="AI1050" s="12"/>
      <c r="AJ1050" s="12">
        <f t="shared" si="223"/>
        <v>0</v>
      </c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1:53" x14ac:dyDescent="0.25">
      <c r="A1051" s="18"/>
      <c r="B1051" s="10">
        <v>14</v>
      </c>
      <c r="C1051" s="30"/>
      <c r="D1051" s="80"/>
      <c r="E1051" s="32"/>
      <c r="F1051" s="32"/>
      <c r="G1051" s="32"/>
      <c r="H1051" s="32">
        <f t="shared" si="218"/>
        <v>0</v>
      </c>
      <c r="I1051" s="12"/>
      <c r="J1051" s="12"/>
      <c r="K1051" s="12"/>
      <c r="L1051" s="12">
        <f t="shared" si="219"/>
        <v>0</v>
      </c>
      <c r="N1051" s="10">
        <v>14</v>
      </c>
      <c r="O1051" s="30"/>
      <c r="P1051" s="80"/>
      <c r="Q1051" s="32"/>
      <c r="R1051" s="32"/>
      <c r="S1051" s="32"/>
      <c r="T1051" s="32">
        <f t="shared" si="220"/>
        <v>0</v>
      </c>
      <c r="U1051" s="12"/>
      <c r="V1051" s="12"/>
      <c r="W1051" s="12"/>
      <c r="X1051" s="12">
        <f t="shared" si="221"/>
        <v>0</v>
      </c>
      <c r="Z1051" s="10">
        <v>14</v>
      </c>
      <c r="AA1051" s="30"/>
      <c r="AB1051" s="31"/>
      <c r="AC1051" s="32"/>
      <c r="AD1051" s="32"/>
      <c r="AE1051" s="32"/>
      <c r="AF1051" s="32">
        <f t="shared" si="222"/>
        <v>0</v>
      </c>
      <c r="AG1051" s="12"/>
      <c r="AH1051" s="12"/>
      <c r="AI1051" s="12"/>
      <c r="AJ1051" s="12">
        <f t="shared" si="223"/>
        <v>0</v>
      </c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1:53" x14ac:dyDescent="0.25">
      <c r="A1052" s="18"/>
      <c r="B1052" s="10">
        <v>15</v>
      </c>
      <c r="C1052" s="30"/>
      <c r="D1052" s="80"/>
      <c r="E1052" s="32"/>
      <c r="F1052" s="32"/>
      <c r="G1052" s="32"/>
      <c r="H1052" s="32">
        <f t="shared" si="218"/>
        <v>0</v>
      </c>
      <c r="I1052" s="12"/>
      <c r="J1052" s="12"/>
      <c r="K1052" s="12"/>
      <c r="L1052" s="12">
        <f t="shared" si="219"/>
        <v>0</v>
      </c>
      <c r="N1052" s="10">
        <v>15</v>
      </c>
      <c r="O1052" s="30"/>
      <c r="Q1052" s="32"/>
      <c r="R1052" s="32"/>
      <c r="S1052" s="32"/>
      <c r="T1052" s="32">
        <f t="shared" si="220"/>
        <v>0</v>
      </c>
      <c r="U1052" s="12"/>
      <c r="V1052" s="12"/>
      <c r="W1052" s="12"/>
      <c r="X1052" s="12">
        <f t="shared" si="221"/>
        <v>0</v>
      </c>
      <c r="Z1052" s="10">
        <v>15</v>
      </c>
      <c r="AA1052" s="30"/>
      <c r="AB1052" s="31"/>
      <c r="AC1052" s="32"/>
      <c r="AD1052" s="32"/>
      <c r="AE1052" s="32"/>
      <c r="AF1052" s="32">
        <f t="shared" si="222"/>
        <v>0</v>
      </c>
      <c r="AG1052" s="12"/>
      <c r="AH1052" s="12"/>
      <c r="AI1052" s="12"/>
      <c r="AJ1052" s="12">
        <f t="shared" si="223"/>
        <v>0</v>
      </c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1:53" x14ac:dyDescent="0.25">
      <c r="A1053" s="18"/>
      <c r="B1053" s="10">
        <v>16</v>
      </c>
      <c r="C1053" s="30"/>
      <c r="D1053" s="11"/>
      <c r="E1053" s="32"/>
      <c r="F1053" s="32"/>
      <c r="G1053" s="32"/>
      <c r="H1053" s="32">
        <f t="shared" si="218"/>
        <v>0</v>
      </c>
      <c r="I1053" s="12"/>
      <c r="J1053" s="12"/>
      <c r="K1053" s="12"/>
      <c r="L1053" s="12">
        <f t="shared" si="219"/>
        <v>0</v>
      </c>
      <c r="N1053" s="10">
        <v>16</v>
      </c>
      <c r="O1053" s="30"/>
      <c r="P1053" s="80"/>
      <c r="Q1053" s="32"/>
      <c r="R1053" s="32"/>
      <c r="S1053" s="32"/>
      <c r="T1053" s="32">
        <f t="shared" si="220"/>
        <v>0</v>
      </c>
      <c r="U1053" s="12"/>
      <c r="V1053" s="12"/>
      <c r="W1053" s="12"/>
      <c r="X1053" s="12">
        <f t="shared" si="221"/>
        <v>0</v>
      </c>
      <c r="Z1053" s="10">
        <v>16</v>
      </c>
      <c r="AA1053" s="30"/>
      <c r="AB1053" s="11"/>
      <c r="AC1053" s="32"/>
      <c r="AD1053" s="32"/>
      <c r="AE1053" s="32"/>
      <c r="AF1053" s="32">
        <f t="shared" si="222"/>
        <v>0</v>
      </c>
      <c r="AG1053" s="12"/>
      <c r="AH1053" s="12"/>
      <c r="AI1053" s="12"/>
      <c r="AJ1053" s="12">
        <f t="shared" si="223"/>
        <v>0</v>
      </c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1:53" x14ac:dyDescent="0.25">
      <c r="A1054" s="18"/>
      <c r="B1054" s="10">
        <v>17</v>
      </c>
      <c r="C1054" s="30"/>
      <c r="D1054" s="31"/>
      <c r="E1054" s="35"/>
      <c r="F1054" s="32"/>
      <c r="G1054" s="32"/>
      <c r="H1054" s="32">
        <f t="shared" si="218"/>
        <v>0</v>
      </c>
      <c r="I1054" s="12"/>
      <c r="J1054" s="12"/>
      <c r="K1054" s="12"/>
      <c r="L1054" s="12">
        <f t="shared" si="219"/>
        <v>0</v>
      </c>
      <c r="N1054" s="10">
        <v>17</v>
      </c>
      <c r="O1054" s="30"/>
      <c r="Q1054" s="35"/>
      <c r="R1054" s="32"/>
      <c r="S1054" s="32"/>
      <c r="T1054" s="32">
        <f t="shared" si="220"/>
        <v>0</v>
      </c>
      <c r="U1054" s="12"/>
      <c r="V1054" s="12"/>
      <c r="W1054" s="12"/>
      <c r="X1054" s="12">
        <f t="shared" si="221"/>
        <v>0</v>
      </c>
      <c r="Z1054" s="10">
        <v>17</v>
      </c>
      <c r="AA1054" s="30"/>
      <c r="AB1054" s="31"/>
      <c r="AC1054" s="35"/>
      <c r="AD1054" s="32"/>
      <c r="AE1054" s="32"/>
      <c r="AF1054" s="32">
        <f t="shared" si="222"/>
        <v>0</v>
      </c>
      <c r="AG1054" s="12"/>
      <c r="AH1054" s="12"/>
      <c r="AI1054" s="12"/>
      <c r="AJ1054" s="12">
        <f t="shared" si="223"/>
        <v>0</v>
      </c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1:53" x14ac:dyDescent="0.25">
      <c r="A1055" s="18"/>
      <c r="B1055" s="10">
        <v>18</v>
      </c>
      <c r="C1055" s="30"/>
      <c r="D1055" s="31"/>
      <c r="E1055" s="32"/>
      <c r="F1055" s="32"/>
      <c r="G1055" s="32"/>
      <c r="H1055" s="32">
        <f t="shared" si="218"/>
        <v>0</v>
      </c>
      <c r="I1055" s="12"/>
      <c r="J1055" s="12"/>
      <c r="K1055" s="12"/>
      <c r="L1055" s="12">
        <f t="shared" si="219"/>
        <v>0</v>
      </c>
      <c r="N1055" s="10">
        <v>18</v>
      </c>
      <c r="O1055" s="30"/>
      <c r="P1055" s="80"/>
      <c r="Q1055" s="32"/>
      <c r="R1055" s="32"/>
      <c r="S1055" s="32"/>
      <c r="T1055" s="32">
        <f t="shared" si="220"/>
        <v>0</v>
      </c>
      <c r="U1055" s="12"/>
      <c r="V1055" s="12"/>
      <c r="W1055" s="12"/>
      <c r="X1055" s="12">
        <f t="shared" si="221"/>
        <v>0</v>
      </c>
      <c r="Z1055" s="10">
        <v>18</v>
      </c>
      <c r="AA1055" s="30"/>
      <c r="AB1055" s="31"/>
      <c r="AC1055" s="32"/>
      <c r="AD1055" s="32"/>
      <c r="AE1055" s="32"/>
      <c r="AF1055" s="32">
        <f t="shared" si="222"/>
        <v>0</v>
      </c>
      <c r="AG1055" s="12"/>
      <c r="AH1055" s="12"/>
      <c r="AI1055" s="12"/>
      <c r="AJ1055" s="12">
        <f t="shared" si="223"/>
        <v>0</v>
      </c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1:53" x14ac:dyDescent="0.25">
      <c r="A1056" s="18"/>
      <c r="B1056" s="10">
        <v>19</v>
      </c>
      <c r="C1056" s="30"/>
      <c r="D1056" s="31"/>
      <c r="E1056" s="32"/>
      <c r="F1056" s="32"/>
      <c r="G1056" s="32"/>
      <c r="H1056" s="32">
        <f t="shared" si="218"/>
        <v>0</v>
      </c>
      <c r="I1056" s="12"/>
      <c r="J1056" s="12"/>
      <c r="K1056" s="12"/>
      <c r="L1056" s="12">
        <f t="shared" si="219"/>
        <v>0</v>
      </c>
      <c r="N1056" s="10">
        <v>19</v>
      </c>
      <c r="O1056" s="30"/>
      <c r="P1056" s="80"/>
      <c r="Q1056" s="32"/>
      <c r="R1056" s="32"/>
      <c r="S1056" s="32"/>
      <c r="T1056" s="32">
        <f t="shared" si="220"/>
        <v>0</v>
      </c>
      <c r="U1056" s="12"/>
      <c r="V1056" s="12"/>
      <c r="W1056" s="12"/>
      <c r="X1056" s="12">
        <f t="shared" si="221"/>
        <v>0</v>
      </c>
      <c r="Z1056" s="10">
        <v>19</v>
      </c>
      <c r="AA1056" s="30"/>
      <c r="AB1056" s="11"/>
      <c r="AC1056" s="32"/>
      <c r="AD1056" s="32"/>
      <c r="AE1056" s="32"/>
      <c r="AF1056" s="32">
        <f t="shared" si="222"/>
        <v>0</v>
      </c>
      <c r="AG1056" s="12"/>
      <c r="AH1056" s="12"/>
      <c r="AI1056" s="12"/>
      <c r="AJ1056" s="12">
        <f t="shared" si="223"/>
        <v>0</v>
      </c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1:53" x14ac:dyDescent="0.25">
      <c r="A1057" s="18"/>
      <c r="B1057" s="10">
        <v>20</v>
      </c>
      <c r="C1057" s="30"/>
      <c r="D1057" s="31"/>
      <c r="E1057" s="32"/>
      <c r="F1057" s="32"/>
      <c r="G1057" s="32"/>
      <c r="H1057" s="32">
        <f t="shared" si="218"/>
        <v>0</v>
      </c>
      <c r="I1057" s="12"/>
      <c r="J1057" s="12"/>
      <c r="K1057" s="12"/>
      <c r="L1057" s="12">
        <f t="shared" si="219"/>
        <v>0</v>
      </c>
      <c r="N1057" s="10">
        <v>20</v>
      </c>
      <c r="O1057" s="30"/>
      <c r="P1057" s="80"/>
      <c r="Q1057" s="32"/>
      <c r="R1057" s="32"/>
      <c r="S1057" s="32"/>
      <c r="T1057" s="32">
        <f t="shared" si="220"/>
        <v>0</v>
      </c>
      <c r="U1057" s="12"/>
      <c r="V1057" s="12"/>
      <c r="W1057" s="12"/>
      <c r="X1057" s="12">
        <f t="shared" si="221"/>
        <v>0</v>
      </c>
      <c r="Z1057" s="10">
        <v>20</v>
      </c>
      <c r="AA1057" s="30"/>
      <c r="AB1057" s="31"/>
      <c r="AC1057" s="32"/>
      <c r="AD1057" s="32"/>
      <c r="AE1057" s="32"/>
      <c r="AF1057" s="32">
        <f t="shared" si="222"/>
        <v>0</v>
      </c>
      <c r="AG1057" s="12"/>
      <c r="AH1057" s="12"/>
      <c r="AI1057" s="12"/>
      <c r="AJ1057" s="12">
        <f t="shared" si="223"/>
        <v>0</v>
      </c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1:53" x14ac:dyDescent="0.25">
      <c r="A1058" s="18"/>
      <c r="B1058" s="10">
        <v>21</v>
      </c>
      <c r="C1058" s="30"/>
      <c r="D1058" s="31"/>
      <c r="E1058" s="44"/>
      <c r="F1058" s="31"/>
      <c r="G1058" s="31"/>
      <c r="H1058" s="32">
        <f t="shared" si="218"/>
        <v>0</v>
      </c>
      <c r="I1058" s="10"/>
      <c r="J1058" s="10"/>
      <c r="K1058" s="10"/>
      <c r="L1058" s="12">
        <f t="shared" si="219"/>
        <v>0</v>
      </c>
      <c r="N1058" s="10">
        <v>21</v>
      </c>
      <c r="O1058" s="30"/>
      <c r="P1058" s="11"/>
      <c r="Q1058" s="44"/>
      <c r="R1058" s="31"/>
      <c r="S1058" s="31"/>
      <c r="T1058" s="32">
        <f t="shared" si="220"/>
        <v>0</v>
      </c>
      <c r="U1058" s="10"/>
      <c r="V1058" s="10"/>
      <c r="W1058" s="10"/>
      <c r="X1058" s="12">
        <f t="shared" si="221"/>
        <v>0</v>
      </c>
      <c r="Z1058" s="10">
        <v>21</v>
      </c>
      <c r="AA1058" s="30"/>
      <c r="AB1058" s="11"/>
      <c r="AC1058" s="44"/>
      <c r="AD1058" s="31"/>
      <c r="AE1058" s="31"/>
      <c r="AF1058" s="32">
        <f t="shared" si="222"/>
        <v>0</v>
      </c>
      <c r="AG1058" s="10"/>
      <c r="AH1058" s="10"/>
      <c r="AI1058" s="10"/>
      <c r="AJ1058" s="12">
        <f t="shared" si="223"/>
        <v>0</v>
      </c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1:53" x14ac:dyDescent="0.25">
      <c r="A1059" s="18"/>
      <c r="B1059" s="10">
        <v>22</v>
      </c>
      <c r="C1059" s="30"/>
      <c r="D1059" s="31"/>
      <c r="E1059" s="43"/>
      <c r="F1059" s="31"/>
      <c r="G1059" s="31"/>
      <c r="H1059" s="32">
        <f t="shared" si="218"/>
        <v>0</v>
      </c>
      <c r="I1059" s="10"/>
      <c r="J1059" s="10"/>
      <c r="K1059" s="10"/>
      <c r="L1059" s="12">
        <f t="shared" si="219"/>
        <v>0</v>
      </c>
      <c r="N1059" s="10">
        <v>22</v>
      </c>
      <c r="O1059" s="30"/>
      <c r="P1059" s="31"/>
      <c r="Q1059" s="43"/>
      <c r="R1059" s="31"/>
      <c r="S1059" s="31"/>
      <c r="T1059" s="32">
        <f t="shared" si="220"/>
        <v>0</v>
      </c>
      <c r="U1059" s="10"/>
      <c r="V1059" s="10"/>
      <c r="W1059" s="10"/>
      <c r="X1059" s="12">
        <f t="shared" si="221"/>
        <v>0</v>
      </c>
      <c r="Z1059" s="10">
        <v>22</v>
      </c>
      <c r="AA1059" s="30"/>
      <c r="AB1059" s="31"/>
      <c r="AC1059" s="43"/>
      <c r="AD1059" s="31"/>
      <c r="AE1059" s="31"/>
      <c r="AF1059" s="32">
        <f t="shared" si="222"/>
        <v>0</v>
      </c>
      <c r="AG1059" s="10"/>
      <c r="AH1059" s="10"/>
      <c r="AI1059" s="10"/>
      <c r="AJ1059" s="12">
        <f t="shared" si="223"/>
        <v>0</v>
      </c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1:53" x14ac:dyDescent="0.25">
      <c r="A1060" s="18"/>
      <c r="B1060" s="10">
        <v>23</v>
      </c>
      <c r="C1060" s="30"/>
      <c r="D1060" s="31"/>
      <c r="E1060" s="45"/>
      <c r="F1060" s="31"/>
      <c r="G1060"/>
      <c r="H1060" s="32">
        <f t="shared" si="218"/>
        <v>0</v>
      </c>
      <c r="I1060" s="10"/>
      <c r="J1060" s="10"/>
      <c r="K1060" s="10"/>
      <c r="L1060" s="12">
        <f t="shared" si="219"/>
        <v>0</v>
      </c>
      <c r="N1060" s="10">
        <v>23</v>
      </c>
      <c r="O1060" s="30"/>
      <c r="P1060" s="31"/>
      <c r="Q1060" s="45"/>
      <c r="T1060" s="32">
        <f t="shared" si="220"/>
        <v>0</v>
      </c>
      <c r="U1060" s="10"/>
      <c r="V1060" s="10"/>
      <c r="W1060" s="10"/>
      <c r="X1060" s="12">
        <f t="shared" si="221"/>
        <v>0</v>
      </c>
      <c r="Z1060" s="10">
        <v>23</v>
      </c>
      <c r="AA1060" s="30"/>
      <c r="AB1060" s="31"/>
      <c r="AC1060" s="45"/>
      <c r="AD1060" s="31"/>
      <c r="AF1060" s="32">
        <f t="shared" si="222"/>
        <v>0</v>
      </c>
      <c r="AG1060" s="10"/>
      <c r="AH1060" s="10"/>
      <c r="AI1060" s="10"/>
      <c r="AJ1060" s="12">
        <f t="shared" si="223"/>
        <v>0</v>
      </c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1:53" x14ac:dyDescent="0.25">
      <c r="A1061" s="18"/>
      <c r="B1061" s="10">
        <v>24</v>
      </c>
      <c r="C1061" s="30"/>
      <c r="D1061" s="31"/>
      <c r="E1061" s="45"/>
      <c r="F1061" s="31"/>
      <c r="G1061" s="31"/>
      <c r="H1061" s="32">
        <f t="shared" si="218"/>
        <v>0</v>
      </c>
      <c r="I1061" s="10"/>
      <c r="J1061" s="10"/>
      <c r="K1061" s="10"/>
      <c r="L1061" s="12">
        <f t="shared" si="219"/>
        <v>0</v>
      </c>
      <c r="N1061" s="10">
        <v>24</v>
      </c>
      <c r="O1061" s="30"/>
      <c r="P1061" s="31"/>
      <c r="Q1061" s="45"/>
      <c r="R1061" s="31"/>
      <c r="S1061" s="31"/>
      <c r="T1061" s="32">
        <f t="shared" si="220"/>
        <v>0</v>
      </c>
      <c r="U1061" s="10"/>
      <c r="V1061" s="10"/>
      <c r="W1061" s="10"/>
      <c r="X1061" s="12">
        <f t="shared" si="221"/>
        <v>0</v>
      </c>
      <c r="Z1061" s="10">
        <v>24</v>
      </c>
      <c r="AA1061" s="30"/>
      <c r="AB1061" s="31"/>
      <c r="AC1061" s="45"/>
      <c r="AD1061" s="31"/>
      <c r="AE1061" s="31"/>
      <c r="AF1061" s="32">
        <f t="shared" si="222"/>
        <v>0</v>
      </c>
      <c r="AG1061" s="10"/>
      <c r="AH1061" s="10"/>
      <c r="AI1061" s="10"/>
      <c r="AJ1061" s="12">
        <f t="shared" si="223"/>
        <v>0</v>
      </c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1:53" x14ac:dyDescent="0.25">
      <c r="A1062" s="18"/>
      <c r="B1062" s="10">
        <v>25</v>
      </c>
      <c r="C1062" s="30"/>
      <c r="D1062" s="31"/>
      <c r="E1062" s="45"/>
      <c r="F1062" s="31"/>
      <c r="G1062" s="31"/>
      <c r="H1062" s="32">
        <f t="shared" si="218"/>
        <v>0</v>
      </c>
      <c r="I1062" s="10"/>
      <c r="J1062" s="10"/>
      <c r="K1062" s="10"/>
      <c r="L1062" s="12">
        <f t="shared" si="219"/>
        <v>0</v>
      </c>
      <c r="N1062" s="10">
        <v>25</v>
      </c>
      <c r="O1062" s="30"/>
      <c r="P1062" s="31"/>
      <c r="Q1062" s="45"/>
      <c r="R1062" s="31"/>
      <c r="S1062" s="31"/>
      <c r="T1062" s="32">
        <f t="shared" si="220"/>
        <v>0</v>
      </c>
      <c r="U1062" s="10"/>
      <c r="V1062" s="10"/>
      <c r="W1062" s="10"/>
      <c r="X1062" s="12">
        <f t="shared" si="221"/>
        <v>0</v>
      </c>
      <c r="Z1062" s="10">
        <v>25</v>
      </c>
      <c r="AA1062" s="30"/>
      <c r="AB1062" s="31"/>
      <c r="AC1062" s="45"/>
      <c r="AD1062" s="31"/>
      <c r="AE1062" s="31"/>
      <c r="AF1062" s="32">
        <f t="shared" si="222"/>
        <v>0</v>
      </c>
      <c r="AG1062" s="10"/>
      <c r="AH1062" s="10"/>
      <c r="AI1062" s="10"/>
      <c r="AJ1062" s="12">
        <f t="shared" si="223"/>
        <v>0</v>
      </c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1:53" x14ac:dyDescent="0.25">
      <c r="A1063" s="18"/>
      <c r="B1063" s="10">
        <v>26</v>
      </c>
      <c r="C1063" s="30"/>
      <c r="D1063" s="31"/>
      <c r="E1063" s="45"/>
      <c r="F1063" s="31"/>
      <c r="G1063" s="31"/>
      <c r="H1063" s="32">
        <f t="shared" si="218"/>
        <v>0</v>
      </c>
      <c r="I1063" s="10"/>
      <c r="J1063" s="10"/>
      <c r="K1063" s="10"/>
      <c r="L1063" s="12">
        <f t="shared" si="219"/>
        <v>0</v>
      </c>
      <c r="N1063" s="10">
        <v>26</v>
      </c>
      <c r="O1063" s="30"/>
      <c r="P1063" s="31"/>
      <c r="Q1063" s="45"/>
      <c r="R1063" s="31"/>
      <c r="S1063" s="31"/>
      <c r="T1063" s="32">
        <f t="shared" si="220"/>
        <v>0</v>
      </c>
      <c r="U1063" s="10"/>
      <c r="V1063" s="10"/>
      <c r="W1063" s="10"/>
      <c r="X1063" s="12">
        <f t="shared" si="221"/>
        <v>0</v>
      </c>
      <c r="Z1063" s="10">
        <v>26</v>
      </c>
      <c r="AA1063" s="30"/>
      <c r="AB1063" s="31"/>
      <c r="AC1063" s="45"/>
      <c r="AD1063" s="31"/>
      <c r="AE1063" s="31"/>
      <c r="AF1063" s="32">
        <f t="shared" si="222"/>
        <v>0</v>
      </c>
      <c r="AG1063" s="10"/>
      <c r="AH1063" s="10"/>
      <c r="AI1063" s="10"/>
      <c r="AJ1063" s="12">
        <f t="shared" si="223"/>
        <v>0</v>
      </c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1:53" x14ac:dyDescent="0.25">
      <c r="A1064" s="18"/>
      <c r="B1064" s="10">
        <v>27</v>
      </c>
      <c r="C1064" s="30"/>
      <c r="D1064" s="31"/>
      <c r="E1064" s="45"/>
      <c r="F1064" s="31"/>
      <c r="G1064" s="31"/>
      <c r="H1064" s="32">
        <f t="shared" si="218"/>
        <v>0</v>
      </c>
      <c r="I1064" s="10"/>
      <c r="J1064" s="10"/>
      <c r="K1064" s="10"/>
      <c r="L1064" s="12">
        <f t="shared" si="219"/>
        <v>0</v>
      </c>
      <c r="N1064" s="10">
        <v>27</v>
      </c>
      <c r="O1064" s="30"/>
      <c r="P1064" s="31"/>
      <c r="Q1064" s="45"/>
      <c r="R1064" s="31"/>
      <c r="S1064" s="31"/>
      <c r="T1064" s="32">
        <f t="shared" si="220"/>
        <v>0</v>
      </c>
      <c r="U1064" s="10"/>
      <c r="V1064" s="10"/>
      <c r="W1064" s="10"/>
      <c r="X1064" s="12">
        <f t="shared" si="221"/>
        <v>0</v>
      </c>
      <c r="Z1064" s="10">
        <v>27</v>
      </c>
      <c r="AA1064" s="30"/>
      <c r="AB1064" s="31"/>
      <c r="AC1064" s="45"/>
      <c r="AD1064" s="31"/>
      <c r="AE1064" s="31"/>
      <c r="AF1064" s="32">
        <f t="shared" si="222"/>
        <v>0</v>
      </c>
      <c r="AG1064" s="10"/>
      <c r="AH1064" s="10"/>
      <c r="AI1064" s="10"/>
      <c r="AJ1064" s="12">
        <f t="shared" si="223"/>
        <v>0</v>
      </c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1:53" x14ac:dyDescent="0.25">
      <c r="A1065" s="18"/>
      <c r="B1065" s="10">
        <v>28</v>
      </c>
      <c r="C1065" s="30"/>
      <c r="D1065" s="31"/>
      <c r="E1065" s="45"/>
      <c r="F1065" s="31"/>
      <c r="G1065" s="31"/>
      <c r="H1065" s="32">
        <f t="shared" si="218"/>
        <v>0</v>
      </c>
      <c r="I1065" s="10"/>
      <c r="J1065" s="10"/>
      <c r="K1065" s="10"/>
      <c r="L1065" s="12">
        <f t="shared" si="219"/>
        <v>0</v>
      </c>
      <c r="N1065" s="10">
        <v>28</v>
      </c>
      <c r="O1065" s="30"/>
      <c r="P1065" s="31"/>
      <c r="Q1065" s="45"/>
      <c r="R1065" s="31"/>
      <c r="S1065" s="31"/>
      <c r="T1065" s="32">
        <f t="shared" si="220"/>
        <v>0</v>
      </c>
      <c r="U1065" s="10"/>
      <c r="V1065" s="10"/>
      <c r="W1065" s="10"/>
      <c r="X1065" s="12">
        <f t="shared" si="221"/>
        <v>0</v>
      </c>
      <c r="Z1065" s="10">
        <v>28</v>
      </c>
      <c r="AA1065" s="30"/>
      <c r="AB1065" s="31"/>
      <c r="AC1065" s="45"/>
      <c r="AD1065" s="31"/>
      <c r="AE1065" s="31"/>
      <c r="AF1065" s="32">
        <f t="shared" si="222"/>
        <v>0</v>
      </c>
      <c r="AG1065" s="10"/>
      <c r="AH1065" s="10"/>
      <c r="AI1065" s="10"/>
      <c r="AJ1065" s="12">
        <f t="shared" si="223"/>
        <v>0</v>
      </c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1:53" x14ac:dyDescent="0.25">
      <c r="A1066" s="18"/>
      <c r="B1066" s="10">
        <v>29</v>
      </c>
      <c r="C1066" s="30"/>
      <c r="D1066" s="31"/>
      <c r="E1066" s="45"/>
      <c r="F1066" s="31"/>
      <c r="G1066" s="31"/>
      <c r="H1066" s="32">
        <f t="shared" si="218"/>
        <v>0</v>
      </c>
      <c r="I1066" s="10"/>
      <c r="J1066" s="10"/>
      <c r="K1066" s="10"/>
      <c r="L1066" s="12">
        <f t="shared" si="219"/>
        <v>0</v>
      </c>
      <c r="N1066" s="10">
        <v>29</v>
      </c>
      <c r="O1066" s="30"/>
      <c r="P1066" s="31"/>
      <c r="Q1066" s="45"/>
      <c r="R1066" s="31"/>
      <c r="S1066" s="31"/>
      <c r="T1066" s="32">
        <f t="shared" si="220"/>
        <v>0</v>
      </c>
      <c r="U1066" s="10"/>
      <c r="V1066" s="10"/>
      <c r="W1066" s="10"/>
      <c r="X1066" s="12">
        <f t="shared" si="221"/>
        <v>0</v>
      </c>
      <c r="Z1066" s="10">
        <v>29</v>
      </c>
      <c r="AA1066" s="30"/>
      <c r="AB1066" s="31"/>
      <c r="AC1066" s="45"/>
      <c r="AD1066" s="31"/>
      <c r="AE1066" s="31"/>
      <c r="AF1066" s="32">
        <f t="shared" si="222"/>
        <v>0</v>
      </c>
      <c r="AG1066" s="10"/>
      <c r="AH1066" s="10"/>
      <c r="AI1066" s="10"/>
      <c r="AJ1066" s="12">
        <f t="shared" si="223"/>
        <v>0</v>
      </c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1:53" x14ac:dyDescent="0.25">
      <c r="A1067" s="18"/>
      <c r="B1067" s="10">
        <v>30</v>
      </c>
      <c r="C1067" s="30"/>
      <c r="D1067" s="31"/>
      <c r="E1067" s="45"/>
      <c r="F1067" s="31"/>
      <c r="G1067" s="31"/>
      <c r="H1067" s="32">
        <f t="shared" si="218"/>
        <v>0</v>
      </c>
      <c r="I1067" s="10"/>
      <c r="J1067" s="10"/>
      <c r="K1067" s="10"/>
      <c r="L1067" s="12">
        <f t="shared" si="219"/>
        <v>0</v>
      </c>
      <c r="N1067" s="10">
        <v>30</v>
      </c>
      <c r="O1067" s="30"/>
      <c r="P1067" s="31"/>
      <c r="Q1067" s="45"/>
      <c r="R1067" s="31"/>
      <c r="S1067" s="31"/>
      <c r="T1067" s="32">
        <f t="shared" si="220"/>
        <v>0</v>
      </c>
      <c r="U1067" s="10"/>
      <c r="V1067" s="10"/>
      <c r="W1067" s="10"/>
      <c r="X1067" s="12">
        <f t="shared" si="221"/>
        <v>0</v>
      </c>
      <c r="Z1067" s="10">
        <v>30</v>
      </c>
      <c r="AA1067" s="30"/>
      <c r="AB1067" s="31"/>
      <c r="AC1067" s="45"/>
      <c r="AD1067" s="31"/>
      <c r="AE1067" s="31"/>
      <c r="AF1067" s="32">
        <f t="shared" si="222"/>
        <v>0</v>
      </c>
      <c r="AG1067" s="10"/>
      <c r="AH1067" s="10"/>
      <c r="AI1067" s="10"/>
      <c r="AJ1067" s="12">
        <f t="shared" si="223"/>
        <v>0</v>
      </c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1:53" x14ac:dyDescent="0.25">
      <c r="A1068" s="18"/>
      <c r="B1068" s="10">
        <v>31</v>
      </c>
      <c r="C1068" s="30"/>
      <c r="D1068" s="31"/>
      <c r="E1068" s="45"/>
      <c r="F1068" s="31"/>
      <c r="G1068" s="31"/>
      <c r="H1068" s="32">
        <f t="shared" si="218"/>
        <v>0</v>
      </c>
      <c r="I1068" s="10"/>
      <c r="J1068" s="10"/>
      <c r="K1068" s="10"/>
      <c r="L1068" s="12">
        <f t="shared" si="219"/>
        <v>0</v>
      </c>
      <c r="N1068" s="10">
        <v>31</v>
      </c>
      <c r="O1068" s="30"/>
      <c r="P1068" s="31"/>
      <c r="Q1068" s="45"/>
      <c r="R1068" s="31"/>
      <c r="S1068" s="31"/>
      <c r="T1068" s="32">
        <f t="shared" si="220"/>
        <v>0</v>
      </c>
      <c r="U1068" s="10"/>
      <c r="V1068" s="10"/>
      <c r="W1068" s="10"/>
      <c r="X1068" s="12">
        <f t="shared" si="221"/>
        <v>0</v>
      </c>
      <c r="Z1068" s="10">
        <v>31</v>
      </c>
      <c r="AA1068" s="30"/>
      <c r="AB1068" s="31"/>
      <c r="AC1068" s="45"/>
      <c r="AD1068" s="31"/>
      <c r="AE1068" s="31"/>
      <c r="AF1068" s="32">
        <f t="shared" si="222"/>
        <v>0</v>
      </c>
      <c r="AG1068" s="10"/>
      <c r="AH1068" s="10"/>
      <c r="AI1068" s="10"/>
      <c r="AJ1068" s="12">
        <f t="shared" si="223"/>
        <v>0</v>
      </c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1:53" x14ac:dyDescent="0.25">
      <c r="A1069" s="18"/>
      <c r="B1069" s="10">
        <v>32</v>
      </c>
      <c r="C1069" s="30"/>
      <c r="D1069" s="31"/>
      <c r="E1069" s="45"/>
      <c r="F1069" s="31"/>
      <c r="G1069" s="31"/>
      <c r="H1069" s="32">
        <f t="shared" si="218"/>
        <v>0</v>
      </c>
      <c r="I1069" s="10"/>
      <c r="J1069" s="10"/>
      <c r="K1069" s="10"/>
      <c r="L1069" s="12">
        <f t="shared" si="219"/>
        <v>0</v>
      </c>
      <c r="N1069" s="10">
        <v>32</v>
      </c>
      <c r="O1069" s="30"/>
      <c r="P1069" s="31"/>
      <c r="Q1069" s="45"/>
      <c r="R1069" s="31"/>
      <c r="S1069" s="31"/>
      <c r="T1069" s="32">
        <f t="shared" si="220"/>
        <v>0</v>
      </c>
      <c r="U1069" s="10"/>
      <c r="V1069" s="10"/>
      <c r="W1069" s="10"/>
      <c r="X1069" s="12">
        <f t="shared" si="221"/>
        <v>0</v>
      </c>
      <c r="Z1069" s="10">
        <v>32</v>
      </c>
      <c r="AA1069" s="30"/>
      <c r="AB1069" s="31"/>
      <c r="AC1069" s="45"/>
      <c r="AD1069" s="31"/>
      <c r="AE1069" s="31"/>
      <c r="AF1069" s="32">
        <f t="shared" si="222"/>
        <v>0</v>
      </c>
      <c r="AG1069" s="10"/>
      <c r="AH1069" s="10"/>
      <c r="AI1069" s="10"/>
      <c r="AJ1069" s="12">
        <f t="shared" si="223"/>
        <v>0</v>
      </c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1:53" x14ac:dyDescent="0.25">
      <c r="A1070" s="18"/>
      <c r="B1070" s="10">
        <v>33</v>
      </c>
      <c r="C1070" s="30"/>
      <c r="D1070" s="31"/>
      <c r="E1070" s="45"/>
      <c r="F1070" s="31"/>
      <c r="G1070" s="31"/>
      <c r="H1070" s="32">
        <f t="shared" si="218"/>
        <v>0</v>
      </c>
      <c r="I1070" s="10"/>
      <c r="J1070" s="10"/>
      <c r="K1070" s="10"/>
      <c r="L1070" s="12">
        <f t="shared" si="219"/>
        <v>0</v>
      </c>
      <c r="N1070" s="10">
        <v>33</v>
      </c>
      <c r="O1070" s="30"/>
      <c r="P1070" s="31"/>
      <c r="Q1070" s="45"/>
      <c r="R1070" s="31"/>
      <c r="S1070" s="31"/>
      <c r="T1070" s="32">
        <f t="shared" si="220"/>
        <v>0</v>
      </c>
      <c r="U1070" s="10"/>
      <c r="V1070" s="10"/>
      <c r="W1070" s="10"/>
      <c r="X1070" s="12">
        <f t="shared" si="221"/>
        <v>0</v>
      </c>
      <c r="Z1070" s="10">
        <v>33</v>
      </c>
      <c r="AA1070" s="30"/>
      <c r="AB1070" s="31"/>
      <c r="AC1070" s="45"/>
      <c r="AD1070" s="31"/>
      <c r="AE1070" s="31"/>
      <c r="AF1070" s="32">
        <f t="shared" si="222"/>
        <v>0</v>
      </c>
      <c r="AG1070" s="10"/>
      <c r="AH1070" s="10"/>
      <c r="AI1070" s="10"/>
      <c r="AJ1070" s="12">
        <f t="shared" si="223"/>
        <v>0</v>
      </c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1:53" x14ac:dyDescent="0.25">
      <c r="A1071" s="18"/>
      <c r="B1071" s="10">
        <v>34</v>
      </c>
      <c r="C1071" s="30"/>
      <c r="D1071" s="31"/>
      <c r="E1071" s="45"/>
      <c r="F1071" s="31"/>
      <c r="G1071" s="31"/>
      <c r="H1071" s="32">
        <f t="shared" si="218"/>
        <v>0</v>
      </c>
      <c r="I1071" s="10"/>
      <c r="J1071" s="10"/>
      <c r="K1071" s="10"/>
      <c r="L1071" s="12">
        <f t="shared" si="219"/>
        <v>0</v>
      </c>
      <c r="N1071" s="10">
        <v>34</v>
      </c>
      <c r="O1071" s="30"/>
      <c r="P1071" s="31"/>
      <c r="Q1071" s="45"/>
      <c r="R1071" s="31"/>
      <c r="S1071" s="31"/>
      <c r="T1071" s="32">
        <f t="shared" si="220"/>
        <v>0</v>
      </c>
      <c r="U1071" s="10"/>
      <c r="V1071" s="10"/>
      <c r="W1071" s="10"/>
      <c r="X1071" s="12">
        <f t="shared" si="221"/>
        <v>0</v>
      </c>
      <c r="Z1071" s="10">
        <v>34</v>
      </c>
      <c r="AA1071" s="30"/>
      <c r="AB1071" s="31"/>
      <c r="AC1071" s="45"/>
      <c r="AD1071" s="31"/>
      <c r="AE1071" s="31"/>
      <c r="AF1071" s="32">
        <f t="shared" si="222"/>
        <v>0</v>
      </c>
      <c r="AG1071" s="10"/>
      <c r="AH1071" s="10"/>
      <c r="AI1071" s="10"/>
      <c r="AJ1071" s="12">
        <f t="shared" si="223"/>
        <v>0</v>
      </c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1:53" x14ac:dyDescent="0.25">
      <c r="A1072" s="18"/>
      <c r="B1072" s="10">
        <v>35</v>
      </c>
      <c r="C1072" s="30"/>
      <c r="D1072" s="31"/>
      <c r="E1072" s="45"/>
      <c r="F1072" s="31"/>
      <c r="G1072" s="31"/>
      <c r="H1072" s="32">
        <f t="shared" si="218"/>
        <v>0</v>
      </c>
      <c r="I1072" s="10"/>
      <c r="J1072" s="10"/>
      <c r="K1072" s="10"/>
      <c r="L1072" s="12">
        <f t="shared" si="219"/>
        <v>0</v>
      </c>
      <c r="N1072" s="10">
        <v>35</v>
      </c>
      <c r="O1072" s="30"/>
      <c r="P1072" s="31"/>
      <c r="Q1072" s="45"/>
      <c r="R1072" s="31"/>
      <c r="S1072" s="31"/>
      <c r="T1072" s="32">
        <f t="shared" si="220"/>
        <v>0</v>
      </c>
      <c r="U1072" s="10"/>
      <c r="V1072" s="10"/>
      <c r="W1072" s="10"/>
      <c r="X1072" s="12">
        <f t="shared" si="221"/>
        <v>0</v>
      </c>
      <c r="Z1072" s="10">
        <v>35</v>
      </c>
      <c r="AA1072" s="30"/>
      <c r="AB1072" s="31"/>
      <c r="AC1072" s="45"/>
      <c r="AD1072" s="31"/>
      <c r="AE1072" s="31"/>
      <c r="AF1072" s="32">
        <f t="shared" si="222"/>
        <v>0</v>
      </c>
      <c r="AG1072" s="10"/>
      <c r="AH1072" s="10"/>
      <c r="AI1072" s="10"/>
      <c r="AJ1072" s="12">
        <f t="shared" si="223"/>
        <v>0</v>
      </c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1:53" x14ac:dyDescent="0.25">
      <c r="A1073" s="18"/>
      <c r="B1073" s="10">
        <v>36</v>
      </c>
      <c r="C1073" s="30"/>
      <c r="D1073" s="31"/>
      <c r="E1073" s="45"/>
      <c r="F1073" s="31"/>
      <c r="G1073" s="31"/>
      <c r="H1073" s="32">
        <f t="shared" si="218"/>
        <v>0</v>
      </c>
      <c r="I1073" s="10"/>
      <c r="J1073" s="10"/>
      <c r="K1073" s="10"/>
      <c r="L1073" s="12">
        <f t="shared" si="219"/>
        <v>0</v>
      </c>
      <c r="N1073" s="10">
        <v>36</v>
      </c>
      <c r="O1073" s="30"/>
      <c r="P1073" s="31"/>
      <c r="Q1073" s="45"/>
      <c r="R1073" s="31"/>
      <c r="S1073" s="31"/>
      <c r="T1073" s="32">
        <f t="shared" si="220"/>
        <v>0</v>
      </c>
      <c r="U1073" s="10"/>
      <c r="V1073" s="10"/>
      <c r="W1073" s="10"/>
      <c r="X1073" s="12">
        <f t="shared" si="221"/>
        <v>0</v>
      </c>
      <c r="Z1073" s="10">
        <v>36</v>
      </c>
      <c r="AA1073" s="30"/>
      <c r="AB1073" s="31"/>
      <c r="AC1073" s="45"/>
      <c r="AD1073" s="31"/>
      <c r="AE1073" s="31"/>
      <c r="AF1073" s="32">
        <f t="shared" si="222"/>
        <v>0</v>
      </c>
      <c r="AG1073" s="10"/>
      <c r="AH1073" s="10"/>
      <c r="AI1073" s="10"/>
      <c r="AJ1073" s="12">
        <f t="shared" si="223"/>
        <v>0</v>
      </c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1:53" x14ac:dyDescent="0.25">
      <c r="A1074" s="18"/>
      <c r="B1074" s="10">
        <v>37</v>
      </c>
      <c r="C1074" s="30"/>
      <c r="D1074"/>
      <c r="E1074" s="45"/>
      <c r="F1074" s="31"/>
      <c r="G1074" s="31"/>
      <c r="H1074" s="32">
        <f t="shared" si="218"/>
        <v>0</v>
      </c>
      <c r="I1074" s="10"/>
      <c r="J1074" s="10"/>
      <c r="K1074" s="10"/>
      <c r="L1074" s="12">
        <f t="shared" si="219"/>
        <v>0</v>
      </c>
      <c r="N1074" s="10">
        <v>37</v>
      </c>
      <c r="O1074" s="30"/>
      <c r="Q1074" s="45"/>
      <c r="R1074" s="31"/>
      <c r="S1074" s="31"/>
      <c r="T1074" s="32">
        <f t="shared" si="220"/>
        <v>0</v>
      </c>
      <c r="U1074" s="10"/>
      <c r="V1074" s="10"/>
      <c r="W1074" s="10"/>
      <c r="X1074" s="12">
        <f t="shared" si="221"/>
        <v>0</v>
      </c>
      <c r="Z1074" s="10">
        <v>37</v>
      </c>
      <c r="AA1074" s="30"/>
      <c r="AB1074" s="31"/>
      <c r="AC1074" s="45"/>
      <c r="AD1074" s="31"/>
      <c r="AE1074" s="31"/>
      <c r="AF1074" s="32">
        <f t="shared" si="222"/>
        <v>0</v>
      </c>
      <c r="AG1074" s="10"/>
      <c r="AH1074" s="10"/>
      <c r="AI1074" s="10"/>
      <c r="AJ1074" s="12">
        <f t="shared" si="223"/>
        <v>0</v>
      </c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1:53" x14ac:dyDescent="0.25">
      <c r="A1075" s="18"/>
      <c r="B1075" s="10">
        <v>38</v>
      </c>
      <c r="C1075" s="30"/>
      <c r="D1075" s="31"/>
      <c r="E1075" s="45"/>
      <c r="F1075" s="31"/>
      <c r="G1075" s="31"/>
      <c r="H1075" s="32">
        <f t="shared" si="218"/>
        <v>0</v>
      </c>
      <c r="I1075" s="10"/>
      <c r="J1075" s="10"/>
      <c r="K1075" s="10"/>
      <c r="L1075" s="12">
        <f t="shared" si="219"/>
        <v>0</v>
      </c>
      <c r="N1075" s="10">
        <v>38</v>
      </c>
      <c r="O1075" s="30"/>
      <c r="P1075" s="31"/>
      <c r="Q1075" s="45"/>
      <c r="R1075" s="31"/>
      <c r="S1075" s="31"/>
      <c r="T1075" s="32">
        <f t="shared" si="220"/>
        <v>0</v>
      </c>
      <c r="U1075" s="10"/>
      <c r="V1075" s="10"/>
      <c r="W1075" s="10"/>
      <c r="X1075" s="12">
        <f t="shared" si="221"/>
        <v>0</v>
      </c>
      <c r="Z1075" s="10">
        <v>38</v>
      </c>
      <c r="AA1075" s="30"/>
      <c r="AB1075" s="31"/>
      <c r="AC1075" s="45"/>
      <c r="AD1075" s="31"/>
      <c r="AE1075" s="31"/>
      <c r="AF1075" s="32">
        <f t="shared" si="222"/>
        <v>0</v>
      </c>
      <c r="AG1075" s="10"/>
      <c r="AH1075" s="10"/>
      <c r="AI1075" s="10"/>
      <c r="AJ1075" s="12">
        <f t="shared" si="223"/>
        <v>0</v>
      </c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1:53" x14ac:dyDescent="0.25">
      <c r="A1076" s="18"/>
      <c r="B1076" s="10">
        <v>39</v>
      </c>
      <c r="C1076" s="30"/>
      <c r="D1076" s="31"/>
      <c r="E1076" s="45"/>
      <c r="F1076" s="31"/>
      <c r="G1076" s="31"/>
      <c r="H1076" s="32">
        <f t="shared" si="218"/>
        <v>0</v>
      </c>
      <c r="I1076" s="10"/>
      <c r="J1076" s="10"/>
      <c r="K1076" s="10"/>
      <c r="L1076" s="12">
        <f t="shared" si="219"/>
        <v>0</v>
      </c>
      <c r="N1076" s="10">
        <v>39</v>
      </c>
      <c r="O1076" s="30"/>
      <c r="P1076" s="31"/>
      <c r="Q1076" s="45"/>
      <c r="R1076" s="31"/>
      <c r="S1076" s="31"/>
      <c r="T1076" s="32">
        <f t="shared" si="220"/>
        <v>0</v>
      </c>
      <c r="U1076" s="10"/>
      <c r="V1076" s="10"/>
      <c r="W1076" s="10"/>
      <c r="X1076" s="12">
        <f t="shared" si="221"/>
        <v>0</v>
      </c>
      <c r="Z1076" s="10">
        <v>39</v>
      </c>
      <c r="AA1076" s="30"/>
      <c r="AB1076" s="31"/>
      <c r="AC1076" s="45"/>
      <c r="AD1076" s="31"/>
      <c r="AE1076" s="31"/>
      <c r="AF1076" s="32">
        <f t="shared" si="222"/>
        <v>0</v>
      </c>
      <c r="AG1076" s="10"/>
      <c r="AH1076" s="10"/>
      <c r="AI1076" s="10"/>
      <c r="AJ1076" s="12">
        <f t="shared" si="223"/>
        <v>0</v>
      </c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1:53" x14ac:dyDescent="0.25">
      <c r="A1077" s="18"/>
      <c r="B1077" s="10"/>
      <c r="C1077" s="30"/>
      <c r="D1077"/>
      <c r="E1077" s="45"/>
      <c r="F1077" s="31"/>
      <c r="G1077" s="31"/>
      <c r="H1077" s="32"/>
      <c r="I1077" s="10"/>
      <c r="J1077" s="10"/>
      <c r="K1077" s="10"/>
      <c r="L1077" s="12">
        <f t="shared" si="219"/>
        <v>0</v>
      </c>
      <c r="N1077" s="10"/>
      <c r="O1077" s="30"/>
      <c r="Q1077" s="45"/>
      <c r="R1077" s="31"/>
      <c r="S1077" s="31"/>
      <c r="T1077" s="32"/>
      <c r="U1077" s="10"/>
      <c r="V1077" s="10"/>
      <c r="W1077" s="10"/>
      <c r="X1077" s="12">
        <f t="shared" si="221"/>
        <v>0</v>
      </c>
      <c r="Z1077" s="10"/>
      <c r="AA1077" s="30"/>
      <c r="AC1077" s="45"/>
      <c r="AD1077" s="31"/>
      <c r="AE1077" s="31"/>
      <c r="AF1077" s="32"/>
      <c r="AG1077" s="10"/>
      <c r="AH1077" s="10"/>
      <c r="AI1077" s="10"/>
      <c r="AJ1077" s="12">
        <f t="shared" si="223"/>
        <v>0</v>
      </c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1:53" x14ac:dyDescent="0.25">
      <c r="A1078" s="18"/>
      <c r="B1078" s="10"/>
      <c r="C1078" s="30"/>
      <c r="D1078" s="31"/>
      <c r="E1078" s="45"/>
      <c r="F1078" s="31"/>
      <c r="G1078" s="31"/>
      <c r="H1078" s="32">
        <f t="shared" ref="H1078" si="227">SUM(E1078:F1078)</f>
        <v>0</v>
      </c>
      <c r="I1078" s="10"/>
      <c r="J1078" s="10"/>
      <c r="K1078" s="10"/>
      <c r="L1078" s="12">
        <f t="shared" si="219"/>
        <v>0</v>
      </c>
      <c r="N1078" s="10"/>
      <c r="O1078" s="30"/>
      <c r="P1078" s="31"/>
      <c r="Q1078" s="45"/>
      <c r="R1078" s="31"/>
      <c r="S1078" s="31"/>
      <c r="T1078" s="32">
        <f t="shared" ref="T1078" si="228">SUM(Q1078:R1078)</f>
        <v>0</v>
      </c>
      <c r="U1078" s="10"/>
      <c r="V1078" s="10"/>
      <c r="W1078" s="10"/>
      <c r="X1078" s="12">
        <f t="shared" si="221"/>
        <v>0</v>
      </c>
      <c r="Z1078" s="10"/>
      <c r="AA1078" s="30"/>
      <c r="AB1078" s="31"/>
      <c r="AC1078" s="45"/>
      <c r="AD1078" s="31"/>
      <c r="AE1078" s="31"/>
      <c r="AF1078" s="32">
        <f t="shared" ref="AF1078" si="229">SUM(AC1078:AD1078)</f>
        <v>0</v>
      </c>
      <c r="AG1078" s="10"/>
      <c r="AH1078" s="10"/>
      <c r="AI1078" s="10"/>
      <c r="AJ1078" s="12">
        <f t="shared" si="223"/>
        <v>0</v>
      </c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1:53" x14ac:dyDescent="0.25">
      <c r="A1079" s="18"/>
      <c r="B1079" s="10"/>
      <c r="C1079" s="31"/>
      <c r="D1079" s="31"/>
      <c r="E1079" s="31"/>
      <c r="F1079" s="31"/>
      <c r="G1079" s="31"/>
      <c r="H1079" s="31"/>
      <c r="I1079" s="10"/>
      <c r="J1079" s="10"/>
      <c r="K1079" s="10"/>
      <c r="L1079" s="12">
        <f t="shared" si="219"/>
        <v>0</v>
      </c>
      <c r="N1079" s="10"/>
      <c r="O1079" s="31"/>
      <c r="P1079" s="31"/>
      <c r="Q1079" s="31"/>
      <c r="R1079" s="31"/>
      <c r="S1079" s="31"/>
      <c r="T1079" s="31"/>
      <c r="U1079" s="10"/>
      <c r="V1079" s="10"/>
      <c r="W1079" s="10"/>
      <c r="X1079" s="12">
        <f t="shared" si="221"/>
        <v>0</v>
      </c>
      <c r="Z1079" s="10"/>
      <c r="AA1079" s="31"/>
      <c r="AB1079" s="31"/>
      <c r="AC1079" s="31"/>
      <c r="AD1079" s="31"/>
      <c r="AE1079" s="31"/>
      <c r="AF1079" s="31"/>
      <c r="AG1079" s="10"/>
      <c r="AH1079" s="10"/>
      <c r="AI1079" s="10"/>
      <c r="AJ1079" s="12">
        <f t="shared" si="223"/>
        <v>0</v>
      </c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1:53" x14ac:dyDescent="0.25">
      <c r="A1080" s="18"/>
      <c r="C1080" s="55"/>
      <c r="D1080" s="55"/>
      <c r="E1080" s="36"/>
      <c r="F1080" s="36"/>
      <c r="G1080" s="36"/>
      <c r="H1080" s="36"/>
      <c r="I1080" s="37"/>
      <c r="J1080" s="37"/>
      <c r="K1080" s="37"/>
      <c r="L1080" s="37"/>
      <c r="O1080" s="55"/>
      <c r="P1080" s="55"/>
      <c r="Q1080" s="36"/>
      <c r="R1080" s="36"/>
      <c r="S1080" s="36"/>
      <c r="T1080" s="36"/>
      <c r="U1080" s="37"/>
      <c r="V1080" s="37"/>
      <c r="W1080" s="37"/>
      <c r="X1080" s="37"/>
      <c r="AA1080" s="55"/>
      <c r="AB1080" s="55"/>
      <c r="AC1080" s="36"/>
      <c r="AD1080" s="36"/>
      <c r="AE1080" s="36"/>
      <c r="AF1080" s="36"/>
      <c r="AG1080" s="37"/>
      <c r="AH1080" s="37"/>
      <c r="AI1080" s="37"/>
      <c r="AJ1080" s="37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1:53" x14ac:dyDescent="0.25">
      <c r="A1081" s="18"/>
      <c r="C1081" s="55"/>
      <c r="D1081" s="55"/>
      <c r="E1081" s="38">
        <f>SUM(E1038:E1080)</f>
        <v>667926</v>
      </c>
      <c r="F1081" s="38">
        <f>SUM(F1038:F1062)</f>
        <v>-5172</v>
      </c>
      <c r="G1081" s="38">
        <f>SUM(G1038:G1062)</f>
        <v>0</v>
      </c>
      <c r="H1081" s="38">
        <f>SUM(H1038:H1080)</f>
        <v>662754</v>
      </c>
      <c r="I1081" s="4"/>
      <c r="J1081" s="39">
        <f>SUM(J1038:J1080)</f>
        <v>13875</v>
      </c>
      <c r="K1081" s="39">
        <f>SUM(K1038:K1062)</f>
        <v>-1554</v>
      </c>
      <c r="L1081" s="40">
        <f>SUM(L1038:L1080)</f>
        <v>675075</v>
      </c>
      <c r="O1081" s="55"/>
      <c r="P1081" s="55"/>
      <c r="Q1081" s="38">
        <f>SUM(Q1038:Q1080)</f>
        <v>443917</v>
      </c>
      <c r="R1081" s="38">
        <f>SUM(R1038:R1062)</f>
        <v>-4074</v>
      </c>
      <c r="S1081" s="38">
        <f>SUM(S1038:S1062)</f>
        <v>0</v>
      </c>
      <c r="T1081" s="38">
        <f>SUM(T1038:T1080)</f>
        <v>439843</v>
      </c>
      <c r="U1081" s="4"/>
      <c r="V1081" s="39">
        <f>SUM(V1038:V1080)</f>
        <v>732</v>
      </c>
      <c r="W1081" s="39">
        <f>SUM(W1038:W1062)</f>
        <v>-654</v>
      </c>
      <c r="X1081" s="40">
        <f>SUM(X1038:X1080)</f>
        <v>439921</v>
      </c>
      <c r="AA1081" s="55"/>
      <c r="AB1081" s="55"/>
      <c r="AC1081" s="38">
        <f>SUM(AC1038:AC1080)</f>
        <v>563679</v>
      </c>
      <c r="AD1081" s="38">
        <f>SUM(AD1038:AD1062)</f>
        <v>-3882</v>
      </c>
      <c r="AE1081" s="38">
        <f>SUM(AE1038:AE1062)</f>
        <v>0</v>
      </c>
      <c r="AF1081" s="38">
        <f>SUM(AF1038:AF1080)</f>
        <v>559797</v>
      </c>
      <c r="AG1081" s="4"/>
      <c r="AH1081" s="39">
        <f>SUM(AH1038:AH1080)</f>
        <v>453</v>
      </c>
      <c r="AI1081" s="39">
        <f>SUM(AI1038:AI1062)</f>
        <v>-1110</v>
      </c>
      <c r="AJ1081" s="40">
        <f>SUM(AJ1038:AJ1080)</f>
        <v>559140</v>
      </c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1:53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Z1082" s="18"/>
      <c r="AA1082" s="18"/>
      <c r="AB1082" s="18"/>
      <c r="AC1082" s="18"/>
      <c r="AD1082" s="18"/>
      <c r="AE1082" s="18"/>
      <c r="AF1082" s="18"/>
      <c r="AG1082" s="18"/>
      <c r="AH1082" s="18"/>
      <c r="AI1082" s="18"/>
      <c r="AJ1082" s="18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1:53" x14ac:dyDescent="0.25">
      <c r="A1083" s="18"/>
      <c r="B1083" t="s">
        <v>0</v>
      </c>
      <c r="C1083" s="55"/>
      <c r="D1083" s="55"/>
      <c r="E1083" s="55"/>
      <c r="F1083" s="55"/>
      <c r="H1083" s="55"/>
      <c r="N1083" t="s">
        <v>0</v>
      </c>
      <c r="O1083" s="55"/>
      <c r="P1083" s="55"/>
      <c r="Q1083" s="55"/>
      <c r="R1083" s="55"/>
      <c r="S1083" s="55"/>
      <c r="T1083" s="55"/>
      <c r="Z1083" t="s">
        <v>0</v>
      </c>
      <c r="AA1083" s="55"/>
      <c r="AB1083" s="55"/>
      <c r="AC1083" s="55"/>
      <c r="AD1083" s="55"/>
      <c r="AE1083" s="55"/>
      <c r="AF1083" s="55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1:53" x14ac:dyDescent="0.25">
      <c r="A1084" s="18"/>
      <c r="B1084" t="s">
        <v>28</v>
      </c>
      <c r="C1084" s="55"/>
      <c r="D1084" s="55"/>
      <c r="E1084" s="55"/>
      <c r="F1084" s="55"/>
      <c r="H1084" s="55"/>
      <c r="N1084" t="s">
        <v>28</v>
      </c>
      <c r="O1084" s="55"/>
      <c r="P1084" s="55"/>
      <c r="Q1084" s="55"/>
      <c r="R1084" s="55"/>
      <c r="S1084" s="55"/>
      <c r="T1084" s="55"/>
      <c r="Z1084" t="s">
        <v>28</v>
      </c>
      <c r="AA1084" s="55"/>
      <c r="AB1084" s="55"/>
      <c r="AC1084" s="55"/>
      <c r="AD1084" s="55"/>
      <c r="AE1084" s="55"/>
      <c r="AF1084" s="55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1:53" x14ac:dyDescent="0.25">
      <c r="A1085" s="18"/>
      <c r="C1085" s="55"/>
      <c r="D1085" s="55"/>
      <c r="E1085" s="55"/>
      <c r="F1085" s="55"/>
      <c r="H1085" s="55"/>
      <c r="O1085" s="55"/>
      <c r="P1085" s="55"/>
      <c r="Q1085" s="55"/>
      <c r="R1085" s="55"/>
      <c r="S1085" s="55"/>
      <c r="T1085" s="55"/>
      <c r="AA1085" s="55"/>
      <c r="AB1085" s="55"/>
      <c r="AC1085" s="55"/>
      <c r="AD1085" s="55"/>
      <c r="AE1085" s="55"/>
      <c r="AF1085" s="55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1:53" x14ac:dyDescent="0.25">
      <c r="A1086" s="18"/>
      <c r="B1086" s="4" t="s">
        <v>14</v>
      </c>
      <c r="C1086" s="55"/>
      <c r="D1086" s="55"/>
      <c r="E1086" s="55"/>
      <c r="F1086" s="55"/>
      <c r="H1086" s="55"/>
      <c r="N1086" s="4" t="s">
        <v>14</v>
      </c>
      <c r="O1086" s="55"/>
      <c r="P1086" s="55"/>
      <c r="Q1086" s="55"/>
      <c r="R1086" s="55"/>
      <c r="S1086" s="55"/>
      <c r="T1086" s="55"/>
      <c r="Z1086" s="4" t="s">
        <v>14</v>
      </c>
      <c r="AA1086" s="55"/>
      <c r="AB1086" s="55"/>
      <c r="AC1086" s="55"/>
      <c r="AD1086" s="55"/>
      <c r="AE1086" s="55"/>
      <c r="AF1086" s="55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1:53" x14ac:dyDescent="0.25">
      <c r="A1087" s="18"/>
      <c r="C1087" s="55"/>
      <c r="D1087" s="55"/>
      <c r="E1087" s="55"/>
      <c r="F1087" s="55"/>
      <c r="H1087" s="55"/>
      <c r="O1087" s="55"/>
      <c r="P1087" s="55"/>
      <c r="Q1087" s="55"/>
      <c r="R1087" s="55"/>
      <c r="S1087" s="55"/>
      <c r="T1087" s="55"/>
      <c r="AA1087" s="55"/>
      <c r="AB1087" s="55"/>
      <c r="AC1087" s="55"/>
      <c r="AD1087" s="55"/>
      <c r="AE1087" s="55"/>
      <c r="AF1087" s="55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1:53" ht="15.75" x14ac:dyDescent="0.25">
      <c r="A1088" s="18"/>
      <c r="B1088" t="s">
        <v>47</v>
      </c>
      <c r="C1088" s="55"/>
      <c r="D1088" s="55"/>
      <c r="E1088" s="55"/>
      <c r="F1088" s="55"/>
      <c r="H1088" s="55"/>
      <c r="J1088" s="55" t="s">
        <v>15</v>
      </c>
      <c r="K1088" s="19">
        <v>1</v>
      </c>
      <c r="N1088" t="s">
        <v>47</v>
      </c>
      <c r="O1088" s="55"/>
      <c r="P1088" s="55"/>
      <c r="Q1088" s="55"/>
      <c r="R1088" s="55"/>
      <c r="S1088" s="55"/>
      <c r="T1088" s="55"/>
      <c r="V1088" s="55" t="s">
        <v>15</v>
      </c>
      <c r="W1088" s="19">
        <v>2</v>
      </c>
      <c r="Z1088" t="s">
        <v>47</v>
      </c>
      <c r="AA1088" s="55"/>
      <c r="AB1088" s="55"/>
      <c r="AC1088" s="55"/>
      <c r="AD1088" s="55"/>
      <c r="AE1088" s="55"/>
      <c r="AF1088" s="55"/>
      <c r="AH1088" s="55" t="s">
        <v>15</v>
      </c>
      <c r="AI1088" s="20">
        <v>3</v>
      </c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1:53" x14ac:dyDescent="0.25">
      <c r="A1089" s="18"/>
      <c r="B1089" s="21" t="s">
        <v>97</v>
      </c>
      <c r="C1089" s="20"/>
      <c r="D1089" s="55"/>
      <c r="E1089" s="55"/>
      <c r="F1089" s="55"/>
      <c r="H1089" s="55"/>
      <c r="J1089" s="22" t="s">
        <v>16</v>
      </c>
      <c r="K1089" s="23" t="s">
        <v>35</v>
      </c>
      <c r="L1089" s="24"/>
      <c r="N1089" s="21" t="s">
        <v>97</v>
      </c>
      <c r="O1089" s="20"/>
      <c r="P1089" s="55"/>
      <c r="Q1089" s="55"/>
      <c r="R1089" s="55"/>
      <c r="S1089" s="55"/>
      <c r="T1089" s="55"/>
      <c r="V1089" s="22" t="s">
        <v>16</v>
      </c>
      <c r="W1089" s="23" t="s">
        <v>82</v>
      </c>
      <c r="X1089" s="24"/>
      <c r="Z1089" s="21" t="s">
        <v>97</v>
      </c>
      <c r="AA1089" s="20"/>
      <c r="AB1089" s="55"/>
      <c r="AC1089" s="55"/>
      <c r="AD1089" s="55"/>
      <c r="AE1089" s="55"/>
      <c r="AF1089" s="55"/>
      <c r="AH1089" s="22" t="s">
        <v>16</v>
      </c>
      <c r="AI1089" s="23" t="s">
        <v>41</v>
      </c>
      <c r="AJ1089" s="24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1:53" x14ac:dyDescent="0.25">
      <c r="A1090" s="18"/>
      <c r="C1090" s="55"/>
      <c r="D1090" s="55"/>
      <c r="E1090" s="55"/>
      <c r="F1090" s="55"/>
      <c r="H1090" s="55"/>
      <c r="O1090" s="55"/>
      <c r="P1090" s="55"/>
      <c r="Q1090" s="55"/>
      <c r="R1090" s="55"/>
      <c r="S1090" s="55"/>
      <c r="T1090" s="55"/>
      <c r="AA1090" s="55"/>
      <c r="AB1090" s="55"/>
      <c r="AC1090" s="55"/>
      <c r="AD1090" s="55"/>
      <c r="AE1090" s="55"/>
      <c r="AF1090" s="55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1:53" x14ac:dyDescent="0.25">
      <c r="A1091" s="18"/>
      <c r="C1091" s="25"/>
      <c r="D1091" s="26"/>
      <c r="E1091" s="118" t="s">
        <v>17</v>
      </c>
      <c r="F1091" s="118"/>
      <c r="G1091" s="113"/>
      <c r="H1091" s="27"/>
      <c r="J1091" s="119" t="s">
        <v>18</v>
      </c>
      <c r="K1091" s="120"/>
      <c r="L1091" s="121" t="s">
        <v>19</v>
      </c>
      <c r="O1091" s="25"/>
      <c r="P1091" s="26"/>
      <c r="Q1091" s="118" t="s">
        <v>17</v>
      </c>
      <c r="R1091" s="118"/>
      <c r="S1091" s="113"/>
      <c r="T1091" s="27"/>
      <c r="V1091" s="119" t="s">
        <v>18</v>
      </c>
      <c r="W1091" s="120"/>
      <c r="X1091" s="121" t="s">
        <v>19</v>
      </c>
      <c r="AA1091" s="25"/>
      <c r="AB1091" s="26"/>
      <c r="AC1091" s="118" t="s">
        <v>17</v>
      </c>
      <c r="AD1091" s="118"/>
      <c r="AE1091" s="113"/>
      <c r="AF1091" s="27"/>
      <c r="AH1091" s="119" t="s">
        <v>18</v>
      </c>
      <c r="AI1091" s="120"/>
      <c r="AJ1091" s="121" t="s">
        <v>19</v>
      </c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1:53" ht="30" x14ac:dyDescent="0.25">
      <c r="A1092" s="18"/>
      <c r="C1092" s="28" t="s">
        <v>20</v>
      </c>
      <c r="D1092" s="28" t="s">
        <v>21</v>
      </c>
      <c r="E1092" s="74" t="s">
        <v>22</v>
      </c>
      <c r="F1092" s="75" t="s">
        <v>23</v>
      </c>
      <c r="G1092" s="75" t="s">
        <v>31</v>
      </c>
      <c r="H1092" s="75" t="s">
        <v>24</v>
      </c>
      <c r="J1092" s="29" t="s">
        <v>25</v>
      </c>
      <c r="K1092" s="29" t="s">
        <v>26</v>
      </c>
      <c r="L1092" s="122"/>
      <c r="O1092" s="28" t="s">
        <v>20</v>
      </c>
      <c r="P1092" s="28" t="s">
        <v>21</v>
      </c>
      <c r="Q1092" s="74" t="s">
        <v>22</v>
      </c>
      <c r="R1092" s="75" t="s">
        <v>23</v>
      </c>
      <c r="S1092" s="75" t="s">
        <v>31</v>
      </c>
      <c r="T1092" s="75" t="s">
        <v>24</v>
      </c>
      <c r="V1092" s="29" t="s">
        <v>25</v>
      </c>
      <c r="W1092" s="29" t="s">
        <v>26</v>
      </c>
      <c r="X1092" s="122"/>
      <c r="AA1092" s="28" t="s">
        <v>20</v>
      </c>
      <c r="AB1092" s="28" t="s">
        <v>21</v>
      </c>
      <c r="AC1092" s="74" t="s">
        <v>22</v>
      </c>
      <c r="AD1092" s="75" t="s">
        <v>23</v>
      </c>
      <c r="AE1092" s="75" t="s">
        <v>31</v>
      </c>
      <c r="AF1092" s="75" t="s">
        <v>24</v>
      </c>
      <c r="AH1092" s="29" t="s">
        <v>25</v>
      </c>
      <c r="AI1092" s="29" t="s">
        <v>26</v>
      </c>
      <c r="AJ1092" s="122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1:53" x14ac:dyDescent="0.25">
      <c r="A1093" s="18"/>
      <c r="B1093" s="10">
        <v>1</v>
      </c>
      <c r="C1093" s="30" t="s">
        <v>98</v>
      </c>
      <c r="D1093" s="80">
        <v>12059</v>
      </c>
      <c r="E1093" s="32">
        <f>650*15+670*3+622*3</f>
        <v>13626</v>
      </c>
      <c r="F1093" s="32"/>
      <c r="G1093" s="32"/>
      <c r="H1093" s="32">
        <f>SUM(E1093:F1093)</f>
        <v>13626</v>
      </c>
      <c r="I1093" s="12"/>
      <c r="J1093" s="12"/>
      <c r="K1093" s="12"/>
      <c r="L1093" s="12">
        <f>SUM(H1093:K1093)</f>
        <v>13626</v>
      </c>
      <c r="N1093" s="10">
        <v>1</v>
      </c>
      <c r="O1093" s="30" t="s">
        <v>98</v>
      </c>
      <c r="P1093" s="80">
        <v>11983</v>
      </c>
      <c r="Q1093" s="32">
        <f>650*3+670+622+9.5*4</f>
        <v>3280</v>
      </c>
      <c r="R1093" s="32"/>
      <c r="S1093" s="32"/>
      <c r="T1093" s="32">
        <f>SUM(Q1093:R1093)</f>
        <v>3280</v>
      </c>
      <c r="U1093" s="12"/>
      <c r="V1093" s="12">
        <f>1.5*3</f>
        <v>4.5</v>
      </c>
      <c r="W1093" s="12"/>
      <c r="X1093" s="12">
        <f>SUM(T1093:W1093)</f>
        <v>3284.5</v>
      </c>
      <c r="Z1093" s="10">
        <v>1</v>
      </c>
      <c r="AA1093" s="30" t="s">
        <v>98</v>
      </c>
      <c r="AB1093" s="31">
        <v>12022</v>
      </c>
      <c r="AC1093" s="32">
        <f>650*216+670*5+973*2+912*4+229*4</f>
        <v>150260</v>
      </c>
      <c r="AD1093" s="32"/>
      <c r="AE1093" s="32"/>
      <c r="AF1093" s="32">
        <f>SUM(AC1093:AD1093)</f>
        <v>150260</v>
      </c>
      <c r="AG1093" s="12"/>
      <c r="AH1093" s="12">
        <f>111*25+78+120*6</f>
        <v>3573</v>
      </c>
      <c r="AI1093" s="12"/>
      <c r="AJ1093" s="12">
        <f>SUM(AF1093:AI1093)</f>
        <v>153833</v>
      </c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1:53" x14ac:dyDescent="0.25">
      <c r="A1094" s="18"/>
      <c r="B1094" s="10">
        <v>2</v>
      </c>
      <c r="C1094" s="30" t="s">
        <v>98</v>
      </c>
      <c r="D1094" s="80">
        <f>D1093+1</f>
        <v>12060</v>
      </c>
      <c r="E1094" s="32">
        <f>650*18+670+622+9.5*19</f>
        <v>13172.5</v>
      </c>
      <c r="F1094" s="32"/>
      <c r="G1094" s="32"/>
      <c r="H1094" s="32">
        <f t="shared" ref="H1094:H1131" si="230">SUM(E1094:F1094)</f>
        <v>13172.5</v>
      </c>
      <c r="I1094" s="12"/>
      <c r="J1094" s="12"/>
      <c r="K1094" s="12"/>
      <c r="L1094" s="12">
        <f t="shared" ref="L1094:L1134" si="231">SUM(H1094:K1094)</f>
        <v>13172.5</v>
      </c>
      <c r="N1094" s="10">
        <v>2</v>
      </c>
      <c r="O1094" s="30" t="s">
        <v>98</v>
      </c>
      <c r="P1094" s="80">
        <f>P1093+1</f>
        <v>11984</v>
      </c>
      <c r="Q1094" s="32">
        <f>650*15+622*5+872*2+9.5*5</f>
        <v>14651.5</v>
      </c>
      <c r="R1094" s="32"/>
      <c r="S1094" s="32"/>
      <c r="T1094" s="32">
        <f t="shared" ref="T1094:T1131" si="232">SUM(Q1094:R1094)</f>
        <v>14651.5</v>
      </c>
      <c r="U1094" s="12"/>
      <c r="V1094" s="12">
        <f>4.5*6+1.5*48</f>
        <v>99</v>
      </c>
      <c r="W1094" s="12"/>
      <c r="X1094" s="12">
        <f t="shared" ref="X1094:X1134" si="233">SUM(T1094:W1094)</f>
        <v>14750.5</v>
      </c>
      <c r="Z1094" s="10">
        <v>2</v>
      </c>
      <c r="AA1094" s="30" t="s">
        <v>98</v>
      </c>
      <c r="AB1094" s="31">
        <f>AB1093+1</f>
        <v>12023</v>
      </c>
      <c r="AC1094" s="32">
        <f>650*25+622*5</f>
        <v>19360</v>
      </c>
      <c r="AD1094" s="32"/>
      <c r="AE1094" s="32"/>
      <c r="AF1094" s="32">
        <f t="shared" ref="AF1094:AF1131" si="234">SUM(AC1094:AD1094)</f>
        <v>19360</v>
      </c>
      <c r="AG1094" s="12"/>
      <c r="AH1094" s="12"/>
      <c r="AI1094" s="12"/>
      <c r="AJ1094" s="12">
        <f t="shared" ref="AJ1094:AJ1134" si="235">SUM(AF1094:AI1094)</f>
        <v>19360</v>
      </c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1:53" x14ac:dyDescent="0.25">
      <c r="A1095" s="18"/>
      <c r="B1095" s="10">
        <v>3</v>
      </c>
      <c r="C1095" s="30" t="s">
        <v>98</v>
      </c>
      <c r="D1095" s="80">
        <f t="shared" ref="D1095:D1097" si="236">D1094+1</f>
        <v>12061</v>
      </c>
      <c r="E1095" s="33">
        <f>650*432+622*30+229*10</f>
        <v>301750</v>
      </c>
      <c r="F1095" s="33">
        <f>-462*6</f>
        <v>-2772</v>
      </c>
      <c r="G1095" s="32"/>
      <c r="H1095" s="32">
        <f t="shared" si="230"/>
        <v>298978</v>
      </c>
      <c r="I1095" s="12"/>
      <c r="J1095" s="34"/>
      <c r="K1095" s="34">
        <f>-111*68</f>
        <v>-7548</v>
      </c>
      <c r="L1095" s="12">
        <f t="shared" si="231"/>
        <v>291430</v>
      </c>
      <c r="N1095" s="10">
        <v>3</v>
      </c>
      <c r="O1095" s="30" t="s">
        <v>98</v>
      </c>
      <c r="P1095" s="80">
        <f t="shared" ref="P1095:P1107" si="237">P1094+1</f>
        <v>11985</v>
      </c>
      <c r="Q1095" s="33">
        <f>650*50</f>
        <v>32500</v>
      </c>
      <c r="R1095" s="33">
        <f>-50*6</f>
        <v>-300</v>
      </c>
      <c r="S1095" s="32"/>
      <c r="T1095" s="32">
        <f t="shared" si="232"/>
        <v>32200</v>
      </c>
      <c r="U1095" s="12"/>
      <c r="V1095" s="34">
        <f>4.5*30</f>
        <v>135</v>
      </c>
      <c r="W1095" s="34"/>
      <c r="X1095" s="12">
        <f t="shared" si="233"/>
        <v>32335</v>
      </c>
      <c r="Z1095" s="10">
        <v>3</v>
      </c>
      <c r="AA1095" s="30" t="s">
        <v>98</v>
      </c>
      <c r="AB1095" s="31">
        <f t="shared" ref="AB1095:AB1101" si="238">AB1094+1</f>
        <v>12024</v>
      </c>
      <c r="AC1095" s="33">
        <f>650*50+622*28+229*3</f>
        <v>50603</v>
      </c>
      <c r="AD1095" s="33">
        <f>-78*6</f>
        <v>-468</v>
      </c>
      <c r="AE1095" s="32"/>
      <c r="AF1095" s="32">
        <f t="shared" si="234"/>
        <v>50135</v>
      </c>
      <c r="AG1095" s="12"/>
      <c r="AH1095" s="12">
        <f>1.5*26+4.5*60</f>
        <v>309</v>
      </c>
      <c r="AI1095" s="12"/>
      <c r="AJ1095" s="12">
        <f t="shared" si="235"/>
        <v>50444</v>
      </c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1:53" x14ac:dyDescent="0.25">
      <c r="A1096" s="18"/>
      <c r="B1096" s="10">
        <v>4</v>
      </c>
      <c r="C1096" s="30" t="s">
        <v>98</v>
      </c>
      <c r="D1096" s="80">
        <f t="shared" si="236"/>
        <v>12062</v>
      </c>
      <c r="E1096" s="32">
        <f>650*53+622*10</f>
        <v>40670</v>
      </c>
      <c r="F1096" s="32"/>
      <c r="G1096" s="32"/>
      <c r="H1096" s="32">
        <f t="shared" si="230"/>
        <v>40670</v>
      </c>
      <c r="I1096" s="12"/>
      <c r="J1096" s="12"/>
      <c r="K1096" s="12"/>
      <c r="L1096" s="12">
        <f t="shared" si="231"/>
        <v>40670</v>
      </c>
      <c r="N1096" s="10">
        <v>4</v>
      </c>
      <c r="O1096" s="30" t="s">
        <v>98</v>
      </c>
      <c r="P1096" s="80">
        <f t="shared" si="237"/>
        <v>11986</v>
      </c>
      <c r="Q1096" s="32">
        <f>650*57+229*2</f>
        <v>37508</v>
      </c>
      <c r="R1096" s="32"/>
      <c r="S1096" s="32"/>
      <c r="T1096" s="32">
        <f t="shared" si="232"/>
        <v>37508</v>
      </c>
      <c r="U1096" s="12"/>
      <c r="V1096" s="12">
        <f>1.5*48</f>
        <v>72</v>
      </c>
      <c r="W1096" s="12"/>
      <c r="X1096" s="12">
        <f t="shared" si="233"/>
        <v>37580</v>
      </c>
      <c r="Z1096" s="10">
        <v>4</v>
      </c>
      <c r="AA1096" s="30" t="s">
        <v>98</v>
      </c>
      <c r="AB1096" s="31">
        <f t="shared" si="238"/>
        <v>12025</v>
      </c>
      <c r="AC1096" s="32">
        <f>650*100+229*4</f>
        <v>65916</v>
      </c>
      <c r="AD1096" s="32">
        <f>-100*6</f>
        <v>-600</v>
      </c>
      <c r="AE1096" s="32"/>
      <c r="AF1096" s="32">
        <f t="shared" si="234"/>
        <v>65316</v>
      </c>
      <c r="AG1096" s="12"/>
      <c r="AI1096" s="12"/>
      <c r="AJ1096" s="12">
        <f t="shared" si="235"/>
        <v>65316</v>
      </c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1:53" x14ac:dyDescent="0.25">
      <c r="A1097" s="18"/>
      <c r="B1097" s="10">
        <v>5</v>
      </c>
      <c r="C1097" s="30"/>
      <c r="D1097" s="11" t="s">
        <v>27</v>
      </c>
      <c r="E1097" s="32"/>
      <c r="F1097" s="32"/>
      <c r="G1097" s="32"/>
      <c r="H1097" s="32">
        <f t="shared" si="230"/>
        <v>0</v>
      </c>
      <c r="I1097" s="12"/>
      <c r="J1097" s="12"/>
      <c r="K1097" s="12"/>
      <c r="L1097" s="12">
        <f t="shared" si="231"/>
        <v>0</v>
      </c>
      <c r="N1097" s="10">
        <v>5</v>
      </c>
      <c r="O1097" s="30" t="s">
        <v>98</v>
      </c>
      <c r="P1097" s="80">
        <f t="shared" si="237"/>
        <v>11987</v>
      </c>
      <c r="Q1097" s="32">
        <f>650*75+670*5+229*3</f>
        <v>52787</v>
      </c>
      <c r="R1097" s="32"/>
      <c r="S1097" s="32"/>
      <c r="T1097" s="32">
        <f t="shared" si="232"/>
        <v>52787</v>
      </c>
      <c r="U1097" s="12"/>
      <c r="V1097" s="12">
        <f>111*10+4.5*48</f>
        <v>1326</v>
      </c>
      <c r="W1097" s="12"/>
      <c r="X1097" s="12">
        <f t="shared" si="233"/>
        <v>54113</v>
      </c>
      <c r="Z1097" s="10">
        <v>5</v>
      </c>
      <c r="AA1097" s="30" t="s">
        <v>98</v>
      </c>
      <c r="AB1097" s="31">
        <f t="shared" si="238"/>
        <v>12026</v>
      </c>
      <c r="AC1097" s="32">
        <f>650*216+872*5+229*6+650*3</f>
        <v>148084</v>
      </c>
      <c r="AD1097" s="32">
        <f>-221*6</f>
        <v>-1326</v>
      </c>
      <c r="AE1097" s="32"/>
      <c r="AF1097" s="32">
        <f t="shared" si="234"/>
        <v>146758</v>
      </c>
      <c r="AG1097" s="12"/>
      <c r="AH1097" s="12">
        <f>111*32+4.5*42+1.5*128</f>
        <v>3933</v>
      </c>
      <c r="AI1097" s="12"/>
      <c r="AJ1097" s="12">
        <f t="shared" si="235"/>
        <v>150691</v>
      </c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1:53" x14ac:dyDescent="0.25">
      <c r="A1098" s="18"/>
      <c r="B1098" s="10">
        <v>6</v>
      </c>
      <c r="C1098" s="30"/>
      <c r="E1098" s="32"/>
      <c r="F1098" s="32"/>
      <c r="G1098" s="32"/>
      <c r="H1098" s="32">
        <f t="shared" si="230"/>
        <v>0</v>
      </c>
      <c r="I1098" s="12"/>
      <c r="J1098" s="12"/>
      <c r="K1098" s="10"/>
      <c r="L1098" s="12">
        <f t="shared" si="231"/>
        <v>0</v>
      </c>
      <c r="N1098" s="10">
        <v>6</v>
      </c>
      <c r="O1098" s="30" t="s">
        <v>98</v>
      </c>
      <c r="P1098" s="80">
        <f t="shared" si="237"/>
        <v>11988</v>
      </c>
      <c r="Q1098" s="32">
        <f>650*13+622*2+9.5*15</f>
        <v>9836.5</v>
      </c>
      <c r="R1098" s="32"/>
      <c r="S1098" s="32"/>
      <c r="T1098" s="32">
        <f t="shared" si="232"/>
        <v>9836.5</v>
      </c>
      <c r="U1098" s="12"/>
      <c r="V1098" s="12"/>
      <c r="W1098" s="10">
        <v>-78</v>
      </c>
      <c r="X1098" s="12">
        <f t="shared" si="233"/>
        <v>9758.5</v>
      </c>
      <c r="Z1098" s="10">
        <v>6</v>
      </c>
      <c r="AA1098" s="30" t="s">
        <v>98</v>
      </c>
      <c r="AB1098" s="31">
        <f t="shared" si="238"/>
        <v>12027</v>
      </c>
      <c r="AC1098" s="32">
        <f>650*15+670*3+622*7</f>
        <v>16114</v>
      </c>
      <c r="AD1098" s="32"/>
      <c r="AE1098" s="32"/>
      <c r="AF1098" s="32">
        <f t="shared" si="234"/>
        <v>16114</v>
      </c>
      <c r="AG1098" s="12"/>
      <c r="AH1098" s="12"/>
      <c r="AI1098" s="10"/>
      <c r="AJ1098" s="12">
        <f t="shared" si="235"/>
        <v>16114</v>
      </c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1:53" x14ac:dyDescent="0.25">
      <c r="A1099" s="18"/>
      <c r="B1099" s="10">
        <v>7</v>
      </c>
      <c r="C1099" s="30"/>
      <c r="E1099" s="32"/>
      <c r="F1099" s="32"/>
      <c r="G1099" s="32"/>
      <c r="H1099" s="32">
        <f t="shared" si="230"/>
        <v>0</v>
      </c>
      <c r="I1099" s="12"/>
      <c r="J1099" s="12"/>
      <c r="K1099" s="12"/>
      <c r="L1099" s="12">
        <f t="shared" si="231"/>
        <v>0</v>
      </c>
      <c r="N1099" s="10">
        <v>7</v>
      </c>
      <c r="O1099" s="30" t="s">
        <v>98</v>
      </c>
      <c r="P1099" s="80">
        <f t="shared" si="237"/>
        <v>11989</v>
      </c>
      <c r="Q1099" s="32">
        <f>650*21+670+622+650</f>
        <v>15592</v>
      </c>
      <c r="R1099" s="32"/>
      <c r="S1099" s="32"/>
      <c r="T1099" s="32">
        <f t="shared" si="232"/>
        <v>15592</v>
      </c>
      <c r="U1099" s="12"/>
      <c r="V1099" s="12">
        <f>4.5*13</f>
        <v>58.5</v>
      </c>
      <c r="W1099" s="12"/>
      <c r="X1099" s="12">
        <f t="shared" si="233"/>
        <v>15650.5</v>
      </c>
      <c r="Z1099" s="10">
        <v>7</v>
      </c>
      <c r="AA1099" s="30" t="s">
        <v>98</v>
      </c>
      <c r="AB1099" s="31">
        <f t="shared" si="238"/>
        <v>12028</v>
      </c>
      <c r="AC1099" s="32">
        <f>650+622*4</f>
        <v>3138</v>
      </c>
      <c r="AD1099" s="32"/>
      <c r="AE1099" s="32"/>
      <c r="AF1099" s="32">
        <f t="shared" si="234"/>
        <v>3138</v>
      </c>
      <c r="AG1099" s="12"/>
      <c r="AH1099" s="56">
        <f>4.5*8</f>
        <v>36</v>
      </c>
      <c r="AI1099" s="12"/>
      <c r="AJ1099" s="12">
        <f t="shared" si="235"/>
        <v>3174</v>
      </c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1:53" x14ac:dyDescent="0.25">
      <c r="A1100" s="18"/>
      <c r="B1100" s="10">
        <v>8</v>
      </c>
      <c r="C1100" s="30"/>
      <c r="D1100" s="55"/>
      <c r="E1100" s="32"/>
      <c r="F1100" s="32"/>
      <c r="G1100" s="32"/>
      <c r="H1100" s="32">
        <f t="shared" si="230"/>
        <v>0</v>
      </c>
      <c r="I1100" s="12"/>
      <c r="J1100" s="12"/>
      <c r="K1100" s="12"/>
      <c r="L1100" s="12">
        <f t="shared" si="231"/>
        <v>0</v>
      </c>
      <c r="N1100" s="10">
        <v>8</v>
      </c>
      <c r="O1100" s="30" t="s">
        <v>98</v>
      </c>
      <c r="P1100" s="80">
        <f t="shared" si="237"/>
        <v>11990</v>
      </c>
      <c r="Q1100" s="32">
        <f>650*2</f>
        <v>1300</v>
      </c>
      <c r="R1100" s="32"/>
      <c r="S1100" s="32"/>
      <c r="T1100" s="32">
        <f t="shared" si="232"/>
        <v>1300</v>
      </c>
      <c r="U1100" s="12"/>
      <c r="V1100" s="12"/>
      <c r="W1100" s="12"/>
      <c r="X1100" s="12">
        <f t="shared" si="233"/>
        <v>1300</v>
      </c>
      <c r="Z1100" s="10">
        <v>8</v>
      </c>
      <c r="AA1100" s="30" t="s">
        <v>98</v>
      </c>
      <c r="AB1100" s="31">
        <f t="shared" si="238"/>
        <v>12029</v>
      </c>
      <c r="AC1100" s="32">
        <f>650*16+670+622*9+229</f>
        <v>16897</v>
      </c>
      <c r="AD1100" s="32"/>
      <c r="AF1100" s="32">
        <f t="shared" si="234"/>
        <v>16897</v>
      </c>
      <c r="AG1100" s="12"/>
      <c r="AH1100" s="12">
        <f>4.5*6</f>
        <v>27</v>
      </c>
      <c r="AI1100" s="12"/>
      <c r="AJ1100" s="12">
        <f t="shared" si="235"/>
        <v>16924</v>
      </c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1:53" x14ac:dyDescent="0.25">
      <c r="A1101" s="18"/>
      <c r="B1101" s="10">
        <v>9</v>
      </c>
      <c r="C1101" s="30"/>
      <c r="D1101" s="80"/>
      <c r="E1101" s="32"/>
      <c r="F1101" s="32"/>
      <c r="G1101" s="32"/>
      <c r="H1101" s="32">
        <f t="shared" si="230"/>
        <v>0</v>
      </c>
      <c r="I1101" s="12"/>
      <c r="J1101" s="12"/>
      <c r="K1101" s="12"/>
      <c r="L1101" s="12">
        <f t="shared" si="231"/>
        <v>0</v>
      </c>
      <c r="N1101" s="10">
        <v>9</v>
      </c>
      <c r="O1101" s="30" t="s">
        <v>98</v>
      </c>
      <c r="P1101" s="80">
        <f t="shared" si="237"/>
        <v>11991</v>
      </c>
      <c r="Q1101" s="32">
        <f>650*10+622*2</f>
        <v>7744</v>
      </c>
      <c r="R1101" s="32"/>
      <c r="S1101" s="32"/>
      <c r="T1101" s="32">
        <f t="shared" si="232"/>
        <v>7744</v>
      </c>
      <c r="U1101" s="12"/>
      <c r="V1101" s="12"/>
      <c r="W1101" s="12"/>
      <c r="X1101" s="12">
        <f t="shared" si="233"/>
        <v>7744</v>
      </c>
      <c r="Z1101" s="10">
        <v>9</v>
      </c>
      <c r="AA1101" s="30" t="s">
        <v>98</v>
      </c>
      <c r="AB1101" s="31">
        <f t="shared" si="238"/>
        <v>12030</v>
      </c>
      <c r="AC1101" s="32">
        <f>650*8+670*2+973+229</f>
        <v>7742</v>
      </c>
      <c r="AD1101" s="32"/>
      <c r="AE1101" s="32"/>
      <c r="AF1101" s="32">
        <f t="shared" si="234"/>
        <v>7742</v>
      </c>
      <c r="AG1101" s="12"/>
      <c r="AI1101" s="12"/>
      <c r="AJ1101" s="12">
        <f t="shared" si="235"/>
        <v>7742</v>
      </c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1:53" x14ac:dyDescent="0.25">
      <c r="A1102" s="18"/>
      <c r="B1102" s="10">
        <v>10</v>
      </c>
      <c r="C1102" s="30"/>
      <c r="D1102" s="80"/>
      <c r="E1102" s="32"/>
      <c r="F1102" s="32"/>
      <c r="G1102" s="32"/>
      <c r="H1102" s="32">
        <f t="shared" si="230"/>
        <v>0</v>
      </c>
      <c r="I1102" s="12"/>
      <c r="J1102" s="12"/>
      <c r="K1102" s="12"/>
      <c r="L1102" s="12">
        <f t="shared" si="231"/>
        <v>0</v>
      </c>
      <c r="N1102" s="10">
        <v>10</v>
      </c>
      <c r="O1102" s="30" t="s">
        <v>98</v>
      </c>
      <c r="P1102" s="80">
        <f t="shared" si="237"/>
        <v>11992</v>
      </c>
      <c r="Q1102" s="32">
        <f>650*2</f>
        <v>1300</v>
      </c>
      <c r="R1102" s="32"/>
      <c r="S1102" s="32"/>
      <c r="T1102" s="32">
        <f t="shared" si="232"/>
        <v>1300</v>
      </c>
      <c r="U1102" s="12"/>
      <c r="V1102" s="12"/>
      <c r="W1102" s="12"/>
      <c r="X1102" s="12">
        <f t="shared" si="233"/>
        <v>1300</v>
      </c>
      <c r="Z1102" s="10">
        <v>10</v>
      </c>
      <c r="AA1102" s="30"/>
      <c r="AB1102" s="11" t="s">
        <v>27</v>
      </c>
      <c r="AC1102" s="32"/>
      <c r="AD1102" s="32"/>
      <c r="AE1102" s="32"/>
      <c r="AF1102" s="32">
        <f t="shared" si="234"/>
        <v>0</v>
      </c>
      <c r="AG1102" s="12"/>
      <c r="AH1102" s="12"/>
      <c r="AI1102" s="12"/>
      <c r="AJ1102" s="12">
        <f t="shared" si="235"/>
        <v>0</v>
      </c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1:53" x14ac:dyDescent="0.25">
      <c r="A1103" s="18"/>
      <c r="B1103" s="10">
        <v>11</v>
      </c>
      <c r="C1103" s="30"/>
      <c r="D1103" s="80"/>
      <c r="E1103" s="32"/>
      <c r="F1103" s="32"/>
      <c r="G1103" s="32"/>
      <c r="H1103" s="32">
        <f t="shared" si="230"/>
        <v>0</v>
      </c>
      <c r="I1103" s="12"/>
      <c r="J1103" s="12"/>
      <c r="K1103" s="12"/>
      <c r="L1103" s="12">
        <f t="shared" si="231"/>
        <v>0</v>
      </c>
      <c r="N1103" s="10">
        <v>11</v>
      </c>
      <c r="O1103" s="30" t="s">
        <v>98</v>
      </c>
      <c r="P1103" s="80">
        <f t="shared" si="237"/>
        <v>11993</v>
      </c>
      <c r="Q1103" s="32">
        <f>650*2</f>
        <v>1300</v>
      </c>
      <c r="R1103" s="32"/>
      <c r="S1103" s="32"/>
      <c r="T1103" s="32">
        <f t="shared" si="232"/>
        <v>1300</v>
      </c>
      <c r="U1103" s="12"/>
      <c r="V1103" s="12"/>
      <c r="W1103" s="12"/>
      <c r="X1103" s="12">
        <f t="shared" si="233"/>
        <v>1300</v>
      </c>
      <c r="Z1103" s="10">
        <v>11</v>
      </c>
      <c r="AA1103" s="30"/>
      <c r="AB1103" s="31"/>
      <c r="AC1103" s="32"/>
      <c r="AD1103" s="32"/>
      <c r="AE1103" s="32"/>
      <c r="AF1103" s="32">
        <f t="shared" si="234"/>
        <v>0</v>
      </c>
      <c r="AG1103" s="12"/>
      <c r="AH1103" s="12"/>
      <c r="AI1103" s="12"/>
      <c r="AJ1103" s="12">
        <f t="shared" si="235"/>
        <v>0</v>
      </c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1:53" x14ac:dyDescent="0.25">
      <c r="A1104" s="18"/>
      <c r="B1104" s="10">
        <v>12</v>
      </c>
      <c r="C1104" s="30"/>
      <c r="D1104" s="55"/>
      <c r="E1104" s="32"/>
      <c r="F1104" s="32"/>
      <c r="G1104" s="32"/>
      <c r="H1104" s="32">
        <f t="shared" si="230"/>
        <v>0</v>
      </c>
      <c r="I1104" s="12"/>
      <c r="J1104" s="12"/>
      <c r="K1104" s="12"/>
      <c r="L1104" s="12">
        <f t="shared" si="231"/>
        <v>0</v>
      </c>
      <c r="N1104" s="10">
        <v>12</v>
      </c>
      <c r="O1104" s="30" t="s">
        <v>98</v>
      </c>
      <c r="P1104" s="80">
        <f t="shared" si="237"/>
        <v>11994</v>
      </c>
      <c r="Q1104" s="32">
        <f>650</f>
        <v>650</v>
      </c>
      <c r="R1104" s="32"/>
      <c r="S1104" s="32"/>
      <c r="T1104" s="32">
        <f t="shared" si="232"/>
        <v>650</v>
      </c>
      <c r="U1104" s="12"/>
      <c r="V1104" s="12"/>
      <c r="W1104" s="12"/>
      <c r="X1104" s="12">
        <f t="shared" si="233"/>
        <v>650</v>
      </c>
      <c r="Z1104" s="10">
        <v>12</v>
      </c>
      <c r="AA1104" s="30"/>
      <c r="AB1104" s="31"/>
      <c r="AC1104" s="32"/>
      <c r="AD1104" s="32"/>
      <c r="AE1104" s="32"/>
      <c r="AF1104" s="32">
        <f t="shared" si="234"/>
        <v>0</v>
      </c>
      <c r="AG1104" s="12"/>
      <c r="AH1104" s="12"/>
      <c r="AI1104" s="12"/>
      <c r="AJ1104" s="12">
        <f t="shared" si="235"/>
        <v>0</v>
      </c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1:53" x14ac:dyDescent="0.25">
      <c r="A1105" s="18"/>
      <c r="B1105" s="10">
        <v>13</v>
      </c>
      <c r="C1105" s="30"/>
      <c r="D1105" s="80"/>
      <c r="E1105" s="32"/>
      <c r="F1105" s="32"/>
      <c r="G1105" s="32"/>
      <c r="H1105" s="32">
        <f t="shared" si="230"/>
        <v>0</v>
      </c>
      <c r="I1105" s="12"/>
      <c r="J1105" s="12"/>
      <c r="K1105" s="12"/>
      <c r="L1105" s="12">
        <f t="shared" si="231"/>
        <v>0</v>
      </c>
      <c r="N1105" s="10">
        <v>13</v>
      </c>
      <c r="O1105" s="30" t="s">
        <v>98</v>
      </c>
      <c r="P1105" s="80">
        <f t="shared" si="237"/>
        <v>11995</v>
      </c>
      <c r="Q1105" s="32">
        <f>650*10</f>
        <v>6500</v>
      </c>
      <c r="R1105" s="32"/>
      <c r="S1105" s="32"/>
      <c r="T1105" s="32">
        <f t="shared" si="232"/>
        <v>6500</v>
      </c>
      <c r="U1105" s="12"/>
      <c r="V1105" s="12"/>
      <c r="W1105" s="12"/>
      <c r="X1105" s="12">
        <f t="shared" si="233"/>
        <v>6500</v>
      </c>
      <c r="Z1105" s="10">
        <v>13</v>
      </c>
      <c r="AA1105" s="30"/>
      <c r="AB1105" s="31"/>
      <c r="AC1105" s="32"/>
      <c r="AD1105" s="32"/>
      <c r="AE1105" s="32"/>
      <c r="AF1105" s="32">
        <f t="shared" si="234"/>
        <v>0</v>
      </c>
      <c r="AG1105" s="12"/>
      <c r="AH1105" s="12"/>
      <c r="AI1105" s="12"/>
      <c r="AJ1105" s="12">
        <f t="shared" si="235"/>
        <v>0</v>
      </c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1:53" x14ac:dyDescent="0.25">
      <c r="A1106" s="18"/>
      <c r="B1106" s="10">
        <v>14</v>
      </c>
      <c r="C1106" s="30"/>
      <c r="D1106" s="80"/>
      <c r="E1106" s="32"/>
      <c r="F1106" s="32"/>
      <c r="G1106" s="32"/>
      <c r="H1106" s="32">
        <f t="shared" si="230"/>
        <v>0</v>
      </c>
      <c r="I1106" s="12"/>
      <c r="J1106" s="12"/>
      <c r="K1106" s="12"/>
      <c r="L1106" s="12">
        <f t="shared" si="231"/>
        <v>0</v>
      </c>
      <c r="N1106" s="10">
        <v>14</v>
      </c>
      <c r="O1106" s="30" t="s">
        <v>98</v>
      </c>
      <c r="P1106" s="80">
        <f t="shared" si="237"/>
        <v>11996</v>
      </c>
      <c r="Q1106" s="32">
        <f>622*8</f>
        <v>4976</v>
      </c>
      <c r="R1106" s="32"/>
      <c r="S1106" s="32"/>
      <c r="T1106" s="32">
        <f t="shared" si="232"/>
        <v>4976</v>
      </c>
      <c r="U1106" s="12"/>
      <c r="V1106" s="12"/>
      <c r="W1106" s="12"/>
      <c r="X1106" s="12">
        <f t="shared" si="233"/>
        <v>4976</v>
      </c>
      <c r="Z1106" s="10">
        <v>14</v>
      </c>
      <c r="AA1106" s="30"/>
      <c r="AB1106" s="31"/>
      <c r="AC1106" s="32"/>
      <c r="AD1106" s="32"/>
      <c r="AE1106" s="32"/>
      <c r="AF1106" s="32">
        <f t="shared" si="234"/>
        <v>0</v>
      </c>
      <c r="AG1106" s="12"/>
      <c r="AH1106" s="12"/>
      <c r="AI1106" s="12"/>
      <c r="AJ1106" s="12">
        <f t="shared" si="235"/>
        <v>0</v>
      </c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1:53" x14ac:dyDescent="0.25">
      <c r="A1107" s="18"/>
      <c r="B1107" s="10">
        <v>15</v>
      </c>
      <c r="C1107" s="30"/>
      <c r="D1107" s="80"/>
      <c r="E1107" s="32"/>
      <c r="F1107" s="32"/>
      <c r="G1107" s="32"/>
      <c r="H1107" s="32">
        <f t="shared" si="230"/>
        <v>0</v>
      </c>
      <c r="I1107" s="12"/>
      <c r="J1107" s="12"/>
      <c r="K1107" s="12"/>
      <c r="L1107" s="12">
        <f t="shared" si="231"/>
        <v>0</v>
      </c>
      <c r="N1107" s="10">
        <v>15</v>
      </c>
      <c r="O1107" s="30" t="s">
        <v>98</v>
      </c>
      <c r="P1107" s="80">
        <f t="shared" si="237"/>
        <v>11997</v>
      </c>
      <c r="Q1107" s="32">
        <f>650*13+9.5*13</f>
        <v>8573.5</v>
      </c>
      <c r="R1107" s="32"/>
      <c r="S1107" s="32"/>
      <c r="T1107" s="32">
        <f t="shared" si="232"/>
        <v>8573.5</v>
      </c>
      <c r="U1107" s="12"/>
      <c r="V1107" s="12"/>
      <c r="W1107" s="12"/>
      <c r="X1107" s="12">
        <f t="shared" si="233"/>
        <v>8573.5</v>
      </c>
      <c r="Z1107" s="10">
        <v>15</v>
      </c>
      <c r="AA1107" s="30"/>
      <c r="AB1107" s="31"/>
      <c r="AC1107" s="32"/>
      <c r="AD1107" s="32"/>
      <c r="AE1107" s="32"/>
      <c r="AF1107" s="32">
        <f t="shared" si="234"/>
        <v>0</v>
      </c>
      <c r="AG1107" s="12"/>
      <c r="AH1107" s="12"/>
      <c r="AI1107" s="12"/>
      <c r="AJ1107" s="12">
        <f t="shared" si="235"/>
        <v>0</v>
      </c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1:53" x14ac:dyDescent="0.25">
      <c r="A1108" s="18"/>
      <c r="B1108" s="10">
        <v>16</v>
      </c>
      <c r="C1108" s="30"/>
      <c r="D1108" s="11"/>
      <c r="E1108" s="32"/>
      <c r="F1108" s="32"/>
      <c r="G1108" s="32"/>
      <c r="H1108" s="32">
        <f t="shared" si="230"/>
        <v>0</v>
      </c>
      <c r="I1108" s="12"/>
      <c r="J1108" s="12"/>
      <c r="K1108" s="12"/>
      <c r="L1108" s="12">
        <f t="shared" si="231"/>
        <v>0</v>
      </c>
      <c r="N1108" s="10">
        <v>16</v>
      </c>
      <c r="O1108" s="30"/>
      <c r="P1108" s="11" t="s">
        <v>27</v>
      </c>
      <c r="Q1108" s="32"/>
      <c r="R1108" s="32"/>
      <c r="S1108" s="32"/>
      <c r="T1108" s="32">
        <f t="shared" si="232"/>
        <v>0</v>
      </c>
      <c r="U1108" s="12"/>
      <c r="V1108" s="12"/>
      <c r="W1108" s="12"/>
      <c r="X1108" s="12">
        <f t="shared" si="233"/>
        <v>0</v>
      </c>
      <c r="Z1108" s="10">
        <v>16</v>
      </c>
      <c r="AA1108" s="30"/>
      <c r="AB1108" s="11"/>
      <c r="AC1108" s="32"/>
      <c r="AD1108" s="32"/>
      <c r="AE1108" s="32"/>
      <c r="AF1108" s="32">
        <f t="shared" si="234"/>
        <v>0</v>
      </c>
      <c r="AG1108" s="12"/>
      <c r="AH1108" s="12"/>
      <c r="AI1108" s="12"/>
      <c r="AJ1108" s="12">
        <f t="shared" si="235"/>
        <v>0</v>
      </c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1:53" x14ac:dyDescent="0.25">
      <c r="A1109" s="18"/>
      <c r="B1109" s="10">
        <v>17</v>
      </c>
      <c r="C1109" s="30"/>
      <c r="D1109" s="31"/>
      <c r="E1109" s="35"/>
      <c r="F1109" s="32"/>
      <c r="G1109" s="32"/>
      <c r="H1109" s="32">
        <f t="shared" si="230"/>
        <v>0</v>
      </c>
      <c r="I1109" s="12"/>
      <c r="J1109" s="12"/>
      <c r="K1109" s="12"/>
      <c r="L1109" s="12">
        <f t="shared" si="231"/>
        <v>0</v>
      </c>
      <c r="N1109" s="10">
        <v>17</v>
      </c>
      <c r="O1109" s="30"/>
      <c r="Q1109" s="35"/>
      <c r="R1109" s="32"/>
      <c r="S1109" s="32"/>
      <c r="T1109" s="32">
        <f t="shared" si="232"/>
        <v>0</v>
      </c>
      <c r="U1109" s="12"/>
      <c r="V1109" s="12"/>
      <c r="W1109" s="12"/>
      <c r="X1109" s="12">
        <f t="shared" si="233"/>
        <v>0</v>
      </c>
      <c r="Z1109" s="10">
        <v>17</v>
      </c>
      <c r="AA1109" s="30"/>
      <c r="AB1109" s="31"/>
      <c r="AC1109" s="35"/>
      <c r="AD1109" s="32"/>
      <c r="AE1109" s="32"/>
      <c r="AF1109" s="32">
        <f t="shared" si="234"/>
        <v>0</v>
      </c>
      <c r="AG1109" s="12"/>
      <c r="AH1109" s="12"/>
      <c r="AI1109" s="12"/>
      <c r="AJ1109" s="12">
        <f t="shared" si="235"/>
        <v>0</v>
      </c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1:53" x14ac:dyDescent="0.25">
      <c r="A1110" s="18"/>
      <c r="B1110" s="10">
        <v>18</v>
      </c>
      <c r="C1110" s="30"/>
      <c r="D1110" s="31"/>
      <c r="E1110" s="32"/>
      <c r="F1110" s="32"/>
      <c r="G1110" s="32"/>
      <c r="H1110" s="32">
        <f t="shared" si="230"/>
        <v>0</v>
      </c>
      <c r="I1110" s="12"/>
      <c r="J1110" s="12"/>
      <c r="K1110" s="12"/>
      <c r="L1110" s="12">
        <f t="shared" si="231"/>
        <v>0</v>
      </c>
      <c r="N1110" s="10">
        <v>18</v>
      </c>
      <c r="O1110" s="30"/>
      <c r="P1110" s="80"/>
      <c r="Q1110" s="32"/>
      <c r="R1110" s="32"/>
      <c r="S1110" s="32"/>
      <c r="T1110" s="32">
        <f t="shared" si="232"/>
        <v>0</v>
      </c>
      <c r="U1110" s="12"/>
      <c r="V1110" s="12"/>
      <c r="W1110" s="12"/>
      <c r="X1110" s="12">
        <f t="shared" si="233"/>
        <v>0</v>
      </c>
      <c r="Z1110" s="10">
        <v>18</v>
      </c>
      <c r="AA1110" s="30"/>
      <c r="AB1110" s="31"/>
      <c r="AC1110" s="32"/>
      <c r="AD1110" s="32"/>
      <c r="AE1110" s="32"/>
      <c r="AF1110" s="32">
        <f t="shared" si="234"/>
        <v>0</v>
      </c>
      <c r="AG1110" s="12"/>
      <c r="AH1110" s="12"/>
      <c r="AI1110" s="12"/>
      <c r="AJ1110" s="12">
        <f t="shared" si="235"/>
        <v>0</v>
      </c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1:53" x14ac:dyDescent="0.25">
      <c r="A1111" s="18"/>
      <c r="B1111" s="10">
        <v>19</v>
      </c>
      <c r="C1111" s="30"/>
      <c r="D1111" s="31"/>
      <c r="E1111" s="32"/>
      <c r="F1111" s="32"/>
      <c r="G1111" s="32"/>
      <c r="H1111" s="32">
        <f t="shared" si="230"/>
        <v>0</v>
      </c>
      <c r="I1111" s="12"/>
      <c r="J1111" s="12"/>
      <c r="K1111" s="12"/>
      <c r="L1111" s="12">
        <f t="shared" si="231"/>
        <v>0</v>
      </c>
      <c r="N1111" s="10">
        <v>19</v>
      </c>
      <c r="O1111" s="30"/>
      <c r="P1111" s="80"/>
      <c r="Q1111" s="32"/>
      <c r="R1111" s="32"/>
      <c r="S1111" s="32"/>
      <c r="T1111" s="32">
        <f t="shared" si="232"/>
        <v>0</v>
      </c>
      <c r="U1111" s="12"/>
      <c r="V1111" s="12"/>
      <c r="W1111" s="12"/>
      <c r="X1111" s="12">
        <f t="shared" si="233"/>
        <v>0</v>
      </c>
      <c r="Z1111" s="10">
        <v>19</v>
      </c>
      <c r="AA1111" s="30"/>
      <c r="AB1111" s="11"/>
      <c r="AC1111" s="32"/>
      <c r="AD1111" s="32"/>
      <c r="AE1111" s="32"/>
      <c r="AF1111" s="32">
        <f t="shared" si="234"/>
        <v>0</v>
      </c>
      <c r="AG1111" s="12"/>
      <c r="AH1111" s="12"/>
      <c r="AI1111" s="12"/>
      <c r="AJ1111" s="12">
        <f t="shared" si="235"/>
        <v>0</v>
      </c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1:53" x14ac:dyDescent="0.25">
      <c r="A1112" s="18"/>
      <c r="B1112" s="10">
        <v>20</v>
      </c>
      <c r="C1112" s="30"/>
      <c r="D1112" s="31"/>
      <c r="E1112" s="32"/>
      <c r="F1112" s="32"/>
      <c r="G1112" s="32"/>
      <c r="H1112" s="32">
        <f t="shared" si="230"/>
        <v>0</v>
      </c>
      <c r="I1112" s="12"/>
      <c r="J1112" s="12"/>
      <c r="K1112" s="12"/>
      <c r="L1112" s="12">
        <f t="shared" si="231"/>
        <v>0</v>
      </c>
      <c r="N1112" s="10">
        <v>20</v>
      </c>
      <c r="O1112" s="30"/>
      <c r="P1112" s="80"/>
      <c r="Q1112" s="32"/>
      <c r="R1112" s="32"/>
      <c r="S1112" s="32"/>
      <c r="T1112" s="32">
        <f t="shared" si="232"/>
        <v>0</v>
      </c>
      <c r="U1112" s="12"/>
      <c r="V1112" s="12"/>
      <c r="W1112" s="12"/>
      <c r="X1112" s="12">
        <f t="shared" si="233"/>
        <v>0</v>
      </c>
      <c r="Z1112" s="10">
        <v>20</v>
      </c>
      <c r="AA1112" s="30"/>
      <c r="AB1112" s="31"/>
      <c r="AC1112" s="32"/>
      <c r="AD1112" s="32"/>
      <c r="AE1112" s="32"/>
      <c r="AF1112" s="32">
        <f t="shared" si="234"/>
        <v>0</v>
      </c>
      <c r="AG1112" s="12"/>
      <c r="AH1112" s="12"/>
      <c r="AI1112" s="12"/>
      <c r="AJ1112" s="12">
        <f t="shared" si="235"/>
        <v>0</v>
      </c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1:53" x14ac:dyDescent="0.25">
      <c r="A1113" s="18"/>
      <c r="B1113" s="10">
        <v>21</v>
      </c>
      <c r="C1113" s="30"/>
      <c r="D1113" s="31"/>
      <c r="E1113" s="44"/>
      <c r="F1113" s="31"/>
      <c r="G1113" s="31"/>
      <c r="H1113" s="32">
        <f t="shared" si="230"/>
        <v>0</v>
      </c>
      <c r="I1113" s="10"/>
      <c r="J1113" s="10"/>
      <c r="K1113" s="10"/>
      <c r="L1113" s="12">
        <f t="shared" si="231"/>
        <v>0</v>
      </c>
      <c r="N1113" s="10">
        <v>21</v>
      </c>
      <c r="O1113" s="30"/>
      <c r="P1113" s="11"/>
      <c r="Q1113" s="44"/>
      <c r="R1113" s="31"/>
      <c r="S1113" s="31"/>
      <c r="T1113" s="32">
        <f t="shared" si="232"/>
        <v>0</v>
      </c>
      <c r="U1113" s="10"/>
      <c r="V1113" s="10"/>
      <c r="W1113" s="10"/>
      <c r="X1113" s="12">
        <f t="shared" si="233"/>
        <v>0</v>
      </c>
      <c r="Z1113" s="10">
        <v>21</v>
      </c>
      <c r="AA1113" s="30"/>
      <c r="AB1113" s="11"/>
      <c r="AC1113" s="44"/>
      <c r="AD1113" s="31"/>
      <c r="AE1113" s="31"/>
      <c r="AF1113" s="32">
        <f t="shared" si="234"/>
        <v>0</v>
      </c>
      <c r="AG1113" s="10"/>
      <c r="AH1113" s="10"/>
      <c r="AI1113" s="10"/>
      <c r="AJ1113" s="12">
        <f t="shared" si="235"/>
        <v>0</v>
      </c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1:53" x14ac:dyDescent="0.25">
      <c r="A1114" s="18"/>
      <c r="B1114" s="10">
        <v>22</v>
      </c>
      <c r="C1114" s="30"/>
      <c r="D1114" s="31"/>
      <c r="E1114" s="43"/>
      <c r="F1114" s="31"/>
      <c r="G1114" s="31"/>
      <c r="H1114" s="32">
        <f t="shared" si="230"/>
        <v>0</v>
      </c>
      <c r="I1114" s="10"/>
      <c r="J1114" s="10"/>
      <c r="K1114" s="10"/>
      <c r="L1114" s="12">
        <f t="shared" si="231"/>
        <v>0</v>
      </c>
      <c r="N1114" s="10">
        <v>22</v>
      </c>
      <c r="O1114" s="30"/>
      <c r="P1114" s="31"/>
      <c r="Q1114" s="43"/>
      <c r="R1114" s="31"/>
      <c r="S1114" s="31"/>
      <c r="T1114" s="32">
        <f t="shared" si="232"/>
        <v>0</v>
      </c>
      <c r="U1114" s="10"/>
      <c r="V1114" s="10"/>
      <c r="W1114" s="10"/>
      <c r="X1114" s="12">
        <f t="shared" si="233"/>
        <v>0</v>
      </c>
      <c r="Z1114" s="10">
        <v>22</v>
      </c>
      <c r="AA1114" s="30"/>
      <c r="AB1114" s="31"/>
      <c r="AC1114" s="43"/>
      <c r="AD1114" s="31"/>
      <c r="AE1114" s="31"/>
      <c r="AF1114" s="32">
        <f t="shared" si="234"/>
        <v>0</v>
      </c>
      <c r="AG1114" s="10"/>
      <c r="AH1114" s="10"/>
      <c r="AI1114" s="10"/>
      <c r="AJ1114" s="12">
        <f t="shared" si="235"/>
        <v>0</v>
      </c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1:53" x14ac:dyDescent="0.25">
      <c r="A1115" s="18"/>
      <c r="B1115" s="10">
        <v>23</v>
      </c>
      <c r="C1115" s="30"/>
      <c r="D1115" s="31"/>
      <c r="E1115" s="45"/>
      <c r="F1115" s="31"/>
      <c r="G1115"/>
      <c r="H1115" s="32">
        <f t="shared" si="230"/>
        <v>0</v>
      </c>
      <c r="I1115" s="10"/>
      <c r="J1115" s="10"/>
      <c r="K1115" s="10"/>
      <c r="L1115" s="12">
        <f t="shared" si="231"/>
        <v>0</v>
      </c>
      <c r="N1115" s="10">
        <v>23</v>
      </c>
      <c r="O1115" s="30"/>
      <c r="P1115" s="31"/>
      <c r="Q1115" s="45"/>
      <c r="T1115" s="32">
        <f t="shared" si="232"/>
        <v>0</v>
      </c>
      <c r="U1115" s="10"/>
      <c r="V1115" s="10"/>
      <c r="W1115" s="10"/>
      <c r="X1115" s="12">
        <f t="shared" si="233"/>
        <v>0</v>
      </c>
      <c r="Z1115" s="10">
        <v>23</v>
      </c>
      <c r="AA1115" s="30"/>
      <c r="AB1115" s="31"/>
      <c r="AC1115" s="45"/>
      <c r="AD1115" s="31"/>
      <c r="AF1115" s="32">
        <f t="shared" si="234"/>
        <v>0</v>
      </c>
      <c r="AG1115" s="10"/>
      <c r="AH1115" s="10"/>
      <c r="AI1115" s="10"/>
      <c r="AJ1115" s="12">
        <f t="shared" si="235"/>
        <v>0</v>
      </c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1:53" x14ac:dyDescent="0.25">
      <c r="A1116" s="18"/>
      <c r="B1116" s="10">
        <v>24</v>
      </c>
      <c r="C1116" s="30"/>
      <c r="D1116" s="31"/>
      <c r="E1116" s="45"/>
      <c r="F1116" s="31"/>
      <c r="G1116" s="31"/>
      <c r="H1116" s="32">
        <f t="shared" si="230"/>
        <v>0</v>
      </c>
      <c r="I1116" s="10"/>
      <c r="J1116" s="10"/>
      <c r="K1116" s="10"/>
      <c r="L1116" s="12">
        <f t="shared" si="231"/>
        <v>0</v>
      </c>
      <c r="N1116" s="10">
        <v>24</v>
      </c>
      <c r="O1116" s="30"/>
      <c r="P1116" s="31"/>
      <c r="Q1116" s="45"/>
      <c r="R1116" s="31"/>
      <c r="S1116" s="31"/>
      <c r="T1116" s="32">
        <f t="shared" si="232"/>
        <v>0</v>
      </c>
      <c r="U1116" s="10"/>
      <c r="V1116" s="10"/>
      <c r="W1116" s="10"/>
      <c r="X1116" s="12">
        <f t="shared" si="233"/>
        <v>0</v>
      </c>
      <c r="Z1116" s="10">
        <v>24</v>
      </c>
      <c r="AA1116" s="30"/>
      <c r="AB1116" s="31"/>
      <c r="AC1116" s="45"/>
      <c r="AD1116" s="31"/>
      <c r="AE1116" s="31"/>
      <c r="AF1116" s="32">
        <f t="shared" si="234"/>
        <v>0</v>
      </c>
      <c r="AG1116" s="10"/>
      <c r="AH1116" s="10"/>
      <c r="AI1116" s="10"/>
      <c r="AJ1116" s="12">
        <f t="shared" si="235"/>
        <v>0</v>
      </c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1:53" x14ac:dyDescent="0.25">
      <c r="A1117" s="18"/>
      <c r="B1117" s="10">
        <v>25</v>
      </c>
      <c r="C1117" s="30"/>
      <c r="D1117" s="31"/>
      <c r="E1117" s="45"/>
      <c r="F1117" s="31"/>
      <c r="G1117" s="31"/>
      <c r="H1117" s="32">
        <f t="shared" si="230"/>
        <v>0</v>
      </c>
      <c r="I1117" s="10"/>
      <c r="J1117" s="10"/>
      <c r="K1117" s="10"/>
      <c r="L1117" s="12">
        <f t="shared" si="231"/>
        <v>0</v>
      </c>
      <c r="N1117" s="10">
        <v>25</v>
      </c>
      <c r="O1117" s="30"/>
      <c r="P1117" s="31"/>
      <c r="Q1117" s="45"/>
      <c r="R1117" s="31"/>
      <c r="S1117" s="31"/>
      <c r="T1117" s="32">
        <f t="shared" si="232"/>
        <v>0</v>
      </c>
      <c r="U1117" s="10"/>
      <c r="V1117" s="10"/>
      <c r="W1117" s="10"/>
      <c r="X1117" s="12">
        <f t="shared" si="233"/>
        <v>0</v>
      </c>
      <c r="Z1117" s="10">
        <v>25</v>
      </c>
      <c r="AA1117" s="30"/>
      <c r="AB1117" s="31"/>
      <c r="AC1117" s="45"/>
      <c r="AD1117" s="31"/>
      <c r="AE1117" s="31"/>
      <c r="AF1117" s="32">
        <f t="shared" si="234"/>
        <v>0</v>
      </c>
      <c r="AG1117" s="10"/>
      <c r="AH1117" s="10"/>
      <c r="AI1117" s="10"/>
      <c r="AJ1117" s="12">
        <f t="shared" si="235"/>
        <v>0</v>
      </c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1:53" x14ac:dyDescent="0.25">
      <c r="A1118" s="18"/>
      <c r="B1118" s="10">
        <v>26</v>
      </c>
      <c r="C1118" s="30"/>
      <c r="D1118" s="31"/>
      <c r="E1118" s="45"/>
      <c r="F1118" s="31"/>
      <c r="G1118" s="31"/>
      <c r="H1118" s="32">
        <f t="shared" si="230"/>
        <v>0</v>
      </c>
      <c r="I1118" s="10"/>
      <c r="J1118" s="10"/>
      <c r="K1118" s="10"/>
      <c r="L1118" s="12">
        <f t="shared" si="231"/>
        <v>0</v>
      </c>
      <c r="N1118" s="10">
        <v>26</v>
      </c>
      <c r="O1118" s="30"/>
      <c r="P1118" s="31"/>
      <c r="Q1118" s="45"/>
      <c r="R1118" s="31"/>
      <c r="S1118" s="31"/>
      <c r="T1118" s="32">
        <f t="shared" si="232"/>
        <v>0</v>
      </c>
      <c r="U1118" s="10"/>
      <c r="V1118" s="10"/>
      <c r="W1118" s="10"/>
      <c r="X1118" s="12">
        <f t="shared" si="233"/>
        <v>0</v>
      </c>
      <c r="Z1118" s="10">
        <v>26</v>
      </c>
      <c r="AA1118" s="30"/>
      <c r="AB1118" s="31"/>
      <c r="AC1118" s="45"/>
      <c r="AD1118" s="31"/>
      <c r="AE1118" s="31"/>
      <c r="AF1118" s="32">
        <f t="shared" si="234"/>
        <v>0</v>
      </c>
      <c r="AG1118" s="10"/>
      <c r="AH1118" s="10"/>
      <c r="AI1118" s="10"/>
      <c r="AJ1118" s="12">
        <f t="shared" si="235"/>
        <v>0</v>
      </c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1:53" x14ac:dyDescent="0.25">
      <c r="A1119" s="18"/>
      <c r="B1119" s="10">
        <v>27</v>
      </c>
      <c r="C1119" s="30"/>
      <c r="D1119" s="31"/>
      <c r="E1119" s="45"/>
      <c r="F1119" s="31"/>
      <c r="G1119" s="31"/>
      <c r="H1119" s="32">
        <f t="shared" si="230"/>
        <v>0</v>
      </c>
      <c r="I1119" s="10"/>
      <c r="J1119" s="10"/>
      <c r="K1119" s="10"/>
      <c r="L1119" s="12">
        <f t="shared" si="231"/>
        <v>0</v>
      </c>
      <c r="N1119" s="10">
        <v>27</v>
      </c>
      <c r="O1119" s="30"/>
      <c r="P1119" s="31"/>
      <c r="Q1119" s="45"/>
      <c r="R1119" s="31"/>
      <c r="S1119" s="31"/>
      <c r="T1119" s="32">
        <f t="shared" si="232"/>
        <v>0</v>
      </c>
      <c r="U1119" s="10"/>
      <c r="V1119" s="10"/>
      <c r="W1119" s="10"/>
      <c r="X1119" s="12">
        <f t="shared" si="233"/>
        <v>0</v>
      </c>
      <c r="Z1119" s="10">
        <v>27</v>
      </c>
      <c r="AA1119" s="30"/>
      <c r="AB1119" s="31"/>
      <c r="AC1119" s="45"/>
      <c r="AD1119" s="31"/>
      <c r="AE1119" s="31"/>
      <c r="AF1119" s="32">
        <f t="shared" si="234"/>
        <v>0</v>
      </c>
      <c r="AG1119" s="10"/>
      <c r="AH1119" s="10"/>
      <c r="AI1119" s="10"/>
      <c r="AJ1119" s="12">
        <f t="shared" si="235"/>
        <v>0</v>
      </c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1:53" x14ac:dyDescent="0.25">
      <c r="A1120" s="18"/>
      <c r="B1120" s="10">
        <v>28</v>
      </c>
      <c r="C1120" s="30"/>
      <c r="D1120" s="31"/>
      <c r="E1120" s="45"/>
      <c r="F1120" s="31"/>
      <c r="G1120" s="31"/>
      <c r="H1120" s="32">
        <f t="shared" si="230"/>
        <v>0</v>
      </c>
      <c r="I1120" s="10"/>
      <c r="J1120" s="10"/>
      <c r="K1120" s="10"/>
      <c r="L1120" s="12">
        <f t="shared" si="231"/>
        <v>0</v>
      </c>
      <c r="N1120" s="10">
        <v>28</v>
      </c>
      <c r="O1120" s="30"/>
      <c r="P1120" s="31"/>
      <c r="Q1120" s="45"/>
      <c r="R1120" s="31"/>
      <c r="S1120" s="31"/>
      <c r="T1120" s="32">
        <f t="shared" si="232"/>
        <v>0</v>
      </c>
      <c r="U1120" s="10"/>
      <c r="V1120" s="10"/>
      <c r="W1120" s="10"/>
      <c r="X1120" s="12">
        <f t="shared" si="233"/>
        <v>0</v>
      </c>
      <c r="Z1120" s="10">
        <v>28</v>
      </c>
      <c r="AA1120" s="30"/>
      <c r="AB1120" s="31"/>
      <c r="AC1120" s="45"/>
      <c r="AD1120" s="31"/>
      <c r="AE1120" s="31"/>
      <c r="AF1120" s="32">
        <f t="shared" si="234"/>
        <v>0</v>
      </c>
      <c r="AG1120" s="10"/>
      <c r="AH1120" s="10"/>
      <c r="AI1120" s="10"/>
      <c r="AJ1120" s="12">
        <f t="shared" si="235"/>
        <v>0</v>
      </c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1:53" x14ac:dyDescent="0.25">
      <c r="A1121" s="18"/>
      <c r="B1121" s="10">
        <v>29</v>
      </c>
      <c r="C1121" s="30"/>
      <c r="D1121" s="31"/>
      <c r="E1121" s="45"/>
      <c r="F1121" s="31"/>
      <c r="G1121" s="31"/>
      <c r="H1121" s="32">
        <f t="shared" si="230"/>
        <v>0</v>
      </c>
      <c r="I1121" s="10"/>
      <c r="J1121" s="10"/>
      <c r="K1121" s="10"/>
      <c r="L1121" s="12">
        <f t="shared" si="231"/>
        <v>0</v>
      </c>
      <c r="N1121" s="10">
        <v>29</v>
      </c>
      <c r="O1121" s="30"/>
      <c r="P1121" s="31"/>
      <c r="Q1121" s="45"/>
      <c r="R1121" s="31"/>
      <c r="S1121" s="31"/>
      <c r="T1121" s="32">
        <f t="shared" si="232"/>
        <v>0</v>
      </c>
      <c r="U1121" s="10"/>
      <c r="V1121" s="10"/>
      <c r="W1121" s="10"/>
      <c r="X1121" s="12">
        <f t="shared" si="233"/>
        <v>0</v>
      </c>
      <c r="Z1121" s="10">
        <v>29</v>
      </c>
      <c r="AA1121" s="30"/>
      <c r="AB1121" s="31"/>
      <c r="AC1121" s="45"/>
      <c r="AD1121" s="31"/>
      <c r="AE1121" s="31"/>
      <c r="AF1121" s="32">
        <f t="shared" si="234"/>
        <v>0</v>
      </c>
      <c r="AG1121" s="10"/>
      <c r="AH1121" s="10"/>
      <c r="AI1121" s="10"/>
      <c r="AJ1121" s="12">
        <f t="shared" si="235"/>
        <v>0</v>
      </c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1:53" x14ac:dyDescent="0.25">
      <c r="A1122" s="18"/>
      <c r="B1122" s="10">
        <v>30</v>
      </c>
      <c r="C1122" s="30"/>
      <c r="D1122" s="31"/>
      <c r="E1122" s="45"/>
      <c r="F1122" s="31"/>
      <c r="G1122" s="31"/>
      <c r="H1122" s="32">
        <f t="shared" si="230"/>
        <v>0</v>
      </c>
      <c r="I1122" s="10"/>
      <c r="J1122" s="10"/>
      <c r="K1122" s="10"/>
      <c r="L1122" s="12">
        <f t="shared" si="231"/>
        <v>0</v>
      </c>
      <c r="N1122" s="10">
        <v>30</v>
      </c>
      <c r="O1122" s="30"/>
      <c r="P1122" s="31"/>
      <c r="Q1122" s="45"/>
      <c r="R1122" s="31"/>
      <c r="S1122" s="31"/>
      <c r="T1122" s="32">
        <f t="shared" si="232"/>
        <v>0</v>
      </c>
      <c r="U1122" s="10"/>
      <c r="V1122" s="10"/>
      <c r="W1122" s="10"/>
      <c r="X1122" s="12">
        <f t="shared" si="233"/>
        <v>0</v>
      </c>
      <c r="Z1122" s="10">
        <v>30</v>
      </c>
      <c r="AA1122" s="30"/>
      <c r="AB1122" s="31"/>
      <c r="AC1122" s="45"/>
      <c r="AD1122" s="31"/>
      <c r="AE1122" s="31"/>
      <c r="AF1122" s="32">
        <f t="shared" si="234"/>
        <v>0</v>
      </c>
      <c r="AG1122" s="10"/>
      <c r="AH1122" s="10"/>
      <c r="AI1122" s="10"/>
      <c r="AJ1122" s="12">
        <f t="shared" si="235"/>
        <v>0</v>
      </c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1:53" x14ac:dyDescent="0.25">
      <c r="A1123" s="18"/>
      <c r="B1123" s="10">
        <v>31</v>
      </c>
      <c r="C1123" s="30"/>
      <c r="D1123" s="31"/>
      <c r="E1123" s="45"/>
      <c r="F1123" s="31"/>
      <c r="G1123" s="31"/>
      <c r="H1123" s="32">
        <f t="shared" si="230"/>
        <v>0</v>
      </c>
      <c r="I1123" s="10"/>
      <c r="J1123" s="10"/>
      <c r="K1123" s="10"/>
      <c r="L1123" s="12">
        <f t="shared" si="231"/>
        <v>0</v>
      </c>
      <c r="N1123" s="10">
        <v>31</v>
      </c>
      <c r="O1123" s="30"/>
      <c r="P1123" s="31"/>
      <c r="Q1123" s="45"/>
      <c r="R1123" s="31"/>
      <c r="S1123" s="31"/>
      <c r="T1123" s="32">
        <f t="shared" si="232"/>
        <v>0</v>
      </c>
      <c r="U1123" s="10"/>
      <c r="V1123" s="10"/>
      <c r="W1123" s="10"/>
      <c r="X1123" s="12">
        <f t="shared" si="233"/>
        <v>0</v>
      </c>
      <c r="Z1123" s="10">
        <v>31</v>
      </c>
      <c r="AA1123" s="30"/>
      <c r="AB1123" s="31"/>
      <c r="AC1123" s="45"/>
      <c r="AD1123" s="31"/>
      <c r="AE1123" s="31"/>
      <c r="AF1123" s="32">
        <f t="shared" si="234"/>
        <v>0</v>
      </c>
      <c r="AG1123" s="10"/>
      <c r="AH1123" s="10"/>
      <c r="AI1123" s="10"/>
      <c r="AJ1123" s="12">
        <f t="shared" si="235"/>
        <v>0</v>
      </c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1:53" x14ac:dyDescent="0.25">
      <c r="A1124" s="18"/>
      <c r="B1124" s="10">
        <v>32</v>
      </c>
      <c r="C1124" s="30"/>
      <c r="D1124" s="31"/>
      <c r="E1124" s="45"/>
      <c r="F1124" s="31"/>
      <c r="G1124" s="31"/>
      <c r="H1124" s="32">
        <f t="shared" si="230"/>
        <v>0</v>
      </c>
      <c r="I1124" s="10"/>
      <c r="J1124" s="10"/>
      <c r="K1124" s="10"/>
      <c r="L1124" s="12">
        <f t="shared" si="231"/>
        <v>0</v>
      </c>
      <c r="N1124" s="10">
        <v>32</v>
      </c>
      <c r="O1124" s="30"/>
      <c r="P1124" s="31"/>
      <c r="Q1124" s="45"/>
      <c r="R1124" s="31"/>
      <c r="S1124" s="31"/>
      <c r="T1124" s="32">
        <f t="shared" si="232"/>
        <v>0</v>
      </c>
      <c r="U1124" s="10"/>
      <c r="V1124" s="10"/>
      <c r="W1124" s="10"/>
      <c r="X1124" s="12">
        <f t="shared" si="233"/>
        <v>0</v>
      </c>
      <c r="Z1124" s="10">
        <v>32</v>
      </c>
      <c r="AA1124" s="30"/>
      <c r="AB1124" s="31"/>
      <c r="AC1124" s="45"/>
      <c r="AD1124" s="31"/>
      <c r="AE1124" s="31"/>
      <c r="AF1124" s="32">
        <f t="shared" si="234"/>
        <v>0</v>
      </c>
      <c r="AG1124" s="10"/>
      <c r="AH1124" s="10"/>
      <c r="AI1124" s="10"/>
      <c r="AJ1124" s="12">
        <f t="shared" si="235"/>
        <v>0</v>
      </c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1:53" x14ac:dyDescent="0.25">
      <c r="A1125" s="18"/>
      <c r="B1125" s="10">
        <v>33</v>
      </c>
      <c r="C1125" s="30"/>
      <c r="D1125" s="31"/>
      <c r="E1125" s="45"/>
      <c r="F1125" s="31"/>
      <c r="G1125" s="31"/>
      <c r="H1125" s="32">
        <f t="shared" si="230"/>
        <v>0</v>
      </c>
      <c r="I1125" s="10"/>
      <c r="J1125" s="10"/>
      <c r="K1125" s="10"/>
      <c r="L1125" s="12">
        <f t="shared" si="231"/>
        <v>0</v>
      </c>
      <c r="N1125" s="10">
        <v>33</v>
      </c>
      <c r="O1125" s="30"/>
      <c r="P1125" s="31"/>
      <c r="Q1125" s="45"/>
      <c r="R1125" s="31"/>
      <c r="S1125" s="31"/>
      <c r="T1125" s="32">
        <f t="shared" si="232"/>
        <v>0</v>
      </c>
      <c r="U1125" s="10"/>
      <c r="V1125" s="10"/>
      <c r="W1125" s="10"/>
      <c r="X1125" s="12">
        <f t="shared" si="233"/>
        <v>0</v>
      </c>
      <c r="Z1125" s="10">
        <v>33</v>
      </c>
      <c r="AA1125" s="30"/>
      <c r="AB1125" s="31"/>
      <c r="AC1125" s="45"/>
      <c r="AD1125" s="31"/>
      <c r="AE1125" s="31"/>
      <c r="AF1125" s="32">
        <f t="shared" si="234"/>
        <v>0</v>
      </c>
      <c r="AG1125" s="10"/>
      <c r="AH1125" s="10"/>
      <c r="AI1125" s="10"/>
      <c r="AJ1125" s="12">
        <f t="shared" si="235"/>
        <v>0</v>
      </c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1:53" x14ac:dyDescent="0.25">
      <c r="A1126" s="18"/>
      <c r="B1126" s="10">
        <v>34</v>
      </c>
      <c r="C1126" s="30"/>
      <c r="D1126" s="31"/>
      <c r="E1126" s="45"/>
      <c r="F1126" s="31"/>
      <c r="G1126" s="31"/>
      <c r="H1126" s="32">
        <f t="shared" si="230"/>
        <v>0</v>
      </c>
      <c r="I1126" s="10"/>
      <c r="J1126" s="10"/>
      <c r="K1126" s="10"/>
      <c r="L1126" s="12">
        <f t="shared" si="231"/>
        <v>0</v>
      </c>
      <c r="N1126" s="10">
        <v>34</v>
      </c>
      <c r="O1126" s="30"/>
      <c r="P1126" s="31"/>
      <c r="Q1126" s="45"/>
      <c r="R1126" s="31"/>
      <c r="S1126" s="31"/>
      <c r="T1126" s="32">
        <f t="shared" si="232"/>
        <v>0</v>
      </c>
      <c r="U1126" s="10"/>
      <c r="V1126" s="10"/>
      <c r="W1126" s="10"/>
      <c r="X1126" s="12">
        <f t="shared" si="233"/>
        <v>0</v>
      </c>
      <c r="Z1126" s="10">
        <v>34</v>
      </c>
      <c r="AA1126" s="30"/>
      <c r="AB1126" s="31"/>
      <c r="AC1126" s="45"/>
      <c r="AD1126" s="31"/>
      <c r="AE1126" s="31"/>
      <c r="AF1126" s="32">
        <f t="shared" si="234"/>
        <v>0</v>
      </c>
      <c r="AG1126" s="10"/>
      <c r="AH1126" s="10"/>
      <c r="AI1126" s="10"/>
      <c r="AJ1126" s="12">
        <f t="shared" si="235"/>
        <v>0</v>
      </c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1:53" x14ac:dyDescent="0.25">
      <c r="A1127" s="18"/>
      <c r="B1127" s="10">
        <v>35</v>
      </c>
      <c r="C1127" s="30"/>
      <c r="D1127" s="31"/>
      <c r="E1127" s="45"/>
      <c r="F1127" s="31"/>
      <c r="G1127" s="31"/>
      <c r="H1127" s="32">
        <f t="shared" si="230"/>
        <v>0</v>
      </c>
      <c r="I1127" s="10"/>
      <c r="J1127" s="10"/>
      <c r="K1127" s="10"/>
      <c r="L1127" s="12">
        <f t="shared" si="231"/>
        <v>0</v>
      </c>
      <c r="N1127" s="10">
        <v>35</v>
      </c>
      <c r="O1127" s="30"/>
      <c r="P1127" s="31"/>
      <c r="Q1127" s="45"/>
      <c r="R1127" s="31"/>
      <c r="S1127" s="31"/>
      <c r="T1127" s="32">
        <f t="shared" si="232"/>
        <v>0</v>
      </c>
      <c r="U1127" s="10"/>
      <c r="V1127" s="10"/>
      <c r="W1127" s="10"/>
      <c r="X1127" s="12">
        <f t="shared" si="233"/>
        <v>0</v>
      </c>
      <c r="Z1127" s="10">
        <v>35</v>
      </c>
      <c r="AA1127" s="30"/>
      <c r="AB1127" s="31"/>
      <c r="AC1127" s="45"/>
      <c r="AD1127" s="31"/>
      <c r="AE1127" s="31"/>
      <c r="AF1127" s="32">
        <f t="shared" si="234"/>
        <v>0</v>
      </c>
      <c r="AG1127" s="10"/>
      <c r="AH1127" s="10"/>
      <c r="AI1127" s="10"/>
      <c r="AJ1127" s="12">
        <f t="shared" si="235"/>
        <v>0</v>
      </c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1:53" x14ac:dyDescent="0.25">
      <c r="A1128" s="18"/>
      <c r="B1128" s="10">
        <v>36</v>
      </c>
      <c r="C1128" s="30"/>
      <c r="D1128" s="31"/>
      <c r="E1128" s="45"/>
      <c r="F1128" s="31"/>
      <c r="G1128" s="31"/>
      <c r="H1128" s="32">
        <f t="shared" si="230"/>
        <v>0</v>
      </c>
      <c r="I1128" s="10"/>
      <c r="J1128" s="10"/>
      <c r="K1128" s="10"/>
      <c r="L1128" s="12">
        <f t="shared" si="231"/>
        <v>0</v>
      </c>
      <c r="N1128" s="10">
        <v>36</v>
      </c>
      <c r="O1128" s="30"/>
      <c r="P1128" s="31"/>
      <c r="Q1128" s="45"/>
      <c r="R1128" s="31"/>
      <c r="S1128" s="31"/>
      <c r="T1128" s="32">
        <f t="shared" si="232"/>
        <v>0</v>
      </c>
      <c r="U1128" s="10"/>
      <c r="V1128" s="10"/>
      <c r="W1128" s="10"/>
      <c r="X1128" s="12">
        <f t="shared" si="233"/>
        <v>0</v>
      </c>
      <c r="Z1128" s="10">
        <v>36</v>
      </c>
      <c r="AA1128" s="30"/>
      <c r="AB1128" s="31"/>
      <c r="AC1128" s="45"/>
      <c r="AD1128" s="31"/>
      <c r="AE1128" s="31"/>
      <c r="AF1128" s="32">
        <f t="shared" si="234"/>
        <v>0</v>
      </c>
      <c r="AG1128" s="10"/>
      <c r="AH1128" s="10"/>
      <c r="AI1128" s="10"/>
      <c r="AJ1128" s="12">
        <f t="shared" si="235"/>
        <v>0</v>
      </c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1:53" x14ac:dyDescent="0.25">
      <c r="A1129" s="18"/>
      <c r="B1129" s="10">
        <v>37</v>
      </c>
      <c r="C1129" s="30"/>
      <c r="D1129"/>
      <c r="E1129" s="45"/>
      <c r="F1129" s="31"/>
      <c r="G1129" s="31"/>
      <c r="H1129" s="32">
        <f t="shared" si="230"/>
        <v>0</v>
      </c>
      <c r="I1129" s="10"/>
      <c r="J1129" s="10"/>
      <c r="K1129" s="10"/>
      <c r="L1129" s="12">
        <f t="shared" si="231"/>
        <v>0</v>
      </c>
      <c r="N1129" s="10">
        <v>37</v>
      </c>
      <c r="O1129" s="30"/>
      <c r="Q1129" s="45"/>
      <c r="R1129" s="31"/>
      <c r="S1129" s="31"/>
      <c r="T1129" s="32">
        <f t="shared" si="232"/>
        <v>0</v>
      </c>
      <c r="U1129" s="10"/>
      <c r="V1129" s="10"/>
      <c r="W1129" s="10"/>
      <c r="X1129" s="12">
        <f t="shared" si="233"/>
        <v>0</v>
      </c>
      <c r="Z1129" s="10">
        <v>37</v>
      </c>
      <c r="AA1129" s="30"/>
      <c r="AB1129" s="31"/>
      <c r="AC1129" s="45"/>
      <c r="AD1129" s="31"/>
      <c r="AE1129" s="31"/>
      <c r="AF1129" s="32">
        <f t="shared" si="234"/>
        <v>0</v>
      </c>
      <c r="AG1129" s="10"/>
      <c r="AH1129" s="10"/>
      <c r="AI1129" s="10"/>
      <c r="AJ1129" s="12">
        <f t="shared" si="235"/>
        <v>0</v>
      </c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1:53" x14ac:dyDescent="0.25">
      <c r="A1130" s="18"/>
      <c r="B1130" s="10">
        <v>38</v>
      </c>
      <c r="C1130" s="30"/>
      <c r="D1130" s="31"/>
      <c r="E1130" s="45"/>
      <c r="F1130" s="31"/>
      <c r="G1130" s="31"/>
      <c r="H1130" s="32">
        <f t="shared" si="230"/>
        <v>0</v>
      </c>
      <c r="I1130" s="10"/>
      <c r="J1130" s="10"/>
      <c r="K1130" s="10"/>
      <c r="L1130" s="12">
        <f t="shared" si="231"/>
        <v>0</v>
      </c>
      <c r="N1130" s="10">
        <v>38</v>
      </c>
      <c r="O1130" s="30"/>
      <c r="P1130" s="31"/>
      <c r="Q1130" s="45"/>
      <c r="R1130" s="31"/>
      <c r="S1130" s="31"/>
      <c r="T1130" s="32">
        <f t="shared" si="232"/>
        <v>0</v>
      </c>
      <c r="U1130" s="10"/>
      <c r="V1130" s="10"/>
      <c r="W1130" s="10"/>
      <c r="X1130" s="12">
        <f t="shared" si="233"/>
        <v>0</v>
      </c>
      <c r="Z1130" s="10">
        <v>38</v>
      </c>
      <c r="AA1130" s="30"/>
      <c r="AB1130" s="31"/>
      <c r="AC1130" s="45"/>
      <c r="AD1130" s="31"/>
      <c r="AE1130" s="31"/>
      <c r="AF1130" s="32">
        <f t="shared" si="234"/>
        <v>0</v>
      </c>
      <c r="AG1130" s="10"/>
      <c r="AH1130" s="10"/>
      <c r="AI1130" s="10"/>
      <c r="AJ1130" s="12">
        <f t="shared" si="235"/>
        <v>0</v>
      </c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1:53" x14ac:dyDescent="0.25">
      <c r="A1131" s="18"/>
      <c r="B1131" s="10">
        <v>39</v>
      </c>
      <c r="C1131" s="30"/>
      <c r="D1131" s="31"/>
      <c r="E1131" s="45"/>
      <c r="F1131" s="31"/>
      <c r="G1131" s="31"/>
      <c r="H1131" s="32">
        <f t="shared" si="230"/>
        <v>0</v>
      </c>
      <c r="I1131" s="10"/>
      <c r="J1131" s="10"/>
      <c r="K1131" s="10"/>
      <c r="L1131" s="12">
        <f t="shared" si="231"/>
        <v>0</v>
      </c>
      <c r="N1131" s="10">
        <v>39</v>
      </c>
      <c r="O1131" s="30"/>
      <c r="P1131" s="31"/>
      <c r="Q1131" s="45"/>
      <c r="R1131" s="31"/>
      <c r="S1131" s="31"/>
      <c r="T1131" s="32">
        <f t="shared" si="232"/>
        <v>0</v>
      </c>
      <c r="U1131" s="10"/>
      <c r="V1131" s="10"/>
      <c r="W1131" s="10"/>
      <c r="X1131" s="12">
        <f t="shared" si="233"/>
        <v>0</v>
      </c>
      <c r="Z1131" s="10">
        <v>39</v>
      </c>
      <c r="AA1131" s="30"/>
      <c r="AB1131" s="31"/>
      <c r="AC1131" s="45"/>
      <c r="AD1131" s="31"/>
      <c r="AE1131" s="31"/>
      <c r="AF1131" s="32">
        <f t="shared" si="234"/>
        <v>0</v>
      </c>
      <c r="AG1131" s="10"/>
      <c r="AH1131" s="10"/>
      <c r="AI1131" s="10"/>
      <c r="AJ1131" s="12">
        <f t="shared" si="235"/>
        <v>0</v>
      </c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1:53" x14ac:dyDescent="0.25">
      <c r="A1132" s="18"/>
      <c r="B1132" s="10"/>
      <c r="C1132" s="30"/>
      <c r="D1132"/>
      <c r="E1132" s="45"/>
      <c r="F1132" s="31"/>
      <c r="G1132" s="31"/>
      <c r="H1132" s="32"/>
      <c r="I1132" s="10"/>
      <c r="J1132" s="10"/>
      <c r="K1132" s="10"/>
      <c r="L1132" s="12">
        <f t="shared" si="231"/>
        <v>0</v>
      </c>
      <c r="N1132" s="10"/>
      <c r="O1132" s="30"/>
      <c r="Q1132" s="45"/>
      <c r="R1132" s="31"/>
      <c r="S1132" s="31"/>
      <c r="T1132" s="32"/>
      <c r="U1132" s="10"/>
      <c r="V1132" s="10"/>
      <c r="W1132" s="10"/>
      <c r="X1132" s="12">
        <f t="shared" si="233"/>
        <v>0</v>
      </c>
      <c r="Z1132" s="10"/>
      <c r="AA1132" s="30"/>
      <c r="AC1132" s="45"/>
      <c r="AD1132" s="31"/>
      <c r="AE1132" s="31"/>
      <c r="AF1132" s="32"/>
      <c r="AG1132" s="10"/>
      <c r="AH1132" s="10"/>
      <c r="AI1132" s="10"/>
      <c r="AJ1132" s="12">
        <f t="shared" si="235"/>
        <v>0</v>
      </c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1:53" x14ac:dyDescent="0.25">
      <c r="A1133" s="18"/>
      <c r="B1133" s="10"/>
      <c r="C1133" s="30"/>
      <c r="D1133" s="31"/>
      <c r="E1133" s="45"/>
      <c r="F1133" s="31"/>
      <c r="G1133" s="31"/>
      <c r="H1133" s="32">
        <f t="shared" ref="H1133" si="239">SUM(E1133:F1133)</f>
        <v>0</v>
      </c>
      <c r="I1133" s="10"/>
      <c r="J1133" s="10"/>
      <c r="K1133" s="10"/>
      <c r="L1133" s="12">
        <f t="shared" si="231"/>
        <v>0</v>
      </c>
      <c r="N1133" s="10"/>
      <c r="O1133" s="30"/>
      <c r="P1133" s="31"/>
      <c r="Q1133" s="45"/>
      <c r="R1133" s="31"/>
      <c r="S1133" s="31"/>
      <c r="T1133" s="32">
        <f t="shared" ref="T1133" si="240">SUM(Q1133:R1133)</f>
        <v>0</v>
      </c>
      <c r="U1133" s="10"/>
      <c r="V1133" s="10"/>
      <c r="W1133" s="10"/>
      <c r="X1133" s="12">
        <f t="shared" si="233"/>
        <v>0</v>
      </c>
      <c r="Z1133" s="10"/>
      <c r="AA1133" s="30"/>
      <c r="AB1133" s="31"/>
      <c r="AC1133" s="45"/>
      <c r="AD1133" s="31"/>
      <c r="AE1133" s="31"/>
      <c r="AF1133" s="32">
        <f t="shared" ref="AF1133" si="241">SUM(AC1133:AD1133)</f>
        <v>0</v>
      </c>
      <c r="AG1133" s="10"/>
      <c r="AH1133" s="10"/>
      <c r="AI1133" s="10"/>
      <c r="AJ1133" s="12">
        <f t="shared" si="235"/>
        <v>0</v>
      </c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1:53" x14ac:dyDescent="0.25">
      <c r="A1134" s="18"/>
      <c r="B1134" s="10"/>
      <c r="C1134" s="31"/>
      <c r="D1134" s="31"/>
      <c r="E1134" s="31"/>
      <c r="F1134" s="31"/>
      <c r="G1134" s="31"/>
      <c r="H1134" s="31"/>
      <c r="I1134" s="10"/>
      <c r="J1134" s="10"/>
      <c r="K1134" s="10"/>
      <c r="L1134" s="12">
        <f t="shared" si="231"/>
        <v>0</v>
      </c>
      <c r="N1134" s="10"/>
      <c r="O1134" s="31"/>
      <c r="P1134" s="31"/>
      <c r="Q1134" s="31"/>
      <c r="R1134" s="31"/>
      <c r="S1134" s="31"/>
      <c r="T1134" s="31"/>
      <c r="U1134" s="10"/>
      <c r="V1134" s="10"/>
      <c r="W1134" s="10"/>
      <c r="X1134" s="12">
        <f t="shared" si="233"/>
        <v>0</v>
      </c>
      <c r="Z1134" s="10"/>
      <c r="AA1134" s="31"/>
      <c r="AB1134" s="31"/>
      <c r="AC1134" s="31"/>
      <c r="AD1134" s="31"/>
      <c r="AE1134" s="31"/>
      <c r="AF1134" s="31"/>
      <c r="AG1134" s="10"/>
      <c r="AH1134" s="10"/>
      <c r="AI1134" s="10"/>
      <c r="AJ1134" s="12">
        <f t="shared" si="235"/>
        <v>0</v>
      </c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1:53" x14ac:dyDescent="0.25">
      <c r="A1135" s="18"/>
      <c r="C1135" s="55"/>
      <c r="D1135" s="55"/>
      <c r="E1135" s="36"/>
      <c r="F1135" s="36"/>
      <c r="G1135" s="36"/>
      <c r="H1135" s="36"/>
      <c r="I1135" s="37"/>
      <c r="J1135" s="37"/>
      <c r="K1135" s="37"/>
      <c r="L1135" s="37"/>
      <c r="O1135" s="55"/>
      <c r="P1135" s="55"/>
      <c r="Q1135" s="36"/>
      <c r="R1135" s="36"/>
      <c r="S1135" s="36"/>
      <c r="T1135" s="36"/>
      <c r="U1135" s="37"/>
      <c r="V1135" s="37"/>
      <c r="W1135" s="37"/>
      <c r="X1135" s="37"/>
      <c r="AA1135" s="55"/>
      <c r="AB1135" s="55"/>
      <c r="AC1135" s="36"/>
      <c r="AD1135" s="36"/>
      <c r="AE1135" s="36"/>
      <c r="AF1135" s="36"/>
      <c r="AG1135" s="37"/>
      <c r="AH1135" s="37"/>
      <c r="AI1135" s="37"/>
      <c r="AJ1135" s="37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1:53" x14ac:dyDescent="0.25">
      <c r="A1136" s="18"/>
      <c r="C1136" s="55"/>
      <c r="D1136" s="55"/>
      <c r="E1136" s="38">
        <f>SUM(E1093:E1135)</f>
        <v>369218.5</v>
      </c>
      <c r="F1136" s="38">
        <f>SUM(F1093:F1117)</f>
        <v>-2772</v>
      </c>
      <c r="G1136" s="38">
        <f>SUM(G1093:G1117)</f>
        <v>0</v>
      </c>
      <c r="H1136" s="38">
        <f>SUM(H1093:H1135)</f>
        <v>366446.5</v>
      </c>
      <c r="I1136" s="4"/>
      <c r="J1136" s="39">
        <f>SUM(J1093:J1135)</f>
        <v>0</v>
      </c>
      <c r="K1136" s="39">
        <f>SUM(K1093:K1117)</f>
        <v>-7548</v>
      </c>
      <c r="L1136" s="40">
        <f>SUM(L1093:L1135)</f>
        <v>358898.5</v>
      </c>
      <c r="O1136" s="55"/>
      <c r="P1136" s="55"/>
      <c r="Q1136" s="38">
        <f>SUM(Q1093:Q1135)</f>
        <v>198498.5</v>
      </c>
      <c r="R1136" s="38">
        <f>SUM(R1093:R1117)</f>
        <v>-300</v>
      </c>
      <c r="S1136" s="38">
        <f>SUM(S1093:S1117)</f>
        <v>0</v>
      </c>
      <c r="T1136" s="38">
        <f>SUM(T1093:T1135)</f>
        <v>198198.5</v>
      </c>
      <c r="U1136" s="4"/>
      <c r="V1136" s="39">
        <f>SUM(V1093:V1135)</f>
        <v>1695</v>
      </c>
      <c r="W1136" s="39">
        <f>SUM(W1093:W1117)</f>
        <v>-78</v>
      </c>
      <c r="X1136" s="40">
        <f>SUM(X1093:X1135)</f>
        <v>199815.5</v>
      </c>
      <c r="AA1136" s="55"/>
      <c r="AB1136" s="55"/>
      <c r="AC1136" s="38">
        <f>SUM(AC1093:AC1135)</f>
        <v>478114</v>
      </c>
      <c r="AD1136" s="38">
        <f>SUM(AD1093:AD1117)</f>
        <v>-2394</v>
      </c>
      <c r="AE1136" s="38">
        <f>SUM(AE1093:AE1117)</f>
        <v>0</v>
      </c>
      <c r="AF1136" s="38">
        <f>SUM(AF1093:AF1135)</f>
        <v>475720</v>
      </c>
      <c r="AG1136" s="4"/>
      <c r="AH1136" s="39">
        <f>SUM(AH1093:AH1135)</f>
        <v>7878</v>
      </c>
      <c r="AI1136" s="39">
        <f>SUM(AI1093:AI1117)</f>
        <v>0</v>
      </c>
      <c r="AJ1136" s="40">
        <f>SUM(AJ1093:AJ1135)</f>
        <v>483598</v>
      </c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1:53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Z1137" s="18"/>
      <c r="AA1137" s="18"/>
      <c r="AB1137" s="18"/>
      <c r="AC1137" s="18"/>
      <c r="AD1137" s="18"/>
      <c r="AE1137" s="18"/>
      <c r="AF1137" s="18"/>
      <c r="AG1137" s="18"/>
      <c r="AH1137" s="18"/>
      <c r="AI1137" s="18"/>
      <c r="AJ1137" s="18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1:53" x14ac:dyDescent="0.25">
      <c r="B1138" s="61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1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1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1:53" x14ac:dyDescent="0.25">
      <c r="B1139" s="60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0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0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1:53" ht="15.75" x14ac:dyDescent="0.25">
      <c r="B1140" s="60"/>
      <c r="C1140" s="83"/>
      <c r="D1140" s="83"/>
      <c r="E1140" s="83"/>
      <c r="F1140" s="83"/>
      <c r="G1140" s="83"/>
      <c r="H1140" s="83"/>
      <c r="I1140" s="60"/>
      <c r="J1140" s="83"/>
      <c r="K1140" s="71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83"/>
      <c r="W1140" s="71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83"/>
      <c r="AI1140" s="83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1:53" x14ac:dyDescent="0.25">
      <c r="B1141" s="62"/>
      <c r="C1141" s="83"/>
      <c r="D1141" s="83"/>
      <c r="E1141" s="83"/>
      <c r="F1141" s="83"/>
      <c r="G1141" s="83"/>
      <c r="H1141" s="83"/>
      <c r="I1141" s="60"/>
      <c r="J1141" s="63"/>
      <c r="K1141" s="63"/>
      <c r="L1141" s="60"/>
      <c r="M1141" s="60"/>
      <c r="N1141" s="62"/>
      <c r="O1141" s="83"/>
      <c r="P1141" s="83"/>
      <c r="Q1141" s="83"/>
      <c r="R1141" s="83"/>
      <c r="S1141" s="83"/>
      <c r="T1141" s="83"/>
      <c r="U1141" s="60"/>
      <c r="V1141" s="63"/>
      <c r="W1141" s="63"/>
      <c r="X1141" s="60"/>
      <c r="Y1141" s="60"/>
      <c r="Z1141" s="62"/>
      <c r="AA1141" s="83"/>
      <c r="AB1141" s="83"/>
      <c r="AC1141" s="83"/>
      <c r="AD1141" s="83"/>
      <c r="AE1141" s="83"/>
      <c r="AF1141" s="83"/>
      <c r="AG1141" s="60"/>
      <c r="AH1141" s="63"/>
      <c r="AI1141" s="6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1:53" x14ac:dyDescent="0.25">
      <c r="B1142" s="60"/>
      <c r="C1142" s="83"/>
      <c r="D1142" s="83"/>
      <c r="E1142" s="83"/>
      <c r="F1142" s="83"/>
      <c r="G1142" s="83"/>
      <c r="H1142" s="83"/>
      <c r="I1142" s="60"/>
      <c r="J1142" s="60"/>
      <c r="K1142" s="60"/>
      <c r="L1142" s="60"/>
      <c r="M1142" s="60"/>
      <c r="N1142" s="60"/>
      <c r="O1142" s="83"/>
      <c r="P1142" s="83"/>
      <c r="Q1142" s="83"/>
      <c r="R1142" s="83"/>
      <c r="S1142" s="83"/>
      <c r="T1142" s="83"/>
      <c r="U1142" s="60"/>
      <c r="V1142" s="60"/>
      <c r="W1142" s="60"/>
      <c r="X1142" s="60"/>
      <c r="Y1142" s="60"/>
      <c r="Z1142" s="60"/>
      <c r="AA1142" s="83"/>
      <c r="AB1142" s="83"/>
      <c r="AC1142" s="83"/>
      <c r="AD1142" s="83"/>
      <c r="AE1142" s="83"/>
      <c r="AF1142" s="83"/>
      <c r="AG1142" s="60"/>
      <c r="AH1142" s="60"/>
      <c r="AI1142" s="60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1:53" x14ac:dyDescent="0.25">
      <c r="B1143" s="60"/>
      <c r="C1143" s="63"/>
      <c r="D1143" s="83"/>
      <c r="E1143" s="124"/>
      <c r="F1143" s="124"/>
      <c r="G1143" s="83"/>
      <c r="H1143" s="83"/>
      <c r="I1143" s="60"/>
      <c r="J1143" s="124"/>
      <c r="K1143" s="124"/>
      <c r="L1143" s="123"/>
      <c r="M1143" s="60"/>
      <c r="N1143" s="60"/>
      <c r="O1143" s="63"/>
      <c r="P1143" s="83"/>
      <c r="Q1143" s="124"/>
      <c r="R1143" s="124"/>
      <c r="S1143" s="83"/>
      <c r="T1143" s="83"/>
      <c r="U1143" s="60"/>
      <c r="V1143" s="124"/>
      <c r="W1143" s="124"/>
      <c r="X1143" s="123"/>
      <c r="Y1143" s="60"/>
      <c r="Z1143" s="60"/>
      <c r="AA1143" s="63"/>
      <c r="AB1143" s="83"/>
      <c r="AC1143" s="124"/>
      <c r="AD1143" s="124"/>
      <c r="AE1143" s="83"/>
      <c r="AF1143" s="83"/>
      <c r="AG1143" s="60"/>
      <c r="AH1143" s="124"/>
      <c r="AI1143" s="124"/>
      <c r="AJ1143" s="123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1:53" x14ac:dyDescent="0.25">
      <c r="B1144" s="60"/>
      <c r="C1144" s="83"/>
      <c r="D1144" s="83"/>
      <c r="E1144" s="76"/>
      <c r="F1144" s="77"/>
      <c r="G1144" s="78"/>
      <c r="H1144" s="78"/>
      <c r="I1144" s="60"/>
      <c r="J1144" s="82"/>
      <c r="K1144" s="82"/>
      <c r="L1144" s="123"/>
      <c r="M1144" s="60"/>
      <c r="N1144" s="60"/>
      <c r="O1144" s="83"/>
      <c r="P1144" s="83"/>
      <c r="Q1144" s="76"/>
      <c r="R1144" s="78"/>
      <c r="S1144" s="78"/>
      <c r="T1144" s="78"/>
      <c r="U1144" s="60"/>
      <c r="V1144" s="82"/>
      <c r="W1144" s="82"/>
      <c r="X1144" s="123"/>
      <c r="Y1144" s="60"/>
      <c r="Z1144" s="60"/>
      <c r="AA1144" s="83"/>
      <c r="AB1144" s="83"/>
      <c r="AC1144" s="76"/>
      <c r="AD1144" s="78"/>
      <c r="AE1144" s="78"/>
      <c r="AF1144" s="78"/>
      <c r="AG1144" s="60"/>
      <c r="AH1144" s="82"/>
      <c r="AI1144" s="82"/>
      <c r="AJ1144" s="123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1:53" x14ac:dyDescent="0.25">
      <c r="B1145" s="60"/>
      <c r="C1145" s="64"/>
      <c r="D1145" s="83"/>
      <c r="E1145" s="58"/>
      <c r="F1145" s="58"/>
      <c r="G1145" s="58"/>
      <c r="H1145" s="58"/>
      <c r="I1145" s="59"/>
      <c r="J1145" s="59"/>
      <c r="K1145" s="59"/>
      <c r="L1145" s="59"/>
      <c r="M1145" s="60"/>
      <c r="N1145" s="60"/>
      <c r="O1145" s="64"/>
      <c r="P1145" s="83"/>
      <c r="Q1145" s="58"/>
      <c r="R1145" s="58"/>
      <c r="S1145" s="58"/>
      <c r="T1145" s="58"/>
      <c r="U1145" s="59"/>
      <c r="V1145" s="59"/>
      <c r="W1145" s="59"/>
      <c r="X1145" s="59"/>
      <c r="Y1145" s="60"/>
      <c r="Z1145" s="60"/>
      <c r="AA1145" s="64"/>
      <c r="AB1145" s="83"/>
      <c r="AC1145" s="58"/>
      <c r="AD1145" s="58"/>
      <c r="AE1145" s="58"/>
      <c r="AF1145" s="58"/>
      <c r="AG1145" s="59"/>
      <c r="AH1145" s="59"/>
      <c r="AI1145" s="59"/>
      <c r="AJ1145" s="59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1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1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1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60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1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59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1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63"/>
      <c r="Q1150" s="58"/>
      <c r="R1150" s="58"/>
      <c r="S1150" s="58"/>
      <c r="T1150" s="58"/>
      <c r="U1150" s="59"/>
      <c r="V1150" s="59"/>
      <c r="W1150" s="60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60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1:53" x14ac:dyDescent="0.25">
      <c r="B1151" s="60"/>
      <c r="C1151" s="64"/>
      <c r="D1151" s="6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83"/>
      <c r="Q1151" s="58"/>
      <c r="R1151" s="58"/>
      <c r="S1151" s="58"/>
      <c r="T1151" s="58"/>
      <c r="U1151" s="59"/>
      <c r="V1151" s="59"/>
      <c r="W1151" s="59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59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1:53" x14ac:dyDescent="0.25">
      <c r="B1152" s="60"/>
      <c r="C1152" s="64"/>
      <c r="D1152" s="8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60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79"/>
      <c r="AD1153" s="58"/>
      <c r="AE1153" s="58"/>
      <c r="AF1153" s="58"/>
      <c r="AG1153" s="59"/>
      <c r="AH1153" s="60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58"/>
      <c r="AD1154" s="58"/>
      <c r="AE1154" s="58"/>
      <c r="AF1154" s="58"/>
      <c r="AG1154" s="59"/>
      <c r="AH1154" s="59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60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6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60"/>
      <c r="L1156" s="59"/>
      <c r="M1156" s="60"/>
      <c r="N1156" s="60"/>
      <c r="O1156" s="64"/>
      <c r="P1156" s="83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0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59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83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60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83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60"/>
      <c r="J1165" s="60"/>
      <c r="K1165" s="60"/>
      <c r="L1165" s="59"/>
      <c r="M1165" s="60"/>
      <c r="N1165" s="60"/>
      <c r="O1165" s="64"/>
      <c r="P1165" s="60"/>
      <c r="Q1165" s="65"/>
      <c r="R1165" s="83"/>
      <c r="S1165" s="83"/>
      <c r="T1165" s="58"/>
      <c r="U1165" s="60"/>
      <c r="V1165" s="60"/>
      <c r="W1165" s="60"/>
      <c r="X1165" s="59"/>
      <c r="Y1165" s="60"/>
      <c r="Z1165" s="60"/>
      <c r="AA1165" s="64"/>
      <c r="AB1165" s="83"/>
      <c r="AC1165" s="65"/>
      <c r="AD1165" s="83"/>
      <c r="AE1165" s="83"/>
      <c r="AF1165" s="58"/>
      <c r="AG1165" s="60"/>
      <c r="AH1165" s="60"/>
      <c r="AI1165" s="60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83"/>
      <c r="Q1166" s="66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6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59"/>
      <c r="L1167" s="59"/>
      <c r="M1167" s="60"/>
      <c r="N1167" s="60"/>
      <c r="O1167" s="64"/>
      <c r="P1167" s="83"/>
      <c r="Q1167" s="67"/>
      <c r="R1167" s="83"/>
      <c r="S1167" s="60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7"/>
      <c r="AD1167" s="60"/>
      <c r="AE1167" s="60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60"/>
      <c r="L1168" s="59"/>
      <c r="M1168" s="60"/>
      <c r="N1168" s="60"/>
      <c r="O1168" s="64"/>
      <c r="P1168" s="83"/>
      <c r="Q1168" s="67"/>
      <c r="R1168" s="83"/>
      <c r="S1168" s="83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83"/>
      <c r="AE1168" s="83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60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83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6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60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83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60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8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83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60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60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83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83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64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83"/>
      <c r="P1186" s="83"/>
      <c r="Q1186" s="83"/>
      <c r="R1186" s="83"/>
      <c r="S1186" s="83"/>
      <c r="T1186" s="83"/>
      <c r="U1186" s="60"/>
      <c r="V1186" s="60"/>
      <c r="W1186" s="60"/>
      <c r="X1186" s="59"/>
      <c r="Y1186" s="60"/>
      <c r="Z1186" s="60"/>
      <c r="AA1186" s="83"/>
      <c r="AB1186" s="83"/>
      <c r="AC1186" s="83"/>
      <c r="AD1186" s="83"/>
      <c r="AE1186" s="83"/>
      <c r="AF1186" s="83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83"/>
      <c r="D1187" s="83"/>
      <c r="E1187" s="83"/>
      <c r="F1187" s="83"/>
      <c r="G1187" s="83"/>
      <c r="H1187" s="83"/>
      <c r="I1187" s="60"/>
      <c r="J1187" s="60"/>
      <c r="K1187" s="60"/>
      <c r="L1187" s="60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60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60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68"/>
      <c r="F1188" s="68"/>
      <c r="G1188" s="68"/>
      <c r="H1188" s="68"/>
      <c r="I1188" s="61"/>
      <c r="J1188" s="68"/>
      <c r="K1188" s="68"/>
      <c r="L1188" s="68"/>
      <c r="M1188" s="60"/>
      <c r="N1188" s="60"/>
      <c r="O1188" s="83"/>
      <c r="P1188" s="83"/>
      <c r="Q1188" s="68"/>
      <c r="R1188" s="68"/>
      <c r="S1188" s="68"/>
      <c r="T1188" s="68"/>
      <c r="U1188" s="61"/>
      <c r="V1188" s="69"/>
      <c r="W1188" s="69"/>
      <c r="X1188" s="69"/>
      <c r="Y1188" s="60"/>
      <c r="Z1188" s="60"/>
      <c r="AA1188" s="83"/>
      <c r="AB1188" s="83"/>
      <c r="AC1188" s="68"/>
      <c r="AD1188" s="68"/>
      <c r="AE1188" s="68"/>
      <c r="AF1188" s="68"/>
      <c r="AG1188" s="61"/>
      <c r="AH1188" s="69"/>
      <c r="AI1188" s="69"/>
      <c r="AJ1188" s="69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83"/>
      <c r="D1191" s="83"/>
      <c r="E1191" s="83"/>
      <c r="F1191" s="83"/>
      <c r="G1191" s="83"/>
      <c r="H1191" s="83"/>
      <c r="I1191" s="60"/>
      <c r="J1191" s="60"/>
      <c r="K1191" s="60"/>
      <c r="L1191" s="60"/>
      <c r="M1191" s="60"/>
      <c r="N1191" s="60"/>
      <c r="O1191" s="83"/>
      <c r="P1191" s="83"/>
      <c r="Q1191" s="83"/>
      <c r="R1191" s="83"/>
      <c r="S1191" s="83"/>
      <c r="T1191" s="83"/>
      <c r="U1191" s="60"/>
      <c r="V1191" s="60"/>
      <c r="W1191" s="60"/>
      <c r="X1191" s="60"/>
      <c r="Y1191" s="60"/>
      <c r="Z1191" s="60"/>
      <c r="AA1191" s="83"/>
      <c r="AB1191" s="83"/>
      <c r="AC1191" s="83"/>
      <c r="AD1191" s="83"/>
      <c r="AE1191" s="83"/>
      <c r="AF1191" s="83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1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1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1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0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0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0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ht="15.75" x14ac:dyDescent="0.25">
      <c r="B1196" s="60"/>
      <c r="C1196" s="83"/>
      <c r="D1196" s="83"/>
      <c r="E1196" s="83"/>
      <c r="F1196" s="83"/>
      <c r="G1196" s="83"/>
      <c r="H1196" s="83"/>
      <c r="I1196" s="60"/>
      <c r="J1196" s="83"/>
      <c r="K1196" s="71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83"/>
      <c r="W1196" s="71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83"/>
      <c r="AI1196" s="83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x14ac:dyDescent="0.25">
      <c r="B1197" s="62"/>
      <c r="C1197" s="83"/>
      <c r="D1197" s="83"/>
      <c r="E1197" s="83"/>
      <c r="F1197" s="83"/>
      <c r="G1197" s="83"/>
      <c r="H1197" s="83"/>
      <c r="I1197" s="60"/>
      <c r="J1197" s="63"/>
      <c r="K1197" s="63"/>
      <c r="L1197" s="60"/>
      <c r="M1197" s="60"/>
      <c r="N1197" s="62"/>
      <c r="O1197" s="83"/>
      <c r="P1197" s="83"/>
      <c r="Q1197" s="83"/>
      <c r="R1197" s="83"/>
      <c r="S1197" s="83"/>
      <c r="T1197" s="83"/>
      <c r="U1197" s="60"/>
      <c r="V1197" s="63"/>
      <c r="W1197" s="63"/>
      <c r="X1197" s="60"/>
      <c r="Y1197" s="60"/>
      <c r="Z1197" s="62"/>
      <c r="AA1197" s="83"/>
      <c r="AB1197" s="83"/>
      <c r="AC1197" s="83"/>
      <c r="AD1197" s="83"/>
      <c r="AE1197" s="83"/>
      <c r="AF1197" s="83"/>
      <c r="AG1197" s="60"/>
      <c r="AH1197" s="63"/>
      <c r="AI1197" s="6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0"/>
      <c r="C1198" s="83"/>
      <c r="D1198" s="83"/>
      <c r="E1198" s="83"/>
      <c r="F1198" s="83"/>
      <c r="G1198" s="83"/>
      <c r="H1198" s="83"/>
      <c r="I1198" s="60"/>
      <c r="J1198" s="60"/>
      <c r="K1198" s="60"/>
      <c r="L1198" s="60"/>
      <c r="M1198" s="60"/>
      <c r="N1198" s="60"/>
      <c r="O1198" s="83"/>
      <c r="P1198" s="83"/>
      <c r="Q1198" s="83"/>
      <c r="R1198" s="83"/>
      <c r="S1198" s="83"/>
      <c r="T1198" s="83"/>
      <c r="U1198" s="60"/>
      <c r="V1198" s="60"/>
      <c r="W1198" s="60"/>
      <c r="X1198" s="60"/>
      <c r="Y1198" s="60"/>
      <c r="Z1198" s="60"/>
      <c r="AA1198" s="83"/>
      <c r="AB1198" s="83"/>
      <c r="AC1198" s="83"/>
      <c r="AD1198" s="83"/>
      <c r="AE1198" s="83"/>
      <c r="AF1198" s="83"/>
      <c r="AG1198" s="60"/>
      <c r="AH1198" s="60"/>
      <c r="AI1198" s="60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63"/>
      <c r="D1199" s="83"/>
      <c r="E1199" s="124"/>
      <c r="F1199" s="124"/>
      <c r="G1199" s="83"/>
      <c r="H1199" s="83"/>
      <c r="I1199" s="60"/>
      <c r="J1199" s="124"/>
      <c r="K1199" s="124"/>
      <c r="L1199" s="123"/>
      <c r="M1199" s="60"/>
      <c r="N1199" s="60"/>
      <c r="O1199" s="63"/>
      <c r="P1199" s="83"/>
      <c r="Q1199" s="124"/>
      <c r="R1199" s="124"/>
      <c r="S1199" s="83"/>
      <c r="T1199" s="83"/>
      <c r="U1199" s="60"/>
      <c r="V1199" s="124"/>
      <c r="W1199" s="124"/>
      <c r="X1199" s="123"/>
      <c r="Y1199" s="60"/>
      <c r="Z1199" s="60"/>
      <c r="AA1199" s="63"/>
      <c r="AB1199" s="83"/>
      <c r="AC1199" s="124"/>
      <c r="AD1199" s="124"/>
      <c r="AE1199" s="83"/>
      <c r="AF1199" s="83"/>
      <c r="AG1199" s="60"/>
      <c r="AH1199" s="124"/>
      <c r="AI1199" s="124"/>
      <c r="AJ1199" s="123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83"/>
      <c r="D1200" s="83"/>
      <c r="E1200" s="76"/>
      <c r="F1200" s="77"/>
      <c r="G1200" s="78"/>
      <c r="H1200" s="78"/>
      <c r="I1200" s="60"/>
      <c r="J1200" s="82"/>
      <c r="K1200" s="82"/>
      <c r="L1200" s="123"/>
      <c r="M1200" s="60"/>
      <c r="N1200" s="60"/>
      <c r="O1200" s="83"/>
      <c r="P1200" s="83"/>
      <c r="Q1200" s="76"/>
      <c r="R1200" s="78"/>
      <c r="S1200" s="78"/>
      <c r="T1200" s="78"/>
      <c r="U1200" s="60"/>
      <c r="V1200" s="82"/>
      <c r="W1200" s="82"/>
      <c r="X1200" s="123"/>
      <c r="Y1200" s="60"/>
      <c r="Z1200" s="60"/>
      <c r="AA1200" s="83"/>
      <c r="AB1200" s="83"/>
      <c r="AC1200" s="76"/>
      <c r="AD1200" s="77"/>
      <c r="AE1200" s="78"/>
      <c r="AF1200" s="78"/>
      <c r="AG1200" s="60"/>
      <c r="AH1200" s="82"/>
      <c r="AI1200" s="82"/>
      <c r="AJ1200" s="123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64"/>
      <c r="D1201" s="83"/>
      <c r="E1201" s="58"/>
      <c r="F1201" s="58"/>
      <c r="G1201" s="58"/>
      <c r="H1201" s="58"/>
      <c r="I1201" s="59"/>
      <c r="J1201" s="59"/>
      <c r="K1201" s="59"/>
      <c r="L1201" s="59"/>
      <c r="M1201" s="60"/>
      <c r="N1201" s="60"/>
      <c r="O1201" s="64"/>
      <c r="P1201" s="83"/>
      <c r="Q1201" s="58"/>
      <c r="R1201" s="58"/>
      <c r="S1201" s="58"/>
      <c r="T1201" s="58"/>
      <c r="U1201" s="59"/>
      <c r="V1201" s="59"/>
      <c r="W1201" s="59"/>
      <c r="X1201" s="59"/>
      <c r="Y1201" s="60"/>
      <c r="Z1201" s="60"/>
      <c r="AA1201" s="64"/>
      <c r="AB1201" s="83"/>
      <c r="AC1201" s="58"/>
      <c r="AD1201" s="58"/>
      <c r="AE1201" s="58"/>
      <c r="AF1201" s="58"/>
      <c r="AG1201" s="59"/>
      <c r="AH1201" s="59"/>
      <c r="AI1201" s="59"/>
      <c r="AJ1201" s="5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6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0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83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60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59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6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60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83"/>
      <c r="AC1212" s="58"/>
      <c r="AD1212" s="58"/>
      <c r="AE1212" s="58"/>
      <c r="AF1212" s="58"/>
      <c r="AG1212" s="59"/>
      <c r="AH1212" s="59"/>
      <c r="AI1212" s="60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59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59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60"/>
      <c r="J1221" s="60"/>
      <c r="K1221" s="60"/>
      <c r="L1221" s="59"/>
      <c r="M1221" s="60"/>
      <c r="N1221" s="60"/>
      <c r="O1221" s="64"/>
      <c r="P1221" s="83"/>
      <c r="Q1221" s="65"/>
      <c r="R1221" s="83"/>
      <c r="S1221" s="83"/>
      <c r="T1221" s="58"/>
      <c r="U1221" s="60"/>
      <c r="V1221" s="60"/>
      <c r="W1221" s="60"/>
      <c r="X1221" s="59"/>
      <c r="Y1221" s="60"/>
      <c r="Z1221" s="60"/>
      <c r="AA1221" s="64"/>
      <c r="AB1221" s="60"/>
      <c r="AC1221" s="58"/>
      <c r="AD1221" s="58"/>
      <c r="AE1221" s="58"/>
      <c r="AF1221" s="58"/>
      <c r="AG1221" s="60"/>
      <c r="AH1221" s="60"/>
      <c r="AI1221" s="60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6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6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83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83"/>
      <c r="E1223" s="58"/>
      <c r="F1223" s="58"/>
      <c r="G1223" s="58"/>
      <c r="H1223" s="58"/>
      <c r="I1223" s="60"/>
      <c r="J1223" s="60"/>
      <c r="K1223" s="59"/>
      <c r="L1223" s="59"/>
      <c r="M1223" s="60"/>
      <c r="N1223" s="60"/>
      <c r="O1223" s="64"/>
      <c r="P1223" s="60"/>
      <c r="Q1223" s="67"/>
      <c r="R1223" s="60"/>
      <c r="S1223" s="60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59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60"/>
      <c r="L1224" s="59"/>
      <c r="M1224" s="60"/>
      <c r="N1224" s="60"/>
      <c r="O1224" s="64"/>
      <c r="P1224" s="83"/>
      <c r="Q1224" s="67"/>
      <c r="R1224" s="83"/>
      <c r="S1224" s="83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60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60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60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83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83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6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8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60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3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64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83"/>
      <c r="P1250" s="83"/>
      <c r="Q1250" s="83"/>
      <c r="R1250" s="83"/>
      <c r="S1250" s="83"/>
      <c r="T1250" s="83"/>
      <c r="U1250" s="60"/>
      <c r="V1250" s="60"/>
      <c r="W1250" s="60"/>
      <c r="X1250" s="59"/>
      <c r="Y1250" s="60"/>
      <c r="Z1250" s="60"/>
      <c r="AA1250" s="64"/>
      <c r="AB1250" s="64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83"/>
      <c r="D1251" s="83"/>
      <c r="E1251" s="83"/>
      <c r="F1251" s="83"/>
      <c r="G1251" s="83"/>
      <c r="H1251" s="83"/>
      <c r="I1251" s="60"/>
      <c r="J1251" s="60"/>
      <c r="K1251" s="60"/>
      <c r="L1251" s="60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60"/>
      <c r="Y1251" s="60"/>
      <c r="Z1251" s="60"/>
      <c r="AA1251" s="83"/>
      <c r="AB1251" s="83"/>
      <c r="AC1251" s="83"/>
      <c r="AD1251" s="83"/>
      <c r="AE1251" s="83"/>
      <c r="AF1251" s="83"/>
      <c r="AG1251" s="60"/>
      <c r="AH1251" s="60"/>
      <c r="AI1251" s="60"/>
      <c r="AJ1251" s="60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68"/>
      <c r="F1252" s="68"/>
      <c r="G1252" s="68"/>
      <c r="H1252" s="68"/>
      <c r="I1252" s="61"/>
      <c r="J1252" s="68"/>
      <c r="K1252" s="68"/>
      <c r="L1252" s="68"/>
      <c r="M1252" s="60"/>
      <c r="N1252" s="60"/>
      <c r="O1252" s="83"/>
      <c r="P1252" s="83"/>
      <c r="Q1252" s="68"/>
      <c r="R1252" s="68"/>
      <c r="S1252" s="68"/>
      <c r="T1252" s="68"/>
      <c r="U1252" s="61"/>
      <c r="V1252" s="69"/>
      <c r="W1252" s="69"/>
      <c r="X1252" s="69"/>
      <c r="Y1252" s="60"/>
      <c r="Z1252" s="60"/>
      <c r="AA1252" s="83"/>
      <c r="AB1252" s="83"/>
      <c r="AC1252" s="68"/>
      <c r="AD1252" s="68"/>
      <c r="AE1252" s="68"/>
      <c r="AF1252" s="68"/>
      <c r="AG1252" s="61"/>
      <c r="AH1252" s="68"/>
      <c r="AI1252" s="68"/>
      <c r="AJ1252" s="68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83"/>
      <c r="D1254" s="83"/>
      <c r="E1254" s="83"/>
      <c r="F1254" s="83"/>
      <c r="G1254" s="83"/>
      <c r="H1254" s="83"/>
      <c r="I1254" s="60"/>
      <c r="J1254" s="60"/>
      <c r="K1254" s="60"/>
      <c r="L1254" s="60"/>
      <c r="M1254" s="60"/>
      <c r="N1254" s="60"/>
      <c r="O1254" s="83"/>
      <c r="P1254" s="83"/>
      <c r="Q1254" s="83"/>
      <c r="R1254" s="83"/>
      <c r="S1254" s="83"/>
      <c r="T1254" s="83"/>
      <c r="U1254" s="60"/>
      <c r="V1254" s="60"/>
      <c r="W1254" s="60"/>
      <c r="X1254" s="60"/>
      <c r="Y1254" s="60"/>
      <c r="Z1254" s="60"/>
      <c r="AA1254" s="83"/>
      <c r="AB1254" s="83"/>
      <c r="AC1254" s="83"/>
      <c r="AD1254" s="83"/>
      <c r="AE1254" s="83"/>
      <c r="AF1254" s="83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1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1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1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0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0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ht="15.75" x14ac:dyDescent="0.25">
      <c r="B1258" s="60"/>
      <c r="C1258" s="83"/>
      <c r="D1258" s="83"/>
      <c r="E1258" s="83"/>
      <c r="F1258" s="83"/>
      <c r="G1258" s="83"/>
      <c r="H1258" s="83"/>
      <c r="I1258" s="60"/>
      <c r="J1258" s="83"/>
      <c r="K1258" s="71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83"/>
      <c r="W1258" s="71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83"/>
      <c r="AI1258" s="83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2"/>
      <c r="C1259" s="83"/>
      <c r="D1259" s="83"/>
      <c r="E1259" s="83"/>
      <c r="F1259" s="83"/>
      <c r="G1259" s="83"/>
      <c r="H1259" s="83"/>
      <c r="I1259" s="60"/>
      <c r="J1259" s="63"/>
      <c r="K1259" s="63"/>
      <c r="L1259" s="60"/>
      <c r="M1259" s="60"/>
      <c r="N1259" s="62"/>
      <c r="O1259" s="83"/>
      <c r="P1259" s="83"/>
      <c r="Q1259" s="83"/>
      <c r="R1259" s="83"/>
      <c r="S1259" s="83"/>
      <c r="T1259" s="83"/>
      <c r="U1259" s="60"/>
      <c r="V1259" s="63"/>
      <c r="W1259" s="63"/>
      <c r="X1259" s="60"/>
      <c r="Y1259" s="60"/>
      <c r="Z1259" s="62"/>
      <c r="AA1259" s="83"/>
      <c r="AB1259" s="83"/>
      <c r="AC1259" s="83"/>
      <c r="AD1259" s="83"/>
      <c r="AE1259" s="83"/>
      <c r="AF1259" s="83"/>
      <c r="AG1259" s="60"/>
      <c r="AH1259" s="63"/>
      <c r="AI1259" s="6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83"/>
      <c r="D1260" s="83"/>
      <c r="E1260" s="83"/>
      <c r="F1260" s="83"/>
      <c r="G1260" s="83"/>
      <c r="H1260" s="83"/>
      <c r="I1260" s="60"/>
      <c r="J1260" s="60"/>
      <c r="K1260" s="60"/>
      <c r="L1260" s="60"/>
      <c r="M1260" s="60"/>
      <c r="N1260" s="60"/>
      <c r="O1260" s="83"/>
      <c r="P1260" s="83"/>
      <c r="Q1260" s="83"/>
      <c r="R1260" s="83"/>
      <c r="S1260" s="83"/>
      <c r="T1260" s="83"/>
      <c r="U1260" s="60"/>
      <c r="V1260" s="60"/>
      <c r="W1260" s="60"/>
      <c r="X1260" s="60"/>
      <c r="Y1260" s="60"/>
      <c r="Z1260" s="60"/>
      <c r="AA1260" s="83"/>
      <c r="AB1260" s="83"/>
      <c r="AC1260" s="83"/>
      <c r="AD1260" s="83"/>
      <c r="AE1260" s="83"/>
      <c r="AF1260" s="83"/>
      <c r="AG1260" s="60"/>
      <c r="AH1260" s="60"/>
      <c r="AI1260" s="60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3"/>
      <c r="D1261" s="83"/>
      <c r="E1261" s="124"/>
      <c r="F1261" s="124"/>
      <c r="G1261" s="83"/>
      <c r="H1261" s="83"/>
      <c r="I1261" s="60"/>
      <c r="J1261" s="124"/>
      <c r="K1261" s="124"/>
      <c r="L1261" s="123"/>
      <c r="M1261" s="60"/>
      <c r="N1261" s="60"/>
      <c r="O1261" s="63"/>
      <c r="P1261" s="83"/>
      <c r="Q1261" s="124"/>
      <c r="R1261" s="124"/>
      <c r="S1261" s="83"/>
      <c r="T1261" s="83"/>
      <c r="U1261" s="60"/>
      <c r="V1261" s="124"/>
      <c r="W1261" s="124"/>
      <c r="X1261" s="123"/>
      <c r="Y1261" s="60"/>
      <c r="Z1261" s="60"/>
      <c r="AA1261" s="63"/>
      <c r="AB1261" s="83"/>
      <c r="AC1261" s="124"/>
      <c r="AD1261" s="124"/>
      <c r="AE1261" s="83"/>
      <c r="AF1261" s="83"/>
      <c r="AG1261" s="60"/>
      <c r="AH1261" s="124"/>
      <c r="AI1261" s="124"/>
      <c r="AJ1261" s="123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83"/>
      <c r="D1262" s="83"/>
      <c r="E1262" s="83"/>
      <c r="F1262" s="82"/>
      <c r="G1262" s="82"/>
      <c r="H1262" s="82"/>
      <c r="I1262" s="60"/>
      <c r="J1262" s="82"/>
      <c r="K1262" s="82"/>
      <c r="L1262" s="123"/>
      <c r="M1262" s="60"/>
      <c r="N1262" s="60"/>
      <c r="O1262" s="83"/>
      <c r="P1262" s="83"/>
      <c r="Q1262" s="83"/>
      <c r="R1262" s="82"/>
      <c r="S1262" s="82"/>
      <c r="T1262" s="82"/>
      <c r="U1262" s="60"/>
      <c r="V1262" s="82"/>
      <c r="W1262" s="82"/>
      <c r="X1262" s="123"/>
      <c r="Y1262" s="60"/>
      <c r="Z1262" s="60"/>
      <c r="AA1262" s="83"/>
      <c r="AB1262" s="83"/>
      <c r="AC1262" s="83"/>
      <c r="AD1262" s="82"/>
      <c r="AE1262" s="82"/>
      <c r="AF1262" s="82"/>
      <c r="AG1262" s="60"/>
      <c r="AH1262" s="82"/>
      <c r="AI1262" s="82"/>
      <c r="AJ1262" s="123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3"/>
      <c r="E1263" s="58"/>
      <c r="F1263" s="58"/>
      <c r="G1263" s="58"/>
      <c r="H1263" s="58"/>
      <c r="I1263" s="59"/>
      <c r="J1263" s="59"/>
      <c r="K1263" s="59"/>
      <c r="L1263" s="59"/>
      <c r="M1263" s="60"/>
      <c r="N1263" s="60"/>
      <c r="O1263" s="64"/>
      <c r="P1263" s="83"/>
      <c r="Q1263" s="58"/>
      <c r="R1263" s="58"/>
      <c r="S1263" s="58"/>
      <c r="T1263" s="58"/>
      <c r="U1263" s="59"/>
      <c r="V1263" s="59"/>
      <c r="W1263" s="59"/>
      <c r="X1263" s="59"/>
      <c r="Y1263" s="60"/>
      <c r="Z1263" s="60"/>
      <c r="AA1263" s="64"/>
      <c r="AB1263" s="83"/>
      <c r="AC1263" s="58"/>
      <c r="AD1263" s="58"/>
      <c r="AE1263" s="58"/>
      <c r="AF1263" s="58"/>
      <c r="AG1263" s="59"/>
      <c r="AH1263" s="59"/>
      <c r="AI1263" s="59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60"/>
      <c r="AD1266" s="58"/>
      <c r="AE1266" s="58"/>
      <c r="AF1266" s="58"/>
      <c r="AG1266" s="59"/>
      <c r="AH1266" s="60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58"/>
      <c r="AD1267" s="58"/>
      <c r="AE1267" s="58"/>
      <c r="AF1267" s="58"/>
      <c r="AG1267" s="59"/>
      <c r="AH1267" s="59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60"/>
      <c r="R1268" s="58"/>
      <c r="S1268" s="58"/>
      <c r="T1268" s="58"/>
      <c r="U1268" s="59"/>
      <c r="V1268" s="59"/>
      <c r="W1268" s="60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58"/>
      <c r="R1269" s="58"/>
      <c r="S1269" s="58"/>
      <c r="T1269" s="58"/>
      <c r="U1269" s="59"/>
      <c r="V1269" s="59"/>
      <c r="W1269" s="59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59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60"/>
      <c r="AE1270" s="60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58"/>
      <c r="AE1271" s="58"/>
      <c r="AF1271" s="58"/>
      <c r="AG1271" s="59"/>
      <c r="AH1271" s="60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60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59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83"/>
      <c r="F1273" s="58"/>
      <c r="G1273" s="58"/>
      <c r="H1273" s="58"/>
      <c r="I1273" s="59"/>
      <c r="J1273" s="59"/>
      <c r="K1273" s="59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58"/>
      <c r="F1274" s="58"/>
      <c r="G1274" s="58"/>
      <c r="H1274" s="58"/>
      <c r="I1274" s="59"/>
      <c r="J1274" s="59"/>
      <c r="K1274" s="60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60"/>
      <c r="K1275" s="59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6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83"/>
      <c r="G1276" s="83"/>
      <c r="H1276" s="58"/>
      <c r="I1276" s="59"/>
      <c r="J1276" s="59"/>
      <c r="K1276" s="60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8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58"/>
      <c r="G1277" s="58"/>
      <c r="H1277" s="58"/>
      <c r="I1277" s="59"/>
      <c r="J1277" s="59"/>
      <c r="K1277" s="59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6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8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83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58"/>
      <c r="F1283" s="58"/>
      <c r="G1283" s="58"/>
      <c r="H1283" s="58"/>
      <c r="I1283" s="60"/>
      <c r="J1283" s="60"/>
      <c r="K1283" s="60"/>
      <c r="L1283" s="59"/>
      <c r="M1283" s="60"/>
      <c r="N1283" s="60"/>
      <c r="O1283" s="64"/>
      <c r="P1283" s="83"/>
      <c r="Q1283" s="65"/>
      <c r="R1283" s="83"/>
      <c r="S1283" s="83"/>
      <c r="T1283" s="58"/>
      <c r="U1283" s="60"/>
      <c r="V1283" s="60"/>
      <c r="W1283" s="60"/>
      <c r="X1283" s="59"/>
      <c r="Y1283" s="60"/>
      <c r="Z1283" s="60"/>
      <c r="AA1283" s="64"/>
      <c r="AB1283" s="60"/>
      <c r="AC1283" s="65"/>
      <c r="AD1283" s="83"/>
      <c r="AE1283" s="83"/>
      <c r="AF1283" s="58"/>
      <c r="AG1283" s="60"/>
      <c r="AH1283" s="60"/>
      <c r="AI1283" s="60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6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83"/>
      <c r="AC1284" s="66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59"/>
      <c r="L1285" s="59"/>
      <c r="M1285" s="60"/>
      <c r="N1285" s="60"/>
      <c r="O1285" s="64"/>
      <c r="P1285" s="63"/>
      <c r="Q1285" s="67"/>
      <c r="R1285" s="60"/>
      <c r="S1285" s="60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7"/>
      <c r="AD1285" s="60"/>
      <c r="AE1285" s="60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60"/>
      <c r="L1286" s="59"/>
      <c r="M1286" s="60"/>
      <c r="N1286" s="60"/>
      <c r="O1286" s="64"/>
      <c r="P1286" s="83"/>
      <c r="Q1286" s="67"/>
      <c r="R1286" s="83"/>
      <c r="S1286" s="83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83"/>
      <c r="AE1286" s="83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60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83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60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83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60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60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3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83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64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83"/>
      <c r="P1304" s="83"/>
      <c r="Q1304" s="83"/>
      <c r="R1304" s="83"/>
      <c r="S1304" s="83"/>
      <c r="T1304" s="83"/>
      <c r="U1304" s="60"/>
      <c r="V1304" s="60"/>
      <c r="W1304" s="60"/>
      <c r="X1304" s="59"/>
      <c r="Y1304" s="60"/>
      <c r="Z1304" s="60"/>
      <c r="AA1304" s="83"/>
      <c r="AB1304" s="83"/>
      <c r="AC1304" s="83"/>
      <c r="AD1304" s="83"/>
      <c r="AE1304" s="83"/>
      <c r="AF1304" s="83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83"/>
      <c r="D1305" s="83"/>
      <c r="E1305" s="83"/>
      <c r="F1305" s="83"/>
      <c r="G1305" s="83"/>
      <c r="H1305" s="83"/>
      <c r="I1305" s="60"/>
      <c r="J1305" s="60"/>
      <c r="K1305" s="60"/>
      <c r="L1305" s="60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60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60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68"/>
      <c r="F1306" s="68"/>
      <c r="G1306" s="68"/>
      <c r="H1306" s="68"/>
      <c r="I1306" s="61"/>
      <c r="J1306" s="68"/>
      <c r="K1306" s="68"/>
      <c r="L1306" s="68"/>
      <c r="M1306" s="60"/>
      <c r="N1306" s="60"/>
      <c r="O1306" s="83"/>
      <c r="P1306" s="83"/>
      <c r="Q1306" s="68"/>
      <c r="R1306" s="68"/>
      <c r="S1306" s="68"/>
      <c r="T1306" s="68"/>
      <c r="U1306" s="61"/>
      <c r="V1306" s="69"/>
      <c r="W1306" s="69"/>
      <c r="X1306" s="69"/>
      <c r="Y1306" s="60"/>
      <c r="Z1306" s="60"/>
      <c r="AA1306" s="83"/>
      <c r="AB1306" s="83"/>
      <c r="AC1306" s="68"/>
      <c r="AD1306" s="68"/>
      <c r="AE1306" s="68"/>
      <c r="AF1306" s="72"/>
      <c r="AG1306" s="61"/>
      <c r="AH1306" s="69"/>
      <c r="AI1306" s="69"/>
      <c r="AJ1306" s="6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83"/>
      <c r="D1308" s="83"/>
      <c r="E1308" s="83"/>
      <c r="F1308" s="83"/>
      <c r="G1308" s="83"/>
      <c r="H1308" s="83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</sheetData>
  <mergeCells count="225">
    <mergeCell ref="X871:X872"/>
    <mergeCell ref="AC871:AD871"/>
    <mergeCell ref="AH871:AI871"/>
    <mergeCell ref="AJ871:AJ872"/>
    <mergeCell ref="E1091:F1091"/>
    <mergeCell ref="J1091:K1091"/>
    <mergeCell ref="L1091:L1092"/>
    <mergeCell ref="Q1091:R1091"/>
    <mergeCell ref="V1091:W1091"/>
    <mergeCell ref="X1091:X1092"/>
    <mergeCell ref="AC1091:AD1091"/>
    <mergeCell ref="AH1091:AI1091"/>
    <mergeCell ref="AJ1091:AJ1092"/>
    <mergeCell ref="AJ321:AJ322"/>
    <mergeCell ref="V431:W431"/>
    <mergeCell ref="Q431:R431"/>
    <mergeCell ref="E925:F925"/>
    <mergeCell ref="J925:K925"/>
    <mergeCell ref="L925:L926"/>
    <mergeCell ref="V486:W486"/>
    <mergeCell ref="X596:X597"/>
    <mergeCell ref="V596:W596"/>
    <mergeCell ref="Q596:R596"/>
    <mergeCell ref="X486:X487"/>
    <mergeCell ref="Q541:R541"/>
    <mergeCell ref="V541:W541"/>
    <mergeCell ref="X541:X542"/>
    <mergeCell ref="L431:L432"/>
    <mergeCell ref="E650:F650"/>
    <mergeCell ref="V650:W650"/>
    <mergeCell ref="Q650:R650"/>
    <mergeCell ref="J486:K486"/>
    <mergeCell ref="Q816:R816"/>
    <mergeCell ref="Q926:R926"/>
    <mergeCell ref="V926:W926"/>
    <mergeCell ref="AC486:AD486"/>
    <mergeCell ref="AC541:AD541"/>
    <mergeCell ref="E211:F211"/>
    <mergeCell ref="J156:K156"/>
    <mergeCell ref="E156:F156"/>
    <mergeCell ref="L650:L651"/>
    <mergeCell ref="J650:K650"/>
    <mergeCell ref="J596:K596"/>
    <mergeCell ref="E596:F596"/>
    <mergeCell ref="V871:W871"/>
    <mergeCell ref="J266:K266"/>
    <mergeCell ref="E266:F266"/>
    <mergeCell ref="J431:K431"/>
    <mergeCell ref="E376:F376"/>
    <mergeCell ref="J871:K871"/>
    <mergeCell ref="L871:L872"/>
    <mergeCell ref="Q871:R871"/>
    <mergeCell ref="AJ541:AJ542"/>
    <mergeCell ref="AH376:AI376"/>
    <mergeCell ref="AH156:AI156"/>
    <mergeCell ref="AC156:AD156"/>
    <mergeCell ref="L486:L487"/>
    <mergeCell ref="Q486:R48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J211:K211"/>
    <mergeCell ref="J321:K321"/>
    <mergeCell ref="E321:F321"/>
    <mergeCell ref="X431:X432"/>
    <mergeCell ref="E541:F541"/>
    <mergeCell ref="J541:K541"/>
    <mergeCell ref="L541:L542"/>
    <mergeCell ref="L321:L322"/>
    <mergeCell ref="E431:F431"/>
    <mergeCell ref="AH541:AI541"/>
    <mergeCell ref="AJ1143:AJ1144"/>
    <mergeCell ref="AH1143:AI1143"/>
    <mergeCell ref="AC1143:AD1143"/>
    <mergeCell ref="X650:X651"/>
    <mergeCell ref="E486:F486"/>
    <mergeCell ref="Q321:R321"/>
    <mergeCell ref="X376:X377"/>
    <mergeCell ref="AJ431:AJ432"/>
    <mergeCell ref="AH431:AI431"/>
    <mergeCell ref="AC431:AD431"/>
    <mergeCell ref="AC651:AD651"/>
    <mergeCell ref="AH651:AI651"/>
    <mergeCell ref="AJ651:AJ652"/>
    <mergeCell ref="AH321:AI321"/>
    <mergeCell ref="AC321:AD321"/>
    <mergeCell ref="AC376:AD376"/>
    <mergeCell ref="AJ596:AJ597"/>
    <mergeCell ref="AH596:AI596"/>
    <mergeCell ref="AC596:AD596"/>
    <mergeCell ref="AJ486:AJ487"/>
    <mergeCell ref="AH486:AI486"/>
    <mergeCell ref="AJ1261:AJ1262"/>
    <mergeCell ref="AH1261:AI1261"/>
    <mergeCell ref="AC1261:AD1261"/>
    <mergeCell ref="X1199:X1200"/>
    <mergeCell ref="V1199:W1199"/>
    <mergeCell ref="Q1199:R1199"/>
    <mergeCell ref="AJ1199:AJ1200"/>
    <mergeCell ref="AH1199:AI1199"/>
    <mergeCell ref="AC1199:AD1199"/>
    <mergeCell ref="L1261:L1262"/>
    <mergeCell ref="J1261:K1261"/>
    <mergeCell ref="E1261:F1261"/>
    <mergeCell ref="X1261:X1262"/>
    <mergeCell ref="V1261:W1261"/>
    <mergeCell ref="Q1261:R1261"/>
    <mergeCell ref="V101:W101"/>
    <mergeCell ref="V321:W321"/>
    <mergeCell ref="L1199:L1200"/>
    <mergeCell ref="J1199:K1199"/>
    <mergeCell ref="E1199:F1199"/>
    <mergeCell ref="L1143:L1144"/>
    <mergeCell ref="J1143:K1143"/>
    <mergeCell ref="E1143:F1143"/>
    <mergeCell ref="L596:L597"/>
    <mergeCell ref="X1143:X1144"/>
    <mergeCell ref="V1143:W1143"/>
    <mergeCell ref="Q1143:R1143"/>
    <mergeCell ref="AJ156:AJ157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X156:X157"/>
    <mergeCell ref="V156:W156"/>
    <mergeCell ref="Q156:R156"/>
    <mergeCell ref="L156:L157"/>
    <mergeCell ref="X211:X212"/>
    <mergeCell ref="L211:L212"/>
    <mergeCell ref="V376:W376"/>
    <mergeCell ref="Q376:R376"/>
    <mergeCell ref="Q266:R266"/>
    <mergeCell ref="X321:X322"/>
    <mergeCell ref="AJ761:AJ762"/>
    <mergeCell ref="E816:F816"/>
    <mergeCell ref="J816:K816"/>
    <mergeCell ref="L816:L817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V923:AV924"/>
    <mergeCell ref="AT923:AU923"/>
    <mergeCell ref="AO923:AP923"/>
    <mergeCell ref="E706:F706"/>
    <mergeCell ref="J706:K706"/>
    <mergeCell ref="L706:L707"/>
    <mergeCell ref="Q706:R706"/>
    <mergeCell ref="V706:W706"/>
    <mergeCell ref="X706:X707"/>
    <mergeCell ref="AC706:AD706"/>
    <mergeCell ref="AH706:AI706"/>
    <mergeCell ref="AJ706:AJ707"/>
    <mergeCell ref="E761:F761"/>
    <mergeCell ref="J761:K761"/>
    <mergeCell ref="L761:L762"/>
    <mergeCell ref="Q761:R761"/>
    <mergeCell ref="V761:W761"/>
    <mergeCell ref="X761:X762"/>
    <mergeCell ref="AC761:AD761"/>
    <mergeCell ref="AH761:AI761"/>
    <mergeCell ref="V816:W816"/>
    <mergeCell ref="X816:X817"/>
    <mergeCell ref="AC816:AD816"/>
    <mergeCell ref="AH816:AI816"/>
    <mergeCell ref="E1036:F1036"/>
    <mergeCell ref="J1036:K1036"/>
    <mergeCell ref="L1036:L1037"/>
    <mergeCell ref="AJ816:AJ817"/>
    <mergeCell ref="E981:F981"/>
    <mergeCell ref="J981:K981"/>
    <mergeCell ref="L981:L982"/>
    <mergeCell ref="Q981:R981"/>
    <mergeCell ref="V981:W981"/>
    <mergeCell ref="X981:X982"/>
    <mergeCell ref="AC981:AD981"/>
    <mergeCell ref="AH981:AI981"/>
    <mergeCell ref="AJ981:AJ982"/>
    <mergeCell ref="X926:X927"/>
    <mergeCell ref="AC926:AD926"/>
    <mergeCell ref="AH926:AI926"/>
    <mergeCell ref="AJ926:AJ927"/>
    <mergeCell ref="E871:F871"/>
    <mergeCell ref="Q1036:R1036"/>
    <mergeCell ref="V1036:W1036"/>
    <mergeCell ref="X1036:X1037"/>
    <mergeCell ref="AC1036:AD1036"/>
    <mergeCell ref="AH1036:AI1036"/>
    <mergeCell ref="AJ1036:AJ103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2026-08-27T01:31:34Z</dcterms:modified>
</cp:coreProperties>
</file>