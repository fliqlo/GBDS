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97849B7-A8A0-42A2-98BC-5D28D577276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991" i="2" l="1"/>
  <c r="AI1026" i="2" s="1"/>
  <c r="AC991" i="2"/>
  <c r="AD990" i="2"/>
  <c r="AC990" i="2"/>
  <c r="AB990" i="2"/>
  <c r="AB991" i="2" s="1"/>
  <c r="AC989" i="2"/>
  <c r="AD989" i="2"/>
  <c r="AF989" i="2"/>
  <c r="AJ989" i="2" s="1"/>
  <c r="AD988" i="2"/>
  <c r="AC988" i="2"/>
  <c r="AF988" i="2"/>
  <c r="AJ988" i="2" s="1"/>
  <c r="AB988" i="2"/>
  <c r="AB989" i="2" s="1"/>
  <c r="AH987" i="2"/>
  <c r="AD987" i="2"/>
  <c r="AC987" i="2"/>
  <c r="AB987" i="2"/>
  <c r="AH986" i="2"/>
  <c r="AH1026" i="2" s="1"/>
  <c r="AC986" i="2"/>
  <c r="AH985" i="2"/>
  <c r="AC985" i="2"/>
  <c r="AF985" i="2" s="1"/>
  <c r="AJ985" i="2" s="1"/>
  <c r="AC984" i="2"/>
  <c r="AD983" i="2"/>
  <c r="AF983" i="2" s="1"/>
  <c r="AC983" i="2"/>
  <c r="AE1026" i="2"/>
  <c r="AJ1024" i="2"/>
  <c r="AF1023" i="2"/>
  <c r="AJ1023" i="2" s="1"/>
  <c r="AJ1022" i="2"/>
  <c r="AF1021" i="2"/>
  <c r="AJ1021" i="2" s="1"/>
  <c r="AJ1020" i="2"/>
  <c r="AF1020" i="2"/>
  <c r="AJ1019" i="2"/>
  <c r="AF1019" i="2"/>
  <c r="AJ1018" i="2"/>
  <c r="AF1018" i="2"/>
  <c r="AF1017" i="2"/>
  <c r="AJ1017" i="2" s="1"/>
  <c r="AF1016" i="2"/>
  <c r="AJ1016" i="2" s="1"/>
  <c r="AJ1015" i="2"/>
  <c r="AF1015" i="2"/>
  <c r="AF1014" i="2"/>
  <c r="AJ1014" i="2" s="1"/>
  <c r="AF1013" i="2"/>
  <c r="AJ1013" i="2" s="1"/>
  <c r="AF1012" i="2"/>
  <c r="AJ1012" i="2" s="1"/>
  <c r="AJ1011" i="2"/>
  <c r="AF1011" i="2"/>
  <c r="AJ1010" i="2"/>
  <c r="AF1010" i="2"/>
  <c r="AF1009" i="2"/>
  <c r="AJ1009" i="2" s="1"/>
  <c r="AF1008" i="2"/>
  <c r="AJ1008" i="2" s="1"/>
  <c r="AJ1007" i="2"/>
  <c r="AF1007" i="2"/>
  <c r="AF1006" i="2"/>
  <c r="AJ1006" i="2" s="1"/>
  <c r="AF1005" i="2"/>
  <c r="AJ1005" i="2" s="1"/>
  <c r="AF1004" i="2"/>
  <c r="AJ1004" i="2" s="1"/>
  <c r="AJ1003" i="2"/>
  <c r="AF1003" i="2"/>
  <c r="AJ1002" i="2"/>
  <c r="AF1002" i="2"/>
  <c r="AF1001" i="2"/>
  <c r="AJ1001" i="2" s="1"/>
  <c r="AF1000" i="2"/>
  <c r="AJ1000" i="2" s="1"/>
  <c r="AJ999" i="2"/>
  <c r="AF999" i="2"/>
  <c r="AF998" i="2"/>
  <c r="AJ998" i="2" s="1"/>
  <c r="AF997" i="2"/>
  <c r="AJ997" i="2" s="1"/>
  <c r="AF996" i="2"/>
  <c r="AJ996" i="2" s="1"/>
  <c r="AJ995" i="2"/>
  <c r="AF995" i="2"/>
  <c r="AJ994" i="2"/>
  <c r="AF994" i="2"/>
  <c r="AF993" i="2"/>
  <c r="AJ993" i="2" s="1"/>
  <c r="AF992" i="2"/>
  <c r="AJ992" i="2" s="1"/>
  <c r="AF991" i="2"/>
  <c r="AF990" i="2"/>
  <c r="AJ990" i="2" s="1"/>
  <c r="AF987" i="2"/>
  <c r="AJ987" i="2" s="1"/>
  <c r="AF986" i="2"/>
  <c r="AF984" i="2"/>
  <c r="AJ984" i="2" s="1"/>
  <c r="AB984" i="2"/>
  <c r="AB985" i="2" s="1"/>
  <c r="AB986" i="2" s="1"/>
  <c r="Q988" i="2"/>
  <c r="T988" i="2" s="1"/>
  <c r="X988" i="2" s="1"/>
  <c r="V987" i="2"/>
  <c r="R987" i="2"/>
  <c r="Q987" i="2"/>
  <c r="Q986" i="2"/>
  <c r="T986" i="2" s="1"/>
  <c r="X986" i="2" s="1"/>
  <c r="R985" i="2"/>
  <c r="V985" i="2"/>
  <c r="Q985" i="2"/>
  <c r="V984" i="2"/>
  <c r="Q984" i="2"/>
  <c r="W983" i="2"/>
  <c r="Q983" i="2"/>
  <c r="S1026" i="2"/>
  <c r="X1024" i="2"/>
  <c r="T1023" i="2"/>
  <c r="X1023" i="2" s="1"/>
  <c r="X1022" i="2"/>
  <c r="T1021" i="2"/>
  <c r="X1021" i="2" s="1"/>
  <c r="T1020" i="2"/>
  <c r="X1020" i="2" s="1"/>
  <c r="X1019" i="2"/>
  <c r="T1019" i="2"/>
  <c r="T1018" i="2"/>
  <c r="X1018" i="2" s="1"/>
  <c r="T1017" i="2"/>
  <c r="X1017" i="2" s="1"/>
  <c r="X1016" i="2"/>
  <c r="T1016" i="2"/>
  <c r="X1015" i="2"/>
  <c r="T1015" i="2"/>
  <c r="T1014" i="2"/>
  <c r="X1014" i="2" s="1"/>
  <c r="T1013" i="2"/>
  <c r="X1013" i="2" s="1"/>
  <c r="T1012" i="2"/>
  <c r="X1012" i="2" s="1"/>
  <c r="X1011" i="2"/>
  <c r="T1011" i="2"/>
  <c r="T1010" i="2"/>
  <c r="X1010" i="2" s="1"/>
  <c r="T1009" i="2"/>
  <c r="X1009" i="2" s="1"/>
  <c r="X1008" i="2"/>
  <c r="T1008" i="2"/>
  <c r="X1007" i="2"/>
  <c r="T1007" i="2"/>
  <c r="T1006" i="2"/>
  <c r="X1006" i="2" s="1"/>
  <c r="T1005" i="2"/>
  <c r="X1005" i="2" s="1"/>
  <c r="T1004" i="2"/>
  <c r="X1004" i="2" s="1"/>
  <c r="X1003" i="2"/>
  <c r="T1003" i="2"/>
  <c r="T1002" i="2"/>
  <c r="X1002" i="2" s="1"/>
  <c r="T1001" i="2"/>
  <c r="X1001" i="2" s="1"/>
  <c r="X1000" i="2"/>
  <c r="T1000" i="2"/>
  <c r="X999" i="2"/>
  <c r="T999" i="2"/>
  <c r="T998" i="2"/>
  <c r="X998" i="2" s="1"/>
  <c r="T997" i="2"/>
  <c r="X997" i="2" s="1"/>
  <c r="T996" i="2"/>
  <c r="X996" i="2" s="1"/>
  <c r="X995" i="2"/>
  <c r="T995" i="2"/>
  <c r="T994" i="2"/>
  <c r="X994" i="2" s="1"/>
  <c r="T993" i="2"/>
  <c r="X993" i="2" s="1"/>
  <c r="X992" i="2"/>
  <c r="T992" i="2"/>
  <c r="X991" i="2"/>
  <c r="T991" i="2"/>
  <c r="T990" i="2"/>
  <c r="X990" i="2" s="1"/>
  <c r="T989" i="2"/>
  <c r="X989" i="2" s="1"/>
  <c r="V1026" i="2"/>
  <c r="W1026" i="2"/>
  <c r="T984" i="2"/>
  <c r="X984" i="2" s="1"/>
  <c r="P984" i="2"/>
  <c r="P985" i="2" s="1"/>
  <c r="P986" i="2" s="1"/>
  <c r="P987" i="2" s="1"/>
  <c r="P988" i="2" s="1"/>
  <c r="K985" i="2"/>
  <c r="K1026" i="2" s="1"/>
  <c r="F985" i="2"/>
  <c r="E985" i="2"/>
  <c r="E1026" i="2" s="1"/>
  <c r="K984" i="2"/>
  <c r="E984" i="2"/>
  <c r="J983" i="2"/>
  <c r="F983" i="2"/>
  <c r="E983" i="2"/>
  <c r="G1026" i="2"/>
  <c r="L1024" i="2"/>
  <c r="L1023" i="2"/>
  <c r="H1023" i="2"/>
  <c r="L1022" i="2"/>
  <c r="H1021" i="2"/>
  <c r="L1021" i="2" s="1"/>
  <c r="H1020" i="2"/>
  <c r="L1020" i="2" s="1"/>
  <c r="H1019" i="2"/>
  <c r="L1019" i="2" s="1"/>
  <c r="L1018" i="2"/>
  <c r="H1018" i="2"/>
  <c r="H1017" i="2"/>
  <c r="L1017" i="2" s="1"/>
  <c r="L1016" i="2"/>
  <c r="H1016" i="2"/>
  <c r="H1015" i="2"/>
  <c r="L1015" i="2" s="1"/>
  <c r="H1014" i="2"/>
  <c r="L1014" i="2" s="1"/>
  <c r="H1013" i="2"/>
  <c r="L1013" i="2" s="1"/>
  <c r="H1012" i="2"/>
  <c r="L1012" i="2" s="1"/>
  <c r="H1011" i="2"/>
  <c r="L1011" i="2" s="1"/>
  <c r="L1010" i="2"/>
  <c r="H1010" i="2"/>
  <c r="H1009" i="2"/>
  <c r="L1009" i="2" s="1"/>
  <c r="L1008" i="2"/>
  <c r="H1008" i="2"/>
  <c r="H1007" i="2"/>
  <c r="L1007" i="2" s="1"/>
  <c r="H1006" i="2"/>
  <c r="L1006" i="2" s="1"/>
  <c r="H1005" i="2"/>
  <c r="L1005" i="2" s="1"/>
  <c r="H1004" i="2"/>
  <c r="L1004" i="2" s="1"/>
  <c r="H1003" i="2"/>
  <c r="L1003" i="2" s="1"/>
  <c r="L1002" i="2"/>
  <c r="H1002" i="2"/>
  <c r="H1001" i="2"/>
  <c r="L1001" i="2" s="1"/>
  <c r="L1000" i="2"/>
  <c r="H1000" i="2"/>
  <c r="H999" i="2"/>
  <c r="L999" i="2" s="1"/>
  <c r="H998" i="2"/>
  <c r="L998" i="2" s="1"/>
  <c r="H997" i="2"/>
  <c r="L997" i="2" s="1"/>
  <c r="H996" i="2"/>
  <c r="L996" i="2" s="1"/>
  <c r="H995" i="2"/>
  <c r="L995" i="2" s="1"/>
  <c r="L994" i="2"/>
  <c r="H994" i="2"/>
  <c r="H993" i="2"/>
  <c r="L993" i="2" s="1"/>
  <c r="L992" i="2"/>
  <c r="H992" i="2"/>
  <c r="H991" i="2"/>
  <c r="L991" i="2" s="1"/>
  <c r="H990" i="2"/>
  <c r="L990" i="2" s="1"/>
  <c r="H989" i="2"/>
  <c r="L989" i="2" s="1"/>
  <c r="H988" i="2"/>
  <c r="L988" i="2" s="1"/>
  <c r="H987" i="2"/>
  <c r="L987" i="2" s="1"/>
  <c r="H986" i="2"/>
  <c r="L986" i="2" s="1"/>
  <c r="D985" i="2"/>
  <c r="H984" i="2"/>
  <c r="L984" i="2" s="1"/>
  <c r="D984" i="2"/>
  <c r="J1026" i="2"/>
  <c r="AJ991" i="2" l="1"/>
  <c r="AJ986" i="2"/>
  <c r="AJ983" i="2"/>
  <c r="AJ1026" i="2" s="1"/>
  <c r="AF1026" i="2"/>
  <c r="AC1026" i="2"/>
  <c r="AD1026" i="2"/>
  <c r="T987" i="2"/>
  <c r="X987" i="2" s="1"/>
  <c r="R1026" i="2"/>
  <c r="T985" i="2"/>
  <c r="X985" i="2" s="1"/>
  <c r="Q1026" i="2"/>
  <c r="T983" i="2"/>
  <c r="F1026" i="2"/>
  <c r="H985" i="2"/>
  <c r="L985" i="2" s="1"/>
  <c r="H983" i="2"/>
  <c r="AI931" i="2"/>
  <c r="AC931" i="2"/>
  <c r="AI930" i="2"/>
  <c r="AI971" i="2" s="1"/>
  <c r="AH930" i="2"/>
  <c r="AC930" i="2"/>
  <c r="AH929" i="2"/>
  <c r="AC929" i="2"/>
  <c r="AC971" i="2" s="1"/>
  <c r="AD928" i="2"/>
  <c r="AI928" i="2"/>
  <c r="AC928" i="2"/>
  <c r="AB931" i="2"/>
  <c r="AE971" i="2"/>
  <c r="AJ969" i="2"/>
  <c r="AF968" i="2"/>
  <c r="AJ968" i="2" s="1"/>
  <c r="AJ967" i="2"/>
  <c r="AF966" i="2"/>
  <c r="AJ966" i="2" s="1"/>
  <c r="AF965" i="2"/>
  <c r="AJ965" i="2" s="1"/>
  <c r="AJ964" i="2"/>
  <c r="AF964" i="2"/>
  <c r="AF963" i="2"/>
  <c r="AJ963" i="2" s="1"/>
  <c r="AF962" i="2"/>
  <c r="AJ962" i="2" s="1"/>
  <c r="AF961" i="2"/>
  <c r="AJ961" i="2" s="1"/>
  <c r="AF960" i="2"/>
  <c r="AJ960" i="2" s="1"/>
  <c r="AF959" i="2"/>
  <c r="AJ959" i="2" s="1"/>
  <c r="AF958" i="2"/>
  <c r="AJ958" i="2" s="1"/>
  <c r="AF957" i="2"/>
  <c r="AJ957" i="2" s="1"/>
  <c r="AJ956" i="2"/>
  <c r="AF956" i="2"/>
  <c r="AF955" i="2"/>
  <c r="AJ955" i="2" s="1"/>
  <c r="AF954" i="2"/>
  <c r="AJ954" i="2" s="1"/>
  <c r="AF953" i="2"/>
  <c r="AJ953" i="2" s="1"/>
  <c r="AF952" i="2"/>
  <c r="AJ952" i="2" s="1"/>
  <c r="AF951" i="2"/>
  <c r="AJ951" i="2" s="1"/>
  <c r="AF950" i="2"/>
  <c r="AJ950" i="2" s="1"/>
  <c r="AF949" i="2"/>
  <c r="AJ949" i="2" s="1"/>
  <c r="AJ948" i="2"/>
  <c r="AF948" i="2"/>
  <c r="AF947" i="2"/>
  <c r="AJ947" i="2" s="1"/>
  <c r="AF946" i="2"/>
  <c r="AJ946" i="2" s="1"/>
  <c r="AF945" i="2"/>
  <c r="AJ945" i="2" s="1"/>
  <c r="AF944" i="2"/>
  <c r="AJ944" i="2" s="1"/>
  <c r="AF943" i="2"/>
  <c r="AJ943" i="2" s="1"/>
  <c r="AF942" i="2"/>
  <c r="AJ942" i="2" s="1"/>
  <c r="AF941" i="2"/>
  <c r="AJ941" i="2" s="1"/>
  <c r="AJ940" i="2"/>
  <c r="AF940" i="2"/>
  <c r="AF939" i="2"/>
  <c r="AJ939" i="2" s="1"/>
  <c r="AF938" i="2"/>
  <c r="AJ938" i="2" s="1"/>
  <c r="AF937" i="2"/>
  <c r="AJ937" i="2" s="1"/>
  <c r="AF936" i="2"/>
  <c r="AJ936" i="2" s="1"/>
  <c r="AF935" i="2"/>
  <c r="AJ935" i="2" s="1"/>
  <c r="AF934" i="2"/>
  <c r="AJ934" i="2" s="1"/>
  <c r="AF933" i="2"/>
  <c r="AJ933" i="2" s="1"/>
  <c r="AJ932" i="2"/>
  <c r="AF932" i="2"/>
  <c r="AF931" i="2"/>
  <c r="AF930" i="2"/>
  <c r="AB929" i="2"/>
  <c r="AB930" i="2" s="1"/>
  <c r="AH971" i="2"/>
  <c r="AF928" i="2"/>
  <c r="AD971" i="2"/>
  <c r="Q935" i="2"/>
  <c r="T935" i="2" s="1"/>
  <c r="X935" i="2" s="1"/>
  <c r="Q934" i="2"/>
  <c r="T934" i="2" s="1"/>
  <c r="X934" i="2" s="1"/>
  <c r="Q933" i="2"/>
  <c r="T933" i="2" s="1"/>
  <c r="X933" i="2" s="1"/>
  <c r="P933" i="2"/>
  <c r="P934" i="2" s="1"/>
  <c r="P935" i="2" s="1"/>
  <c r="V932" i="2"/>
  <c r="V971" i="2" s="1"/>
  <c r="R932" i="2"/>
  <c r="R971" i="2" s="1"/>
  <c r="Q932" i="2"/>
  <c r="W931" i="2"/>
  <c r="R931" i="2"/>
  <c r="Q931" i="2"/>
  <c r="T931" i="2" s="1"/>
  <c r="X931" i="2" s="1"/>
  <c r="Q930" i="2"/>
  <c r="T930" i="2" s="1"/>
  <c r="X930" i="2" s="1"/>
  <c r="W929" i="2"/>
  <c r="Q929" i="2"/>
  <c r="Q928" i="2"/>
  <c r="S971" i="2"/>
  <c r="X969" i="2"/>
  <c r="T968" i="2"/>
  <c r="X968" i="2" s="1"/>
  <c r="X967" i="2"/>
  <c r="X966" i="2"/>
  <c r="T966" i="2"/>
  <c r="T965" i="2"/>
  <c r="X965" i="2" s="1"/>
  <c r="X964" i="2"/>
  <c r="T964" i="2"/>
  <c r="T963" i="2"/>
  <c r="X963" i="2" s="1"/>
  <c r="T962" i="2"/>
  <c r="X962" i="2" s="1"/>
  <c r="T961" i="2"/>
  <c r="X961" i="2" s="1"/>
  <c r="X960" i="2"/>
  <c r="T960" i="2"/>
  <c r="T959" i="2"/>
  <c r="X959" i="2" s="1"/>
  <c r="T958" i="2"/>
  <c r="X958" i="2" s="1"/>
  <c r="T957" i="2"/>
  <c r="X957" i="2" s="1"/>
  <c r="X956" i="2"/>
  <c r="T956" i="2"/>
  <c r="T955" i="2"/>
  <c r="X955" i="2" s="1"/>
  <c r="T954" i="2"/>
  <c r="X954" i="2" s="1"/>
  <c r="T953" i="2"/>
  <c r="X953" i="2" s="1"/>
  <c r="X952" i="2"/>
  <c r="T952" i="2"/>
  <c r="T951" i="2"/>
  <c r="X951" i="2" s="1"/>
  <c r="T950" i="2"/>
  <c r="X950" i="2" s="1"/>
  <c r="T949" i="2"/>
  <c r="X949" i="2" s="1"/>
  <c r="X948" i="2"/>
  <c r="T948" i="2"/>
  <c r="T947" i="2"/>
  <c r="X947" i="2" s="1"/>
  <c r="T946" i="2"/>
  <c r="X946" i="2" s="1"/>
  <c r="T945" i="2"/>
  <c r="X945" i="2" s="1"/>
  <c r="X944" i="2"/>
  <c r="T944" i="2"/>
  <c r="T943" i="2"/>
  <c r="X943" i="2" s="1"/>
  <c r="T942" i="2"/>
  <c r="X942" i="2" s="1"/>
  <c r="T941" i="2"/>
  <c r="X941" i="2" s="1"/>
  <c r="X940" i="2"/>
  <c r="T940" i="2"/>
  <c r="T939" i="2"/>
  <c r="X939" i="2" s="1"/>
  <c r="T938" i="2"/>
  <c r="X938" i="2" s="1"/>
  <c r="T937" i="2"/>
  <c r="X937" i="2" s="1"/>
  <c r="X936" i="2"/>
  <c r="T936" i="2"/>
  <c r="T932" i="2"/>
  <c r="W971" i="2"/>
  <c r="P930" i="2"/>
  <c r="P931" i="2" s="1"/>
  <c r="P932" i="2" s="1"/>
  <c r="P929" i="2"/>
  <c r="T928" i="2"/>
  <c r="T1026" i="2" l="1"/>
  <c r="X983" i="2"/>
  <c r="X1026" i="2" s="1"/>
  <c r="H1026" i="2"/>
  <c r="L983" i="2"/>
  <c r="L1026" i="2" s="1"/>
  <c r="AJ931" i="2"/>
  <c r="AJ930" i="2"/>
  <c r="AF929" i="2"/>
  <c r="AJ929" i="2" s="1"/>
  <c r="AF971" i="2"/>
  <c r="AJ928" i="2"/>
  <c r="X932" i="2"/>
  <c r="X928" i="2"/>
  <c r="T929" i="2"/>
  <c r="X929" i="2" s="1"/>
  <c r="Q971" i="2"/>
  <c r="AD875" i="2"/>
  <c r="AC875" i="2"/>
  <c r="AC874" i="2"/>
  <c r="AI873" i="2"/>
  <c r="AH873" i="2"/>
  <c r="AD873" i="2"/>
  <c r="AD916" i="2" s="1"/>
  <c r="AC873" i="2"/>
  <c r="AF873" i="2" s="1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J908" i="2"/>
  <c r="AF908" i="2"/>
  <c r="AF907" i="2"/>
  <c r="AJ907" i="2" s="1"/>
  <c r="AJ906" i="2"/>
  <c r="AF906" i="2"/>
  <c r="AJ905" i="2"/>
  <c r="AF905" i="2"/>
  <c r="AF904" i="2"/>
  <c r="AJ904" i="2" s="1"/>
  <c r="AF903" i="2"/>
  <c r="AJ903" i="2" s="1"/>
  <c r="AF902" i="2"/>
  <c r="AJ902" i="2" s="1"/>
  <c r="AF901" i="2"/>
  <c r="AJ901" i="2" s="1"/>
  <c r="AJ900" i="2"/>
  <c r="AF900" i="2"/>
  <c r="AF899" i="2"/>
  <c r="AJ899" i="2" s="1"/>
  <c r="AJ898" i="2"/>
  <c r="AF898" i="2"/>
  <c r="AJ897" i="2"/>
  <c r="AF897" i="2"/>
  <c r="AF896" i="2"/>
  <c r="AJ896" i="2" s="1"/>
  <c r="AF895" i="2"/>
  <c r="AJ895" i="2" s="1"/>
  <c r="AF894" i="2"/>
  <c r="AJ894" i="2" s="1"/>
  <c r="AF893" i="2"/>
  <c r="AJ893" i="2" s="1"/>
  <c r="AJ892" i="2"/>
  <c r="AF892" i="2"/>
  <c r="AF891" i="2"/>
  <c r="AJ891" i="2" s="1"/>
  <c r="AJ890" i="2"/>
  <c r="AF890" i="2"/>
  <c r="AJ889" i="2"/>
  <c r="AF889" i="2"/>
  <c r="AJ888" i="2"/>
  <c r="AF888" i="2"/>
  <c r="AF887" i="2"/>
  <c r="AJ887" i="2" s="1"/>
  <c r="AF886" i="2"/>
  <c r="AJ886" i="2" s="1"/>
  <c r="AF885" i="2"/>
  <c r="AJ885" i="2" s="1"/>
  <c r="AJ884" i="2"/>
  <c r="AF884" i="2"/>
  <c r="AF883" i="2"/>
  <c r="AJ883" i="2" s="1"/>
  <c r="AJ882" i="2"/>
  <c r="AF882" i="2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F875" i="2"/>
  <c r="AJ875" i="2" s="1"/>
  <c r="AH916" i="2"/>
  <c r="AB874" i="2"/>
  <c r="AB875" i="2" s="1"/>
  <c r="Q877" i="2"/>
  <c r="W876" i="2"/>
  <c r="W916" i="2" s="1"/>
  <c r="Q876" i="2"/>
  <c r="T876" i="2" s="1"/>
  <c r="X876" i="2" s="1"/>
  <c r="P876" i="2"/>
  <c r="P877" i="2" s="1"/>
  <c r="Q875" i="2"/>
  <c r="T875" i="2" s="1"/>
  <c r="X875" i="2" s="1"/>
  <c r="V874" i="2"/>
  <c r="V916" i="2" s="1"/>
  <c r="R874" i="2"/>
  <c r="Q874" i="2"/>
  <c r="Q873" i="2"/>
  <c r="S916" i="2"/>
  <c r="R916" i="2"/>
  <c r="X914" i="2"/>
  <c r="X913" i="2"/>
  <c r="T913" i="2"/>
  <c r="X912" i="2"/>
  <c r="T911" i="2"/>
  <c r="X911" i="2" s="1"/>
  <c r="T910" i="2"/>
  <c r="X910" i="2" s="1"/>
  <c r="X909" i="2"/>
  <c r="T909" i="2"/>
  <c r="T908" i="2"/>
  <c r="X908" i="2" s="1"/>
  <c r="T907" i="2"/>
  <c r="X907" i="2" s="1"/>
  <c r="X906" i="2"/>
  <c r="T906" i="2"/>
  <c r="X905" i="2"/>
  <c r="T905" i="2"/>
  <c r="T904" i="2"/>
  <c r="X904" i="2" s="1"/>
  <c r="T903" i="2"/>
  <c r="X903" i="2" s="1"/>
  <c r="T902" i="2"/>
  <c r="X902" i="2" s="1"/>
  <c r="X901" i="2"/>
  <c r="T901" i="2"/>
  <c r="T900" i="2"/>
  <c r="X900" i="2" s="1"/>
  <c r="T899" i="2"/>
  <c r="X899" i="2" s="1"/>
  <c r="X898" i="2"/>
  <c r="T898" i="2"/>
  <c r="X897" i="2"/>
  <c r="T897" i="2"/>
  <c r="T896" i="2"/>
  <c r="X896" i="2" s="1"/>
  <c r="T895" i="2"/>
  <c r="X895" i="2" s="1"/>
  <c r="T894" i="2"/>
  <c r="X894" i="2" s="1"/>
  <c r="X893" i="2"/>
  <c r="T893" i="2"/>
  <c r="T892" i="2"/>
  <c r="X892" i="2" s="1"/>
  <c r="T891" i="2"/>
  <c r="X891" i="2" s="1"/>
  <c r="X890" i="2"/>
  <c r="T890" i="2"/>
  <c r="X889" i="2"/>
  <c r="T889" i="2"/>
  <c r="T888" i="2"/>
  <c r="X888" i="2" s="1"/>
  <c r="T887" i="2"/>
  <c r="X887" i="2" s="1"/>
  <c r="T886" i="2"/>
  <c r="X886" i="2" s="1"/>
  <c r="X885" i="2"/>
  <c r="T885" i="2"/>
  <c r="T884" i="2"/>
  <c r="X884" i="2" s="1"/>
  <c r="T883" i="2"/>
  <c r="X883" i="2" s="1"/>
  <c r="X882" i="2"/>
  <c r="T882" i="2"/>
  <c r="X881" i="2"/>
  <c r="T881" i="2"/>
  <c r="T880" i="2"/>
  <c r="X880" i="2" s="1"/>
  <c r="T879" i="2"/>
  <c r="X879" i="2" s="1"/>
  <c r="T878" i="2"/>
  <c r="X878" i="2" s="1"/>
  <c r="T877" i="2"/>
  <c r="X877" i="2" s="1"/>
  <c r="P874" i="2"/>
  <c r="P875" i="2" s="1"/>
  <c r="K878" i="2"/>
  <c r="E878" i="2"/>
  <c r="H878" i="2" s="1"/>
  <c r="L878" i="2" s="1"/>
  <c r="F877" i="2"/>
  <c r="E877" i="2"/>
  <c r="E876" i="2"/>
  <c r="E875" i="2"/>
  <c r="J874" i="2"/>
  <c r="K874" i="2"/>
  <c r="J916" i="2"/>
  <c r="E874" i="2"/>
  <c r="H874" i="2" s="1"/>
  <c r="J873" i="2"/>
  <c r="E873" i="2"/>
  <c r="G916" i="2"/>
  <c r="F916" i="2"/>
  <c r="L914" i="2"/>
  <c r="H913" i="2"/>
  <c r="L913" i="2" s="1"/>
  <c r="L912" i="2"/>
  <c r="H911" i="2"/>
  <c r="L911" i="2" s="1"/>
  <c r="H910" i="2"/>
  <c r="L910" i="2" s="1"/>
  <c r="L909" i="2"/>
  <c r="H909" i="2"/>
  <c r="H908" i="2"/>
  <c r="L908" i="2" s="1"/>
  <c r="H907" i="2"/>
  <c r="L907" i="2" s="1"/>
  <c r="L906" i="2"/>
  <c r="H906" i="2"/>
  <c r="L905" i="2"/>
  <c r="H905" i="2"/>
  <c r="H904" i="2"/>
  <c r="L904" i="2" s="1"/>
  <c r="H903" i="2"/>
  <c r="L903" i="2" s="1"/>
  <c r="H902" i="2"/>
  <c r="L902" i="2" s="1"/>
  <c r="L901" i="2"/>
  <c r="H901" i="2"/>
  <c r="L900" i="2"/>
  <c r="H900" i="2"/>
  <c r="H899" i="2"/>
  <c r="L899" i="2" s="1"/>
  <c r="L898" i="2"/>
  <c r="H898" i="2"/>
  <c r="L897" i="2"/>
  <c r="H897" i="2"/>
  <c r="H896" i="2"/>
  <c r="L896" i="2" s="1"/>
  <c r="H895" i="2"/>
  <c r="L895" i="2" s="1"/>
  <c r="H894" i="2"/>
  <c r="L894" i="2" s="1"/>
  <c r="L893" i="2"/>
  <c r="H893" i="2"/>
  <c r="H892" i="2"/>
  <c r="L892" i="2" s="1"/>
  <c r="H891" i="2"/>
  <c r="L891" i="2" s="1"/>
  <c r="L890" i="2"/>
  <c r="H890" i="2"/>
  <c r="L889" i="2"/>
  <c r="H889" i="2"/>
  <c r="H888" i="2"/>
  <c r="L888" i="2" s="1"/>
  <c r="H887" i="2"/>
  <c r="L887" i="2" s="1"/>
  <c r="H886" i="2"/>
  <c r="L886" i="2" s="1"/>
  <c r="L885" i="2"/>
  <c r="H885" i="2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H877" i="2"/>
  <c r="L877" i="2" s="1"/>
  <c r="H876" i="2"/>
  <c r="L876" i="2" s="1"/>
  <c r="H875" i="2"/>
  <c r="L875" i="2" s="1"/>
  <c r="D874" i="2"/>
  <c r="D875" i="2" s="1"/>
  <c r="D876" i="2" s="1"/>
  <c r="D877" i="2" s="1"/>
  <c r="D878" i="2" s="1"/>
  <c r="AJ971" i="2" l="1"/>
  <c r="T971" i="2"/>
  <c r="X971" i="2"/>
  <c r="AJ873" i="2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H861" i="2" s="1"/>
  <c r="AC821" i="2"/>
  <c r="AH820" i="2"/>
  <c r="AC820" i="2"/>
  <c r="AH819" i="2"/>
  <c r="AD819" i="2"/>
  <c r="AD861" i="2" s="1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J854" i="2"/>
  <c r="AF854" i="2"/>
  <c r="AF853" i="2"/>
  <c r="AJ853" i="2" s="1"/>
  <c r="AF852" i="2"/>
  <c r="AJ852" i="2" s="1"/>
  <c r="AF851" i="2"/>
  <c r="AJ851" i="2" s="1"/>
  <c r="AF850" i="2"/>
  <c r="AJ850" i="2" s="1"/>
  <c r="AJ849" i="2"/>
  <c r="AF849" i="2"/>
  <c r="AF848" i="2"/>
  <c r="AJ848" i="2" s="1"/>
  <c r="AF847" i="2"/>
  <c r="AJ847" i="2" s="1"/>
  <c r="AJ846" i="2"/>
  <c r="AF846" i="2"/>
  <c r="AJ845" i="2"/>
  <c r="AF845" i="2"/>
  <c r="AF844" i="2"/>
  <c r="AJ844" i="2" s="1"/>
  <c r="AF843" i="2"/>
  <c r="AJ843" i="2" s="1"/>
  <c r="AJ842" i="2"/>
  <c r="AF842" i="2"/>
  <c r="AJ841" i="2"/>
  <c r="AF841" i="2"/>
  <c r="AF840" i="2"/>
  <c r="AJ840" i="2" s="1"/>
  <c r="AF839" i="2"/>
  <c r="AJ839" i="2" s="1"/>
  <c r="AJ838" i="2"/>
  <c r="AF838" i="2"/>
  <c r="AJ837" i="2"/>
  <c r="AF837" i="2"/>
  <c r="AF836" i="2"/>
  <c r="AJ836" i="2" s="1"/>
  <c r="AF835" i="2"/>
  <c r="AJ835" i="2" s="1"/>
  <c r="AF834" i="2"/>
  <c r="AJ834" i="2" s="1"/>
  <c r="AJ833" i="2"/>
  <c r="AF833" i="2"/>
  <c r="AF832" i="2"/>
  <c r="AJ832" i="2" s="1"/>
  <c r="AF831" i="2"/>
  <c r="AJ831" i="2" s="1"/>
  <c r="AJ830" i="2"/>
  <c r="AF830" i="2"/>
  <c r="AJ829" i="2"/>
  <c r="AF829" i="2"/>
  <c r="AF828" i="2"/>
  <c r="AJ828" i="2" s="1"/>
  <c r="AF827" i="2"/>
  <c r="AJ827" i="2" s="1"/>
  <c r="AF826" i="2"/>
  <c r="AJ826" i="2" s="1"/>
  <c r="AJ825" i="2"/>
  <c r="AF825" i="2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T820" i="2" s="1"/>
  <c r="Q820" i="2"/>
  <c r="Q819" i="2"/>
  <c r="T819" i="2" s="1"/>
  <c r="X819" i="2" s="1"/>
  <c r="W818" i="2"/>
  <c r="W861" i="2" s="1"/>
  <c r="Q818" i="2"/>
  <c r="Q861" i="2" s="1"/>
  <c r="S861" i="2"/>
  <c r="X859" i="2"/>
  <c r="T858" i="2"/>
  <c r="X858" i="2" s="1"/>
  <c r="X857" i="2"/>
  <c r="X856" i="2"/>
  <c r="T856" i="2"/>
  <c r="T855" i="2"/>
  <c r="X855" i="2" s="1"/>
  <c r="X854" i="2"/>
  <c r="T854" i="2"/>
  <c r="X853" i="2"/>
  <c r="T853" i="2"/>
  <c r="T852" i="2"/>
  <c r="X852" i="2" s="1"/>
  <c r="X851" i="2"/>
  <c r="T851" i="2"/>
  <c r="X850" i="2"/>
  <c r="T850" i="2"/>
  <c r="T849" i="2"/>
  <c r="X849" i="2" s="1"/>
  <c r="T848" i="2"/>
  <c r="X848" i="2" s="1"/>
  <c r="T847" i="2"/>
  <c r="X847" i="2" s="1"/>
  <c r="X846" i="2"/>
  <c r="T846" i="2"/>
  <c r="X845" i="2"/>
  <c r="T845" i="2"/>
  <c r="T844" i="2"/>
  <c r="X844" i="2" s="1"/>
  <c r="X843" i="2"/>
  <c r="T843" i="2"/>
  <c r="X842" i="2"/>
  <c r="T842" i="2"/>
  <c r="T841" i="2"/>
  <c r="X841" i="2" s="1"/>
  <c r="T840" i="2"/>
  <c r="X840" i="2" s="1"/>
  <c r="T839" i="2"/>
  <c r="X839" i="2" s="1"/>
  <c r="X838" i="2"/>
  <c r="T838" i="2"/>
  <c r="X837" i="2"/>
  <c r="T837" i="2"/>
  <c r="T836" i="2"/>
  <c r="X836" i="2" s="1"/>
  <c r="X835" i="2"/>
  <c r="T835" i="2"/>
  <c r="X834" i="2"/>
  <c r="T834" i="2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R861" i="2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D828" i="2"/>
  <c r="E827" i="2"/>
  <c r="H827" i="2" s="1"/>
  <c r="L827" i="2" s="1"/>
  <c r="E826" i="2"/>
  <c r="H826" i="2" s="1"/>
  <c r="L826" i="2" s="1"/>
  <c r="D826" i="2"/>
  <c r="D827" i="2" s="1"/>
  <c r="E825" i="2"/>
  <c r="H825" i="2" s="1"/>
  <c r="L825" i="2" s="1"/>
  <c r="E824" i="2"/>
  <c r="H824" i="2" s="1"/>
  <c r="L824" i="2" s="1"/>
  <c r="E823" i="2"/>
  <c r="D823" i="2"/>
  <c r="D824" i="2" s="1"/>
  <c r="D825" i="2" s="1"/>
  <c r="E822" i="2"/>
  <c r="E821" i="2"/>
  <c r="D821" i="2"/>
  <c r="D822" i="2" s="1"/>
  <c r="E820" i="2"/>
  <c r="E819" i="2"/>
  <c r="J818" i="2"/>
  <c r="E818" i="2"/>
  <c r="K861" i="2"/>
  <c r="G861" i="2"/>
  <c r="F861" i="2"/>
  <c r="L859" i="2"/>
  <c r="H858" i="2"/>
  <c r="L858" i="2" s="1"/>
  <c r="L857" i="2"/>
  <c r="H856" i="2"/>
  <c r="L856" i="2" s="1"/>
  <c r="L855" i="2"/>
  <c r="H855" i="2"/>
  <c r="L854" i="2"/>
  <c r="H854" i="2"/>
  <c r="H853" i="2"/>
  <c r="L853" i="2" s="1"/>
  <c r="H852" i="2"/>
  <c r="L852" i="2" s="1"/>
  <c r="L851" i="2"/>
  <c r="H851" i="2"/>
  <c r="H850" i="2"/>
  <c r="L850" i="2" s="1"/>
  <c r="H849" i="2"/>
  <c r="L849" i="2" s="1"/>
  <c r="H848" i="2"/>
  <c r="L848" i="2" s="1"/>
  <c r="H847" i="2"/>
  <c r="L847" i="2" s="1"/>
  <c r="L846" i="2"/>
  <c r="H846" i="2"/>
  <c r="H845" i="2"/>
  <c r="L845" i="2" s="1"/>
  <c r="H844" i="2"/>
  <c r="L844" i="2" s="1"/>
  <c r="L843" i="2"/>
  <c r="H843" i="2"/>
  <c r="H842" i="2"/>
  <c r="L842" i="2" s="1"/>
  <c r="H841" i="2"/>
  <c r="L841" i="2" s="1"/>
  <c r="H840" i="2"/>
  <c r="L840" i="2" s="1"/>
  <c r="H839" i="2"/>
  <c r="L839" i="2" s="1"/>
  <c r="L838" i="2"/>
  <c r="H838" i="2"/>
  <c r="H837" i="2"/>
  <c r="L837" i="2" s="1"/>
  <c r="H836" i="2"/>
  <c r="L836" i="2" s="1"/>
  <c r="L835" i="2"/>
  <c r="H835" i="2"/>
  <c r="H834" i="2"/>
  <c r="L834" i="2" s="1"/>
  <c r="H833" i="2"/>
  <c r="L833" i="2" s="1"/>
  <c r="H832" i="2"/>
  <c r="L832" i="2" s="1"/>
  <c r="H831" i="2"/>
  <c r="L831" i="2" s="1"/>
  <c r="L830" i="2"/>
  <c r="H830" i="2"/>
  <c r="H829" i="2"/>
  <c r="L829" i="2" s="1"/>
  <c r="H823" i="2"/>
  <c r="L823" i="2" s="1"/>
  <c r="L822" i="2"/>
  <c r="H822" i="2"/>
  <c r="H821" i="2"/>
  <c r="L821" i="2" s="1"/>
  <c r="H820" i="2"/>
  <c r="L820" i="2" s="1"/>
  <c r="H819" i="2"/>
  <c r="L819" i="2" s="1"/>
  <c r="D819" i="2"/>
  <c r="D820" i="2" s="1"/>
  <c r="J861" i="2"/>
  <c r="H818" i="2"/>
  <c r="AC861" i="2" l="1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D30" i="1" s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30" authorId="0" shapeId="0" xr:uid="{075DEE45-0A4F-4063-815B-998A3E3B6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  <comment ref="P928" authorId="0" shapeId="0" xr:uid="{BC7F7859-52C6-4A2D-9682-69D633EE31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B928" authorId="0" shapeId="0" xr:uid="{C8381D7E-0B9E-471C-8DDC-DCEF27CB2C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P929" authorId="0" shapeId="0" xr:uid="{6D259B8C-57D7-45C5-9F5C-2F2A76BB1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INUMAN</t>
        </r>
      </text>
    </comment>
    <comment ref="AB929" authorId="0" shapeId="0" xr:uid="{EBF81718-7F04-45B6-900A-70507B8B1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0" authorId="0" shapeId="0" xr:uid="{66459CFE-3E34-4735-A2CB-0CC2B5C60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
TINAPLAN</t>
        </r>
      </text>
    </comment>
    <comment ref="AB930" authorId="0" shapeId="0" xr:uid="{355123D9-3BB9-41A8-9691-38A6C9C36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1" authorId="0" shapeId="0" xr:uid="{C72B3BFC-CC60-4502-9D21-E274DA20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JN&amp; SON
LEON POSTIGO</t>
        </r>
      </text>
    </comment>
    <comment ref="AB931" authorId="0" shapeId="0" xr:uid="{7FD9A007-98CD-4BAB-8917-648FEC15A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932" authorId="0" shapeId="0" xr:uid="{B0AC414E-A650-4CE4-8972-46FD645D6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</t>
        </r>
      </text>
    </comment>
    <comment ref="P933" authorId="0" shapeId="0" xr:uid="{39788ECE-E03D-477A-9E23-4E7C77FF1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 SINDANGAN</t>
        </r>
      </text>
    </comment>
    <comment ref="P934" authorId="0" shapeId="0" xr:uid="{BC2EBA1E-0626-42C2-A495-BA59F8DC1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
GOLEO</t>
        </r>
      </text>
    </comment>
    <comment ref="P935" authorId="0" shapeId="0" xr:uid="{DCBDA127-3736-4A51-8CD4-8B9A356566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</t>
        </r>
      </text>
    </comment>
    <comment ref="D983" authorId="0" shapeId="0" xr:uid="{7E005689-F87D-493B-80A7-43A16AE75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983" authorId="0" shapeId="0" xr:uid="{51CEF60B-9422-468B-B364-24AB3E051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BROWNIE
GOLEO</t>
        </r>
      </text>
    </comment>
    <comment ref="AB983" authorId="0" shapeId="0" xr:uid="{4FAB62B1-E0B0-4DB7-8720-3BC2D8FFB4E3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INDAY STORE
BACONG, SALUG</t>
        </r>
      </text>
    </comment>
    <comment ref="D984" authorId="0" shapeId="0" xr:uid="{C187F08F-73B8-4713-AE9E-7888B756C9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 
POB. SINDANGAN</t>
        </r>
      </text>
    </comment>
    <comment ref="P984" authorId="0" shapeId="0" xr:uid="{7420F8BB-17CC-4125-AD92-334BE717C8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CAMPOY
TALINGA</t>
        </r>
      </text>
    </comment>
    <comment ref="AB984" authorId="0" shapeId="0" xr:uid="{9BBE5B98-3B5A-4882-8471-3D677D250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BACONG, SALUG</t>
        </r>
      </text>
    </comment>
    <comment ref="D985" authorId="0" shapeId="0" xr:uid="{90CE8740-DCA5-4F33-B1B2-F2F899AD4F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 SINDANGAN</t>
        </r>
      </text>
    </comment>
    <comment ref="P985" authorId="0" shapeId="0" xr:uid="{454AB49A-6C4E-4AAC-9E89-E5BA73C2D7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
MANDIH</t>
        </r>
      </text>
    </comment>
    <comment ref="AB985" authorId="0" shapeId="0" xr:uid="{456DC935-0AC8-4FFC-925B-1E7E55DE1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GODOD</t>
        </r>
      </text>
    </comment>
    <comment ref="P986" authorId="0" shapeId="0" xr:uid="{FFAB811E-FFAD-4ED0-B5E9-2ABFF253D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 STORE
MARAS SINDANGAN</t>
        </r>
      </text>
    </comment>
    <comment ref="AB986" authorId="0" shapeId="0" xr:uid="{9D98805A-19E6-435B-86C6-A99E8E79A0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POBLACION, SALUG</t>
        </r>
      </text>
    </comment>
    <comment ref="P987" authorId="0" shapeId="0" xr:uid="{3473DAFA-545C-4923-8548-2B9C7E32A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
POB SINDANGAN</t>
        </r>
      </text>
    </comment>
    <comment ref="AB987" authorId="0" shapeId="0" xr:uid="{3567B826-C5F8-48F2-B7CB-F3A43A5AC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P988" authorId="0" shapeId="0" xr:uid="{CA82EF6B-2B70-442B-B019-16DC4C815F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</t>
        </r>
      </text>
    </comment>
    <comment ref="AB988" authorId="0" shapeId="0" xr:uid="{DCCC67F0-6ECE-49E1-BD8A-44B84141A7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AB989" authorId="0" shapeId="0" xr:uid="{D9428CD3-14A2-460B-8D83-52EB69E29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POBLACION, SALUG</t>
        </r>
      </text>
    </comment>
    <comment ref="AB990" authorId="0" shapeId="0" xr:uid="{DE5CF744-45A4-4675-B0F2-17198CFD0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BAY-BAY, LILOY</t>
        </r>
      </text>
    </comment>
    <comment ref="AB991" authorId="0" shapeId="0" xr:uid="{7D4F9ED0-C59A-4BEB-9652-24FE93CD9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</t>
        </r>
      </text>
    </comment>
  </commentList>
</comments>
</file>

<file path=xl/sharedStrings.xml><?xml version="1.0" encoding="utf-8"?>
<sst xmlns="http://schemas.openxmlformats.org/spreadsheetml/2006/main" count="1325" uniqueCount="93">
  <si>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</si>
  <si>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</si>
  <si>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</si>
  <si>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</si>
  <si>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</si>
  <si>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</si>
  <si>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</si>
  <si>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</si>
  <si>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</si>
  <si>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</si>
  <si>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</si>
  <si>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</si>
  <si>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</si>
  <si>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</si>
  <si>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</si>
  <si>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</si>
  <si>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</si>
  <si>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</si>
  <si>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</si>
  <si>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</si>
  <si>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</si>
  <si>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</si>
  <si>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</si>
  <si>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</si>
  <si>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</si>
  <si>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</si>
  <si>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</si>
  <si>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</si>
  <si>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</si>
  <si>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</si>
  <si>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</si>
  <si>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</si>
  <si>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</si>
  <si>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</si>
  <si>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</si>
  <si>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</si>
  <si>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</si>
  <si>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</si>
  <si>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</si>
  <si>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</si>
  <si>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</si>
  <si>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</si>
  <si>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</si>
  <si>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</si>
  <si>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</si>
  <si>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</si>
  <si>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</si>
  <si>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</si>
  <si>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</si>
  <si>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</si>
  <si>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</si>
  <si>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</si>
  <si>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</si>
  <si>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</si>
  <si>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</si>
  <si>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</si>
  <si>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</si>
  <si>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</si>
  <si>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</si>
  <si>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</si>
  <si>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</si>
  <si>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</si>
  <si>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</si>
  <si>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</si>
  <si>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</si>
  <si>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</si>
  <si>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</si>
  <si>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</si>
  <si>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</si>
  <si>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</si>
  <si>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</si>
  <si>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</si>
  <si>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</si>
  <si>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</si>
  <si>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</si>
  <si>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</si>
  <si>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</si>
  <si>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</si>
  <si>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</si>
  <si>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</si>
  <si>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</si>
  <si>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</si>
  <si>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</si>
  <si>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</si>
  <si>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</si>
  <si>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</si>
  <si>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</si>
  <si>
    <t>AUGUST 21, 2026</t>
  </si>
  <si>
    <t>08/21/2026</t>
  </si>
  <si>
    <t>AUGUST 24, 2026</t>
  </si>
  <si>
    <t>08/24/2026</t>
  </si>
  <si>
    <t>12051-12053/11974-11979/12005-12013</t>
  </si>
  <si>
    <t>/11966-11973/11898-11901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</si>
</sst>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5" zoomScaleNormal="100" workbookViewId="0">
      <selection activeCell="F51" sqref="F5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38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 t="s">
        <v>92</v>
      </c>
      <c r="D30" s="16">
        <f t="shared" si="2"/>
        <v>664936</v>
      </c>
      <c r="F30" s="14"/>
      <c r="G30" s="14">
        <v>301014</v>
      </c>
      <c r="H30" s="14">
        <v>363922</v>
      </c>
      <c r="I30" s="14"/>
      <c r="J30" s="17">
        <f t="shared" si="3"/>
        <v>664936</v>
      </c>
    </row>
    <row r="31" spans="1:10" x14ac:dyDescent="0.25">
      <c r="A31" s="10">
        <f t="shared" si="1"/>
        <v>22</v>
      </c>
      <c r="B31" s="54" t="s">
        <v>5</v>
      </c>
      <c r="C31" s="42" t="s">
        <v>42</v>
      </c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 t="s">
        <v>91</v>
      </c>
      <c r="D33" s="16">
        <f t="shared" ref="D33:D40" si="4">J33</f>
        <v>1315935</v>
      </c>
      <c r="E33" s="15"/>
      <c r="F33" s="15">
        <v>622017</v>
      </c>
      <c r="G33" s="15">
        <v>252189</v>
      </c>
      <c r="H33" s="15">
        <v>441729</v>
      </c>
      <c r="I33" s="14"/>
      <c r="J33" s="17">
        <f t="shared" si="0"/>
        <v>1315935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2" t="s">
        <v>10</v>
      </c>
      <c r="B42" s="113"/>
      <c r="C42" s="114"/>
      <c r="D42" s="46">
        <f>SUM(D2:D41)</f>
        <v>14792123.5</v>
      </c>
      <c r="J42" s="47">
        <f>SUM(J10:J41)</f>
        <v>14792123.5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G923" zoomScale="93" zoomScaleNormal="93" workbookViewId="0">
      <selection activeCell="T950" sqref="T950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9" t="s">
        <v>17</v>
      </c>
      <c r="F10" s="119"/>
      <c r="G10" s="88"/>
      <c r="H10" s="27"/>
      <c r="J10" s="120" t="s">
        <v>18</v>
      </c>
      <c r="K10" s="121"/>
      <c r="L10" s="115" t="s">
        <v>19</v>
      </c>
      <c r="O10" s="25"/>
      <c r="P10" s="26"/>
      <c r="Q10" s="119" t="s">
        <v>17</v>
      </c>
      <c r="R10" s="119"/>
      <c r="S10" s="73"/>
      <c r="T10" s="27"/>
      <c r="V10" s="120" t="s">
        <v>18</v>
      </c>
      <c r="W10" s="121"/>
      <c r="X10" s="115" t="s">
        <v>19</v>
      </c>
      <c r="AA10" s="25"/>
      <c r="AB10" s="26"/>
      <c r="AC10" s="119" t="s">
        <v>17</v>
      </c>
      <c r="AD10" s="119"/>
      <c r="AE10" s="73"/>
      <c r="AF10" s="27"/>
      <c r="AH10" s="120" t="s">
        <v>18</v>
      </c>
      <c r="AI10" s="121"/>
      <c r="AJ10" s="115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6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6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6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9" t="s">
        <v>17</v>
      </c>
      <c r="F46" s="119"/>
      <c r="G46" s="89"/>
      <c r="H46" s="27"/>
      <c r="J46" s="120" t="s">
        <v>18</v>
      </c>
      <c r="K46" s="121"/>
      <c r="L46" s="115" t="s">
        <v>19</v>
      </c>
      <c r="O46" s="25"/>
      <c r="P46" s="26"/>
      <c r="Q46" s="119" t="s">
        <v>17</v>
      </c>
      <c r="R46" s="119"/>
      <c r="S46" s="89"/>
      <c r="T46" s="27"/>
      <c r="V46" s="120" t="s">
        <v>18</v>
      </c>
      <c r="W46" s="121"/>
      <c r="X46" s="115" t="s">
        <v>19</v>
      </c>
      <c r="AA46" s="25"/>
      <c r="AB46" s="26"/>
      <c r="AC46" s="119" t="s">
        <v>17</v>
      </c>
      <c r="AD46" s="119"/>
      <c r="AE46" s="89"/>
      <c r="AF46" s="27"/>
      <c r="AH46" s="120" t="s">
        <v>18</v>
      </c>
      <c r="AI46" s="121"/>
      <c r="AJ46" s="115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6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6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6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18"/>
      <c r="AP48" s="118"/>
      <c r="AQ48" s="83"/>
      <c r="AR48" s="60"/>
      <c r="AS48" s="118"/>
      <c r="AT48" s="118"/>
      <c r="AU48" s="117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17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9" t="s">
        <v>17</v>
      </c>
      <c r="F101" s="119"/>
      <c r="G101" s="90"/>
      <c r="H101" s="27"/>
      <c r="J101" s="120" t="s">
        <v>18</v>
      </c>
      <c r="K101" s="121"/>
      <c r="L101" s="115" t="s">
        <v>19</v>
      </c>
      <c r="O101" s="25"/>
      <c r="P101" s="26"/>
      <c r="Q101" s="119" t="s">
        <v>17</v>
      </c>
      <c r="R101" s="119"/>
      <c r="S101" s="90"/>
      <c r="T101" s="27"/>
      <c r="V101" s="120" t="s">
        <v>18</v>
      </c>
      <c r="W101" s="121"/>
      <c r="X101" s="115" t="s">
        <v>19</v>
      </c>
      <c r="AA101" s="25"/>
      <c r="AB101" s="26"/>
      <c r="AC101" s="119" t="s">
        <v>17</v>
      </c>
      <c r="AD101" s="119"/>
      <c r="AE101" s="91"/>
      <c r="AF101" s="27"/>
      <c r="AH101" s="120" t="s">
        <v>18</v>
      </c>
      <c r="AI101" s="121"/>
      <c r="AJ101" s="115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6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6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6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9" t="s">
        <v>17</v>
      </c>
      <c r="F156" s="119"/>
      <c r="G156" s="92"/>
      <c r="H156" s="27"/>
      <c r="J156" s="120" t="s">
        <v>18</v>
      </c>
      <c r="K156" s="121"/>
      <c r="L156" s="115" t="s">
        <v>19</v>
      </c>
      <c r="O156" s="25"/>
      <c r="P156" s="26"/>
      <c r="Q156" s="119" t="s">
        <v>17</v>
      </c>
      <c r="R156" s="119"/>
      <c r="S156" s="92"/>
      <c r="T156" s="27"/>
      <c r="V156" s="120" t="s">
        <v>18</v>
      </c>
      <c r="W156" s="121"/>
      <c r="X156" s="115" t="s">
        <v>19</v>
      </c>
      <c r="AA156" s="25"/>
      <c r="AB156" s="26"/>
      <c r="AC156" s="119" t="s">
        <v>17</v>
      </c>
      <c r="AD156" s="119"/>
      <c r="AE156" s="92"/>
      <c r="AF156" s="27"/>
      <c r="AH156" s="120" t="s">
        <v>18</v>
      </c>
      <c r="AI156" s="121"/>
      <c r="AJ156" s="115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6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6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6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18"/>
      <c r="AP162" s="118"/>
      <c r="AQ162" s="83"/>
      <c r="AR162" s="60"/>
      <c r="AS162" s="118"/>
      <c r="AT162" s="118"/>
      <c r="AU162" s="117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17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9" t="s">
        <v>17</v>
      </c>
      <c r="F211" s="119"/>
      <c r="G211" s="93"/>
      <c r="H211" s="27"/>
      <c r="J211" s="120" t="s">
        <v>18</v>
      </c>
      <c r="K211" s="121"/>
      <c r="L211" s="115" t="s">
        <v>19</v>
      </c>
      <c r="O211" s="25"/>
      <c r="P211" s="26"/>
      <c r="Q211" s="119" t="s">
        <v>17</v>
      </c>
      <c r="R211" s="119"/>
      <c r="S211" s="93"/>
      <c r="T211" s="27"/>
      <c r="V211" s="120" t="s">
        <v>18</v>
      </c>
      <c r="W211" s="121"/>
      <c r="X211" s="115" t="s">
        <v>19</v>
      </c>
      <c r="AA211" s="25"/>
      <c r="AB211" s="26"/>
      <c r="AC211" s="119" t="s">
        <v>17</v>
      </c>
      <c r="AD211" s="119"/>
      <c r="AE211" s="93"/>
      <c r="AF211" s="27"/>
      <c r="AH211" s="120" t="s">
        <v>18</v>
      </c>
      <c r="AI211" s="121"/>
      <c r="AJ211" s="115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6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6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6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9" t="s">
        <v>17</v>
      </c>
      <c r="F266" s="119"/>
      <c r="G266" s="94"/>
      <c r="H266" s="27"/>
      <c r="J266" s="120" t="s">
        <v>18</v>
      </c>
      <c r="K266" s="121"/>
      <c r="L266" s="115" t="s">
        <v>19</v>
      </c>
      <c r="O266" s="25"/>
      <c r="P266" s="26"/>
      <c r="Q266" s="119" t="s">
        <v>17</v>
      </c>
      <c r="R266" s="119"/>
      <c r="S266" s="94"/>
      <c r="T266" s="27"/>
      <c r="V266" s="120" t="s">
        <v>18</v>
      </c>
      <c r="W266" s="121"/>
      <c r="X266" s="115" t="s">
        <v>19</v>
      </c>
      <c r="AA266" s="25"/>
      <c r="AB266" s="26"/>
      <c r="AC266" s="119" t="s">
        <v>17</v>
      </c>
      <c r="AD266" s="119"/>
      <c r="AE266" s="94"/>
      <c r="AF266" s="27"/>
      <c r="AH266" s="120" t="s">
        <v>18</v>
      </c>
      <c r="AI266" s="121"/>
      <c r="AJ266" s="115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6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6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6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9" t="s">
        <v>17</v>
      </c>
      <c r="F321" s="119"/>
      <c r="G321" s="95"/>
      <c r="H321" s="27"/>
      <c r="J321" s="120" t="s">
        <v>18</v>
      </c>
      <c r="K321" s="121"/>
      <c r="L321" s="115" t="s">
        <v>19</v>
      </c>
      <c r="O321" s="25"/>
      <c r="P321" s="26"/>
      <c r="Q321" s="119" t="s">
        <v>17</v>
      </c>
      <c r="R321" s="119"/>
      <c r="S321" s="95"/>
      <c r="T321" s="27"/>
      <c r="V321" s="120" t="s">
        <v>18</v>
      </c>
      <c r="W321" s="121"/>
      <c r="X321" s="115" t="s">
        <v>19</v>
      </c>
      <c r="AA321" s="25"/>
      <c r="AB321" s="26"/>
      <c r="AC321" s="119" t="s">
        <v>17</v>
      </c>
      <c r="AD321" s="119"/>
      <c r="AE321" s="95"/>
      <c r="AF321" s="27"/>
      <c r="AH321" s="120" t="s">
        <v>18</v>
      </c>
      <c r="AI321" s="121"/>
      <c r="AJ321" s="115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6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6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6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9" t="s">
        <v>17</v>
      </c>
      <c r="F376" s="119"/>
      <c r="G376" s="96"/>
      <c r="H376" s="27"/>
      <c r="J376" s="120" t="s">
        <v>18</v>
      </c>
      <c r="K376" s="121"/>
      <c r="L376" s="115" t="s">
        <v>19</v>
      </c>
      <c r="O376" s="25"/>
      <c r="P376" s="26"/>
      <c r="Q376" s="119" t="s">
        <v>17</v>
      </c>
      <c r="R376" s="119"/>
      <c r="S376" s="96"/>
      <c r="T376" s="27"/>
      <c r="V376" s="120" t="s">
        <v>18</v>
      </c>
      <c r="W376" s="121"/>
      <c r="X376" s="115" t="s">
        <v>19</v>
      </c>
      <c r="AA376" s="25"/>
      <c r="AB376" s="26"/>
      <c r="AC376" s="119" t="s">
        <v>17</v>
      </c>
      <c r="AD376" s="119"/>
      <c r="AE376" s="96"/>
      <c r="AF376" s="27"/>
      <c r="AH376" s="120" t="s">
        <v>18</v>
      </c>
      <c r="AI376" s="121"/>
      <c r="AJ376" s="115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6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6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6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9" t="s">
        <v>17</v>
      </c>
      <c r="F431" s="119"/>
      <c r="G431" s="97"/>
      <c r="H431" s="27"/>
      <c r="J431" s="120" t="s">
        <v>18</v>
      </c>
      <c r="K431" s="121"/>
      <c r="L431" s="115" t="s">
        <v>19</v>
      </c>
      <c r="O431" s="25"/>
      <c r="P431" s="26"/>
      <c r="Q431" s="119" t="s">
        <v>17</v>
      </c>
      <c r="R431" s="119"/>
      <c r="S431" s="97"/>
      <c r="T431" s="27"/>
      <c r="V431" s="120" t="s">
        <v>18</v>
      </c>
      <c r="W431" s="121"/>
      <c r="X431" s="115" t="s">
        <v>19</v>
      </c>
      <c r="AA431" s="25"/>
      <c r="AB431" s="26"/>
      <c r="AC431" s="119" t="s">
        <v>17</v>
      </c>
      <c r="AD431" s="119"/>
      <c r="AE431" s="97"/>
      <c r="AF431" s="27"/>
      <c r="AH431" s="120" t="s">
        <v>18</v>
      </c>
      <c r="AI431" s="121"/>
      <c r="AJ431" s="115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6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6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6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9" t="s">
        <v>17</v>
      </c>
      <c r="F486" s="119"/>
      <c r="G486" s="98"/>
      <c r="H486" s="27"/>
      <c r="J486" s="120" t="s">
        <v>18</v>
      </c>
      <c r="K486" s="121"/>
      <c r="L486" s="115" t="s">
        <v>19</v>
      </c>
      <c r="O486" s="25"/>
      <c r="P486" s="26"/>
      <c r="Q486" s="119" t="s">
        <v>17</v>
      </c>
      <c r="R486" s="119"/>
      <c r="S486" s="98"/>
      <c r="T486" s="27"/>
      <c r="V486" s="120" t="s">
        <v>18</v>
      </c>
      <c r="W486" s="121"/>
      <c r="X486" s="115" t="s">
        <v>19</v>
      </c>
      <c r="AA486" s="25"/>
      <c r="AB486" s="26"/>
      <c r="AC486" s="119" t="s">
        <v>17</v>
      </c>
      <c r="AD486" s="119"/>
      <c r="AE486" s="98"/>
      <c r="AF486" s="27"/>
      <c r="AH486" s="120" t="s">
        <v>18</v>
      </c>
      <c r="AI486" s="121"/>
      <c r="AJ486" s="115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6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6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6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9" t="s">
        <v>17</v>
      </c>
      <c r="F541" s="119"/>
      <c r="G541" s="100"/>
      <c r="H541" s="27"/>
      <c r="J541" s="120" t="s">
        <v>18</v>
      </c>
      <c r="K541" s="121"/>
      <c r="L541" s="115" t="s">
        <v>19</v>
      </c>
      <c r="O541" s="25"/>
      <c r="P541" s="26"/>
      <c r="Q541" s="119" t="s">
        <v>17</v>
      </c>
      <c r="R541" s="119"/>
      <c r="S541" s="100"/>
      <c r="T541" s="27"/>
      <c r="V541" s="120" t="s">
        <v>18</v>
      </c>
      <c r="W541" s="121"/>
      <c r="X541" s="115" t="s">
        <v>19</v>
      </c>
      <c r="AA541" s="25"/>
      <c r="AB541" s="26"/>
      <c r="AC541" s="119" t="s">
        <v>17</v>
      </c>
      <c r="AD541" s="119"/>
      <c r="AE541" s="100"/>
      <c r="AF541" s="27"/>
      <c r="AH541" s="120" t="s">
        <v>18</v>
      </c>
      <c r="AI541" s="121"/>
      <c r="AJ541" s="115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6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6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6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9" t="s">
        <v>17</v>
      </c>
      <c r="F596" s="119"/>
      <c r="G596" s="101"/>
      <c r="H596" s="27"/>
      <c r="J596" s="120" t="s">
        <v>18</v>
      </c>
      <c r="K596" s="121"/>
      <c r="L596" s="115" t="s">
        <v>19</v>
      </c>
      <c r="O596" s="25"/>
      <c r="P596" s="26"/>
      <c r="Q596" s="119" t="s">
        <v>17</v>
      </c>
      <c r="R596" s="119"/>
      <c r="S596" s="101"/>
      <c r="T596" s="27"/>
      <c r="V596" s="120" t="s">
        <v>18</v>
      </c>
      <c r="W596" s="121"/>
      <c r="X596" s="115" t="s">
        <v>19</v>
      </c>
      <c r="AA596" s="25"/>
      <c r="AB596" s="26"/>
      <c r="AC596" s="119" t="s">
        <v>17</v>
      </c>
      <c r="AD596" s="119"/>
      <c r="AE596" s="101"/>
      <c r="AF596" s="27"/>
      <c r="AH596" s="120" t="s">
        <v>18</v>
      </c>
      <c r="AI596" s="121"/>
      <c r="AJ596" s="115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6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6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6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18"/>
      <c r="F650" s="118"/>
      <c r="G650" s="104"/>
      <c r="H650" s="104"/>
      <c r="I650" s="60"/>
      <c r="J650" s="118"/>
      <c r="K650" s="118"/>
      <c r="L650" s="117"/>
      <c r="M650" s="60"/>
      <c r="N650" s="60"/>
      <c r="O650" s="63"/>
      <c r="P650" s="86"/>
      <c r="Q650" s="118"/>
      <c r="R650" s="118"/>
      <c r="S650" s="86"/>
      <c r="T650" s="86"/>
      <c r="U650" s="60"/>
      <c r="V650" s="118"/>
      <c r="W650" s="118"/>
      <c r="X650" s="117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17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17"/>
      <c r="AA651" s="25"/>
      <c r="AB651" s="26"/>
      <c r="AC651" s="119" t="s">
        <v>17</v>
      </c>
      <c r="AD651" s="119"/>
      <c r="AE651" s="102"/>
      <c r="AF651" s="27"/>
      <c r="AH651" s="120" t="s">
        <v>18</v>
      </c>
      <c r="AI651" s="121"/>
      <c r="AJ651" s="115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6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9" t="s">
        <v>17</v>
      </c>
      <c r="F706" s="119"/>
      <c r="G706" s="105"/>
      <c r="H706" s="27"/>
      <c r="J706" s="120" t="s">
        <v>18</v>
      </c>
      <c r="K706" s="121"/>
      <c r="L706" s="115" t="s">
        <v>19</v>
      </c>
      <c r="O706" s="25"/>
      <c r="P706" s="26"/>
      <c r="Q706" s="119" t="s">
        <v>17</v>
      </c>
      <c r="R706" s="119"/>
      <c r="S706" s="105"/>
      <c r="T706" s="27"/>
      <c r="V706" s="120" t="s">
        <v>18</v>
      </c>
      <c r="W706" s="121"/>
      <c r="X706" s="115" t="s">
        <v>19</v>
      </c>
      <c r="AA706" s="25"/>
      <c r="AB706" s="26"/>
      <c r="AC706" s="119" t="s">
        <v>17</v>
      </c>
      <c r="AD706" s="119"/>
      <c r="AE706" s="105"/>
      <c r="AF706" s="27"/>
      <c r="AH706" s="120" t="s">
        <v>18</v>
      </c>
      <c r="AI706" s="121"/>
      <c r="AJ706" s="115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6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6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6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9" t="s">
        <v>17</v>
      </c>
      <c r="F761" s="119"/>
      <c r="G761" s="106"/>
      <c r="H761" s="27"/>
      <c r="J761" s="120" t="s">
        <v>18</v>
      </c>
      <c r="K761" s="121"/>
      <c r="L761" s="115" t="s">
        <v>19</v>
      </c>
      <c r="O761" s="25"/>
      <c r="P761" s="26"/>
      <c r="Q761" s="119" t="s">
        <v>17</v>
      </c>
      <c r="R761" s="119"/>
      <c r="S761" s="106"/>
      <c r="T761" s="27"/>
      <c r="V761" s="120" t="s">
        <v>18</v>
      </c>
      <c r="W761" s="121"/>
      <c r="X761" s="115" t="s">
        <v>19</v>
      </c>
      <c r="AA761" s="25"/>
      <c r="AB761" s="26"/>
      <c r="AC761" s="119" t="s">
        <v>17</v>
      </c>
      <c r="AD761" s="119"/>
      <c r="AE761" s="106"/>
      <c r="AF761" s="27"/>
      <c r="AH761" s="120" t="s">
        <v>18</v>
      </c>
      <c r="AI761" s="121"/>
      <c r="AJ761" s="115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16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16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16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19" t="s">
        <v>17</v>
      </c>
      <c r="F816" s="119"/>
      <c r="G816" s="107"/>
      <c r="H816" s="27"/>
      <c r="J816" s="120" t="s">
        <v>18</v>
      </c>
      <c r="K816" s="121"/>
      <c r="L816" s="115" t="s">
        <v>19</v>
      </c>
      <c r="O816" s="25"/>
      <c r="P816" s="26"/>
      <c r="Q816" s="119" t="s">
        <v>17</v>
      </c>
      <c r="R816" s="119"/>
      <c r="S816" s="107"/>
      <c r="T816" s="27"/>
      <c r="V816" s="120" t="s">
        <v>18</v>
      </c>
      <c r="W816" s="121"/>
      <c r="X816" s="115" t="s">
        <v>19</v>
      </c>
      <c r="AA816" s="25"/>
      <c r="AB816" s="26"/>
      <c r="AC816" s="119" t="s">
        <v>17</v>
      </c>
      <c r="AD816" s="119"/>
      <c r="AE816" s="107"/>
      <c r="AF816" s="27"/>
      <c r="AH816" s="120" t="s">
        <v>18</v>
      </c>
      <c r="AI816" s="121"/>
      <c r="AJ816" s="115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16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16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16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80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80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80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80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80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80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80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80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80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80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80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80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80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80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80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80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80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80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80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80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80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80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80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80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80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80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80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80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80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80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80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19" t="s">
        <v>17</v>
      </c>
      <c r="F871" s="119"/>
      <c r="G871" s="108"/>
      <c r="H871" s="27"/>
      <c r="J871" s="120" t="s">
        <v>18</v>
      </c>
      <c r="K871" s="121"/>
      <c r="L871" s="115" t="s">
        <v>19</v>
      </c>
      <c r="O871" s="25"/>
      <c r="P871" s="26"/>
      <c r="Q871" s="119" t="s">
        <v>17</v>
      </c>
      <c r="R871" s="119"/>
      <c r="S871" s="108"/>
      <c r="T871" s="27"/>
      <c r="V871" s="120" t="s">
        <v>18</v>
      </c>
      <c r="W871" s="121"/>
      <c r="X871" s="115" t="s">
        <v>19</v>
      </c>
      <c r="AA871" s="25"/>
      <c r="AB871" s="26"/>
      <c r="AC871" s="119" t="s">
        <v>17</v>
      </c>
      <c r="AD871" s="119"/>
      <c r="AE871" s="108"/>
      <c r="AF871" s="27"/>
      <c r="AH871" s="120" t="s">
        <v>18</v>
      </c>
      <c r="AI871" s="121"/>
      <c r="AJ871" s="115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16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16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16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80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80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80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80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80">
        <f t="shared" ref="D875:D878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80">
        <f t="shared" ref="P875:P877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80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80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80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80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80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80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80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80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80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80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80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80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80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80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80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80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80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80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80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P888" s="80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80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80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80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N918" t="s">
        <v>0</v>
      </c>
      <c r="O918" s="55"/>
      <c r="P918" s="55"/>
      <c r="Q918" s="55"/>
      <c r="R918" s="55"/>
      <c r="S918" s="55"/>
      <c r="T918" s="55"/>
      <c r="Z918" t="s">
        <v>0</v>
      </c>
      <c r="AA918" s="55"/>
      <c r="AB918" s="55"/>
      <c r="AC918" s="55"/>
      <c r="AD918" s="55"/>
      <c r="AE918" s="55"/>
      <c r="AF918" s="55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N919" t="s">
        <v>28</v>
      </c>
      <c r="O919" s="55"/>
      <c r="P919" s="55"/>
      <c r="Q919" s="55"/>
      <c r="R919" s="55"/>
      <c r="S919" s="55"/>
      <c r="T919" s="55"/>
      <c r="Z919" t="s">
        <v>28</v>
      </c>
      <c r="AA919" s="55"/>
      <c r="AB919" s="55"/>
      <c r="AC919" s="55"/>
      <c r="AD919" s="55"/>
      <c r="AE919" s="55"/>
      <c r="AF919" s="55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O920" s="55"/>
      <c r="P920" s="55"/>
      <c r="Q920" s="55"/>
      <c r="R920" s="55"/>
      <c r="S920" s="55"/>
      <c r="T920" s="55"/>
      <c r="AA920" s="55"/>
      <c r="AB920" s="55"/>
      <c r="AC920" s="55"/>
      <c r="AD920" s="55"/>
      <c r="AE920" s="55"/>
      <c r="AF920" s="55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N921" s="4" t="s">
        <v>14</v>
      </c>
      <c r="O921" s="55"/>
      <c r="P921" s="55"/>
      <c r="Q921" s="55"/>
      <c r="R921" s="55"/>
      <c r="S921" s="55"/>
      <c r="T921" s="55"/>
      <c r="Z921" s="4" t="s">
        <v>14</v>
      </c>
      <c r="AA921" s="55"/>
      <c r="AB921" s="55"/>
      <c r="AC921" s="55"/>
      <c r="AD921" s="55"/>
      <c r="AE921" s="55"/>
      <c r="AF921" s="55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O922" s="55"/>
      <c r="P922" s="55"/>
      <c r="Q922" s="55"/>
      <c r="R922" s="55"/>
      <c r="S922" s="55"/>
      <c r="T922" s="55"/>
      <c r="AA922" s="55"/>
      <c r="AB922" s="55"/>
      <c r="AC922" s="55"/>
      <c r="AD922" s="55"/>
      <c r="AE922" s="55"/>
      <c r="AF922" s="55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N923" t="s">
        <v>53</v>
      </c>
      <c r="O923" s="55"/>
      <c r="P923" s="55"/>
      <c r="Q923" s="55"/>
      <c r="R923" s="55"/>
      <c r="S923" s="55"/>
      <c r="T923" s="55"/>
      <c r="V923" s="55" t="s">
        <v>15</v>
      </c>
      <c r="W923" s="19">
        <v>2</v>
      </c>
      <c r="Z923" t="s">
        <v>53</v>
      </c>
      <c r="AA923" s="55"/>
      <c r="AB923" s="55"/>
      <c r="AC923" s="55"/>
      <c r="AD923" s="55"/>
      <c r="AE923" s="55"/>
      <c r="AF923" s="55"/>
      <c r="AH923" s="55" t="s">
        <v>15</v>
      </c>
      <c r="AI923" s="20">
        <v>3</v>
      </c>
      <c r="AL923" s="60"/>
      <c r="AM923" s="63"/>
      <c r="AN923" s="83"/>
      <c r="AO923" s="118"/>
      <c r="AP923" s="118"/>
      <c r="AQ923" s="83"/>
      <c r="AR923" s="83"/>
      <c r="AS923" s="60"/>
      <c r="AT923" s="118"/>
      <c r="AU923" s="118"/>
      <c r="AV923" s="117"/>
      <c r="AW923" s="60"/>
      <c r="AX923" s="60"/>
      <c r="AY923" s="60"/>
      <c r="AZ923" s="60"/>
      <c r="BA923" s="60"/>
    </row>
    <row r="924" spans="1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N924" s="21" t="s">
        <v>87</v>
      </c>
      <c r="O924" s="20"/>
      <c r="P924" s="55"/>
      <c r="Q924" s="55"/>
      <c r="R924" s="55"/>
      <c r="S924" s="55"/>
      <c r="T924" s="55"/>
      <c r="V924" s="22" t="s">
        <v>16</v>
      </c>
      <c r="W924" s="23" t="s">
        <v>82</v>
      </c>
      <c r="X924" s="24"/>
      <c r="Z924" s="21" t="s">
        <v>87</v>
      </c>
      <c r="AA924" s="20"/>
      <c r="AB924" s="55"/>
      <c r="AC924" s="55"/>
      <c r="AD924" s="55"/>
      <c r="AE924" s="55"/>
      <c r="AF924" s="55"/>
      <c r="AH924" s="22" t="s">
        <v>16</v>
      </c>
      <c r="AI924" s="23" t="s">
        <v>41</v>
      </c>
      <c r="AJ924" s="24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17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4"/>
      <c r="E925" s="118"/>
      <c r="F925" s="118"/>
      <c r="G925" s="84"/>
      <c r="H925" s="84"/>
      <c r="I925" s="60"/>
      <c r="J925" s="118"/>
      <c r="K925" s="118"/>
      <c r="L925" s="117"/>
      <c r="O925" s="55"/>
      <c r="P925" s="55"/>
      <c r="Q925" s="55"/>
      <c r="R925" s="55"/>
      <c r="S925" s="55"/>
      <c r="T925" s="55"/>
      <c r="AA925" s="55"/>
      <c r="AB925" s="55"/>
      <c r="AC925" s="55"/>
      <c r="AD925" s="55"/>
      <c r="AE925" s="55"/>
      <c r="AF925" s="55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17"/>
      <c r="O926" s="25"/>
      <c r="P926" s="26"/>
      <c r="Q926" s="119" t="s">
        <v>17</v>
      </c>
      <c r="R926" s="119"/>
      <c r="S926" s="109"/>
      <c r="T926" s="27"/>
      <c r="V926" s="120" t="s">
        <v>18</v>
      </c>
      <c r="W926" s="121"/>
      <c r="X926" s="115" t="s">
        <v>19</v>
      </c>
      <c r="AA926" s="25"/>
      <c r="AB926" s="26"/>
      <c r="AC926" s="119" t="s">
        <v>17</v>
      </c>
      <c r="AD926" s="119"/>
      <c r="AE926" s="109"/>
      <c r="AF926" s="27"/>
      <c r="AH926" s="120" t="s">
        <v>18</v>
      </c>
      <c r="AI926" s="121"/>
      <c r="AJ926" s="115" t="s">
        <v>19</v>
      </c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ht="30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O927" s="28" t="s">
        <v>20</v>
      </c>
      <c r="P927" s="28" t="s">
        <v>21</v>
      </c>
      <c r="Q927" s="74" t="s">
        <v>22</v>
      </c>
      <c r="R927" s="75" t="s">
        <v>23</v>
      </c>
      <c r="S927" s="75" t="s">
        <v>31</v>
      </c>
      <c r="T927" s="75" t="s">
        <v>24</v>
      </c>
      <c r="V927" s="29" t="s">
        <v>25</v>
      </c>
      <c r="W927" s="29" t="s">
        <v>26</v>
      </c>
      <c r="X927" s="116"/>
      <c r="AA927" s="28" t="s">
        <v>20</v>
      </c>
      <c r="AB927" s="28" t="s">
        <v>21</v>
      </c>
      <c r="AC927" s="74" t="s">
        <v>22</v>
      </c>
      <c r="AD927" s="75" t="s">
        <v>23</v>
      </c>
      <c r="AE927" s="75" t="s">
        <v>31</v>
      </c>
      <c r="AF927" s="75" t="s">
        <v>24</v>
      </c>
      <c r="AH927" s="29" t="s">
        <v>25</v>
      </c>
      <c r="AI927" s="29" t="s">
        <v>26</v>
      </c>
      <c r="AJ927" s="116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N928" s="10">
        <v>1</v>
      </c>
      <c r="O928" s="30" t="s">
        <v>88</v>
      </c>
      <c r="P928" s="80">
        <v>11966</v>
      </c>
      <c r="Q928" s="32">
        <f>650*3+622*2</f>
        <v>3194</v>
      </c>
      <c r="R928" s="32"/>
      <c r="S928" s="32"/>
      <c r="T928" s="32">
        <f>SUM(Q928:R928)</f>
        <v>3194</v>
      </c>
      <c r="U928" s="12"/>
      <c r="V928" s="12"/>
      <c r="W928" s="12"/>
      <c r="X928" s="12">
        <f>SUM(T928:W928)</f>
        <v>3194</v>
      </c>
      <c r="Z928" s="10">
        <v>1</v>
      </c>
      <c r="AA928" s="30" t="s">
        <v>88</v>
      </c>
      <c r="AB928" s="31">
        <v>11898</v>
      </c>
      <c r="AC928" s="32">
        <f>650*50</f>
        <v>32500</v>
      </c>
      <c r="AD928" s="32">
        <f>-50*6</f>
        <v>-300</v>
      </c>
      <c r="AE928" s="32"/>
      <c r="AF928" s="32">
        <f>SUM(AC928:AD928)</f>
        <v>32200</v>
      </c>
      <c r="AG928" s="12"/>
      <c r="AH928" s="12"/>
      <c r="AI928" s="12">
        <f>-111*7</f>
        <v>-777</v>
      </c>
      <c r="AJ928" s="12">
        <f>SUM(AF928:AI928)</f>
        <v>31423</v>
      </c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N929" s="10">
        <v>2</v>
      </c>
      <c r="O929" s="30" t="s">
        <v>88</v>
      </c>
      <c r="P929" s="80">
        <f>P928+1</f>
        <v>11967</v>
      </c>
      <c r="Q929" s="32">
        <f>650*8</f>
        <v>5200</v>
      </c>
      <c r="R929" s="32"/>
      <c r="S929" s="32"/>
      <c r="T929" s="32">
        <f t="shared" ref="T929:T966" si="198">SUM(Q929:R929)</f>
        <v>5200</v>
      </c>
      <c r="U929" s="12"/>
      <c r="V929" s="12"/>
      <c r="W929" s="12">
        <f>-111*5</f>
        <v>-555</v>
      </c>
      <c r="X929" s="12">
        <f t="shared" ref="X929:X969" si="199">SUM(T929:W929)</f>
        <v>4645</v>
      </c>
      <c r="Z929" s="10">
        <v>2</v>
      </c>
      <c r="AA929" s="30" t="s">
        <v>88</v>
      </c>
      <c r="AB929" s="31">
        <f>AB928+1</f>
        <v>11899</v>
      </c>
      <c r="AC929" s="32">
        <f>650*15+650*5+1667+500</f>
        <v>15167</v>
      </c>
      <c r="AD929" s="32"/>
      <c r="AE929" s="32"/>
      <c r="AF929" s="32">
        <f t="shared" ref="AF929:AF966" si="200">SUM(AC929:AD929)</f>
        <v>15167</v>
      </c>
      <c r="AG929" s="12"/>
      <c r="AH929" s="12">
        <f>120</f>
        <v>120</v>
      </c>
      <c r="AI929" s="12"/>
      <c r="AJ929" s="12">
        <f t="shared" ref="AJ929:AJ969" si="201">SUM(AF929:AI929)</f>
        <v>15287</v>
      </c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N930" s="10">
        <v>3</v>
      </c>
      <c r="O930" s="30" t="s">
        <v>88</v>
      </c>
      <c r="P930" s="80">
        <f t="shared" ref="P930:P935" si="202">P929+1</f>
        <v>11968</v>
      </c>
      <c r="Q930" s="33">
        <f>650*32+622*9</f>
        <v>26398</v>
      </c>
      <c r="R930" s="33"/>
      <c r="S930" s="32"/>
      <c r="T930" s="32">
        <f t="shared" si="198"/>
        <v>26398</v>
      </c>
      <c r="U930" s="12"/>
      <c r="V930" s="34"/>
      <c r="W930" s="34"/>
      <c r="X930" s="12">
        <f t="shared" si="199"/>
        <v>26398</v>
      </c>
      <c r="Z930" s="10">
        <v>3</v>
      </c>
      <c r="AA930" s="30" t="s">
        <v>88</v>
      </c>
      <c r="AB930" s="31">
        <f t="shared" ref="AB930:AB931" si="203">AB929+1</f>
        <v>11900</v>
      </c>
      <c r="AC930" s="33">
        <f>650*300+670*35+973*15+622*50+912*20+1050*10+872*2+872*8+500*5+700*15</f>
        <v>314605</v>
      </c>
      <c r="AD930" s="33"/>
      <c r="AE930" s="32"/>
      <c r="AF930" s="32">
        <f t="shared" si="200"/>
        <v>314605</v>
      </c>
      <c r="AG930" s="12"/>
      <c r="AH930" s="12">
        <f>111*400+120*60</f>
        <v>51600</v>
      </c>
      <c r="AI930" s="12">
        <f>-111*56+-120*7+-84*377</f>
        <v>-38724</v>
      </c>
      <c r="AJ930" s="12">
        <f t="shared" si="201"/>
        <v>327481</v>
      </c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N931" s="10">
        <v>4</v>
      </c>
      <c r="O931" s="30" t="s">
        <v>88</v>
      </c>
      <c r="P931" s="80">
        <f t="shared" si="202"/>
        <v>11969</v>
      </c>
      <c r="Q931" s="32">
        <f>650*200+622*30+912*5+229*9</f>
        <v>155281</v>
      </c>
      <c r="R931" s="32">
        <f>-235*6</f>
        <v>-1410</v>
      </c>
      <c r="S931" s="32"/>
      <c r="T931" s="32">
        <f t="shared" si="198"/>
        <v>153871</v>
      </c>
      <c r="U931" s="12"/>
      <c r="V931" s="12"/>
      <c r="W931" s="12">
        <f>-111*61+-120*3+-78+-84*2+-42*10+-1.5*20</f>
        <v>-7827</v>
      </c>
      <c r="X931" s="12">
        <f t="shared" si="199"/>
        <v>146044</v>
      </c>
      <c r="Z931" s="10">
        <v>4</v>
      </c>
      <c r="AA931" s="30" t="s">
        <v>88</v>
      </c>
      <c r="AB931" s="31">
        <f t="shared" si="203"/>
        <v>11901</v>
      </c>
      <c r="AC931" s="32">
        <f>650*3</f>
        <v>1950</v>
      </c>
      <c r="AD931" s="32"/>
      <c r="AE931" s="32"/>
      <c r="AF931" s="32">
        <f t="shared" si="200"/>
        <v>1950</v>
      </c>
      <c r="AG931" s="12"/>
      <c r="AI931" s="12">
        <f>-84*18</f>
        <v>-1512</v>
      </c>
      <c r="AJ931" s="12">
        <f t="shared" si="201"/>
        <v>438</v>
      </c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N932" s="10">
        <v>5</v>
      </c>
      <c r="O932" s="30" t="s">
        <v>88</v>
      </c>
      <c r="P932" s="80">
        <f t="shared" si="202"/>
        <v>11970</v>
      </c>
      <c r="Q932" s="32">
        <f>650*100+229*2</f>
        <v>65458</v>
      </c>
      <c r="R932" s="32">
        <f>-100*6</f>
        <v>-600</v>
      </c>
      <c r="S932" s="32"/>
      <c r="T932" s="32">
        <f t="shared" si="198"/>
        <v>64858</v>
      </c>
      <c r="U932" s="12"/>
      <c r="V932" s="12">
        <f>4.5*36+1.5*48</f>
        <v>234</v>
      </c>
      <c r="W932" s="12"/>
      <c r="X932" s="12">
        <f t="shared" si="199"/>
        <v>65092</v>
      </c>
      <c r="Z932" s="10">
        <v>5</v>
      </c>
      <c r="AA932" s="30"/>
      <c r="AB932" s="11" t="s">
        <v>27</v>
      </c>
      <c r="AC932" s="32"/>
      <c r="AD932" s="32"/>
      <c r="AE932" s="32"/>
      <c r="AF932" s="32">
        <f t="shared" si="200"/>
        <v>0</v>
      </c>
      <c r="AG932" s="12"/>
      <c r="AH932" s="12"/>
      <c r="AI932" s="12"/>
      <c r="AJ932" s="12">
        <f t="shared" si="201"/>
        <v>0</v>
      </c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N933" s="10">
        <v>6</v>
      </c>
      <c r="O933" s="30" t="s">
        <v>88</v>
      </c>
      <c r="P933" s="80">
        <f t="shared" si="202"/>
        <v>11971</v>
      </c>
      <c r="Q933" s="32">
        <f>650*12</f>
        <v>7800</v>
      </c>
      <c r="R933" s="32"/>
      <c r="S933" s="32"/>
      <c r="T933" s="32">
        <f t="shared" si="198"/>
        <v>7800</v>
      </c>
      <c r="U933" s="12"/>
      <c r="V933" s="12"/>
      <c r="W933" s="10"/>
      <c r="X933" s="12">
        <f t="shared" si="199"/>
        <v>7800</v>
      </c>
      <c r="Z933" s="10">
        <v>6</v>
      </c>
      <c r="AA933" s="30"/>
      <c r="AC933" s="32"/>
      <c r="AD933" s="32"/>
      <c r="AE933" s="32"/>
      <c r="AF933" s="32">
        <f t="shared" si="200"/>
        <v>0</v>
      </c>
      <c r="AG933" s="12"/>
      <c r="AH933" s="12"/>
      <c r="AI933" s="10"/>
      <c r="AJ933" s="12">
        <f t="shared" si="201"/>
        <v>0</v>
      </c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N934" s="10">
        <v>7</v>
      </c>
      <c r="O934" s="30" t="s">
        <v>88</v>
      </c>
      <c r="P934" s="80">
        <f t="shared" si="202"/>
        <v>11972</v>
      </c>
      <c r="Q934" s="32">
        <f>973</f>
        <v>973</v>
      </c>
      <c r="R934" s="32"/>
      <c r="S934" s="32"/>
      <c r="T934" s="32">
        <f t="shared" si="198"/>
        <v>973</v>
      </c>
      <c r="U934" s="12"/>
      <c r="V934" s="12"/>
      <c r="W934" s="12"/>
      <c r="X934" s="12">
        <f t="shared" si="199"/>
        <v>973</v>
      </c>
      <c r="Z934" s="10">
        <v>7</v>
      </c>
      <c r="AA934" s="30"/>
      <c r="AC934" s="32"/>
      <c r="AD934" s="32"/>
      <c r="AE934" s="32"/>
      <c r="AF934" s="32">
        <f t="shared" si="200"/>
        <v>0</v>
      </c>
      <c r="AG934" s="12"/>
      <c r="AH934" s="56"/>
      <c r="AI934" s="12"/>
      <c r="AJ934" s="12">
        <f t="shared" si="201"/>
        <v>0</v>
      </c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N935" s="10">
        <v>8</v>
      </c>
      <c r="O935" s="30" t="s">
        <v>88</v>
      </c>
      <c r="P935" s="80">
        <f t="shared" si="202"/>
        <v>11973</v>
      </c>
      <c r="Q935" s="32">
        <f>650*50+622*10</f>
        <v>38720</v>
      </c>
      <c r="R935" s="32"/>
      <c r="S935" s="32"/>
      <c r="T935" s="32">
        <f t="shared" si="198"/>
        <v>38720</v>
      </c>
      <c r="U935" s="12"/>
      <c r="V935" s="12"/>
      <c r="W935" s="12"/>
      <c r="X935" s="12">
        <f t="shared" si="199"/>
        <v>38720</v>
      </c>
      <c r="Z935" s="10">
        <v>8</v>
      </c>
      <c r="AA935" s="30"/>
      <c r="AB935" s="31"/>
      <c r="AC935" s="32"/>
      <c r="AD935" s="32"/>
      <c r="AF935" s="32">
        <f t="shared" si="200"/>
        <v>0</v>
      </c>
      <c r="AG935" s="12"/>
      <c r="AH935" s="12"/>
      <c r="AI935" s="12"/>
      <c r="AJ935" s="12">
        <f t="shared" si="201"/>
        <v>0</v>
      </c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N936" s="10">
        <v>9</v>
      </c>
      <c r="O936" s="30"/>
      <c r="P936" s="11" t="s">
        <v>27</v>
      </c>
      <c r="Q936" s="32"/>
      <c r="R936" s="32"/>
      <c r="S936" s="32"/>
      <c r="T936" s="32">
        <f t="shared" si="198"/>
        <v>0</v>
      </c>
      <c r="U936" s="12"/>
      <c r="V936" s="12"/>
      <c r="W936" s="12"/>
      <c r="X936" s="12">
        <f t="shared" si="199"/>
        <v>0</v>
      </c>
      <c r="Z936" s="10">
        <v>9</v>
      </c>
      <c r="AA936" s="30"/>
      <c r="AC936" s="32"/>
      <c r="AD936" s="32"/>
      <c r="AE936" s="32"/>
      <c r="AF936" s="32">
        <f t="shared" si="200"/>
        <v>0</v>
      </c>
      <c r="AG936" s="12"/>
      <c r="AI936" s="12"/>
      <c r="AJ936" s="12">
        <f t="shared" si="201"/>
        <v>0</v>
      </c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N937" s="10">
        <v>10</v>
      </c>
      <c r="O937" s="30"/>
      <c r="P937" s="80"/>
      <c r="Q937" s="32"/>
      <c r="R937" s="32"/>
      <c r="S937" s="32"/>
      <c r="T937" s="32">
        <f t="shared" si="198"/>
        <v>0</v>
      </c>
      <c r="U937" s="12"/>
      <c r="V937" s="12"/>
      <c r="W937" s="12"/>
      <c r="X937" s="12">
        <f t="shared" si="199"/>
        <v>0</v>
      </c>
      <c r="Z937" s="10">
        <v>10</v>
      </c>
      <c r="AA937" s="30"/>
      <c r="AB937" s="31"/>
      <c r="AC937" s="32"/>
      <c r="AD937" s="32"/>
      <c r="AE937" s="32"/>
      <c r="AF937" s="32">
        <f t="shared" si="200"/>
        <v>0</v>
      </c>
      <c r="AG937" s="12"/>
      <c r="AH937" s="12"/>
      <c r="AI937" s="12"/>
      <c r="AJ937" s="12">
        <f t="shared" si="201"/>
        <v>0</v>
      </c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N938" s="10">
        <v>11</v>
      </c>
      <c r="O938" s="30"/>
      <c r="P938" s="80"/>
      <c r="Q938" s="32"/>
      <c r="R938" s="32"/>
      <c r="S938" s="32"/>
      <c r="T938" s="32">
        <f t="shared" si="198"/>
        <v>0</v>
      </c>
      <c r="U938" s="12"/>
      <c r="V938" s="12"/>
      <c r="W938" s="12"/>
      <c r="X938" s="12">
        <f t="shared" si="199"/>
        <v>0</v>
      </c>
      <c r="Z938" s="10">
        <v>11</v>
      </c>
      <c r="AA938" s="30"/>
      <c r="AB938" s="31"/>
      <c r="AC938" s="32"/>
      <c r="AD938" s="32"/>
      <c r="AE938" s="32"/>
      <c r="AF938" s="32">
        <f t="shared" si="200"/>
        <v>0</v>
      </c>
      <c r="AG938" s="12"/>
      <c r="AH938" s="12"/>
      <c r="AI938" s="12"/>
      <c r="AJ938" s="12">
        <f t="shared" si="201"/>
        <v>0</v>
      </c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N939" s="10">
        <v>12</v>
      </c>
      <c r="O939" s="30"/>
      <c r="P939" s="80"/>
      <c r="Q939" s="32"/>
      <c r="R939" s="32"/>
      <c r="S939" s="32"/>
      <c r="T939" s="32">
        <f t="shared" si="198"/>
        <v>0</v>
      </c>
      <c r="U939" s="12"/>
      <c r="V939" s="12"/>
      <c r="W939" s="12"/>
      <c r="X939" s="12">
        <f t="shared" si="199"/>
        <v>0</v>
      </c>
      <c r="Z939" s="10">
        <v>12</v>
      </c>
      <c r="AA939" s="30"/>
      <c r="AB939" s="31"/>
      <c r="AC939" s="32"/>
      <c r="AD939" s="32"/>
      <c r="AE939" s="32"/>
      <c r="AF939" s="32">
        <f t="shared" si="200"/>
        <v>0</v>
      </c>
      <c r="AG939" s="12"/>
      <c r="AH939" s="12"/>
      <c r="AI939" s="12"/>
      <c r="AJ939" s="12">
        <f t="shared" si="201"/>
        <v>0</v>
      </c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N940" s="10">
        <v>13</v>
      </c>
      <c r="O940" s="30"/>
      <c r="P940" s="80"/>
      <c r="Q940" s="32"/>
      <c r="R940" s="32"/>
      <c r="S940" s="32"/>
      <c r="T940" s="32">
        <f t="shared" si="198"/>
        <v>0</v>
      </c>
      <c r="U940" s="12"/>
      <c r="V940" s="12"/>
      <c r="W940" s="12"/>
      <c r="X940" s="12">
        <f t="shared" si="199"/>
        <v>0</v>
      </c>
      <c r="Z940" s="10">
        <v>13</v>
      </c>
      <c r="AA940" s="30"/>
      <c r="AB940" s="31"/>
      <c r="AC940" s="32"/>
      <c r="AD940" s="32"/>
      <c r="AE940" s="32"/>
      <c r="AF940" s="32">
        <f t="shared" si="200"/>
        <v>0</v>
      </c>
      <c r="AG940" s="12"/>
      <c r="AH940" s="12"/>
      <c r="AI940" s="12"/>
      <c r="AJ940" s="12">
        <f t="shared" si="201"/>
        <v>0</v>
      </c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N941" s="10">
        <v>14</v>
      </c>
      <c r="O941" s="30"/>
      <c r="P941" s="80"/>
      <c r="Q941" s="32"/>
      <c r="R941" s="32"/>
      <c r="S941" s="32"/>
      <c r="T941" s="32">
        <f t="shared" si="198"/>
        <v>0</v>
      </c>
      <c r="U941" s="12"/>
      <c r="V941" s="12"/>
      <c r="W941" s="12"/>
      <c r="X941" s="12">
        <f t="shared" si="199"/>
        <v>0</v>
      </c>
      <c r="Z941" s="10">
        <v>14</v>
      </c>
      <c r="AA941" s="30"/>
      <c r="AB941" s="31"/>
      <c r="AC941" s="32"/>
      <c r="AD941" s="32"/>
      <c r="AE941" s="32"/>
      <c r="AF941" s="32">
        <f t="shared" si="200"/>
        <v>0</v>
      </c>
      <c r="AG941" s="12"/>
      <c r="AH941" s="12"/>
      <c r="AI941" s="12"/>
      <c r="AJ941" s="12">
        <f t="shared" si="201"/>
        <v>0</v>
      </c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N942" s="10">
        <v>15</v>
      </c>
      <c r="O942" s="30"/>
      <c r="Q942" s="32"/>
      <c r="R942" s="32"/>
      <c r="S942" s="32"/>
      <c r="T942" s="32">
        <f t="shared" si="198"/>
        <v>0</v>
      </c>
      <c r="U942" s="12"/>
      <c r="V942" s="12"/>
      <c r="W942" s="12"/>
      <c r="X942" s="12">
        <f t="shared" si="199"/>
        <v>0</v>
      </c>
      <c r="Z942" s="10">
        <v>15</v>
      </c>
      <c r="AA942" s="30"/>
      <c r="AB942" s="31"/>
      <c r="AC942" s="32"/>
      <c r="AD942" s="32"/>
      <c r="AE942" s="32"/>
      <c r="AF942" s="32">
        <f t="shared" si="200"/>
        <v>0</v>
      </c>
      <c r="AG942" s="12"/>
      <c r="AH942" s="12"/>
      <c r="AI942" s="12"/>
      <c r="AJ942" s="12">
        <f t="shared" si="201"/>
        <v>0</v>
      </c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N943" s="10">
        <v>16</v>
      </c>
      <c r="O943" s="30"/>
      <c r="P943" s="80"/>
      <c r="Q943" s="32"/>
      <c r="R943" s="32"/>
      <c r="S943" s="32"/>
      <c r="T943" s="32">
        <f t="shared" si="198"/>
        <v>0</v>
      </c>
      <c r="U943" s="12"/>
      <c r="V943" s="12"/>
      <c r="W943" s="12"/>
      <c r="X943" s="12">
        <f t="shared" si="199"/>
        <v>0</v>
      </c>
      <c r="Z943" s="10">
        <v>16</v>
      </c>
      <c r="AA943" s="30"/>
      <c r="AB943" s="11"/>
      <c r="AC943" s="32"/>
      <c r="AD943" s="32"/>
      <c r="AE943" s="32"/>
      <c r="AF943" s="32">
        <f t="shared" si="200"/>
        <v>0</v>
      </c>
      <c r="AG943" s="12"/>
      <c r="AH943" s="12"/>
      <c r="AI943" s="12"/>
      <c r="AJ943" s="12">
        <f t="shared" si="201"/>
        <v>0</v>
      </c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N944" s="10">
        <v>17</v>
      </c>
      <c r="O944" s="30"/>
      <c r="Q944" s="35"/>
      <c r="R944" s="32"/>
      <c r="S944" s="32"/>
      <c r="T944" s="32">
        <f t="shared" si="198"/>
        <v>0</v>
      </c>
      <c r="U944" s="12"/>
      <c r="V944" s="12"/>
      <c r="W944" s="12"/>
      <c r="X944" s="12">
        <f t="shared" si="199"/>
        <v>0</v>
      </c>
      <c r="Z944" s="10">
        <v>17</v>
      </c>
      <c r="AA944" s="30"/>
      <c r="AB944" s="31"/>
      <c r="AC944" s="35"/>
      <c r="AD944" s="32"/>
      <c r="AE944" s="32"/>
      <c r="AF944" s="32">
        <f t="shared" si="200"/>
        <v>0</v>
      </c>
      <c r="AG944" s="12"/>
      <c r="AH944" s="12"/>
      <c r="AI944" s="12"/>
      <c r="AJ944" s="12">
        <f t="shared" si="201"/>
        <v>0</v>
      </c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N945" s="10">
        <v>18</v>
      </c>
      <c r="O945" s="30"/>
      <c r="P945" s="80"/>
      <c r="Q945" s="32"/>
      <c r="R945" s="32"/>
      <c r="S945" s="32"/>
      <c r="T945" s="32">
        <f t="shared" si="198"/>
        <v>0</v>
      </c>
      <c r="U945" s="12"/>
      <c r="V945" s="12"/>
      <c r="W945" s="12"/>
      <c r="X945" s="12">
        <f t="shared" si="199"/>
        <v>0</v>
      </c>
      <c r="Z945" s="10">
        <v>18</v>
      </c>
      <c r="AA945" s="30"/>
      <c r="AB945" s="31"/>
      <c r="AC945" s="32"/>
      <c r="AD945" s="32"/>
      <c r="AE945" s="32"/>
      <c r="AF945" s="32">
        <f t="shared" si="200"/>
        <v>0</v>
      </c>
      <c r="AG945" s="12"/>
      <c r="AH945" s="12"/>
      <c r="AI945" s="12"/>
      <c r="AJ945" s="12">
        <f t="shared" si="201"/>
        <v>0</v>
      </c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N946" s="10">
        <v>19</v>
      </c>
      <c r="O946" s="30"/>
      <c r="P946" s="80"/>
      <c r="Q946" s="32"/>
      <c r="R946" s="32"/>
      <c r="S946" s="32"/>
      <c r="T946" s="32">
        <f t="shared" si="198"/>
        <v>0</v>
      </c>
      <c r="U946" s="12"/>
      <c r="V946" s="12"/>
      <c r="W946" s="12"/>
      <c r="X946" s="12">
        <f t="shared" si="199"/>
        <v>0</v>
      </c>
      <c r="Z946" s="10">
        <v>19</v>
      </c>
      <c r="AA946" s="30"/>
      <c r="AB946" s="11"/>
      <c r="AC946" s="32"/>
      <c r="AD946" s="32"/>
      <c r="AE946" s="32"/>
      <c r="AF946" s="32">
        <f t="shared" si="200"/>
        <v>0</v>
      </c>
      <c r="AG946" s="12"/>
      <c r="AH946" s="12"/>
      <c r="AI946" s="12"/>
      <c r="AJ946" s="12">
        <f t="shared" si="201"/>
        <v>0</v>
      </c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N947" s="10">
        <v>20</v>
      </c>
      <c r="O947" s="30"/>
      <c r="P947" s="80"/>
      <c r="Q947" s="32"/>
      <c r="R947" s="32"/>
      <c r="S947" s="32"/>
      <c r="T947" s="32">
        <f t="shared" si="198"/>
        <v>0</v>
      </c>
      <c r="U947" s="12"/>
      <c r="V947" s="12"/>
      <c r="W947" s="12"/>
      <c r="X947" s="12">
        <f t="shared" si="199"/>
        <v>0</v>
      </c>
      <c r="Z947" s="10">
        <v>20</v>
      </c>
      <c r="AA947" s="30"/>
      <c r="AB947" s="31"/>
      <c r="AC947" s="32"/>
      <c r="AD947" s="32"/>
      <c r="AE947" s="32"/>
      <c r="AF947" s="32">
        <f t="shared" si="200"/>
        <v>0</v>
      </c>
      <c r="AG947" s="12"/>
      <c r="AH947" s="12"/>
      <c r="AI947" s="12"/>
      <c r="AJ947" s="12">
        <f t="shared" si="201"/>
        <v>0</v>
      </c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N948" s="10">
        <v>21</v>
      </c>
      <c r="O948" s="30"/>
      <c r="P948" s="11"/>
      <c r="Q948" s="44"/>
      <c r="R948" s="31"/>
      <c r="S948" s="31"/>
      <c r="T948" s="32">
        <f t="shared" si="198"/>
        <v>0</v>
      </c>
      <c r="U948" s="10"/>
      <c r="V948" s="10"/>
      <c r="W948" s="10"/>
      <c r="X948" s="12">
        <f t="shared" si="199"/>
        <v>0</v>
      </c>
      <c r="Z948" s="10">
        <v>21</v>
      </c>
      <c r="AA948" s="30"/>
      <c r="AB948" s="11"/>
      <c r="AC948" s="44"/>
      <c r="AD948" s="31"/>
      <c r="AE948" s="31"/>
      <c r="AF948" s="32">
        <f t="shared" si="200"/>
        <v>0</v>
      </c>
      <c r="AG948" s="10"/>
      <c r="AH948" s="10"/>
      <c r="AI948" s="10"/>
      <c r="AJ948" s="12">
        <f t="shared" si="201"/>
        <v>0</v>
      </c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N949" s="10">
        <v>22</v>
      </c>
      <c r="O949" s="30"/>
      <c r="P949" s="31"/>
      <c r="Q949" s="43"/>
      <c r="R949" s="31"/>
      <c r="S949" s="31"/>
      <c r="T949" s="32">
        <f t="shared" si="198"/>
        <v>0</v>
      </c>
      <c r="U949" s="10"/>
      <c r="V949" s="10"/>
      <c r="W949" s="10"/>
      <c r="X949" s="12">
        <f t="shared" si="199"/>
        <v>0</v>
      </c>
      <c r="Z949" s="10">
        <v>22</v>
      </c>
      <c r="AA949" s="30"/>
      <c r="AB949" s="31"/>
      <c r="AC949" s="43"/>
      <c r="AD949" s="31"/>
      <c r="AE949" s="31"/>
      <c r="AF949" s="32">
        <f t="shared" si="200"/>
        <v>0</v>
      </c>
      <c r="AG949" s="10"/>
      <c r="AH949" s="10"/>
      <c r="AI949" s="10"/>
      <c r="AJ949" s="12">
        <f t="shared" si="201"/>
        <v>0</v>
      </c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N950" s="10">
        <v>23</v>
      </c>
      <c r="O950" s="30"/>
      <c r="P950" s="31"/>
      <c r="Q950" s="45"/>
      <c r="T950" s="32">
        <f t="shared" si="198"/>
        <v>0</v>
      </c>
      <c r="U950" s="10"/>
      <c r="V950" s="10"/>
      <c r="W950" s="10"/>
      <c r="X950" s="12">
        <f t="shared" si="199"/>
        <v>0</v>
      </c>
      <c r="Z950" s="10">
        <v>23</v>
      </c>
      <c r="AA950" s="30"/>
      <c r="AB950" s="31"/>
      <c r="AC950" s="45"/>
      <c r="AD950" s="31"/>
      <c r="AF950" s="32">
        <f t="shared" si="200"/>
        <v>0</v>
      </c>
      <c r="AG950" s="10"/>
      <c r="AH950" s="10"/>
      <c r="AI950" s="10"/>
      <c r="AJ950" s="12">
        <f t="shared" si="201"/>
        <v>0</v>
      </c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N951" s="10">
        <v>24</v>
      </c>
      <c r="O951" s="30"/>
      <c r="P951" s="31"/>
      <c r="Q951" s="45"/>
      <c r="R951" s="31"/>
      <c r="S951" s="31"/>
      <c r="T951" s="32">
        <f t="shared" si="198"/>
        <v>0</v>
      </c>
      <c r="U951" s="10"/>
      <c r="V951" s="10"/>
      <c r="W951" s="10"/>
      <c r="X951" s="12">
        <f t="shared" si="199"/>
        <v>0</v>
      </c>
      <c r="Z951" s="10">
        <v>24</v>
      </c>
      <c r="AA951" s="30"/>
      <c r="AB951" s="31"/>
      <c r="AC951" s="45"/>
      <c r="AD951" s="31"/>
      <c r="AE951" s="31"/>
      <c r="AF951" s="32">
        <f t="shared" si="200"/>
        <v>0</v>
      </c>
      <c r="AG951" s="10"/>
      <c r="AH951" s="10"/>
      <c r="AI951" s="10"/>
      <c r="AJ951" s="12">
        <f t="shared" si="201"/>
        <v>0</v>
      </c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N952" s="10">
        <v>25</v>
      </c>
      <c r="O952" s="30"/>
      <c r="P952" s="31"/>
      <c r="Q952" s="45"/>
      <c r="R952" s="31"/>
      <c r="S952" s="31"/>
      <c r="T952" s="32">
        <f t="shared" si="198"/>
        <v>0</v>
      </c>
      <c r="U952" s="10"/>
      <c r="V952" s="10"/>
      <c r="W952" s="10"/>
      <c r="X952" s="12">
        <f t="shared" si="199"/>
        <v>0</v>
      </c>
      <c r="Z952" s="10">
        <v>25</v>
      </c>
      <c r="AA952" s="30"/>
      <c r="AB952" s="31"/>
      <c r="AC952" s="45"/>
      <c r="AD952" s="31"/>
      <c r="AE952" s="31"/>
      <c r="AF952" s="32">
        <f t="shared" si="200"/>
        <v>0</v>
      </c>
      <c r="AG952" s="10"/>
      <c r="AH952" s="10"/>
      <c r="AI952" s="10"/>
      <c r="AJ952" s="12">
        <f t="shared" si="201"/>
        <v>0</v>
      </c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N953" s="10">
        <v>26</v>
      </c>
      <c r="O953" s="30"/>
      <c r="P953" s="31"/>
      <c r="Q953" s="45"/>
      <c r="R953" s="31"/>
      <c r="S953" s="31"/>
      <c r="T953" s="32">
        <f t="shared" si="198"/>
        <v>0</v>
      </c>
      <c r="U953" s="10"/>
      <c r="V953" s="10"/>
      <c r="W953" s="10"/>
      <c r="X953" s="12">
        <f t="shared" si="199"/>
        <v>0</v>
      </c>
      <c r="Z953" s="10">
        <v>26</v>
      </c>
      <c r="AA953" s="30"/>
      <c r="AB953" s="31"/>
      <c r="AC953" s="45"/>
      <c r="AD953" s="31"/>
      <c r="AE953" s="31"/>
      <c r="AF953" s="32">
        <f t="shared" si="200"/>
        <v>0</v>
      </c>
      <c r="AG953" s="10"/>
      <c r="AH953" s="10"/>
      <c r="AI953" s="10"/>
      <c r="AJ953" s="12">
        <f t="shared" si="201"/>
        <v>0</v>
      </c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N954" s="10">
        <v>27</v>
      </c>
      <c r="O954" s="30"/>
      <c r="P954" s="31"/>
      <c r="Q954" s="45"/>
      <c r="R954" s="31"/>
      <c r="S954" s="31"/>
      <c r="T954" s="32">
        <f t="shared" si="198"/>
        <v>0</v>
      </c>
      <c r="U954" s="10"/>
      <c r="V954" s="10"/>
      <c r="W954" s="10"/>
      <c r="X954" s="12">
        <f t="shared" si="199"/>
        <v>0</v>
      </c>
      <c r="Z954" s="10">
        <v>27</v>
      </c>
      <c r="AA954" s="30"/>
      <c r="AB954" s="31"/>
      <c r="AC954" s="45"/>
      <c r="AD954" s="31"/>
      <c r="AE954" s="31"/>
      <c r="AF954" s="32">
        <f t="shared" si="200"/>
        <v>0</v>
      </c>
      <c r="AG954" s="10"/>
      <c r="AH954" s="10"/>
      <c r="AI954" s="10"/>
      <c r="AJ954" s="12">
        <f t="shared" si="201"/>
        <v>0</v>
      </c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N955" s="10">
        <v>28</v>
      </c>
      <c r="O955" s="30"/>
      <c r="P955" s="31"/>
      <c r="Q955" s="45"/>
      <c r="R955" s="31"/>
      <c r="S955" s="31"/>
      <c r="T955" s="32">
        <f t="shared" si="198"/>
        <v>0</v>
      </c>
      <c r="U955" s="10"/>
      <c r="V955" s="10"/>
      <c r="W955" s="10"/>
      <c r="X955" s="12">
        <f t="shared" si="199"/>
        <v>0</v>
      </c>
      <c r="Z955" s="10">
        <v>28</v>
      </c>
      <c r="AA955" s="30"/>
      <c r="AB955" s="31"/>
      <c r="AC955" s="45"/>
      <c r="AD955" s="31"/>
      <c r="AE955" s="31"/>
      <c r="AF955" s="32">
        <f t="shared" si="200"/>
        <v>0</v>
      </c>
      <c r="AG955" s="10"/>
      <c r="AH955" s="10"/>
      <c r="AI955" s="10"/>
      <c r="AJ955" s="12">
        <f t="shared" si="201"/>
        <v>0</v>
      </c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N956" s="10">
        <v>29</v>
      </c>
      <c r="O956" s="30"/>
      <c r="P956" s="31"/>
      <c r="Q956" s="45"/>
      <c r="R956" s="31"/>
      <c r="S956" s="31"/>
      <c r="T956" s="32">
        <f t="shared" si="198"/>
        <v>0</v>
      </c>
      <c r="U956" s="10"/>
      <c r="V956" s="10"/>
      <c r="W956" s="10"/>
      <c r="X956" s="12">
        <f t="shared" si="199"/>
        <v>0</v>
      </c>
      <c r="Z956" s="10">
        <v>29</v>
      </c>
      <c r="AA956" s="30"/>
      <c r="AB956" s="31"/>
      <c r="AC956" s="45"/>
      <c r="AD956" s="31"/>
      <c r="AE956" s="31"/>
      <c r="AF956" s="32">
        <f t="shared" si="200"/>
        <v>0</v>
      </c>
      <c r="AG956" s="10"/>
      <c r="AH956" s="10"/>
      <c r="AI956" s="10"/>
      <c r="AJ956" s="12">
        <f t="shared" si="201"/>
        <v>0</v>
      </c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N957" s="10">
        <v>30</v>
      </c>
      <c r="O957" s="30"/>
      <c r="P957" s="31"/>
      <c r="Q957" s="45"/>
      <c r="R957" s="31"/>
      <c r="S957" s="31"/>
      <c r="T957" s="32">
        <f t="shared" si="198"/>
        <v>0</v>
      </c>
      <c r="U957" s="10"/>
      <c r="V957" s="10"/>
      <c r="W957" s="10"/>
      <c r="X957" s="12">
        <f t="shared" si="199"/>
        <v>0</v>
      </c>
      <c r="Z957" s="10">
        <v>30</v>
      </c>
      <c r="AA957" s="30"/>
      <c r="AB957" s="31"/>
      <c r="AC957" s="45"/>
      <c r="AD957" s="31"/>
      <c r="AE957" s="31"/>
      <c r="AF957" s="32">
        <f t="shared" si="200"/>
        <v>0</v>
      </c>
      <c r="AG957" s="10"/>
      <c r="AH957" s="10"/>
      <c r="AI957" s="10"/>
      <c r="AJ957" s="12">
        <f t="shared" si="201"/>
        <v>0</v>
      </c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N958" s="10">
        <v>31</v>
      </c>
      <c r="O958" s="30"/>
      <c r="P958" s="31"/>
      <c r="Q958" s="45"/>
      <c r="R958" s="31"/>
      <c r="S958" s="31"/>
      <c r="T958" s="32">
        <f t="shared" si="198"/>
        <v>0</v>
      </c>
      <c r="U958" s="10"/>
      <c r="V958" s="10"/>
      <c r="W958" s="10"/>
      <c r="X958" s="12">
        <f t="shared" si="199"/>
        <v>0</v>
      </c>
      <c r="Z958" s="10">
        <v>31</v>
      </c>
      <c r="AA958" s="30"/>
      <c r="AB958" s="31"/>
      <c r="AC958" s="45"/>
      <c r="AD958" s="31"/>
      <c r="AE958" s="31"/>
      <c r="AF958" s="32">
        <f t="shared" si="200"/>
        <v>0</v>
      </c>
      <c r="AG958" s="10"/>
      <c r="AH958" s="10"/>
      <c r="AI958" s="10"/>
      <c r="AJ958" s="12">
        <f t="shared" si="201"/>
        <v>0</v>
      </c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N959" s="10">
        <v>32</v>
      </c>
      <c r="O959" s="30"/>
      <c r="P959" s="31"/>
      <c r="Q959" s="45"/>
      <c r="R959" s="31"/>
      <c r="S959" s="31"/>
      <c r="T959" s="32">
        <f t="shared" si="198"/>
        <v>0</v>
      </c>
      <c r="U959" s="10"/>
      <c r="V959" s="10"/>
      <c r="W959" s="10"/>
      <c r="X959" s="12">
        <f t="shared" si="199"/>
        <v>0</v>
      </c>
      <c r="Z959" s="10">
        <v>32</v>
      </c>
      <c r="AA959" s="30"/>
      <c r="AB959" s="31"/>
      <c r="AC959" s="45"/>
      <c r="AD959" s="31"/>
      <c r="AE959" s="31"/>
      <c r="AF959" s="32">
        <f t="shared" si="200"/>
        <v>0</v>
      </c>
      <c r="AG959" s="10"/>
      <c r="AH959" s="10"/>
      <c r="AI959" s="10"/>
      <c r="AJ959" s="12">
        <f t="shared" si="201"/>
        <v>0</v>
      </c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N960" s="10">
        <v>33</v>
      </c>
      <c r="O960" s="30"/>
      <c r="P960" s="31"/>
      <c r="Q960" s="45"/>
      <c r="R960" s="31"/>
      <c r="S960" s="31"/>
      <c r="T960" s="32">
        <f t="shared" si="198"/>
        <v>0</v>
      </c>
      <c r="U960" s="10"/>
      <c r="V960" s="10"/>
      <c r="W960" s="10"/>
      <c r="X960" s="12">
        <f t="shared" si="199"/>
        <v>0</v>
      </c>
      <c r="Z960" s="10">
        <v>33</v>
      </c>
      <c r="AA960" s="30"/>
      <c r="AB960" s="31"/>
      <c r="AC960" s="45"/>
      <c r="AD960" s="31"/>
      <c r="AE960" s="31"/>
      <c r="AF960" s="32">
        <f t="shared" si="200"/>
        <v>0</v>
      </c>
      <c r="AG960" s="10"/>
      <c r="AH960" s="10"/>
      <c r="AI960" s="10"/>
      <c r="AJ960" s="12">
        <f t="shared" si="201"/>
        <v>0</v>
      </c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1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N961" s="10">
        <v>34</v>
      </c>
      <c r="O961" s="30"/>
      <c r="P961" s="31"/>
      <c r="Q961" s="45"/>
      <c r="R961" s="31"/>
      <c r="S961" s="31"/>
      <c r="T961" s="32">
        <f t="shared" si="198"/>
        <v>0</v>
      </c>
      <c r="U961" s="10"/>
      <c r="V961" s="10"/>
      <c r="W961" s="10"/>
      <c r="X961" s="12">
        <f t="shared" si="199"/>
        <v>0</v>
      </c>
      <c r="Z961" s="10">
        <v>34</v>
      </c>
      <c r="AA961" s="30"/>
      <c r="AB961" s="31"/>
      <c r="AC961" s="45"/>
      <c r="AD961" s="31"/>
      <c r="AE961" s="31"/>
      <c r="AF961" s="32">
        <f t="shared" si="200"/>
        <v>0</v>
      </c>
      <c r="AG961" s="10"/>
      <c r="AH961" s="10"/>
      <c r="AI961" s="10"/>
      <c r="AJ961" s="12">
        <f t="shared" si="201"/>
        <v>0</v>
      </c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1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N962" s="10">
        <v>35</v>
      </c>
      <c r="O962" s="30"/>
      <c r="P962" s="31"/>
      <c r="Q962" s="45"/>
      <c r="R962" s="31"/>
      <c r="S962" s="31"/>
      <c r="T962" s="32">
        <f t="shared" si="198"/>
        <v>0</v>
      </c>
      <c r="U962" s="10"/>
      <c r="V962" s="10"/>
      <c r="W962" s="10"/>
      <c r="X962" s="12">
        <f t="shared" si="199"/>
        <v>0</v>
      </c>
      <c r="Z962" s="10">
        <v>35</v>
      </c>
      <c r="AA962" s="30"/>
      <c r="AB962" s="31"/>
      <c r="AC962" s="45"/>
      <c r="AD962" s="31"/>
      <c r="AE962" s="31"/>
      <c r="AF962" s="32">
        <f t="shared" si="200"/>
        <v>0</v>
      </c>
      <c r="AG962" s="10"/>
      <c r="AH962" s="10"/>
      <c r="AI962" s="10"/>
      <c r="AJ962" s="12">
        <f t="shared" si="201"/>
        <v>0</v>
      </c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1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N963" s="10">
        <v>36</v>
      </c>
      <c r="O963" s="30"/>
      <c r="P963" s="31"/>
      <c r="Q963" s="45"/>
      <c r="R963" s="31"/>
      <c r="S963" s="31"/>
      <c r="T963" s="32">
        <f t="shared" si="198"/>
        <v>0</v>
      </c>
      <c r="U963" s="10"/>
      <c r="V963" s="10"/>
      <c r="W963" s="10"/>
      <c r="X963" s="12">
        <f t="shared" si="199"/>
        <v>0</v>
      </c>
      <c r="Z963" s="10">
        <v>36</v>
      </c>
      <c r="AA963" s="30"/>
      <c r="AB963" s="31"/>
      <c r="AC963" s="45"/>
      <c r="AD963" s="31"/>
      <c r="AE963" s="31"/>
      <c r="AF963" s="32">
        <f t="shared" si="200"/>
        <v>0</v>
      </c>
      <c r="AG963" s="10"/>
      <c r="AH963" s="10"/>
      <c r="AI963" s="10"/>
      <c r="AJ963" s="12">
        <f t="shared" si="201"/>
        <v>0</v>
      </c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1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N964" s="10">
        <v>37</v>
      </c>
      <c r="O964" s="30"/>
      <c r="Q964" s="45"/>
      <c r="R964" s="31"/>
      <c r="S964" s="31"/>
      <c r="T964" s="32">
        <f t="shared" si="198"/>
        <v>0</v>
      </c>
      <c r="U964" s="10"/>
      <c r="V964" s="10"/>
      <c r="W964" s="10"/>
      <c r="X964" s="12">
        <f t="shared" si="199"/>
        <v>0</v>
      </c>
      <c r="Z964" s="10">
        <v>37</v>
      </c>
      <c r="AA964" s="30"/>
      <c r="AB964" s="31"/>
      <c r="AC964" s="45"/>
      <c r="AD964" s="31"/>
      <c r="AE964" s="31"/>
      <c r="AF964" s="32">
        <f t="shared" si="200"/>
        <v>0</v>
      </c>
      <c r="AG964" s="10"/>
      <c r="AH964" s="10"/>
      <c r="AI964" s="10"/>
      <c r="AJ964" s="12">
        <f t="shared" si="201"/>
        <v>0</v>
      </c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1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N965" s="10">
        <v>38</v>
      </c>
      <c r="O965" s="30"/>
      <c r="P965" s="31"/>
      <c r="Q965" s="45"/>
      <c r="R965" s="31"/>
      <c r="S965" s="31"/>
      <c r="T965" s="32">
        <f t="shared" si="198"/>
        <v>0</v>
      </c>
      <c r="U965" s="10"/>
      <c r="V965" s="10"/>
      <c r="W965" s="10"/>
      <c r="X965" s="12">
        <f t="shared" si="199"/>
        <v>0</v>
      </c>
      <c r="Z965" s="10">
        <v>38</v>
      </c>
      <c r="AA965" s="30"/>
      <c r="AB965" s="31"/>
      <c r="AC965" s="45"/>
      <c r="AD965" s="31"/>
      <c r="AE965" s="31"/>
      <c r="AF965" s="32">
        <f t="shared" si="200"/>
        <v>0</v>
      </c>
      <c r="AG965" s="10"/>
      <c r="AH965" s="10"/>
      <c r="AI965" s="10"/>
      <c r="AJ965" s="12">
        <f t="shared" si="201"/>
        <v>0</v>
      </c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1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N966" s="10">
        <v>39</v>
      </c>
      <c r="O966" s="30"/>
      <c r="P966" s="31"/>
      <c r="Q966" s="45"/>
      <c r="R966" s="31"/>
      <c r="S966" s="31"/>
      <c r="T966" s="32">
        <f t="shared" si="198"/>
        <v>0</v>
      </c>
      <c r="U966" s="10"/>
      <c r="V966" s="10"/>
      <c r="W966" s="10"/>
      <c r="X966" s="12">
        <f t="shared" si="199"/>
        <v>0</v>
      </c>
      <c r="Z966" s="10">
        <v>39</v>
      </c>
      <c r="AA966" s="30"/>
      <c r="AB966" s="31"/>
      <c r="AC966" s="45"/>
      <c r="AD966" s="31"/>
      <c r="AE966" s="31"/>
      <c r="AF966" s="32">
        <f t="shared" si="200"/>
        <v>0</v>
      </c>
      <c r="AG966" s="10"/>
      <c r="AH966" s="10"/>
      <c r="AI966" s="10"/>
      <c r="AJ966" s="12">
        <f t="shared" si="201"/>
        <v>0</v>
      </c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1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N967" s="10"/>
      <c r="O967" s="30"/>
      <c r="Q967" s="45"/>
      <c r="R967" s="31"/>
      <c r="S967" s="31"/>
      <c r="T967" s="32"/>
      <c r="U967" s="10"/>
      <c r="V967" s="10"/>
      <c r="W967" s="10"/>
      <c r="X967" s="12">
        <f t="shared" si="199"/>
        <v>0</v>
      </c>
      <c r="Z967" s="10"/>
      <c r="AA967" s="30"/>
      <c r="AC967" s="45"/>
      <c r="AD967" s="31"/>
      <c r="AE967" s="31"/>
      <c r="AF967" s="32"/>
      <c r="AG967" s="10"/>
      <c r="AH967" s="10"/>
      <c r="AI967" s="10"/>
      <c r="AJ967" s="12">
        <f t="shared" si="201"/>
        <v>0</v>
      </c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1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N968" s="10"/>
      <c r="O968" s="30"/>
      <c r="P968" s="31"/>
      <c r="Q968" s="45"/>
      <c r="R968" s="31"/>
      <c r="S968" s="31"/>
      <c r="T968" s="32">
        <f t="shared" ref="T968" si="204">SUM(Q968:R968)</f>
        <v>0</v>
      </c>
      <c r="U968" s="10"/>
      <c r="V968" s="10"/>
      <c r="W968" s="10"/>
      <c r="X968" s="12">
        <f t="shared" si="199"/>
        <v>0</v>
      </c>
      <c r="Z968" s="10"/>
      <c r="AA968" s="30"/>
      <c r="AB968" s="31"/>
      <c r="AC968" s="45"/>
      <c r="AD968" s="31"/>
      <c r="AE968" s="31"/>
      <c r="AF968" s="32">
        <f t="shared" ref="AF968" si="205">SUM(AC968:AD968)</f>
        <v>0</v>
      </c>
      <c r="AG968" s="10"/>
      <c r="AH968" s="10"/>
      <c r="AI968" s="10"/>
      <c r="AJ968" s="12">
        <f t="shared" si="201"/>
        <v>0</v>
      </c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1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N969" s="10"/>
      <c r="O969" s="31"/>
      <c r="P969" s="31"/>
      <c r="Q969" s="31"/>
      <c r="R969" s="31"/>
      <c r="S969" s="31"/>
      <c r="T969" s="31"/>
      <c r="U969" s="10"/>
      <c r="V969" s="10"/>
      <c r="W969" s="10"/>
      <c r="X969" s="12">
        <f t="shared" si="199"/>
        <v>0</v>
      </c>
      <c r="Z969" s="10"/>
      <c r="AA969" s="31"/>
      <c r="AB969" s="31"/>
      <c r="AC969" s="31"/>
      <c r="AD969" s="31"/>
      <c r="AE969" s="31"/>
      <c r="AF969" s="31"/>
      <c r="AG969" s="10"/>
      <c r="AH969" s="10"/>
      <c r="AI969" s="10"/>
      <c r="AJ969" s="12">
        <f t="shared" si="201"/>
        <v>0</v>
      </c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1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O970" s="55"/>
      <c r="P970" s="55"/>
      <c r="Q970" s="36"/>
      <c r="R970" s="36"/>
      <c r="S970" s="36"/>
      <c r="T970" s="36"/>
      <c r="U970" s="37"/>
      <c r="V970" s="37"/>
      <c r="W970" s="37"/>
      <c r="X970" s="37"/>
      <c r="AA970" s="55"/>
      <c r="AB970" s="55"/>
      <c r="AC970" s="36"/>
      <c r="AD970" s="36"/>
      <c r="AE970" s="36"/>
      <c r="AF970" s="36"/>
      <c r="AG970" s="37"/>
      <c r="AH970" s="37"/>
      <c r="AI970" s="37"/>
      <c r="AJ970" s="37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1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O971" s="55"/>
      <c r="P971" s="55"/>
      <c r="Q971" s="38">
        <f>SUM(Q928:Q970)</f>
        <v>303024</v>
      </c>
      <c r="R971" s="38">
        <f>SUM(R928:R952)</f>
        <v>-2010</v>
      </c>
      <c r="S971" s="38">
        <f>SUM(S928:S952)</f>
        <v>0</v>
      </c>
      <c r="T971" s="38">
        <f>SUM(T928:T970)</f>
        <v>301014</v>
      </c>
      <c r="U971" s="4"/>
      <c r="V971" s="39">
        <f>SUM(V928:V970)</f>
        <v>234</v>
      </c>
      <c r="W971" s="39">
        <f>SUM(W928:W952)</f>
        <v>-8382</v>
      </c>
      <c r="X971" s="40">
        <f>SUM(X928:X970)</f>
        <v>292866</v>
      </c>
      <c r="AA971" s="55"/>
      <c r="AB971" s="55"/>
      <c r="AC971" s="38">
        <f>SUM(AC928:AC970)</f>
        <v>364222</v>
      </c>
      <c r="AD971" s="38">
        <f>SUM(AD928:AD952)</f>
        <v>-300</v>
      </c>
      <c r="AE971" s="38">
        <f>SUM(AE928:AE952)</f>
        <v>0</v>
      </c>
      <c r="AF971" s="38">
        <f>SUM(AF928:AF970)</f>
        <v>363922</v>
      </c>
      <c r="AG971" s="4"/>
      <c r="AH971" s="39">
        <f>SUM(AH928:AH970)</f>
        <v>51720</v>
      </c>
      <c r="AI971" s="39">
        <f>SUM(AI928:AI952)</f>
        <v>-41013</v>
      </c>
      <c r="AJ971" s="40">
        <f>SUM(AJ928:AJ970)</f>
        <v>374629</v>
      </c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1:5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1:53" x14ac:dyDescent="0.25">
      <c r="A973" s="18"/>
      <c r="B973" t="s">
        <v>0</v>
      </c>
      <c r="C973" s="55"/>
      <c r="D973" s="55"/>
      <c r="E973" s="55"/>
      <c r="F973" s="55"/>
      <c r="H973" s="55"/>
      <c r="N973" t="s">
        <v>0</v>
      </c>
      <c r="O973" s="55"/>
      <c r="P973" s="55"/>
      <c r="Q973" s="55"/>
      <c r="R973" s="55"/>
      <c r="S973" s="55"/>
      <c r="T973" s="55"/>
      <c r="Z973" t="s">
        <v>0</v>
      </c>
      <c r="AA973" s="55"/>
      <c r="AB973" s="55"/>
      <c r="AC973" s="55"/>
      <c r="AD973" s="55"/>
      <c r="AE973" s="55"/>
      <c r="AF973" s="55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1:53" x14ac:dyDescent="0.25">
      <c r="A974" s="18"/>
      <c r="B974" t="s">
        <v>28</v>
      </c>
      <c r="C974" s="55"/>
      <c r="D974" s="55"/>
      <c r="E974" s="55"/>
      <c r="F974" s="55"/>
      <c r="H974" s="55"/>
      <c r="N974" t="s">
        <v>28</v>
      </c>
      <c r="O974" s="55"/>
      <c r="P974" s="55"/>
      <c r="Q974" s="55"/>
      <c r="R974" s="55"/>
      <c r="S974" s="55"/>
      <c r="T974" s="55"/>
      <c r="Z974" t="s">
        <v>28</v>
      </c>
      <c r="AA974" s="55"/>
      <c r="AB974" s="55"/>
      <c r="AC974" s="55"/>
      <c r="AD974" s="55"/>
      <c r="AE974" s="55"/>
      <c r="AF974" s="55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1:53" x14ac:dyDescent="0.25">
      <c r="A975" s="18"/>
      <c r="C975" s="55"/>
      <c r="D975" s="55"/>
      <c r="E975" s="55"/>
      <c r="F975" s="55"/>
      <c r="H975" s="55"/>
      <c r="O975" s="55"/>
      <c r="P975" s="55"/>
      <c r="Q975" s="55"/>
      <c r="R975" s="55"/>
      <c r="S975" s="55"/>
      <c r="T975" s="55"/>
      <c r="AA975" s="55"/>
      <c r="AB975" s="55"/>
      <c r="AC975" s="55"/>
      <c r="AD975" s="55"/>
      <c r="AE975" s="55"/>
      <c r="AF975" s="55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1:53" x14ac:dyDescent="0.25">
      <c r="A976" s="18"/>
      <c r="B976" s="4" t="s">
        <v>14</v>
      </c>
      <c r="C976" s="55"/>
      <c r="D976" s="55"/>
      <c r="E976" s="55"/>
      <c r="F976" s="55"/>
      <c r="H976" s="55"/>
      <c r="N976" s="4" t="s">
        <v>14</v>
      </c>
      <c r="O976" s="55"/>
      <c r="P976" s="55"/>
      <c r="Q976" s="55"/>
      <c r="R976" s="55"/>
      <c r="S976" s="55"/>
      <c r="T976" s="55"/>
      <c r="Z976" s="4" t="s">
        <v>14</v>
      </c>
      <c r="AA976" s="55"/>
      <c r="AB976" s="55"/>
      <c r="AC976" s="55"/>
      <c r="AD976" s="55"/>
      <c r="AE976" s="55"/>
      <c r="AF976" s="55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1:53" x14ac:dyDescent="0.25">
      <c r="A977" s="18"/>
      <c r="C977" s="55"/>
      <c r="D977" s="55"/>
      <c r="E977" s="55"/>
      <c r="F977" s="55"/>
      <c r="H977" s="55"/>
      <c r="O977" s="55"/>
      <c r="P977" s="55"/>
      <c r="Q977" s="55"/>
      <c r="R977" s="55"/>
      <c r="S977" s="55"/>
      <c r="T977" s="55"/>
      <c r="AA977" s="55"/>
      <c r="AB977" s="55"/>
      <c r="AC977" s="55"/>
      <c r="AD977" s="55"/>
      <c r="AE977" s="55"/>
      <c r="AF977" s="55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1:53" ht="15.75" x14ac:dyDescent="0.25">
      <c r="A978" s="18"/>
      <c r="B978" t="s">
        <v>39</v>
      </c>
      <c r="C978" s="55"/>
      <c r="D978" s="55"/>
      <c r="E978" s="55"/>
      <c r="F978" s="55"/>
      <c r="H978" s="55"/>
      <c r="J978" s="55" t="s">
        <v>15</v>
      </c>
      <c r="K978" s="19">
        <v>1</v>
      </c>
      <c r="N978" t="s">
        <v>39</v>
      </c>
      <c r="O978" s="55"/>
      <c r="P978" s="55"/>
      <c r="Q978" s="55"/>
      <c r="R978" s="55"/>
      <c r="S978" s="55"/>
      <c r="T978" s="55"/>
      <c r="V978" s="55" t="s">
        <v>15</v>
      </c>
      <c r="W978" s="19">
        <v>2</v>
      </c>
      <c r="Z978" t="s">
        <v>39</v>
      </c>
      <c r="AA978" s="55"/>
      <c r="AB978" s="55"/>
      <c r="AC978" s="55"/>
      <c r="AD978" s="55"/>
      <c r="AE978" s="55"/>
      <c r="AF978" s="55"/>
      <c r="AH978" s="55" t="s">
        <v>15</v>
      </c>
      <c r="AI978" s="20">
        <v>3</v>
      </c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1:53" x14ac:dyDescent="0.25">
      <c r="A979" s="18"/>
      <c r="B979" s="21" t="s">
        <v>89</v>
      </c>
      <c r="C979" s="20"/>
      <c r="D979" s="55"/>
      <c r="E979" s="55"/>
      <c r="F979" s="55"/>
      <c r="H979" s="55"/>
      <c r="J979" s="22" t="s">
        <v>16</v>
      </c>
      <c r="K979" s="23" t="s">
        <v>35</v>
      </c>
      <c r="L979" s="24"/>
      <c r="N979" s="21" t="s">
        <v>89</v>
      </c>
      <c r="O979" s="20"/>
      <c r="P979" s="55"/>
      <c r="Q979" s="55"/>
      <c r="R979" s="55"/>
      <c r="S979" s="55"/>
      <c r="T979" s="55"/>
      <c r="V979" s="22" t="s">
        <v>16</v>
      </c>
      <c r="W979" s="23" t="s">
        <v>82</v>
      </c>
      <c r="X979" s="24"/>
      <c r="Z979" s="21" t="s">
        <v>89</v>
      </c>
      <c r="AA979" s="20"/>
      <c r="AB979" s="55"/>
      <c r="AC979" s="55"/>
      <c r="AD979" s="55"/>
      <c r="AE979" s="55"/>
      <c r="AF979" s="55"/>
      <c r="AH979" s="22" t="s">
        <v>16</v>
      </c>
      <c r="AI979" s="23" t="s">
        <v>41</v>
      </c>
      <c r="AJ979" s="24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1:53" x14ac:dyDescent="0.25">
      <c r="A980" s="18"/>
      <c r="C980" s="55"/>
      <c r="D980" s="55"/>
      <c r="E980" s="55"/>
      <c r="F980" s="55"/>
      <c r="H980" s="55"/>
      <c r="O980" s="55"/>
      <c r="P980" s="55"/>
      <c r="Q980" s="55"/>
      <c r="R980" s="55"/>
      <c r="S980" s="55"/>
      <c r="T980" s="55"/>
      <c r="AA980" s="55"/>
      <c r="AB980" s="55"/>
      <c r="AC980" s="55"/>
      <c r="AD980" s="55"/>
      <c r="AE980" s="55"/>
      <c r="AF980" s="55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1:53" x14ac:dyDescent="0.25">
      <c r="A981" s="18"/>
      <c r="C981" s="25"/>
      <c r="D981" s="26"/>
      <c r="E981" s="119" t="s">
        <v>17</v>
      </c>
      <c r="F981" s="119"/>
      <c r="G981" s="110"/>
      <c r="H981" s="27"/>
      <c r="J981" s="120" t="s">
        <v>18</v>
      </c>
      <c r="K981" s="121"/>
      <c r="L981" s="115" t="s">
        <v>19</v>
      </c>
      <c r="O981" s="25"/>
      <c r="P981" s="26"/>
      <c r="Q981" s="119" t="s">
        <v>17</v>
      </c>
      <c r="R981" s="119"/>
      <c r="S981" s="110"/>
      <c r="T981" s="27"/>
      <c r="V981" s="120" t="s">
        <v>18</v>
      </c>
      <c r="W981" s="121"/>
      <c r="X981" s="115" t="s">
        <v>19</v>
      </c>
      <c r="AA981" s="25"/>
      <c r="AB981" s="26"/>
      <c r="AC981" s="119" t="s">
        <v>17</v>
      </c>
      <c r="AD981" s="119"/>
      <c r="AE981" s="110"/>
      <c r="AF981" s="27"/>
      <c r="AH981" s="120" t="s">
        <v>18</v>
      </c>
      <c r="AI981" s="121"/>
      <c r="AJ981" s="115" t="s">
        <v>19</v>
      </c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1:53" ht="30" x14ac:dyDescent="0.25">
      <c r="A982" s="18"/>
      <c r="C982" s="28" t="s">
        <v>20</v>
      </c>
      <c r="D982" s="28" t="s">
        <v>21</v>
      </c>
      <c r="E982" s="74" t="s">
        <v>22</v>
      </c>
      <c r="F982" s="75" t="s">
        <v>23</v>
      </c>
      <c r="G982" s="75" t="s">
        <v>31</v>
      </c>
      <c r="H982" s="75" t="s">
        <v>24</v>
      </c>
      <c r="J982" s="29" t="s">
        <v>25</v>
      </c>
      <c r="K982" s="29" t="s">
        <v>26</v>
      </c>
      <c r="L982" s="116"/>
      <c r="O982" s="28" t="s">
        <v>20</v>
      </c>
      <c r="P982" s="28" t="s">
        <v>21</v>
      </c>
      <c r="Q982" s="74" t="s">
        <v>22</v>
      </c>
      <c r="R982" s="75" t="s">
        <v>23</v>
      </c>
      <c r="S982" s="75" t="s">
        <v>31</v>
      </c>
      <c r="T982" s="75" t="s">
        <v>24</v>
      </c>
      <c r="V982" s="29" t="s">
        <v>25</v>
      </c>
      <c r="W982" s="29" t="s">
        <v>26</v>
      </c>
      <c r="X982" s="116"/>
      <c r="AA982" s="28" t="s">
        <v>20</v>
      </c>
      <c r="AB982" s="28" t="s">
        <v>21</v>
      </c>
      <c r="AC982" s="74" t="s">
        <v>22</v>
      </c>
      <c r="AD982" s="75" t="s">
        <v>23</v>
      </c>
      <c r="AE982" s="75" t="s">
        <v>31</v>
      </c>
      <c r="AF982" s="75" t="s">
        <v>24</v>
      </c>
      <c r="AH982" s="29" t="s">
        <v>25</v>
      </c>
      <c r="AI982" s="29" t="s">
        <v>26</v>
      </c>
      <c r="AJ982" s="116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1:53" x14ac:dyDescent="0.25">
      <c r="A983" s="18"/>
      <c r="B983" s="10">
        <v>1</v>
      </c>
      <c r="C983" s="30" t="s">
        <v>90</v>
      </c>
      <c r="D983" s="80">
        <v>12051</v>
      </c>
      <c r="E983" s="32">
        <f>650*630+622*18+229*25</f>
        <v>426421</v>
      </c>
      <c r="F983" s="32">
        <f>-648*6</f>
        <v>-3888</v>
      </c>
      <c r="G983" s="32"/>
      <c r="H983" s="32">
        <f>SUM(E983:F983)</f>
        <v>422533</v>
      </c>
      <c r="I983" s="12"/>
      <c r="J983" s="12">
        <f>111*507+78*25</f>
        <v>58227</v>
      </c>
      <c r="K983" s="12"/>
      <c r="L983" s="12">
        <f>SUM(H983:K983)</f>
        <v>480760</v>
      </c>
      <c r="N983" s="10">
        <v>1</v>
      </c>
      <c r="O983" s="30" t="s">
        <v>90</v>
      </c>
      <c r="P983" s="80">
        <v>11974</v>
      </c>
      <c r="Q983" s="32">
        <f>650*4</f>
        <v>2600</v>
      </c>
      <c r="R983" s="32"/>
      <c r="S983" s="32"/>
      <c r="T983" s="32">
        <f>SUM(Q983:R983)</f>
        <v>2600</v>
      </c>
      <c r="U983" s="12"/>
      <c r="V983" s="12"/>
      <c r="W983" s="12">
        <f>-111*4</f>
        <v>-444</v>
      </c>
      <c r="X983" s="12">
        <f>SUM(T983:W983)</f>
        <v>2156</v>
      </c>
      <c r="Z983" s="10">
        <v>1</v>
      </c>
      <c r="AA983" s="30" t="s">
        <v>90</v>
      </c>
      <c r="AB983" s="31">
        <v>12005</v>
      </c>
      <c r="AC983" s="32">
        <f>650*40+622*10</f>
        <v>32220</v>
      </c>
      <c r="AD983" s="32">
        <f>-50*6</f>
        <v>-300</v>
      </c>
      <c r="AE983" s="32"/>
      <c r="AF983" s="32">
        <f>SUM(AC983:AD983)</f>
        <v>31920</v>
      </c>
      <c r="AG983" s="12"/>
      <c r="AH983" s="12"/>
      <c r="AI983" s="12"/>
      <c r="AJ983" s="12">
        <f>SUM(AF983:AI983)</f>
        <v>31920</v>
      </c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1:53" x14ac:dyDescent="0.25">
      <c r="A984" s="18"/>
      <c r="B984" s="10">
        <v>2</v>
      </c>
      <c r="C984" s="30" t="s">
        <v>90</v>
      </c>
      <c r="D984" s="80">
        <f>D983+1</f>
        <v>12052</v>
      </c>
      <c r="E984" s="32">
        <f>650*60+670+622*9</f>
        <v>45268</v>
      </c>
      <c r="F984" s="32"/>
      <c r="G984" s="32"/>
      <c r="H984" s="32">
        <f t="shared" ref="H984:H1021" si="206">SUM(E984:F984)</f>
        <v>45268</v>
      </c>
      <c r="I984" s="12"/>
      <c r="J984" s="12"/>
      <c r="K984" s="12">
        <f>-111*30</f>
        <v>-3330</v>
      </c>
      <c r="L984" s="12">
        <f t="shared" ref="L984:L1024" si="207">SUM(H984:K984)</f>
        <v>41938</v>
      </c>
      <c r="N984" s="10">
        <v>2</v>
      </c>
      <c r="O984" s="30" t="s">
        <v>90</v>
      </c>
      <c r="P984" s="80">
        <f>P983+1</f>
        <v>11975</v>
      </c>
      <c r="Q984" s="32">
        <f>650*20</f>
        <v>13000</v>
      </c>
      <c r="R984" s="32"/>
      <c r="S984" s="32"/>
      <c r="T984" s="32">
        <f t="shared" ref="T984:T1021" si="208">SUM(Q984:R984)</f>
        <v>13000</v>
      </c>
      <c r="U984" s="12"/>
      <c r="V984" s="12">
        <f>111*9</f>
        <v>999</v>
      </c>
      <c r="W984" s="12"/>
      <c r="X984" s="12">
        <f t="shared" ref="X984:X1024" si="209">SUM(T984:W984)</f>
        <v>13999</v>
      </c>
      <c r="Z984" s="10">
        <v>2</v>
      </c>
      <c r="AA984" s="30" t="s">
        <v>90</v>
      </c>
      <c r="AB984" s="31">
        <f>AB983+1</f>
        <v>12006</v>
      </c>
      <c r="AC984" s="32">
        <f>670*2</f>
        <v>1340</v>
      </c>
      <c r="AD984" s="32"/>
      <c r="AE984" s="32"/>
      <c r="AF984" s="32">
        <f t="shared" ref="AF984:AF1021" si="210">SUM(AC984:AD984)</f>
        <v>1340</v>
      </c>
      <c r="AG984" s="12"/>
      <c r="AH984" s="12"/>
      <c r="AI984" s="12"/>
      <c r="AJ984" s="12">
        <f t="shared" ref="AJ984:AJ1024" si="211">SUM(AF984:AI984)</f>
        <v>1340</v>
      </c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1:53" x14ac:dyDescent="0.25">
      <c r="A985" s="18"/>
      <c r="B985" s="10">
        <v>3</v>
      </c>
      <c r="C985" s="30" t="s">
        <v>90</v>
      </c>
      <c r="D985" s="80">
        <f t="shared" ref="D985" si="212">D984+1</f>
        <v>12053</v>
      </c>
      <c r="E985" s="33">
        <f>650*216+670*20+229*8</f>
        <v>155632</v>
      </c>
      <c r="F985" s="33">
        <f>-236*6</f>
        <v>-1416</v>
      </c>
      <c r="G985" s="32"/>
      <c r="H985" s="32">
        <f t="shared" si="206"/>
        <v>154216</v>
      </c>
      <c r="I985" s="12"/>
      <c r="J985" s="34"/>
      <c r="K985" s="34">
        <f>-720+-13431+-78+-420+-630+-24+-18</f>
        <v>-15321</v>
      </c>
      <c r="L985" s="12">
        <f t="shared" si="207"/>
        <v>138895</v>
      </c>
      <c r="N985" s="10">
        <v>3</v>
      </c>
      <c r="O985" s="30" t="s">
        <v>90</v>
      </c>
      <c r="P985" s="80">
        <f t="shared" ref="P985:P988" si="213">P984+1</f>
        <v>11976</v>
      </c>
      <c r="Q985" s="33">
        <f>650*216+229*6</f>
        <v>141774</v>
      </c>
      <c r="R985" s="33">
        <f>-216*6</f>
        <v>-1296</v>
      </c>
      <c r="S985" s="32"/>
      <c r="T985" s="32">
        <f t="shared" si="208"/>
        <v>140478</v>
      </c>
      <c r="U985" s="12"/>
      <c r="V985" s="34">
        <f>1.5*96</f>
        <v>144</v>
      </c>
      <c r="W985" s="34"/>
      <c r="X985" s="12">
        <f t="shared" si="209"/>
        <v>140622</v>
      </c>
      <c r="Z985" s="10">
        <v>3</v>
      </c>
      <c r="AA985" s="30" t="s">
        <v>90</v>
      </c>
      <c r="AB985" s="31">
        <f t="shared" ref="AB985:AB991" si="214">AB984+1</f>
        <v>12007</v>
      </c>
      <c r="AC985" s="33">
        <f>650*57+622*14+229</f>
        <v>45987</v>
      </c>
      <c r="AD985" s="33"/>
      <c r="AE985" s="32"/>
      <c r="AF985" s="32">
        <f t="shared" si="210"/>
        <v>45987</v>
      </c>
      <c r="AG985" s="12"/>
      <c r="AH985" s="12">
        <f>78</f>
        <v>78</v>
      </c>
      <c r="AI985" s="12"/>
      <c r="AJ985" s="12">
        <f t="shared" si="211"/>
        <v>46065</v>
      </c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1:53" x14ac:dyDescent="0.25">
      <c r="A986" s="18"/>
      <c r="B986" s="10">
        <v>4</v>
      </c>
      <c r="C986" s="30"/>
      <c r="D986" s="11" t="s">
        <v>27</v>
      </c>
      <c r="E986" s="32"/>
      <c r="F986" s="32"/>
      <c r="G986" s="32"/>
      <c r="H986" s="32">
        <f t="shared" si="206"/>
        <v>0</v>
      </c>
      <c r="I986" s="12"/>
      <c r="J986" s="12"/>
      <c r="K986" s="12"/>
      <c r="L986" s="12">
        <f t="shared" si="207"/>
        <v>0</v>
      </c>
      <c r="N986" s="10">
        <v>4</v>
      </c>
      <c r="O986" s="30" t="s">
        <v>90</v>
      </c>
      <c r="P986" s="80">
        <f t="shared" si="213"/>
        <v>11977</v>
      </c>
      <c r="Q986" s="32">
        <f>650*4+9.5*4</f>
        <v>2638</v>
      </c>
      <c r="R986" s="32"/>
      <c r="S986" s="32"/>
      <c r="T986" s="32">
        <f t="shared" si="208"/>
        <v>2638</v>
      </c>
      <c r="U986" s="12"/>
      <c r="V986" s="12"/>
      <c r="W986" s="12"/>
      <c r="X986" s="12">
        <f t="shared" si="209"/>
        <v>2638</v>
      </c>
      <c r="Z986" s="10">
        <v>4</v>
      </c>
      <c r="AA986" s="30" t="s">
        <v>90</v>
      </c>
      <c r="AB986" s="31">
        <f t="shared" si="214"/>
        <v>12008</v>
      </c>
      <c r="AC986" s="32">
        <f>650*65+622*15+229*2</f>
        <v>52038</v>
      </c>
      <c r="AD986" s="32"/>
      <c r="AE986" s="32"/>
      <c r="AF986" s="32">
        <f t="shared" si="210"/>
        <v>52038</v>
      </c>
      <c r="AG986" s="12"/>
      <c r="AH986">
        <f>4.5*24</f>
        <v>108</v>
      </c>
      <c r="AI986" s="12"/>
      <c r="AJ986" s="12">
        <f t="shared" si="211"/>
        <v>52146</v>
      </c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1:53" x14ac:dyDescent="0.25">
      <c r="A987" s="18"/>
      <c r="B987" s="10">
        <v>5</v>
      </c>
      <c r="C987" s="30"/>
      <c r="D987" s="80"/>
      <c r="E987" s="32"/>
      <c r="F987" s="32"/>
      <c r="G987" s="32"/>
      <c r="H987" s="32">
        <f t="shared" si="206"/>
        <v>0</v>
      </c>
      <c r="I987" s="12"/>
      <c r="J987" s="12"/>
      <c r="K987" s="12"/>
      <c r="L987" s="12">
        <f t="shared" si="207"/>
        <v>0</v>
      </c>
      <c r="N987" s="10">
        <v>5</v>
      </c>
      <c r="O987" s="30" t="s">
        <v>90</v>
      </c>
      <c r="P987" s="80">
        <f t="shared" si="213"/>
        <v>11978</v>
      </c>
      <c r="Q987" s="32">
        <f>650*125+622*15+229*5+650*2</f>
        <v>93025</v>
      </c>
      <c r="R987" s="32">
        <f>-142*6</f>
        <v>-852</v>
      </c>
      <c r="S987" s="32"/>
      <c r="T987" s="32">
        <f t="shared" si="208"/>
        <v>92173</v>
      </c>
      <c r="U987" s="12"/>
      <c r="V987" s="12">
        <f>1.5*48</f>
        <v>72</v>
      </c>
      <c r="W987" s="12"/>
      <c r="X987" s="12">
        <f t="shared" si="209"/>
        <v>92245</v>
      </c>
      <c r="Z987" s="10">
        <v>5</v>
      </c>
      <c r="AA987" s="30" t="s">
        <v>90</v>
      </c>
      <c r="AB987" s="31">
        <f t="shared" si="214"/>
        <v>12009</v>
      </c>
      <c r="AC987" s="32">
        <f>650*216+622*66+229*6</f>
        <v>182826</v>
      </c>
      <c r="AD987" s="32">
        <f>-282*6</f>
        <v>-1692</v>
      </c>
      <c r="AE987" s="32"/>
      <c r="AF987" s="32">
        <f t="shared" si="210"/>
        <v>181134</v>
      </c>
      <c r="AG987" s="12"/>
      <c r="AH987" s="12">
        <f>111*27</f>
        <v>2997</v>
      </c>
      <c r="AI987" s="12"/>
      <c r="AJ987" s="12">
        <f t="shared" si="211"/>
        <v>184131</v>
      </c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1:53" x14ac:dyDescent="0.25">
      <c r="A988" s="18"/>
      <c r="B988" s="10">
        <v>6</v>
      </c>
      <c r="C988" s="30"/>
      <c r="D988" s="80"/>
      <c r="E988" s="32"/>
      <c r="F988" s="32"/>
      <c r="G988" s="32"/>
      <c r="H988" s="32">
        <f t="shared" si="206"/>
        <v>0</v>
      </c>
      <c r="I988" s="12"/>
      <c r="J988" s="12"/>
      <c r="K988" s="10"/>
      <c r="L988" s="12">
        <f t="shared" si="207"/>
        <v>0</v>
      </c>
      <c r="N988" s="10">
        <v>6</v>
      </c>
      <c r="O988" s="30" t="s">
        <v>90</v>
      </c>
      <c r="P988" s="80">
        <f t="shared" si="213"/>
        <v>11979</v>
      </c>
      <c r="Q988" s="32">
        <f>650*2</f>
        <v>1300</v>
      </c>
      <c r="R988" s="32"/>
      <c r="S988" s="32"/>
      <c r="T988" s="32">
        <f t="shared" si="208"/>
        <v>1300</v>
      </c>
      <c r="U988" s="12"/>
      <c r="V988" s="12"/>
      <c r="W988" s="10"/>
      <c r="X988" s="12">
        <f t="shared" si="209"/>
        <v>1300</v>
      </c>
      <c r="Z988" s="10">
        <v>6</v>
      </c>
      <c r="AA988" s="30" t="s">
        <v>90</v>
      </c>
      <c r="AB988" s="31">
        <f t="shared" si="214"/>
        <v>12010</v>
      </c>
      <c r="AC988" s="32">
        <f>670*13</f>
        <v>8710</v>
      </c>
      <c r="AD988" s="32">
        <f>-13*6</f>
        <v>-78</v>
      </c>
      <c r="AE988" s="32"/>
      <c r="AF988" s="32">
        <f t="shared" si="210"/>
        <v>8632</v>
      </c>
      <c r="AG988" s="12"/>
      <c r="AH988" s="12"/>
      <c r="AI988" s="10"/>
      <c r="AJ988" s="12">
        <f t="shared" si="211"/>
        <v>8632</v>
      </c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1:53" x14ac:dyDescent="0.25">
      <c r="A989" s="18"/>
      <c r="B989" s="10">
        <v>7</v>
      </c>
      <c r="C989" s="30"/>
      <c r="E989" s="32"/>
      <c r="F989" s="32"/>
      <c r="G989" s="32"/>
      <c r="H989" s="32">
        <f t="shared" si="206"/>
        <v>0</v>
      </c>
      <c r="I989" s="12"/>
      <c r="J989" s="12"/>
      <c r="K989" s="12"/>
      <c r="L989" s="12">
        <f t="shared" si="207"/>
        <v>0</v>
      </c>
      <c r="N989" s="10">
        <v>7</v>
      </c>
      <c r="O989" s="30"/>
      <c r="P989" s="11" t="s">
        <v>27</v>
      </c>
      <c r="Q989" s="32"/>
      <c r="R989" s="32"/>
      <c r="S989" s="32"/>
      <c r="T989" s="32">
        <f t="shared" si="208"/>
        <v>0</v>
      </c>
      <c r="U989" s="12"/>
      <c r="V989" s="12"/>
      <c r="W989" s="12"/>
      <c r="X989" s="12">
        <f t="shared" si="209"/>
        <v>0</v>
      </c>
      <c r="Z989" s="10">
        <v>7</v>
      </c>
      <c r="AA989" s="30" t="s">
        <v>90</v>
      </c>
      <c r="AB989" s="31">
        <f t="shared" si="214"/>
        <v>12011</v>
      </c>
      <c r="AC989" s="32">
        <f>650*58+622*2+912*3+229*2</f>
        <v>42138</v>
      </c>
      <c r="AD989" s="32">
        <f>-63*6</f>
        <v>-378</v>
      </c>
      <c r="AE989" s="32"/>
      <c r="AF989" s="32">
        <f t="shared" si="210"/>
        <v>41760</v>
      </c>
      <c r="AG989" s="12"/>
      <c r="AH989" s="56"/>
      <c r="AI989" s="12"/>
      <c r="AJ989" s="12">
        <f t="shared" si="211"/>
        <v>41760</v>
      </c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1:53" x14ac:dyDescent="0.25">
      <c r="A990" s="18"/>
      <c r="B990" s="10">
        <v>8</v>
      </c>
      <c r="C990" s="30"/>
      <c r="E990" s="32"/>
      <c r="F990" s="32"/>
      <c r="G990" s="32"/>
      <c r="H990" s="32">
        <f t="shared" si="206"/>
        <v>0</v>
      </c>
      <c r="I990" s="12"/>
      <c r="J990" s="12"/>
      <c r="K990" s="12"/>
      <c r="L990" s="12">
        <f t="shared" si="207"/>
        <v>0</v>
      </c>
      <c r="N990" s="10">
        <v>8</v>
      </c>
      <c r="O990" s="30"/>
      <c r="P990" s="80"/>
      <c r="Q990" s="32"/>
      <c r="R990" s="32"/>
      <c r="S990" s="32"/>
      <c r="T990" s="32">
        <f t="shared" si="208"/>
        <v>0</v>
      </c>
      <c r="U990" s="12"/>
      <c r="V990" s="12"/>
      <c r="W990" s="12"/>
      <c r="X990" s="12">
        <f t="shared" si="209"/>
        <v>0</v>
      </c>
      <c r="Z990" s="10">
        <v>8</v>
      </c>
      <c r="AA990" s="30" t="s">
        <v>90</v>
      </c>
      <c r="AB990" s="31">
        <f t="shared" si="214"/>
        <v>12012</v>
      </c>
      <c r="AC990" s="32">
        <f>650*108+229*4</f>
        <v>71116</v>
      </c>
      <c r="AD990" s="32">
        <f>-108*6</f>
        <v>-648</v>
      </c>
      <c r="AF990" s="32">
        <f t="shared" si="210"/>
        <v>70468</v>
      </c>
      <c r="AG990" s="12"/>
      <c r="AH990" s="12"/>
      <c r="AI990" s="12"/>
      <c r="AJ990" s="12">
        <f t="shared" si="211"/>
        <v>70468</v>
      </c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1:53" x14ac:dyDescent="0.25">
      <c r="A991" s="18"/>
      <c r="B991" s="10">
        <v>9</v>
      </c>
      <c r="C991" s="30"/>
      <c r="D991" s="80"/>
      <c r="E991" s="32"/>
      <c r="F991" s="32"/>
      <c r="G991" s="32"/>
      <c r="H991" s="32">
        <f t="shared" si="206"/>
        <v>0</v>
      </c>
      <c r="I991" s="12"/>
      <c r="J991" s="12"/>
      <c r="K991" s="12"/>
      <c r="L991" s="12">
        <f t="shared" si="207"/>
        <v>0</v>
      </c>
      <c r="N991" s="10">
        <v>9</v>
      </c>
      <c r="O991" s="30"/>
      <c r="Q991" s="32"/>
      <c r="R991" s="32"/>
      <c r="S991" s="32"/>
      <c r="T991" s="32">
        <f t="shared" si="208"/>
        <v>0</v>
      </c>
      <c r="U991" s="12"/>
      <c r="V991" s="12"/>
      <c r="W991" s="12"/>
      <c r="X991" s="12">
        <f t="shared" si="209"/>
        <v>0</v>
      </c>
      <c r="Z991" s="10">
        <v>9</v>
      </c>
      <c r="AA991" s="30" t="s">
        <v>90</v>
      </c>
      <c r="AB991" s="31">
        <f t="shared" si="214"/>
        <v>12013</v>
      </c>
      <c r="AC991" s="32">
        <f>650*13</f>
        <v>8450</v>
      </c>
      <c r="AD991" s="32"/>
      <c r="AE991" s="32"/>
      <c r="AF991" s="32">
        <f t="shared" si="210"/>
        <v>8450</v>
      </c>
      <c r="AG991" s="12"/>
      <c r="AI991" s="12">
        <f>-111*6</f>
        <v>-666</v>
      </c>
      <c r="AJ991" s="12">
        <f t="shared" si="211"/>
        <v>7784</v>
      </c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1:53" x14ac:dyDescent="0.25">
      <c r="A992" s="18"/>
      <c r="B992" s="10">
        <v>10</v>
      </c>
      <c r="C992" s="30"/>
      <c r="D992" s="80"/>
      <c r="E992" s="32"/>
      <c r="F992" s="32"/>
      <c r="G992" s="32"/>
      <c r="H992" s="32">
        <f t="shared" si="206"/>
        <v>0</v>
      </c>
      <c r="I992" s="12"/>
      <c r="J992" s="12"/>
      <c r="K992" s="12"/>
      <c r="L992" s="12">
        <f t="shared" si="207"/>
        <v>0</v>
      </c>
      <c r="N992" s="10">
        <v>10</v>
      </c>
      <c r="O992" s="30"/>
      <c r="P992" s="80"/>
      <c r="Q992" s="32"/>
      <c r="R992" s="32"/>
      <c r="S992" s="32"/>
      <c r="T992" s="32">
        <f t="shared" si="208"/>
        <v>0</v>
      </c>
      <c r="U992" s="12"/>
      <c r="V992" s="12"/>
      <c r="W992" s="12"/>
      <c r="X992" s="12">
        <f t="shared" si="209"/>
        <v>0</v>
      </c>
      <c r="Z992" s="10">
        <v>10</v>
      </c>
      <c r="AA992" s="30"/>
      <c r="AB992" s="11" t="s">
        <v>27</v>
      </c>
      <c r="AC992" s="32"/>
      <c r="AD992" s="32"/>
      <c r="AE992" s="32"/>
      <c r="AF992" s="32">
        <f t="shared" si="210"/>
        <v>0</v>
      </c>
      <c r="AG992" s="12"/>
      <c r="AH992" s="12"/>
      <c r="AI992" s="12"/>
      <c r="AJ992" s="12">
        <f t="shared" si="211"/>
        <v>0</v>
      </c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1:53" x14ac:dyDescent="0.25">
      <c r="A993" s="18"/>
      <c r="B993" s="10">
        <v>11</v>
      </c>
      <c r="C993" s="30"/>
      <c r="D993" s="80"/>
      <c r="E993" s="32"/>
      <c r="F993" s="32"/>
      <c r="G993" s="32"/>
      <c r="H993" s="32">
        <f t="shared" si="206"/>
        <v>0</v>
      </c>
      <c r="I993" s="12"/>
      <c r="J993" s="12"/>
      <c r="K993" s="12"/>
      <c r="L993" s="12">
        <f t="shared" si="207"/>
        <v>0</v>
      </c>
      <c r="N993" s="10">
        <v>11</v>
      </c>
      <c r="O993" s="30"/>
      <c r="P993" s="80"/>
      <c r="Q993" s="32"/>
      <c r="R993" s="32"/>
      <c r="S993" s="32"/>
      <c r="T993" s="32">
        <f t="shared" si="208"/>
        <v>0</v>
      </c>
      <c r="U993" s="12"/>
      <c r="V993" s="12"/>
      <c r="W993" s="12"/>
      <c r="X993" s="12">
        <f t="shared" si="209"/>
        <v>0</v>
      </c>
      <c r="Z993" s="10">
        <v>11</v>
      </c>
      <c r="AA993" s="30"/>
      <c r="AB993" s="31"/>
      <c r="AC993" s="32"/>
      <c r="AD993" s="32"/>
      <c r="AE993" s="32"/>
      <c r="AF993" s="32">
        <f t="shared" si="210"/>
        <v>0</v>
      </c>
      <c r="AG993" s="12"/>
      <c r="AH993" s="12"/>
      <c r="AI993" s="12"/>
      <c r="AJ993" s="12">
        <f t="shared" si="211"/>
        <v>0</v>
      </c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1:53" x14ac:dyDescent="0.25">
      <c r="A994" s="18"/>
      <c r="B994" s="10">
        <v>12</v>
      </c>
      <c r="C994" s="30"/>
      <c r="D994" s="55"/>
      <c r="E994" s="32"/>
      <c r="F994" s="32"/>
      <c r="G994" s="32"/>
      <c r="H994" s="32">
        <f t="shared" si="206"/>
        <v>0</v>
      </c>
      <c r="I994" s="12"/>
      <c r="J994" s="12"/>
      <c r="K994" s="12"/>
      <c r="L994" s="12">
        <f t="shared" si="207"/>
        <v>0</v>
      </c>
      <c r="N994" s="10">
        <v>12</v>
      </c>
      <c r="O994" s="30"/>
      <c r="P994" s="80"/>
      <c r="Q994" s="32"/>
      <c r="R994" s="32"/>
      <c r="S994" s="32"/>
      <c r="T994" s="32">
        <f t="shared" si="208"/>
        <v>0</v>
      </c>
      <c r="U994" s="12"/>
      <c r="V994" s="12"/>
      <c r="W994" s="12"/>
      <c r="X994" s="12">
        <f t="shared" si="209"/>
        <v>0</v>
      </c>
      <c r="Z994" s="10">
        <v>12</v>
      </c>
      <c r="AA994" s="30"/>
      <c r="AB994" s="31"/>
      <c r="AC994" s="32"/>
      <c r="AD994" s="32"/>
      <c r="AE994" s="32"/>
      <c r="AF994" s="32">
        <f t="shared" si="210"/>
        <v>0</v>
      </c>
      <c r="AG994" s="12"/>
      <c r="AH994" s="12"/>
      <c r="AI994" s="12"/>
      <c r="AJ994" s="12">
        <f t="shared" si="211"/>
        <v>0</v>
      </c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1:53" x14ac:dyDescent="0.25">
      <c r="A995" s="18"/>
      <c r="B995" s="10">
        <v>13</v>
      </c>
      <c r="C995" s="30"/>
      <c r="D995" s="80"/>
      <c r="E995" s="32"/>
      <c r="F995" s="32"/>
      <c r="G995" s="32"/>
      <c r="H995" s="32">
        <f t="shared" si="206"/>
        <v>0</v>
      </c>
      <c r="I995" s="12"/>
      <c r="J995" s="12"/>
      <c r="K995" s="12"/>
      <c r="L995" s="12">
        <f t="shared" si="207"/>
        <v>0</v>
      </c>
      <c r="N995" s="10">
        <v>13</v>
      </c>
      <c r="O995" s="30"/>
      <c r="P995" s="80"/>
      <c r="Q995" s="32"/>
      <c r="R995" s="32"/>
      <c r="S995" s="32"/>
      <c r="T995" s="32">
        <f t="shared" si="208"/>
        <v>0</v>
      </c>
      <c r="U995" s="12"/>
      <c r="V995" s="12"/>
      <c r="W995" s="12"/>
      <c r="X995" s="12">
        <f t="shared" si="209"/>
        <v>0</v>
      </c>
      <c r="Z995" s="10">
        <v>13</v>
      </c>
      <c r="AA995" s="30"/>
      <c r="AB995" s="31"/>
      <c r="AC995" s="32"/>
      <c r="AD995" s="32"/>
      <c r="AE995" s="32"/>
      <c r="AF995" s="32">
        <f t="shared" si="210"/>
        <v>0</v>
      </c>
      <c r="AG995" s="12"/>
      <c r="AH995" s="12"/>
      <c r="AI995" s="12"/>
      <c r="AJ995" s="12">
        <f t="shared" si="211"/>
        <v>0</v>
      </c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1:53" x14ac:dyDescent="0.25">
      <c r="A996" s="18"/>
      <c r="B996" s="10">
        <v>14</v>
      </c>
      <c r="C996" s="30"/>
      <c r="D996" s="80"/>
      <c r="E996" s="32"/>
      <c r="F996" s="32"/>
      <c r="G996" s="32"/>
      <c r="H996" s="32">
        <f t="shared" si="206"/>
        <v>0</v>
      </c>
      <c r="I996" s="12"/>
      <c r="J996" s="12"/>
      <c r="K996" s="12"/>
      <c r="L996" s="12">
        <f t="shared" si="207"/>
        <v>0</v>
      </c>
      <c r="N996" s="10">
        <v>14</v>
      </c>
      <c r="O996" s="30"/>
      <c r="P996" s="80"/>
      <c r="Q996" s="32"/>
      <c r="R996" s="32"/>
      <c r="S996" s="32"/>
      <c r="T996" s="32">
        <f t="shared" si="208"/>
        <v>0</v>
      </c>
      <c r="U996" s="12"/>
      <c r="V996" s="12"/>
      <c r="W996" s="12"/>
      <c r="X996" s="12">
        <f t="shared" si="209"/>
        <v>0</v>
      </c>
      <c r="Z996" s="10">
        <v>14</v>
      </c>
      <c r="AA996" s="30"/>
      <c r="AB996" s="31"/>
      <c r="AC996" s="32"/>
      <c r="AD996" s="32"/>
      <c r="AE996" s="32"/>
      <c r="AF996" s="32">
        <f t="shared" si="210"/>
        <v>0</v>
      </c>
      <c r="AG996" s="12"/>
      <c r="AH996" s="12"/>
      <c r="AI996" s="12"/>
      <c r="AJ996" s="12">
        <f t="shared" si="211"/>
        <v>0</v>
      </c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1:53" x14ac:dyDescent="0.25">
      <c r="A997" s="18"/>
      <c r="B997" s="10">
        <v>15</v>
      </c>
      <c r="C997" s="30"/>
      <c r="D997" s="80"/>
      <c r="E997" s="32"/>
      <c r="F997" s="32"/>
      <c r="G997" s="32"/>
      <c r="H997" s="32">
        <f t="shared" si="206"/>
        <v>0</v>
      </c>
      <c r="I997" s="12"/>
      <c r="J997" s="12"/>
      <c r="K997" s="12"/>
      <c r="L997" s="12">
        <f t="shared" si="207"/>
        <v>0</v>
      </c>
      <c r="N997" s="10">
        <v>15</v>
      </c>
      <c r="O997" s="30"/>
      <c r="Q997" s="32"/>
      <c r="R997" s="32"/>
      <c r="S997" s="32"/>
      <c r="T997" s="32">
        <f t="shared" si="208"/>
        <v>0</v>
      </c>
      <c r="U997" s="12"/>
      <c r="V997" s="12"/>
      <c r="W997" s="12"/>
      <c r="X997" s="12">
        <f t="shared" si="209"/>
        <v>0</v>
      </c>
      <c r="Z997" s="10">
        <v>15</v>
      </c>
      <c r="AA997" s="30"/>
      <c r="AB997" s="31"/>
      <c r="AC997" s="32"/>
      <c r="AD997" s="32"/>
      <c r="AE997" s="32"/>
      <c r="AF997" s="32">
        <f t="shared" si="210"/>
        <v>0</v>
      </c>
      <c r="AG997" s="12"/>
      <c r="AH997" s="12"/>
      <c r="AI997" s="12"/>
      <c r="AJ997" s="12">
        <f t="shared" si="211"/>
        <v>0</v>
      </c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1:53" x14ac:dyDescent="0.25">
      <c r="A998" s="18"/>
      <c r="B998" s="10">
        <v>16</v>
      </c>
      <c r="C998" s="30"/>
      <c r="D998" s="11"/>
      <c r="E998" s="32"/>
      <c r="F998" s="32"/>
      <c r="G998" s="32"/>
      <c r="H998" s="32">
        <f t="shared" si="206"/>
        <v>0</v>
      </c>
      <c r="I998" s="12"/>
      <c r="J998" s="12"/>
      <c r="K998" s="12"/>
      <c r="L998" s="12">
        <f t="shared" si="207"/>
        <v>0</v>
      </c>
      <c r="N998" s="10">
        <v>16</v>
      </c>
      <c r="O998" s="30"/>
      <c r="P998" s="80"/>
      <c r="Q998" s="32"/>
      <c r="R998" s="32"/>
      <c r="S998" s="32"/>
      <c r="T998" s="32">
        <f t="shared" si="208"/>
        <v>0</v>
      </c>
      <c r="U998" s="12"/>
      <c r="V998" s="12"/>
      <c r="W998" s="12"/>
      <c r="X998" s="12">
        <f t="shared" si="209"/>
        <v>0</v>
      </c>
      <c r="Z998" s="10">
        <v>16</v>
      </c>
      <c r="AA998" s="30"/>
      <c r="AB998" s="11"/>
      <c r="AC998" s="32"/>
      <c r="AD998" s="32"/>
      <c r="AE998" s="32"/>
      <c r="AF998" s="32">
        <f t="shared" si="210"/>
        <v>0</v>
      </c>
      <c r="AG998" s="12"/>
      <c r="AH998" s="12"/>
      <c r="AI998" s="12"/>
      <c r="AJ998" s="12">
        <f t="shared" si="211"/>
        <v>0</v>
      </c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1:53" x14ac:dyDescent="0.25">
      <c r="A999" s="18"/>
      <c r="B999" s="10">
        <v>17</v>
      </c>
      <c r="C999" s="30"/>
      <c r="D999" s="31"/>
      <c r="E999" s="35"/>
      <c r="F999" s="32"/>
      <c r="G999" s="32"/>
      <c r="H999" s="32">
        <f t="shared" si="206"/>
        <v>0</v>
      </c>
      <c r="I999" s="12"/>
      <c r="J999" s="12"/>
      <c r="K999" s="12"/>
      <c r="L999" s="12">
        <f t="shared" si="207"/>
        <v>0</v>
      </c>
      <c r="N999" s="10">
        <v>17</v>
      </c>
      <c r="O999" s="30"/>
      <c r="Q999" s="35"/>
      <c r="R999" s="32"/>
      <c r="S999" s="32"/>
      <c r="T999" s="32">
        <f t="shared" si="208"/>
        <v>0</v>
      </c>
      <c r="U999" s="12"/>
      <c r="V999" s="12"/>
      <c r="W999" s="12"/>
      <c r="X999" s="12">
        <f t="shared" si="209"/>
        <v>0</v>
      </c>
      <c r="Z999" s="10">
        <v>17</v>
      </c>
      <c r="AA999" s="30"/>
      <c r="AB999" s="31"/>
      <c r="AC999" s="35"/>
      <c r="AD999" s="32"/>
      <c r="AE999" s="32"/>
      <c r="AF999" s="32">
        <f t="shared" si="210"/>
        <v>0</v>
      </c>
      <c r="AG999" s="12"/>
      <c r="AH999" s="12"/>
      <c r="AI999" s="12"/>
      <c r="AJ999" s="12">
        <f t="shared" si="211"/>
        <v>0</v>
      </c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1:53" x14ac:dyDescent="0.25">
      <c r="A1000" s="18"/>
      <c r="B1000" s="10">
        <v>18</v>
      </c>
      <c r="C1000" s="30"/>
      <c r="D1000" s="31"/>
      <c r="E1000" s="32"/>
      <c r="F1000" s="32"/>
      <c r="G1000" s="32"/>
      <c r="H1000" s="32">
        <f t="shared" si="206"/>
        <v>0</v>
      </c>
      <c r="I1000" s="12"/>
      <c r="J1000" s="12"/>
      <c r="K1000" s="12"/>
      <c r="L1000" s="12">
        <f t="shared" si="207"/>
        <v>0</v>
      </c>
      <c r="N1000" s="10">
        <v>18</v>
      </c>
      <c r="O1000" s="30"/>
      <c r="P1000" s="80"/>
      <c r="Q1000" s="32"/>
      <c r="R1000" s="32"/>
      <c r="S1000" s="32"/>
      <c r="T1000" s="32">
        <f t="shared" si="208"/>
        <v>0</v>
      </c>
      <c r="U1000" s="12"/>
      <c r="V1000" s="12"/>
      <c r="W1000" s="12"/>
      <c r="X1000" s="12">
        <f t="shared" si="209"/>
        <v>0</v>
      </c>
      <c r="Z1000" s="10">
        <v>18</v>
      </c>
      <c r="AA1000" s="30"/>
      <c r="AB1000" s="31"/>
      <c r="AC1000" s="32"/>
      <c r="AD1000" s="32"/>
      <c r="AE1000" s="32"/>
      <c r="AF1000" s="32">
        <f t="shared" si="210"/>
        <v>0</v>
      </c>
      <c r="AG1000" s="12"/>
      <c r="AH1000" s="12"/>
      <c r="AI1000" s="12"/>
      <c r="AJ1000" s="12">
        <f t="shared" si="211"/>
        <v>0</v>
      </c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1:53" x14ac:dyDescent="0.25">
      <c r="A1001" s="18"/>
      <c r="B1001" s="10">
        <v>19</v>
      </c>
      <c r="C1001" s="30"/>
      <c r="D1001" s="31"/>
      <c r="E1001" s="32"/>
      <c r="F1001" s="32"/>
      <c r="G1001" s="32"/>
      <c r="H1001" s="32">
        <f t="shared" si="206"/>
        <v>0</v>
      </c>
      <c r="I1001" s="12"/>
      <c r="J1001" s="12"/>
      <c r="K1001" s="12"/>
      <c r="L1001" s="12">
        <f t="shared" si="207"/>
        <v>0</v>
      </c>
      <c r="N1001" s="10">
        <v>19</v>
      </c>
      <c r="O1001" s="30"/>
      <c r="P1001" s="80"/>
      <c r="Q1001" s="32"/>
      <c r="R1001" s="32"/>
      <c r="S1001" s="32"/>
      <c r="T1001" s="32">
        <f t="shared" si="208"/>
        <v>0</v>
      </c>
      <c r="U1001" s="12"/>
      <c r="V1001" s="12"/>
      <c r="W1001" s="12"/>
      <c r="X1001" s="12">
        <f t="shared" si="209"/>
        <v>0</v>
      </c>
      <c r="Z1001" s="10">
        <v>19</v>
      </c>
      <c r="AA1001" s="30"/>
      <c r="AB1001" s="11"/>
      <c r="AC1001" s="32"/>
      <c r="AD1001" s="32"/>
      <c r="AE1001" s="32"/>
      <c r="AF1001" s="32">
        <f t="shared" si="210"/>
        <v>0</v>
      </c>
      <c r="AG1001" s="12"/>
      <c r="AH1001" s="12"/>
      <c r="AI1001" s="12"/>
      <c r="AJ1001" s="12">
        <f t="shared" si="211"/>
        <v>0</v>
      </c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1:53" x14ac:dyDescent="0.25">
      <c r="A1002" s="18"/>
      <c r="B1002" s="10">
        <v>20</v>
      </c>
      <c r="C1002" s="30"/>
      <c r="D1002" s="31"/>
      <c r="E1002" s="32"/>
      <c r="F1002" s="32"/>
      <c r="G1002" s="32"/>
      <c r="H1002" s="32">
        <f t="shared" si="206"/>
        <v>0</v>
      </c>
      <c r="I1002" s="12"/>
      <c r="J1002" s="12"/>
      <c r="K1002" s="12"/>
      <c r="L1002" s="12">
        <f t="shared" si="207"/>
        <v>0</v>
      </c>
      <c r="N1002" s="10">
        <v>20</v>
      </c>
      <c r="O1002" s="30"/>
      <c r="P1002" s="80"/>
      <c r="Q1002" s="32"/>
      <c r="R1002" s="32"/>
      <c r="S1002" s="32"/>
      <c r="T1002" s="32">
        <f t="shared" si="208"/>
        <v>0</v>
      </c>
      <c r="U1002" s="12"/>
      <c r="V1002" s="12"/>
      <c r="W1002" s="12"/>
      <c r="X1002" s="12">
        <f t="shared" si="209"/>
        <v>0</v>
      </c>
      <c r="Z1002" s="10">
        <v>20</v>
      </c>
      <c r="AA1002" s="30"/>
      <c r="AB1002" s="31"/>
      <c r="AC1002" s="32"/>
      <c r="AD1002" s="32"/>
      <c r="AE1002" s="32"/>
      <c r="AF1002" s="32">
        <f t="shared" si="210"/>
        <v>0</v>
      </c>
      <c r="AG1002" s="12"/>
      <c r="AH1002" s="12"/>
      <c r="AI1002" s="12"/>
      <c r="AJ1002" s="12">
        <f t="shared" si="211"/>
        <v>0</v>
      </c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1:53" x14ac:dyDescent="0.25">
      <c r="A1003" s="18"/>
      <c r="B1003" s="10">
        <v>21</v>
      </c>
      <c r="C1003" s="30"/>
      <c r="D1003" s="31"/>
      <c r="E1003" s="44"/>
      <c r="F1003" s="31"/>
      <c r="G1003" s="31"/>
      <c r="H1003" s="32">
        <f t="shared" si="206"/>
        <v>0</v>
      </c>
      <c r="I1003" s="10"/>
      <c r="J1003" s="10"/>
      <c r="K1003" s="10"/>
      <c r="L1003" s="12">
        <f t="shared" si="207"/>
        <v>0</v>
      </c>
      <c r="N1003" s="10">
        <v>21</v>
      </c>
      <c r="O1003" s="30"/>
      <c r="P1003" s="11"/>
      <c r="Q1003" s="44"/>
      <c r="R1003" s="31"/>
      <c r="S1003" s="31"/>
      <c r="T1003" s="32">
        <f t="shared" si="208"/>
        <v>0</v>
      </c>
      <c r="U1003" s="10"/>
      <c r="V1003" s="10"/>
      <c r="W1003" s="10"/>
      <c r="X1003" s="12">
        <f t="shared" si="209"/>
        <v>0</v>
      </c>
      <c r="Z1003" s="10">
        <v>21</v>
      </c>
      <c r="AA1003" s="30"/>
      <c r="AB1003" s="11"/>
      <c r="AC1003" s="44"/>
      <c r="AD1003" s="31"/>
      <c r="AE1003" s="31"/>
      <c r="AF1003" s="32">
        <f t="shared" si="210"/>
        <v>0</v>
      </c>
      <c r="AG1003" s="10"/>
      <c r="AH1003" s="10"/>
      <c r="AI1003" s="10"/>
      <c r="AJ1003" s="12">
        <f t="shared" si="211"/>
        <v>0</v>
      </c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1:53" x14ac:dyDescent="0.25">
      <c r="A1004" s="18"/>
      <c r="B1004" s="10">
        <v>22</v>
      </c>
      <c r="C1004" s="30"/>
      <c r="D1004" s="31"/>
      <c r="E1004" s="43"/>
      <c r="F1004" s="31"/>
      <c r="G1004" s="31"/>
      <c r="H1004" s="32">
        <f t="shared" si="206"/>
        <v>0</v>
      </c>
      <c r="I1004" s="10"/>
      <c r="J1004" s="10"/>
      <c r="K1004" s="10"/>
      <c r="L1004" s="12">
        <f t="shared" si="207"/>
        <v>0</v>
      </c>
      <c r="N1004" s="10">
        <v>22</v>
      </c>
      <c r="O1004" s="30"/>
      <c r="P1004" s="31"/>
      <c r="Q1004" s="43"/>
      <c r="R1004" s="31"/>
      <c r="S1004" s="31"/>
      <c r="T1004" s="32">
        <f t="shared" si="208"/>
        <v>0</v>
      </c>
      <c r="U1004" s="10"/>
      <c r="V1004" s="10"/>
      <c r="W1004" s="10"/>
      <c r="X1004" s="12">
        <f t="shared" si="209"/>
        <v>0</v>
      </c>
      <c r="Z1004" s="10">
        <v>22</v>
      </c>
      <c r="AA1004" s="30"/>
      <c r="AB1004" s="31"/>
      <c r="AC1004" s="43"/>
      <c r="AD1004" s="31"/>
      <c r="AE1004" s="31"/>
      <c r="AF1004" s="32">
        <f t="shared" si="210"/>
        <v>0</v>
      </c>
      <c r="AG1004" s="10"/>
      <c r="AH1004" s="10"/>
      <c r="AI1004" s="10"/>
      <c r="AJ1004" s="12">
        <f t="shared" si="211"/>
        <v>0</v>
      </c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1:53" x14ac:dyDescent="0.25">
      <c r="A1005" s="18"/>
      <c r="B1005" s="10">
        <v>23</v>
      </c>
      <c r="C1005" s="30"/>
      <c r="D1005" s="31"/>
      <c r="E1005" s="45"/>
      <c r="F1005" s="31"/>
      <c r="G1005"/>
      <c r="H1005" s="32">
        <f t="shared" si="206"/>
        <v>0</v>
      </c>
      <c r="I1005" s="10"/>
      <c r="J1005" s="10"/>
      <c r="K1005" s="10"/>
      <c r="L1005" s="12">
        <f t="shared" si="207"/>
        <v>0</v>
      </c>
      <c r="N1005" s="10">
        <v>23</v>
      </c>
      <c r="O1005" s="30"/>
      <c r="P1005" s="31"/>
      <c r="Q1005" s="45"/>
      <c r="T1005" s="32">
        <f t="shared" si="208"/>
        <v>0</v>
      </c>
      <c r="U1005" s="10"/>
      <c r="V1005" s="10"/>
      <c r="W1005" s="10"/>
      <c r="X1005" s="12">
        <f t="shared" si="209"/>
        <v>0</v>
      </c>
      <c r="Z1005" s="10">
        <v>23</v>
      </c>
      <c r="AA1005" s="30"/>
      <c r="AB1005" s="31"/>
      <c r="AC1005" s="45"/>
      <c r="AD1005" s="31"/>
      <c r="AF1005" s="32">
        <f t="shared" si="210"/>
        <v>0</v>
      </c>
      <c r="AG1005" s="10"/>
      <c r="AH1005" s="10"/>
      <c r="AI1005" s="10"/>
      <c r="AJ1005" s="12">
        <f t="shared" si="211"/>
        <v>0</v>
      </c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1:53" x14ac:dyDescent="0.25">
      <c r="A1006" s="18"/>
      <c r="B1006" s="10">
        <v>24</v>
      </c>
      <c r="C1006" s="30"/>
      <c r="D1006" s="31"/>
      <c r="E1006" s="45"/>
      <c r="F1006" s="31"/>
      <c r="G1006" s="31"/>
      <c r="H1006" s="32">
        <f t="shared" si="206"/>
        <v>0</v>
      </c>
      <c r="I1006" s="10"/>
      <c r="J1006" s="10"/>
      <c r="K1006" s="10"/>
      <c r="L1006" s="12">
        <f t="shared" si="207"/>
        <v>0</v>
      </c>
      <c r="N1006" s="10">
        <v>24</v>
      </c>
      <c r="O1006" s="30"/>
      <c r="P1006" s="31"/>
      <c r="Q1006" s="45"/>
      <c r="R1006" s="31"/>
      <c r="S1006" s="31"/>
      <c r="T1006" s="32">
        <f t="shared" si="208"/>
        <v>0</v>
      </c>
      <c r="U1006" s="10"/>
      <c r="V1006" s="10"/>
      <c r="W1006" s="10"/>
      <c r="X1006" s="12">
        <f t="shared" si="209"/>
        <v>0</v>
      </c>
      <c r="Z1006" s="10">
        <v>24</v>
      </c>
      <c r="AA1006" s="30"/>
      <c r="AB1006" s="31"/>
      <c r="AC1006" s="45"/>
      <c r="AD1006" s="31"/>
      <c r="AE1006" s="31"/>
      <c r="AF1006" s="32">
        <f t="shared" si="210"/>
        <v>0</v>
      </c>
      <c r="AG1006" s="10"/>
      <c r="AH1006" s="10"/>
      <c r="AI1006" s="10"/>
      <c r="AJ1006" s="12">
        <f t="shared" si="211"/>
        <v>0</v>
      </c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1:53" x14ac:dyDescent="0.25">
      <c r="A1007" s="18"/>
      <c r="B1007" s="10">
        <v>25</v>
      </c>
      <c r="C1007" s="30"/>
      <c r="D1007" s="31"/>
      <c r="E1007" s="45"/>
      <c r="F1007" s="31"/>
      <c r="G1007" s="31"/>
      <c r="H1007" s="32">
        <f t="shared" si="206"/>
        <v>0</v>
      </c>
      <c r="I1007" s="10"/>
      <c r="J1007" s="10"/>
      <c r="K1007" s="10"/>
      <c r="L1007" s="12">
        <f t="shared" si="207"/>
        <v>0</v>
      </c>
      <c r="N1007" s="10">
        <v>25</v>
      </c>
      <c r="O1007" s="30"/>
      <c r="P1007" s="31"/>
      <c r="Q1007" s="45"/>
      <c r="R1007" s="31"/>
      <c r="S1007" s="31"/>
      <c r="T1007" s="32">
        <f t="shared" si="208"/>
        <v>0</v>
      </c>
      <c r="U1007" s="10"/>
      <c r="V1007" s="10"/>
      <c r="W1007" s="10"/>
      <c r="X1007" s="12">
        <f t="shared" si="209"/>
        <v>0</v>
      </c>
      <c r="Z1007" s="10">
        <v>25</v>
      </c>
      <c r="AA1007" s="30"/>
      <c r="AB1007" s="31"/>
      <c r="AC1007" s="45"/>
      <c r="AD1007" s="31"/>
      <c r="AE1007" s="31"/>
      <c r="AF1007" s="32">
        <f t="shared" si="210"/>
        <v>0</v>
      </c>
      <c r="AG1007" s="10"/>
      <c r="AH1007" s="10"/>
      <c r="AI1007" s="10"/>
      <c r="AJ1007" s="12">
        <f t="shared" si="211"/>
        <v>0</v>
      </c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1:53" x14ac:dyDescent="0.25">
      <c r="A1008" s="18"/>
      <c r="B1008" s="10">
        <v>26</v>
      </c>
      <c r="C1008" s="30"/>
      <c r="D1008" s="31"/>
      <c r="E1008" s="45"/>
      <c r="F1008" s="31"/>
      <c r="G1008" s="31"/>
      <c r="H1008" s="32">
        <f t="shared" si="206"/>
        <v>0</v>
      </c>
      <c r="I1008" s="10"/>
      <c r="J1008" s="10"/>
      <c r="K1008" s="10"/>
      <c r="L1008" s="12">
        <f t="shared" si="207"/>
        <v>0</v>
      </c>
      <c r="N1008" s="10">
        <v>26</v>
      </c>
      <c r="O1008" s="30"/>
      <c r="P1008" s="31"/>
      <c r="Q1008" s="45"/>
      <c r="R1008" s="31"/>
      <c r="S1008" s="31"/>
      <c r="T1008" s="32">
        <f t="shared" si="208"/>
        <v>0</v>
      </c>
      <c r="U1008" s="10"/>
      <c r="V1008" s="10"/>
      <c r="W1008" s="10"/>
      <c r="X1008" s="12">
        <f t="shared" si="209"/>
        <v>0</v>
      </c>
      <c r="Z1008" s="10">
        <v>26</v>
      </c>
      <c r="AA1008" s="30"/>
      <c r="AB1008" s="31"/>
      <c r="AC1008" s="45"/>
      <c r="AD1008" s="31"/>
      <c r="AE1008" s="31"/>
      <c r="AF1008" s="32">
        <f t="shared" si="210"/>
        <v>0</v>
      </c>
      <c r="AG1008" s="10"/>
      <c r="AH1008" s="10"/>
      <c r="AI1008" s="10"/>
      <c r="AJ1008" s="12">
        <f t="shared" si="211"/>
        <v>0</v>
      </c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1:53" x14ac:dyDescent="0.25">
      <c r="A1009" s="18"/>
      <c r="B1009" s="10">
        <v>27</v>
      </c>
      <c r="C1009" s="30"/>
      <c r="D1009" s="31"/>
      <c r="E1009" s="45"/>
      <c r="F1009" s="31"/>
      <c r="G1009" s="31"/>
      <c r="H1009" s="32">
        <f t="shared" si="206"/>
        <v>0</v>
      </c>
      <c r="I1009" s="10"/>
      <c r="J1009" s="10"/>
      <c r="K1009" s="10"/>
      <c r="L1009" s="12">
        <f t="shared" si="207"/>
        <v>0</v>
      </c>
      <c r="N1009" s="10">
        <v>27</v>
      </c>
      <c r="O1009" s="30"/>
      <c r="P1009" s="31"/>
      <c r="Q1009" s="45"/>
      <c r="R1009" s="31"/>
      <c r="S1009" s="31"/>
      <c r="T1009" s="32">
        <f t="shared" si="208"/>
        <v>0</v>
      </c>
      <c r="U1009" s="10"/>
      <c r="V1009" s="10"/>
      <c r="W1009" s="10"/>
      <c r="X1009" s="12">
        <f t="shared" si="209"/>
        <v>0</v>
      </c>
      <c r="Z1009" s="10">
        <v>27</v>
      </c>
      <c r="AA1009" s="30"/>
      <c r="AB1009" s="31"/>
      <c r="AC1009" s="45"/>
      <c r="AD1009" s="31"/>
      <c r="AE1009" s="31"/>
      <c r="AF1009" s="32">
        <f t="shared" si="210"/>
        <v>0</v>
      </c>
      <c r="AG1009" s="10"/>
      <c r="AH1009" s="10"/>
      <c r="AI1009" s="10"/>
      <c r="AJ1009" s="12">
        <f t="shared" si="211"/>
        <v>0</v>
      </c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1:53" x14ac:dyDescent="0.25">
      <c r="A1010" s="18"/>
      <c r="B1010" s="10">
        <v>28</v>
      </c>
      <c r="C1010" s="30"/>
      <c r="D1010" s="31"/>
      <c r="E1010" s="45"/>
      <c r="F1010" s="31"/>
      <c r="G1010" s="31"/>
      <c r="H1010" s="32">
        <f t="shared" si="206"/>
        <v>0</v>
      </c>
      <c r="I1010" s="10"/>
      <c r="J1010" s="10"/>
      <c r="K1010" s="10"/>
      <c r="L1010" s="12">
        <f t="shared" si="207"/>
        <v>0</v>
      </c>
      <c r="N1010" s="10">
        <v>28</v>
      </c>
      <c r="O1010" s="30"/>
      <c r="P1010" s="31"/>
      <c r="Q1010" s="45"/>
      <c r="R1010" s="31"/>
      <c r="S1010" s="31"/>
      <c r="T1010" s="32">
        <f t="shared" si="208"/>
        <v>0</v>
      </c>
      <c r="U1010" s="10"/>
      <c r="V1010" s="10"/>
      <c r="W1010" s="10"/>
      <c r="X1010" s="12">
        <f t="shared" si="209"/>
        <v>0</v>
      </c>
      <c r="Z1010" s="10">
        <v>28</v>
      </c>
      <c r="AA1010" s="30"/>
      <c r="AB1010" s="31"/>
      <c r="AC1010" s="45"/>
      <c r="AD1010" s="31"/>
      <c r="AE1010" s="31"/>
      <c r="AF1010" s="32">
        <f t="shared" si="210"/>
        <v>0</v>
      </c>
      <c r="AG1010" s="10"/>
      <c r="AH1010" s="10"/>
      <c r="AI1010" s="10"/>
      <c r="AJ1010" s="12">
        <f t="shared" si="211"/>
        <v>0</v>
      </c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1:53" x14ac:dyDescent="0.25">
      <c r="A1011" s="18"/>
      <c r="B1011" s="10">
        <v>29</v>
      </c>
      <c r="C1011" s="30"/>
      <c r="D1011" s="31"/>
      <c r="E1011" s="45"/>
      <c r="F1011" s="31"/>
      <c r="G1011" s="31"/>
      <c r="H1011" s="32">
        <f t="shared" si="206"/>
        <v>0</v>
      </c>
      <c r="I1011" s="10"/>
      <c r="J1011" s="10"/>
      <c r="K1011" s="10"/>
      <c r="L1011" s="12">
        <f t="shared" si="207"/>
        <v>0</v>
      </c>
      <c r="N1011" s="10">
        <v>29</v>
      </c>
      <c r="O1011" s="30"/>
      <c r="P1011" s="31"/>
      <c r="Q1011" s="45"/>
      <c r="R1011" s="31"/>
      <c r="S1011" s="31"/>
      <c r="T1011" s="32">
        <f t="shared" si="208"/>
        <v>0</v>
      </c>
      <c r="U1011" s="10"/>
      <c r="V1011" s="10"/>
      <c r="W1011" s="10"/>
      <c r="X1011" s="12">
        <f t="shared" si="209"/>
        <v>0</v>
      </c>
      <c r="Z1011" s="10">
        <v>29</v>
      </c>
      <c r="AA1011" s="30"/>
      <c r="AB1011" s="31"/>
      <c r="AC1011" s="45"/>
      <c r="AD1011" s="31"/>
      <c r="AE1011" s="31"/>
      <c r="AF1011" s="32">
        <f t="shared" si="210"/>
        <v>0</v>
      </c>
      <c r="AG1011" s="10"/>
      <c r="AH1011" s="10"/>
      <c r="AI1011" s="10"/>
      <c r="AJ1011" s="12">
        <f t="shared" si="211"/>
        <v>0</v>
      </c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1:53" x14ac:dyDescent="0.25">
      <c r="A1012" s="18"/>
      <c r="B1012" s="10">
        <v>30</v>
      </c>
      <c r="C1012" s="30"/>
      <c r="D1012" s="31"/>
      <c r="E1012" s="45"/>
      <c r="F1012" s="31"/>
      <c r="G1012" s="31"/>
      <c r="H1012" s="32">
        <f t="shared" si="206"/>
        <v>0</v>
      </c>
      <c r="I1012" s="10"/>
      <c r="J1012" s="10"/>
      <c r="K1012" s="10"/>
      <c r="L1012" s="12">
        <f t="shared" si="207"/>
        <v>0</v>
      </c>
      <c r="N1012" s="10">
        <v>30</v>
      </c>
      <c r="O1012" s="30"/>
      <c r="P1012" s="31"/>
      <c r="Q1012" s="45"/>
      <c r="R1012" s="31"/>
      <c r="S1012" s="31"/>
      <c r="T1012" s="32">
        <f t="shared" si="208"/>
        <v>0</v>
      </c>
      <c r="U1012" s="10"/>
      <c r="V1012" s="10"/>
      <c r="W1012" s="10"/>
      <c r="X1012" s="12">
        <f t="shared" si="209"/>
        <v>0</v>
      </c>
      <c r="Z1012" s="10">
        <v>30</v>
      </c>
      <c r="AA1012" s="30"/>
      <c r="AB1012" s="31"/>
      <c r="AC1012" s="45"/>
      <c r="AD1012" s="31"/>
      <c r="AE1012" s="31"/>
      <c r="AF1012" s="32">
        <f t="shared" si="210"/>
        <v>0</v>
      </c>
      <c r="AG1012" s="10"/>
      <c r="AH1012" s="10"/>
      <c r="AI1012" s="10"/>
      <c r="AJ1012" s="12">
        <f t="shared" si="211"/>
        <v>0</v>
      </c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1:53" x14ac:dyDescent="0.25">
      <c r="A1013" s="18"/>
      <c r="B1013" s="10">
        <v>31</v>
      </c>
      <c r="C1013" s="30"/>
      <c r="D1013" s="31"/>
      <c r="E1013" s="45"/>
      <c r="F1013" s="31"/>
      <c r="G1013" s="31"/>
      <c r="H1013" s="32">
        <f t="shared" si="206"/>
        <v>0</v>
      </c>
      <c r="I1013" s="10"/>
      <c r="J1013" s="10"/>
      <c r="K1013" s="10"/>
      <c r="L1013" s="12">
        <f t="shared" si="207"/>
        <v>0</v>
      </c>
      <c r="N1013" s="10">
        <v>31</v>
      </c>
      <c r="O1013" s="30"/>
      <c r="P1013" s="31"/>
      <c r="Q1013" s="45"/>
      <c r="R1013" s="31"/>
      <c r="S1013" s="31"/>
      <c r="T1013" s="32">
        <f t="shared" si="208"/>
        <v>0</v>
      </c>
      <c r="U1013" s="10"/>
      <c r="V1013" s="10"/>
      <c r="W1013" s="10"/>
      <c r="X1013" s="12">
        <f t="shared" si="209"/>
        <v>0</v>
      </c>
      <c r="Z1013" s="10">
        <v>31</v>
      </c>
      <c r="AA1013" s="30"/>
      <c r="AB1013" s="31"/>
      <c r="AC1013" s="45"/>
      <c r="AD1013" s="31"/>
      <c r="AE1013" s="31"/>
      <c r="AF1013" s="32">
        <f t="shared" si="210"/>
        <v>0</v>
      </c>
      <c r="AG1013" s="10"/>
      <c r="AH1013" s="10"/>
      <c r="AI1013" s="10"/>
      <c r="AJ1013" s="12">
        <f t="shared" si="211"/>
        <v>0</v>
      </c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1:53" x14ac:dyDescent="0.25">
      <c r="A1014" s="18"/>
      <c r="B1014" s="10">
        <v>32</v>
      </c>
      <c r="C1014" s="30"/>
      <c r="D1014" s="31"/>
      <c r="E1014" s="45"/>
      <c r="F1014" s="31"/>
      <c r="G1014" s="31"/>
      <c r="H1014" s="32">
        <f t="shared" si="206"/>
        <v>0</v>
      </c>
      <c r="I1014" s="10"/>
      <c r="J1014" s="10"/>
      <c r="K1014" s="10"/>
      <c r="L1014" s="12">
        <f t="shared" si="207"/>
        <v>0</v>
      </c>
      <c r="N1014" s="10">
        <v>32</v>
      </c>
      <c r="O1014" s="30"/>
      <c r="P1014" s="31"/>
      <c r="Q1014" s="45"/>
      <c r="R1014" s="31"/>
      <c r="S1014" s="31"/>
      <c r="T1014" s="32">
        <f t="shared" si="208"/>
        <v>0</v>
      </c>
      <c r="U1014" s="10"/>
      <c r="V1014" s="10"/>
      <c r="W1014" s="10"/>
      <c r="X1014" s="12">
        <f t="shared" si="209"/>
        <v>0</v>
      </c>
      <c r="Z1014" s="10">
        <v>32</v>
      </c>
      <c r="AA1014" s="30"/>
      <c r="AB1014" s="31"/>
      <c r="AC1014" s="45"/>
      <c r="AD1014" s="31"/>
      <c r="AE1014" s="31"/>
      <c r="AF1014" s="32">
        <f t="shared" si="210"/>
        <v>0</v>
      </c>
      <c r="AG1014" s="10"/>
      <c r="AH1014" s="10"/>
      <c r="AI1014" s="10"/>
      <c r="AJ1014" s="12">
        <f t="shared" si="211"/>
        <v>0</v>
      </c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1:53" x14ac:dyDescent="0.25">
      <c r="A1015" s="18"/>
      <c r="B1015" s="10">
        <v>33</v>
      </c>
      <c r="C1015" s="30"/>
      <c r="D1015" s="31"/>
      <c r="E1015" s="45"/>
      <c r="F1015" s="31"/>
      <c r="G1015" s="31"/>
      <c r="H1015" s="32">
        <f t="shared" si="206"/>
        <v>0</v>
      </c>
      <c r="I1015" s="10"/>
      <c r="J1015" s="10"/>
      <c r="K1015" s="10"/>
      <c r="L1015" s="12">
        <f t="shared" si="207"/>
        <v>0</v>
      </c>
      <c r="N1015" s="10">
        <v>33</v>
      </c>
      <c r="O1015" s="30"/>
      <c r="P1015" s="31"/>
      <c r="Q1015" s="45"/>
      <c r="R1015" s="31"/>
      <c r="S1015" s="31"/>
      <c r="T1015" s="32">
        <f t="shared" si="208"/>
        <v>0</v>
      </c>
      <c r="U1015" s="10"/>
      <c r="V1015" s="10"/>
      <c r="W1015" s="10"/>
      <c r="X1015" s="12">
        <f t="shared" si="209"/>
        <v>0</v>
      </c>
      <c r="Z1015" s="10">
        <v>33</v>
      </c>
      <c r="AA1015" s="30"/>
      <c r="AB1015" s="31"/>
      <c r="AC1015" s="45"/>
      <c r="AD1015" s="31"/>
      <c r="AE1015" s="31"/>
      <c r="AF1015" s="32">
        <f t="shared" si="210"/>
        <v>0</v>
      </c>
      <c r="AG1015" s="10"/>
      <c r="AH1015" s="10"/>
      <c r="AI1015" s="10"/>
      <c r="AJ1015" s="12">
        <f t="shared" si="211"/>
        <v>0</v>
      </c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1:53" x14ac:dyDescent="0.25">
      <c r="A1016" s="18"/>
      <c r="B1016" s="10">
        <v>34</v>
      </c>
      <c r="C1016" s="30"/>
      <c r="D1016" s="31"/>
      <c r="E1016" s="45"/>
      <c r="F1016" s="31"/>
      <c r="G1016" s="31"/>
      <c r="H1016" s="32">
        <f t="shared" si="206"/>
        <v>0</v>
      </c>
      <c r="I1016" s="10"/>
      <c r="J1016" s="10"/>
      <c r="K1016" s="10"/>
      <c r="L1016" s="12">
        <f t="shared" si="207"/>
        <v>0</v>
      </c>
      <c r="N1016" s="10">
        <v>34</v>
      </c>
      <c r="O1016" s="30"/>
      <c r="P1016" s="31"/>
      <c r="Q1016" s="45"/>
      <c r="R1016" s="31"/>
      <c r="S1016" s="31"/>
      <c r="T1016" s="32">
        <f t="shared" si="208"/>
        <v>0</v>
      </c>
      <c r="U1016" s="10"/>
      <c r="V1016" s="10"/>
      <c r="W1016" s="10"/>
      <c r="X1016" s="12">
        <f t="shared" si="209"/>
        <v>0</v>
      </c>
      <c r="Z1016" s="10">
        <v>34</v>
      </c>
      <c r="AA1016" s="30"/>
      <c r="AB1016" s="31"/>
      <c r="AC1016" s="45"/>
      <c r="AD1016" s="31"/>
      <c r="AE1016" s="31"/>
      <c r="AF1016" s="32">
        <f t="shared" si="210"/>
        <v>0</v>
      </c>
      <c r="AG1016" s="10"/>
      <c r="AH1016" s="10"/>
      <c r="AI1016" s="10"/>
      <c r="AJ1016" s="12">
        <f t="shared" si="211"/>
        <v>0</v>
      </c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1:53" x14ac:dyDescent="0.25">
      <c r="A1017" s="18"/>
      <c r="B1017" s="10">
        <v>35</v>
      </c>
      <c r="C1017" s="30"/>
      <c r="D1017" s="31"/>
      <c r="E1017" s="45"/>
      <c r="F1017" s="31"/>
      <c r="G1017" s="31"/>
      <c r="H1017" s="32">
        <f t="shared" si="206"/>
        <v>0</v>
      </c>
      <c r="I1017" s="10"/>
      <c r="J1017" s="10"/>
      <c r="K1017" s="10"/>
      <c r="L1017" s="12">
        <f t="shared" si="207"/>
        <v>0</v>
      </c>
      <c r="N1017" s="10">
        <v>35</v>
      </c>
      <c r="O1017" s="30"/>
      <c r="P1017" s="31"/>
      <c r="Q1017" s="45"/>
      <c r="R1017" s="31"/>
      <c r="S1017" s="31"/>
      <c r="T1017" s="32">
        <f t="shared" si="208"/>
        <v>0</v>
      </c>
      <c r="U1017" s="10"/>
      <c r="V1017" s="10"/>
      <c r="W1017" s="10"/>
      <c r="X1017" s="12">
        <f t="shared" si="209"/>
        <v>0</v>
      </c>
      <c r="Z1017" s="10">
        <v>35</v>
      </c>
      <c r="AA1017" s="30"/>
      <c r="AB1017" s="31"/>
      <c r="AC1017" s="45"/>
      <c r="AD1017" s="31"/>
      <c r="AE1017" s="31"/>
      <c r="AF1017" s="32">
        <f t="shared" si="210"/>
        <v>0</v>
      </c>
      <c r="AG1017" s="10"/>
      <c r="AH1017" s="10"/>
      <c r="AI1017" s="10"/>
      <c r="AJ1017" s="12">
        <f t="shared" si="211"/>
        <v>0</v>
      </c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1:53" x14ac:dyDescent="0.25">
      <c r="A1018" s="18"/>
      <c r="B1018" s="10">
        <v>36</v>
      </c>
      <c r="C1018" s="30"/>
      <c r="D1018" s="31"/>
      <c r="E1018" s="45"/>
      <c r="F1018" s="31"/>
      <c r="G1018" s="31"/>
      <c r="H1018" s="32">
        <f t="shared" si="206"/>
        <v>0</v>
      </c>
      <c r="I1018" s="10"/>
      <c r="J1018" s="10"/>
      <c r="K1018" s="10"/>
      <c r="L1018" s="12">
        <f t="shared" si="207"/>
        <v>0</v>
      </c>
      <c r="N1018" s="10">
        <v>36</v>
      </c>
      <c r="O1018" s="30"/>
      <c r="P1018" s="31"/>
      <c r="Q1018" s="45"/>
      <c r="R1018" s="31"/>
      <c r="S1018" s="31"/>
      <c r="T1018" s="32">
        <f t="shared" si="208"/>
        <v>0</v>
      </c>
      <c r="U1018" s="10"/>
      <c r="V1018" s="10"/>
      <c r="W1018" s="10"/>
      <c r="X1018" s="12">
        <f t="shared" si="209"/>
        <v>0</v>
      </c>
      <c r="Z1018" s="10">
        <v>36</v>
      </c>
      <c r="AA1018" s="30"/>
      <c r="AB1018" s="31"/>
      <c r="AC1018" s="45"/>
      <c r="AD1018" s="31"/>
      <c r="AE1018" s="31"/>
      <c r="AF1018" s="32">
        <f t="shared" si="210"/>
        <v>0</v>
      </c>
      <c r="AG1018" s="10"/>
      <c r="AH1018" s="10"/>
      <c r="AI1018" s="10"/>
      <c r="AJ1018" s="12">
        <f t="shared" si="211"/>
        <v>0</v>
      </c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1:53" x14ac:dyDescent="0.25">
      <c r="A1019" s="18"/>
      <c r="B1019" s="10">
        <v>37</v>
      </c>
      <c r="C1019" s="30"/>
      <c r="D1019"/>
      <c r="E1019" s="45"/>
      <c r="F1019" s="31"/>
      <c r="G1019" s="31"/>
      <c r="H1019" s="32">
        <f t="shared" si="206"/>
        <v>0</v>
      </c>
      <c r="I1019" s="10"/>
      <c r="J1019" s="10"/>
      <c r="K1019" s="10"/>
      <c r="L1019" s="12">
        <f t="shared" si="207"/>
        <v>0</v>
      </c>
      <c r="N1019" s="10">
        <v>37</v>
      </c>
      <c r="O1019" s="30"/>
      <c r="Q1019" s="45"/>
      <c r="R1019" s="31"/>
      <c r="S1019" s="31"/>
      <c r="T1019" s="32">
        <f t="shared" si="208"/>
        <v>0</v>
      </c>
      <c r="U1019" s="10"/>
      <c r="V1019" s="10"/>
      <c r="W1019" s="10"/>
      <c r="X1019" s="12">
        <f t="shared" si="209"/>
        <v>0</v>
      </c>
      <c r="Z1019" s="10">
        <v>37</v>
      </c>
      <c r="AA1019" s="30"/>
      <c r="AB1019" s="31"/>
      <c r="AC1019" s="45"/>
      <c r="AD1019" s="31"/>
      <c r="AE1019" s="31"/>
      <c r="AF1019" s="32">
        <f t="shared" si="210"/>
        <v>0</v>
      </c>
      <c r="AG1019" s="10"/>
      <c r="AH1019" s="10"/>
      <c r="AI1019" s="10"/>
      <c r="AJ1019" s="12">
        <f t="shared" si="211"/>
        <v>0</v>
      </c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1:53" x14ac:dyDescent="0.25">
      <c r="A1020" s="18"/>
      <c r="B1020" s="10">
        <v>38</v>
      </c>
      <c r="C1020" s="30"/>
      <c r="D1020" s="31"/>
      <c r="E1020" s="45"/>
      <c r="F1020" s="31"/>
      <c r="G1020" s="31"/>
      <c r="H1020" s="32">
        <f t="shared" si="206"/>
        <v>0</v>
      </c>
      <c r="I1020" s="10"/>
      <c r="J1020" s="10"/>
      <c r="K1020" s="10"/>
      <c r="L1020" s="12">
        <f t="shared" si="207"/>
        <v>0</v>
      </c>
      <c r="N1020" s="10">
        <v>38</v>
      </c>
      <c r="O1020" s="30"/>
      <c r="P1020" s="31"/>
      <c r="Q1020" s="45"/>
      <c r="R1020" s="31"/>
      <c r="S1020" s="31"/>
      <c r="T1020" s="32">
        <f t="shared" si="208"/>
        <v>0</v>
      </c>
      <c r="U1020" s="10"/>
      <c r="V1020" s="10"/>
      <c r="W1020" s="10"/>
      <c r="X1020" s="12">
        <f t="shared" si="209"/>
        <v>0</v>
      </c>
      <c r="Z1020" s="10">
        <v>38</v>
      </c>
      <c r="AA1020" s="30"/>
      <c r="AB1020" s="31"/>
      <c r="AC1020" s="45"/>
      <c r="AD1020" s="31"/>
      <c r="AE1020" s="31"/>
      <c r="AF1020" s="32">
        <f t="shared" si="210"/>
        <v>0</v>
      </c>
      <c r="AG1020" s="10"/>
      <c r="AH1020" s="10"/>
      <c r="AI1020" s="10"/>
      <c r="AJ1020" s="12">
        <f t="shared" si="211"/>
        <v>0</v>
      </c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1:53" x14ac:dyDescent="0.25">
      <c r="A1021" s="18"/>
      <c r="B1021" s="10">
        <v>39</v>
      </c>
      <c r="C1021" s="30"/>
      <c r="D1021" s="31"/>
      <c r="E1021" s="45"/>
      <c r="F1021" s="31"/>
      <c r="G1021" s="31"/>
      <c r="H1021" s="32">
        <f t="shared" si="206"/>
        <v>0</v>
      </c>
      <c r="I1021" s="10"/>
      <c r="J1021" s="10"/>
      <c r="K1021" s="10"/>
      <c r="L1021" s="12">
        <f t="shared" si="207"/>
        <v>0</v>
      </c>
      <c r="N1021" s="10">
        <v>39</v>
      </c>
      <c r="O1021" s="30"/>
      <c r="P1021" s="31"/>
      <c r="Q1021" s="45"/>
      <c r="R1021" s="31"/>
      <c r="S1021" s="31"/>
      <c r="T1021" s="32">
        <f t="shared" si="208"/>
        <v>0</v>
      </c>
      <c r="U1021" s="10"/>
      <c r="V1021" s="10"/>
      <c r="W1021" s="10"/>
      <c r="X1021" s="12">
        <f t="shared" si="209"/>
        <v>0</v>
      </c>
      <c r="Z1021" s="10">
        <v>39</v>
      </c>
      <c r="AA1021" s="30"/>
      <c r="AB1021" s="31"/>
      <c r="AC1021" s="45"/>
      <c r="AD1021" s="31"/>
      <c r="AE1021" s="31"/>
      <c r="AF1021" s="32">
        <f t="shared" si="210"/>
        <v>0</v>
      </c>
      <c r="AG1021" s="10"/>
      <c r="AH1021" s="10"/>
      <c r="AI1021" s="10"/>
      <c r="AJ1021" s="12">
        <f t="shared" si="211"/>
        <v>0</v>
      </c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1:53" x14ac:dyDescent="0.25">
      <c r="A1022" s="18"/>
      <c r="B1022" s="10"/>
      <c r="C1022" s="30"/>
      <c r="D1022"/>
      <c r="E1022" s="45"/>
      <c r="F1022" s="31"/>
      <c r="G1022" s="31"/>
      <c r="H1022" s="32"/>
      <c r="I1022" s="10"/>
      <c r="J1022" s="10"/>
      <c r="K1022" s="10"/>
      <c r="L1022" s="12">
        <f t="shared" si="207"/>
        <v>0</v>
      </c>
      <c r="N1022" s="10"/>
      <c r="O1022" s="30"/>
      <c r="Q1022" s="45"/>
      <c r="R1022" s="31"/>
      <c r="S1022" s="31"/>
      <c r="T1022" s="32"/>
      <c r="U1022" s="10"/>
      <c r="V1022" s="10"/>
      <c r="W1022" s="10"/>
      <c r="X1022" s="12">
        <f t="shared" si="209"/>
        <v>0</v>
      </c>
      <c r="Z1022" s="10"/>
      <c r="AA1022" s="30"/>
      <c r="AC1022" s="45"/>
      <c r="AD1022" s="31"/>
      <c r="AE1022" s="31"/>
      <c r="AF1022" s="32"/>
      <c r="AG1022" s="10"/>
      <c r="AH1022" s="10"/>
      <c r="AI1022" s="10"/>
      <c r="AJ1022" s="12">
        <f t="shared" si="211"/>
        <v>0</v>
      </c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1:53" x14ac:dyDescent="0.25">
      <c r="A1023" s="18"/>
      <c r="B1023" s="10"/>
      <c r="C1023" s="30"/>
      <c r="D1023" s="31"/>
      <c r="E1023" s="45"/>
      <c r="F1023" s="31"/>
      <c r="G1023" s="31"/>
      <c r="H1023" s="32">
        <f t="shared" ref="H1023" si="215">SUM(E1023:F1023)</f>
        <v>0</v>
      </c>
      <c r="I1023" s="10"/>
      <c r="J1023" s="10"/>
      <c r="K1023" s="10"/>
      <c r="L1023" s="12">
        <f t="shared" si="207"/>
        <v>0</v>
      </c>
      <c r="N1023" s="10"/>
      <c r="O1023" s="30"/>
      <c r="P1023" s="31"/>
      <c r="Q1023" s="45"/>
      <c r="R1023" s="31"/>
      <c r="S1023" s="31"/>
      <c r="T1023" s="32">
        <f t="shared" ref="T1023" si="216">SUM(Q1023:R1023)</f>
        <v>0</v>
      </c>
      <c r="U1023" s="10"/>
      <c r="V1023" s="10"/>
      <c r="W1023" s="10"/>
      <c r="X1023" s="12">
        <f t="shared" si="209"/>
        <v>0</v>
      </c>
      <c r="Z1023" s="10"/>
      <c r="AA1023" s="30"/>
      <c r="AB1023" s="31"/>
      <c r="AC1023" s="45"/>
      <c r="AD1023" s="31"/>
      <c r="AE1023" s="31"/>
      <c r="AF1023" s="32">
        <f t="shared" ref="AF1023" si="217">SUM(AC1023:AD1023)</f>
        <v>0</v>
      </c>
      <c r="AG1023" s="10"/>
      <c r="AH1023" s="10"/>
      <c r="AI1023" s="10"/>
      <c r="AJ1023" s="12">
        <f t="shared" si="211"/>
        <v>0</v>
      </c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1:53" x14ac:dyDescent="0.25">
      <c r="A1024" s="18"/>
      <c r="B1024" s="10"/>
      <c r="C1024" s="31"/>
      <c r="D1024" s="31"/>
      <c r="E1024" s="31"/>
      <c r="F1024" s="31"/>
      <c r="G1024" s="31"/>
      <c r="H1024" s="31"/>
      <c r="I1024" s="10"/>
      <c r="J1024" s="10"/>
      <c r="K1024" s="10"/>
      <c r="L1024" s="12">
        <f t="shared" si="207"/>
        <v>0</v>
      </c>
      <c r="N1024" s="10"/>
      <c r="O1024" s="31"/>
      <c r="P1024" s="31"/>
      <c r="Q1024" s="31"/>
      <c r="R1024" s="31"/>
      <c r="S1024" s="31"/>
      <c r="T1024" s="31"/>
      <c r="U1024" s="10"/>
      <c r="V1024" s="10"/>
      <c r="W1024" s="10"/>
      <c r="X1024" s="12">
        <f t="shared" si="209"/>
        <v>0</v>
      </c>
      <c r="Z1024" s="10"/>
      <c r="AA1024" s="31"/>
      <c r="AB1024" s="31"/>
      <c r="AC1024" s="31"/>
      <c r="AD1024" s="31"/>
      <c r="AE1024" s="31"/>
      <c r="AF1024" s="31"/>
      <c r="AG1024" s="10"/>
      <c r="AH1024" s="10"/>
      <c r="AI1024" s="10"/>
      <c r="AJ1024" s="12">
        <f t="shared" si="211"/>
        <v>0</v>
      </c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1:53" x14ac:dyDescent="0.25">
      <c r="A1025" s="18"/>
      <c r="C1025" s="55"/>
      <c r="D1025" s="55"/>
      <c r="E1025" s="36"/>
      <c r="F1025" s="36"/>
      <c r="G1025" s="36"/>
      <c r="H1025" s="36"/>
      <c r="I1025" s="37"/>
      <c r="J1025" s="37"/>
      <c r="K1025" s="37"/>
      <c r="L1025" s="37"/>
      <c r="O1025" s="55"/>
      <c r="P1025" s="55"/>
      <c r="Q1025" s="36"/>
      <c r="R1025" s="36"/>
      <c r="S1025" s="36"/>
      <c r="T1025" s="36"/>
      <c r="U1025" s="37"/>
      <c r="V1025" s="37"/>
      <c r="W1025" s="37"/>
      <c r="X1025" s="37"/>
      <c r="AA1025" s="55"/>
      <c r="AB1025" s="55"/>
      <c r="AC1025" s="36"/>
      <c r="AD1025" s="36"/>
      <c r="AE1025" s="36"/>
      <c r="AF1025" s="36"/>
      <c r="AG1025" s="37"/>
      <c r="AH1025" s="37"/>
      <c r="AI1025" s="37"/>
      <c r="AJ1025" s="37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1:53" x14ac:dyDescent="0.25">
      <c r="A1026" s="18"/>
      <c r="C1026" s="55"/>
      <c r="D1026" s="55"/>
      <c r="E1026" s="38">
        <f>SUM(E983:E1025)</f>
        <v>627321</v>
      </c>
      <c r="F1026" s="38">
        <f>SUM(F983:F1007)</f>
        <v>-5304</v>
      </c>
      <c r="G1026" s="38">
        <f>SUM(G983:G1007)</f>
        <v>0</v>
      </c>
      <c r="H1026" s="38">
        <f>SUM(H983:H1025)</f>
        <v>622017</v>
      </c>
      <c r="I1026" s="4"/>
      <c r="J1026" s="39">
        <f>SUM(J983:J1025)</f>
        <v>58227</v>
      </c>
      <c r="K1026" s="39">
        <f>SUM(K983:K1007)</f>
        <v>-18651</v>
      </c>
      <c r="L1026" s="40">
        <f>SUM(L983:L1025)</f>
        <v>661593</v>
      </c>
      <c r="O1026" s="55"/>
      <c r="P1026" s="55"/>
      <c r="Q1026" s="38">
        <f>SUM(Q983:Q1025)</f>
        <v>254337</v>
      </c>
      <c r="R1026" s="38">
        <f>SUM(R983:R1007)</f>
        <v>-2148</v>
      </c>
      <c r="S1026" s="38">
        <f>SUM(S983:S1007)</f>
        <v>0</v>
      </c>
      <c r="T1026" s="38">
        <f>SUM(T983:T1025)</f>
        <v>252189</v>
      </c>
      <c r="U1026" s="4"/>
      <c r="V1026" s="39">
        <f>SUM(V983:V1025)</f>
        <v>1215</v>
      </c>
      <c r="W1026" s="39">
        <f>SUM(W983:W1007)</f>
        <v>-444</v>
      </c>
      <c r="X1026" s="40">
        <f>SUM(X983:X1025)</f>
        <v>252960</v>
      </c>
      <c r="AA1026" s="55"/>
      <c r="AB1026" s="55"/>
      <c r="AC1026" s="38">
        <f>SUM(AC983:AC1025)</f>
        <v>444825</v>
      </c>
      <c r="AD1026" s="38">
        <f>SUM(AD983:AD1007)</f>
        <v>-3096</v>
      </c>
      <c r="AE1026" s="38">
        <f>SUM(AE983:AE1007)</f>
        <v>0</v>
      </c>
      <c r="AF1026" s="38">
        <f>SUM(AF983:AF1025)</f>
        <v>441729</v>
      </c>
      <c r="AG1026" s="4"/>
      <c r="AH1026" s="39">
        <f>SUM(AH983:AH1025)</f>
        <v>3183</v>
      </c>
      <c r="AI1026" s="39">
        <f>SUM(AI983:AI1007)</f>
        <v>-666</v>
      </c>
      <c r="AJ1026" s="40">
        <f>SUM(AJ983:AJ1025)</f>
        <v>444246</v>
      </c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1:5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1:53" x14ac:dyDescent="0.25">
      <c r="B1028" s="61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1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1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1:53" x14ac:dyDescent="0.25">
      <c r="B1029" s="60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0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0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1:53" ht="15.75" x14ac:dyDescent="0.25">
      <c r="B1030" s="60"/>
      <c r="C1030" s="83"/>
      <c r="D1030" s="83"/>
      <c r="E1030" s="83"/>
      <c r="F1030" s="83"/>
      <c r="G1030" s="83"/>
      <c r="H1030" s="83"/>
      <c r="I1030" s="60"/>
      <c r="J1030" s="83"/>
      <c r="K1030" s="71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83"/>
      <c r="W1030" s="71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83"/>
      <c r="AI1030" s="83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1:53" x14ac:dyDescent="0.25">
      <c r="B1031" s="62"/>
      <c r="C1031" s="83"/>
      <c r="D1031" s="83"/>
      <c r="E1031" s="83"/>
      <c r="F1031" s="83"/>
      <c r="G1031" s="83"/>
      <c r="H1031" s="83"/>
      <c r="I1031" s="60"/>
      <c r="J1031" s="63"/>
      <c r="K1031" s="63"/>
      <c r="L1031" s="60"/>
      <c r="M1031" s="60"/>
      <c r="N1031" s="62"/>
      <c r="O1031" s="83"/>
      <c r="P1031" s="83"/>
      <c r="Q1031" s="83"/>
      <c r="R1031" s="83"/>
      <c r="S1031" s="83"/>
      <c r="T1031" s="83"/>
      <c r="U1031" s="60"/>
      <c r="V1031" s="63"/>
      <c r="W1031" s="63"/>
      <c r="X1031" s="60"/>
      <c r="Y1031" s="60"/>
      <c r="Z1031" s="62"/>
      <c r="AA1031" s="83"/>
      <c r="AB1031" s="83"/>
      <c r="AC1031" s="83"/>
      <c r="AD1031" s="83"/>
      <c r="AE1031" s="83"/>
      <c r="AF1031" s="83"/>
      <c r="AG1031" s="60"/>
      <c r="AH1031" s="63"/>
      <c r="AI1031" s="6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1:53" x14ac:dyDescent="0.25">
      <c r="B1032" s="60"/>
      <c r="C1032" s="83"/>
      <c r="D1032" s="83"/>
      <c r="E1032" s="83"/>
      <c r="F1032" s="83"/>
      <c r="G1032" s="83"/>
      <c r="H1032" s="83"/>
      <c r="I1032" s="60"/>
      <c r="J1032" s="60"/>
      <c r="K1032" s="60"/>
      <c r="L1032" s="60"/>
      <c r="M1032" s="60"/>
      <c r="N1032" s="60"/>
      <c r="O1032" s="83"/>
      <c r="P1032" s="83"/>
      <c r="Q1032" s="83"/>
      <c r="R1032" s="83"/>
      <c r="S1032" s="83"/>
      <c r="T1032" s="83"/>
      <c r="U1032" s="60"/>
      <c r="V1032" s="60"/>
      <c r="W1032" s="60"/>
      <c r="X1032" s="60"/>
      <c r="Y1032" s="60"/>
      <c r="Z1032" s="60"/>
      <c r="AA1032" s="83"/>
      <c r="AB1032" s="83"/>
      <c r="AC1032" s="83"/>
      <c r="AD1032" s="83"/>
      <c r="AE1032" s="83"/>
      <c r="AF1032" s="83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1:53" x14ac:dyDescent="0.25">
      <c r="B1033" s="60"/>
      <c r="C1033" s="63"/>
      <c r="D1033" s="83"/>
      <c r="E1033" s="118"/>
      <c r="F1033" s="118"/>
      <c r="G1033" s="83"/>
      <c r="H1033" s="83"/>
      <c r="I1033" s="60"/>
      <c r="J1033" s="118"/>
      <c r="K1033" s="118"/>
      <c r="L1033" s="117"/>
      <c r="M1033" s="60"/>
      <c r="N1033" s="60"/>
      <c r="O1033" s="63"/>
      <c r="P1033" s="83"/>
      <c r="Q1033" s="118"/>
      <c r="R1033" s="118"/>
      <c r="S1033" s="83"/>
      <c r="T1033" s="83"/>
      <c r="U1033" s="60"/>
      <c r="V1033" s="118"/>
      <c r="W1033" s="118"/>
      <c r="X1033" s="117"/>
      <c r="Y1033" s="60"/>
      <c r="Z1033" s="60"/>
      <c r="AA1033" s="63"/>
      <c r="AB1033" s="83"/>
      <c r="AC1033" s="118"/>
      <c r="AD1033" s="118"/>
      <c r="AE1033" s="83"/>
      <c r="AF1033" s="83"/>
      <c r="AG1033" s="60"/>
      <c r="AH1033" s="118"/>
      <c r="AI1033" s="118"/>
      <c r="AJ1033" s="117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1:53" x14ac:dyDescent="0.25">
      <c r="B1034" s="60"/>
      <c r="C1034" s="83"/>
      <c r="D1034" s="83"/>
      <c r="E1034" s="76"/>
      <c r="F1034" s="77"/>
      <c r="G1034" s="78"/>
      <c r="H1034" s="78"/>
      <c r="I1034" s="60"/>
      <c r="J1034" s="82"/>
      <c r="K1034" s="82"/>
      <c r="L1034" s="117"/>
      <c r="M1034" s="60"/>
      <c r="N1034" s="60"/>
      <c r="O1034" s="83"/>
      <c r="P1034" s="83"/>
      <c r="Q1034" s="76"/>
      <c r="R1034" s="78"/>
      <c r="S1034" s="78"/>
      <c r="T1034" s="78"/>
      <c r="U1034" s="60"/>
      <c r="V1034" s="82"/>
      <c r="W1034" s="82"/>
      <c r="X1034" s="117"/>
      <c r="Y1034" s="60"/>
      <c r="Z1034" s="60"/>
      <c r="AA1034" s="83"/>
      <c r="AB1034" s="83"/>
      <c r="AC1034" s="76"/>
      <c r="AD1034" s="78"/>
      <c r="AE1034" s="78"/>
      <c r="AF1034" s="78"/>
      <c r="AG1034" s="60"/>
      <c r="AH1034" s="82"/>
      <c r="AI1034" s="82"/>
      <c r="AJ1034" s="117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1:53" x14ac:dyDescent="0.25">
      <c r="B1035" s="60"/>
      <c r="C1035" s="64"/>
      <c r="D1035" s="81"/>
      <c r="E1035" s="58"/>
      <c r="F1035" s="58"/>
      <c r="G1035" s="58"/>
      <c r="H1035" s="58"/>
      <c r="I1035" s="59"/>
      <c r="J1035" s="59"/>
      <c r="K1035" s="59"/>
      <c r="L1035" s="59"/>
      <c r="M1035" s="60"/>
      <c r="N1035" s="60"/>
      <c r="O1035" s="64"/>
      <c r="P1035" s="83"/>
      <c r="Q1035" s="58"/>
      <c r="R1035" s="58"/>
      <c r="S1035" s="58"/>
      <c r="T1035" s="58"/>
      <c r="U1035" s="59"/>
      <c r="V1035" s="59"/>
      <c r="W1035" s="59"/>
      <c r="X1035" s="59"/>
      <c r="Y1035" s="60"/>
      <c r="Z1035" s="60"/>
      <c r="AA1035" s="64"/>
      <c r="AB1035" s="83"/>
      <c r="AC1035" s="58"/>
      <c r="AD1035" s="58"/>
      <c r="AE1035" s="58"/>
      <c r="AF1035" s="58"/>
      <c r="AG1035" s="59"/>
      <c r="AH1035" s="59"/>
      <c r="AI1035" s="59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1:53" x14ac:dyDescent="0.25">
      <c r="B1036" s="60"/>
      <c r="C1036" s="64"/>
      <c r="D1036" s="83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1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1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60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1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59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1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60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59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59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6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60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8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58"/>
      <c r="AF1043" s="58"/>
      <c r="AG1043" s="59"/>
      <c r="AH1043" s="60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59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60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6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59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8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6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8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60"/>
      <c r="J1055" s="60"/>
      <c r="K1055" s="60"/>
      <c r="L1055" s="59"/>
      <c r="M1055" s="60"/>
      <c r="N1055" s="60"/>
      <c r="O1055" s="64"/>
      <c r="P1055" s="83"/>
      <c r="Q1055" s="65"/>
      <c r="R1055" s="83"/>
      <c r="S1055" s="83"/>
      <c r="T1055" s="58"/>
      <c r="U1055" s="60"/>
      <c r="V1055" s="60"/>
      <c r="W1055" s="60"/>
      <c r="X1055" s="59"/>
      <c r="Y1055" s="60"/>
      <c r="Z1055" s="60"/>
      <c r="AA1055" s="64"/>
      <c r="AB1055" s="60"/>
      <c r="AC1055" s="65"/>
      <c r="AD1055" s="83"/>
      <c r="AE1055" s="83"/>
      <c r="AF1055" s="58"/>
      <c r="AG1055" s="60"/>
      <c r="AH1055" s="60"/>
      <c r="AI1055" s="60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6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83"/>
      <c r="AC1056" s="66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59"/>
      <c r="L1057" s="59"/>
      <c r="M1057" s="60"/>
      <c r="N1057" s="60"/>
      <c r="O1057" s="64"/>
      <c r="P1057" s="83"/>
      <c r="Q1057" s="67"/>
      <c r="R1057" s="83"/>
      <c r="S1057" s="60"/>
      <c r="T1057" s="58"/>
      <c r="U1057" s="60"/>
      <c r="V1057" s="60"/>
      <c r="W1057" s="60"/>
      <c r="X1057" s="59"/>
      <c r="Y1057" s="60"/>
      <c r="Z1057" s="60"/>
      <c r="AA1057" s="64"/>
      <c r="AB1057" s="60"/>
      <c r="AC1057" s="67"/>
      <c r="AD1057" s="83"/>
      <c r="AE1057" s="60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60"/>
      <c r="L1058" s="59"/>
      <c r="M1058" s="60"/>
      <c r="N1058" s="60"/>
      <c r="O1058" s="64"/>
      <c r="P1058" s="83"/>
      <c r="Q1058" s="67"/>
      <c r="R1058" s="83"/>
      <c r="S1058" s="83"/>
      <c r="T1058" s="58"/>
      <c r="U1058" s="60"/>
      <c r="V1058" s="60"/>
      <c r="W1058" s="60"/>
      <c r="X1058" s="59"/>
      <c r="Y1058" s="60"/>
      <c r="Z1058" s="60"/>
      <c r="AA1058" s="64"/>
      <c r="AB1058" s="83"/>
      <c r="AC1058" s="67"/>
      <c r="AD1058" s="83"/>
      <c r="AE1058" s="83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60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83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1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60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83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1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60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83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60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60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83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64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83"/>
      <c r="P1076" s="83"/>
      <c r="Q1076" s="83"/>
      <c r="R1076" s="83"/>
      <c r="S1076" s="83"/>
      <c r="T1076" s="83"/>
      <c r="U1076" s="60"/>
      <c r="V1076" s="60"/>
      <c r="W1076" s="60"/>
      <c r="X1076" s="59"/>
      <c r="Y1076" s="60"/>
      <c r="Z1076" s="60"/>
      <c r="AA1076" s="83"/>
      <c r="AB1076" s="83"/>
      <c r="AC1076" s="83"/>
      <c r="AD1076" s="83"/>
      <c r="AE1076" s="83"/>
      <c r="AF1076" s="83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83"/>
      <c r="D1077" s="83"/>
      <c r="E1077" s="83"/>
      <c r="F1077" s="83"/>
      <c r="G1077" s="83"/>
      <c r="H1077" s="83"/>
      <c r="I1077" s="60"/>
      <c r="J1077" s="60"/>
      <c r="K1077" s="60"/>
      <c r="L1077" s="60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60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68"/>
      <c r="F1078" s="68"/>
      <c r="G1078" s="68"/>
      <c r="H1078" s="68"/>
      <c r="I1078" s="61"/>
      <c r="J1078" s="68"/>
      <c r="K1078" s="68"/>
      <c r="L1078" s="68"/>
      <c r="M1078" s="60"/>
      <c r="N1078" s="60"/>
      <c r="O1078" s="83"/>
      <c r="P1078" s="83"/>
      <c r="Q1078" s="68"/>
      <c r="R1078" s="68"/>
      <c r="S1078" s="68"/>
      <c r="T1078" s="68"/>
      <c r="U1078" s="61"/>
      <c r="V1078" s="69"/>
      <c r="W1078" s="69"/>
      <c r="X1078" s="69"/>
      <c r="Y1078" s="60"/>
      <c r="Z1078" s="60"/>
      <c r="AA1078" s="83"/>
      <c r="AB1078" s="83"/>
      <c r="AC1078" s="68"/>
      <c r="AD1078" s="68"/>
      <c r="AE1078" s="68"/>
      <c r="AF1078" s="68"/>
      <c r="AG1078" s="61"/>
      <c r="AH1078" s="69"/>
      <c r="AI1078" s="69"/>
      <c r="AJ1078" s="6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83"/>
      <c r="D1080" s="83"/>
      <c r="E1080" s="83"/>
      <c r="F1080" s="83"/>
      <c r="G1080" s="83"/>
      <c r="H1080" s="83"/>
      <c r="I1080" s="60"/>
      <c r="J1080" s="60"/>
      <c r="K1080" s="60"/>
      <c r="L1080" s="60"/>
      <c r="M1080" s="60"/>
      <c r="N1080" s="60"/>
      <c r="O1080" s="83"/>
      <c r="P1080" s="83"/>
      <c r="Q1080" s="83"/>
      <c r="R1080" s="83"/>
      <c r="S1080" s="83"/>
      <c r="T1080" s="83"/>
      <c r="U1080" s="60"/>
      <c r="V1080" s="60"/>
      <c r="W1080" s="60"/>
      <c r="X1080" s="60"/>
      <c r="Y1080" s="60"/>
      <c r="Z1080" s="60"/>
      <c r="AA1080" s="83"/>
      <c r="AB1080" s="83"/>
      <c r="AC1080" s="83"/>
      <c r="AD1080" s="83"/>
      <c r="AE1080" s="83"/>
      <c r="AF1080" s="83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3"/>
      <c r="D1088" s="83"/>
      <c r="E1088" s="118"/>
      <c r="F1088" s="118"/>
      <c r="G1088" s="83"/>
      <c r="H1088" s="83"/>
      <c r="I1088" s="60"/>
      <c r="J1088" s="118"/>
      <c r="K1088" s="118"/>
      <c r="L1088" s="117"/>
      <c r="M1088" s="60"/>
      <c r="N1088" s="60"/>
      <c r="O1088" s="63"/>
      <c r="P1088" s="83"/>
      <c r="Q1088" s="118"/>
      <c r="R1088" s="118"/>
      <c r="S1088" s="83"/>
      <c r="T1088" s="83"/>
      <c r="U1088" s="60"/>
      <c r="V1088" s="118"/>
      <c r="W1088" s="118"/>
      <c r="X1088" s="117"/>
      <c r="Y1088" s="60"/>
      <c r="Z1088" s="60"/>
      <c r="AA1088" s="63"/>
      <c r="AB1088" s="83"/>
      <c r="AC1088" s="118"/>
      <c r="AD1088" s="118"/>
      <c r="AE1088" s="83"/>
      <c r="AF1088" s="83"/>
      <c r="AG1088" s="60"/>
      <c r="AH1088" s="118"/>
      <c r="AI1088" s="118"/>
      <c r="AJ1088" s="117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17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17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17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18"/>
      <c r="F1143" s="118"/>
      <c r="G1143" s="83"/>
      <c r="H1143" s="83"/>
      <c r="I1143" s="60"/>
      <c r="J1143" s="118"/>
      <c r="K1143" s="118"/>
      <c r="L1143" s="117"/>
      <c r="M1143" s="60"/>
      <c r="N1143" s="60"/>
      <c r="O1143" s="63"/>
      <c r="P1143" s="83"/>
      <c r="Q1143" s="118"/>
      <c r="R1143" s="118"/>
      <c r="S1143" s="83"/>
      <c r="T1143" s="83"/>
      <c r="U1143" s="60"/>
      <c r="V1143" s="118"/>
      <c r="W1143" s="118"/>
      <c r="X1143" s="117"/>
      <c r="Y1143" s="60"/>
      <c r="Z1143" s="60"/>
      <c r="AA1143" s="63"/>
      <c r="AB1143" s="83"/>
      <c r="AC1143" s="118"/>
      <c r="AD1143" s="118"/>
      <c r="AE1143" s="83"/>
      <c r="AF1143" s="83"/>
      <c r="AG1143" s="60"/>
      <c r="AH1143" s="118"/>
      <c r="AI1143" s="118"/>
      <c r="AJ1143" s="117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17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17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17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18"/>
      <c r="F1199" s="118"/>
      <c r="G1199" s="83"/>
      <c r="H1199" s="83"/>
      <c r="I1199" s="60"/>
      <c r="J1199" s="118"/>
      <c r="K1199" s="118"/>
      <c r="L1199" s="117"/>
      <c r="M1199" s="60"/>
      <c r="N1199" s="60"/>
      <c r="O1199" s="63"/>
      <c r="P1199" s="83"/>
      <c r="Q1199" s="118"/>
      <c r="R1199" s="118"/>
      <c r="S1199" s="83"/>
      <c r="T1199" s="83"/>
      <c r="U1199" s="60"/>
      <c r="V1199" s="118"/>
      <c r="W1199" s="118"/>
      <c r="X1199" s="117"/>
      <c r="Y1199" s="60"/>
      <c r="Z1199" s="60"/>
      <c r="AA1199" s="63"/>
      <c r="AB1199" s="83"/>
      <c r="AC1199" s="118"/>
      <c r="AD1199" s="118"/>
      <c r="AE1199" s="83"/>
      <c r="AF1199" s="83"/>
      <c r="AG1199" s="60"/>
      <c r="AH1199" s="118"/>
      <c r="AI1199" s="118"/>
      <c r="AJ1199" s="117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17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17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17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18"/>
      <c r="F1261" s="118"/>
      <c r="G1261" s="83"/>
      <c r="H1261" s="83"/>
      <c r="I1261" s="60"/>
      <c r="J1261" s="118"/>
      <c r="K1261" s="118"/>
      <c r="L1261" s="117"/>
      <c r="M1261" s="60"/>
      <c r="N1261" s="60"/>
      <c r="O1261" s="63"/>
      <c r="P1261" s="83"/>
      <c r="Q1261" s="118"/>
      <c r="R1261" s="118"/>
      <c r="S1261" s="83"/>
      <c r="T1261" s="83"/>
      <c r="U1261" s="60"/>
      <c r="V1261" s="118"/>
      <c r="W1261" s="118"/>
      <c r="X1261" s="117"/>
      <c r="Y1261" s="60"/>
      <c r="Z1261" s="60"/>
      <c r="AA1261" s="63"/>
      <c r="AB1261" s="83"/>
      <c r="AC1261" s="118"/>
      <c r="AD1261" s="118"/>
      <c r="AE1261" s="83"/>
      <c r="AF1261" s="83"/>
      <c r="AG1261" s="60"/>
      <c r="AH1261" s="118"/>
      <c r="AI1261" s="118"/>
      <c r="AJ1261" s="117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17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17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17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V871:W871"/>
    <mergeCell ref="X871:X872"/>
    <mergeCell ref="AC871:AD871"/>
    <mergeCell ref="AH871:AI871"/>
    <mergeCell ref="AJ871:AJ872"/>
    <mergeCell ref="AJ321:AJ322"/>
    <mergeCell ref="V431:W431"/>
    <mergeCell ref="Q431:R431"/>
    <mergeCell ref="E925:F925"/>
    <mergeCell ref="J925:K925"/>
    <mergeCell ref="L925:L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J486:K486"/>
    <mergeCell ref="L486:L487"/>
    <mergeCell ref="Q486:R486"/>
    <mergeCell ref="Q816:R816"/>
    <mergeCell ref="Q926:R926"/>
    <mergeCell ref="V926:W926"/>
    <mergeCell ref="J211:K211"/>
    <mergeCell ref="E211:F211"/>
    <mergeCell ref="J156:K156"/>
    <mergeCell ref="E156:F156"/>
    <mergeCell ref="AJ156:AJ157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C486:AD486"/>
    <mergeCell ref="AC541:AD541"/>
    <mergeCell ref="AH541:AI541"/>
    <mergeCell ref="AJ541:AJ542"/>
    <mergeCell ref="AH376:AI37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L650:L651"/>
    <mergeCell ref="J650:K650"/>
    <mergeCell ref="J596:K596"/>
    <mergeCell ref="E596:F596"/>
    <mergeCell ref="X650:X651"/>
    <mergeCell ref="E486:F486"/>
    <mergeCell ref="Q321:R321"/>
    <mergeCell ref="X376:X377"/>
    <mergeCell ref="J266:K266"/>
    <mergeCell ref="E266:F266"/>
    <mergeCell ref="J431:K431"/>
    <mergeCell ref="E376:F376"/>
    <mergeCell ref="X321:X322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X1143:X1144"/>
    <mergeCell ref="V1143:W1143"/>
    <mergeCell ref="Q1143:R1143"/>
    <mergeCell ref="AJ1143:AJ1144"/>
    <mergeCell ref="AH1143:AI1143"/>
    <mergeCell ref="AC1143:AD1143"/>
    <mergeCell ref="AJ1088:AJ1089"/>
    <mergeCell ref="AH1088:AI1088"/>
    <mergeCell ref="AC1088:AD1088"/>
    <mergeCell ref="AJ1261:AJ1262"/>
    <mergeCell ref="AH1261:AI1261"/>
    <mergeCell ref="AC1261:AD1261"/>
    <mergeCell ref="X1199:X1200"/>
    <mergeCell ref="V1199:W1199"/>
    <mergeCell ref="Q1199:R1199"/>
    <mergeCell ref="AJ1199:AJ1200"/>
    <mergeCell ref="AH1199:AI1199"/>
    <mergeCell ref="AC1199:AD1199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1033:L1034"/>
    <mergeCell ref="J1033:K1033"/>
    <mergeCell ref="E1033:F1033"/>
    <mergeCell ref="L596:L597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H156:AI156"/>
    <mergeCell ref="AC156:AD156"/>
    <mergeCell ref="X156:X157"/>
    <mergeCell ref="V156:W156"/>
    <mergeCell ref="Q156:R156"/>
    <mergeCell ref="L156:L157"/>
    <mergeCell ref="X211:X212"/>
    <mergeCell ref="L211:L212"/>
    <mergeCell ref="V376:W376"/>
    <mergeCell ref="Q376:R376"/>
    <mergeCell ref="Q266:R266"/>
    <mergeCell ref="AJ761:AJ762"/>
    <mergeCell ref="E816:F816"/>
    <mergeCell ref="J816:K816"/>
    <mergeCell ref="L816:L817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761:F761"/>
    <mergeCell ref="J761:K761"/>
    <mergeCell ref="L761:L762"/>
    <mergeCell ref="Q761:R761"/>
    <mergeCell ref="V761:W761"/>
    <mergeCell ref="X761:X762"/>
    <mergeCell ref="AC761:AD761"/>
    <mergeCell ref="AH761:AI761"/>
    <mergeCell ref="V816:W816"/>
    <mergeCell ref="X816:X817"/>
    <mergeCell ref="AC816:AD816"/>
    <mergeCell ref="AH816:AI816"/>
    <mergeCell ref="AJ816:AJ817"/>
    <mergeCell ref="AJ1033:AJ1034"/>
    <mergeCell ref="AH1033:AI1033"/>
    <mergeCell ref="AC1033:AD1033"/>
    <mergeCell ref="E981:F981"/>
    <mergeCell ref="J981:K981"/>
    <mergeCell ref="L981:L982"/>
    <mergeCell ref="Q981:R981"/>
    <mergeCell ref="V981:W981"/>
    <mergeCell ref="X981:X982"/>
    <mergeCell ref="AC981:AD981"/>
    <mergeCell ref="AH981:AI981"/>
    <mergeCell ref="AJ981:AJ982"/>
    <mergeCell ref="X1033:X1034"/>
    <mergeCell ref="V1033:W1033"/>
    <mergeCell ref="Q1033:R1033"/>
    <mergeCell ref="X926:X927"/>
    <mergeCell ref="AC926:AD926"/>
    <mergeCell ref="AH926:AI926"/>
    <mergeCell ref="AJ926:AJ927"/>
    <mergeCell ref="E871:F871"/>
    <mergeCell ref="J871:K871"/>
    <mergeCell ref="L871:L872"/>
    <mergeCell ref="Q871:R871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2026-08-25T01:45:36Z</dcterms:modified>
</cp:coreProperties>
</file>