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07CC7C7-0250-467A-9824-DABEF0158AFB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D875" i="2" l="1"/>
  <c r="AC875" i="2"/>
  <c r="AC874" i="2"/>
  <c r="AI873" i="2"/>
  <c r="AH873" i="2"/>
  <c r="AD873" i="2"/>
  <c r="AD916" i="2" s="1"/>
  <c r="AC873" i="2"/>
  <c r="AF873" i="2" s="1"/>
  <c r="AI916" i="2"/>
  <c r="AE916" i="2"/>
  <c r="AJ914" i="2"/>
  <c r="AF913" i="2"/>
  <c r="AJ913" i="2" s="1"/>
  <c r="AJ912" i="2"/>
  <c r="AF911" i="2"/>
  <c r="AJ911" i="2" s="1"/>
  <c r="AF910" i="2"/>
  <c r="AJ910" i="2" s="1"/>
  <c r="AF909" i="2"/>
  <c r="AJ909" i="2" s="1"/>
  <c r="AJ908" i="2"/>
  <c r="AF908" i="2"/>
  <c r="AF907" i="2"/>
  <c r="AJ907" i="2" s="1"/>
  <c r="AJ906" i="2"/>
  <c r="AF906" i="2"/>
  <c r="AJ905" i="2"/>
  <c r="AF905" i="2"/>
  <c r="AF904" i="2"/>
  <c r="AJ904" i="2" s="1"/>
  <c r="AF903" i="2"/>
  <c r="AJ903" i="2" s="1"/>
  <c r="AF902" i="2"/>
  <c r="AJ902" i="2" s="1"/>
  <c r="AF901" i="2"/>
  <c r="AJ901" i="2" s="1"/>
  <c r="AJ900" i="2"/>
  <c r="AF900" i="2"/>
  <c r="AF899" i="2"/>
  <c r="AJ899" i="2" s="1"/>
  <c r="AJ898" i="2"/>
  <c r="AF898" i="2"/>
  <c r="AJ897" i="2"/>
  <c r="AF897" i="2"/>
  <c r="AF896" i="2"/>
  <c r="AJ896" i="2" s="1"/>
  <c r="AF895" i="2"/>
  <c r="AJ895" i="2" s="1"/>
  <c r="AF894" i="2"/>
  <c r="AJ894" i="2" s="1"/>
  <c r="AF893" i="2"/>
  <c r="AJ893" i="2" s="1"/>
  <c r="AJ892" i="2"/>
  <c r="AF892" i="2"/>
  <c r="AF891" i="2"/>
  <c r="AJ891" i="2" s="1"/>
  <c r="AJ890" i="2"/>
  <c r="AF890" i="2"/>
  <c r="AJ889" i="2"/>
  <c r="AF889" i="2"/>
  <c r="AJ888" i="2"/>
  <c r="AF888" i="2"/>
  <c r="AF887" i="2"/>
  <c r="AJ887" i="2" s="1"/>
  <c r="AF886" i="2"/>
  <c r="AJ886" i="2" s="1"/>
  <c r="AF885" i="2"/>
  <c r="AJ885" i="2" s="1"/>
  <c r="AJ884" i="2"/>
  <c r="AF884" i="2"/>
  <c r="AF883" i="2"/>
  <c r="AJ883" i="2" s="1"/>
  <c r="AJ882" i="2"/>
  <c r="AF882" i="2"/>
  <c r="AF881" i="2"/>
  <c r="AJ881" i="2" s="1"/>
  <c r="AF880" i="2"/>
  <c r="AJ880" i="2" s="1"/>
  <c r="AF879" i="2"/>
  <c r="AJ879" i="2" s="1"/>
  <c r="AF878" i="2"/>
  <c r="AJ878" i="2" s="1"/>
  <c r="AF877" i="2"/>
  <c r="AJ877" i="2" s="1"/>
  <c r="AF876" i="2"/>
  <c r="AJ876" i="2" s="1"/>
  <c r="AF875" i="2"/>
  <c r="AJ875" i="2" s="1"/>
  <c r="AH916" i="2"/>
  <c r="AB874" i="2"/>
  <c r="AB875" i="2" s="1"/>
  <c r="Q877" i="2"/>
  <c r="W876" i="2"/>
  <c r="W916" i="2" s="1"/>
  <c r="Q876" i="2"/>
  <c r="T876" i="2" s="1"/>
  <c r="X876" i="2" s="1"/>
  <c r="P876" i="2"/>
  <c r="P877" i="2" s="1"/>
  <c r="Q875" i="2"/>
  <c r="T875" i="2" s="1"/>
  <c r="X875" i="2" s="1"/>
  <c r="V874" i="2"/>
  <c r="V916" i="2" s="1"/>
  <c r="R874" i="2"/>
  <c r="Q874" i="2"/>
  <c r="Q873" i="2"/>
  <c r="S916" i="2"/>
  <c r="R916" i="2"/>
  <c r="X914" i="2"/>
  <c r="X913" i="2"/>
  <c r="T913" i="2"/>
  <c r="X912" i="2"/>
  <c r="T911" i="2"/>
  <c r="X911" i="2" s="1"/>
  <c r="T910" i="2"/>
  <c r="X910" i="2" s="1"/>
  <c r="X909" i="2"/>
  <c r="T909" i="2"/>
  <c r="T908" i="2"/>
  <c r="X908" i="2" s="1"/>
  <c r="T907" i="2"/>
  <c r="X907" i="2" s="1"/>
  <c r="X906" i="2"/>
  <c r="T906" i="2"/>
  <c r="X905" i="2"/>
  <c r="T905" i="2"/>
  <c r="T904" i="2"/>
  <c r="X904" i="2" s="1"/>
  <c r="T903" i="2"/>
  <c r="X903" i="2" s="1"/>
  <c r="T902" i="2"/>
  <c r="X902" i="2" s="1"/>
  <c r="X901" i="2"/>
  <c r="T901" i="2"/>
  <c r="T900" i="2"/>
  <c r="X900" i="2" s="1"/>
  <c r="T899" i="2"/>
  <c r="X899" i="2" s="1"/>
  <c r="X898" i="2"/>
  <c r="T898" i="2"/>
  <c r="X897" i="2"/>
  <c r="T897" i="2"/>
  <c r="T896" i="2"/>
  <c r="X896" i="2" s="1"/>
  <c r="T895" i="2"/>
  <c r="X895" i="2" s="1"/>
  <c r="T894" i="2"/>
  <c r="X894" i="2" s="1"/>
  <c r="X893" i="2"/>
  <c r="T893" i="2"/>
  <c r="T892" i="2"/>
  <c r="X892" i="2" s="1"/>
  <c r="T891" i="2"/>
  <c r="X891" i="2" s="1"/>
  <c r="X890" i="2"/>
  <c r="T890" i="2"/>
  <c r="X889" i="2"/>
  <c r="T889" i="2"/>
  <c r="T888" i="2"/>
  <c r="X888" i="2" s="1"/>
  <c r="T887" i="2"/>
  <c r="X887" i="2" s="1"/>
  <c r="T886" i="2"/>
  <c r="X886" i="2" s="1"/>
  <c r="X885" i="2"/>
  <c r="T885" i="2"/>
  <c r="T884" i="2"/>
  <c r="X884" i="2" s="1"/>
  <c r="T883" i="2"/>
  <c r="X883" i="2" s="1"/>
  <c r="X882" i="2"/>
  <c r="T882" i="2"/>
  <c r="X881" i="2"/>
  <c r="T881" i="2"/>
  <c r="T880" i="2"/>
  <c r="X880" i="2" s="1"/>
  <c r="T879" i="2"/>
  <c r="X879" i="2" s="1"/>
  <c r="T878" i="2"/>
  <c r="X878" i="2" s="1"/>
  <c r="T877" i="2"/>
  <c r="X877" i="2" s="1"/>
  <c r="P874" i="2"/>
  <c r="P875" i="2" s="1"/>
  <c r="K878" i="2"/>
  <c r="E878" i="2"/>
  <c r="H878" i="2" s="1"/>
  <c r="L878" i="2" s="1"/>
  <c r="F877" i="2"/>
  <c r="E877" i="2"/>
  <c r="E876" i="2"/>
  <c r="E875" i="2"/>
  <c r="J874" i="2"/>
  <c r="K874" i="2"/>
  <c r="J916" i="2"/>
  <c r="E874" i="2"/>
  <c r="H874" i="2" s="1"/>
  <c r="J873" i="2"/>
  <c r="E873" i="2"/>
  <c r="G916" i="2"/>
  <c r="F916" i="2"/>
  <c r="L914" i="2"/>
  <c r="H913" i="2"/>
  <c r="L913" i="2" s="1"/>
  <c r="L912" i="2"/>
  <c r="H911" i="2"/>
  <c r="L911" i="2" s="1"/>
  <c r="H910" i="2"/>
  <c r="L910" i="2" s="1"/>
  <c r="L909" i="2"/>
  <c r="H909" i="2"/>
  <c r="H908" i="2"/>
  <c r="L908" i="2" s="1"/>
  <c r="H907" i="2"/>
  <c r="L907" i="2" s="1"/>
  <c r="L906" i="2"/>
  <c r="H906" i="2"/>
  <c r="L905" i="2"/>
  <c r="H905" i="2"/>
  <c r="H904" i="2"/>
  <c r="L904" i="2" s="1"/>
  <c r="H903" i="2"/>
  <c r="L903" i="2" s="1"/>
  <c r="H902" i="2"/>
  <c r="L902" i="2" s="1"/>
  <c r="L901" i="2"/>
  <c r="H901" i="2"/>
  <c r="L900" i="2"/>
  <c r="H900" i="2"/>
  <c r="H899" i="2"/>
  <c r="L899" i="2" s="1"/>
  <c r="L898" i="2"/>
  <c r="H898" i="2"/>
  <c r="L897" i="2"/>
  <c r="H897" i="2"/>
  <c r="H896" i="2"/>
  <c r="L896" i="2" s="1"/>
  <c r="H895" i="2"/>
  <c r="L895" i="2" s="1"/>
  <c r="H894" i="2"/>
  <c r="L894" i="2" s="1"/>
  <c r="L893" i="2"/>
  <c r="H893" i="2"/>
  <c r="H892" i="2"/>
  <c r="L892" i="2" s="1"/>
  <c r="H891" i="2"/>
  <c r="L891" i="2" s="1"/>
  <c r="L890" i="2"/>
  <c r="H890" i="2"/>
  <c r="L889" i="2"/>
  <c r="H889" i="2"/>
  <c r="H888" i="2"/>
  <c r="L888" i="2" s="1"/>
  <c r="H887" i="2"/>
  <c r="L887" i="2" s="1"/>
  <c r="H886" i="2"/>
  <c r="L886" i="2" s="1"/>
  <c r="L885" i="2"/>
  <c r="H885" i="2"/>
  <c r="H884" i="2"/>
  <c r="L884" i="2" s="1"/>
  <c r="H883" i="2"/>
  <c r="L883" i="2" s="1"/>
  <c r="H882" i="2"/>
  <c r="L882" i="2" s="1"/>
  <c r="H881" i="2"/>
  <c r="L881" i="2" s="1"/>
  <c r="H880" i="2"/>
  <c r="L880" i="2" s="1"/>
  <c r="H879" i="2"/>
  <c r="L879" i="2" s="1"/>
  <c r="H877" i="2"/>
  <c r="L877" i="2" s="1"/>
  <c r="H876" i="2"/>
  <c r="L876" i="2" s="1"/>
  <c r="H875" i="2"/>
  <c r="L875" i="2" s="1"/>
  <c r="D874" i="2"/>
  <c r="D875" i="2" s="1"/>
  <c r="D876" i="2" s="1"/>
  <c r="D877" i="2" s="1"/>
  <c r="D878" i="2" s="1"/>
  <c r="AJ873" i="2" l="1"/>
  <c r="AF874" i="2"/>
  <c r="AJ874" i="2" s="1"/>
  <c r="AC916" i="2"/>
  <c r="Q916" i="2"/>
  <c r="T873" i="2"/>
  <c r="T874" i="2"/>
  <c r="X874" i="2" s="1"/>
  <c r="X873" i="2"/>
  <c r="K916" i="2"/>
  <c r="E916" i="2"/>
  <c r="L874" i="2"/>
  <c r="H873" i="2"/>
  <c r="AI822" i="2"/>
  <c r="J825" i="2"/>
  <c r="AJ916" i="2" l="1"/>
  <c r="AF916" i="2"/>
  <c r="X916" i="2"/>
  <c r="T916" i="2"/>
  <c r="L873" i="2"/>
  <c r="L916" i="2" s="1"/>
  <c r="H916" i="2"/>
  <c r="AC822" i="2"/>
  <c r="AF822" i="2" s="1"/>
  <c r="AJ822" i="2" s="1"/>
  <c r="AH821" i="2"/>
  <c r="AH861" i="2" s="1"/>
  <c r="AC821" i="2"/>
  <c r="AH820" i="2"/>
  <c r="AC820" i="2"/>
  <c r="AH819" i="2"/>
  <c r="AD819" i="2"/>
  <c r="AD861" i="2" s="1"/>
  <c r="AC819" i="2"/>
  <c r="AD818" i="2"/>
  <c r="AC818" i="2"/>
  <c r="AE861" i="2"/>
  <c r="AJ859" i="2"/>
  <c r="AF858" i="2"/>
  <c r="AJ858" i="2" s="1"/>
  <c r="AJ857" i="2"/>
  <c r="AF856" i="2"/>
  <c r="AJ856" i="2" s="1"/>
  <c r="AF855" i="2"/>
  <c r="AJ855" i="2" s="1"/>
  <c r="AJ854" i="2"/>
  <c r="AF854" i="2"/>
  <c r="AF853" i="2"/>
  <c r="AJ853" i="2" s="1"/>
  <c r="AF852" i="2"/>
  <c r="AJ852" i="2" s="1"/>
  <c r="AF851" i="2"/>
  <c r="AJ851" i="2" s="1"/>
  <c r="AF850" i="2"/>
  <c r="AJ850" i="2" s="1"/>
  <c r="AJ849" i="2"/>
  <c r="AF849" i="2"/>
  <c r="AF848" i="2"/>
  <c r="AJ848" i="2" s="1"/>
  <c r="AF847" i="2"/>
  <c r="AJ847" i="2" s="1"/>
  <c r="AJ846" i="2"/>
  <c r="AF846" i="2"/>
  <c r="AJ845" i="2"/>
  <c r="AF845" i="2"/>
  <c r="AF844" i="2"/>
  <c r="AJ844" i="2" s="1"/>
  <c r="AF843" i="2"/>
  <c r="AJ843" i="2" s="1"/>
  <c r="AJ842" i="2"/>
  <c r="AF842" i="2"/>
  <c r="AJ841" i="2"/>
  <c r="AF841" i="2"/>
  <c r="AF840" i="2"/>
  <c r="AJ840" i="2" s="1"/>
  <c r="AF839" i="2"/>
  <c r="AJ839" i="2" s="1"/>
  <c r="AJ838" i="2"/>
  <c r="AF838" i="2"/>
  <c r="AJ837" i="2"/>
  <c r="AF837" i="2"/>
  <c r="AF836" i="2"/>
  <c r="AJ836" i="2" s="1"/>
  <c r="AF835" i="2"/>
  <c r="AJ835" i="2" s="1"/>
  <c r="AF834" i="2"/>
  <c r="AJ834" i="2" s="1"/>
  <c r="AJ833" i="2"/>
  <c r="AF833" i="2"/>
  <c r="AF832" i="2"/>
  <c r="AJ832" i="2" s="1"/>
  <c r="AF831" i="2"/>
  <c r="AJ831" i="2" s="1"/>
  <c r="AJ830" i="2"/>
  <c r="AF830" i="2"/>
  <c r="AJ829" i="2"/>
  <c r="AF829" i="2"/>
  <c r="AF828" i="2"/>
  <c r="AJ828" i="2" s="1"/>
  <c r="AF827" i="2"/>
  <c r="AJ827" i="2" s="1"/>
  <c r="AF826" i="2"/>
  <c r="AJ826" i="2" s="1"/>
  <c r="AJ825" i="2"/>
  <c r="AF825" i="2"/>
  <c r="AF824" i="2"/>
  <c r="AJ824" i="2" s="1"/>
  <c r="AI861" i="2"/>
  <c r="AF823" i="2"/>
  <c r="AJ823" i="2" s="1"/>
  <c r="AF821" i="2"/>
  <c r="AB819" i="2"/>
  <c r="AB820" i="2" s="1"/>
  <c r="AB821" i="2" s="1"/>
  <c r="AB822" i="2" s="1"/>
  <c r="V820" i="2"/>
  <c r="V861" i="2" s="1"/>
  <c r="R820" i="2"/>
  <c r="T820" i="2" s="1"/>
  <c r="Q820" i="2"/>
  <c r="Q819" i="2"/>
  <c r="T819" i="2" s="1"/>
  <c r="X819" i="2" s="1"/>
  <c r="W818" i="2"/>
  <c r="W861" i="2" s="1"/>
  <c r="Q818" i="2"/>
  <c r="Q861" i="2" s="1"/>
  <c r="S861" i="2"/>
  <c r="X859" i="2"/>
  <c r="T858" i="2"/>
  <c r="X858" i="2" s="1"/>
  <c r="X857" i="2"/>
  <c r="X856" i="2"/>
  <c r="T856" i="2"/>
  <c r="T855" i="2"/>
  <c r="X855" i="2" s="1"/>
  <c r="X854" i="2"/>
  <c r="T854" i="2"/>
  <c r="X853" i="2"/>
  <c r="T853" i="2"/>
  <c r="T852" i="2"/>
  <c r="X852" i="2" s="1"/>
  <c r="X851" i="2"/>
  <c r="T851" i="2"/>
  <c r="X850" i="2"/>
  <c r="T850" i="2"/>
  <c r="T849" i="2"/>
  <c r="X849" i="2" s="1"/>
  <c r="T848" i="2"/>
  <c r="X848" i="2" s="1"/>
  <c r="T847" i="2"/>
  <c r="X847" i="2" s="1"/>
  <c r="X846" i="2"/>
  <c r="T846" i="2"/>
  <c r="X845" i="2"/>
  <c r="T845" i="2"/>
  <c r="T844" i="2"/>
  <c r="X844" i="2" s="1"/>
  <c r="X843" i="2"/>
  <c r="T843" i="2"/>
  <c r="X842" i="2"/>
  <c r="T842" i="2"/>
  <c r="T841" i="2"/>
  <c r="X841" i="2" s="1"/>
  <c r="T840" i="2"/>
  <c r="X840" i="2" s="1"/>
  <c r="T839" i="2"/>
  <c r="X839" i="2" s="1"/>
  <c r="X838" i="2"/>
  <c r="T838" i="2"/>
  <c r="X837" i="2"/>
  <c r="T837" i="2"/>
  <c r="T836" i="2"/>
  <c r="X836" i="2" s="1"/>
  <c r="X835" i="2"/>
  <c r="T835" i="2"/>
  <c r="X834" i="2"/>
  <c r="T834" i="2"/>
  <c r="T833" i="2"/>
  <c r="X833" i="2" s="1"/>
  <c r="T832" i="2"/>
  <c r="X832" i="2" s="1"/>
  <c r="T831" i="2"/>
  <c r="X831" i="2" s="1"/>
  <c r="T830" i="2"/>
  <c r="X830" i="2" s="1"/>
  <c r="T829" i="2"/>
  <c r="X829" i="2" s="1"/>
  <c r="T828" i="2"/>
  <c r="X828" i="2" s="1"/>
  <c r="T827" i="2"/>
  <c r="X827" i="2" s="1"/>
  <c r="T826" i="2"/>
  <c r="X826" i="2" s="1"/>
  <c r="R861" i="2"/>
  <c r="T825" i="2"/>
  <c r="X825" i="2" s="1"/>
  <c r="T824" i="2"/>
  <c r="X824" i="2" s="1"/>
  <c r="T823" i="2"/>
  <c r="X823" i="2" s="1"/>
  <c r="T822" i="2"/>
  <c r="X822" i="2" s="1"/>
  <c r="T821" i="2"/>
  <c r="X821" i="2" s="1"/>
  <c r="P819" i="2"/>
  <c r="P820" i="2" s="1"/>
  <c r="E828" i="2"/>
  <c r="H828" i="2" s="1"/>
  <c r="L828" i="2" s="1"/>
  <c r="D828" i="2"/>
  <c r="E827" i="2"/>
  <c r="H827" i="2" s="1"/>
  <c r="L827" i="2" s="1"/>
  <c r="E826" i="2"/>
  <c r="H826" i="2" s="1"/>
  <c r="L826" i="2" s="1"/>
  <c r="D826" i="2"/>
  <c r="D827" i="2" s="1"/>
  <c r="E825" i="2"/>
  <c r="H825" i="2" s="1"/>
  <c r="L825" i="2" s="1"/>
  <c r="E824" i="2"/>
  <c r="H824" i="2" s="1"/>
  <c r="L824" i="2" s="1"/>
  <c r="E823" i="2"/>
  <c r="D823" i="2"/>
  <c r="D824" i="2" s="1"/>
  <c r="D825" i="2" s="1"/>
  <c r="E822" i="2"/>
  <c r="E821" i="2"/>
  <c r="D821" i="2"/>
  <c r="D822" i="2" s="1"/>
  <c r="E820" i="2"/>
  <c r="E819" i="2"/>
  <c r="J818" i="2"/>
  <c r="E818" i="2"/>
  <c r="K861" i="2"/>
  <c r="G861" i="2"/>
  <c r="F861" i="2"/>
  <c r="L859" i="2"/>
  <c r="H858" i="2"/>
  <c r="L858" i="2" s="1"/>
  <c r="L857" i="2"/>
  <c r="H856" i="2"/>
  <c r="L856" i="2" s="1"/>
  <c r="L855" i="2"/>
  <c r="H855" i="2"/>
  <c r="L854" i="2"/>
  <c r="H854" i="2"/>
  <c r="H853" i="2"/>
  <c r="L853" i="2" s="1"/>
  <c r="H852" i="2"/>
  <c r="L852" i="2" s="1"/>
  <c r="L851" i="2"/>
  <c r="H851" i="2"/>
  <c r="H850" i="2"/>
  <c r="L850" i="2" s="1"/>
  <c r="H849" i="2"/>
  <c r="L849" i="2" s="1"/>
  <c r="H848" i="2"/>
  <c r="L848" i="2" s="1"/>
  <c r="H847" i="2"/>
  <c r="L847" i="2" s="1"/>
  <c r="L846" i="2"/>
  <c r="H846" i="2"/>
  <c r="H845" i="2"/>
  <c r="L845" i="2" s="1"/>
  <c r="H844" i="2"/>
  <c r="L844" i="2" s="1"/>
  <c r="L843" i="2"/>
  <c r="H843" i="2"/>
  <c r="H842" i="2"/>
  <c r="L842" i="2" s="1"/>
  <c r="H841" i="2"/>
  <c r="L841" i="2" s="1"/>
  <c r="H840" i="2"/>
  <c r="L840" i="2" s="1"/>
  <c r="H839" i="2"/>
  <c r="L839" i="2" s="1"/>
  <c r="L838" i="2"/>
  <c r="H838" i="2"/>
  <c r="H837" i="2"/>
  <c r="L837" i="2" s="1"/>
  <c r="H836" i="2"/>
  <c r="L836" i="2" s="1"/>
  <c r="L835" i="2"/>
  <c r="H835" i="2"/>
  <c r="H834" i="2"/>
  <c r="L834" i="2" s="1"/>
  <c r="H833" i="2"/>
  <c r="L833" i="2" s="1"/>
  <c r="H832" i="2"/>
  <c r="L832" i="2" s="1"/>
  <c r="H831" i="2"/>
  <c r="L831" i="2" s="1"/>
  <c r="L830" i="2"/>
  <c r="H830" i="2"/>
  <c r="H829" i="2"/>
  <c r="L829" i="2" s="1"/>
  <c r="H823" i="2"/>
  <c r="L823" i="2" s="1"/>
  <c r="L822" i="2"/>
  <c r="H822" i="2"/>
  <c r="H821" i="2"/>
  <c r="L821" i="2" s="1"/>
  <c r="H820" i="2"/>
  <c r="L820" i="2" s="1"/>
  <c r="H819" i="2"/>
  <c r="L819" i="2" s="1"/>
  <c r="D819" i="2"/>
  <c r="D820" i="2" s="1"/>
  <c r="J861" i="2"/>
  <c r="H818" i="2"/>
  <c r="AC861" i="2" l="1"/>
  <c r="AJ821" i="2"/>
  <c r="AF819" i="2"/>
  <c r="AJ819" i="2" s="1"/>
  <c r="AF818" i="2"/>
  <c r="AJ818" i="2" s="1"/>
  <c r="AF820" i="2"/>
  <c r="AJ820" i="2" s="1"/>
  <c r="X820" i="2"/>
  <c r="T818" i="2"/>
  <c r="H861" i="2"/>
  <c r="L818" i="2"/>
  <c r="L861" i="2" s="1"/>
  <c r="E861" i="2"/>
  <c r="Q777" i="2"/>
  <c r="Q774" i="2"/>
  <c r="Q773" i="2"/>
  <c r="Q769" i="2"/>
  <c r="Q767" i="2"/>
  <c r="Q766" i="2"/>
  <c r="Q764" i="2"/>
  <c r="AJ861" i="2" l="1"/>
  <c r="AF861" i="2"/>
  <c r="T861" i="2"/>
  <c r="X818" i="2"/>
  <c r="X861" i="2" s="1"/>
  <c r="E764" i="2"/>
  <c r="AI768" i="2" l="1"/>
  <c r="AC768" i="2"/>
  <c r="AC767" i="2"/>
  <c r="AF767" i="2" s="1"/>
  <c r="AJ767" i="2" s="1"/>
  <c r="AC766" i="2"/>
  <c r="AF766" i="2" s="1"/>
  <c r="AJ766" i="2" s="1"/>
  <c r="AC765" i="2"/>
  <c r="AF765" i="2" s="1"/>
  <c r="AJ765" i="2" s="1"/>
  <c r="AH764" i="2"/>
  <c r="AC764" i="2"/>
  <c r="AC763" i="2"/>
  <c r="AC806" i="2" s="1"/>
  <c r="AH806" i="2"/>
  <c r="AE806" i="2"/>
  <c r="AD806" i="2"/>
  <c r="AJ804" i="2"/>
  <c r="AJ803" i="2"/>
  <c r="AF803" i="2"/>
  <c r="AJ802" i="2"/>
  <c r="AF801" i="2"/>
  <c r="AJ801" i="2" s="1"/>
  <c r="AJ800" i="2"/>
  <c r="AF800" i="2"/>
  <c r="AJ799" i="2"/>
  <c r="AF799" i="2"/>
  <c r="AF798" i="2"/>
  <c r="AJ798" i="2" s="1"/>
  <c r="AJ797" i="2"/>
  <c r="AF797" i="2"/>
  <c r="AF796" i="2"/>
  <c r="AJ796" i="2" s="1"/>
  <c r="AF795" i="2"/>
  <c r="AJ795" i="2" s="1"/>
  <c r="AF794" i="2"/>
  <c r="AJ794" i="2" s="1"/>
  <c r="AF793" i="2"/>
  <c r="AJ793" i="2" s="1"/>
  <c r="AJ792" i="2"/>
  <c r="AF792" i="2"/>
  <c r="AJ791" i="2"/>
  <c r="AF791" i="2"/>
  <c r="AF790" i="2"/>
  <c r="AJ790" i="2" s="1"/>
  <c r="AJ789" i="2"/>
  <c r="AF789" i="2"/>
  <c r="AF788" i="2"/>
  <c r="AJ788" i="2" s="1"/>
  <c r="AF787" i="2"/>
  <c r="AJ787" i="2" s="1"/>
  <c r="AF786" i="2"/>
  <c r="AJ786" i="2" s="1"/>
  <c r="AF785" i="2"/>
  <c r="AJ785" i="2" s="1"/>
  <c r="AJ784" i="2"/>
  <c r="AF784" i="2"/>
  <c r="AJ783" i="2"/>
  <c r="AF783" i="2"/>
  <c r="AF782" i="2"/>
  <c r="AJ782" i="2" s="1"/>
  <c r="AJ781" i="2"/>
  <c r="AF781" i="2"/>
  <c r="AF780" i="2"/>
  <c r="AJ780" i="2" s="1"/>
  <c r="AF779" i="2"/>
  <c r="AJ779" i="2" s="1"/>
  <c r="AF778" i="2"/>
  <c r="AJ778" i="2" s="1"/>
  <c r="AF777" i="2"/>
  <c r="AJ777" i="2" s="1"/>
  <c r="AF776" i="2"/>
  <c r="AJ776" i="2" s="1"/>
  <c r="AJ775" i="2"/>
  <c r="AF775" i="2"/>
  <c r="AF774" i="2"/>
  <c r="AJ774" i="2" s="1"/>
  <c r="AJ773" i="2"/>
  <c r="AF773" i="2"/>
  <c r="AF772" i="2"/>
  <c r="AJ772" i="2" s="1"/>
  <c r="AF771" i="2"/>
  <c r="AJ771" i="2" s="1"/>
  <c r="AF770" i="2"/>
  <c r="AJ770" i="2" s="1"/>
  <c r="AF769" i="2"/>
  <c r="AJ769" i="2" s="1"/>
  <c r="AF768" i="2"/>
  <c r="AI806" i="2"/>
  <c r="AF764" i="2"/>
  <c r="AB764" i="2"/>
  <c r="AB765" i="2" s="1"/>
  <c r="AB766" i="2" s="1"/>
  <c r="AB767" i="2" s="1"/>
  <c r="AB768" i="2" s="1"/>
  <c r="V776" i="2"/>
  <c r="Q776" i="2"/>
  <c r="T776" i="2" s="1"/>
  <c r="X776" i="2" s="1"/>
  <c r="W775" i="2"/>
  <c r="Q775" i="2"/>
  <c r="T775" i="2" s="1"/>
  <c r="P776" i="2"/>
  <c r="P777" i="2" s="1"/>
  <c r="T773" i="2"/>
  <c r="X773" i="2" s="1"/>
  <c r="P774" i="2"/>
  <c r="P775" i="2" s="1"/>
  <c r="Q772" i="2"/>
  <c r="T772" i="2" s="1"/>
  <c r="X772" i="2" s="1"/>
  <c r="V771" i="2"/>
  <c r="R771" i="2"/>
  <c r="Q771" i="2"/>
  <c r="V770" i="2"/>
  <c r="R770" i="2"/>
  <c r="R806" i="2" s="1"/>
  <c r="Q770" i="2"/>
  <c r="P770" i="2"/>
  <c r="P771" i="2" s="1"/>
  <c r="P772" i="2" s="1"/>
  <c r="P773" i="2" s="1"/>
  <c r="T769" i="2"/>
  <c r="X769" i="2" s="1"/>
  <c r="W768" i="2"/>
  <c r="Q768" i="2"/>
  <c r="T768" i="2" s="1"/>
  <c r="W767" i="2"/>
  <c r="Q765" i="2"/>
  <c r="V764" i="2"/>
  <c r="V763" i="2"/>
  <c r="Q763" i="2"/>
  <c r="W806" i="2"/>
  <c r="S806" i="2"/>
  <c r="X804" i="2"/>
  <c r="T803" i="2"/>
  <c r="X803" i="2" s="1"/>
  <c r="X802" i="2"/>
  <c r="T801" i="2"/>
  <c r="X801" i="2" s="1"/>
  <c r="X800" i="2"/>
  <c r="T800" i="2"/>
  <c r="T799" i="2"/>
  <c r="X799" i="2" s="1"/>
  <c r="X798" i="2"/>
  <c r="T798" i="2"/>
  <c r="T797" i="2"/>
  <c r="X797" i="2" s="1"/>
  <c r="T796" i="2"/>
  <c r="X796" i="2" s="1"/>
  <c r="T795" i="2"/>
  <c r="X795" i="2" s="1"/>
  <c r="X794" i="2"/>
  <c r="T794" i="2"/>
  <c r="T793" i="2"/>
  <c r="X793" i="2" s="1"/>
  <c r="X792" i="2"/>
  <c r="T792" i="2"/>
  <c r="T791" i="2"/>
  <c r="X791" i="2" s="1"/>
  <c r="X790" i="2"/>
  <c r="T790" i="2"/>
  <c r="T789" i="2"/>
  <c r="X789" i="2" s="1"/>
  <c r="T788" i="2"/>
  <c r="X788" i="2" s="1"/>
  <c r="T787" i="2"/>
  <c r="X787" i="2" s="1"/>
  <c r="X786" i="2"/>
  <c r="T786" i="2"/>
  <c r="T785" i="2"/>
  <c r="X785" i="2" s="1"/>
  <c r="X784" i="2"/>
  <c r="T784" i="2"/>
  <c r="T783" i="2"/>
  <c r="X783" i="2" s="1"/>
  <c r="X782" i="2"/>
  <c r="T782" i="2"/>
  <c r="T781" i="2"/>
  <c r="X781" i="2" s="1"/>
  <c r="T780" i="2"/>
  <c r="X780" i="2" s="1"/>
  <c r="T779" i="2"/>
  <c r="X779" i="2" s="1"/>
  <c r="X778" i="2"/>
  <c r="T778" i="2"/>
  <c r="T777" i="2"/>
  <c r="X777" i="2" s="1"/>
  <c r="T774" i="2"/>
  <c r="X774" i="2" s="1"/>
  <c r="T771" i="2"/>
  <c r="X771" i="2" s="1"/>
  <c r="T767" i="2"/>
  <c r="X767" i="2" s="1"/>
  <c r="T766" i="2"/>
  <c r="X766" i="2" s="1"/>
  <c r="T765" i="2"/>
  <c r="X765" i="2" s="1"/>
  <c r="T764" i="2"/>
  <c r="P764" i="2"/>
  <c r="P765" i="2" s="1"/>
  <c r="P766" i="2" s="1"/>
  <c r="P767" i="2" s="1"/>
  <c r="P768" i="2" s="1"/>
  <c r="P769" i="2" s="1"/>
  <c r="E765" i="2"/>
  <c r="H765" i="2" s="1"/>
  <c r="L765" i="2" s="1"/>
  <c r="F764" i="2"/>
  <c r="F806" i="2" s="1"/>
  <c r="J763" i="2"/>
  <c r="E763" i="2"/>
  <c r="J806" i="2"/>
  <c r="G806" i="2"/>
  <c r="L804" i="2"/>
  <c r="H803" i="2"/>
  <c r="L803" i="2" s="1"/>
  <c r="L802" i="2"/>
  <c r="H801" i="2"/>
  <c r="L801" i="2" s="1"/>
  <c r="H800" i="2"/>
  <c r="L800" i="2" s="1"/>
  <c r="L799" i="2"/>
  <c r="H799" i="2"/>
  <c r="H798" i="2"/>
  <c r="L798" i="2" s="1"/>
  <c r="L797" i="2"/>
  <c r="H797" i="2"/>
  <c r="H796" i="2"/>
  <c r="L796" i="2" s="1"/>
  <c r="H795" i="2"/>
  <c r="L795" i="2" s="1"/>
  <c r="L794" i="2"/>
  <c r="H794" i="2"/>
  <c r="H793" i="2"/>
  <c r="L793" i="2" s="1"/>
  <c r="H792" i="2"/>
  <c r="L792" i="2" s="1"/>
  <c r="L791" i="2"/>
  <c r="H791" i="2"/>
  <c r="H790" i="2"/>
  <c r="L790" i="2" s="1"/>
  <c r="L789" i="2"/>
  <c r="H789" i="2"/>
  <c r="H788" i="2"/>
  <c r="L788" i="2" s="1"/>
  <c r="H787" i="2"/>
  <c r="L787" i="2" s="1"/>
  <c r="H786" i="2"/>
  <c r="L786" i="2" s="1"/>
  <c r="H785" i="2"/>
  <c r="L785" i="2" s="1"/>
  <c r="H784" i="2"/>
  <c r="L784" i="2" s="1"/>
  <c r="L783" i="2"/>
  <c r="H783" i="2"/>
  <c r="H782" i="2"/>
  <c r="L782" i="2" s="1"/>
  <c r="L781" i="2"/>
  <c r="H781" i="2"/>
  <c r="H780" i="2"/>
  <c r="L780" i="2" s="1"/>
  <c r="H779" i="2"/>
  <c r="L779" i="2" s="1"/>
  <c r="H778" i="2"/>
  <c r="L778" i="2" s="1"/>
  <c r="H777" i="2"/>
  <c r="L777" i="2" s="1"/>
  <c r="H776" i="2"/>
  <c r="L776" i="2" s="1"/>
  <c r="L775" i="2"/>
  <c r="H775" i="2"/>
  <c r="H774" i="2"/>
  <c r="L774" i="2" s="1"/>
  <c r="L773" i="2"/>
  <c r="H773" i="2"/>
  <c r="H772" i="2"/>
  <c r="L772" i="2" s="1"/>
  <c r="H771" i="2"/>
  <c r="L771" i="2" s="1"/>
  <c r="H770" i="2"/>
  <c r="L770" i="2" s="1"/>
  <c r="H769" i="2"/>
  <c r="L769" i="2" s="1"/>
  <c r="H768" i="2"/>
  <c r="L768" i="2" s="1"/>
  <c r="L767" i="2"/>
  <c r="H767" i="2"/>
  <c r="H766" i="2"/>
  <c r="L766" i="2" s="1"/>
  <c r="K806" i="2"/>
  <c r="D764" i="2"/>
  <c r="D765" i="2" s="1"/>
  <c r="H763" i="2"/>
  <c r="AJ768" i="2" l="1"/>
  <c r="AJ764" i="2"/>
  <c r="AF763" i="2"/>
  <c r="AF806" i="2"/>
  <c r="AJ763" i="2"/>
  <c r="X775" i="2"/>
  <c r="V806" i="2"/>
  <c r="T770" i="2"/>
  <c r="X770" i="2" s="1"/>
  <c r="X768" i="2"/>
  <c r="Q806" i="2"/>
  <c r="X764" i="2"/>
  <c r="T763" i="2"/>
  <c r="H764" i="2"/>
  <c r="L764" i="2" s="1"/>
  <c r="L763" i="2"/>
  <c r="H806" i="2"/>
  <c r="E806" i="2"/>
  <c r="AI713" i="2"/>
  <c r="AC713" i="2"/>
  <c r="AF713" i="2" s="1"/>
  <c r="AJ713" i="2" s="1"/>
  <c r="AH712" i="2"/>
  <c r="AI712" i="2"/>
  <c r="AI751" i="2" s="1"/>
  <c r="AH751" i="2"/>
  <c r="AC712" i="2"/>
  <c r="AF712" i="2" s="1"/>
  <c r="AC711" i="2"/>
  <c r="AC710" i="2"/>
  <c r="AF710" i="2" s="1"/>
  <c r="AJ710" i="2" s="1"/>
  <c r="AD709" i="2"/>
  <c r="AD751" i="2" s="1"/>
  <c r="AC709" i="2"/>
  <c r="AF709" i="2" s="1"/>
  <c r="AJ709" i="2" s="1"/>
  <c r="AD708" i="2"/>
  <c r="AC708" i="2"/>
  <c r="AE751" i="2"/>
  <c r="AJ749" i="2"/>
  <c r="AF748" i="2"/>
  <c r="AJ748" i="2" s="1"/>
  <c r="AJ747" i="2"/>
  <c r="AF746" i="2"/>
  <c r="AJ746" i="2" s="1"/>
  <c r="AJ745" i="2"/>
  <c r="AF745" i="2"/>
  <c r="AJ744" i="2"/>
  <c r="AF744" i="2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J737" i="2"/>
  <c r="AF737" i="2"/>
  <c r="AJ736" i="2"/>
  <c r="AF736" i="2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J729" i="2"/>
  <c r="AF729" i="2"/>
  <c r="AJ728" i="2"/>
  <c r="AF728" i="2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J721" i="2"/>
  <c r="AF721" i="2"/>
  <c r="AJ720" i="2"/>
  <c r="AF720" i="2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F711" i="2"/>
  <c r="AJ711" i="2" s="1"/>
  <c r="AB709" i="2"/>
  <c r="AB710" i="2" s="1"/>
  <c r="AB711" i="2" s="1"/>
  <c r="AB712" i="2" s="1"/>
  <c r="AB713" i="2" s="1"/>
  <c r="AF708" i="2"/>
  <c r="Q714" i="2"/>
  <c r="V713" i="2"/>
  <c r="R713" i="2"/>
  <c r="T713" i="2" s="1"/>
  <c r="Q713" i="2"/>
  <c r="V712" i="2"/>
  <c r="Q712" i="2"/>
  <c r="T712" i="2" s="1"/>
  <c r="W751" i="2"/>
  <c r="Q711" i="2"/>
  <c r="T711" i="2" s="1"/>
  <c r="X711" i="2" s="1"/>
  <c r="Q710" i="2"/>
  <c r="W710" i="2"/>
  <c r="V710" i="2"/>
  <c r="R710" i="2"/>
  <c r="V709" i="2"/>
  <c r="R709" i="2"/>
  <c r="Q709" i="2"/>
  <c r="V708" i="2"/>
  <c r="Q708" i="2"/>
  <c r="S751" i="2"/>
  <c r="X749" i="2"/>
  <c r="T748" i="2"/>
  <c r="X748" i="2" s="1"/>
  <c r="X747" i="2"/>
  <c r="T746" i="2"/>
  <c r="X746" i="2" s="1"/>
  <c r="X745" i="2"/>
  <c r="T745" i="2"/>
  <c r="X744" i="2"/>
  <c r="T744" i="2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X737" i="2"/>
  <c r="T737" i="2"/>
  <c r="X736" i="2"/>
  <c r="T736" i="2"/>
  <c r="T735" i="2"/>
  <c r="X735" i="2" s="1"/>
  <c r="T734" i="2"/>
  <c r="X734" i="2" s="1"/>
  <c r="T733" i="2"/>
  <c r="X733" i="2" s="1"/>
  <c r="X732" i="2"/>
  <c r="T732" i="2"/>
  <c r="T731" i="2"/>
  <c r="X731" i="2" s="1"/>
  <c r="T730" i="2"/>
  <c r="X730" i="2" s="1"/>
  <c r="X729" i="2"/>
  <c r="T729" i="2"/>
  <c r="X728" i="2"/>
  <c r="T728" i="2"/>
  <c r="T727" i="2"/>
  <c r="X727" i="2" s="1"/>
  <c r="T726" i="2"/>
  <c r="X726" i="2" s="1"/>
  <c r="T725" i="2"/>
  <c r="X725" i="2" s="1"/>
  <c r="X724" i="2"/>
  <c r="T724" i="2"/>
  <c r="T723" i="2"/>
  <c r="X723" i="2" s="1"/>
  <c r="T722" i="2"/>
  <c r="X722" i="2" s="1"/>
  <c r="X721" i="2"/>
  <c r="T721" i="2"/>
  <c r="X720" i="2"/>
  <c r="T720" i="2"/>
  <c r="T719" i="2"/>
  <c r="X719" i="2" s="1"/>
  <c r="T718" i="2"/>
  <c r="X718" i="2" s="1"/>
  <c r="T717" i="2"/>
  <c r="X717" i="2" s="1"/>
  <c r="T716" i="2"/>
  <c r="X716" i="2" s="1"/>
  <c r="T715" i="2"/>
  <c r="X715" i="2" s="1"/>
  <c r="T714" i="2"/>
  <c r="X714" i="2" s="1"/>
  <c r="T709" i="2"/>
  <c r="X709" i="2" s="1"/>
  <c r="P709" i="2"/>
  <c r="P710" i="2" s="1"/>
  <c r="P711" i="2" s="1"/>
  <c r="P712" i="2" s="1"/>
  <c r="P713" i="2" s="1"/>
  <c r="P714" i="2" s="1"/>
  <c r="T708" i="2"/>
  <c r="K711" i="2"/>
  <c r="E711" i="2"/>
  <c r="K710" i="2"/>
  <c r="J710" i="2"/>
  <c r="E710" i="2"/>
  <c r="F710" i="2"/>
  <c r="F751" i="2" s="1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L744" i="2"/>
  <c r="H744" i="2"/>
  <c r="H743" i="2"/>
  <c r="L743" i="2" s="1"/>
  <c r="H742" i="2"/>
  <c r="L742" i="2" s="1"/>
  <c r="L741" i="2"/>
  <c r="H741" i="2"/>
  <c r="H740" i="2"/>
  <c r="L740" i="2" s="1"/>
  <c r="H739" i="2"/>
  <c r="L739" i="2" s="1"/>
  <c r="H738" i="2"/>
  <c r="L738" i="2" s="1"/>
  <c r="H737" i="2"/>
  <c r="L737" i="2" s="1"/>
  <c r="L736" i="2"/>
  <c r="H736" i="2"/>
  <c r="H735" i="2"/>
  <c r="L735" i="2" s="1"/>
  <c r="H734" i="2"/>
  <c r="L734" i="2" s="1"/>
  <c r="L733" i="2"/>
  <c r="H733" i="2"/>
  <c r="H732" i="2"/>
  <c r="L732" i="2" s="1"/>
  <c r="H731" i="2"/>
  <c r="L731" i="2" s="1"/>
  <c r="H730" i="2"/>
  <c r="L730" i="2" s="1"/>
  <c r="H729" i="2"/>
  <c r="L729" i="2" s="1"/>
  <c r="L728" i="2"/>
  <c r="H728" i="2"/>
  <c r="H727" i="2"/>
  <c r="L727" i="2" s="1"/>
  <c r="H726" i="2"/>
  <c r="L726" i="2" s="1"/>
  <c r="L725" i="2"/>
  <c r="H725" i="2"/>
  <c r="H724" i="2"/>
  <c r="L724" i="2" s="1"/>
  <c r="H723" i="2"/>
  <c r="L723" i="2" s="1"/>
  <c r="H722" i="2"/>
  <c r="L722" i="2" s="1"/>
  <c r="H721" i="2"/>
  <c r="L721" i="2" s="1"/>
  <c r="L720" i="2"/>
  <c r="H720" i="2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L806" i="2" l="1"/>
  <c r="AJ806" i="2"/>
  <c r="T806" i="2"/>
  <c r="X763" i="2"/>
  <c r="X806" i="2" s="1"/>
  <c r="AJ712" i="2"/>
  <c r="AF751" i="2"/>
  <c r="AJ708" i="2"/>
  <c r="AC751" i="2"/>
  <c r="X713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5" i="2"/>
  <c r="AJ605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L602" i="2" l="1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J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/>
  <c r="AF522" i="2"/>
  <c r="AJ522" i="2"/>
  <c r="AF523" i="2"/>
  <c r="AJ523" i="2" s="1"/>
  <c r="AF524" i="2"/>
  <c r="AJ524" i="2" s="1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/>
  <c r="L529" i="2"/>
  <c r="G531" i="2"/>
  <c r="AF498" i="2" l="1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X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L437" i="2" l="1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R421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/>
  <c r="H291" i="2"/>
  <c r="L291" i="2" s="1"/>
  <c r="H292" i="2"/>
  <c r="L292" i="2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/>
  <c r="H305" i="2"/>
  <c r="L305" i="2"/>
  <c r="H306" i="2"/>
  <c r="L306" i="2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/>
  <c r="T240" i="2"/>
  <c r="X240" i="2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/>
  <c r="T249" i="2"/>
  <c r="X249" i="2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K201" i="2" s="1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/>
  <c r="H169" i="2"/>
  <c r="L169" i="2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X163" i="2" l="1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F52" i="2" l="1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D28" i="1" s="1"/>
  <c r="J29" i="1"/>
  <c r="D29" i="1" s="1"/>
  <c r="J30" i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D763" authorId="0" shapeId="0" xr:uid="{993C665A-30E6-4004-9138-327B42D3F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763" authorId="0" shapeId="0" xr:uid="{490ABFF3-625B-438E-A762-8B3D6CB36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
DATU TANGKILAN</t>
        </r>
      </text>
    </comment>
    <comment ref="AB763" authorId="0" shapeId="0" xr:uid="{1772425E-5B06-42DD-86EB-DA53D8BBBE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D764" authorId="0" shapeId="0" xr:uid="{DCF2F788-2B0F-43E3-A6ED-38D704DD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
</t>
        </r>
      </text>
    </comment>
    <comment ref="P764" authorId="0" shapeId="0" xr:uid="{335DD2A8-523E-468F-95B7-7E3ADDFBE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</t>
        </r>
      </text>
    </comment>
    <comment ref="AB764" authorId="0" shapeId="0" xr:uid="{A62DF3F5-0395-486C-ADC4-35FDD0146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
BAYBAY,LILOY</t>
        </r>
      </text>
    </comment>
    <comment ref="D765" authorId="0" shapeId="0" xr:uid="{5A9E6594-1A5E-4E85-B6E9-D859D20E7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DENUYAN</t>
        </r>
      </text>
    </comment>
    <comment ref="P765" authorId="0" shapeId="0" xr:uid="{370F2DD6-7028-45F7-8A69-E469F92C0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
DATU TANGKILAN</t>
        </r>
      </text>
    </comment>
    <comment ref="AB765" authorId="0" shapeId="0" xr:uid="{63352154-7429-40C3-B69F-9993B7DA1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 LILOY</t>
        </r>
      </text>
    </comment>
    <comment ref="P766" authorId="0" shapeId="0" xr:uid="{C27D6CCF-EE53-4086-A196-0BBA34CEA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 STORE
MARAS</t>
        </r>
      </text>
    </comment>
    <comment ref="AB766" authorId="0" shapeId="0" xr:uid="{ED15983D-ED43-43C3-9E9A-34AEC6E90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 LILOY</t>
        </r>
      </text>
    </comment>
    <comment ref="P767" authorId="0" shapeId="0" xr:uid="{04143C28-AE6D-4B1A-B409-4F5B4083B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
</t>
        </r>
      </text>
    </comment>
    <comment ref="AB767" authorId="0" shapeId="0" xr:uid="{4C069D74-B8A0-4564-BC9E-5E3916863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P768" authorId="0" shapeId="0" xr:uid="{6973BDF3-DE75-4D86-A5B3-6C0E440C2C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
MARAS</t>
        </r>
      </text>
    </comment>
    <comment ref="AB768" authorId="0" shapeId="0" xr:uid="{85536E61-2339-472D-B198-CE3E7D5D3E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,SALUG</t>
        </r>
      </text>
    </comment>
    <comment ref="P769" authorId="0" shapeId="0" xr:uid="{66901072-2A7C-444B-8E98-E1CFEE6A4A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BILLLONES STORE
MARAS</t>
        </r>
      </text>
    </comment>
    <comment ref="P770" authorId="0" shapeId="0" xr:uid="{22D94DDF-DC79-468B-85AC-C5AF6595E6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P771" authorId="0" shapeId="0" xr:uid="{597A1995-EA20-49F7-A272-CEC75047A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POB. SINDANGAN</t>
        </r>
      </text>
    </comment>
    <comment ref="P772" authorId="0" shapeId="0" xr:uid="{A506B50F-3E54-494A-9C8A-C1FFB1553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POB. SINDANGAN</t>
        </r>
      </text>
    </comment>
    <comment ref="P773" authorId="0" shapeId="0" xr:uid="{7DA2BD7D-4E71-4DBD-A159-A9AEB180D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
GOLEO</t>
        </r>
      </text>
    </comment>
    <comment ref="P774" authorId="0" shapeId="0" xr:uid="{D952F9D6-6446-4B9D-B2AE-FE5FECAB9B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GOLEO</t>
        </r>
      </text>
    </comment>
    <comment ref="P775" authorId="0" shapeId="0" xr:uid="{7D9209B6-9E3A-4607-AE6A-2D52BEB2F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P776" authorId="0" shapeId="0" xr:uid="{6A5D5CC5-2A37-437B-8DF3-F12E7636D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CITA ESPAÑOLA STORE
INUMAN</t>
        </r>
      </text>
    </comment>
    <comment ref="P777" authorId="0" shapeId="0" xr:uid="{B90AEC0E-9040-4B3A-878B-6177F303F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 CAÑETE
GOLEO</t>
        </r>
      </text>
    </comment>
    <comment ref="D818" authorId="0" shapeId="0" xr:uid="{54AC8827-AF9E-456D-9EED-96640BA35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PIZON,ALEJANDRO
POB.SIAYAN</t>
        </r>
      </text>
    </comment>
    <comment ref="P818" authorId="0" shapeId="0" xr:uid="{847FAD94-0138-4322-BE7A-14CE99889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GOLEO</t>
        </r>
      </text>
    </comment>
    <comment ref="AB818" authorId="0" shapeId="0" xr:uid="{46AD4417-0EC4-4C10-898A-F017FCD5D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POB.SALUG</t>
        </r>
      </text>
    </comment>
    <comment ref="D819" authorId="0" shapeId="0" xr:uid="{6F9E55C3-D756-42EF-A2A8-2B0EEE3C2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P819" authorId="0" shapeId="0" xr:uid="{12B8866D-3B03-4D3B-82DF-77298EDA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DEXTER
MARAS</t>
        </r>
      </text>
    </comment>
    <comment ref="AB819" authorId="0" shapeId="0" xr:uid="{CBAA9212-A3BE-49F0-97E9-F37EF8C6FE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 SALUG</t>
        </r>
      </text>
    </comment>
    <comment ref="D820" authorId="0" shapeId="0" xr:uid="{50FED673-C127-41C1-9A30-45E8F094C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</t>
        </r>
      </text>
    </comment>
    <comment ref="P820" authorId="0" shapeId="0" xr:uid="{E8AC4DC6-F380-476A-9A35-4B51A412B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POB.LEON POSTIGO</t>
        </r>
      </text>
    </comment>
    <comment ref="AB820" authorId="0" shapeId="0" xr:uid="{800F6454-CD8D-4AD7-9072-B583FF4FA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BACONG. SALUG</t>
        </r>
      </text>
    </comment>
    <comment ref="D821" authorId="0" shapeId="0" xr:uid="{305E763D-4FE0-410A-97CE-85C33E5D7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821" authorId="0" shapeId="0" xr:uid="{9C4191D1-C569-4372-A8AA-7FAF41B56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D822" authorId="0" shapeId="0" xr:uid="{6383F3BE-264B-469C-B23C-A73BC948A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MARJO MAGTAJAS</t>
        </r>
      </text>
    </comment>
    <comment ref="AB822" authorId="0" shapeId="0" xr:uid="{31A68BCB-658B-4260-8FC3-60996FB19A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823" authorId="0" shapeId="0" xr:uid="{BEF61673-4042-4BED-8A4C-AF733493E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
POB. SINDANGAN</t>
        </r>
      </text>
    </comment>
    <comment ref="D824" authorId="0" shapeId="0" xr:uid="{4E2B5424-E79B-4901-B2A0-16FF81AE58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</t>
        </r>
      </text>
    </comment>
    <comment ref="D825" authorId="0" shapeId="0" xr:uid="{9C9E9121-6C98-47E1-9CD3-5F6D00077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POB. SINDANGAN</t>
        </r>
      </text>
    </comment>
    <comment ref="D826" authorId="0" shapeId="0" xr:uid="{702608E7-A5D3-4099-9B63-B608AA7F9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D827" authorId="0" shapeId="0" xr:uid="{7E91B49D-A64E-449A-9427-BB3C86993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SINGANGAN</t>
        </r>
      </text>
    </comment>
    <comment ref="D828" authorId="0" shapeId="0" xr:uid="{009AA343-C073-46A2-920C-A210F570D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 STORE
DAPAON</t>
        </r>
      </text>
    </comment>
    <comment ref="D873" authorId="0" shapeId="0" xr:uid="{3BA760AF-A5B9-416C-94FA-85BB4C42D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STORE
MAYSAYSAY</t>
        </r>
      </text>
    </comment>
    <comment ref="P873" authorId="0" shapeId="0" xr:uid="{F705BB7D-26F6-444B-840B-C2993BBE2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 EATERY
INUMAN</t>
        </r>
      </text>
    </comment>
    <comment ref="AB873" authorId="0" shapeId="0" xr:uid="{535784CE-8D9E-4F66-91F8-AF6413177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
BAYBAY LILOY</t>
        </r>
      </text>
    </comment>
    <comment ref="D874" authorId="0" shapeId="0" xr:uid="{E345F593-FA0B-4ED9-8D0C-F62BFF5008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4" authorId="0" shapeId="0" xr:uid="{49A48D78-7E2B-4EE3-8918-184BE6864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POB. SINDANGAN</t>
        </r>
      </text>
    </comment>
    <comment ref="AB874" authorId="0" shapeId="0" xr:uid="{2C7527AA-67A1-4E86-BF6C-8FD1A3097D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
POBLACION, SALUG</t>
        </r>
      </text>
    </comment>
    <comment ref="D875" authorId="0" shapeId="0" xr:uid="{4294BD63-484A-4539-9AC3-079A33DC2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5" authorId="0" shapeId="0" xr:uid="{A9598E0D-30D7-4776-994B-CBD3EC704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BELLARMINO JOHNA
DATU TANGKILAN</t>
        </r>
      </text>
    </comment>
    <comment ref="AB875" authorId="0" shapeId="0" xr:uid="{07EFEE9E-A209-4449-BC65-A341233EDA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 LILOY</t>
        </r>
      </text>
    </comment>
    <comment ref="D876" authorId="0" shapeId="0" xr:uid="{BE05A9D4-3AB9-40AA-943A-777B56F97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DELMAR VILLARIN</t>
        </r>
      </text>
    </comment>
    <comment ref="P876" authorId="0" shapeId="0" xr:uid="{29325381-FAF3-498B-AB44-9607FD95C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</t>
        </r>
      </text>
    </comment>
    <comment ref="D877" authorId="0" shapeId="0" xr:uid="{5A864B14-8E7C-4EBB-B565-29B8539A34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877" authorId="0" shapeId="0" xr:uid="{52354F98-085D-410F-B720-11127C1DD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JENNY
POB.SINDANGAN</t>
        </r>
      </text>
    </comment>
    <comment ref="D878" authorId="0" shapeId="0" xr:uid="{BE62F38F-C79A-429C-A6B2-2145B9BB4D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 SIAYAN</t>
        </r>
      </text>
    </comment>
  </commentList>
</comments>
</file>

<file path=xl/sharedStrings.xml><?xml version="1.0" encoding="utf-8"?>
<sst xmlns="http://schemas.openxmlformats.org/spreadsheetml/2006/main" count="1192" uniqueCount="87">
  <si>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</si>
  <si>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</si>
  <si>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</si>
  <si>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</si>
  <si>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</si>
  <si>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</si>
  <si>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</si>
  <si>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</si>
  <si>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</si>
  <si>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</si>
  <si>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</si>
  <si>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</si>
  <si>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</si>
  <si>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</si>
  <si>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</si>
  <si>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</si>
  <si>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</si>
  <si>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</si>
  <si>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</si>
  <si>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</si>
  <si>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</si>
  <si>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</si>
  <si>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</si>
  <si>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</si>
  <si>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</si>
  <si>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</si>
  <si>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</si>
  <si>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</si>
  <si>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</si>
  <si>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</si>
  <si>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</si>
  <si>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</si>
  <si>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</si>
  <si>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</si>
  <si>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</si>
  <si>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</si>
  <si>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</si>
  <si>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</si>
  <si>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</si>
  <si>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</si>
  <si>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</si>
  <si>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</si>
  <si>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</si>
  <si>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</si>
  <si>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</si>
  <si>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</si>
  <si>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</si>
  <si>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</si>
  <si>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</si>
  <si>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</si>
  <si>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</si>
  <si>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</si>
  <si>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</si>
  <si>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</si>
  <si>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</si>
  <si>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</si>
  <si>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</si>
  <si>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</si>
  <si>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</si>
  <si>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</si>
  <si>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</si>
  <si>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</si>
  <si>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</si>
  <si>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</si>
  <si>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</si>
  <si>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</si>
  <si>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</si>
  <si>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</si>
  <si>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</si>
  <si>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</si>
  <si>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</si>
  <si>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</si>
  <si>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</si>
  <si>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</si>
  <si>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</si>
  <si>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</si>
  <si>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</si>
  <si>
    <t>AUGUST 18, 2026</t>
  </si>
  <si>
    <t>08/18/2026</t>
  </si>
  <si>
    <t>11931-11933/11843-11857/11886-11891</t>
  </si>
  <si>
    <t>AUGUST 19, 2026</t>
  </si>
  <si>
    <t>08/19/2026</t>
  </si>
  <si>
    <t>LOPEZ, GINA GRACE</t>
  </si>
  <si>
    <t>11934-11944/11958-11960/11892-11896</t>
  </si>
  <si>
    <t>AUGUST 20, 2026</t>
  </si>
  <si>
    <t>08/20/2026</t>
  </si>
  <si>
    <t>11945-11950/11961-11965/11898-11897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</si>
</sst>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0" zoomScaleNormal="100" workbookViewId="0">
      <selection activeCell="P36" sqref="P35:P3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9" t="s">
        <v>38</v>
      </c>
      <c r="B6" s="10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 t="s">
        <v>79</v>
      </c>
      <c r="D27" s="16">
        <f t="shared" si="2"/>
        <v>841127</v>
      </c>
      <c r="F27" s="14">
        <v>444618</v>
      </c>
      <c r="G27" s="14">
        <v>192083</v>
      </c>
      <c r="H27" s="14">
        <v>204426</v>
      </c>
      <c r="I27" s="14"/>
      <c r="J27" s="17">
        <f t="shared" si="3"/>
        <v>841127</v>
      </c>
    </row>
    <row r="28" spans="1:10" x14ac:dyDescent="0.25">
      <c r="A28" s="10">
        <f t="shared" si="1"/>
        <v>19</v>
      </c>
      <c r="B28" s="54" t="s">
        <v>9</v>
      </c>
      <c r="C28" s="12" t="s">
        <v>83</v>
      </c>
      <c r="D28" s="16">
        <f t="shared" si="2"/>
        <v>818397.5</v>
      </c>
      <c r="F28" s="14">
        <v>345321</v>
      </c>
      <c r="G28" s="14">
        <v>215351.5</v>
      </c>
      <c r="H28" s="14">
        <v>257725</v>
      </c>
      <c r="I28" s="14"/>
      <c r="J28" s="17">
        <f t="shared" si="3"/>
        <v>818397.5</v>
      </c>
    </row>
    <row r="29" spans="1:10" x14ac:dyDescent="0.25">
      <c r="A29" s="10">
        <f t="shared" si="1"/>
        <v>20</v>
      </c>
      <c r="B29" s="11" t="s">
        <v>30</v>
      </c>
      <c r="C29" s="12" t="s">
        <v>86</v>
      </c>
      <c r="D29" s="16">
        <f t="shared" si="2"/>
        <v>1039492</v>
      </c>
      <c r="F29" s="14">
        <v>565942</v>
      </c>
      <c r="G29" s="14">
        <v>66991</v>
      </c>
      <c r="H29" s="14">
        <v>406559</v>
      </c>
      <c r="I29" s="14"/>
      <c r="J29" s="17">
        <f t="shared" si="3"/>
        <v>1039492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10" t="s">
        <v>10</v>
      </c>
      <c r="B42" s="111"/>
      <c r="C42" s="112"/>
      <c r="D42" s="46">
        <f>SUM(D2:D41)</f>
        <v>12811252.5</v>
      </c>
      <c r="J42" s="47">
        <f>SUM(J10:J41)</f>
        <v>12811252.5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abSelected="1" topLeftCell="F883" zoomScale="93" zoomScaleNormal="93" workbookViewId="0">
      <selection activeCell="Q901" sqref="Q901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7" t="s">
        <v>17</v>
      </c>
      <c r="F10" s="117"/>
      <c r="G10" s="88"/>
      <c r="H10" s="27"/>
      <c r="J10" s="113" t="s">
        <v>18</v>
      </c>
      <c r="K10" s="114"/>
      <c r="L10" s="115" t="s">
        <v>19</v>
      </c>
      <c r="O10" s="25"/>
      <c r="P10" s="26"/>
      <c r="Q10" s="117" t="s">
        <v>17</v>
      </c>
      <c r="R10" s="117"/>
      <c r="S10" s="73"/>
      <c r="T10" s="27"/>
      <c r="V10" s="113" t="s">
        <v>18</v>
      </c>
      <c r="W10" s="114"/>
      <c r="X10" s="115" t="s">
        <v>19</v>
      </c>
      <c r="AA10" s="25"/>
      <c r="AB10" s="26"/>
      <c r="AC10" s="117" t="s">
        <v>17</v>
      </c>
      <c r="AD10" s="117"/>
      <c r="AE10" s="73"/>
      <c r="AF10" s="27"/>
      <c r="AH10" s="113" t="s">
        <v>18</v>
      </c>
      <c r="AI10" s="114"/>
      <c r="AJ10" s="115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6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6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6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7" t="s">
        <v>17</v>
      </c>
      <c r="F46" s="117"/>
      <c r="G46" s="89"/>
      <c r="H46" s="27"/>
      <c r="J46" s="113" t="s">
        <v>18</v>
      </c>
      <c r="K46" s="114"/>
      <c r="L46" s="115" t="s">
        <v>19</v>
      </c>
      <c r="O46" s="25"/>
      <c r="P46" s="26"/>
      <c r="Q46" s="117" t="s">
        <v>17</v>
      </c>
      <c r="R46" s="117"/>
      <c r="S46" s="89"/>
      <c r="T46" s="27"/>
      <c r="V46" s="113" t="s">
        <v>18</v>
      </c>
      <c r="W46" s="114"/>
      <c r="X46" s="115" t="s">
        <v>19</v>
      </c>
      <c r="AA46" s="25"/>
      <c r="AB46" s="26"/>
      <c r="AC46" s="117" t="s">
        <v>17</v>
      </c>
      <c r="AD46" s="117"/>
      <c r="AE46" s="89"/>
      <c r="AF46" s="27"/>
      <c r="AH46" s="113" t="s">
        <v>18</v>
      </c>
      <c r="AI46" s="114"/>
      <c r="AJ46" s="115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6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6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6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19"/>
      <c r="AP48" s="119"/>
      <c r="AQ48" s="83"/>
      <c r="AR48" s="60"/>
      <c r="AS48" s="119"/>
      <c r="AT48" s="119"/>
      <c r="AU48" s="118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18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7" t="s">
        <v>17</v>
      </c>
      <c r="F101" s="117"/>
      <c r="G101" s="90"/>
      <c r="H101" s="27"/>
      <c r="J101" s="113" t="s">
        <v>18</v>
      </c>
      <c r="K101" s="114"/>
      <c r="L101" s="115" t="s">
        <v>19</v>
      </c>
      <c r="O101" s="25"/>
      <c r="P101" s="26"/>
      <c r="Q101" s="117" t="s">
        <v>17</v>
      </c>
      <c r="R101" s="117"/>
      <c r="S101" s="90"/>
      <c r="T101" s="27"/>
      <c r="V101" s="113" t="s">
        <v>18</v>
      </c>
      <c r="W101" s="114"/>
      <c r="X101" s="115" t="s">
        <v>19</v>
      </c>
      <c r="AA101" s="25"/>
      <c r="AB101" s="26"/>
      <c r="AC101" s="117" t="s">
        <v>17</v>
      </c>
      <c r="AD101" s="117"/>
      <c r="AE101" s="91"/>
      <c r="AF101" s="27"/>
      <c r="AH101" s="113" t="s">
        <v>18</v>
      </c>
      <c r="AI101" s="114"/>
      <c r="AJ101" s="115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6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6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6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7" t="s">
        <v>17</v>
      </c>
      <c r="F156" s="117"/>
      <c r="G156" s="92"/>
      <c r="H156" s="27"/>
      <c r="J156" s="113" t="s">
        <v>18</v>
      </c>
      <c r="K156" s="114"/>
      <c r="L156" s="115" t="s">
        <v>19</v>
      </c>
      <c r="O156" s="25"/>
      <c r="P156" s="26"/>
      <c r="Q156" s="117" t="s">
        <v>17</v>
      </c>
      <c r="R156" s="117"/>
      <c r="S156" s="92"/>
      <c r="T156" s="27"/>
      <c r="V156" s="113" t="s">
        <v>18</v>
      </c>
      <c r="W156" s="114"/>
      <c r="X156" s="115" t="s">
        <v>19</v>
      </c>
      <c r="AA156" s="25"/>
      <c r="AB156" s="26"/>
      <c r="AC156" s="117" t="s">
        <v>17</v>
      </c>
      <c r="AD156" s="117"/>
      <c r="AE156" s="92"/>
      <c r="AF156" s="27"/>
      <c r="AH156" s="113" t="s">
        <v>18</v>
      </c>
      <c r="AI156" s="114"/>
      <c r="AJ156" s="115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6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6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6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19"/>
      <c r="AP162" s="119"/>
      <c r="AQ162" s="83"/>
      <c r="AR162" s="60"/>
      <c r="AS162" s="119"/>
      <c r="AT162" s="119"/>
      <c r="AU162" s="118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18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7" t="s">
        <v>17</v>
      </c>
      <c r="F211" s="117"/>
      <c r="G211" s="93"/>
      <c r="H211" s="27"/>
      <c r="J211" s="113" t="s">
        <v>18</v>
      </c>
      <c r="K211" s="114"/>
      <c r="L211" s="115" t="s">
        <v>19</v>
      </c>
      <c r="O211" s="25"/>
      <c r="P211" s="26"/>
      <c r="Q211" s="117" t="s">
        <v>17</v>
      </c>
      <c r="R211" s="117"/>
      <c r="S211" s="93"/>
      <c r="T211" s="27"/>
      <c r="V211" s="113" t="s">
        <v>18</v>
      </c>
      <c r="W211" s="114"/>
      <c r="X211" s="115" t="s">
        <v>19</v>
      </c>
      <c r="AA211" s="25"/>
      <c r="AB211" s="26"/>
      <c r="AC211" s="117" t="s">
        <v>17</v>
      </c>
      <c r="AD211" s="117"/>
      <c r="AE211" s="93"/>
      <c r="AF211" s="27"/>
      <c r="AH211" s="113" t="s">
        <v>18</v>
      </c>
      <c r="AI211" s="114"/>
      <c r="AJ211" s="115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6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6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6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7" t="s">
        <v>17</v>
      </c>
      <c r="F266" s="117"/>
      <c r="G266" s="94"/>
      <c r="H266" s="27"/>
      <c r="J266" s="113" t="s">
        <v>18</v>
      </c>
      <c r="K266" s="114"/>
      <c r="L266" s="115" t="s">
        <v>19</v>
      </c>
      <c r="O266" s="25"/>
      <c r="P266" s="26"/>
      <c r="Q266" s="117" t="s">
        <v>17</v>
      </c>
      <c r="R266" s="117"/>
      <c r="S266" s="94"/>
      <c r="T266" s="27"/>
      <c r="V266" s="113" t="s">
        <v>18</v>
      </c>
      <c r="W266" s="114"/>
      <c r="X266" s="115" t="s">
        <v>19</v>
      </c>
      <c r="AA266" s="25"/>
      <c r="AB266" s="26"/>
      <c r="AC266" s="117" t="s">
        <v>17</v>
      </c>
      <c r="AD266" s="117"/>
      <c r="AE266" s="94"/>
      <c r="AF266" s="27"/>
      <c r="AH266" s="113" t="s">
        <v>18</v>
      </c>
      <c r="AI266" s="114"/>
      <c r="AJ266" s="115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6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6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6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7" t="s">
        <v>17</v>
      </c>
      <c r="F321" s="117"/>
      <c r="G321" s="95"/>
      <c r="H321" s="27"/>
      <c r="J321" s="113" t="s">
        <v>18</v>
      </c>
      <c r="K321" s="114"/>
      <c r="L321" s="115" t="s">
        <v>19</v>
      </c>
      <c r="O321" s="25"/>
      <c r="P321" s="26"/>
      <c r="Q321" s="117" t="s">
        <v>17</v>
      </c>
      <c r="R321" s="117"/>
      <c r="S321" s="95"/>
      <c r="T321" s="27"/>
      <c r="V321" s="113" t="s">
        <v>18</v>
      </c>
      <c r="W321" s="114"/>
      <c r="X321" s="115" t="s">
        <v>19</v>
      </c>
      <c r="AA321" s="25"/>
      <c r="AB321" s="26"/>
      <c r="AC321" s="117" t="s">
        <v>17</v>
      </c>
      <c r="AD321" s="117"/>
      <c r="AE321" s="95"/>
      <c r="AF321" s="27"/>
      <c r="AH321" s="113" t="s">
        <v>18</v>
      </c>
      <c r="AI321" s="114"/>
      <c r="AJ321" s="115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6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6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6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7" t="s">
        <v>17</v>
      </c>
      <c r="F376" s="117"/>
      <c r="G376" s="96"/>
      <c r="H376" s="27"/>
      <c r="J376" s="113" t="s">
        <v>18</v>
      </c>
      <c r="K376" s="114"/>
      <c r="L376" s="115" t="s">
        <v>19</v>
      </c>
      <c r="O376" s="25"/>
      <c r="P376" s="26"/>
      <c r="Q376" s="117" t="s">
        <v>17</v>
      </c>
      <c r="R376" s="117"/>
      <c r="S376" s="96"/>
      <c r="T376" s="27"/>
      <c r="V376" s="113" t="s">
        <v>18</v>
      </c>
      <c r="W376" s="114"/>
      <c r="X376" s="115" t="s">
        <v>19</v>
      </c>
      <c r="AA376" s="25"/>
      <c r="AB376" s="26"/>
      <c r="AC376" s="117" t="s">
        <v>17</v>
      </c>
      <c r="AD376" s="117"/>
      <c r="AE376" s="96"/>
      <c r="AF376" s="27"/>
      <c r="AH376" s="113" t="s">
        <v>18</v>
      </c>
      <c r="AI376" s="114"/>
      <c r="AJ376" s="115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6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6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6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7" t="s">
        <v>17</v>
      </c>
      <c r="F431" s="117"/>
      <c r="G431" s="97"/>
      <c r="H431" s="27"/>
      <c r="J431" s="113" t="s">
        <v>18</v>
      </c>
      <c r="K431" s="114"/>
      <c r="L431" s="115" t="s">
        <v>19</v>
      </c>
      <c r="O431" s="25"/>
      <c r="P431" s="26"/>
      <c r="Q431" s="117" t="s">
        <v>17</v>
      </c>
      <c r="R431" s="117"/>
      <c r="S431" s="97"/>
      <c r="T431" s="27"/>
      <c r="V431" s="113" t="s">
        <v>18</v>
      </c>
      <c r="W431" s="114"/>
      <c r="X431" s="115" t="s">
        <v>19</v>
      </c>
      <c r="AA431" s="25"/>
      <c r="AB431" s="26"/>
      <c r="AC431" s="117" t="s">
        <v>17</v>
      </c>
      <c r="AD431" s="117"/>
      <c r="AE431" s="97"/>
      <c r="AF431" s="27"/>
      <c r="AH431" s="113" t="s">
        <v>18</v>
      </c>
      <c r="AI431" s="114"/>
      <c r="AJ431" s="115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6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6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6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7" t="s">
        <v>17</v>
      </c>
      <c r="F486" s="117"/>
      <c r="G486" s="98"/>
      <c r="H486" s="27"/>
      <c r="J486" s="113" t="s">
        <v>18</v>
      </c>
      <c r="K486" s="114"/>
      <c r="L486" s="115" t="s">
        <v>19</v>
      </c>
      <c r="O486" s="25"/>
      <c r="P486" s="26"/>
      <c r="Q486" s="117" t="s">
        <v>17</v>
      </c>
      <c r="R486" s="117"/>
      <c r="S486" s="98"/>
      <c r="T486" s="27"/>
      <c r="V486" s="113" t="s">
        <v>18</v>
      </c>
      <c r="W486" s="114"/>
      <c r="X486" s="115" t="s">
        <v>19</v>
      </c>
      <c r="AA486" s="25"/>
      <c r="AB486" s="26"/>
      <c r="AC486" s="117" t="s">
        <v>17</v>
      </c>
      <c r="AD486" s="117"/>
      <c r="AE486" s="98"/>
      <c r="AF486" s="27"/>
      <c r="AH486" s="113" t="s">
        <v>18</v>
      </c>
      <c r="AI486" s="114"/>
      <c r="AJ486" s="115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6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6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6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7" t="s">
        <v>17</v>
      </c>
      <c r="F541" s="117"/>
      <c r="G541" s="100"/>
      <c r="H541" s="27"/>
      <c r="J541" s="113" t="s">
        <v>18</v>
      </c>
      <c r="K541" s="114"/>
      <c r="L541" s="115" t="s">
        <v>19</v>
      </c>
      <c r="O541" s="25"/>
      <c r="P541" s="26"/>
      <c r="Q541" s="117" t="s">
        <v>17</v>
      </c>
      <c r="R541" s="117"/>
      <c r="S541" s="100"/>
      <c r="T541" s="27"/>
      <c r="V541" s="113" t="s">
        <v>18</v>
      </c>
      <c r="W541" s="114"/>
      <c r="X541" s="115" t="s">
        <v>19</v>
      </c>
      <c r="AA541" s="25"/>
      <c r="AB541" s="26"/>
      <c r="AC541" s="117" t="s">
        <v>17</v>
      </c>
      <c r="AD541" s="117"/>
      <c r="AE541" s="100"/>
      <c r="AF541" s="27"/>
      <c r="AH541" s="113" t="s">
        <v>18</v>
      </c>
      <c r="AI541" s="114"/>
      <c r="AJ541" s="115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6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6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6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7" t="s">
        <v>17</v>
      </c>
      <c r="F596" s="117"/>
      <c r="G596" s="101"/>
      <c r="H596" s="27"/>
      <c r="J596" s="113" t="s">
        <v>18</v>
      </c>
      <c r="K596" s="114"/>
      <c r="L596" s="115" t="s">
        <v>19</v>
      </c>
      <c r="O596" s="25"/>
      <c r="P596" s="26"/>
      <c r="Q596" s="117" t="s">
        <v>17</v>
      </c>
      <c r="R596" s="117"/>
      <c r="S596" s="101"/>
      <c r="T596" s="27"/>
      <c r="V596" s="113" t="s">
        <v>18</v>
      </c>
      <c r="W596" s="114"/>
      <c r="X596" s="115" t="s">
        <v>19</v>
      </c>
      <c r="AA596" s="25"/>
      <c r="AB596" s="26"/>
      <c r="AC596" s="117" t="s">
        <v>17</v>
      </c>
      <c r="AD596" s="117"/>
      <c r="AE596" s="101"/>
      <c r="AF596" s="27"/>
      <c r="AH596" s="113" t="s">
        <v>18</v>
      </c>
      <c r="AI596" s="114"/>
      <c r="AJ596" s="115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16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16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16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4"/>
      <c r="D643" s="104"/>
      <c r="E643" s="104"/>
      <c r="F643" s="104"/>
      <c r="G643" s="104"/>
      <c r="H643" s="104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4"/>
      <c r="D644" s="104"/>
      <c r="E644" s="104"/>
      <c r="F644" s="104"/>
      <c r="G644" s="104"/>
      <c r="H644" s="104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4"/>
      <c r="D645" s="104"/>
      <c r="E645" s="104"/>
      <c r="F645" s="104"/>
      <c r="G645" s="104"/>
      <c r="H645" s="104"/>
      <c r="I645" s="60"/>
      <c r="J645" s="60"/>
      <c r="K645" s="60"/>
      <c r="L645" s="60"/>
      <c r="M645" s="60"/>
      <c r="N645" s="61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4"/>
      <c r="D646" s="104"/>
      <c r="E646" s="104"/>
      <c r="F646" s="104"/>
      <c r="G646" s="104"/>
      <c r="H646" s="104"/>
      <c r="I646" s="60"/>
      <c r="J646" s="60"/>
      <c r="K646" s="60"/>
      <c r="L646" s="60"/>
      <c r="M646" s="60"/>
      <c r="N646" s="60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4"/>
      <c r="D647" s="104"/>
      <c r="E647" s="104"/>
      <c r="F647" s="104"/>
      <c r="G647" s="104"/>
      <c r="H647" s="104"/>
      <c r="I647" s="60"/>
      <c r="J647" s="104"/>
      <c r="K647" s="71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86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4"/>
      <c r="D648" s="104"/>
      <c r="E648" s="104"/>
      <c r="F648" s="104"/>
      <c r="G648" s="104"/>
      <c r="H648" s="104"/>
      <c r="I648" s="60"/>
      <c r="J648" s="63"/>
      <c r="K648" s="63"/>
      <c r="L648" s="60"/>
      <c r="M648" s="60"/>
      <c r="N648" s="62"/>
      <c r="O648" s="86"/>
      <c r="P648" s="86"/>
      <c r="Q648" s="86"/>
      <c r="R648" s="86"/>
      <c r="S648" s="86"/>
      <c r="T648" s="86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4"/>
      <c r="D649" s="104"/>
      <c r="E649" s="104"/>
      <c r="F649" s="104"/>
      <c r="G649" s="104"/>
      <c r="H649" s="104"/>
      <c r="I649" s="60"/>
      <c r="J649" s="60"/>
      <c r="K649" s="60"/>
      <c r="L649" s="60"/>
      <c r="M649" s="60"/>
      <c r="N649" s="60"/>
      <c r="O649" s="86"/>
      <c r="P649" s="86"/>
      <c r="Q649" s="86"/>
      <c r="R649" s="86"/>
      <c r="S649" s="86"/>
      <c r="T649" s="86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4"/>
      <c r="E650" s="119"/>
      <c r="F650" s="119"/>
      <c r="G650" s="104"/>
      <c r="H650" s="104"/>
      <c r="I650" s="60"/>
      <c r="J650" s="119"/>
      <c r="K650" s="119"/>
      <c r="L650" s="118"/>
      <c r="M650" s="60"/>
      <c r="N650" s="60"/>
      <c r="O650" s="63"/>
      <c r="P650" s="86"/>
      <c r="Q650" s="119"/>
      <c r="R650" s="119"/>
      <c r="S650" s="86"/>
      <c r="T650" s="86"/>
      <c r="U650" s="60"/>
      <c r="V650" s="119"/>
      <c r="W650" s="119"/>
      <c r="X650" s="118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4"/>
      <c r="D651" s="104"/>
      <c r="E651" s="76"/>
      <c r="F651" s="78"/>
      <c r="G651" s="78"/>
      <c r="H651" s="78"/>
      <c r="I651" s="60"/>
      <c r="J651" s="103"/>
      <c r="K651" s="103"/>
      <c r="L651" s="118"/>
      <c r="M651" s="60"/>
      <c r="N651" s="60"/>
      <c r="O651" s="86"/>
      <c r="P651" s="86"/>
      <c r="Q651" s="76"/>
      <c r="R651" s="78"/>
      <c r="S651" s="78"/>
      <c r="T651" s="78"/>
      <c r="U651" s="60"/>
      <c r="V651" s="87"/>
      <c r="W651" s="87"/>
      <c r="X651" s="118"/>
      <c r="AA651" s="25"/>
      <c r="AB651" s="26"/>
      <c r="AC651" s="117" t="s">
        <v>17</v>
      </c>
      <c r="AD651" s="117"/>
      <c r="AE651" s="102"/>
      <c r="AF651" s="27"/>
      <c r="AH651" s="113" t="s">
        <v>18</v>
      </c>
      <c r="AI651" s="114"/>
      <c r="AJ651" s="115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1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1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16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1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1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1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1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1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1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1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1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1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1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4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1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1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1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4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6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4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4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4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4"/>
      <c r="E672" s="65"/>
      <c r="F672" s="104"/>
      <c r="G672" s="104"/>
      <c r="H672" s="58"/>
      <c r="I672" s="60"/>
      <c r="J672" s="60"/>
      <c r="K672" s="60"/>
      <c r="L672" s="59"/>
      <c r="M672" s="60"/>
      <c r="N672" s="60"/>
      <c r="O672" s="64"/>
      <c r="P672" s="86"/>
      <c r="Q672" s="65"/>
      <c r="R672" s="86"/>
      <c r="S672" s="86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4"/>
      <c r="E673" s="66"/>
      <c r="F673" s="104"/>
      <c r="G673" s="104"/>
      <c r="H673" s="58"/>
      <c r="I673" s="60"/>
      <c r="J673" s="60"/>
      <c r="K673" s="60"/>
      <c r="L673" s="59"/>
      <c r="M673" s="60"/>
      <c r="N673" s="60"/>
      <c r="O673" s="64"/>
      <c r="P673" s="86"/>
      <c r="Q673" s="66"/>
      <c r="R673" s="86"/>
      <c r="S673" s="86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4"/>
      <c r="E674" s="67"/>
      <c r="F674" s="104"/>
      <c r="G674" s="60"/>
      <c r="H674" s="58"/>
      <c r="I674" s="60"/>
      <c r="J674" s="60"/>
      <c r="K674" s="60"/>
      <c r="L674" s="59"/>
      <c r="M674" s="60"/>
      <c r="N674" s="60"/>
      <c r="O674" s="64"/>
      <c r="P674" s="86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4"/>
      <c r="E675" s="67"/>
      <c r="F675" s="104"/>
      <c r="G675" s="104"/>
      <c r="H675" s="58"/>
      <c r="I675" s="60"/>
      <c r="J675" s="60"/>
      <c r="K675" s="60"/>
      <c r="L675" s="59"/>
      <c r="M675" s="60"/>
      <c r="N675" s="60"/>
      <c r="O675" s="64"/>
      <c r="P675" s="86"/>
      <c r="Q675" s="67"/>
      <c r="R675" s="86"/>
      <c r="S675" s="86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4"/>
      <c r="E676" s="67"/>
      <c r="F676" s="104"/>
      <c r="G676" s="104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4"/>
      <c r="E677" s="67"/>
      <c r="F677" s="104"/>
      <c r="G677" s="104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4"/>
      <c r="E678" s="67"/>
      <c r="F678" s="104"/>
      <c r="G678" s="104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4"/>
      <c r="E679" s="67"/>
      <c r="F679" s="104"/>
      <c r="G679" s="104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4"/>
      <c r="E680" s="67"/>
      <c r="F680" s="104"/>
      <c r="G680" s="104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4"/>
      <c r="E681" s="67"/>
      <c r="F681" s="104"/>
      <c r="G681" s="104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4"/>
      <c r="E682" s="67"/>
      <c r="F682" s="104"/>
      <c r="G682" s="104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4"/>
      <c r="E683" s="67"/>
      <c r="F683" s="104"/>
      <c r="G683" s="104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4"/>
      <c r="E684" s="67"/>
      <c r="F684" s="104"/>
      <c r="G684" s="104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4"/>
      <c r="E685" s="67"/>
      <c r="F685" s="104"/>
      <c r="G685" s="104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4"/>
      <c r="E686" s="67"/>
      <c r="F686" s="104"/>
      <c r="G686" s="104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4"/>
      <c r="E687" s="67"/>
      <c r="F687" s="104"/>
      <c r="G687" s="104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4"/>
      <c r="G688" s="104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6"/>
      <c r="S688" s="86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4"/>
      <c r="E689" s="67"/>
      <c r="F689" s="104"/>
      <c r="G689" s="104"/>
      <c r="H689" s="58"/>
      <c r="I689" s="60"/>
      <c r="J689" s="60"/>
      <c r="K689" s="60"/>
      <c r="L689" s="59"/>
      <c r="M689" s="60"/>
      <c r="N689" s="60"/>
      <c r="O689" s="64"/>
      <c r="P689" s="86"/>
      <c r="Q689" s="67"/>
      <c r="R689" s="86"/>
      <c r="S689" s="86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4"/>
      <c r="E690" s="67"/>
      <c r="F690" s="104"/>
      <c r="G690" s="104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4"/>
      <c r="G691" s="104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6"/>
      <c r="S691" s="86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4"/>
      <c r="E692" s="67"/>
      <c r="F692" s="104"/>
      <c r="G692" s="104"/>
      <c r="H692" s="58"/>
      <c r="I692" s="60"/>
      <c r="J692" s="60"/>
      <c r="K692" s="60"/>
      <c r="L692" s="59"/>
      <c r="M692" s="60"/>
      <c r="N692" s="60"/>
      <c r="O692" s="64"/>
      <c r="P692" s="86"/>
      <c r="Q692" s="67"/>
      <c r="R692" s="86"/>
      <c r="S692" s="86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4"/>
      <c r="D693" s="104"/>
      <c r="E693" s="104"/>
      <c r="F693" s="104"/>
      <c r="G693" s="104"/>
      <c r="H693" s="104"/>
      <c r="I693" s="60"/>
      <c r="J693" s="60"/>
      <c r="K693" s="60"/>
      <c r="L693" s="59"/>
      <c r="M693" s="60"/>
      <c r="N693" s="60"/>
      <c r="O693" s="86"/>
      <c r="P693" s="86"/>
      <c r="Q693" s="86"/>
      <c r="R693" s="86"/>
      <c r="S693" s="86"/>
      <c r="T693" s="86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4"/>
      <c r="D694" s="104"/>
      <c r="E694" s="104"/>
      <c r="F694" s="104"/>
      <c r="G694" s="104"/>
      <c r="H694" s="104"/>
      <c r="I694" s="60"/>
      <c r="J694" s="60"/>
      <c r="K694" s="60"/>
      <c r="L694" s="60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4"/>
      <c r="D695" s="104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6"/>
      <c r="P695" s="86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17" t="s">
        <v>17</v>
      </c>
      <c r="F706" s="117"/>
      <c r="G706" s="105"/>
      <c r="H706" s="27"/>
      <c r="J706" s="113" t="s">
        <v>18</v>
      </c>
      <c r="K706" s="114"/>
      <c r="L706" s="115" t="s">
        <v>19</v>
      </c>
      <c r="O706" s="25"/>
      <c r="P706" s="26"/>
      <c r="Q706" s="117" t="s">
        <v>17</v>
      </c>
      <c r="R706" s="117"/>
      <c r="S706" s="105"/>
      <c r="T706" s="27"/>
      <c r="V706" s="113" t="s">
        <v>18</v>
      </c>
      <c r="W706" s="114"/>
      <c r="X706" s="115" t="s">
        <v>19</v>
      </c>
      <c r="AA706" s="25"/>
      <c r="AB706" s="26"/>
      <c r="AC706" s="117" t="s">
        <v>17</v>
      </c>
      <c r="AD706" s="117"/>
      <c r="AE706" s="105"/>
      <c r="AF706" s="27"/>
      <c r="AH706" s="113" t="s">
        <v>18</v>
      </c>
      <c r="AI706" s="114"/>
      <c r="AJ706" s="115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16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16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16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80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80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80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80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80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80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80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80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80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80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80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80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80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80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80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80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80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80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80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80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80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80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80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80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80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80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80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80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1:53" x14ac:dyDescent="0.25">
      <c r="A753" s="18"/>
      <c r="B753" t="s">
        <v>0</v>
      </c>
      <c r="C753" s="55"/>
      <c r="D753" s="55"/>
      <c r="E753" s="55"/>
      <c r="F753" s="55"/>
      <c r="H753" s="55"/>
      <c r="N753" t="s">
        <v>0</v>
      </c>
      <c r="O753" s="55"/>
      <c r="P753" s="55"/>
      <c r="Q753" s="55"/>
      <c r="R753" s="55"/>
      <c r="S753" s="55"/>
      <c r="T753" s="55"/>
      <c r="Z753" t="s">
        <v>0</v>
      </c>
      <c r="AA753" s="55"/>
      <c r="AB753" s="55"/>
      <c r="AC753" s="55"/>
      <c r="AD753" s="55"/>
      <c r="AE753" s="55"/>
      <c r="AF753" s="55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1:53" x14ac:dyDescent="0.25">
      <c r="A754" s="18"/>
      <c r="B754" t="s">
        <v>28</v>
      </c>
      <c r="C754" s="55"/>
      <c r="D754" s="55"/>
      <c r="E754" s="55"/>
      <c r="F754" s="55"/>
      <c r="H754" s="55"/>
      <c r="N754" t="s">
        <v>28</v>
      </c>
      <c r="O754" s="55"/>
      <c r="P754" s="55"/>
      <c r="Q754" s="55"/>
      <c r="R754" s="55"/>
      <c r="S754" s="55"/>
      <c r="T754" s="55"/>
      <c r="Z754" t="s">
        <v>28</v>
      </c>
      <c r="AA754" s="55"/>
      <c r="AB754" s="55"/>
      <c r="AC754" s="55"/>
      <c r="AD754" s="55"/>
      <c r="AE754" s="55"/>
      <c r="AF754" s="55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1:53" x14ac:dyDescent="0.25">
      <c r="A755" s="18"/>
      <c r="C755" s="55"/>
      <c r="D755" s="55"/>
      <c r="E755" s="55"/>
      <c r="F755" s="55"/>
      <c r="H755" s="55"/>
      <c r="O755" s="55"/>
      <c r="P755" s="55"/>
      <c r="Q755" s="55"/>
      <c r="R755" s="55"/>
      <c r="S755" s="55"/>
      <c r="T755" s="55"/>
      <c r="AA755" s="55"/>
      <c r="AB755" s="55"/>
      <c r="AC755" s="55"/>
      <c r="AD755" s="55"/>
      <c r="AE755" s="55"/>
      <c r="AF755" s="55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1:53" x14ac:dyDescent="0.25">
      <c r="A756" s="18"/>
      <c r="B756" s="4" t="s">
        <v>14</v>
      </c>
      <c r="C756" s="55"/>
      <c r="D756" s="55"/>
      <c r="E756" s="55"/>
      <c r="F756" s="55"/>
      <c r="H756" s="55"/>
      <c r="N756" s="4" t="s">
        <v>14</v>
      </c>
      <c r="O756" s="55"/>
      <c r="P756" s="55"/>
      <c r="Q756" s="55"/>
      <c r="R756" s="55"/>
      <c r="S756" s="55"/>
      <c r="T756" s="55"/>
      <c r="Z756" s="4" t="s">
        <v>14</v>
      </c>
      <c r="AA756" s="55"/>
      <c r="AB756" s="55"/>
      <c r="AC756" s="55"/>
      <c r="AD756" s="55"/>
      <c r="AE756" s="55"/>
      <c r="AF756" s="55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1:53" x14ac:dyDescent="0.25">
      <c r="A757" s="18"/>
      <c r="C757" s="55"/>
      <c r="D757" s="55"/>
      <c r="E757" s="55"/>
      <c r="F757" s="55"/>
      <c r="H757" s="55"/>
      <c r="O757" s="55"/>
      <c r="P757" s="55"/>
      <c r="Q757" s="55"/>
      <c r="R757" s="55"/>
      <c r="S757" s="55"/>
      <c r="T757" s="55"/>
      <c r="AA757" s="55"/>
      <c r="AB757" s="55"/>
      <c r="AC757" s="55"/>
      <c r="AD757" s="55"/>
      <c r="AE757" s="55"/>
      <c r="AF757" s="55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1:53" ht="15.75" x14ac:dyDescent="0.25">
      <c r="A758" s="18"/>
      <c r="B758" t="s">
        <v>44</v>
      </c>
      <c r="C758" s="55"/>
      <c r="D758" s="55"/>
      <c r="E758" s="55"/>
      <c r="F758" s="55"/>
      <c r="H758" s="55"/>
      <c r="J758" s="55" t="s">
        <v>15</v>
      </c>
      <c r="K758" s="19">
        <v>1</v>
      </c>
      <c r="N758" t="s">
        <v>44</v>
      </c>
      <c r="O758" s="55"/>
      <c r="P758" s="55"/>
      <c r="Q758" s="55"/>
      <c r="R758" s="55"/>
      <c r="S758" s="55"/>
      <c r="T758" s="55"/>
      <c r="V758" s="55" t="s">
        <v>15</v>
      </c>
      <c r="W758" s="19">
        <v>2</v>
      </c>
      <c r="Z758" t="s">
        <v>44</v>
      </c>
      <c r="AA758" s="55"/>
      <c r="AB758" s="55"/>
      <c r="AC758" s="55"/>
      <c r="AD758" s="55"/>
      <c r="AE758" s="55"/>
      <c r="AF758" s="55"/>
      <c r="AH758" s="55" t="s">
        <v>15</v>
      </c>
      <c r="AI758" s="20">
        <v>3</v>
      </c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1:53" x14ac:dyDescent="0.25">
      <c r="A759" s="18"/>
      <c r="B759" s="21" t="s">
        <v>77</v>
      </c>
      <c r="C759" s="20"/>
      <c r="D759" s="55"/>
      <c r="E759" s="55"/>
      <c r="F759" s="55"/>
      <c r="H759" s="55"/>
      <c r="J759" s="22" t="s">
        <v>16</v>
      </c>
      <c r="K759" s="23" t="s">
        <v>35</v>
      </c>
      <c r="L759" s="24"/>
      <c r="N759" s="21" t="s">
        <v>77</v>
      </c>
      <c r="O759" s="20"/>
      <c r="P759" s="55"/>
      <c r="Q759" s="55"/>
      <c r="R759" s="55"/>
      <c r="S759" s="55"/>
      <c r="T759" s="55"/>
      <c r="V759" s="22" t="s">
        <v>16</v>
      </c>
      <c r="W759" s="23" t="s">
        <v>82</v>
      </c>
      <c r="X759" s="24"/>
      <c r="Z759" s="21" t="s">
        <v>77</v>
      </c>
      <c r="AA759" s="20"/>
      <c r="AB759" s="55"/>
      <c r="AC759" s="55"/>
      <c r="AD759" s="55"/>
      <c r="AE759" s="55"/>
      <c r="AF759" s="55"/>
      <c r="AH759" s="22" t="s">
        <v>16</v>
      </c>
      <c r="AI759" s="23" t="s">
        <v>41</v>
      </c>
      <c r="AJ759" s="24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1:53" x14ac:dyDescent="0.25">
      <c r="A760" s="18"/>
      <c r="C760" s="55"/>
      <c r="D760" s="55"/>
      <c r="E760" s="55"/>
      <c r="F760" s="55"/>
      <c r="H760" s="55"/>
      <c r="O760" s="55"/>
      <c r="P760" s="55"/>
      <c r="Q760" s="55"/>
      <c r="R760" s="55"/>
      <c r="S760" s="55"/>
      <c r="T760" s="55"/>
      <c r="AA760" s="55"/>
      <c r="AB760" s="55"/>
      <c r="AC760" s="55"/>
      <c r="AD760" s="55"/>
      <c r="AE760" s="55"/>
      <c r="AF760" s="55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1:53" x14ac:dyDescent="0.25">
      <c r="A761" s="18"/>
      <c r="C761" s="25"/>
      <c r="D761" s="26"/>
      <c r="E761" s="117" t="s">
        <v>17</v>
      </c>
      <c r="F761" s="117"/>
      <c r="G761" s="106"/>
      <c r="H761" s="27"/>
      <c r="J761" s="113" t="s">
        <v>18</v>
      </c>
      <c r="K761" s="114"/>
      <c r="L761" s="115" t="s">
        <v>19</v>
      </c>
      <c r="O761" s="25"/>
      <c r="P761" s="26"/>
      <c r="Q761" s="117" t="s">
        <v>17</v>
      </c>
      <c r="R761" s="117"/>
      <c r="S761" s="106"/>
      <c r="T761" s="27"/>
      <c r="V761" s="113" t="s">
        <v>18</v>
      </c>
      <c r="W761" s="114"/>
      <c r="X761" s="115" t="s">
        <v>19</v>
      </c>
      <c r="AA761" s="25"/>
      <c r="AB761" s="26"/>
      <c r="AC761" s="117" t="s">
        <v>17</v>
      </c>
      <c r="AD761" s="117"/>
      <c r="AE761" s="106"/>
      <c r="AF761" s="27"/>
      <c r="AH761" s="113" t="s">
        <v>18</v>
      </c>
      <c r="AI761" s="114"/>
      <c r="AJ761" s="115" t="s">
        <v>19</v>
      </c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1:53" ht="30" x14ac:dyDescent="0.25">
      <c r="A762" s="18"/>
      <c r="C762" s="28" t="s">
        <v>20</v>
      </c>
      <c r="D762" s="28" t="s">
        <v>21</v>
      </c>
      <c r="E762" s="74" t="s">
        <v>22</v>
      </c>
      <c r="F762" s="75" t="s">
        <v>23</v>
      </c>
      <c r="G762" s="75" t="s">
        <v>31</v>
      </c>
      <c r="H762" s="75" t="s">
        <v>24</v>
      </c>
      <c r="J762" s="29" t="s">
        <v>25</v>
      </c>
      <c r="K762" s="29" t="s">
        <v>26</v>
      </c>
      <c r="L762" s="116"/>
      <c r="O762" s="28" t="s">
        <v>20</v>
      </c>
      <c r="P762" s="28" t="s">
        <v>21</v>
      </c>
      <c r="Q762" s="74" t="s">
        <v>22</v>
      </c>
      <c r="R762" s="75" t="s">
        <v>23</v>
      </c>
      <c r="S762" s="75" t="s">
        <v>31</v>
      </c>
      <c r="T762" s="75" t="s">
        <v>24</v>
      </c>
      <c r="V762" s="29" t="s">
        <v>25</v>
      </c>
      <c r="W762" s="29" t="s">
        <v>26</v>
      </c>
      <c r="X762" s="116"/>
      <c r="AA762" s="28" t="s">
        <v>20</v>
      </c>
      <c r="AB762" s="28" t="s">
        <v>21</v>
      </c>
      <c r="AC762" s="74" t="s">
        <v>22</v>
      </c>
      <c r="AD762" s="75" t="s">
        <v>23</v>
      </c>
      <c r="AE762" s="75" t="s">
        <v>31</v>
      </c>
      <c r="AF762" s="75" t="s">
        <v>24</v>
      </c>
      <c r="AH762" s="29" t="s">
        <v>25</v>
      </c>
      <c r="AI762" s="29" t="s">
        <v>26</v>
      </c>
      <c r="AJ762" s="116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1:53" x14ac:dyDescent="0.25">
      <c r="A763" s="18"/>
      <c r="B763" s="10">
        <v>1</v>
      </c>
      <c r="C763" s="30" t="s">
        <v>78</v>
      </c>
      <c r="D763" s="80">
        <v>11931</v>
      </c>
      <c r="E763" s="32">
        <f>650*108</f>
        <v>70200</v>
      </c>
      <c r="F763" s="32"/>
      <c r="G763" s="32"/>
      <c r="H763" s="32">
        <f>SUM(E763:F763)</f>
        <v>70200</v>
      </c>
      <c r="I763" s="12"/>
      <c r="J763" s="12">
        <f>111*7</f>
        <v>777</v>
      </c>
      <c r="K763" s="12"/>
      <c r="L763" s="12">
        <f>SUM(H763:K763)</f>
        <v>70977</v>
      </c>
      <c r="N763" s="10">
        <v>1</v>
      </c>
      <c r="O763" s="30" t="s">
        <v>78</v>
      </c>
      <c r="P763" s="80">
        <v>11843</v>
      </c>
      <c r="Q763" s="32">
        <f>650*5+622*4</f>
        <v>5738</v>
      </c>
      <c r="R763" s="32"/>
      <c r="S763" s="32"/>
      <c r="T763" s="32">
        <f>SUM(Q763:R763)</f>
        <v>5738</v>
      </c>
      <c r="U763" s="12"/>
      <c r="V763" s="12">
        <f>4.5*20</f>
        <v>90</v>
      </c>
      <c r="W763" s="12"/>
      <c r="X763" s="12">
        <f>SUM(T763:W763)</f>
        <v>5828</v>
      </c>
      <c r="Z763" s="10">
        <v>1</v>
      </c>
      <c r="AA763" s="30" t="s">
        <v>78</v>
      </c>
      <c r="AB763" s="31">
        <v>11886</v>
      </c>
      <c r="AC763" s="32">
        <f>650*50+622*20+1175+229+650</f>
        <v>46994</v>
      </c>
      <c r="AD763" s="32"/>
      <c r="AE763" s="32"/>
      <c r="AF763" s="32">
        <f>SUM(AC763:AD763)</f>
        <v>46994</v>
      </c>
      <c r="AG763" s="12"/>
      <c r="AH763" s="12"/>
      <c r="AI763" s="12"/>
      <c r="AJ763" s="12">
        <f>SUM(AF763:AI763)</f>
        <v>46994</v>
      </c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1:53" x14ac:dyDescent="0.25">
      <c r="A764" s="18"/>
      <c r="B764" s="10">
        <v>2</v>
      </c>
      <c r="C764" s="30" t="s">
        <v>78</v>
      </c>
      <c r="D764" s="80">
        <f>D763+1</f>
        <v>11932</v>
      </c>
      <c r="E764" s="32">
        <f>650*540+670*7+700*5+229*10</f>
        <v>361480</v>
      </c>
      <c r="F764" s="32">
        <f>-552*6</f>
        <v>-3312</v>
      </c>
      <c r="G764" s="32"/>
      <c r="H764" s="32">
        <f t="shared" ref="H764:H801" si="162">SUM(E764:F764)</f>
        <v>358168</v>
      </c>
      <c r="I764" s="12"/>
      <c r="J764" s="12"/>
      <c r="K764" s="12"/>
      <c r="L764" s="12">
        <f t="shared" ref="L764:L804" si="163">SUM(H764:K764)</f>
        <v>358168</v>
      </c>
      <c r="N764" s="10">
        <v>2</v>
      </c>
      <c r="O764" s="30" t="s">
        <v>78</v>
      </c>
      <c r="P764" s="80">
        <f>P763+1</f>
        <v>11844</v>
      </c>
      <c r="Q764" s="32">
        <f>650*10+9.5*10</f>
        <v>6595</v>
      </c>
      <c r="R764" s="32"/>
      <c r="S764" s="32"/>
      <c r="T764" s="32">
        <f t="shared" ref="T764:T801" si="164">SUM(Q764:R764)</f>
        <v>6595</v>
      </c>
      <c r="U764" s="12"/>
      <c r="V764" s="12">
        <f>4.5*24</f>
        <v>108</v>
      </c>
      <c r="W764" s="12"/>
      <c r="X764" s="12">
        <f t="shared" ref="X764:X804" si="165">SUM(T764:W764)</f>
        <v>6703</v>
      </c>
      <c r="Z764" s="10">
        <v>2</v>
      </c>
      <c r="AA764" s="30" t="s">
        <v>78</v>
      </c>
      <c r="AB764" s="31">
        <f>AB763+1</f>
        <v>11887</v>
      </c>
      <c r="AC764" s="32">
        <f>650*27+622*5+229</f>
        <v>20889</v>
      </c>
      <c r="AD764" s="32"/>
      <c r="AE764" s="32"/>
      <c r="AF764" s="32">
        <f t="shared" ref="AF764:AF801" si="166">SUM(AC764:AD764)</f>
        <v>20889</v>
      </c>
      <c r="AG764" s="12"/>
      <c r="AH764" s="12">
        <f>1.5*9</f>
        <v>13.5</v>
      </c>
      <c r="AI764" s="12"/>
      <c r="AJ764" s="12">
        <f t="shared" ref="AJ764:AJ804" si="167">SUM(AF764:AI764)</f>
        <v>20902.5</v>
      </c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1:53" x14ac:dyDescent="0.25">
      <c r="A765" s="18"/>
      <c r="B765" s="10">
        <v>3</v>
      </c>
      <c r="C765" s="30" t="s">
        <v>78</v>
      </c>
      <c r="D765" s="80">
        <f t="shared" ref="D765" si="168">D764+1</f>
        <v>11933</v>
      </c>
      <c r="E765" s="33">
        <f>650*25</f>
        <v>16250</v>
      </c>
      <c r="F765" s="33"/>
      <c r="G765" s="32"/>
      <c r="H765" s="32">
        <f t="shared" si="162"/>
        <v>16250</v>
      </c>
      <c r="I765" s="12"/>
      <c r="J765" s="34"/>
      <c r="K765" s="34"/>
      <c r="L765" s="12">
        <f t="shared" si="163"/>
        <v>16250</v>
      </c>
      <c r="N765" s="10">
        <v>3</v>
      </c>
      <c r="O765" s="30" t="s">
        <v>78</v>
      </c>
      <c r="P765" s="80">
        <f t="shared" ref="P765:P777" si="169">P764+1</f>
        <v>11845</v>
      </c>
      <c r="Q765" s="33">
        <f>650*2</f>
        <v>1300</v>
      </c>
      <c r="R765" s="33"/>
      <c r="S765" s="32"/>
      <c r="T765" s="32">
        <f t="shared" si="164"/>
        <v>1300</v>
      </c>
      <c r="U765" s="12"/>
      <c r="V765" s="34"/>
      <c r="W765" s="34"/>
      <c r="X765" s="12">
        <f t="shared" si="165"/>
        <v>1300</v>
      </c>
      <c r="Z765" s="10">
        <v>3</v>
      </c>
      <c r="AA765" s="30" t="s">
        <v>78</v>
      </c>
      <c r="AB765" s="31">
        <f t="shared" ref="AB765:AB768" si="170">AB764+1</f>
        <v>11888</v>
      </c>
      <c r="AC765" s="33">
        <f>650*148+229*6</f>
        <v>97574</v>
      </c>
      <c r="AD765" s="33"/>
      <c r="AE765" s="32"/>
      <c r="AF765" s="32">
        <f t="shared" si="166"/>
        <v>97574</v>
      </c>
      <c r="AG765" s="12"/>
      <c r="AH765" s="12"/>
      <c r="AI765" s="12"/>
      <c r="AJ765" s="12">
        <f t="shared" si="167"/>
        <v>97574</v>
      </c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1:53" x14ac:dyDescent="0.25">
      <c r="A766" s="18"/>
      <c r="B766" s="10">
        <v>4</v>
      </c>
      <c r="C766" s="30"/>
      <c r="D766" s="11" t="s">
        <v>27</v>
      </c>
      <c r="E766" s="32"/>
      <c r="F766" s="32"/>
      <c r="G766" s="32"/>
      <c r="H766" s="32">
        <f t="shared" si="162"/>
        <v>0</v>
      </c>
      <c r="I766" s="12"/>
      <c r="J766" s="12"/>
      <c r="K766" s="12"/>
      <c r="L766" s="12">
        <f t="shared" si="163"/>
        <v>0</v>
      </c>
      <c r="N766" s="10">
        <v>4</v>
      </c>
      <c r="O766" s="30" t="s">
        <v>78</v>
      </c>
      <c r="P766" s="80">
        <f t="shared" si="169"/>
        <v>11846</v>
      </c>
      <c r="Q766" s="32">
        <f>650*8+670+9.5*9</f>
        <v>5955.5</v>
      </c>
      <c r="R766" s="32"/>
      <c r="S766" s="32"/>
      <c r="T766" s="32">
        <f t="shared" si="164"/>
        <v>5955.5</v>
      </c>
      <c r="U766" s="12"/>
      <c r="V766" s="12"/>
      <c r="W766" s="12"/>
      <c r="X766" s="12">
        <f t="shared" si="165"/>
        <v>5955.5</v>
      </c>
      <c r="Z766" s="10">
        <v>4</v>
      </c>
      <c r="AA766" s="30" t="s">
        <v>78</v>
      </c>
      <c r="AB766" s="31">
        <f t="shared" si="170"/>
        <v>11889</v>
      </c>
      <c r="AC766" s="32">
        <f>650*9+670</f>
        <v>6520</v>
      </c>
      <c r="AD766" s="32"/>
      <c r="AE766" s="32"/>
      <c r="AF766" s="32">
        <f t="shared" si="166"/>
        <v>6520</v>
      </c>
      <c r="AG766" s="12"/>
      <c r="AI766" s="12"/>
      <c r="AJ766" s="12">
        <f t="shared" si="167"/>
        <v>6520</v>
      </c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1:53" x14ac:dyDescent="0.25">
      <c r="A767" s="18"/>
      <c r="B767" s="10">
        <v>5</v>
      </c>
      <c r="C767" s="30"/>
      <c r="D767" s="80"/>
      <c r="E767" s="32"/>
      <c r="F767" s="32"/>
      <c r="G767" s="32"/>
      <c r="H767" s="32">
        <f t="shared" si="162"/>
        <v>0</v>
      </c>
      <c r="I767" s="12"/>
      <c r="J767" s="12"/>
      <c r="K767" s="12"/>
      <c r="L767" s="12">
        <f t="shared" si="163"/>
        <v>0</v>
      </c>
      <c r="N767" s="10">
        <v>5</v>
      </c>
      <c r="O767" s="30" t="s">
        <v>78</v>
      </c>
      <c r="P767" s="80">
        <f t="shared" si="169"/>
        <v>11847</v>
      </c>
      <c r="Q767" s="32">
        <f>650*8+9.5*8</f>
        <v>5276</v>
      </c>
      <c r="R767" s="32"/>
      <c r="S767" s="32"/>
      <c r="T767" s="32">
        <f t="shared" si="164"/>
        <v>5276</v>
      </c>
      <c r="U767" s="12"/>
      <c r="V767" s="12"/>
      <c r="W767" s="12">
        <f>-111*5</f>
        <v>-555</v>
      </c>
      <c r="X767" s="12">
        <f t="shared" si="165"/>
        <v>4721</v>
      </c>
      <c r="Z767" s="10">
        <v>5</v>
      </c>
      <c r="AA767" s="30" t="s">
        <v>78</v>
      </c>
      <c r="AB767" s="31">
        <f t="shared" si="170"/>
        <v>11890</v>
      </c>
      <c r="AC767" s="32">
        <f>650*15+622*5+229</f>
        <v>13089</v>
      </c>
      <c r="AD767" s="32"/>
      <c r="AE767" s="32"/>
      <c r="AF767" s="32">
        <f t="shared" si="166"/>
        <v>13089</v>
      </c>
      <c r="AG767" s="12"/>
      <c r="AH767" s="12"/>
      <c r="AI767" s="12"/>
      <c r="AJ767" s="12">
        <f t="shared" si="167"/>
        <v>13089</v>
      </c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1:53" x14ac:dyDescent="0.25">
      <c r="A768" s="18"/>
      <c r="B768" s="10">
        <v>6</v>
      </c>
      <c r="C768" s="30"/>
      <c r="E768" s="32"/>
      <c r="F768" s="32"/>
      <c r="G768" s="32"/>
      <c r="H768" s="32">
        <f t="shared" si="162"/>
        <v>0</v>
      </c>
      <c r="I768" s="12"/>
      <c r="J768" s="12"/>
      <c r="K768" s="10"/>
      <c r="L768" s="12">
        <f t="shared" si="163"/>
        <v>0</v>
      </c>
      <c r="N768" s="10">
        <v>6</v>
      </c>
      <c r="O768" s="30" t="s">
        <v>78</v>
      </c>
      <c r="P768" s="80">
        <f t="shared" si="169"/>
        <v>11848</v>
      </c>
      <c r="Q768" s="32">
        <f>650*9+670+622+700</f>
        <v>7842</v>
      </c>
      <c r="R768" s="32"/>
      <c r="S768" s="32"/>
      <c r="T768" s="32">
        <f t="shared" si="164"/>
        <v>7842</v>
      </c>
      <c r="U768" s="12"/>
      <c r="V768" s="12"/>
      <c r="W768" s="10">
        <f>-111*4</f>
        <v>-444</v>
      </c>
      <c r="X768" s="12">
        <f t="shared" si="165"/>
        <v>7398</v>
      </c>
      <c r="Z768" s="10">
        <v>6</v>
      </c>
      <c r="AA768" s="30" t="s">
        <v>78</v>
      </c>
      <c r="AB768" s="31">
        <f t="shared" si="170"/>
        <v>11891</v>
      </c>
      <c r="AC768" s="32">
        <f>650*25+622*5</f>
        <v>19360</v>
      </c>
      <c r="AD768" s="32"/>
      <c r="AE768" s="32"/>
      <c r="AF768" s="32">
        <f t="shared" si="166"/>
        <v>19360</v>
      </c>
      <c r="AG768" s="12"/>
      <c r="AH768" s="12"/>
      <c r="AI768" s="10">
        <f>-111*5</f>
        <v>-555</v>
      </c>
      <c r="AJ768" s="12">
        <f t="shared" si="167"/>
        <v>18805</v>
      </c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1:53" x14ac:dyDescent="0.25">
      <c r="A769" s="18"/>
      <c r="B769" s="10">
        <v>7</v>
      </c>
      <c r="C769" s="30"/>
      <c r="D769" s="80"/>
      <c r="E769" s="32"/>
      <c r="F769" s="32"/>
      <c r="G769" s="32"/>
      <c r="H769" s="32">
        <f t="shared" si="162"/>
        <v>0</v>
      </c>
      <c r="I769" s="12"/>
      <c r="J769" s="12"/>
      <c r="K769" s="12"/>
      <c r="L769" s="12">
        <f t="shared" si="163"/>
        <v>0</v>
      </c>
      <c r="N769" s="10">
        <v>7</v>
      </c>
      <c r="O769" s="30" t="s">
        <v>78</v>
      </c>
      <c r="P769" s="80">
        <f t="shared" si="169"/>
        <v>11849</v>
      </c>
      <c r="Q769" s="32">
        <f>650*3+9.5*3</f>
        <v>1978.5</v>
      </c>
      <c r="R769" s="32"/>
      <c r="S769" s="32"/>
      <c r="T769" s="32">
        <f t="shared" si="164"/>
        <v>1978.5</v>
      </c>
      <c r="U769" s="12"/>
      <c r="V769" s="12"/>
      <c r="W769" s="12"/>
      <c r="X769" s="12">
        <f t="shared" si="165"/>
        <v>1978.5</v>
      </c>
      <c r="Z769" s="10">
        <v>7</v>
      </c>
      <c r="AA769" s="30"/>
      <c r="AB769" s="11" t="s">
        <v>27</v>
      </c>
      <c r="AC769" s="32"/>
      <c r="AD769" s="32"/>
      <c r="AE769" s="32"/>
      <c r="AF769" s="32">
        <f t="shared" si="166"/>
        <v>0</v>
      </c>
      <c r="AG769" s="12"/>
      <c r="AH769" s="56"/>
      <c r="AI769" s="12"/>
      <c r="AJ769" s="12">
        <f t="shared" si="167"/>
        <v>0</v>
      </c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1:53" x14ac:dyDescent="0.25">
      <c r="A770" s="18"/>
      <c r="B770" s="10">
        <v>8</v>
      </c>
      <c r="C770" s="30"/>
      <c r="D770" s="80"/>
      <c r="E770" s="32"/>
      <c r="F770" s="32"/>
      <c r="G770" s="32"/>
      <c r="H770" s="32">
        <f t="shared" si="162"/>
        <v>0</v>
      </c>
      <c r="I770" s="12"/>
      <c r="J770" s="12"/>
      <c r="K770" s="12"/>
      <c r="L770" s="12">
        <f t="shared" si="163"/>
        <v>0</v>
      </c>
      <c r="N770" s="10">
        <v>8</v>
      </c>
      <c r="O770" s="30" t="s">
        <v>78</v>
      </c>
      <c r="P770" s="80">
        <f t="shared" si="169"/>
        <v>11850</v>
      </c>
      <c r="Q770" s="32">
        <f>650*108+670*6+229*2</f>
        <v>74678</v>
      </c>
      <c r="R770" s="32">
        <f>-114*6</f>
        <v>-684</v>
      </c>
      <c r="S770" s="32"/>
      <c r="T770" s="32">
        <f t="shared" si="164"/>
        <v>73994</v>
      </c>
      <c r="U770" s="12"/>
      <c r="V770" s="12">
        <f>1.5*48</f>
        <v>72</v>
      </c>
      <c r="W770" s="12"/>
      <c r="X770" s="12">
        <f t="shared" si="165"/>
        <v>74066</v>
      </c>
      <c r="Z770" s="10">
        <v>8</v>
      </c>
      <c r="AA770" s="30"/>
      <c r="AB770" s="31"/>
      <c r="AC770" s="32"/>
      <c r="AD770" s="32"/>
      <c r="AF770" s="32">
        <f t="shared" si="166"/>
        <v>0</v>
      </c>
      <c r="AG770" s="12"/>
      <c r="AH770" s="12"/>
      <c r="AI770" s="12"/>
      <c r="AJ770" s="12">
        <f t="shared" si="167"/>
        <v>0</v>
      </c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1:53" x14ac:dyDescent="0.25">
      <c r="A771" s="18"/>
      <c r="B771" s="10">
        <v>9</v>
      </c>
      <c r="C771" s="30"/>
      <c r="D771" s="80"/>
      <c r="E771" s="32"/>
      <c r="F771" s="32"/>
      <c r="G771" s="32"/>
      <c r="H771" s="32">
        <f t="shared" si="162"/>
        <v>0</v>
      </c>
      <c r="I771" s="12"/>
      <c r="J771" s="12"/>
      <c r="K771" s="12"/>
      <c r="L771" s="12">
        <f t="shared" si="163"/>
        <v>0</v>
      </c>
      <c r="N771" s="10">
        <v>9</v>
      </c>
      <c r="O771" s="30" t="s">
        <v>78</v>
      </c>
      <c r="P771" s="80">
        <f t="shared" si="169"/>
        <v>11851</v>
      </c>
      <c r="Q771" s="32">
        <f>650*60+622*10+229*2+650*2</f>
        <v>46978</v>
      </c>
      <c r="R771" s="32">
        <f>-72*6</f>
        <v>-432</v>
      </c>
      <c r="S771" s="32"/>
      <c r="T771" s="32">
        <f t="shared" si="164"/>
        <v>46546</v>
      </c>
      <c r="U771" s="12"/>
      <c r="V771" s="12">
        <f>1.5*24</f>
        <v>36</v>
      </c>
      <c r="W771" s="12"/>
      <c r="X771" s="12">
        <f t="shared" si="165"/>
        <v>46582</v>
      </c>
      <c r="Z771" s="10">
        <v>9</v>
      </c>
      <c r="AA771" s="30"/>
      <c r="AC771" s="32"/>
      <c r="AD771" s="32"/>
      <c r="AE771" s="32"/>
      <c r="AF771" s="32">
        <f t="shared" si="166"/>
        <v>0</v>
      </c>
      <c r="AG771" s="12"/>
      <c r="AI771" s="12"/>
      <c r="AJ771" s="12">
        <f t="shared" si="167"/>
        <v>0</v>
      </c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1:53" x14ac:dyDescent="0.25">
      <c r="A772" s="18"/>
      <c r="B772" s="10">
        <v>10</v>
      </c>
      <c r="C772" s="30"/>
      <c r="D772" s="80"/>
      <c r="E772" s="32"/>
      <c r="F772" s="32"/>
      <c r="G772" s="32"/>
      <c r="H772" s="32">
        <f t="shared" si="162"/>
        <v>0</v>
      </c>
      <c r="I772" s="12"/>
      <c r="J772" s="12"/>
      <c r="K772" s="12"/>
      <c r="L772" s="12">
        <f t="shared" si="163"/>
        <v>0</v>
      </c>
      <c r="N772" s="10">
        <v>10</v>
      </c>
      <c r="O772" s="30" t="s">
        <v>78</v>
      </c>
      <c r="P772" s="80">
        <f t="shared" si="169"/>
        <v>11852</v>
      </c>
      <c r="Q772" s="32">
        <f>650*5+622</f>
        <v>3872</v>
      </c>
      <c r="R772" s="32"/>
      <c r="S772" s="32"/>
      <c r="T772" s="32">
        <f t="shared" si="164"/>
        <v>3872</v>
      </c>
      <c r="U772" s="12"/>
      <c r="V772" s="12"/>
      <c r="W772" s="12"/>
      <c r="X772" s="12">
        <f t="shared" si="165"/>
        <v>3872</v>
      </c>
      <c r="Z772" s="10">
        <v>10</v>
      </c>
      <c r="AA772" s="30"/>
      <c r="AB772" s="31"/>
      <c r="AC772" s="32"/>
      <c r="AD772" s="32"/>
      <c r="AE772" s="32"/>
      <c r="AF772" s="32">
        <f t="shared" si="166"/>
        <v>0</v>
      </c>
      <c r="AG772" s="12"/>
      <c r="AH772" s="12"/>
      <c r="AI772" s="12"/>
      <c r="AJ772" s="12">
        <f t="shared" si="167"/>
        <v>0</v>
      </c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1:53" x14ac:dyDescent="0.25">
      <c r="A773" s="18"/>
      <c r="B773" s="10">
        <v>11</v>
      </c>
      <c r="C773" s="30"/>
      <c r="D773" s="80"/>
      <c r="E773" s="32"/>
      <c r="F773" s="32"/>
      <c r="G773" s="32"/>
      <c r="H773" s="32">
        <f t="shared" si="162"/>
        <v>0</v>
      </c>
      <c r="I773" s="12"/>
      <c r="J773" s="12"/>
      <c r="K773" s="12"/>
      <c r="L773" s="12">
        <f t="shared" si="163"/>
        <v>0</v>
      </c>
      <c r="N773" s="10">
        <v>11</v>
      </c>
      <c r="O773" s="30" t="s">
        <v>78</v>
      </c>
      <c r="P773" s="80">
        <f t="shared" si="169"/>
        <v>11853</v>
      </c>
      <c r="Q773" s="32">
        <f>650+9.5</f>
        <v>659.5</v>
      </c>
      <c r="R773" s="32"/>
      <c r="S773" s="32"/>
      <c r="T773" s="32">
        <f t="shared" si="164"/>
        <v>659.5</v>
      </c>
      <c r="U773" s="12"/>
      <c r="V773" s="12"/>
      <c r="W773" s="12"/>
      <c r="X773" s="12">
        <f t="shared" si="165"/>
        <v>659.5</v>
      </c>
      <c r="Z773" s="10">
        <v>11</v>
      </c>
      <c r="AA773" s="30"/>
      <c r="AB773" s="31"/>
      <c r="AC773" s="32"/>
      <c r="AD773" s="32"/>
      <c r="AE773" s="32"/>
      <c r="AF773" s="32">
        <f t="shared" si="166"/>
        <v>0</v>
      </c>
      <c r="AG773" s="12"/>
      <c r="AH773" s="12"/>
      <c r="AI773" s="12"/>
      <c r="AJ773" s="12">
        <f t="shared" si="167"/>
        <v>0</v>
      </c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1:53" x14ac:dyDescent="0.25">
      <c r="A774" s="18"/>
      <c r="B774" s="10">
        <v>12</v>
      </c>
      <c r="C774" s="30"/>
      <c r="D774" s="55"/>
      <c r="E774" s="32"/>
      <c r="F774" s="32"/>
      <c r="G774" s="32"/>
      <c r="H774" s="32">
        <f t="shared" si="162"/>
        <v>0</v>
      </c>
      <c r="I774" s="12"/>
      <c r="J774" s="12"/>
      <c r="K774" s="12"/>
      <c r="L774" s="12">
        <f t="shared" si="163"/>
        <v>0</v>
      </c>
      <c r="N774" s="10">
        <v>12</v>
      </c>
      <c r="O774" s="30" t="s">
        <v>78</v>
      </c>
      <c r="P774" s="80">
        <f t="shared" si="169"/>
        <v>11854</v>
      </c>
      <c r="Q774" s="32">
        <f>650*5+622+9.5*6+500</f>
        <v>4429</v>
      </c>
      <c r="R774" s="32"/>
      <c r="S774" s="32"/>
      <c r="T774" s="32">
        <f t="shared" si="164"/>
        <v>4429</v>
      </c>
      <c r="U774" s="12"/>
      <c r="V774" s="12"/>
      <c r="W774" s="12"/>
      <c r="X774" s="12">
        <f t="shared" si="165"/>
        <v>4429</v>
      </c>
      <c r="Z774" s="10">
        <v>12</v>
      </c>
      <c r="AA774" s="30"/>
      <c r="AB774" s="31"/>
      <c r="AC774" s="32"/>
      <c r="AD774" s="32"/>
      <c r="AE774" s="32"/>
      <c r="AF774" s="32">
        <f t="shared" si="166"/>
        <v>0</v>
      </c>
      <c r="AG774" s="12"/>
      <c r="AH774" s="12"/>
      <c r="AI774" s="12"/>
      <c r="AJ774" s="12">
        <f t="shared" si="167"/>
        <v>0</v>
      </c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1:53" x14ac:dyDescent="0.25">
      <c r="A775" s="18"/>
      <c r="B775" s="10">
        <v>13</v>
      </c>
      <c r="C775" s="30"/>
      <c r="D775" s="80"/>
      <c r="E775" s="32"/>
      <c r="F775" s="32"/>
      <c r="G775" s="32"/>
      <c r="H775" s="32">
        <f t="shared" si="162"/>
        <v>0</v>
      </c>
      <c r="I775" s="12"/>
      <c r="J775" s="12"/>
      <c r="K775" s="12"/>
      <c r="L775" s="12">
        <f t="shared" si="163"/>
        <v>0</v>
      </c>
      <c r="N775" s="10">
        <v>13</v>
      </c>
      <c r="O775" s="30" t="s">
        <v>78</v>
      </c>
      <c r="P775" s="80">
        <f t="shared" si="169"/>
        <v>11855</v>
      </c>
      <c r="Q775" s="32">
        <f>650*9+622*3+872</f>
        <v>8588</v>
      </c>
      <c r="R775" s="32"/>
      <c r="S775" s="32"/>
      <c r="T775" s="32">
        <f t="shared" si="164"/>
        <v>8588</v>
      </c>
      <c r="U775" s="12"/>
      <c r="V775" s="12"/>
      <c r="W775" s="12">
        <f>-111*5</f>
        <v>-555</v>
      </c>
      <c r="X775" s="12">
        <f t="shared" si="165"/>
        <v>8033</v>
      </c>
      <c r="Z775" s="10">
        <v>13</v>
      </c>
      <c r="AA775" s="30"/>
      <c r="AB775" s="31"/>
      <c r="AC775" s="32"/>
      <c r="AD775" s="32"/>
      <c r="AE775" s="32"/>
      <c r="AF775" s="32">
        <f t="shared" si="166"/>
        <v>0</v>
      </c>
      <c r="AG775" s="12"/>
      <c r="AH775" s="12"/>
      <c r="AI775" s="12"/>
      <c r="AJ775" s="12">
        <f t="shared" si="167"/>
        <v>0</v>
      </c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1:53" x14ac:dyDescent="0.25">
      <c r="A776" s="18"/>
      <c r="B776" s="10">
        <v>14</v>
      </c>
      <c r="C776" s="30"/>
      <c r="D776" s="80"/>
      <c r="E776" s="32"/>
      <c r="F776" s="32"/>
      <c r="G776" s="32"/>
      <c r="H776" s="32">
        <f t="shared" si="162"/>
        <v>0</v>
      </c>
      <c r="I776" s="12"/>
      <c r="J776" s="12"/>
      <c r="K776" s="12"/>
      <c r="L776" s="12">
        <f t="shared" si="163"/>
        <v>0</v>
      </c>
      <c r="N776" s="10">
        <v>14</v>
      </c>
      <c r="O776" s="30" t="s">
        <v>78</v>
      </c>
      <c r="P776" s="80">
        <f t="shared" si="169"/>
        <v>11856</v>
      </c>
      <c r="Q776" s="32">
        <f>650*17+622*3+229*2</f>
        <v>13374</v>
      </c>
      <c r="R776" s="32"/>
      <c r="S776" s="32"/>
      <c r="T776" s="32">
        <f t="shared" si="164"/>
        <v>13374</v>
      </c>
      <c r="U776" s="12"/>
      <c r="V776" s="12">
        <f>4.5*13</f>
        <v>58.5</v>
      </c>
      <c r="W776" s="12"/>
      <c r="X776" s="12">
        <f t="shared" si="165"/>
        <v>13432.5</v>
      </c>
      <c r="Z776" s="10">
        <v>14</v>
      </c>
      <c r="AA776" s="30"/>
      <c r="AB776" s="31"/>
      <c r="AC776" s="32"/>
      <c r="AD776" s="32"/>
      <c r="AE776" s="32"/>
      <c r="AF776" s="32">
        <f t="shared" si="166"/>
        <v>0</v>
      </c>
      <c r="AG776" s="12"/>
      <c r="AH776" s="12"/>
      <c r="AI776" s="12"/>
      <c r="AJ776" s="12">
        <f t="shared" si="167"/>
        <v>0</v>
      </c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1:53" x14ac:dyDescent="0.25">
      <c r="A777" s="18"/>
      <c r="B777" s="10">
        <v>15</v>
      </c>
      <c r="C777" s="30"/>
      <c r="D777" s="80"/>
      <c r="E777" s="32"/>
      <c r="F777" s="32"/>
      <c r="G777" s="32"/>
      <c r="H777" s="32">
        <f t="shared" si="162"/>
        <v>0</v>
      </c>
      <c r="I777" s="12"/>
      <c r="J777" s="12"/>
      <c r="K777" s="12"/>
      <c r="L777" s="12">
        <f t="shared" si="163"/>
        <v>0</v>
      </c>
      <c r="N777" s="10">
        <v>15</v>
      </c>
      <c r="O777" s="30" t="s">
        <v>78</v>
      </c>
      <c r="P777" s="80">
        <f t="shared" si="169"/>
        <v>11857</v>
      </c>
      <c r="Q777" s="32">
        <f>650*9+9.5*9</f>
        <v>5935.5</v>
      </c>
      <c r="R777" s="32"/>
      <c r="S777" s="32"/>
      <c r="T777" s="32">
        <f t="shared" si="164"/>
        <v>5935.5</v>
      </c>
      <c r="U777" s="12"/>
      <c r="V777" s="12"/>
      <c r="W777" s="12"/>
      <c r="X777" s="12">
        <f t="shared" si="165"/>
        <v>5935.5</v>
      </c>
      <c r="Z777" s="10">
        <v>15</v>
      </c>
      <c r="AA777" s="30"/>
      <c r="AB777" s="31"/>
      <c r="AC777" s="32"/>
      <c r="AD777" s="32"/>
      <c r="AE777" s="32"/>
      <c r="AF777" s="32">
        <f t="shared" si="166"/>
        <v>0</v>
      </c>
      <c r="AG777" s="12"/>
      <c r="AH777" s="12"/>
      <c r="AI777" s="12"/>
      <c r="AJ777" s="12">
        <f t="shared" si="167"/>
        <v>0</v>
      </c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1:53" x14ac:dyDescent="0.25">
      <c r="A778" s="18"/>
      <c r="B778" s="10">
        <v>16</v>
      </c>
      <c r="C778" s="30"/>
      <c r="D778" s="11"/>
      <c r="E778" s="32"/>
      <c r="F778" s="32"/>
      <c r="G778" s="32"/>
      <c r="H778" s="32">
        <f t="shared" si="162"/>
        <v>0</v>
      </c>
      <c r="I778" s="12"/>
      <c r="J778" s="12"/>
      <c r="K778" s="12"/>
      <c r="L778" s="12">
        <f t="shared" si="163"/>
        <v>0</v>
      </c>
      <c r="N778" s="10">
        <v>16</v>
      </c>
      <c r="O778" s="30"/>
      <c r="P778" s="11" t="s">
        <v>27</v>
      </c>
      <c r="Q778" s="32"/>
      <c r="R778" s="32"/>
      <c r="S778" s="32"/>
      <c r="T778" s="32">
        <f t="shared" si="164"/>
        <v>0</v>
      </c>
      <c r="U778" s="12"/>
      <c r="V778" s="12"/>
      <c r="W778" s="12"/>
      <c r="X778" s="12">
        <f t="shared" si="165"/>
        <v>0</v>
      </c>
      <c r="Z778" s="10">
        <v>16</v>
      </c>
      <c r="AA778" s="30"/>
      <c r="AB778" s="11"/>
      <c r="AC778" s="32"/>
      <c r="AD778" s="32"/>
      <c r="AE778" s="32"/>
      <c r="AF778" s="32">
        <f t="shared" si="166"/>
        <v>0</v>
      </c>
      <c r="AG778" s="12"/>
      <c r="AH778" s="12"/>
      <c r="AI778" s="12"/>
      <c r="AJ778" s="12">
        <f t="shared" si="167"/>
        <v>0</v>
      </c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1:53" x14ac:dyDescent="0.25">
      <c r="A779" s="18"/>
      <c r="B779" s="10">
        <v>17</v>
      </c>
      <c r="C779" s="30"/>
      <c r="D779" s="31"/>
      <c r="E779" s="35"/>
      <c r="F779" s="32"/>
      <c r="G779" s="32"/>
      <c r="H779" s="32">
        <f t="shared" si="162"/>
        <v>0</v>
      </c>
      <c r="I779" s="12"/>
      <c r="J779" s="12"/>
      <c r="K779" s="12"/>
      <c r="L779" s="12">
        <f t="shared" si="163"/>
        <v>0</v>
      </c>
      <c r="N779" s="10">
        <v>17</v>
      </c>
      <c r="O779" s="30"/>
      <c r="Q779" s="35"/>
      <c r="R779" s="32"/>
      <c r="S779" s="32"/>
      <c r="T779" s="32">
        <f t="shared" si="164"/>
        <v>0</v>
      </c>
      <c r="U779" s="12"/>
      <c r="V779" s="12"/>
      <c r="W779" s="12"/>
      <c r="X779" s="12">
        <f t="shared" si="165"/>
        <v>0</v>
      </c>
      <c r="Z779" s="10">
        <v>17</v>
      </c>
      <c r="AA779" s="30"/>
      <c r="AB779" s="31"/>
      <c r="AC779" s="35"/>
      <c r="AD779" s="32"/>
      <c r="AE779" s="32"/>
      <c r="AF779" s="32">
        <f t="shared" si="166"/>
        <v>0</v>
      </c>
      <c r="AG779" s="12"/>
      <c r="AH779" s="12"/>
      <c r="AI779" s="12"/>
      <c r="AJ779" s="12">
        <f t="shared" si="167"/>
        <v>0</v>
      </c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1:53" x14ac:dyDescent="0.25">
      <c r="A780" s="18"/>
      <c r="B780" s="10">
        <v>18</v>
      </c>
      <c r="C780" s="30"/>
      <c r="D780" s="31"/>
      <c r="E780" s="32"/>
      <c r="F780" s="32"/>
      <c r="G780" s="32"/>
      <c r="H780" s="32">
        <f t="shared" si="162"/>
        <v>0</v>
      </c>
      <c r="I780" s="12"/>
      <c r="J780" s="12"/>
      <c r="K780" s="12"/>
      <c r="L780" s="12">
        <f t="shared" si="163"/>
        <v>0</v>
      </c>
      <c r="N780" s="10">
        <v>18</v>
      </c>
      <c r="O780" s="30"/>
      <c r="P780" s="80"/>
      <c r="Q780" s="32"/>
      <c r="R780" s="32"/>
      <c r="S780" s="32"/>
      <c r="T780" s="32">
        <f t="shared" si="164"/>
        <v>0</v>
      </c>
      <c r="U780" s="12"/>
      <c r="V780" s="12"/>
      <c r="W780" s="12"/>
      <c r="X780" s="12">
        <f t="shared" si="165"/>
        <v>0</v>
      </c>
      <c r="Z780" s="10">
        <v>18</v>
      </c>
      <c r="AA780" s="30"/>
      <c r="AB780" s="31"/>
      <c r="AC780" s="32"/>
      <c r="AD780" s="32"/>
      <c r="AE780" s="32"/>
      <c r="AF780" s="32">
        <f t="shared" si="166"/>
        <v>0</v>
      </c>
      <c r="AG780" s="12"/>
      <c r="AH780" s="12"/>
      <c r="AI780" s="12"/>
      <c r="AJ780" s="12">
        <f t="shared" si="167"/>
        <v>0</v>
      </c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1:53" x14ac:dyDescent="0.25">
      <c r="A781" s="18"/>
      <c r="B781" s="10">
        <v>19</v>
      </c>
      <c r="C781" s="30"/>
      <c r="D781" s="31"/>
      <c r="E781" s="32"/>
      <c r="F781" s="32"/>
      <c r="G781" s="32"/>
      <c r="H781" s="32">
        <f t="shared" si="162"/>
        <v>0</v>
      </c>
      <c r="I781" s="12"/>
      <c r="J781" s="12"/>
      <c r="K781" s="12"/>
      <c r="L781" s="12">
        <f t="shared" si="163"/>
        <v>0</v>
      </c>
      <c r="N781" s="10">
        <v>19</v>
      </c>
      <c r="O781" s="30"/>
      <c r="P781" s="80"/>
      <c r="Q781" s="32"/>
      <c r="R781" s="32"/>
      <c r="S781" s="32"/>
      <c r="T781" s="32">
        <f t="shared" si="164"/>
        <v>0</v>
      </c>
      <c r="U781" s="12"/>
      <c r="V781" s="12"/>
      <c r="W781" s="12"/>
      <c r="X781" s="12">
        <f t="shared" si="165"/>
        <v>0</v>
      </c>
      <c r="Z781" s="10">
        <v>19</v>
      </c>
      <c r="AA781" s="30"/>
      <c r="AB781" s="11"/>
      <c r="AC781" s="32"/>
      <c r="AD781" s="32"/>
      <c r="AE781" s="32"/>
      <c r="AF781" s="32">
        <f t="shared" si="166"/>
        <v>0</v>
      </c>
      <c r="AG781" s="12"/>
      <c r="AH781" s="12"/>
      <c r="AI781" s="12"/>
      <c r="AJ781" s="12">
        <f t="shared" si="167"/>
        <v>0</v>
      </c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1:53" x14ac:dyDescent="0.25">
      <c r="A782" s="18"/>
      <c r="B782" s="10">
        <v>20</v>
      </c>
      <c r="C782" s="30"/>
      <c r="D782" s="31"/>
      <c r="E782" s="32"/>
      <c r="F782" s="32"/>
      <c r="G782" s="32"/>
      <c r="H782" s="32">
        <f t="shared" si="162"/>
        <v>0</v>
      </c>
      <c r="I782" s="12"/>
      <c r="J782" s="12"/>
      <c r="K782" s="12"/>
      <c r="L782" s="12">
        <f t="shared" si="163"/>
        <v>0</v>
      </c>
      <c r="N782" s="10">
        <v>20</v>
      </c>
      <c r="O782" s="30"/>
      <c r="P782" s="80"/>
      <c r="Q782" s="32"/>
      <c r="R782" s="32"/>
      <c r="S782" s="32"/>
      <c r="T782" s="32">
        <f t="shared" si="164"/>
        <v>0</v>
      </c>
      <c r="U782" s="12"/>
      <c r="V782" s="12"/>
      <c r="W782" s="12"/>
      <c r="X782" s="12">
        <f t="shared" si="165"/>
        <v>0</v>
      </c>
      <c r="Z782" s="10">
        <v>20</v>
      </c>
      <c r="AA782" s="30"/>
      <c r="AB782" s="31"/>
      <c r="AC782" s="32"/>
      <c r="AD782" s="32"/>
      <c r="AE782" s="32"/>
      <c r="AF782" s="32">
        <f t="shared" si="166"/>
        <v>0</v>
      </c>
      <c r="AG782" s="12"/>
      <c r="AH782" s="12"/>
      <c r="AI782" s="12"/>
      <c r="AJ782" s="12">
        <f t="shared" si="167"/>
        <v>0</v>
      </c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1:53" x14ac:dyDescent="0.25">
      <c r="A783" s="18"/>
      <c r="B783" s="10">
        <v>21</v>
      </c>
      <c r="C783" s="30"/>
      <c r="D783" s="31"/>
      <c r="E783" s="44"/>
      <c r="F783" s="31"/>
      <c r="G783" s="31"/>
      <c r="H783" s="32">
        <f t="shared" si="162"/>
        <v>0</v>
      </c>
      <c r="I783" s="10"/>
      <c r="J783" s="10"/>
      <c r="K783" s="10"/>
      <c r="L783" s="12">
        <f t="shared" si="163"/>
        <v>0</v>
      </c>
      <c r="N783" s="10">
        <v>21</v>
      </c>
      <c r="O783" s="30"/>
      <c r="P783" s="11"/>
      <c r="Q783" s="44"/>
      <c r="R783" s="31"/>
      <c r="S783" s="31"/>
      <c r="T783" s="32">
        <f t="shared" si="164"/>
        <v>0</v>
      </c>
      <c r="U783" s="10"/>
      <c r="V783" s="10"/>
      <c r="W783" s="10"/>
      <c r="X783" s="12">
        <f t="shared" si="165"/>
        <v>0</v>
      </c>
      <c r="Z783" s="10">
        <v>21</v>
      </c>
      <c r="AA783" s="30"/>
      <c r="AB783" s="11"/>
      <c r="AC783" s="44"/>
      <c r="AD783" s="31"/>
      <c r="AE783" s="31"/>
      <c r="AF783" s="32">
        <f t="shared" si="166"/>
        <v>0</v>
      </c>
      <c r="AG783" s="10"/>
      <c r="AH783" s="10"/>
      <c r="AI783" s="10"/>
      <c r="AJ783" s="12">
        <f t="shared" si="167"/>
        <v>0</v>
      </c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1:53" x14ac:dyDescent="0.25">
      <c r="A784" s="18"/>
      <c r="B784" s="10">
        <v>22</v>
      </c>
      <c r="C784" s="30"/>
      <c r="D784" s="31"/>
      <c r="E784" s="43"/>
      <c r="F784" s="31"/>
      <c r="G784" s="31"/>
      <c r="H784" s="32">
        <f t="shared" si="162"/>
        <v>0</v>
      </c>
      <c r="I784" s="10"/>
      <c r="J784" s="10"/>
      <c r="K784" s="10"/>
      <c r="L784" s="12">
        <f t="shared" si="163"/>
        <v>0</v>
      </c>
      <c r="N784" s="10">
        <v>22</v>
      </c>
      <c r="O784" s="30"/>
      <c r="P784" s="31"/>
      <c r="Q784" s="43"/>
      <c r="R784" s="31"/>
      <c r="S784" s="31"/>
      <c r="T784" s="32">
        <f t="shared" si="164"/>
        <v>0</v>
      </c>
      <c r="U784" s="10"/>
      <c r="V784" s="10"/>
      <c r="W784" s="10"/>
      <c r="X784" s="12">
        <f t="shared" si="165"/>
        <v>0</v>
      </c>
      <c r="Z784" s="10">
        <v>22</v>
      </c>
      <c r="AA784" s="30"/>
      <c r="AB784" s="31"/>
      <c r="AC784" s="43"/>
      <c r="AD784" s="31"/>
      <c r="AE784" s="31"/>
      <c r="AF784" s="32">
        <f t="shared" si="166"/>
        <v>0</v>
      </c>
      <c r="AG784" s="10"/>
      <c r="AH784" s="10"/>
      <c r="AI784" s="10"/>
      <c r="AJ784" s="12">
        <f t="shared" si="167"/>
        <v>0</v>
      </c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1:53" x14ac:dyDescent="0.25">
      <c r="A785" s="18"/>
      <c r="B785" s="10">
        <v>23</v>
      </c>
      <c r="C785" s="30"/>
      <c r="D785" s="31"/>
      <c r="E785" s="45"/>
      <c r="F785" s="31"/>
      <c r="G785"/>
      <c r="H785" s="32">
        <f t="shared" si="162"/>
        <v>0</v>
      </c>
      <c r="I785" s="10"/>
      <c r="J785" s="10"/>
      <c r="K785" s="10"/>
      <c r="L785" s="12">
        <f t="shared" si="163"/>
        <v>0</v>
      </c>
      <c r="N785" s="10">
        <v>23</v>
      </c>
      <c r="O785" s="30"/>
      <c r="P785" s="31"/>
      <c r="Q785" s="45"/>
      <c r="T785" s="32">
        <f t="shared" si="164"/>
        <v>0</v>
      </c>
      <c r="U785" s="10"/>
      <c r="V785" s="10"/>
      <c r="W785" s="10"/>
      <c r="X785" s="12">
        <f t="shared" si="165"/>
        <v>0</v>
      </c>
      <c r="Z785" s="10">
        <v>23</v>
      </c>
      <c r="AA785" s="30"/>
      <c r="AB785" s="31"/>
      <c r="AC785" s="45"/>
      <c r="AD785" s="31"/>
      <c r="AF785" s="32">
        <f t="shared" si="166"/>
        <v>0</v>
      </c>
      <c r="AG785" s="10"/>
      <c r="AH785" s="10"/>
      <c r="AI785" s="10"/>
      <c r="AJ785" s="12">
        <f t="shared" si="167"/>
        <v>0</v>
      </c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1:53" x14ac:dyDescent="0.25">
      <c r="A786" s="18"/>
      <c r="B786" s="10">
        <v>24</v>
      </c>
      <c r="C786" s="30"/>
      <c r="D786" s="31"/>
      <c r="E786" s="45"/>
      <c r="F786" s="31"/>
      <c r="G786" s="31"/>
      <c r="H786" s="32">
        <f t="shared" si="162"/>
        <v>0</v>
      </c>
      <c r="I786" s="10"/>
      <c r="J786" s="10"/>
      <c r="K786" s="10"/>
      <c r="L786" s="12">
        <f t="shared" si="163"/>
        <v>0</v>
      </c>
      <c r="N786" s="10">
        <v>24</v>
      </c>
      <c r="O786" s="30"/>
      <c r="P786" s="31"/>
      <c r="Q786" s="45"/>
      <c r="R786" s="31"/>
      <c r="S786" s="31"/>
      <c r="T786" s="32">
        <f t="shared" si="164"/>
        <v>0</v>
      </c>
      <c r="U786" s="10"/>
      <c r="V786" s="10"/>
      <c r="W786" s="10"/>
      <c r="X786" s="12">
        <f t="shared" si="165"/>
        <v>0</v>
      </c>
      <c r="Z786" s="10">
        <v>24</v>
      </c>
      <c r="AA786" s="30"/>
      <c r="AB786" s="31"/>
      <c r="AC786" s="45"/>
      <c r="AD786" s="31"/>
      <c r="AE786" s="31"/>
      <c r="AF786" s="32">
        <f t="shared" si="166"/>
        <v>0</v>
      </c>
      <c r="AG786" s="10"/>
      <c r="AH786" s="10"/>
      <c r="AI786" s="10"/>
      <c r="AJ786" s="12">
        <f t="shared" si="167"/>
        <v>0</v>
      </c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1:53" x14ac:dyDescent="0.25">
      <c r="A787" s="18"/>
      <c r="B787" s="10">
        <v>25</v>
      </c>
      <c r="C787" s="30"/>
      <c r="D787" s="31"/>
      <c r="E787" s="45"/>
      <c r="F787" s="31"/>
      <c r="G787" s="31"/>
      <c r="H787" s="32">
        <f t="shared" si="162"/>
        <v>0</v>
      </c>
      <c r="I787" s="10"/>
      <c r="J787" s="10"/>
      <c r="K787" s="10"/>
      <c r="L787" s="12">
        <f t="shared" si="163"/>
        <v>0</v>
      </c>
      <c r="N787" s="10">
        <v>25</v>
      </c>
      <c r="O787" s="30"/>
      <c r="P787" s="31"/>
      <c r="Q787" s="45"/>
      <c r="R787" s="31"/>
      <c r="S787" s="31"/>
      <c r="T787" s="32">
        <f t="shared" si="164"/>
        <v>0</v>
      </c>
      <c r="U787" s="10"/>
      <c r="V787" s="10"/>
      <c r="W787" s="10"/>
      <c r="X787" s="12">
        <f t="shared" si="165"/>
        <v>0</v>
      </c>
      <c r="Z787" s="10">
        <v>25</v>
      </c>
      <c r="AA787" s="30"/>
      <c r="AB787" s="31"/>
      <c r="AC787" s="45"/>
      <c r="AD787" s="31"/>
      <c r="AE787" s="31"/>
      <c r="AF787" s="32">
        <f t="shared" si="166"/>
        <v>0</v>
      </c>
      <c r="AG787" s="10"/>
      <c r="AH787" s="10"/>
      <c r="AI787" s="10"/>
      <c r="AJ787" s="12">
        <f t="shared" si="167"/>
        <v>0</v>
      </c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1:53" x14ac:dyDescent="0.25">
      <c r="A788" s="18"/>
      <c r="B788" s="10">
        <v>26</v>
      </c>
      <c r="C788" s="30"/>
      <c r="D788" s="31"/>
      <c r="E788" s="45"/>
      <c r="F788" s="31"/>
      <c r="G788" s="31"/>
      <c r="H788" s="32">
        <f t="shared" si="162"/>
        <v>0</v>
      </c>
      <c r="I788" s="10"/>
      <c r="J788" s="10"/>
      <c r="K788" s="10"/>
      <c r="L788" s="12">
        <f t="shared" si="163"/>
        <v>0</v>
      </c>
      <c r="N788" s="10">
        <v>26</v>
      </c>
      <c r="O788" s="30"/>
      <c r="P788" s="31"/>
      <c r="Q788" s="45"/>
      <c r="R788" s="31"/>
      <c r="S788" s="31"/>
      <c r="T788" s="32">
        <f t="shared" si="164"/>
        <v>0</v>
      </c>
      <c r="U788" s="10"/>
      <c r="V788" s="10"/>
      <c r="W788" s="10"/>
      <c r="X788" s="12">
        <f t="shared" si="165"/>
        <v>0</v>
      </c>
      <c r="Z788" s="10">
        <v>26</v>
      </c>
      <c r="AA788" s="30"/>
      <c r="AB788" s="31"/>
      <c r="AC788" s="45"/>
      <c r="AD788" s="31"/>
      <c r="AE788" s="31"/>
      <c r="AF788" s="32">
        <f t="shared" si="166"/>
        <v>0</v>
      </c>
      <c r="AG788" s="10"/>
      <c r="AH788" s="10"/>
      <c r="AI788" s="10"/>
      <c r="AJ788" s="12">
        <f t="shared" si="167"/>
        <v>0</v>
      </c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1:53" x14ac:dyDescent="0.25">
      <c r="A789" s="18"/>
      <c r="B789" s="10">
        <v>27</v>
      </c>
      <c r="C789" s="30"/>
      <c r="D789" s="31"/>
      <c r="E789" s="45"/>
      <c r="F789" s="31"/>
      <c r="G789" s="31"/>
      <c r="H789" s="32">
        <f t="shared" si="162"/>
        <v>0</v>
      </c>
      <c r="I789" s="10"/>
      <c r="J789" s="10"/>
      <c r="K789" s="10"/>
      <c r="L789" s="12">
        <f t="shared" si="163"/>
        <v>0</v>
      </c>
      <c r="N789" s="10">
        <v>27</v>
      </c>
      <c r="O789" s="30"/>
      <c r="P789" s="31"/>
      <c r="Q789" s="45"/>
      <c r="R789" s="31"/>
      <c r="S789" s="31"/>
      <c r="T789" s="32">
        <f t="shared" si="164"/>
        <v>0</v>
      </c>
      <c r="U789" s="10"/>
      <c r="V789" s="10"/>
      <c r="W789" s="10"/>
      <c r="X789" s="12">
        <f t="shared" si="165"/>
        <v>0</v>
      </c>
      <c r="Z789" s="10">
        <v>27</v>
      </c>
      <c r="AA789" s="30"/>
      <c r="AB789" s="31"/>
      <c r="AC789" s="45"/>
      <c r="AD789" s="31"/>
      <c r="AE789" s="31"/>
      <c r="AF789" s="32">
        <f t="shared" si="166"/>
        <v>0</v>
      </c>
      <c r="AG789" s="10"/>
      <c r="AH789" s="10"/>
      <c r="AI789" s="10"/>
      <c r="AJ789" s="12">
        <f t="shared" si="167"/>
        <v>0</v>
      </c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1:53" x14ac:dyDescent="0.25">
      <c r="A790" s="18"/>
      <c r="B790" s="10">
        <v>28</v>
      </c>
      <c r="C790" s="30"/>
      <c r="D790" s="31"/>
      <c r="E790" s="45"/>
      <c r="F790" s="31"/>
      <c r="G790" s="31"/>
      <c r="H790" s="32">
        <f t="shared" si="162"/>
        <v>0</v>
      </c>
      <c r="I790" s="10"/>
      <c r="J790" s="10"/>
      <c r="K790" s="10"/>
      <c r="L790" s="12">
        <f t="shared" si="163"/>
        <v>0</v>
      </c>
      <c r="N790" s="10">
        <v>28</v>
      </c>
      <c r="O790" s="30"/>
      <c r="P790" s="31"/>
      <c r="Q790" s="45"/>
      <c r="R790" s="31"/>
      <c r="S790" s="31"/>
      <c r="T790" s="32">
        <f t="shared" si="164"/>
        <v>0</v>
      </c>
      <c r="U790" s="10"/>
      <c r="V790" s="10"/>
      <c r="W790" s="10"/>
      <c r="X790" s="12">
        <f t="shared" si="165"/>
        <v>0</v>
      </c>
      <c r="Z790" s="10">
        <v>28</v>
      </c>
      <c r="AA790" s="30"/>
      <c r="AB790" s="31"/>
      <c r="AC790" s="45"/>
      <c r="AD790" s="31"/>
      <c r="AE790" s="31"/>
      <c r="AF790" s="32">
        <f t="shared" si="166"/>
        <v>0</v>
      </c>
      <c r="AG790" s="10"/>
      <c r="AH790" s="10"/>
      <c r="AI790" s="10"/>
      <c r="AJ790" s="12">
        <f t="shared" si="167"/>
        <v>0</v>
      </c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1:53" x14ac:dyDescent="0.25">
      <c r="A791" s="18"/>
      <c r="B791" s="10">
        <v>29</v>
      </c>
      <c r="C791" s="30"/>
      <c r="D791" s="31"/>
      <c r="E791" s="45"/>
      <c r="F791" s="31"/>
      <c r="G791" s="31"/>
      <c r="H791" s="32">
        <f t="shared" si="162"/>
        <v>0</v>
      </c>
      <c r="I791" s="10"/>
      <c r="J791" s="10"/>
      <c r="K791" s="10"/>
      <c r="L791" s="12">
        <f t="shared" si="163"/>
        <v>0</v>
      </c>
      <c r="N791" s="10">
        <v>29</v>
      </c>
      <c r="O791" s="30"/>
      <c r="P791" s="31"/>
      <c r="Q791" s="45"/>
      <c r="R791" s="31"/>
      <c r="S791" s="31"/>
      <c r="T791" s="32">
        <f t="shared" si="164"/>
        <v>0</v>
      </c>
      <c r="U791" s="10"/>
      <c r="V791" s="10"/>
      <c r="W791" s="10"/>
      <c r="X791" s="12">
        <f t="shared" si="165"/>
        <v>0</v>
      </c>
      <c r="Z791" s="10">
        <v>29</v>
      </c>
      <c r="AA791" s="30"/>
      <c r="AB791" s="31"/>
      <c r="AC791" s="45"/>
      <c r="AD791" s="31"/>
      <c r="AE791" s="31"/>
      <c r="AF791" s="32">
        <f t="shared" si="166"/>
        <v>0</v>
      </c>
      <c r="AG791" s="10"/>
      <c r="AH791" s="10"/>
      <c r="AI791" s="10"/>
      <c r="AJ791" s="12">
        <f t="shared" si="167"/>
        <v>0</v>
      </c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1:53" x14ac:dyDescent="0.25">
      <c r="A792" s="18"/>
      <c r="B792" s="10">
        <v>30</v>
      </c>
      <c r="C792" s="30"/>
      <c r="D792" s="31"/>
      <c r="E792" s="45"/>
      <c r="F792" s="31"/>
      <c r="G792" s="31"/>
      <c r="H792" s="32">
        <f t="shared" si="162"/>
        <v>0</v>
      </c>
      <c r="I792" s="10"/>
      <c r="J792" s="10"/>
      <c r="K792" s="10"/>
      <c r="L792" s="12">
        <f t="shared" si="163"/>
        <v>0</v>
      </c>
      <c r="N792" s="10">
        <v>30</v>
      </c>
      <c r="O792" s="30"/>
      <c r="P792" s="31"/>
      <c r="Q792" s="45"/>
      <c r="R792" s="31"/>
      <c r="S792" s="31"/>
      <c r="T792" s="32">
        <f t="shared" si="164"/>
        <v>0</v>
      </c>
      <c r="U792" s="10"/>
      <c r="V792" s="10"/>
      <c r="W792" s="10"/>
      <c r="X792" s="12">
        <f t="shared" si="165"/>
        <v>0</v>
      </c>
      <c r="Z792" s="10">
        <v>30</v>
      </c>
      <c r="AA792" s="30"/>
      <c r="AB792" s="31"/>
      <c r="AC792" s="45"/>
      <c r="AD792" s="31"/>
      <c r="AE792" s="31"/>
      <c r="AF792" s="32">
        <f t="shared" si="166"/>
        <v>0</v>
      </c>
      <c r="AG792" s="10"/>
      <c r="AH792" s="10"/>
      <c r="AI792" s="10"/>
      <c r="AJ792" s="12">
        <f t="shared" si="167"/>
        <v>0</v>
      </c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1:53" x14ac:dyDescent="0.25">
      <c r="A793" s="18"/>
      <c r="B793" s="10">
        <v>31</v>
      </c>
      <c r="C793" s="30"/>
      <c r="D793" s="31"/>
      <c r="E793" s="45"/>
      <c r="F793" s="31"/>
      <c r="G793" s="31"/>
      <c r="H793" s="32">
        <f t="shared" si="162"/>
        <v>0</v>
      </c>
      <c r="I793" s="10"/>
      <c r="J793" s="10"/>
      <c r="K793" s="10"/>
      <c r="L793" s="12">
        <f t="shared" si="163"/>
        <v>0</v>
      </c>
      <c r="N793" s="10">
        <v>31</v>
      </c>
      <c r="O793" s="30"/>
      <c r="P793" s="31"/>
      <c r="Q793" s="45"/>
      <c r="R793" s="31"/>
      <c r="S793" s="31"/>
      <c r="T793" s="32">
        <f t="shared" si="164"/>
        <v>0</v>
      </c>
      <c r="U793" s="10"/>
      <c r="V793" s="10"/>
      <c r="W793" s="10"/>
      <c r="X793" s="12">
        <f t="shared" si="165"/>
        <v>0</v>
      </c>
      <c r="Z793" s="10">
        <v>31</v>
      </c>
      <c r="AA793" s="30"/>
      <c r="AB793" s="31"/>
      <c r="AC793" s="45"/>
      <c r="AD793" s="31"/>
      <c r="AE793" s="31"/>
      <c r="AF793" s="32">
        <f t="shared" si="166"/>
        <v>0</v>
      </c>
      <c r="AG793" s="10"/>
      <c r="AH793" s="10"/>
      <c r="AI793" s="10"/>
      <c r="AJ793" s="12">
        <f t="shared" si="167"/>
        <v>0</v>
      </c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1:53" x14ac:dyDescent="0.25">
      <c r="A794" s="18"/>
      <c r="B794" s="10">
        <v>32</v>
      </c>
      <c r="C794" s="30"/>
      <c r="D794" s="31"/>
      <c r="E794" s="45"/>
      <c r="F794" s="31"/>
      <c r="G794" s="31"/>
      <c r="H794" s="32">
        <f t="shared" si="162"/>
        <v>0</v>
      </c>
      <c r="I794" s="10"/>
      <c r="J794" s="10"/>
      <c r="K794" s="10"/>
      <c r="L794" s="12">
        <f t="shared" si="163"/>
        <v>0</v>
      </c>
      <c r="N794" s="10">
        <v>32</v>
      </c>
      <c r="O794" s="30"/>
      <c r="P794" s="31"/>
      <c r="Q794" s="45"/>
      <c r="R794" s="31"/>
      <c r="S794" s="31"/>
      <c r="T794" s="32">
        <f t="shared" si="164"/>
        <v>0</v>
      </c>
      <c r="U794" s="10"/>
      <c r="V794" s="10"/>
      <c r="W794" s="10"/>
      <c r="X794" s="12">
        <f t="shared" si="165"/>
        <v>0</v>
      </c>
      <c r="Z794" s="10">
        <v>32</v>
      </c>
      <c r="AA794" s="30"/>
      <c r="AB794" s="31"/>
      <c r="AC794" s="45"/>
      <c r="AD794" s="31"/>
      <c r="AE794" s="31"/>
      <c r="AF794" s="32">
        <f t="shared" si="166"/>
        <v>0</v>
      </c>
      <c r="AG794" s="10"/>
      <c r="AH794" s="10"/>
      <c r="AI794" s="10"/>
      <c r="AJ794" s="12">
        <f t="shared" si="167"/>
        <v>0</v>
      </c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1:53" x14ac:dyDescent="0.25">
      <c r="A795" s="18"/>
      <c r="B795" s="10">
        <v>33</v>
      </c>
      <c r="C795" s="30"/>
      <c r="D795" s="31"/>
      <c r="E795" s="45"/>
      <c r="F795" s="31"/>
      <c r="G795" s="31"/>
      <c r="H795" s="32">
        <f t="shared" si="162"/>
        <v>0</v>
      </c>
      <c r="I795" s="10"/>
      <c r="J795" s="10"/>
      <c r="K795" s="10"/>
      <c r="L795" s="12">
        <f t="shared" si="163"/>
        <v>0</v>
      </c>
      <c r="N795" s="10">
        <v>33</v>
      </c>
      <c r="O795" s="30"/>
      <c r="P795" s="31"/>
      <c r="Q795" s="45"/>
      <c r="R795" s="31"/>
      <c r="S795" s="31"/>
      <c r="T795" s="32">
        <f t="shared" si="164"/>
        <v>0</v>
      </c>
      <c r="U795" s="10"/>
      <c r="V795" s="10"/>
      <c r="W795" s="10"/>
      <c r="X795" s="12">
        <f t="shared" si="165"/>
        <v>0</v>
      </c>
      <c r="Z795" s="10">
        <v>33</v>
      </c>
      <c r="AA795" s="30"/>
      <c r="AB795" s="31"/>
      <c r="AC795" s="45"/>
      <c r="AD795" s="31"/>
      <c r="AE795" s="31"/>
      <c r="AF795" s="32">
        <f t="shared" si="166"/>
        <v>0</v>
      </c>
      <c r="AG795" s="10"/>
      <c r="AH795" s="10"/>
      <c r="AI795" s="10"/>
      <c r="AJ795" s="12">
        <f t="shared" si="167"/>
        <v>0</v>
      </c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1:53" x14ac:dyDescent="0.25">
      <c r="A796" s="18"/>
      <c r="B796" s="10">
        <v>34</v>
      </c>
      <c r="C796" s="30"/>
      <c r="D796" s="31"/>
      <c r="E796" s="45"/>
      <c r="F796" s="31"/>
      <c r="G796" s="31"/>
      <c r="H796" s="32">
        <f t="shared" si="162"/>
        <v>0</v>
      </c>
      <c r="I796" s="10"/>
      <c r="J796" s="10"/>
      <c r="K796" s="10"/>
      <c r="L796" s="12">
        <f t="shared" si="163"/>
        <v>0</v>
      </c>
      <c r="N796" s="10">
        <v>34</v>
      </c>
      <c r="O796" s="30"/>
      <c r="P796" s="31"/>
      <c r="Q796" s="45"/>
      <c r="R796" s="31"/>
      <c r="S796" s="31"/>
      <c r="T796" s="32">
        <f t="shared" si="164"/>
        <v>0</v>
      </c>
      <c r="U796" s="10"/>
      <c r="V796" s="10"/>
      <c r="W796" s="10"/>
      <c r="X796" s="12">
        <f t="shared" si="165"/>
        <v>0</v>
      </c>
      <c r="Z796" s="10">
        <v>34</v>
      </c>
      <c r="AA796" s="30"/>
      <c r="AB796" s="31"/>
      <c r="AC796" s="45"/>
      <c r="AD796" s="31"/>
      <c r="AE796" s="31"/>
      <c r="AF796" s="32">
        <f t="shared" si="166"/>
        <v>0</v>
      </c>
      <c r="AG796" s="10"/>
      <c r="AH796" s="10"/>
      <c r="AI796" s="10"/>
      <c r="AJ796" s="12">
        <f t="shared" si="167"/>
        <v>0</v>
      </c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1:53" x14ac:dyDescent="0.25">
      <c r="A797" s="18"/>
      <c r="B797" s="10">
        <v>35</v>
      </c>
      <c r="C797" s="30"/>
      <c r="D797" s="31"/>
      <c r="E797" s="45"/>
      <c r="F797" s="31"/>
      <c r="G797" s="31"/>
      <c r="H797" s="32">
        <f t="shared" si="162"/>
        <v>0</v>
      </c>
      <c r="I797" s="10"/>
      <c r="J797" s="10"/>
      <c r="K797" s="10"/>
      <c r="L797" s="12">
        <f t="shared" si="163"/>
        <v>0</v>
      </c>
      <c r="N797" s="10">
        <v>35</v>
      </c>
      <c r="O797" s="30"/>
      <c r="P797" s="31"/>
      <c r="Q797" s="45"/>
      <c r="R797" s="31"/>
      <c r="S797" s="31"/>
      <c r="T797" s="32">
        <f t="shared" si="164"/>
        <v>0</v>
      </c>
      <c r="U797" s="10"/>
      <c r="V797" s="10"/>
      <c r="W797" s="10"/>
      <c r="X797" s="12">
        <f t="shared" si="165"/>
        <v>0</v>
      </c>
      <c r="Z797" s="10">
        <v>35</v>
      </c>
      <c r="AA797" s="30"/>
      <c r="AB797" s="31"/>
      <c r="AC797" s="45"/>
      <c r="AD797" s="31"/>
      <c r="AE797" s="31"/>
      <c r="AF797" s="32">
        <f t="shared" si="166"/>
        <v>0</v>
      </c>
      <c r="AG797" s="10"/>
      <c r="AH797" s="10"/>
      <c r="AI797" s="10"/>
      <c r="AJ797" s="12">
        <f t="shared" si="167"/>
        <v>0</v>
      </c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1:53" x14ac:dyDescent="0.25">
      <c r="A798" s="18"/>
      <c r="B798" s="10">
        <v>36</v>
      </c>
      <c r="C798" s="30"/>
      <c r="D798" s="31"/>
      <c r="E798" s="45"/>
      <c r="F798" s="31"/>
      <c r="G798" s="31"/>
      <c r="H798" s="32">
        <f t="shared" si="162"/>
        <v>0</v>
      </c>
      <c r="I798" s="10"/>
      <c r="J798" s="10"/>
      <c r="K798" s="10"/>
      <c r="L798" s="12">
        <f t="shared" si="163"/>
        <v>0</v>
      </c>
      <c r="N798" s="10">
        <v>36</v>
      </c>
      <c r="O798" s="30"/>
      <c r="P798" s="31"/>
      <c r="Q798" s="45"/>
      <c r="R798" s="31"/>
      <c r="S798" s="31"/>
      <c r="T798" s="32">
        <f t="shared" si="164"/>
        <v>0</v>
      </c>
      <c r="U798" s="10"/>
      <c r="V798" s="10"/>
      <c r="W798" s="10"/>
      <c r="X798" s="12">
        <f t="shared" si="165"/>
        <v>0</v>
      </c>
      <c r="Z798" s="10">
        <v>36</v>
      </c>
      <c r="AA798" s="30"/>
      <c r="AB798" s="31"/>
      <c r="AC798" s="45"/>
      <c r="AD798" s="31"/>
      <c r="AE798" s="31"/>
      <c r="AF798" s="32">
        <f t="shared" si="166"/>
        <v>0</v>
      </c>
      <c r="AG798" s="10"/>
      <c r="AH798" s="10"/>
      <c r="AI798" s="10"/>
      <c r="AJ798" s="12">
        <f t="shared" si="167"/>
        <v>0</v>
      </c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1:53" x14ac:dyDescent="0.25">
      <c r="A799" s="18"/>
      <c r="B799" s="10">
        <v>37</v>
      </c>
      <c r="C799" s="30"/>
      <c r="D799"/>
      <c r="E799" s="45"/>
      <c r="F799" s="31"/>
      <c r="G799" s="31"/>
      <c r="H799" s="32">
        <f t="shared" si="162"/>
        <v>0</v>
      </c>
      <c r="I799" s="10"/>
      <c r="J799" s="10"/>
      <c r="K799" s="10"/>
      <c r="L799" s="12">
        <f t="shared" si="163"/>
        <v>0</v>
      </c>
      <c r="N799" s="10">
        <v>37</v>
      </c>
      <c r="O799" s="30"/>
      <c r="Q799" s="45"/>
      <c r="R799" s="31"/>
      <c r="S799" s="31"/>
      <c r="T799" s="32">
        <f t="shared" si="164"/>
        <v>0</v>
      </c>
      <c r="U799" s="10"/>
      <c r="V799" s="10"/>
      <c r="W799" s="10"/>
      <c r="X799" s="12">
        <f t="shared" si="165"/>
        <v>0</v>
      </c>
      <c r="Z799" s="10">
        <v>37</v>
      </c>
      <c r="AA799" s="30"/>
      <c r="AB799" s="31"/>
      <c r="AC799" s="45"/>
      <c r="AD799" s="31"/>
      <c r="AE799" s="31"/>
      <c r="AF799" s="32">
        <f t="shared" si="166"/>
        <v>0</v>
      </c>
      <c r="AG799" s="10"/>
      <c r="AH799" s="10"/>
      <c r="AI799" s="10"/>
      <c r="AJ799" s="12">
        <f t="shared" si="167"/>
        <v>0</v>
      </c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1:53" x14ac:dyDescent="0.25">
      <c r="A800" s="18"/>
      <c r="B800" s="10">
        <v>38</v>
      </c>
      <c r="C800" s="30"/>
      <c r="D800" s="31"/>
      <c r="E800" s="45"/>
      <c r="F800" s="31"/>
      <c r="G800" s="31"/>
      <c r="H800" s="32">
        <f t="shared" si="162"/>
        <v>0</v>
      </c>
      <c r="I800" s="10"/>
      <c r="J800" s="10"/>
      <c r="K800" s="10"/>
      <c r="L800" s="12">
        <f t="shared" si="163"/>
        <v>0</v>
      </c>
      <c r="N800" s="10">
        <v>38</v>
      </c>
      <c r="O800" s="30"/>
      <c r="P800" s="31"/>
      <c r="Q800" s="45"/>
      <c r="R800" s="31"/>
      <c r="S800" s="31"/>
      <c r="T800" s="32">
        <f t="shared" si="164"/>
        <v>0</v>
      </c>
      <c r="U800" s="10"/>
      <c r="V800" s="10"/>
      <c r="W800" s="10"/>
      <c r="X800" s="12">
        <f t="shared" si="165"/>
        <v>0</v>
      </c>
      <c r="Z800" s="10">
        <v>38</v>
      </c>
      <c r="AA800" s="30"/>
      <c r="AB800" s="31"/>
      <c r="AC800" s="45"/>
      <c r="AD800" s="31"/>
      <c r="AE800" s="31"/>
      <c r="AF800" s="32">
        <f t="shared" si="166"/>
        <v>0</v>
      </c>
      <c r="AG800" s="10"/>
      <c r="AH800" s="10"/>
      <c r="AI800" s="10"/>
      <c r="AJ800" s="12">
        <f t="shared" si="167"/>
        <v>0</v>
      </c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1:53" x14ac:dyDescent="0.25">
      <c r="A801" s="18"/>
      <c r="B801" s="10">
        <v>39</v>
      </c>
      <c r="C801" s="30"/>
      <c r="D801" s="31"/>
      <c r="E801" s="45"/>
      <c r="F801" s="31"/>
      <c r="G801" s="31"/>
      <c r="H801" s="32">
        <f t="shared" si="162"/>
        <v>0</v>
      </c>
      <c r="I801" s="10"/>
      <c r="J801" s="10"/>
      <c r="K801" s="10"/>
      <c r="L801" s="12">
        <f t="shared" si="163"/>
        <v>0</v>
      </c>
      <c r="N801" s="10">
        <v>39</v>
      </c>
      <c r="O801" s="30"/>
      <c r="P801" s="31"/>
      <c r="Q801" s="45"/>
      <c r="R801" s="31"/>
      <c r="S801" s="31"/>
      <c r="T801" s="32">
        <f t="shared" si="164"/>
        <v>0</v>
      </c>
      <c r="U801" s="10"/>
      <c r="V801" s="10"/>
      <c r="W801" s="10"/>
      <c r="X801" s="12">
        <f t="shared" si="165"/>
        <v>0</v>
      </c>
      <c r="Z801" s="10">
        <v>39</v>
      </c>
      <c r="AA801" s="30"/>
      <c r="AB801" s="31"/>
      <c r="AC801" s="45"/>
      <c r="AD801" s="31"/>
      <c r="AE801" s="31"/>
      <c r="AF801" s="32">
        <f t="shared" si="166"/>
        <v>0</v>
      </c>
      <c r="AG801" s="10"/>
      <c r="AH801" s="10"/>
      <c r="AI801" s="10"/>
      <c r="AJ801" s="12">
        <f t="shared" si="167"/>
        <v>0</v>
      </c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1:53" x14ac:dyDescent="0.25">
      <c r="A802" s="18"/>
      <c r="B802" s="10"/>
      <c r="C802" s="30"/>
      <c r="D802"/>
      <c r="E802" s="45"/>
      <c r="F802" s="31"/>
      <c r="G802" s="31"/>
      <c r="H802" s="32"/>
      <c r="I802" s="10"/>
      <c r="J802" s="10"/>
      <c r="K802" s="10"/>
      <c r="L802" s="12">
        <f t="shared" si="163"/>
        <v>0</v>
      </c>
      <c r="N802" s="10"/>
      <c r="O802" s="30"/>
      <c r="Q802" s="45"/>
      <c r="R802" s="31"/>
      <c r="S802" s="31"/>
      <c r="T802" s="32"/>
      <c r="U802" s="10"/>
      <c r="V802" s="10"/>
      <c r="W802" s="10"/>
      <c r="X802" s="12">
        <f t="shared" si="165"/>
        <v>0</v>
      </c>
      <c r="Z802" s="10"/>
      <c r="AA802" s="30"/>
      <c r="AC802" s="45"/>
      <c r="AD802" s="31"/>
      <c r="AE802" s="31"/>
      <c r="AF802" s="32"/>
      <c r="AG802" s="10"/>
      <c r="AH802" s="10"/>
      <c r="AI802" s="10"/>
      <c r="AJ802" s="12">
        <f t="shared" si="167"/>
        <v>0</v>
      </c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1:53" x14ac:dyDescent="0.25">
      <c r="A803" s="18"/>
      <c r="B803" s="10"/>
      <c r="C803" s="30"/>
      <c r="D803" s="31"/>
      <c r="E803" s="45"/>
      <c r="F803" s="31"/>
      <c r="G803" s="31"/>
      <c r="H803" s="32">
        <f t="shared" ref="H803" si="171">SUM(E803:F803)</f>
        <v>0</v>
      </c>
      <c r="I803" s="10"/>
      <c r="J803" s="10"/>
      <c r="K803" s="10"/>
      <c r="L803" s="12">
        <f t="shared" si="163"/>
        <v>0</v>
      </c>
      <c r="N803" s="10"/>
      <c r="O803" s="30"/>
      <c r="P803" s="31"/>
      <c r="Q803" s="45"/>
      <c r="R803" s="31"/>
      <c r="S803" s="31"/>
      <c r="T803" s="32">
        <f t="shared" ref="T803" si="172">SUM(Q803:R803)</f>
        <v>0</v>
      </c>
      <c r="U803" s="10"/>
      <c r="V803" s="10"/>
      <c r="W803" s="10"/>
      <c r="X803" s="12">
        <f t="shared" si="165"/>
        <v>0</v>
      </c>
      <c r="Z803" s="10"/>
      <c r="AA803" s="30"/>
      <c r="AB803" s="31"/>
      <c r="AC803" s="45"/>
      <c r="AD803" s="31"/>
      <c r="AE803" s="31"/>
      <c r="AF803" s="32">
        <f t="shared" ref="AF803" si="173">SUM(AC803:AD803)</f>
        <v>0</v>
      </c>
      <c r="AG803" s="10"/>
      <c r="AH803" s="10"/>
      <c r="AI803" s="10"/>
      <c r="AJ803" s="12">
        <f t="shared" si="167"/>
        <v>0</v>
      </c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1:53" x14ac:dyDescent="0.25">
      <c r="A804" s="18"/>
      <c r="B804" s="10"/>
      <c r="C804" s="31"/>
      <c r="D804" s="31"/>
      <c r="E804" s="31"/>
      <c r="F804" s="31"/>
      <c r="G804" s="31"/>
      <c r="H804" s="31"/>
      <c r="I804" s="10"/>
      <c r="J804" s="10"/>
      <c r="K804" s="10"/>
      <c r="L804" s="12">
        <f t="shared" si="163"/>
        <v>0</v>
      </c>
      <c r="N804" s="10"/>
      <c r="O804" s="31"/>
      <c r="P804" s="31"/>
      <c r="Q804" s="31"/>
      <c r="R804" s="31"/>
      <c r="S804" s="31"/>
      <c r="T804" s="31"/>
      <c r="U804" s="10"/>
      <c r="V804" s="10"/>
      <c r="W804" s="10"/>
      <c r="X804" s="12">
        <f t="shared" si="165"/>
        <v>0</v>
      </c>
      <c r="Z804" s="10"/>
      <c r="AA804" s="31"/>
      <c r="AB804" s="31"/>
      <c r="AC804" s="31"/>
      <c r="AD804" s="31"/>
      <c r="AE804" s="31"/>
      <c r="AF804" s="31"/>
      <c r="AG804" s="10"/>
      <c r="AH804" s="10"/>
      <c r="AI804" s="10"/>
      <c r="AJ804" s="12">
        <f t="shared" si="167"/>
        <v>0</v>
      </c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1:53" x14ac:dyDescent="0.25">
      <c r="A805" s="18"/>
      <c r="C805" s="55"/>
      <c r="D805" s="55"/>
      <c r="E805" s="36"/>
      <c r="F805" s="36"/>
      <c r="G805" s="36"/>
      <c r="H805" s="36"/>
      <c r="I805" s="37"/>
      <c r="J805" s="37"/>
      <c r="K805" s="37"/>
      <c r="L805" s="37"/>
      <c r="O805" s="55"/>
      <c r="P805" s="55"/>
      <c r="Q805" s="36"/>
      <c r="R805" s="36"/>
      <c r="S805" s="36"/>
      <c r="T805" s="36"/>
      <c r="U805" s="37"/>
      <c r="V805" s="37"/>
      <c r="W805" s="37"/>
      <c r="X805" s="37"/>
      <c r="AA805" s="55"/>
      <c r="AB805" s="55"/>
      <c r="AC805" s="36"/>
      <c r="AD805" s="36"/>
      <c r="AE805" s="36"/>
      <c r="AF805" s="36"/>
      <c r="AG805" s="37"/>
      <c r="AH805" s="37"/>
      <c r="AI805" s="37"/>
      <c r="AJ805" s="37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1:53" x14ac:dyDescent="0.25">
      <c r="A806" s="18"/>
      <c r="C806" s="55"/>
      <c r="D806" s="55"/>
      <c r="E806" s="38">
        <f>SUM(E763:E805)</f>
        <v>447930</v>
      </c>
      <c r="F806" s="38">
        <f>SUM(F763:F787)</f>
        <v>-3312</v>
      </c>
      <c r="G806" s="38">
        <f>SUM(G763:G787)</f>
        <v>0</v>
      </c>
      <c r="H806" s="38">
        <f>SUM(H763:H805)</f>
        <v>444618</v>
      </c>
      <c r="I806" s="4"/>
      <c r="J806" s="39">
        <f>SUM(J763:J805)</f>
        <v>777</v>
      </c>
      <c r="K806" s="39">
        <f>SUM(K763:K787)</f>
        <v>0</v>
      </c>
      <c r="L806" s="40">
        <f>SUM(L763:L805)</f>
        <v>445395</v>
      </c>
      <c r="O806" s="55"/>
      <c r="P806" s="55"/>
      <c r="Q806" s="38">
        <f>SUM(Q763:Q805)</f>
        <v>193199</v>
      </c>
      <c r="R806" s="38">
        <f>SUM(R763:R787)</f>
        <v>-1116</v>
      </c>
      <c r="S806" s="38">
        <f>SUM(S763:S787)</f>
        <v>0</v>
      </c>
      <c r="T806" s="38">
        <f>SUM(T763:T805)</f>
        <v>192083</v>
      </c>
      <c r="U806" s="4"/>
      <c r="V806" s="39">
        <f>SUM(V763:V805)</f>
        <v>364.5</v>
      </c>
      <c r="W806" s="39">
        <f>SUM(W763:W787)</f>
        <v>-1554</v>
      </c>
      <c r="X806" s="40">
        <f>SUM(X763:X805)</f>
        <v>190893.5</v>
      </c>
      <c r="AA806" s="55"/>
      <c r="AB806" s="55"/>
      <c r="AC806" s="38">
        <f>SUM(AC763:AC805)</f>
        <v>204426</v>
      </c>
      <c r="AD806" s="38">
        <f>SUM(AD763:AD787)</f>
        <v>0</v>
      </c>
      <c r="AE806" s="38">
        <f>SUM(AE763:AE787)</f>
        <v>0</v>
      </c>
      <c r="AF806" s="38">
        <f>SUM(AF763:AF805)</f>
        <v>204426</v>
      </c>
      <c r="AG806" s="4"/>
      <c r="AH806" s="39">
        <f>SUM(AH763:AH805)</f>
        <v>13.5</v>
      </c>
      <c r="AI806" s="39">
        <f>SUM(AI763:AI787)</f>
        <v>-555</v>
      </c>
      <c r="AJ806" s="40">
        <f>SUM(AJ763:AJ805)</f>
        <v>203884.5</v>
      </c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1:5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1:53" x14ac:dyDescent="0.25">
      <c r="A808" s="18"/>
      <c r="B808" t="s">
        <v>0</v>
      </c>
      <c r="C808" s="55"/>
      <c r="D808" s="55"/>
      <c r="E808" s="55"/>
      <c r="F808" s="55"/>
      <c r="H808" s="55"/>
      <c r="N808" t="s">
        <v>0</v>
      </c>
      <c r="O808" s="55"/>
      <c r="P808" s="55"/>
      <c r="Q808" s="55"/>
      <c r="R808" s="55"/>
      <c r="S808" s="55"/>
      <c r="T808" s="55"/>
      <c r="Z808" t="s">
        <v>0</v>
      </c>
      <c r="AA808" s="55"/>
      <c r="AB808" s="55"/>
      <c r="AC808" s="55"/>
      <c r="AD808" s="55"/>
      <c r="AE808" s="55"/>
      <c r="AF808" s="55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1:53" x14ac:dyDescent="0.25">
      <c r="A809" s="18"/>
      <c r="B809" t="s">
        <v>28</v>
      </c>
      <c r="C809" s="55"/>
      <c r="D809" s="55"/>
      <c r="E809" s="55"/>
      <c r="F809" s="55"/>
      <c r="H809" s="55"/>
      <c r="N809" t="s">
        <v>28</v>
      </c>
      <c r="O809" s="55"/>
      <c r="P809" s="55"/>
      <c r="Q809" s="55"/>
      <c r="R809" s="55"/>
      <c r="S809" s="55"/>
      <c r="T809" s="55"/>
      <c r="Z809" t="s">
        <v>28</v>
      </c>
      <c r="AA809" s="55"/>
      <c r="AB809" s="55"/>
      <c r="AC809" s="55"/>
      <c r="AD809" s="55"/>
      <c r="AE809" s="55"/>
      <c r="AF809" s="55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1:53" x14ac:dyDescent="0.25">
      <c r="A810" s="18"/>
      <c r="C810" s="55"/>
      <c r="D810" s="55"/>
      <c r="E810" s="55"/>
      <c r="F810" s="55"/>
      <c r="H810" s="55"/>
      <c r="O810" s="55"/>
      <c r="P810" s="55"/>
      <c r="Q810" s="55"/>
      <c r="R810" s="55"/>
      <c r="S810" s="55"/>
      <c r="T810" s="55"/>
      <c r="AA810" s="55"/>
      <c r="AB810" s="55"/>
      <c r="AC810" s="55"/>
      <c r="AD810" s="55"/>
      <c r="AE810" s="55"/>
      <c r="AF810" s="55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1:53" x14ac:dyDescent="0.25">
      <c r="A811" s="18"/>
      <c r="B811" s="4" t="s">
        <v>14</v>
      </c>
      <c r="C811" s="55"/>
      <c r="D811" s="55"/>
      <c r="E811" s="55"/>
      <c r="F811" s="55"/>
      <c r="H811" s="55"/>
      <c r="N811" s="4" t="s">
        <v>14</v>
      </c>
      <c r="O811" s="55"/>
      <c r="P811" s="55"/>
      <c r="Q811" s="55"/>
      <c r="R811" s="55"/>
      <c r="S811" s="55"/>
      <c r="T811" s="55"/>
      <c r="Z811" s="4" t="s">
        <v>14</v>
      </c>
      <c r="AA811" s="55"/>
      <c r="AB811" s="55"/>
      <c r="AC811" s="55"/>
      <c r="AD811" s="55"/>
      <c r="AE811" s="55"/>
      <c r="AF811" s="55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1:53" x14ac:dyDescent="0.25">
      <c r="A812" s="18"/>
      <c r="C812" s="55"/>
      <c r="D812" s="55"/>
      <c r="E812" s="55"/>
      <c r="F812" s="55"/>
      <c r="H812" s="55"/>
      <c r="O812" s="55"/>
      <c r="P812" s="55"/>
      <c r="Q812" s="55"/>
      <c r="R812" s="55"/>
      <c r="S812" s="55"/>
      <c r="T812" s="55"/>
      <c r="AA812" s="55"/>
      <c r="AB812" s="55"/>
      <c r="AC812" s="55"/>
      <c r="AD812" s="55"/>
      <c r="AE812" s="55"/>
      <c r="AF812" s="55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1:53" ht="15.75" x14ac:dyDescent="0.25">
      <c r="A813" s="18"/>
      <c r="B813" t="s">
        <v>47</v>
      </c>
      <c r="C813" s="55"/>
      <c r="D813" s="55"/>
      <c r="E813" s="55"/>
      <c r="F813" s="55"/>
      <c r="H813" s="55"/>
      <c r="J813" s="55" t="s">
        <v>15</v>
      </c>
      <c r="K813" s="19">
        <v>1</v>
      </c>
      <c r="N813" t="s">
        <v>47</v>
      </c>
      <c r="O813" s="55"/>
      <c r="P813" s="55"/>
      <c r="Q813" s="55"/>
      <c r="R813" s="55"/>
      <c r="S813" s="55"/>
      <c r="T813" s="55"/>
      <c r="V813" s="55" t="s">
        <v>15</v>
      </c>
      <c r="W813" s="19">
        <v>2</v>
      </c>
      <c r="Z813" t="s">
        <v>47</v>
      </c>
      <c r="AA813" s="55"/>
      <c r="AB813" s="55"/>
      <c r="AC813" s="55"/>
      <c r="AD813" s="55"/>
      <c r="AE813" s="55"/>
      <c r="AF813" s="55"/>
      <c r="AH813" s="55" t="s">
        <v>15</v>
      </c>
      <c r="AI813" s="20">
        <v>3</v>
      </c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1:53" x14ac:dyDescent="0.25">
      <c r="A814" s="18"/>
      <c r="B814" s="21" t="s">
        <v>80</v>
      </c>
      <c r="C814" s="20"/>
      <c r="D814" s="55"/>
      <c r="E814" s="55"/>
      <c r="F814" s="55"/>
      <c r="H814" s="55"/>
      <c r="J814" s="22" t="s">
        <v>16</v>
      </c>
      <c r="K814" s="23" t="s">
        <v>35</v>
      </c>
      <c r="L814" s="24"/>
      <c r="N814" s="21" t="s">
        <v>80</v>
      </c>
      <c r="O814" s="20"/>
      <c r="P814" s="55"/>
      <c r="Q814" s="55"/>
      <c r="R814" s="55"/>
      <c r="S814" s="55"/>
      <c r="T814" s="55"/>
      <c r="V814" s="22" t="s">
        <v>16</v>
      </c>
      <c r="W814" s="23" t="s">
        <v>82</v>
      </c>
      <c r="X814" s="24"/>
      <c r="Z814" s="21" t="s">
        <v>80</v>
      </c>
      <c r="AA814" s="20"/>
      <c r="AB814" s="55"/>
      <c r="AC814" s="55"/>
      <c r="AD814" s="55"/>
      <c r="AE814" s="55"/>
      <c r="AF814" s="55"/>
      <c r="AH814" s="22" t="s">
        <v>16</v>
      </c>
      <c r="AI814" s="23" t="s">
        <v>41</v>
      </c>
      <c r="AJ814" s="24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1:53" x14ac:dyDescent="0.25">
      <c r="A815" s="18"/>
      <c r="C815" s="55"/>
      <c r="D815" s="55"/>
      <c r="E815" s="55"/>
      <c r="F815" s="55"/>
      <c r="H815" s="55"/>
      <c r="O815" s="55"/>
      <c r="P815" s="55"/>
      <c r="Q815" s="55"/>
      <c r="R815" s="55"/>
      <c r="S815" s="55"/>
      <c r="T815" s="55"/>
      <c r="AA815" s="55"/>
      <c r="AB815" s="55"/>
      <c r="AC815" s="55"/>
      <c r="AD815" s="55"/>
      <c r="AE815" s="55"/>
      <c r="AF815" s="55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1:53" x14ac:dyDescent="0.25">
      <c r="A816" s="18"/>
      <c r="C816" s="25"/>
      <c r="D816" s="26"/>
      <c r="E816" s="117" t="s">
        <v>17</v>
      </c>
      <c r="F816" s="117"/>
      <c r="G816" s="107"/>
      <c r="H816" s="27"/>
      <c r="J816" s="113" t="s">
        <v>18</v>
      </c>
      <c r="K816" s="114"/>
      <c r="L816" s="115" t="s">
        <v>19</v>
      </c>
      <c r="O816" s="25"/>
      <c r="P816" s="26"/>
      <c r="Q816" s="117" t="s">
        <v>17</v>
      </c>
      <c r="R816" s="117"/>
      <c r="S816" s="107"/>
      <c r="T816" s="27"/>
      <c r="V816" s="113" t="s">
        <v>18</v>
      </c>
      <c r="W816" s="114"/>
      <c r="X816" s="115" t="s">
        <v>19</v>
      </c>
      <c r="AA816" s="25"/>
      <c r="AB816" s="26"/>
      <c r="AC816" s="117" t="s">
        <v>17</v>
      </c>
      <c r="AD816" s="117"/>
      <c r="AE816" s="107"/>
      <c r="AF816" s="27"/>
      <c r="AH816" s="113" t="s">
        <v>18</v>
      </c>
      <c r="AI816" s="114"/>
      <c r="AJ816" s="115" t="s">
        <v>19</v>
      </c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1:53" ht="30" x14ac:dyDescent="0.25">
      <c r="A817" s="18"/>
      <c r="C817" s="28" t="s">
        <v>20</v>
      </c>
      <c r="D817" s="28" t="s">
        <v>21</v>
      </c>
      <c r="E817" s="74" t="s">
        <v>22</v>
      </c>
      <c r="F817" s="75" t="s">
        <v>23</v>
      </c>
      <c r="G817" s="75" t="s">
        <v>31</v>
      </c>
      <c r="H817" s="75" t="s">
        <v>24</v>
      </c>
      <c r="J817" s="29" t="s">
        <v>25</v>
      </c>
      <c r="K817" s="29" t="s">
        <v>26</v>
      </c>
      <c r="L817" s="116"/>
      <c r="O817" s="28" t="s">
        <v>20</v>
      </c>
      <c r="P817" s="28" t="s">
        <v>21</v>
      </c>
      <c r="Q817" s="74" t="s">
        <v>22</v>
      </c>
      <c r="R817" s="75" t="s">
        <v>23</v>
      </c>
      <c r="S817" s="75" t="s">
        <v>31</v>
      </c>
      <c r="T817" s="75" t="s">
        <v>24</v>
      </c>
      <c r="V817" s="29" t="s">
        <v>25</v>
      </c>
      <c r="W817" s="29" t="s">
        <v>26</v>
      </c>
      <c r="X817" s="116"/>
      <c r="AA817" s="28" t="s">
        <v>20</v>
      </c>
      <c r="AB817" s="28" t="s">
        <v>21</v>
      </c>
      <c r="AC817" s="74" t="s">
        <v>22</v>
      </c>
      <c r="AD817" s="75" t="s">
        <v>23</v>
      </c>
      <c r="AE817" s="75" t="s">
        <v>31</v>
      </c>
      <c r="AF817" s="75" t="s">
        <v>24</v>
      </c>
      <c r="AH817" s="29" t="s">
        <v>25</v>
      </c>
      <c r="AI817" s="29" t="s">
        <v>26</v>
      </c>
      <c r="AJ817" s="116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1:53" x14ac:dyDescent="0.25">
      <c r="A818" s="18"/>
      <c r="B818" s="10">
        <v>1</v>
      </c>
      <c r="C818" s="30" t="s">
        <v>81</v>
      </c>
      <c r="D818" s="80">
        <v>11934</v>
      </c>
      <c r="E818" s="32">
        <f>650*279+670*10+622*49+1102+229*2+650*2</f>
        <v>221388</v>
      </c>
      <c r="F818" s="32"/>
      <c r="G818" s="32"/>
      <c r="H818" s="32">
        <f>SUM(E818:F818)</f>
        <v>221388</v>
      </c>
      <c r="I818" s="12"/>
      <c r="J818" s="12">
        <f>78*2</f>
        <v>156</v>
      </c>
      <c r="K818" s="12"/>
      <c r="L818" s="12">
        <f>SUM(H818:K818)</f>
        <v>221544</v>
      </c>
      <c r="N818" s="10">
        <v>1</v>
      </c>
      <c r="O818" s="30" t="s">
        <v>81</v>
      </c>
      <c r="P818" s="80">
        <v>11958</v>
      </c>
      <c r="Q818" s="32">
        <f>650*5+9.5*5</f>
        <v>3297.5</v>
      </c>
      <c r="R818" s="32"/>
      <c r="S818" s="32"/>
      <c r="T818" s="32">
        <f>SUM(Q818:R818)</f>
        <v>3297.5</v>
      </c>
      <c r="U818" s="12"/>
      <c r="V818" s="12"/>
      <c r="W818" s="12">
        <f>-111*3+-84*2</f>
        <v>-501</v>
      </c>
      <c r="X818" s="12">
        <f>SUM(T818:W818)</f>
        <v>2796.5</v>
      </c>
      <c r="Z818" s="10">
        <v>1</v>
      </c>
      <c r="AA818" s="30" t="s">
        <v>81</v>
      </c>
      <c r="AB818" s="31">
        <v>11892</v>
      </c>
      <c r="AC818" s="32">
        <f>650*137+670*10+650*5+622*40+912+229*4</f>
        <v>125708</v>
      </c>
      <c r="AD818" s="32">
        <f>-193*6</f>
        <v>-1158</v>
      </c>
      <c r="AE818" s="32"/>
      <c r="AF818" s="32">
        <f>SUM(AC818:AD818)</f>
        <v>124550</v>
      </c>
      <c r="AG818" s="12"/>
      <c r="AH818" s="12"/>
      <c r="AI818" s="12"/>
      <c r="AJ818" s="12">
        <f>SUM(AF818:AI818)</f>
        <v>124550</v>
      </c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1:53" x14ac:dyDescent="0.25">
      <c r="A819" s="18"/>
      <c r="B819" s="10">
        <v>2</v>
      </c>
      <c r="C819" s="30" t="s">
        <v>81</v>
      </c>
      <c r="D819" s="80">
        <f>D818+1</f>
        <v>11935</v>
      </c>
      <c r="E819" s="32">
        <f>650*12+622*3</f>
        <v>9666</v>
      </c>
      <c r="F819" s="32"/>
      <c r="G819" s="32"/>
      <c r="H819" s="32">
        <f t="shared" ref="H819:H856" si="174">SUM(E819:F819)</f>
        <v>9666</v>
      </c>
      <c r="I819" s="12"/>
      <c r="J819" s="12"/>
      <c r="K819" s="12"/>
      <c r="L819" s="12">
        <f t="shared" ref="L819:L859" si="175">SUM(H819:K819)</f>
        <v>9666</v>
      </c>
      <c r="N819" s="10">
        <v>2</v>
      </c>
      <c r="O819" s="30" t="s">
        <v>81</v>
      </c>
      <c r="P819" s="80">
        <f>P818+1</f>
        <v>11959</v>
      </c>
      <c r="Q819" s="32">
        <f>650</f>
        <v>650</v>
      </c>
      <c r="R819" s="32"/>
      <c r="S819" s="32"/>
      <c r="T819" s="32">
        <f t="shared" ref="T819:T856" si="176">SUM(Q819:R819)</f>
        <v>650</v>
      </c>
      <c r="U819" s="12"/>
      <c r="V819" s="12"/>
      <c r="W819" s="12"/>
      <c r="X819" s="12">
        <f t="shared" ref="X819:X859" si="177">SUM(T819:W819)</f>
        <v>650</v>
      </c>
      <c r="Z819" s="10">
        <v>2</v>
      </c>
      <c r="AA819" s="30" t="s">
        <v>81</v>
      </c>
      <c r="AB819" s="31">
        <f>AB818+1</f>
        <v>11893</v>
      </c>
      <c r="AC819" s="32">
        <f>650*83+229*4</f>
        <v>54866</v>
      </c>
      <c r="AD819" s="32">
        <f>-83*6</f>
        <v>-498</v>
      </c>
      <c r="AE819" s="32"/>
      <c r="AF819" s="32">
        <f t="shared" ref="AF819:AF856" si="178">SUM(AC819:AD819)</f>
        <v>54368</v>
      </c>
      <c r="AG819" s="12"/>
      <c r="AH819" s="12">
        <f>78+4.5*30</f>
        <v>213</v>
      </c>
      <c r="AI819" s="12"/>
      <c r="AJ819" s="12">
        <f t="shared" ref="AJ819:AJ859" si="179">SUM(AF819:AI819)</f>
        <v>54581</v>
      </c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1:53" x14ac:dyDescent="0.25">
      <c r="A820" s="18"/>
      <c r="B820" s="10">
        <v>3</v>
      </c>
      <c r="C820" s="30" t="s">
        <v>81</v>
      </c>
      <c r="D820" s="80">
        <f t="shared" ref="D820:D828" si="180">D819+1</f>
        <v>11936</v>
      </c>
      <c r="E820" s="33">
        <f>650*10+622*5+1050+872+650*10</f>
        <v>18032</v>
      </c>
      <c r="F820" s="33"/>
      <c r="G820" s="32"/>
      <c r="H820" s="32">
        <f t="shared" si="174"/>
        <v>18032</v>
      </c>
      <c r="I820" s="12"/>
      <c r="J820" s="34"/>
      <c r="K820" s="34"/>
      <c r="L820" s="12">
        <f t="shared" si="175"/>
        <v>18032</v>
      </c>
      <c r="N820" s="10">
        <v>3</v>
      </c>
      <c r="O820" s="30" t="s">
        <v>81</v>
      </c>
      <c r="P820" s="80">
        <f t="shared" ref="P820" si="181">P819+1</f>
        <v>11960</v>
      </c>
      <c r="Q820" s="33">
        <f>650*324+229*12</f>
        <v>213348</v>
      </c>
      <c r="R820" s="33">
        <f>-324*6</f>
        <v>-1944</v>
      </c>
      <c r="S820" s="32"/>
      <c r="T820" s="32">
        <f t="shared" si="176"/>
        <v>211404</v>
      </c>
      <c r="U820" s="12"/>
      <c r="V820" s="34">
        <f>78*3+1.5*96</f>
        <v>378</v>
      </c>
      <c r="W820" s="34"/>
      <c r="X820" s="12">
        <f t="shared" si="177"/>
        <v>211782</v>
      </c>
      <c r="Z820" s="10">
        <v>3</v>
      </c>
      <c r="AA820" s="30" t="s">
        <v>81</v>
      </c>
      <c r="AB820" s="31">
        <f t="shared" ref="AB820:AB822" si="182">AB819+1</f>
        <v>11894</v>
      </c>
      <c r="AC820" s="33">
        <f>650*50+670*2+622*10</f>
        <v>40060</v>
      </c>
      <c r="AD820" s="33"/>
      <c r="AE820" s="32"/>
      <c r="AF820" s="32">
        <f t="shared" si="178"/>
        <v>40060</v>
      </c>
      <c r="AG820" s="12"/>
      <c r="AH820" s="12">
        <f>111*20</f>
        <v>2220</v>
      </c>
      <c r="AI820" s="12"/>
      <c r="AJ820" s="12">
        <f t="shared" si="179"/>
        <v>42280</v>
      </c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1:53" x14ac:dyDescent="0.25">
      <c r="A821" s="18"/>
      <c r="B821" s="10">
        <v>4</v>
      </c>
      <c r="C821" s="30" t="s">
        <v>81</v>
      </c>
      <c r="D821" s="80">
        <f t="shared" si="180"/>
        <v>11937</v>
      </c>
      <c r="E821" s="32">
        <f>650*12</f>
        <v>7800</v>
      </c>
      <c r="F821" s="32"/>
      <c r="G821" s="32"/>
      <c r="H821" s="32">
        <f t="shared" si="174"/>
        <v>7800</v>
      </c>
      <c r="I821" s="12"/>
      <c r="J821" s="12"/>
      <c r="K821" s="12"/>
      <c r="L821" s="12">
        <f t="shared" si="175"/>
        <v>7800</v>
      </c>
      <c r="N821" s="10">
        <v>4</v>
      </c>
      <c r="O821" s="30"/>
      <c r="P821" s="11" t="s">
        <v>27</v>
      </c>
      <c r="Q821" s="32"/>
      <c r="R821" s="32"/>
      <c r="S821" s="32"/>
      <c r="T821" s="32">
        <f t="shared" si="176"/>
        <v>0</v>
      </c>
      <c r="U821" s="12"/>
      <c r="V821" s="12"/>
      <c r="W821" s="12"/>
      <c r="X821" s="12">
        <f t="shared" si="177"/>
        <v>0</v>
      </c>
      <c r="Z821" s="10">
        <v>4</v>
      </c>
      <c r="AA821" s="30" t="s">
        <v>81</v>
      </c>
      <c r="AB821" s="31">
        <f t="shared" si="182"/>
        <v>11895</v>
      </c>
      <c r="AC821" s="32">
        <f>650*35+670*3+622*14+229+500</f>
        <v>34197</v>
      </c>
      <c r="AD821" s="32"/>
      <c r="AE821" s="32"/>
      <c r="AF821" s="32">
        <f t="shared" si="178"/>
        <v>34197</v>
      </c>
      <c r="AG821" s="12"/>
      <c r="AH821">
        <f>111*5</f>
        <v>555</v>
      </c>
      <c r="AI821" s="12"/>
      <c r="AJ821" s="12">
        <f t="shared" si="179"/>
        <v>34752</v>
      </c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1:53" x14ac:dyDescent="0.25">
      <c r="A822" s="18"/>
      <c r="B822" s="10">
        <v>5</v>
      </c>
      <c r="C822" s="30" t="s">
        <v>81</v>
      </c>
      <c r="D822" s="80">
        <f t="shared" si="180"/>
        <v>11938</v>
      </c>
      <c r="E822" s="32">
        <f>650*2</f>
        <v>1300</v>
      </c>
      <c r="F822" s="32"/>
      <c r="G822" s="32"/>
      <c r="H822" s="32">
        <f t="shared" si="174"/>
        <v>1300</v>
      </c>
      <c r="I822" s="12"/>
      <c r="J822" s="12"/>
      <c r="K822" s="12"/>
      <c r="L822" s="12">
        <f t="shared" si="175"/>
        <v>1300</v>
      </c>
      <c r="N822" s="10">
        <v>5</v>
      </c>
      <c r="O822" s="30"/>
      <c r="P822" s="80"/>
      <c r="Q822" s="32"/>
      <c r="R822" s="32"/>
      <c r="S822" s="32"/>
      <c r="T822" s="32">
        <f t="shared" si="176"/>
        <v>0</v>
      </c>
      <c r="U822" s="12"/>
      <c r="V822" s="12"/>
      <c r="W822" s="12"/>
      <c r="X822" s="12">
        <f t="shared" si="177"/>
        <v>0</v>
      </c>
      <c r="Z822" s="10">
        <v>5</v>
      </c>
      <c r="AA822" s="30" t="s">
        <v>81</v>
      </c>
      <c r="AB822" s="31">
        <f t="shared" si="182"/>
        <v>11896</v>
      </c>
      <c r="AC822" s="32">
        <f>650*7</f>
        <v>4550</v>
      </c>
      <c r="AD822" s="32"/>
      <c r="AE822" s="32"/>
      <c r="AF822" s="32">
        <f t="shared" si="178"/>
        <v>4550</v>
      </c>
      <c r="AG822" s="12"/>
      <c r="AH822" s="12"/>
      <c r="AI822" s="12">
        <f>-111*9</f>
        <v>-999</v>
      </c>
      <c r="AJ822" s="12">
        <f t="shared" si="179"/>
        <v>3551</v>
      </c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1:53" x14ac:dyDescent="0.25">
      <c r="A823" s="18"/>
      <c r="B823" s="10">
        <v>6</v>
      </c>
      <c r="C823" s="30" t="s">
        <v>81</v>
      </c>
      <c r="D823" s="80">
        <f t="shared" si="180"/>
        <v>11939</v>
      </c>
      <c r="E823" s="32">
        <f>650</f>
        <v>650</v>
      </c>
      <c r="F823" s="32"/>
      <c r="G823" s="32"/>
      <c r="H823" s="32">
        <f t="shared" si="174"/>
        <v>650</v>
      </c>
      <c r="I823" s="12"/>
      <c r="J823" s="12"/>
      <c r="K823" s="10"/>
      <c r="L823" s="12">
        <f t="shared" si="175"/>
        <v>650</v>
      </c>
      <c r="N823" s="10">
        <v>6</v>
      </c>
      <c r="O823" s="30"/>
      <c r="P823" s="80"/>
      <c r="Q823" s="32"/>
      <c r="R823" s="32"/>
      <c r="S823" s="32"/>
      <c r="T823" s="32">
        <f t="shared" si="176"/>
        <v>0</v>
      </c>
      <c r="U823" s="12"/>
      <c r="V823" s="12"/>
      <c r="W823" s="10"/>
      <c r="X823" s="12">
        <f t="shared" si="177"/>
        <v>0</v>
      </c>
      <c r="Z823" s="10">
        <v>6</v>
      </c>
      <c r="AA823" s="30"/>
      <c r="AB823" s="11" t="s">
        <v>27</v>
      </c>
      <c r="AC823" s="32"/>
      <c r="AD823" s="32"/>
      <c r="AE823" s="32"/>
      <c r="AF823" s="32">
        <f t="shared" si="178"/>
        <v>0</v>
      </c>
      <c r="AG823" s="12"/>
      <c r="AH823" s="12"/>
      <c r="AI823" s="10"/>
      <c r="AJ823" s="12">
        <f t="shared" si="179"/>
        <v>0</v>
      </c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1:53" x14ac:dyDescent="0.25">
      <c r="A824" s="18"/>
      <c r="B824" s="10">
        <v>7</v>
      </c>
      <c r="C824" s="30" t="s">
        <v>81</v>
      </c>
      <c r="D824" s="80">
        <f t="shared" si="180"/>
        <v>11940</v>
      </c>
      <c r="E824" s="32">
        <f>650*18+622*2</f>
        <v>12944</v>
      </c>
      <c r="F824" s="32"/>
      <c r="G824" s="32"/>
      <c r="H824" s="32">
        <f t="shared" si="174"/>
        <v>12944</v>
      </c>
      <c r="I824" s="12"/>
      <c r="J824" s="12"/>
      <c r="K824" s="12"/>
      <c r="L824" s="12">
        <f t="shared" si="175"/>
        <v>12944</v>
      </c>
      <c r="N824" s="10">
        <v>7</v>
      </c>
      <c r="O824" s="30"/>
      <c r="P824" s="80"/>
      <c r="Q824" s="32"/>
      <c r="R824" s="32"/>
      <c r="S824" s="32"/>
      <c r="T824" s="32">
        <f t="shared" si="176"/>
        <v>0</v>
      </c>
      <c r="U824" s="12"/>
      <c r="V824" s="12"/>
      <c r="W824" s="12"/>
      <c r="X824" s="12">
        <f t="shared" si="177"/>
        <v>0</v>
      </c>
      <c r="Z824" s="10">
        <v>7</v>
      </c>
      <c r="AA824" s="30"/>
      <c r="AC824" s="32"/>
      <c r="AD824" s="32"/>
      <c r="AE824" s="32"/>
      <c r="AF824" s="32">
        <f t="shared" si="178"/>
        <v>0</v>
      </c>
      <c r="AG824" s="12"/>
      <c r="AH824" s="56"/>
      <c r="AI824" s="12"/>
      <c r="AJ824" s="12">
        <f t="shared" si="179"/>
        <v>0</v>
      </c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1:53" x14ac:dyDescent="0.25">
      <c r="A825" s="18"/>
      <c r="B825" s="10">
        <v>8</v>
      </c>
      <c r="C825" s="30" t="s">
        <v>81</v>
      </c>
      <c r="D825" s="80">
        <f t="shared" si="180"/>
        <v>11941</v>
      </c>
      <c r="E825" s="32">
        <f>650*4</f>
        <v>2600</v>
      </c>
      <c r="F825" s="32"/>
      <c r="G825" s="32"/>
      <c r="H825" s="32">
        <f t="shared" si="174"/>
        <v>2600</v>
      </c>
      <c r="I825" s="12"/>
      <c r="J825" s="12">
        <f>4.5*24</f>
        <v>108</v>
      </c>
      <c r="K825" s="12"/>
      <c r="L825" s="12">
        <f t="shared" si="175"/>
        <v>2708</v>
      </c>
      <c r="N825" s="10">
        <v>8</v>
      </c>
      <c r="O825" s="30"/>
      <c r="P825" s="80"/>
      <c r="Q825" s="32"/>
      <c r="R825" s="32"/>
      <c r="S825" s="32"/>
      <c r="T825" s="32">
        <f t="shared" si="176"/>
        <v>0</v>
      </c>
      <c r="U825" s="12"/>
      <c r="V825" s="12"/>
      <c r="W825" s="12"/>
      <c r="X825" s="12">
        <f t="shared" si="177"/>
        <v>0</v>
      </c>
      <c r="Z825" s="10">
        <v>8</v>
      </c>
      <c r="AA825" s="30"/>
      <c r="AB825" s="31"/>
      <c r="AC825" s="32"/>
      <c r="AD825" s="32"/>
      <c r="AF825" s="32">
        <f t="shared" si="178"/>
        <v>0</v>
      </c>
      <c r="AG825" s="12"/>
      <c r="AH825" s="12"/>
      <c r="AI825" s="12"/>
      <c r="AJ825" s="12">
        <f t="shared" si="179"/>
        <v>0</v>
      </c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1:53" x14ac:dyDescent="0.25">
      <c r="A826" s="18"/>
      <c r="B826" s="10">
        <v>9</v>
      </c>
      <c r="C826" s="30" t="s">
        <v>81</v>
      </c>
      <c r="D826" s="80">
        <f t="shared" si="180"/>
        <v>11942</v>
      </c>
      <c r="E826" s="32">
        <f>650*20+622*2</f>
        <v>14244</v>
      </c>
      <c r="F826" s="32"/>
      <c r="G826" s="32"/>
      <c r="H826" s="32">
        <f t="shared" si="174"/>
        <v>14244</v>
      </c>
      <c r="I826" s="12"/>
      <c r="J826" s="12"/>
      <c r="K826" s="12"/>
      <c r="L826" s="12">
        <f t="shared" si="175"/>
        <v>14244</v>
      </c>
      <c r="N826" s="10">
        <v>9</v>
      </c>
      <c r="O826" s="30"/>
      <c r="P826" s="80"/>
      <c r="Q826" s="32"/>
      <c r="R826" s="32"/>
      <c r="S826" s="32"/>
      <c r="T826" s="32">
        <f t="shared" si="176"/>
        <v>0</v>
      </c>
      <c r="U826" s="12"/>
      <c r="V826" s="12"/>
      <c r="W826" s="12"/>
      <c r="X826" s="12">
        <f t="shared" si="177"/>
        <v>0</v>
      </c>
      <c r="Z826" s="10">
        <v>9</v>
      </c>
      <c r="AA826" s="30"/>
      <c r="AC826" s="32"/>
      <c r="AD826" s="32"/>
      <c r="AE826" s="32"/>
      <c r="AF826" s="32">
        <f t="shared" si="178"/>
        <v>0</v>
      </c>
      <c r="AG826" s="12"/>
      <c r="AI826" s="12"/>
      <c r="AJ826" s="12">
        <f t="shared" si="179"/>
        <v>0</v>
      </c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1:53" x14ac:dyDescent="0.25">
      <c r="A827" s="18"/>
      <c r="B827" s="10">
        <v>10</v>
      </c>
      <c r="C827" s="30" t="s">
        <v>81</v>
      </c>
      <c r="D827" s="80">
        <f t="shared" si="180"/>
        <v>11943</v>
      </c>
      <c r="E827" s="32">
        <f>973*47+1050*2+872*2</f>
        <v>49575</v>
      </c>
      <c r="F827" s="32"/>
      <c r="G827" s="32"/>
      <c r="H827" s="32">
        <f t="shared" si="174"/>
        <v>49575</v>
      </c>
      <c r="I827" s="12"/>
      <c r="J827" s="12"/>
      <c r="K827" s="12"/>
      <c r="L827" s="12">
        <f t="shared" si="175"/>
        <v>49575</v>
      </c>
      <c r="N827" s="10">
        <v>10</v>
      </c>
      <c r="O827" s="30"/>
      <c r="P827" s="80"/>
      <c r="Q827" s="32"/>
      <c r="R827" s="32"/>
      <c r="S827" s="32"/>
      <c r="T827" s="32">
        <f t="shared" si="176"/>
        <v>0</v>
      </c>
      <c r="U827" s="12"/>
      <c r="V827" s="12"/>
      <c r="W827" s="12"/>
      <c r="X827" s="12">
        <f t="shared" si="177"/>
        <v>0</v>
      </c>
      <c r="Z827" s="10">
        <v>10</v>
      </c>
      <c r="AA827" s="30"/>
      <c r="AB827" s="31"/>
      <c r="AC827" s="32"/>
      <c r="AD827" s="32"/>
      <c r="AE827" s="32"/>
      <c r="AF827" s="32">
        <f t="shared" si="178"/>
        <v>0</v>
      </c>
      <c r="AG827" s="12"/>
      <c r="AH827" s="12"/>
      <c r="AI827" s="12"/>
      <c r="AJ827" s="12">
        <f t="shared" si="179"/>
        <v>0</v>
      </c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1:53" x14ac:dyDescent="0.25">
      <c r="A828" s="18"/>
      <c r="B828" s="10">
        <v>11</v>
      </c>
      <c r="C828" s="30" t="s">
        <v>81</v>
      </c>
      <c r="D828" s="80">
        <f t="shared" si="180"/>
        <v>11944</v>
      </c>
      <c r="E828" s="32">
        <f>650*10+622</f>
        <v>7122</v>
      </c>
      <c r="F828" s="32"/>
      <c r="G828" s="32"/>
      <c r="H828" s="32">
        <f t="shared" si="174"/>
        <v>7122</v>
      </c>
      <c r="I828" s="12"/>
      <c r="J828" s="12"/>
      <c r="K828" s="12"/>
      <c r="L828" s="12">
        <f t="shared" si="175"/>
        <v>7122</v>
      </c>
      <c r="N828" s="10">
        <v>11</v>
      </c>
      <c r="O828" s="30"/>
      <c r="P828" s="80"/>
      <c r="Q828" s="32"/>
      <c r="R828" s="32"/>
      <c r="S828" s="32"/>
      <c r="T828" s="32">
        <f t="shared" si="176"/>
        <v>0</v>
      </c>
      <c r="U828" s="12"/>
      <c r="V828" s="12"/>
      <c r="W828" s="12"/>
      <c r="X828" s="12">
        <f t="shared" si="177"/>
        <v>0</v>
      </c>
      <c r="Z828" s="10">
        <v>11</v>
      </c>
      <c r="AA828" s="30"/>
      <c r="AB828" s="31"/>
      <c r="AC828" s="32"/>
      <c r="AD828" s="32"/>
      <c r="AE828" s="32"/>
      <c r="AF828" s="32">
        <f t="shared" si="178"/>
        <v>0</v>
      </c>
      <c r="AG828" s="12"/>
      <c r="AH828" s="12"/>
      <c r="AI828" s="12"/>
      <c r="AJ828" s="12">
        <f t="shared" si="179"/>
        <v>0</v>
      </c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1:53" x14ac:dyDescent="0.25">
      <c r="A829" s="18"/>
      <c r="B829" s="10">
        <v>12</v>
      </c>
      <c r="C829" s="30"/>
      <c r="D829" s="11" t="s">
        <v>27</v>
      </c>
      <c r="E829" s="32"/>
      <c r="F829" s="32"/>
      <c r="G829" s="32"/>
      <c r="H829" s="32">
        <f t="shared" si="174"/>
        <v>0</v>
      </c>
      <c r="I829" s="12"/>
      <c r="J829" s="12"/>
      <c r="K829" s="12"/>
      <c r="L829" s="12">
        <f t="shared" si="175"/>
        <v>0</v>
      </c>
      <c r="N829" s="10">
        <v>12</v>
      </c>
      <c r="O829" s="30"/>
      <c r="P829" s="80"/>
      <c r="Q829" s="32"/>
      <c r="R829" s="32"/>
      <c r="S829" s="32"/>
      <c r="T829" s="32">
        <f t="shared" si="176"/>
        <v>0</v>
      </c>
      <c r="U829" s="12"/>
      <c r="V829" s="12"/>
      <c r="W829" s="12"/>
      <c r="X829" s="12">
        <f t="shared" si="177"/>
        <v>0</v>
      </c>
      <c r="Z829" s="10">
        <v>12</v>
      </c>
      <c r="AA829" s="30"/>
      <c r="AB829" s="31"/>
      <c r="AC829" s="32"/>
      <c r="AD829" s="32"/>
      <c r="AE829" s="32"/>
      <c r="AF829" s="32">
        <f t="shared" si="178"/>
        <v>0</v>
      </c>
      <c r="AG829" s="12"/>
      <c r="AH829" s="12"/>
      <c r="AI829" s="12"/>
      <c r="AJ829" s="12">
        <f t="shared" si="179"/>
        <v>0</v>
      </c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1:53" x14ac:dyDescent="0.25">
      <c r="A830" s="18"/>
      <c r="B830" s="10">
        <v>13</v>
      </c>
      <c r="C830" s="30"/>
      <c r="D830" s="80"/>
      <c r="E830" s="32"/>
      <c r="F830" s="32"/>
      <c r="G830" s="32"/>
      <c r="H830" s="32">
        <f t="shared" si="174"/>
        <v>0</v>
      </c>
      <c r="I830" s="12"/>
      <c r="J830" s="12"/>
      <c r="K830" s="12"/>
      <c r="L830" s="12">
        <f t="shared" si="175"/>
        <v>0</v>
      </c>
      <c r="N830" s="10">
        <v>13</v>
      </c>
      <c r="O830" s="30"/>
      <c r="P830" s="80"/>
      <c r="Q830" s="32"/>
      <c r="R830" s="32"/>
      <c r="S830" s="32"/>
      <c r="T830" s="32">
        <f t="shared" si="176"/>
        <v>0</v>
      </c>
      <c r="U830" s="12"/>
      <c r="V830" s="12"/>
      <c r="W830" s="12"/>
      <c r="X830" s="12">
        <f t="shared" si="177"/>
        <v>0</v>
      </c>
      <c r="Z830" s="10">
        <v>13</v>
      </c>
      <c r="AA830" s="30"/>
      <c r="AB830" s="31"/>
      <c r="AC830" s="32"/>
      <c r="AD830" s="32"/>
      <c r="AE830" s="32"/>
      <c r="AF830" s="32">
        <f t="shared" si="178"/>
        <v>0</v>
      </c>
      <c r="AG830" s="12"/>
      <c r="AH830" s="12"/>
      <c r="AI830" s="12"/>
      <c r="AJ830" s="12">
        <f t="shared" si="179"/>
        <v>0</v>
      </c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1:53" x14ac:dyDescent="0.25">
      <c r="A831" s="18"/>
      <c r="B831" s="10">
        <v>14</v>
      </c>
      <c r="C831" s="30"/>
      <c r="D831" s="80"/>
      <c r="E831" s="32"/>
      <c r="F831" s="32"/>
      <c r="G831" s="32"/>
      <c r="H831" s="32">
        <f t="shared" si="174"/>
        <v>0</v>
      </c>
      <c r="I831" s="12"/>
      <c r="J831" s="12"/>
      <c r="K831" s="12"/>
      <c r="L831" s="12">
        <f t="shared" si="175"/>
        <v>0</v>
      </c>
      <c r="N831" s="10">
        <v>14</v>
      </c>
      <c r="O831" s="30"/>
      <c r="P831" s="80"/>
      <c r="Q831" s="32"/>
      <c r="R831" s="32"/>
      <c r="S831" s="32"/>
      <c r="T831" s="32">
        <f t="shared" si="176"/>
        <v>0</v>
      </c>
      <c r="U831" s="12"/>
      <c r="V831" s="12"/>
      <c r="W831" s="12"/>
      <c r="X831" s="12">
        <f t="shared" si="177"/>
        <v>0</v>
      </c>
      <c r="Z831" s="10">
        <v>14</v>
      </c>
      <c r="AA831" s="30"/>
      <c r="AB831" s="31"/>
      <c r="AC831" s="32"/>
      <c r="AD831" s="32"/>
      <c r="AE831" s="32"/>
      <c r="AF831" s="32">
        <f t="shared" si="178"/>
        <v>0</v>
      </c>
      <c r="AG831" s="12"/>
      <c r="AH831" s="12"/>
      <c r="AI831" s="12"/>
      <c r="AJ831" s="12">
        <f t="shared" si="179"/>
        <v>0</v>
      </c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1:53" x14ac:dyDescent="0.25">
      <c r="A832" s="18"/>
      <c r="B832" s="10">
        <v>15</v>
      </c>
      <c r="C832" s="30"/>
      <c r="D832" s="80"/>
      <c r="E832" s="32"/>
      <c r="F832" s="32"/>
      <c r="G832" s="32"/>
      <c r="H832" s="32">
        <f t="shared" si="174"/>
        <v>0</v>
      </c>
      <c r="I832" s="12"/>
      <c r="J832" s="12"/>
      <c r="K832" s="12"/>
      <c r="L832" s="12">
        <f t="shared" si="175"/>
        <v>0</v>
      </c>
      <c r="N832" s="10">
        <v>15</v>
      </c>
      <c r="O832" s="30"/>
      <c r="P832" s="80"/>
      <c r="Q832" s="32"/>
      <c r="R832" s="32"/>
      <c r="S832" s="32"/>
      <c r="T832" s="32">
        <f t="shared" si="176"/>
        <v>0</v>
      </c>
      <c r="U832" s="12"/>
      <c r="V832" s="12"/>
      <c r="W832" s="12"/>
      <c r="X832" s="12">
        <f t="shared" si="177"/>
        <v>0</v>
      </c>
      <c r="Z832" s="10">
        <v>15</v>
      </c>
      <c r="AA832" s="30"/>
      <c r="AB832" s="31"/>
      <c r="AC832" s="32"/>
      <c r="AD832" s="32"/>
      <c r="AE832" s="32"/>
      <c r="AF832" s="32">
        <f t="shared" si="178"/>
        <v>0</v>
      </c>
      <c r="AG832" s="12"/>
      <c r="AH832" s="12"/>
      <c r="AI832" s="12"/>
      <c r="AJ832" s="12">
        <f t="shared" si="179"/>
        <v>0</v>
      </c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1:53" x14ac:dyDescent="0.25">
      <c r="A833" s="18"/>
      <c r="B833" s="10">
        <v>16</v>
      </c>
      <c r="C833" s="30"/>
      <c r="D833" s="11"/>
      <c r="E833" s="32"/>
      <c r="F833" s="32"/>
      <c r="G833" s="32"/>
      <c r="H833" s="32">
        <f t="shared" si="174"/>
        <v>0</v>
      </c>
      <c r="I833" s="12"/>
      <c r="J833" s="12"/>
      <c r="K833" s="12"/>
      <c r="L833" s="12">
        <f t="shared" si="175"/>
        <v>0</v>
      </c>
      <c r="N833" s="10">
        <v>16</v>
      </c>
      <c r="O833" s="30"/>
      <c r="Q833" s="32"/>
      <c r="R833" s="32"/>
      <c r="S833" s="32"/>
      <c r="T833" s="32">
        <f t="shared" si="176"/>
        <v>0</v>
      </c>
      <c r="U833" s="12"/>
      <c r="V833" s="12"/>
      <c r="W833" s="12"/>
      <c r="X833" s="12">
        <f t="shared" si="177"/>
        <v>0</v>
      </c>
      <c r="Z833" s="10">
        <v>16</v>
      </c>
      <c r="AA833" s="30"/>
      <c r="AB833" s="11"/>
      <c r="AC833" s="32"/>
      <c r="AD833" s="32"/>
      <c r="AE833" s="32"/>
      <c r="AF833" s="32">
        <f t="shared" si="178"/>
        <v>0</v>
      </c>
      <c r="AG833" s="12"/>
      <c r="AH833" s="12"/>
      <c r="AI833" s="12"/>
      <c r="AJ833" s="12">
        <f t="shared" si="179"/>
        <v>0</v>
      </c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1:53" x14ac:dyDescent="0.25">
      <c r="A834" s="18"/>
      <c r="B834" s="10">
        <v>17</v>
      </c>
      <c r="C834" s="30"/>
      <c r="D834" s="31"/>
      <c r="E834" s="35"/>
      <c r="F834" s="32"/>
      <c r="G834" s="32"/>
      <c r="H834" s="32">
        <f t="shared" si="174"/>
        <v>0</v>
      </c>
      <c r="I834" s="12"/>
      <c r="J834" s="12"/>
      <c r="K834" s="12"/>
      <c r="L834" s="12">
        <f t="shared" si="175"/>
        <v>0</v>
      </c>
      <c r="N834" s="10">
        <v>17</v>
      </c>
      <c r="O834" s="30"/>
      <c r="Q834" s="35"/>
      <c r="R834" s="32"/>
      <c r="S834" s="32"/>
      <c r="T834" s="32">
        <f t="shared" si="176"/>
        <v>0</v>
      </c>
      <c r="U834" s="12"/>
      <c r="V834" s="12"/>
      <c r="W834" s="12"/>
      <c r="X834" s="12">
        <f t="shared" si="177"/>
        <v>0</v>
      </c>
      <c r="Z834" s="10">
        <v>17</v>
      </c>
      <c r="AA834" s="30"/>
      <c r="AB834" s="31"/>
      <c r="AC834" s="35"/>
      <c r="AD834" s="32"/>
      <c r="AE834" s="32"/>
      <c r="AF834" s="32">
        <f t="shared" si="178"/>
        <v>0</v>
      </c>
      <c r="AG834" s="12"/>
      <c r="AH834" s="12"/>
      <c r="AI834" s="12"/>
      <c r="AJ834" s="12">
        <f t="shared" si="179"/>
        <v>0</v>
      </c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1:53" x14ac:dyDescent="0.25">
      <c r="A835" s="18"/>
      <c r="B835" s="10">
        <v>18</v>
      </c>
      <c r="C835" s="30"/>
      <c r="D835" s="31"/>
      <c r="E835" s="32"/>
      <c r="F835" s="32"/>
      <c r="G835" s="32"/>
      <c r="H835" s="32">
        <f t="shared" si="174"/>
        <v>0</v>
      </c>
      <c r="I835" s="12"/>
      <c r="J835" s="12"/>
      <c r="K835" s="12"/>
      <c r="L835" s="12">
        <f t="shared" si="175"/>
        <v>0</v>
      </c>
      <c r="N835" s="10">
        <v>18</v>
      </c>
      <c r="O835" s="30"/>
      <c r="P835" s="80"/>
      <c r="Q835" s="32"/>
      <c r="R835" s="32"/>
      <c r="S835" s="32"/>
      <c r="T835" s="32">
        <f t="shared" si="176"/>
        <v>0</v>
      </c>
      <c r="U835" s="12"/>
      <c r="V835" s="12"/>
      <c r="W835" s="12"/>
      <c r="X835" s="12">
        <f t="shared" si="177"/>
        <v>0</v>
      </c>
      <c r="Z835" s="10">
        <v>18</v>
      </c>
      <c r="AA835" s="30"/>
      <c r="AB835" s="31"/>
      <c r="AC835" s="32"/>
      <c r="AD835" s="32"/>
      <c r="AE835" s="32"/>
      <c r="AF835" s="32">
        <f t="shared" si="178"/>
        <v>0</v>
      </c>
      <c r="AG835" s="12"/>
      <c r="AH835" s="12"/>
      <c r="AI835" s="12"/>
      <c r="AJ835" s="12">
        <f t="shared" si="179"/>
        <v>0</v>
      </c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1:53" x14ac:dyDescent="0.25">
      <c r="A836" s="18"/>
      <c r="B836" s="10">
        <v>19</v>
      </c>
      <c r="C836" s="30"/>
      <c r="D836" s="31"/>
      <c r="E836" s="32"/>
      <c r="F836" s="32"/>
      <c r="G836" s="32"/>
      <c r="H836" s="32">
        <f t="shared" si="174"/>
        <v>0</v>
      </c>
      <c r="I836" s="12"/>
      <c r="J836" s="12"/>
      <c r="K836" s="12"/>
      <c r="L836" s="12">
        <f t="shared" si="175"/>
        <v>0</v>
      </c>
      <c r="N836" s="10">
        <v>19</v>
      </c>
      <c r="O836" s="30"/>
      <c r="P836" s="80"/>
      <c r="Q836" s="32"/>
      <c r="R836" s="32"/>
      <c r="S836" s="32"/>
      <c r="T836" s="32">
        <f t="shared" si="176"/>
        <v>0</v>
      </c>
      <c r="U836" s="12"/>
      <c r="V836" s="12"/>
      <c r="W836" s="12"/>
      <c r="X836" s="12">
        <f t="shared" si="177"/>
        <v>0</v>
      </c>
      <c r="Z836" s="10">
        <v>19</v>
      </c>
      <c r="AA836" s="30"/>
      <c r="AB836" s="11"/>
      <c r="AC836" s="32"/>
      <c r="AD836" s="32"/>
      <c r="AE836" s="32"/>
      <c r="AF836" s="32">
        <f t="shared" si="178"/>
        <v>0</v>
      </c>
      <c r="AG836" s="12"/>
      <c r="AH836" s="12"/>
      <c r="AI836" s="12"/>
      <c r="AJ836" s="12">
        <f t="shared" si="179"/>
        <v>0</v>
      </c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1:53" x14ac:dyDescent="0.25">
      <c r="A837" s="18"/>
      <c r="B837" s="10">
        <v>20</v>
      </c>
      <c r="C837" s="30"/>
      <c r="D837" s="31"/>
      <c r="E837" s="32"/>
      <c r="F837" s="32"/>
      <c r="G837" s="32"/>
      <c r="H837" s="32">
        <f t="shared" si="174"/>
        <v>0</v>
      </c>
      <c r="I837" s="12"/>
      <c r="J837" s="12"/>
      <c r="K837" s="12"/>
      <c r="L837" s="12">
        <f t="shared" si="175"/>
        <v>0</v>
      </c>
      <c r="N837" s="10">
        <v>20</v>
      </c>
      <c r="O837" s="30"/>
      <c r="P837" s="80"/>
      <c r="Q837" s="32"/>
      <c r="R837" s="32"/>
      <c r="S837" s="32"/>
      <c r="T837" s="32">
        <f t="shared" si="176"/>
        <v>0</v>
      </c>
      <c r="U837" s="12"/>
      <c r="V837" s="12"/>
      <c r="W837" s="12"/>
      <c r="X837" s="12">
        <f t="shared" si="177"/>
        <v>0</v>
      </c>
      <c r="Z837" s="10">
        <v>20</v>
      </c>
      <c r="AA837" s="30"/>
      <c r="AB837" s="31"/>
      <c r="AC837" s="32"/>
      <c r="AD837" s="32"/>
      <c r="AE837" s="32"/>
      <c r="AF837" s="32">
        <f t="shared" si="178"/>
        <v>0</v>
      </c>
      <c r="AG837" s="12"/>
      <c r="AH837" s="12"/>
      <c r="AI837" s="12"/>
      <c r="AJ837" s="12">
        <f t="shared" si="179"/>
        <v>0</v>
      </c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1:53" x14ac:dyDescent="0.25">
      <c r="A838" s="18"/>
      <c r="B838" s="10">
        <v>21</v>
      </c>
      <c r="C838" s="30"/>
      <c r="D838" s="31"/>
      <c r="E838" s="44"/>
      <c r="F838" s="31"/>
      <c r="G838" s="31"/>
      <c r="H838" s="32">
        <f t="shared" si="174"/>
        <v>0</v>
      </c>
      <c r="I838" s="10"/>
      <c r="J838" s="10"/>
      <c r="K838" s="10"/>
      <c r="L838" s="12">
        <f t="shared" si="175"/>
        <v>0</v>
      </c>
      <c r="N838" s="10">
        <v>21</v>
      </c>
      <c r="O838" s="30"/>
      <c r="P838" s="11"/>
      <c r="Q838" s="44"/>
      <c r="R838" s="31"/>
      <c r="S838" s="31"/>
      <c r="T838" s="32">
        <f t="shared" si="176"/>
        <v>0</v>
      </c>
      <c r="U838" s="10"/>
      <c r="V838" s="10"/>
      <c r="W838" s="10"/>
      <c r="X838" s="12">
        <f t="shared" si="177"/>
        <v>0</v>
      </c>
      <c r="Z838" s="10">
        <v>21</v>
      </c>
      <c r="AA838" s="30"/>
      <c r="AB838" s="11"/>
      <c r="AC838" s="44"/>
      <c r="AD838" s="31"/>
      <c r="AE838" s="31"/>
      <c r="AF838" s="32">
        <f t="shared" si="178"/>
        <v>0</v>
      </c>
      <c r="AG838" s="10"/>
      <c r="AH838" s="10"/>
      <c r="AI838" s="10"/>
      <c r="AJ838" s="12">
        <f t="shared" si="179"/>
        <v>0</v>
      </c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1:53" x14ac:dyDescent="0.25">
      <c r="A839" s="18"/>
      <c r="B839" s="10">
        <v>22</v>
      </c>
      <c r="C839" s="30"/>
      <c r="D839" s="31"/>
      <c r="E839" s="43"/>
      <c r="F839" s="31"/>
      <c r="G839" s="31"/>
      <c r="H839" s="32">
        <f t="shared" si="174"/>
        <v>0</v>
      </c>
      <c r="I839" s="10"/>
      <c r="J839" s="10"/>
      <c r="K839" s="10"/>
      <c r="L839" s="12">
        <f t="shared" si="175"/>
        <v>0</v>
      </c>
      <c r="N839" s="10">
        <v>22</v>
      </c>
      <c r="O839" s="30"/>
      <c r="P839" s="31"/>
      <c r="Q839" s="43"/>
      <c r="R839" s="31"/>
      <c r="S839" s="31"/>
      <c r="T839" s="32">
        <f t="shared" si="176"/>
        <v>0</v>
      </c>
      <c r="U839" s="10"/>
      <c r="V839" s="10"/>
      <c r="W839" s="10"/>
      <c r="X839" s="12">
        <f t="shared" si="177"/>
        <v>0</v>
      </c>
      <c r="Z839" s="10">
        <v>22</v>
      </c>
      <c r="AA839" s="30"/>
      <c r="AB839" s="31"/>
      <c r="AC839" s="43"/>
      <c r="AD839" s="31"/>
      <c r="AE839" s="31"/>
      <c r="AF839" s="32">
        <f t="shared" si="178"/>
        <v>0</v>
      </c>
      <c r="AG839" s="10"/>
      <c r="AH839" s="10"/>
      <c r="AI839" s="10"/>
      <c r="AJ839" s="12">
        <f t="shared" si="179"/>
        <v>0</v>
      </c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1:53" x14ac:dyDescent="0.25">
      <c r="A840" s="18"/>
      <c r="B840" s="10">
        <v>23</v>
      </c>
      <c r="C840" s="30"/>
      <c r="D840" s="31"/>
      <c r="E840" s="45"/>
      <c r="F840" s="31"/>
      <c r="G840"/>
      <c r="H840" s="32">
        <f t="shared" si="174"/>
        <v>0</v>
      </c>
      <c r="I840" s="10"/>
      <c r="J840" s="10"/>
      <c r="K840" s="10"/>
      <c r="L840" s="12">
        <f t="shared" si="175"/>
        <v>0</v>
      </c>
      <c r="N840" s="10">
        <v>23</v>
      </c>
      <c r="O840" s="30"/>
      <c r="P840" s="31"/>
      <c r="Q840" s="45"/>
      <c r="T840" s="32">
        <f t="shared" si="176"/>
        <v>0</v>
      </c>
      <c r="U840" s="10"/>
      <c r="V840" s="10"/>
      <c r="W840" s="10"/>
      <c r="X840" s="12">
        <f t="shared" si="177"/>
        <v>0</v>
      </c>
      <c r="Z840" s="10">
        <v>23</v>
      </c>
      <c r="AA840" s="30"/>
      <c r="AB840" s="31"/>
      <c r="AC840" s="45"/>
      <c r="AD840" s="31"/>
      <c r="AF840" s="32">
        <f t="shared" si="178"/>
        <v>0</v>
      </c>
      <c r="AG840" s="10"/>
      <c r="AH840" s="10"/>
      <c r="AI840" s="10"/>
      <c r="AJ840" s="12">
        <f t="shared" si="179"/>
        <v>0</v>
      </c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1:53" x14ac:dyDescent="0.25">
      <c r="A841" s="18"/>
      <c r="B841" s="10">
        <v>24</v>
      </c>
      <c r="C841" s="30"/>
      <c r="D841" s="31"/>
      <c r="E841" s="45"/>
      <c r="F841" s="31"/>
      <c r="G841" s="31"/>
      <c r="H841" s="32">
        <f t="shared" si="174"/>
        <v>0</v>
      </c>
      <c r="I841" s="10"/>
      <c r="J841" s="10"/>
      <c r="K841" s="10"/>
      <c r="L841" s="12">
        <f t="shared" si="175"/>
        <v>0</v>
      </c>
      <c r="N841" s="10">
        <v>24</v>
      </c>
      <c r="O841" s="30"/>
      <c r="P841" s="31"/>
      <c r="Q841" s="45"/>
      <c r="R841" s="31"/>
      <c r="S841" s="31"/>
      <c r="T841" s="32">
        <f t="shared" si="176"/>
        <v>0</v>
      </c>
      <c r="U841" s="10"/>
      <c r="V841" s="10"/>
      <c r="W841" s="10"/>
      <c r="X841" s="12">
        <f t="shared" si="177"/>
        <v>0</v>
      </c>
      <c r="Z841" s="10">
        <v>24</v>
      </c>
      <c r="AA841" s="30"/>
      <c r="AB841" s="31"/>
      <c r="AC841" s="45"/>
      <c r="AD841" s="31"/>
      <c r="AE841" s="31"/>
      <c r="AF841" s="32">
        <f t="shared" si="178"/>
        <v>0</v>
      </c>
      <c r="AG841" s="10"/>
      <c r="AH841" s="10"/>
      <c r="AI841" s="10"/>
      <c r="AJ841" s="12">
        <f t="shared" si="179"/>
        <v>0</v>
      </c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1:53" x14ac:dyDescent="0.25">
      <c r="A842" s="18"/>
      <c r="B842" s="10">
        <v>25</v>
      </c>
      <c r="C842" s="30"/>
      <c r="D842" s="31"/>
      <c r="E842" s="45"/>
      <c r="F842" s="31"/>
      <c r="G842" s="31"/>
      <c r="H842" s="32">
        <f t="shared" si="174"/>
        <v>0</v>
      </c>
      <c r="I842" s="10"/>
      <c r="J842" s="10"/>
      <c r="K842" s="10"/>
      <c r="L842" s="12">
        <f t="shared" si="175"/>
        <v>0</v>
      </c>
      <c r="N842" s="10">
        <v>25</v>
      </c>
      <c r="O842" s="30"/>
      <c r="P842" s="31"/>
      <c r="Q842" s="45"/>
      <c r="R842" s="31"/>
      <c r="S842" s="31"/>
      <c r="T842" s="32">
        <f t="shared" si="176"/>
        <v>0</v>
      </c>
      <c r="U842" s="10"/>
      <c r="V842" s="10"/>
      <c r="W842" s="10"/>
      <c r="X842" s="12">
        <f t="shared" si="177"/>
        <v>0</v>
      </c>
      <c r="Z842" s="10">
        <v>25</v>
      </c>
      <c r="AA842" s="30"/>
      <c r="AB842" s="31"/>
      <c r="AC842" s="45"/>
      <c r="AD842" s="31"/>
      <c r="AE842" s="31"/>
      <c r="AF842" s="32">
        <f t="shared" si="178"/>
        <v>0</v>
      </c>
      <c r="AG842" s="10"/>
      <c r="AH842" s="10"/>
      <c r="AI842" s="10"/>
      <c r="AJ842" s="12">
        <f t="shared" si="179"/>
        <v>0</v>
      </c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1:53" x14ac:dyDescent="0.25">
      <c r="A843" s="18"/>
      <c r="B843" s="10">
        <v>26</v>
      </c>
      <c r="C843" s="30"/>
      <c r="D843" s="31"/>
      <c r="E843" s="45"/>
      <c r="F843" s="31"/>
      <c r="G843" s="31"/>
      <c r="H843" s="32">
        <f t="shared" si="174"/>
        <v>0</v>
      </c>
      <c r="I843" s="10"/>
      <c r="J843" s="10"/>
      <c r="K843" s="10"/>
      <c r="L843" s="12">
        <f t="shared" si="175"/>
        <v>0</v>
      </c>
      <c r="N843" s="10">
        <v>26</v>
      </c>
      <c r="O843" s="30"/>
      <c r="P843" s="31"/>
      <c r="Q843" s="45"/>
      <c r="R843" s="31"/>
      <c r="S843" s="31"/>
      <c r="T843" s="32">
        <f t="shared" si="176"/>
        <v>0</v>
      </c>
      <c r="U843" s="10"/>
      <c r="V843" s="10"/>
      <c r="W843" s="10"/>
      <c r="X843" s="12">
        <f t="shared" si="177"/>
        <v>0</v>
      </c>
      <c r="Z843" s="10">
        <v>26</v>
      </c>
      <c r="AA843" s="30"/>
      <c r="AB843" s="31"/>
      <c r="AC843" s="45"/>
      <c r="AD843" s="31"/>
      <c r="AE843" s="31"/>
      <c r="AF843" s="32">
        <f t="shared" si="178"/>
        <v>0</v>
      </c>
      <c r="AG843" s="10"/>
      <c r="AH843" s="10"/>
      <c r="AI843" s="10"/>
      <c r="AJ843" s="12">
        <f t="shared" si="179"/>
        <v>0</v>
      </c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1:53" x14ac:dyDescent="0.25">
      <c r="A844" s="18"/>
      <c r="B844" s="10">
        <v>27</v>
      </c>
      <c r="C844" s="30"/>
      <c r="D844" s="31"/>
      <c r="E844" s="45"/>
      <c r="F844" s="31"/>
      <c r="G844" s="31"/>
      <c r="H844" s="32">
        <f t="shared" si="174"/>
        <v>0</v>
      </c>
      <c r="I844" s="10"/>
      <c r="J844" s="10"/>
      <c r="K844" s="10"/>
      <c r="L844" s="12">
        <f t="shared" si="175"/>
        <v>0</v>
      </c>
      <c r="N844" s="10">
        <v>27</v>
      </c>
      <c r="O844" s="30"/>
      <c r="P844" s="31"/>
      <c r="Q844" s="45"/>
      <c r="R844" s="31"/>
      <c r="S844" s="31"/>
      <c r="T844" s="32">
        <f t="shared" si="176"/>
        <v>0</v>
      </c>
      <c r="U844" s="10"/>
      <c r="V844" s="10"/>
      <c r="W844" s="10"/>
      <c r="X844" s="12">
        <f t="shared" si="177"/>
        <v>0</v>
      </c>
      <c r="Z844" s="10">
        <v>27</v>
      </c>
      <c r="AA844" s="30"/>
      <c r="AB844" s="31"/>
      <c r="AC844" s="45"/>
      <c r="AD844" s="31"/>
      <c r="AE844" s="31"/>
      <c r="AF844" s="32">
        <f t="shared" si="178"/>
        <v>0</v>
      </c>
      <c r="AG844" s="10"/>
      <c r="AH844" s="10"/>
      <c r="AI844" s="10"/>
      <c r="AJ844" s="12">
        <f t="shared" si="179"/>
        <v>0</v>
      </c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1:53" x14ac:dyDescent="0.25">
      <c r="A845" s="18"/>
      <c r="B845" s="10">
        <v>28</v>
      </c>
      <c r="C845" s="30"/>
      <c r="D845" s="31"/>
      <c r="E845" s="45"/>
      <c r="F845" s="31"/>
      <c r="G845" s="31"/>
      <c r="H845" s="32">
        <f t="shared" si="174"/>
        <v>0</v>
      </c>
      <c r="I845" s="10"/>
      <c r="J845" s="10"/>
      <c r="K845" s="10"/>
      <c r="L845" s="12">
        <f t="shared" si="175"/>
        <v>0</v>
      </c>
      <c r="N845" s="10">
        <v>28</v>
      </c>
      <c r="O845" s="30"/>
      <c r="P845" s="31"/>
      <c r="Q845" s="45"/>
      <c r="R845" s="31"/>
      <c r="S845" s="31"/>
      <c r="T845" s="32">
        <f t="shared" si="176"/>
        <v>0</v>
      </c>
      <c r="U845" s="10"/>
      <c r="V845" s="10"/>
      <c r="W845" s="10"/>
      <c r="X845" s="12">
        <f t="shared" si="177"/>
        <v>0</v>
      </c>
      <c r="Z845" s="10">
        <v>28</v>
      </c>
      <c r="AA845" s="30"/>
      <c r="AB845" s="31"/>
      <c r="AC845" s="45"/>
      <c r="AD845" s="31"/>
      <c r="AE845" s="31"/>
      <c r="AF845" s="32">
        <f t="shared" si="178"/>
        <v>0</v>
      </c>
      <c r="AG845" s="10"/>
      <c r="AH845" s="10"/>
      <c r="AI845" s="10"/>
      <c r="AJ845" s="12">
        <f t="shared" si="179"/>
        <v>0</v>
      </c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1:53" x14ac:dyDescent="0.25">
      <c r="A846" s="18"/>
      <c r="B846" s="10">
        <v>29</v>
      </c>
      <c r="C846" s="30"/>
      <c r="D846" s="31"/>
      <c r="E846" s="45"/>
      <c r="F846" s="31"/>
      <c r="G846" s="31"/>
      <c r="H846" s="32">
        <f t="shared" si="174"/>
        <v>0</v>
      </c>
      <c r="I846" s="10"/>
      <c r="J846" s="10"/>
      <c r="K846" s="10"/>
      <c r="L846" s="12">
        <f t="shared" si="175"/>
        <v>0</v>
      </c>
      <c r="N846" s="10">
        <v>29</v>
      </c>
      <c r="O846" s="30"/>
      <c r="P846" s="31"/>
      <c r="Q846" s="45"/>
      <c r="R846" s="31"/>
      <c r="S846" s="31"/>
      <c r="T846" s="32">
        <f t="shared" si="176"/>
        <v>0</v>
      </c>
      <c r="U846" s="10"/>
      <c r="V846" s="10"/>
      <c r="W846" s="10"/>
      <c r="X846" s="12">
        <f t="shared" si="177"/>
        <v>0</v>
      </c>
      <c r="Z846" s="10">
        <v>29</v>
      </c>
      <c r="AA846" s="30"/>
      <c r="AB846" s="31"/>
      <c r="AC846" s="45"/>
      <c r="AD846" s="31"/>
      <c r="AE846" s="31"/>
      <c r="AF846" s="32">
        <f t="shared" si="178"/>
        <v>0</v>
      </c>
      <c r="AG846" s="10"/>
      <c r="AH846" s="10"/>
      <c r="AI846" s="10"/>
      <c r="AJ846" s="12">
        <f t="shared" si="179"/>
        <v>0</v>
      </c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1:53" x14ac:dyDescent="0.25">
      <c r="A847" s="18"/>
      <c r="B847" s="10">
        <v>30</v>
      </c>
      <c r="C847" s="30"/>
      <c r="D847" s="31"/>
      <c r="E847" s="45"/>
      <c r="F847" s="31"/>
      <c r="G847" s="31"/>
      <c r="H847" s="32">
        <f t="shared" si="174"/>
        <v>0</v>
      </c>
      <c r="I847" s="10"/>
      <c r="J847" s="10"/>
      <c r="K847" s="10"/>
      <c r="L847" s="12">
        <f t="shared" si="175"/>
        <v>0</v>
      </c>
      <c r="N847" s="10">
        <v>30</v>
      </c>
      <c r="O847" s="30"/>
      <c r="P847" s="31"/>
      <c r="Q847" s="45"/>
      <c r="R847" s="31"/>
      <c r="S847" s="31"/>
      <c r="T847" s="32">
        <f t="shared" si="176"/>
        <v>0</v>
      </c>
      <c r="U847" s="10"/>
      <c r="V847" s="10"/>
      <c r="W847" s="10"/>
      <c r="X847" s="12">
        <f t="shared" si="177"/>
        <v>0</v>
      </c>
      <c r="Z847" s="10">
        <v>30</v>
      </c>
      <c r="AA847" s="30"/>
      <c r="AB847" s="31"/>
      <c r="AC847" s="45"/>
      <c r="AD847" s="31"/>
      <c r="AE847" s="31"/>
      <c r="AF847" s="32">
        <f t="shared" si="178"/>
        <v>0</v>
      </c>
      <c r="AG847" s="10"/>
      <c r="AH847" s="10"/>
      <c r="AI847" s="10"/>
      <c r="AJ847" s="12">
        <f t="shared" si="179"/>
        <v>0</v>
      </c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1:53" x14ac:dyDescent="0.25">
      <c r="A848" s="18"/>
      <c r="B848" s="10">
        <v>31</v>
      </c>
      <c r="C848" s="30"/>
      <c r="D848" s="31"/>
      <c r="E848" s="45"/>
      <c r="F848" s="31"/>
      <c r="G848" s="31"/>
      <c r="H848" s="32">
        <f t="shared" si="174"/>
        <v>0</v>
      </c>
      <c r="I848" s="10"/>
      <c r="J848" s="10"/>
      <c r="K848" s="10"/>
      <c r="L848" s="12">
        <f t="shared" si="175"/>
        <v>0</v>
      </c>
      <c r="N848" s="10">
        <v>31</v>
      </c>
      <c r="O848" s="30"/>
      <c r="P848" s="31"/>
      <c r="Q848" s="45"/>
      <c r="R848" s="31"/>
      <c r="S848" s="31"/>
      <c r="T848" s="32">
        <f t="shared" si="176"/>
        <v>0</v>
      </c>
      <c r="U848" s="10"/>
      <c r="V848" s="10"/>
      <c r="W848" s="10"/>
      <c r="X848" s="12">
        <f t="shared" si="177"/>
        <v>0</v>
      </c>
      <c r="Z848" s="10">
        <v>31</v>
      </c>
      <c r="AA848" s="30"/>
      <c r="AB848" s="31"/>
      <c r="AC848" s="45"/>
      <c r="AD848" s="31"/>
      <c r="AE848" s="31"/>
      <c r="AF848" s="32">
        <f t="shared" si="178"/>
        <v>0</v>
      </c>
      <c r="AG848" s="10"/>
      <c r="AH848" s="10"/>
      <c r="AI848" s="10"/>
      <c r="AJ848" s="12">
        <f t="shared" si="179"/>
        <v>0</v>
      </c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1:53" x14ac:dyDescent="0.25">
      <c r="A849" s="18"/>
      <c r="B849" s="10">
        <v>32</v>
      </c>
      <c r="C849" s="30"/>
      <c r="D849" s="31"/>
      <c r="E849" s="45"/>
      <c r="F849" s="31"/>
      <c r="G849" s="31"/>
      <c r="H849" s="32">
        <f t="shared" si="174"/>
        <v>0</v>
      </c>
      <c r="I849" s="10"/>
      <c r="J849" s="10"/>
      <c r="K849" s="10"/>
      <c r="L849" s="12">
        <f t="shared" si="175"/>
        <v>0</v>
      </c>
      <c r="N849" s="10">
        <v>32</v>
      </c>
      <c r="O849" s="30"/>
      <c r="P849" s="31"/>
      <c r="Q849" s="45"/>
      <c r="R849" s="31"/>
      <c r="S849" s="31"/>
      <c r="T849" s="32">
        <f t="shared" si="176"/>
        <v>0</v>
      </c>
      <c r="U849" s="10"/>
      <c r="V849" s="10"/>
      <c r="W849" s="10"/>
      <c r="X849" s="12">
        <f t="shared" si="177"/>
        <v>0</v>
      </c>
      <c r="Z849" s="10">
        <v>32</v>
      </c>
      <c r="AA849" s="30"/>
      <c r="AB849" s="31"/>
      <c r="AC849" s="45"/>
      <c r="AD849" s="31"/>
      <c r="AE849" s="31"/>
      <c r="AF849" s="32">
        <f t="shared" si="178"/>
        <v>0</v>
      </c>
      <c r="AG849" s="10"/>
      <c r="AH849" s="10"/>
      <c r="AI849" s="10"/>
      <c r="AJ849" s="12">
        <f t="shared" si="179"/>
        <v>0</v>
      </c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1:53" x14ac:dyDescent="0.25">
      <c r="A850" s="18"/>
      <c r="B850" s="10">
        <v>33</v>
      </c>
      <c r="C850" s="30"/>
      <c r="D850" s="31"/>
      <c r="E850" s="45"/>
      <c r="F850" s="31"/>
      <c r="G850" s="31"/>
      <c r="H850" s="32">
        <f t="shared" si="174"/>
        <v>0</v>
      </c>
      <c r="I850" s="10"/>
      <c r="J850" s="10"/>
      <c r="K850" s="10"/>
      <c r="L850" s="12">
        <f t="shared" si="175"/>
        <v>0</v>
      </c>
      <c r="N850" s="10">
        <v>33</v>
      </c>
      <c r="O850" s="30"/>
      <c r="P850" s="31"/>
      <c r="Q850" s="45"/>
      <c r="R850" s="31"/>
      <c r="S850" s="31"/>
      <c r="T850" s="32">
        <f t="shared" si="176"/>
        <v>0</v>
      </c>
      <c r="U850" s="10"/>
      <c r="V850" s="10"/>
      <c r="W850" s="10"/>
      <c r="X850" s="12">
        <f t="shared" si="177"/>
        <v>0</v>
      </c>
      <c r="Z850" s="10">
        <v>33</v>
      </c>
      <c r="AA850" s="30"/>
      <c r="AB850" s="31"/>
      <c r="AC850" s="45"/>
      <c r="AD850" s="31"/>
      <c r="AE850" s="31"/>
      <c r="AF850" s="32">
        <f t="shared" si="178"/>
        <v>0</v>
      </c>
      <c r="AG850" s="10"/>
      <c r="AH850" s="10"/>
      <c r="AI850" s="10"/>
      <c r="AJ850" s="12">
        <f t="shared" si="179"/>
        <v>0</v>
      </c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1:53" ht="15" customHeight="1" x14ac:dyDescent="0.25">
      <c r="A851" s="18"/>
      <c r="B851" s="10">
        <v>34</v>
      </c>
      <c r="C851" s="30"/>
      <c r="D851" s="31"/>
      <c r="E851" s="45"/>
      <c r="F851" s="31"/>
      <c r="G851" s="31"/>
      <c r="H851" s="32">
        <f t="shared" si="174"/>
        <v>0</v>
      </c>
      <c r="I851" s="10"/>
      <c r="J851" s="10"/>
      <c r="K851" s="10"/>
      <c r="L851" s="12">
        <f t="shared" si="175"/>
        <v>0</v>
      </c>
      <c r="N851" s="10">
        <v>34</v>
      </c>
      <c r="O851" s="30"/>
      <c r="P851" s="31"/>
      <c r="Q851" s="45"/>
      <c r="R851" s="31"/>
      <c r="S851" s="31"/>
      <c r="T851" s="32">
        <f t="shared" si="176"/>
        <v>0</v>
      </c>
      <c r="U851" s="10"/>
      <c r="V851" s="10"/>
      <c r="W851" s="10"/>
      <c r="X851" s="12">
        <f t="shared" si="177"/>
        <v>0</v>
      </c>
      <c r="Z851" s="10">
        <v>34</v>
      </c>
      <c r="AA851" s="30"/>
      <c r="AB851" s="31"/>
      <c r="AC851" s="45"/>
      <c r="AD851" s="31"/>
      <c r="AE851" s="31"/>
      <c r="AF851" s="32">
        <f t="shared" si="178"/>
        <v>0</v>
      </c>
      <c r="AG851" s="10"/>
      <c r="AH851" s="10"/>
      <c r="AI851" s="10"/>
      <c r="AJ851" s="12">
        <f t="shared" si="179"/>
        <v>0</v>
      </c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1:53" x14ac:dyDescent="0.25">
      <c r="A852" s="18"/>
      <c r="B852" s="10">
        <v>35</v>
      </c>
      <c r="C852" s="30"/>
      <c r="D852" s="31"/>
      <c r="E852" s="45"/>
      <c r="F852" s="31"/>
      <c r="G852" s="31"/>
      <c r="H852" s="32">
        <f t="shared" si="174"/>
        <v>0</v>
      </c>
      <c r="I852" s="10"/>
      <c r="J852" s="10"/>
      <c r="K852" s="10"/>
      <c r="L852" s="12">
        <f t="shared" si="175"/>
        <v>0</v>
      </c>
      <c r="N852" s="10">
        <v>35</v>
      </c>
      <c r="O852" s="30"/>
      <c r="P852" s="31"/>
      <c r="Q852" s="45"/>
      <c r="R852" s="31"/>
      <c r="S852" s="31"/>
      <c r="T852" s="32">
        <f t="shared" si="176"/>
        <v>0</v>
      </c>
      <c r="U852" s="10"/>
      <c r="V852" s="10"/>
      <c r="W852" s="10"/>
      <c r="X852" s="12">
        <f t="shared" si="177"/>
        <v>0</v>
      </c>
      <c r="Z852" s="10">
        <v>35</v>
      </c>
      <c r="AA852" s="30"/>
      <c r="AB852" s="31"/>
      <c r="AC852" s="45"/>
      <c r="AD852" s="31"/>
      <c r="AE852" s="31"/>
      <c r="AF852" s="32">
        <f t="shared" si="178"/>
        <v>0</v>
      </c>
      <c r="AG852" s="10"/>
      <c r="AH852" s="10"/>
      <c r="AI852" s="10"/>
      <c r="AJ852" s="12">
        <f t="shared" si="179"/>
        <v>0</v>
      </c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1:53" x14ac:dyDescent="0.25">
      <c r="A853" s="18"/>
      <c r="B853" s="10">
        <v>36</v>
      </c>
      <c r="C853" s="30"/>
      <c r="D853" s="31"/>
      <c r="E853" s="45"/>
      <c r="F853" s="31"/>
      <c r="G853" s="31"/>
      <c r="H853" s="32">
        <f t="shared" si="174"/>
        <v>0</v>
      </c>
      <c r="I853" s="10"/>
      <c r="J853" s="10"/>
      <c r="K853" s="10"/>
      <c r="L853" s="12">
        <f t="shared" si="175"/>
        <v>0</v>
      </c>
      <c r="N853" s="10">
        <v>36</v>
      </c>
      <c r="O853" s="30"/>
      <c r="P853" s="31"/>
      <c r="Q853" s="45"/>
      <c r="R853" s="31"/>
      <c r="S853" s="31"/>
      <c r="T853" s="32">
        <f t="shared" si="176"/>
        <v>0</v>
      </c>
      <c r="U853" s="10"/>
      <c r="V853" s="10"/>
      <c r="W853" s="10"/>
      <c r="X853" s="12">
        <f t="shared" si="177"/>
        <v>0</v>
      </c>
      <c r="Z853" s="10">
        <v>36</v>
      </c>
      <c r="AA853" s="30"/>
      <c r="AB853" s="31"/>
      <c r="AC853" s="45"/>
      <c r="AD853" s="31"/>
      <c r="AE853" s="31"/>
      <c r="AF853" s="32">
        <f t="shared" si="178"/>
        <v>0</v>
      </c>
      <c r="AG853" s="10"/>
      <c r="AH853" s="10"/>
      <c r="AI853" s="10"/>
      <c r="AJ853" s="12">
        <f t="shared" si="179"/>
        <v>0</v>
      </c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1:53" x14ac:dyDescent="0.25">
      <c r="A854" s="18"/>
      <c r="B854" s="10">
        <v>37</v>
      </c>
      <c r="C854" s="30"/>
      <c r="D854"/>
      <c r="E854" s="45"/>
      <c r="F854" s="31"/>
      <c r="G854" s="31"/>
      <c r="H854" s="32">
        <f t="shared" si="174"/>
        <v>0</v>
      </c>
      <c r="I854" s="10"/>
      <c r="J854" s="10"/>
      <c r="K854" s="10"/>
      <c r="L854" s="12">
        <f t="shared" si="175"/>
        <v>0</v>
      </c>
      <c r="N854" s="10">
        <v>37</v>
      </c>
      <c r="O854" s="30"/>
      <c r="Q854" s="45"/>
      <c r="R854" s="31"/>
      <c r="S854" s="31"/>
      <c r="T854" s="32">
        <f t="shared" si="176"/>
        <v>0</v>
      </c>
      <c r="U854" s="10"/>
      <c r="V854" s="10"/>
      <c r="W854" s="10"/>
      <c r="X854" s="12">
        <f t="shared" si="177"/>
        <v>0</v>
      </c>
      <c r="Z854" s="10">
        <v>37</v>
      </c>
      <c r="AA854" s="30"/>
      <c r="AB854" s="31"/>
      <c r="AC854" s="45"/>
      <c r="AD854" s="31"/>
      <c r="AE854" s="31"/>
      <c r="AF854" s="32">
        <f t="shared" si="178"/>
        <v>0</v>
      </c>
      <c r="AG854" s="10"/>
      <c r="AH854" s="10"/>
      <c r="AI854" s="10"/>
      <c r="AJ854" s="12">
        <f t="shared" si="179"/>
        <v>0</v>
      </c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1:53" x14ac:dyDescent="0.25">
      <c r="A855" s="18"/>
      <c r="B855" s="10">
        <v>38</v>
      </c>
      <c r="C855" s="30"/>
      <c r="D855" s="31"/>
      <c r="E855" s="45"/>
      <c r="F855" s="31"/>
      <c r="G855" s="31"/>
      <c r="H855" s="32">
        <f t="shared" si="174"/>
        <v>0</v>
      </c>
      <c r="I855" s="10"/>
      <c r="J855" s="10"/>
      <c r="K855" s="10"/>
      <c r="L855" s="12">
        <f t="shared" si="175"/>
        <v>0</v>
      </c>
      <c r="N855" s="10">
        <v>38</v>
      </c>
      <c r="O855" s="30"/>
      <c r="P855" s="31"/>
      <c r="Q855" s="45"/>
      <c r="R855" s="31"/>
      <c r="S855" s="31"/>
      <c r="T855" s="32">
        <f t="shared" si="176"/>
        <v>0</v>
      </c>
      <c r="U855" s="10"/>
      <c r="V855" s="10"/>
      <c r="W855" s="10"/>
      <c r="X855" s="12">
        <f t="shared" si="177"/>
        <v>0</v>
      </c>
      <c r="Z855" s="10">
        <v>38</v>
      </c>
      <c r="AA855" s="30"/>
      <c r="AB855" s="31"/>
      <c r="AC855" s="45"/>
      <c r="AD855" s="31"/>
      <c r="AE855" s="31"/>
      <c r="AF855" s="32">
        <f t="shared" si="178"/>
        <v>0</v>
      </c>
      <c r="AG855" s="10"/>
      <c r="AH855" s="10"/>
      <c r="AI855" s="10"/>
      <c r="AJ855" s="12">
        <f t="shared" si="179"/>
        <v>0</v>
      </c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1:53" x14ac:dyDescent="0.25">
      <c r="A856" s="18"/>
      <c r="B856" s="10">
        <v>39</v>
      </c>
      <c r="C856" s="30"/>
      <c r="D856" s="31"/>
      <c r="E856" s="45"/>
      <c r="F856" s="31"/>
      <c r="G856" s="31"/>
      <c r="H856" s="32">
        <f t="shared" si="174"/>
        <v>0</v>
      </c>
      <c r="I856" s="10"/>
      <c r="J856" s="10"/>
      <c r="K856" s="10"/>
      <c r="L856" s="12">
        <f t="shared" si="175"/>
        <v>0</v>
      </c>
      <c r="N856" s="10">
        <v>39</v>
      </c>
      <c r="O856" s="30"/>
      <c r="P856" s="31"/>
      <c r="Q856" s="45"/>
      <c r="R856" s="31"/>
      <c r="S856" s="31"/>
      <c r="T856" s="32">
        <f t="shared" si="176"/>
        <v>0</v>
      </c>
      <c r="U856" s="10"/>
      <c r="V856" s="10"/>
      <c r="W856" s="10"/>
      <c r="X856" s="12">
        <f t="shared" si="177"/>
        <v>0</v>
      </c>
      <c r="Z856" s="10">
        <v>39</v>
      </c>
      <c r="AA856" s="30"/>
      <c r="AB856" s="31"/>
      <c r="AC856" s="45"/>
      <c r="AD856" s="31"/>
      <c r="AE856" s="31"/>
      <c r="AF856" s="32">
        <f t="shared" si="178"/>
        <v>0</v>
      </c>
      <c r="AG856" s="10"/>
      <c r="AH856" s="10"/>
      <c r="AI856" s="10"/>
      <c r="AJ856" s="12">
        <f t="shared" si="179"/>
        <v>0</v>
      </c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1:53" x14ac:dyDescent="0.25">
      <c r="A857" s="18"/>
      <c r="B857" s="10"/>
      <c r="C857" s="30"/>
      <c r="D857"/>
      <c r="E857" s="45"/>
      <c r="F857" s="31"/>
      <c r="G857" s="31"/>
      <c r="H857" s="32"/>
      <c r="I857" s="10"/>
      <c r="J857" s="10"/>
      <c r="K857" s="10"/>
      <c r="L857" s="12">
        <f t="shared" si="175"/>
        <v>0</v>
      </c>
      <c r="N857" s="10"/>
      <c r="O857" s="30"/>
      <c r="Q857" s="45"/>
      <c r="R857" s="31"/>
      <c r="S857" s="31"/>
      <c r="T857" s="32"/>
      <c r="U857" s="10"/>
      <c r="V857" s="10"/>
      <c r="W857" s="10"/>
      <c r="X857" s="12">
        <f t="shared" si="177"/>
        <v>0</v>
      </c>
      <c r="Z857" s="10"/>
      <c r="AA857" s="30"/>
      <c r="AC857" s="45"/>
      <c r="AD857" s="31"/>
      <c r="AE857" s="31"/>
      <c r="AF857" s="32"/>
      <c r="AG857" s="10"/>
      <c r="AH857" s="10"/>
      <c r="AI857" s="10"/>
      <c r="AJ857" s="12">
        <f t="shared" si="179"/>
        <v>0</v>
      </c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1:53" x14ac:dyDescent="0.25">
      <c r="A858" s="18"/>
      <c r="B858" s="10"/>
      <c r="C858" s="30"/>
      <c r="D858" s="31"/>
      <c r="E858" s="45"/>
      <c r="F858" s="31"/>
      <c r="G858" s="31"/>
      <c r="H858" s="32">
        <f t="shared" ref="H858" si="183">SUM(E858:F858)</f>
        <v>0</v>
      </c>
      <c r="I858" s="10"/>
      <c r="J858" s="10"/>
      <c r="K858" s="10"/>
      <c r="L858" s="12">
        <f t="shared" si="175"/>
        <v>0</v>
      </c>
      <c r="N858" s="10"/>
      <c r="O858" s="30"/>
      <c r="P858" s="31"/>
      <c r="Q858" s="45"/>
      <c r="R858" s="31"/>
      <c r="S858" s="31"/>
      <c r="T858" s="32">
        <f t="shared" ref="T858" si="184">SUM(Q858:R858)</f>
        <v>0</v>
      </c>
      <c r="U858" s="10"/>
      <c r="V858" s="10"/>
      <c r="W858" s="10"/>
      <c r="X858" s="12">
        <f t="shared" si="177"/>
        <v>0</v>
      </c>
      <c r="Z858" s="10"/>
      <c r="AA858" s="30"/>
      <c r="AB858" s="31"/>
      <c r="AC858" s="45"/>
      <c r="AD858" s="31"/>
      <c r="AE858" s="31"/>
      <c r="AF858" s="32">
        <f t="shared" ref="AF858" si="185">SUM(AC858:AD858)</f>
        <v>0</v>
      </c>
      <c r="AG858" s="10"/>
      <c r="AH858" s="10"/>
      <c r="AI858" s="10"/>
      <c r="AJ858" s="12">
        <f t="shared" si="179"/>
        <v>0</v>
      </c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1:53" x14ac:dyDescent="0.25">
      <c r="A859" s="18"/>
      <c r="B859" s="10"/>
      <c r="C859" s="31"/>
      <c r="D859" s="31"/>
      <c r="E859" s="31"/>
      <c r="F859" s="31"/>
      <c r="G859" s="31"/>
      <c r="H859" s="31"/>
      <c r="I859" s="10"/>
      <c r="J859" s="10"/>
      <c r="K859" s="10"/>
      <c r="L859" s="12">
        <f t="shared" si="175"/>
        <v>0</v>
      </c>
      <c r="N859" s="10"/>
      <c r="O859" s="31"/>
      <c r="P859" s="31"/>
      <c r="Q859" s="31"/>
      <c r="R859" s="31"/>
      <c r="S859" s="31"/>
      <c r="T859" s="31"/>
      <c r="U859" s="10"/>
      <c r="V859" s="10"/>
      <c r="W859" s="10"/>
      <c r="X859" s="12">
        <f t="shared" si="177"/>
        <v>0</v>
      </c>
      <c r="Z859" s="10"/>
      <c r="AA859" s="31"/>
      <c r="AB859" s="31"/>
      <c r="AC859" s="31"/>
      <c r="AD859" s="31"/>
      <c r="AE859" s="31"/>
      <c r="AF859" s="31"/>
      <c r="AG859" s="10"/>
      <c r="AH859" s="10"/>
      <c r="AI859" s="10"/>
      <c r="AJ859" s="12">
        <f t="shared" si="179"/>
        <v>0</v>
      </c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1:53" x14ac:dyDescent="0.25">
      <c r="A860" s="18"/>
      <c r="C860" s="55"/>
      <c r="D860" s="55"/>
      <c r="E860" s="36"/>
      <c r="F860" s="36"/>
      <c r="G860" s="36"/>
      <c r="H860" s="36"/>
      <c r="I860" s="37"/>
      <c r="J860" s="37"/>
      <c r="K860" s="37"/>
      <c r="L860" s="37"/>
      <c r="O860" s="55"/>
      <c r="P860" s="55"/>
      <c r="Q860" s="36"/>
      <c r="R860" s="36"/>
      <c r="S860" s="36"/>
      <c r="T860" s="36"/>
      <c r="U860" s="37"/>
      <c r="V860" s="37"/>
      <c r="W860" s="37"/>
      <c r="X860" s="37"/>
      <c r="AA860" s="55"/>
      <c r="AB860" s="55"/>
      <c r="AC860" s="36"/>
      <c r="AD860" s="36"/>
      <c r="AE860" s="36"/>
      <c r="AF860" s="36"/>
      <c r="AG860" s="37"/>
      <c r="AH860" s="37"/>
      <c r="AI860" s="37"/>
      <c r="AJ860" s="37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1:53" x14ac:dyDescent="0.25">
      <c r="A861" s="18"/>
      <c r="C861" s="55"/>
      <c r="D861" s="55"/>
      <c r="E861" s="38">
        <f>SUM(E818:E860)</f>
        <v>345321</v>
      </c>
      <c r="F861" s="38">
        <f>SUM(F818:F842)</f>
        <v>0</v>
      </c>
      <c r="G861" s="38">
        <f>SUM(G818:G842)</f>
        <v>0</v>
      </c>
      <c r="H861" s="38">
        <f>SUM(H818:H860)</f>
        <v>345321</v>
      </c>
      <c r="I861" s="4"/>
      <c r="J861" s="39">
        <f>SUM(J818:J860)</f>
        <v>264</v>
      </c>
      <c r="K861" s="39">
        <f>SUM(K818:K842)</f>
        <v>0</v>
      </c>
      <c r="L861" s="40">
        <f>SUM(L818:L860)</f>
        <v>345585</v>
      </c>
      <c r="O861" s="55"/>
      <c r="P861" s="55"/>
      <c r="Q861" s="38">
        <f>SUM(Q818:Q860)</f>
        <v>217295.5</v>
      </c>
      <c r="R861" s="38">
        <f>SUM(R818:R842)</f>
        <v>-1944</v>
      </c>
      <c r="S861" s="38">
        <f>SUM(S818:S842)</f>
        <v>0</v>
      </c>
      <c r="T861" s="38">
        <f>SUM(T818:T860)</f>
        <v>215351.5</v>
      </c>
      <c r="U861" s="4"/>
      <c r="V861" s="39">
        <f>SUM(V818:V860)</f>
        <v>378</v>
      </c>
      <c r="W861" s="39">
        <f>SUM(W818:W842)</f>
        <v>-501</v>
      </c>
      <c r="X861" s="40">
        <f>SUM(X818:X860)</f>
        <v>215228.5</v>
      </c>
      <c r="AA861" s="55"/>
      <c r="AB861" s="55"/>
      <c r="AC861" s="38">
        <f>SUM(AC818:AC860)</f>
        <v>259381</v>
      </c>
      <c r="AD861" s="38">
        <f>SUM(AD818:AD842)</f>
        <v>-1656</v>
      </c>
      <c r="AE861" s="38">
        <f>SUM(AE818:AE842)</f>
        <v>0</v>
      </c>
      <c r="AF861" s="38">
        <f>SUM(AF818:AF860)</f>
        <v>257725</v>
      </c>
      <c r="AG861" s="4"/>
      <c r="AH861" s="39">
        <f>SUM(AH818:AH860)</f>
        <v>2988</v>
      </c>
      <c r="AI861" s="39">
        <f>SUM(AI818:AI842)</f>
        <v>-999</v>
      </c>
      <c r="AJ861" s="40">
        <f>SUM(AJ818:AJ860)</f>
        <v>259714</v>
      </c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1:5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1:53" x14ac:dyDescent="0.25">
      <c r="A863" s="18"/>
      <c r="B863" t="s">
        <v>0</v>
      </c>
      <c r="C863" s="55"/>
      <c r="D863" s="55"/>
      <c r="E863" s="55"/>
      <c r="F863" s="55"/>
      <c r="H863" s="55"/>
      <c r="N863" t="s">
        <v>0</v>
      </c>
      <c r="O863" s="55"/>
      <c r="P863" s="55"/>
      <c r="Q863" s="55"/>
      <c r="R863" s="55"/>
      <c r="S863" s="55"/>
      <c r="T863" s="55"/>
      <c r="Z863" t="s">
        <v>0</v>
      </c>
      <c r="AA863" s="55"/>
      <c r="AB863" s="55"/>
      <c r="AC863" s="55"/>
      <c r="AD863" s="55"/>
      <c r="AE863" s="55"/>
      <c r="AF863" s="55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1:53" x14ac:dyDescent="0.25">
      <c r="A864" s="18"/>
      <c r="B864" t="s">
        <v>28</v>
      </c>
      <c r="C864" s="55"/>
      <c r="D864" s="55"/>
      <c r="E864" s="55"/>
      <c r="F864" s="55"/>
      <c r="H864" s="55"/>
      <c r="N864" t="s">
        <v>28</v>
      </c>
      <c r="O864" s="55"/>
      <c r="P864" s="55"/>
      <c r="Q864" s="55"/>
      <c r="R864" s="55"/>
      <c r="S864" s="55"/>
      <c r="T864" s="55"/>
      <c r="Z864" t="s">
        <v>28</v>
      </c>
      <c r="AA864" s="55"/>
      <c r="AB864" s="55"/>
      <c r="AC864" s="55"/>
      <c r="AD864" s="55"/>
      <c r="AE864" s="55"/>
      <c r="AF864" s="55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1:53" x14ac:dyDescent="0.25">
      <c r="A865" s="18"/>
      <c r="C865" s="55"/>
      <c r="D865" s="55"/>
      <c r="E865" s="55"/>
      <c r="F865" s="55"/>
      <c r="H865" s="55"/>
      <c r="O865" s="55"/>
      <c r="P865" s="55"/>
      <c r="Q865" s="55"/>
      <c r="R865" s="55"/>
      <c r="S865" s="55"/>
      <c r="T865" s="55"/>
      <c r="AA865" s="55"/>
      <c r="AB865" s="55"/>
      <c r="AC865" s="55"/>
      <c r="AD865" s="55"/>
      <c r="AE865" s="55"/>
      <c r="AF865" s="55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1:53" x14ac:dyDescent="0.25">
      <c r="A866" s="18"/>
      <c r="B866" s="4" t="s">
        <v>14</v>
      </c>
      <c r="C866" s="55"/>
      <c r="D866" s="55"/>
      <c r="E866" s="55"/>
      <c r="F866" s="55"/>
      <c r="H866" s="55"/>
      <c r="N866" s="4" t="s">
        <v>14</v>
      </c>
      <c r="O866" s="55"/>
      <c r="P866" s="55"/>
      <c r="Q866" s="55"/>
      <c r="R866" s="55"/>
      <c r="S866" s="55"/>
      <c r="T866" s="55"/>
      <c r="Z866" s="4" t="s">
        <v>14</v>
      </c>
      <c r="AA866" s="55"/>
      <c r="AB866" s="55"/>
      <c r="AC866" s="55"/>
      <c r="AD866" s="55"/>
      <c r="AE866" s="55"/>
      <c r="AF866" s="55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1:53" x14ac:dyDescent="0.25">
      <c r="A867" s="18"/>
      <c r="C867" s="55"/>
      <c r="D867" s="55"/>
      <c r="E867" s="55"/>
      <c r="F867" s="55"/>
      <c r="H867" s="55"/>
      <c r="O867" s="55"/>
      <c r="P867" s="55"/>
      <c r="Q867" s="55"/>
      <c r="R867" s="55"/>
      <c r="S867" s="55"/>
      <c r="T867" s="55"/>
      <c r="AA867" s="55"/>
      <c r="AB867" s="55"/>
      <c r="AC867" s="55"/>
      <c r="AD867" s="55"/>
      <c r="AE867" s="55"/>
      <c r="AF867" s="55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1:53" ht="15.75" x14ac:dyDescent="0.25">
      <c r="A868" s="18"/>
      <c r="B868" t="s">
        <v>50</v>
      </c>
      <c r="C868" s="55"/>
      <c r="D868" s="55"/>
      <c r="E868" s="55"/>
      <c r="F868" s="55"/>
      <c r="H868" s="55"/>
      <c r="J868" s="55" t="s">
        <v>15</v>
      </c>
      <c r="K868" s="19">
        <v>1</v>
      </c>
      <c r="N868" t="s">
        <v>50</v>
      </c>
      <c r="O868" s="55"/>
      <c r="P868" s="55"/>
      <c r="Q868" s="55"/>
      <c r="R868" s="55"/>
      <c r="S868" s="55"/>
      <c r="T868" s="55"/>
      <c r="V868" s="55" t="s">
        <v>15</v>
      </c>
      <c r="W868" s="19">
        <v>2</v>
      </c>
      <c r="Z868" t="s">
        <v>50</v>
      </c>
      <c r="AA868" s="55"/>
      <c r="AB868" s="55"/>
      <c r="AC868" s="55"/>
      <c r="AD868" s="55"/>
      <c r="AE868" s="55"/>
      <c r="AF868" s="55"/>
      <c r="AH868" s="55" t="s">
        <v>15</v>
      </c>
      <c r="AI868" s="20">
        <v>3</v>
      </c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1:53" x14ac:dyDescent="0.25">
      <c r="A869" s="18"/>
      <c r="B869" s="21" t="s">
        <v>84</v>
      </c>
      <c r="C869" s="20"/>
      <c r="D869" s="55"/>
      <c r="E869" s="55"/>
      <c r="F869" s="55"/>
      <c r="H869" s="55"/>
      <c r="J869" s="22" t="s">
        <v>16</v>
      </c>
      <c r="K869" s="23" t="s">
        <v>35</v>
      </c>
      <c r="L869" s="24"/>
      <c r="N869" s="21" t="s">
        <v>84</v>
      </c>
      <c r="O869" s="20"/>
      <c r="P869" s="55"/>
      <c r="Q869" s="55"/>
      <c r="R869" s="55"/>
      <c r="S869" s="55"/>
      <c r="T869" s="55"/>
      <c r="V869" s="22" t="s">
        <v>16</v>
      </c>
      <c r="W869" s="23" t="s">
        <v>82</v>
      </c>
      <c r="X869" s="24"/>
      <c r="Z869" s="21" t="s">
        <v>84</v>
      </c>
      <c r="AA869" s="20"/>
      <c r="AB869" s="55"/>
      <c r="AC869" s="55"/>
      <c r="AD869" s="55"/>
      <c r="AE869" s="55"/>
      <c r="AF869" s="55"/>
      <c r="AH869" s="22" t="s">
        <v>16</v>
      </c>
      <c r="AI869" s="23" t="s">
        <v>41</v>
      </c>
      <c r="AJ869" s="24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1:53" x14ac:dyDescent="0.25">
      <c r="A870" s="18"/>
      <c r="C870" s="55"/>
      <c r="D870" s="55"/>
      <c r="E870" s="55"/>
      <c r="F870" s="55"/>
      <c r="H870" s="55"/>
      <c r="O870" s="55"/>
      <c r="P870" s="55"/>
      <c r="Q870" s="55"/>
      <c r="R870" s="55"/>
      <c r="S870" s="55"/>
      <c r="T870" s="55"/>
      <c r="AA870" s="55"/>
      <c r="AB870" s="55"/>
      <c r="AC870" s="55"/>
      <c r="AD870" s="55"/>
      <c r="AE870" s="55"/>
      <c r="AF870" s="55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1:53" x14ac:dyDescent="0.25">
      <c r="A871" s="18"/>
      <c r="C871" s="25"/>
      <c r="D871" s="26"/>
      <c r="E871" s="117" t="s">
        <v>17</v>
      </c>
      <c r="F871" s="117"/>
      <c r="G871" s="108"/>
      <c r="H871" s="27"/>
      <c r="J871" s="113" t="s">
        <v>18</v>
      </c>
      <c r="K871" s="114"/>
      <c r="L871" s="115" t="s">
        <v>19</v>
      </c>
      <c r="O871" s="25"/>
      <c r="P871" s="26"/>
      <c r="Q871" s="117" t="s">
        <v>17</v>
      </c>
      <c r="R871" s="117"/>
      <c r="S871" s="108"/>
      <c r="T871" s="27"/>
      <c r="V871" s="113" t="s">
        <v>18</v>
      </c>
      <c r="W871" s="114"/>
      <c r="X871" s="115" t="s">
        <v>19</v>
      </c>
      <c r="AA871" s="25"/>
      <c r="AB871" s="26"/>
      <c r="AC871" s="117" t="s">
        <v>17</v>
      </c>
      <c r="AD871" s="117"/>
      <c r="AE871" s="108"/>
      <c r="AF871" s="27"/>
      <c r="AH871" s="113" t="s">
        <v>18</v>
      </c>
      <c r="AI871" s="114"/>
      <c r="AJ871" s="115" t="s">
        <v>19</v>
      </c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1:53" ht="30" x14ac:dyDescent="0.25">
      <c r="A872" s="18"/>
      <c r="C872" s="28" t="s">
        <v>20</v>
      </c>
      <c r="D872" s="28" t="s">
        <v>21</v>
      </c>
      <c r="E872" s="74" t="s">
        <v>22</v>
      </c>
      <c r="F872" s="75" t="s">
        <v>23</v>
      </c>
      <c r="G872" s="75" t="s">
        <v>31</v>
      </c>
      <c r="H872" s="75" t="s">
        <v>24</v>
      </c>
      <c r="J872" s="29" t="s">
        <v>25</v>
      </c>
      <c r="K872" s="29" t="s">
        <v>26</v>
      </c>
      <c r="L872" s="116"/>
      <c r="O872" s="28" t="s">
        <v>20</v>
      </c>
      <c r="P872" s="28" t="s">
        <v>21</v>
      </c>
      <c r="Q872" s="74" t="s">
        <v>22</v>
      </c>
      <c r="R872" s="75" t="s">
        <v>23</v>
      </c>
      <c r="S872" s="75" t="s">
        <v>31</v>
      </c>
      <c r="T872" s="75" t="s">
        <v>24</v>
      </c>
      <c r="V872" s="29" t="s">
        <v>25</v>
      </c>
      <c r="W872" s="29" t="s">
        <v>26</v>
      </c>
      <c r="X872" s="116"/>
      <c r="AA872" s="28" t="s">
        <v>20</v>
      </c>
      <c r="AB872" s="28" t="s">
        <v>21</v>
      </c>
      <c r="AC872" s="74" t="s">
        <v>22</v>
      </c>
      <c r="AD872" s="75" t="s">
        <v>23</v>
      </c>
      <c r="AE872" s="75" t="s">
        <v>31</v>
      </c>
      <c r="AF872" s="75" t="s">
        <v>24</v>
      </c>
      <c r="AH872" s="29" t="s">
        <v>25</v>
      </c>
      <c r="AI872" s="29" t="s">
        <v>26</v>
      </c>
      <c r="AJ872" s="116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1:53" x14ac:dyDescent="0.25">
      <c r="A873" s="18"/>
      <c r="B873" s="10">
        <v>1</v>
      </c>
      <c r="C873" s="30" t="s">
        <v>85</v>
      </c>
      <c r="D873" s="80">
        <v>11945</v>
      </c>
      <c r="E873" s="32">
        <f>650*127+670*5+973+622*3+912+1050+872*2+229*10+500+700*3</f>
        <v>97335</v>
      </c>
      <c r="F873" s="32"/>
      <c r="G873" s="32"/>
      <c r="H873" s="32">
        <f>SUM(E873:F873)</f>
        <v>97335</v>
      </c>
      <c r="I873" s="12"/>
      <c r="J873" s="12">
        <f>1.5*48+4.5*102+4.5*6</f>
        <v>558</v>
      </c>
      <c r="K873" s="12"/>
      <c r="L873" s="12">
        <f>SUM(H873:K873)</f>
        <v>97893</v>
      </c>
      <c r="N873" s="10">
        <v>1</v>
      </c>
      <c r="O873" s="30" t="s">
        <v>85</v>
      </c>
      <c r="P873" s="80">
        <v>11961</v>
      </c>
      <c r="Q873" s="32">
        <f>650*7</f>
        <v>4550</v>
      </c>
      <c r="R873" s="32"/>
      <c r="S873" s="32"/>
      <c r="T873" s="32">
        <f>SUM(Q873:R873)</f>
        <v>4550</v>
      </c>
      <c r="U873" s="12"/>
      <c r="V873" s="12"/>
      <c r="W873" s="12"/>
      <c r="X873" s="12">
        <f>SUM(T873:W873)</f>
        <v>4550</v>
      </c>
      <c r="Z873" s="10">
        <v>1</v>
      </c>
      <c r="AA873" s="30" t="s">
        <v>85</v>
      </c>
      <c r="AB873" s="31">
        <v>11898</v>
      </c>
      <c r="AC873" s="32">
        <f>650*108+229*4</f>
        <v>71116</v>
      </c>
      <c r="AD873" s="32">
        <f>-108*6</f>
        <v>-648</v>
      </c>
      <c r="AE873" s="32"/>
      <c r="AF873" s="32">
        <f>SUM(AC873:AD873)</f>
        <v>70468</v>
      </c>
      <c r="AG873" s="12"/>
      <c r="AH873" s="12">
        <f>1.5*36</f>
        <v>54</v>
      </c>
      <c r="AI873" s="12">
        <f>-120+-84*13</f>
        <v>-1212</v>
      </c>
      <c r="AJ873" s="12">
        <f>SUM(AF873:AI873)</f>
        <v>69310</v>
      </c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1:53" x14ac:dyDescent="0.25">
      <c r="A874" s="18"/>
      <c r="B874" s="10">
        <v>2</v>
      </c>
      <c r="C874" s="30" t="s">
        <v>85</v>
      </c>
      <c r="D874" s="80">
        <f>D873+1</f>
        <v>11946</v>
      </c>
      <c r="E874" s="32">
        <f>650*264+670*20+1582+622*25+912*10+1050+872*10+872*2+500*2+1582+700*10</f>
        <v>232348</v>
      </c>
      <c r="F874" s="32"/>
      <c r="G874" s="32"/>
      <c r="H874" s="32">
        <f t="shared" ref="H874:H911" si="186">SUM(E874:F874)</f>
        <v>232348</v>
      </c>
      <c r="I874" s="12"/>
      <c r="J874" s="12">
        <f>120*27+111*319</f>
        <v>38649</v>
      </c>
      <c r="K874" s="12">
        <f>-111*44+-84*259</f>
        <v>-26640</v>
      </c>
      <c r="L874" s="12">
        <f t="shared" ref="L874:L914" si="187">SUM(H874:K874)</f>
        <v>244357</v>
      </c>
      <c r="N874" s="10">
        <v>2</v>
      </c>
      <c r="O874" s="30" t="s">
        <v>85</v>
      </c>
      <c r="P874" s="80">
        <f>P873+1</f>
        <v>11962</v>
      </c>
      <c r="Q874" s="32">
        <f>650*60+670*5+622*20+912*2+872*2+229*3</f>
        <v>59045</v>
      </c>
      <c r="R874" s="32">
        <f>-89*6</f>
        <v>-534</v>
      </c>
      <c r="S874" s="32"/>
      <c r="T874" s="32">
        <f t="shared" ref="T874:T911" si="188">SUM(Q874:R874)</f>
        <v>58511</v>
      </c>
      <c r="U874" s="12"/>
      <c r="V874" s="12">
        <f>1.5*48</f>
        <v>72</v>
      </c>
      <c r="W874" s="12"/>
      <c r="X874" s="12">
        <f t="shared" ref="X874:X914" si="189">SUM(T874:W874)</f>
        <v>58583</v>
      </c>
      <c r="Z874" s="10">
        <v>2</v>
      </c>
      <c r="AA874" s="30" t="s">
        <v>85</v>
      </c>
      <c r="AB874" s="31">
        <f>AB873+1</f>
        <v>11899</v>
      </c>
      <c r="AC874" s="32">
        <f>650+622*2</f>
        <v>1894</v>
      </c>
      <c r="AD874" s="32"/>
      <c r="AE874" s="32"/>
      <c r="AF874" s="32">
        <f t="shared" ref="AF874:AF911" si="190">SUM(AC874:AD874)</f>
        <v>1894</v>
      </c>
      <c r="AG874" s="12"/>
      <c r="AH874" s="12"/>
      <c r="AI874" s="12"/>
      <c r="AJ874" s="12">
        <f t="shared" ref="AJ874:AJ914" si="191">SUM(AF874:AI874)</f>
        <v>1894</v>
      </c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1:53" x14ac:dyDescent="0.25">
      <c r="A875" s="18"/>
      <c r="B875" s="10">
        <v>3</v>
      </c>
      <c r="C875" s="30" t="s">
        <v>85</v>
      </c>
      <c r="D875" s="80">
        <f t="shared" ref="D875:D883" si="192">D874+1</f>
        <v>11947</v>
      </c>
      <c r="E875" s="33">
        <f>1667+650*9+650*10+650*10</f>
        <v>20517</v>
      </c>
      <c r="F875" s="33"/>
      <c r="G875" s="32"/>
      <c r="H875" s="32">
        <f t="shared" si="186"/>
        <v>20517</v>
      </c>
      <c r="I875" s="12"/>
      <c r="J875" s="34"/>
      <c r="K875" s="34"/>
      <c r="L875" s="12">
        <f t="shared" si="187"/>
        <v>20517</v>
      </c>
      <c r="N875" s="10">
        <v>3</v>
      </c>
      <c r="O875" s="30" t="s">
        <v>85</v>
      </c>
      <c r="P875" s="80">
        <f t="shared" ref="P875:P878" si="193">P874+1</f>
        <v>11963</v>
      </c>
      <c r="Q875" s="33">
        <f>650*2+9.5*2</f>
        <v>1319</v>
      </c>
      <c r="R875" s="33"/>
      <c r="S875" s="32"/>
      <c r="T875" s="32">
        <f t="shared" si="188"/>
        <v>1319</v>
      </c>
      <c r="U875" s="12"/>
      <c r="V875" s="34"/>
      <c r="W875" s="34"/>
      <c r="X875" s="12">
        <f t="shared" si="189"/>
        <v>1319</v>
      </c>
      <c r="Z875" s="10">
        <v>3</v>
      </c>
      <c r="AA875" s="30" t="s">
        <v>85</v>
      </c>
      <c r="AB875" s="31">
        <f t="shared" ref="AB875:AB877" si="194">AB874+1</f>
        <v>11900</v>
      </c>
      <c r="AC875" s="33">
        <f>650*356+670*44+973*2+622*108+1050*2+872*2+229*15</f>
        <v>337281</v>
      </c>
      <c r="AD875" s="33">
        <f>-514*6</f>
        <v>-3084</v>
      </c>
      <c r="AE875" s="32"/>
      <c r="AF875" s="32">
        <f t="shared" si="190"/>
        <v>334197</v>
      </c>
      <c r="AG875" s="12"/>
      <c r="AH875" s="12"/>
      <c r="AI875" s="12"/>
      <c r="AJ875" s="12">
        <f t="shared" si="191"/>
        <v>334197</v>
      </c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1:53" x14ac:dyDescent="0.25">
      <c r="A876" s="18"/>
      <c r="B876" s="10">
        <v>4</v>
      </c>
      <c r="C876" s="30" t="s">
        <v>85</v>
      </c>
      <c r="D876" s="80">
        <f t="shared" si="192"/>
        <v>11948</v>
      </c>
      <c r="E876" s="32">
        <f>650*43+670*2+622*2</f>
        <v>30534</v>
      </c>
      <c r="F876" s="32"/>
      <c r="G876" s="32"/>
      <c r="H876" s="32">
        <f t="shared" si="186"/>
        <v>30534</v>
      </c>
      <c r="I876" s="12"/>
      <c r="J876" s="12"/>
      <c r="K876" s="12"/>
      <c r="L876" s="12">
        <f t="shared" si="187"/>
        <v>30534</v>
      </c>
      <c r="N876" s="10">
        <v>4</v>
      </c>
      <c r="O876" s="30" t="s">
        <v>85</v>
      </c>
      <c r="P876" s="80">
        <f t="shared" si="193"/>
        <v>11964</v>
      </c>
      <c r="Q876" s="32">
        <f>650*2+670+9.5*2</f>
        <v>1989</v>
      </c>
      <c r="R876" s="32"/>
      <c r="S876" s="32"/>
      <c r="T876" s="32">
        <f t="shared" si="188"/>
        <v>1989</v>
      </c>
      <c r="U876" s="12"/>
      <c r="V876" s="12"/>
      <c r="W876" s="12">
        <f>-111*2</f>
        <v>-222</v>
      </c>
      <c r="X876" s="12">
        <f t="shared" si="189"/>
        <v>1767</v>
      </c>
      <c r="Z876" s="10">
        <v>4</v>
      </c>
      <c r="AA876" s="30"/>
      <c r="AB876" s="11" t="s">
        <v>27</v>
      </c>
      <c r="AC876" s="32"/>
      <c r="AD876" s="32"/>
      <c r="AE876" s="32"/>
      <c r="AF876" s="32">
        <f t="shared" si="190"/>
        <v>0</v>
      </c>
      <c r="AG876" s="12"/>
      <c r="AI876" s="12"/>
      <c r="AJ876" s="12">
        <f t="shared" si="191"/>
        <v>0</v>
      </c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1:53" x14ac:dyDescent="0.25">
      <c r="A877" s="18"/>
      <c r="B877" s="10">
        <v>5</v>
      </c>
      <c r="C877" s="30" t="s">
        <v>85</v>
      </c>
      <c r="D877" s="80">
        <f t="shared" si="192"/>
        <v>11949</v>
      </c>
      <c r="E877" s="32">
        <f>650*198+622*18+229*2</f>
        <v>140354</v>
      </c>
      <c r="F877" s="32">
        <f>-216*6</f>
        <v>-1296</v>
      </c>
      <c r="G877" s="32"/>
      <c r="H877" s="32">
        <f t="shared" si="186"/>
        <v>139058</v>
      </c>
      <c r="I877" s="12"/>
      <c r="J877" s="12"/>
      <c r="K877" s="12"/>
      <c r="L877" s="12">
        <f t="shared" si="187"/>
        <v>139058</v>
      </c>
      <c r="N877" s="10">
        <v>5</v>
      </c>
      <c r="O877" s="30" t="s">
        <v>85</v>
      </c>
      <c r="P877" s="80">
        <f t="shared" si="193"/>
        <v>11965</v>
      </c>
      <c r="Q877" s="32">
        <f>622</f>
        <v>622</v>
      </c>
      <c r="R877" s="32"/>
      <c r="S877" s="32"/>
      <c r="T877" s="32">
        <f t="shared" si="188"/>
        <v>622</v>
      </c>
      <c r="U877" s="12"/>
      <c r="V877" s="12"/>
      <c r="W877" s="12"/>
      <c r="X877" s="12">
        <f t="shared" si="189"/>
        <v>622</v>
      </c>
      <c r="Z877" s="10">
        <v>5</v>
      </c>
      <c r="AA877" s="30"/>
      <c r="AB877" s="31"/>
      <c r="AC877" s="32"/>
      <c r="AD877" s="32"/>
      <c r="AE877" s="32"/>
      <c r="AF877" s="32">
        <f t="shared" si="190"/>
        <v>0</v>
      </c>
      <c r="AG877" s="12"/>
      <c r="AH877" s="12"/>
      <c r="AI877" s="12"/>
      <c r="AJ877" s="12">
        <f t="shared" si="191"/>
        <v>0</v>
      </c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1:53" x14ac:dyDescent="0.25">
      <c r="A878" s="18"/>
      <c r="B878" s="10">
        <v>6</v>
      </c>
      <c r="C878" s="30" t="s">
        <v>85</v>
      </c>
      <c r="D878" s="80">
        <f t="shared" si="192"/>
        <v>11950</v>
      </c>
      <c r="E878" s="32">
        <f>650*71</f>
        <v>46150</v>
      </c>
      <c r="F878" s="32"/>
      <c r="G878" s="32"/>
      <c r="H878" s="32">
        <f t="shared" si="186"/>
        <v>46150</v>
      </c>
      <c r="I878" s="12"/>
      <c r="J878" s="12"/>
      <c r="K878" s="10">
        <f>-111*33</f>
        <v>-3663</v>
      </c>
      <c r="L878" s="12">
        <f t="shared" si="187"/>
        <v>42487</v>
      </c>
      <c r="N878" s="10">
        <v>6</v>
      </c>
      <c r="O878" s="30"/>
      <c r="P878" s="11" t="s">
        <v>27</v>
      </c>
      <c r="Q878" s="32"/>
      <c r="R878" s="32"/>
      <c r="S878" s="32"/>
      <c r="T878" s="32">
        <f t="shared" si="188"/>
        <v>0</v>
      </c>
      <c r="U878" s="12"/>
      <c r="V878" s="12"/>
      <c r="W878" s="10"/>
      <c r="X878" s="12">
        <f t="shared" si="189"/>
        <v>0</v>
      </c>
      <c r="Z878" s="10">
        <v>6</v>
      </c>
      <c r="AA878" s="30"/>
      <c r="AC878" s="32"/>
      <c r="AD878" s="32"/>
      <c r="AE878" s="32"/>
      <c r="AF878" s="32">
        <f t="shared" si="190"/>
        <v>0</v>
      </c>
      <c r="AG878" s="12"/>
      <c r="AH878" s="12"/>
      <c r="AI878" s="10"/>
      <c r="AJ878" s="12">
        <f t="shared" si="191"/>
        <v>0</v>
      </c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1:53" x14ac:dyDescent="0.25">
      <c r="A879" s="18"/>
      <c r="B879" s="10">
        <v>7</v>
      </c>
      <c r="C879" s="30"/>
      <c r="D879" s="11" t="s">
        <v>27</v>
      </c>
      <c r="E879" s="32"/>
      <c r="F879" s="32"/>
      <c r="G879" s="32"/>
      <c r="H879" s="32">
        <f t="shared" si="186"/>
        <v>0</v>
      </c>
      <c r="I879" s="12"/>
      <c r="J879" s="12"/>
      <c r="K879" s="12"/>
      <c r="L879" s="12">
        <f t="shared" si="187"/>
        <v>0</v>
      </c>
      <c r="N879" s="10">
        <v>7</v>
      </c>
      <c r="O879" s="30"/>
      <c r="Q879" s="32"/>
      <c r="R879" s="32"/>
      <c r="S879" s="32"/>
      <c r="T879" s="32">
        <f t="shared" si="188"/>
        <v>0</v>
      </c>
      <c r="U879" s="12"/>
      <c r="V879" s="12"/>
      <c r="W879" s="12"/>
      <c r="X879" s="12">
        <f t="shared" si="189"/>
        <v>0</v>
      </c>
      <c r="Z879" s="10">
        <v>7</v>
      </c>
      <c r="AA879" s="30"/>
      <c r="AC879" s="32"/>
      <c r="AD879" s="32"/>
      <c r="AE879" s="32"/>
      <c r="AF879" s="32">
        <f t="shared" si="190"/>
        <v>0</v>
      </c>
      <c r="AG879" s="12"/>
      <c r="AH879" s="56"/>
      <c r="AI879" s="12"/>
      <c r="AJ879" s="12">
        <f t="shared" si="191"/>
        <v>0</v>
      </c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1:53" x14ac:dyDescent="0.25">
      <c r="A880" s="18"/>
      <c r="B880" s="10">
        <v>8</v>
      </c>
      <c r="C880" s="30"/>
      <c r="D880" s="80"/>
      <c r="E880" s="32"/>
      <c r="F880" s="32"/>
      <c r="G880" s="32"/>
      <c r="H880" s="32">
        <f t="shared" si="186"/>
        <v>0</v>
      </c>
      <c r="I880" s="12"/>
      <c r="J880" s="12"/>
      <c r="K880" s="12"/>
      <c r="L880" s="12">
        <f t="shared" si="187"/>
        <v>0</v>
      </c>
      <c r="N880" s="10">
        <v>8</v>
      </c>
      <c r="O880" s="30"/>
      <c r="P880" s="80"/>
      <c r="Q880" s="32"/>
      <c r="R880" s="32"/>
      <c r="S880" s="32"/>
      <c r="T880" s="32">
        <f t="shared" si="188"/>
        <v>0</v>
      </c>
      <c r="U880" s="12"/>
      <c r="V880" s="12"/>
      <c r="W880" s="12"/>
      <c r="X880" s="12">
        <f t="shared" si="189"/>
        <v>0</v>
      </c>
      <c r="Z880" s="10">
        <v>8</v>
      </c>
      <c r="AA880" s="30"/>
      <c r="AB880" s="31"/>
      <c r="AC880" s="32"/>
      <c r="AD880" s="32"/>
      <c r="AF880" s="32">
        <f t="shared" si="190"/>
        <v>0</v>
      </c>
      <c r="AG880" s="12"/>
      <c r="AH880" s="12"/>
      <c r="AI880" s="12"/>
      <c r="AJ880" s="12">
        <f t="shared" si="191"/>
        <v>0</v>
      </c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1:53" x14ac:dyDescent="0.25">
      <c r="A881" s="18"/>
      <c r="B881" s="10">
        <v>9</v>
      </c>
      <c r="C881" s="30"/>
      <c r="D881" s="80"/>
      <c r="E881" s="32"/>
      <c r="F881" s="32"/>
      <c r="G881" s="32"/>
      <c r="H881" s="32">
        <f t="shared" si="186"/>
        <v>0</v>
      </c>
      <c r="I881" s="12"/>
      <c r="J881" s="12"/>
      <c r="K881" s="12"/>
      <c r="L881" s="12">
        <f t="shared" si="187"/>
        <v>0</v>
      </c>
      <c r="N881" s="10">
        <v>9</v>
      </c>
      <c r="O881" s="30"/>
      <c r="P881" s="80"/>
      <c r="Q881" s="32"/>
      <c r="R881" s="32"/>
      <c r="S881" s="32"/>
      <c r="T881" s="32">
        <f t="shared" si="188"/>
        <v>0</v>
      </c>
      <c r="U881" s="12"/>
      <c r="V881" s="12"/>
      <c r="W881" s="12"/>
      <c r="X881" s="12">
        <f t="shared" si="189"/>
        <v>0</v>
      </c>
      <c r="Z881" s="10">
        <v>9</v>
      </c>
      <c r="AA881" s="30"/>
      <c r="AC881" s="32"/>
      <c r="AD881" s="32"/>
      <c r="AE881" s="32"/>
      <c r="AF881" s="32">
        <f t="shared" si="190"/>
        <v>0</v>
      </c>
      <c r="AG881" s="12"/>
      <c r="AI881" s="12"/>
      <c r="AJ881" s="12">
        <f t="shared" si="191"/>
        <v>0</v>
      </c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1:53" x14ac:dyDescent="0.25">
      <c r="A882" s="18"/>
      <c r="B882" s="10">
        <v>10</v>
      </c>
      <c r="C882" s="30"/>
      <c r="D882" s="80"/>
      <c r="E882" s="32"/>
      <c r="F882" s="32"/>
      <c r="G882" s="32"/>
      <c r="H882" s="32">
        <f t="shared" si="186"/>
        <v>0</v>
      </c>
      <c r="I882" s="12"/>
      <c r="J882" s="12"/>
      <c r="K882" s="12"/>
      <c r="L882" s="12">
        <f t="shared" si="187"/>
        <v>0</v>
      </c>
      <c r="N882" s="10">
        <v>10</v>
      </c>
      <c r="O882" s="30"/>
      <c r="P882" s="80"/>
      <c r="Q882" s="32"/>
      <c r="R882" s="32"/>
      <c r="S882" s="32"/>
      <c r="T882" s="32">
        <f t="shared" si="188"/>
        <v>0</v>
      </c>
      <c r="U882" s="12"/>
      <c r="V882" s="12"/>
      <c r="W882" s="12"/>
      <c r="X882" s="12">
        <f t="shared" si="189"/>
        <v>0</v>
      </c>
      <c r="Z882" s="10">
        <v>10</v>
      </c>
      <c r="AA882" s="30"/>
      <c r="AB882" s="31"/>
      <c r="AC882" s="32"/>
      <c r="AD882" s="32"/>
      <c r="AE882" s="32"/>
      <c r="AF882" s="32">
        <f t="shared" si="190"/>
        <v>0</v>
      </c>
      <c r="AG882" s="12"/>
      <c r="AH882" s="12"/>
      <c r="AI882" s="12"/>
      <c r="AJ882" s="12">
        <f t="shared" si="191"/>
        <v>0</v>
      </c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1:53" x14ac:dyDescent="0.25">
      <c r="A883" s="18"/>
      <c r="B883" s="10">
        <v>11</v>
      </c>
      <c r="C883" s="30"/>
      <c r="D883" s="80"/>
      <c r="E883" s="32"/>
      <c r="F883" s="32"/>
      <c r="G883" s="32"/>
      <c r="H883" s="32">
        <f t="shared" si="186"/>
        <v>0</v>
      </c>
      <c r="I883" s="12"/>
      <c r="J883" s="12"/>
      <c r="K883" s="12"/>
      <c r="L883" s="12">
        <f t="shared" si="187"/>
        <v>0</v>
      </c>
      <c r="N883" s="10">
        <v>11</v>
      </c>
      <c r="O883" s="30"/>
      <c r="P883" s="80"/>
      <c r="Q883" s="32"/>
      <c r="R883" s="32"/>
      <c r="S883" s="32"/>
      <c r="T883" s="32">
        <f t="shared" si="188"/>
        <v>0</v>
      </c>
      <c r="U883" s="12"/>
      <c r="V883" s="12"/>
      <c r="W883" s="12"/>
      <c r="X883" s="12">
        <f t="shared" si="189"/>
        <v>0</v>
      </c>
      <c r="Z883" s="10">
        <v>11</v>
      </c>
      <c r="AA883" s="30"/>
      <c r="AB883" s="31"/>
      <c r="AC883" s="32"/>
      <c r="AD883" s="32"/>
      <c r="AE883" s="32"/>
      <c r="AF883" s="32">
        <f t="shared" si="190"/>
        <v>0</v>
      </c>
      <c r="AG883" s="12"/>
      <c r="AH883" s="12"/>
      <c r="AI883" s="12"/>
      <c r="AJ883" s="12">
        <f t="shared" si="191"/>
        <v>0</v>
      </c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1:53" x14ac:dyDescent="0.25">
      <c r="A884" s="18"/>
      <c r="B884" s="10">
        <v>12</v>
      </c>
      <c r="C884" s="30"/>
      <c r="E884" s="32"/>
      <c r="F884" s="32"/>
      <c r="G884" s="32"/>
      <c r="H884" s="32">
        <f t="shared" si="186"/>
        <v>0</v>
      </c>
      <c r="I884" s="12"/>
      <c r="J884" s="12"/>
      <c r="K884" s="12"/>
      <c r="L884" s="12">
        <f t="shared" si="187"/>
        <v>0</v>
      </c>
      <c r="N884" s="10">
        <v>12</v>
      </c>
      <c r="O884" s="30"/>
      <c r="P884" s="80"/>
      <c r="Q884" s="32"/>
      <c r="R884" s="32"/>
      <c r="S884" s="32"/>
      <c r="T884" s="32">
        <f t="shared" si="188"/>
        <v>0</v>
      </c>
      <c r="U884" s="12"/>
      <c r="V884" s="12"/>
      <c r="W884" s="12"/>
      <c r="X884" s="12">
        <f t="shared" si="189"/>
        <v>0</v>
      </c>
      <c r="Z884" s="10">
        <v>12</v>
      </c>
      <c r="AA884" s="30"/>
      <c r="AB884" s="31"/>
      <c r="AC884" s="32"/>
      <c r="AD884" s="32"/>
      <c r="AE884" s="32"/>
      <c r="AF884" s="32">
        <f t="shared" si="190"/>
        <v>0</v>
      </c>
      <c r="AG884" s="12"/>
      <c r="AH884" s="12"/>
      <c r="AI884" s="12"/>
      <c r="AJ884" s="12">
        <f t="shared" si="191"/>
        <v>0</v>
      </c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1:53" x14ac:dyDescent="0.25">
      <c r="A885" s="18"/>
      <c r="B885" s="10">
        <v>13</v>
      </c>
      <c r="C885" s="30"/>
      <c r="D885" s="80"/>
      <c r="E885" s="32"/>
      <c r="F885" s="32"/>
      <c r="G885" s="32"/>
      <c r="H885" s="32">
        <f t="shared" si="186"/>
        <v>0</v>
      </c>
      <c r="I885" s="12"/>
      <c r="J885" s="12"/>
      <c r="K885" s="12"/>
      <c r="L885" s="12">
        <f t="shared" si="187"/>
        <v>0</v>
      </c>
      <c r="N885" s="10">
        <v>13</v>
      </c>
      <c r="O885" s="30"/>
      <c r="P885" s="80"/>
      <c r="Q885" s="32"/>
      <c r="R885" s="32"/>
      <c r="S885" s="32"/>
      <c r="T885" s="32">
        <f t="shared" si="188"/>
        <v>0</v>
      </c>
      <c r="U885" s="12"/>
      <c r="V885" s="12"/>
      <c r="W885" s="12"/>
      <c r="X885" s="12">
        <f t="shared" si="189"/>
        <v>0</v>
      </c>
      <c r="Z885" s="10">
        <v>13</v>
      </c>
      <c r="AA885" s="30"/>
      <c r="AB885" s="31"/>
      <c r="AC885" s="32"/>
      <c r="AD885" s="32"/>
      <c r="AE885" s="32"/>
      <c r="AF885" s="32">
        <f t="shared" si="190"/>
        <v>0</v>
      </c>
      <c r="AG885" s="12"/>
      <c r="AH885" s="12"/>
      <c r="AI885" s="12"/>
      <c r="AJ885" s="12">
        <f t="shared" si="191"/>
        <v>0</v>
      </c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1:53" x14ac:dyDescent="0.25">
      <c r="A886" s="18"/>
      <c r="B886" s="10">
        <v>14</v>
      </c>
      <c r="C886" s="30"/>
      <c r="D886" s="80"/>
      <c r="E886" s="32"/>
      <c r="F886" s="32"/>
      <c r="G886" s="32"/>
      <c r="H886" s="32">
        <f t="shared" si="186"/>
        <v>0</v>
      </c>
      <c r="I886" s="12"/>
      <c r="J886" s="12"/>
      <c r="K886" s="12"/>
      <c r="L886" s="12">
        <f t="shared" si="187"/>
        <v>0</v>
      </c>
      <c r="N886" s="10">
        <v>14</v>
      </c>
      <c r="O886" s="30"/>
      <c r="P886" s="80"/>
      <c r="Q886" s="32"/>
      <c r="R886" s="32"/>
      <c r="S886" s="32"/>
      <c r="T886" s="32">
        <f t="shared" si="188"/>
        <v>0</v>
      </c>
      <c r="U886" s="12"/>
      <c r="V886" s="12"/>
      <c r="W886" s="12"/>
      <c r="X886" s="12">
        <f t="shared" si="189"/>
        <v>0</v>
      </c>
      <c r="Z886" s="10">
        <v>14</v>
      </c>
      <c r="AA886" s="30"/>
      <c r="AB886" s="31"/>
      <c r="AC886" s="32"/>
      <c r="AD886" s="32"/>
      <c r="AE886" s="32"/>
      <c r="AF886" s="32">
        <f t="shared" si="190"/>
        <v>0</v>
      </c>
      <c r="AG886" s="12"/>
      <c r="AH886" s="12"/>
      <c r="AI886" s="12"/>
      <c r="AJ886" s="12">
        <f t="shared" si="191"/>
        <v>0</v>
      </c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1:53" x14ac:dyDescent="0.25">
      <c r="A887" s="18"/>
      <c r="B887" s="10">
        <v>15</v>
      </c>
      <c r="C887" s="30"/>
      <c r="D887" s="80"/>
      <c r="E887" s="32"/>
      <c r="F887" s="32"/>
      <c r="G887" s="32"/>
      <c r="H887" s="32">
        <f t="shared" si="186"/>
        <v>0</v>
      </c>
      <c r="I887" s="12"/>
      <c r="J887" s="12"/>
      <c r="K887" s="12"/>
      <c r="L887" s="12">
        <f t="shared" si="187"/>
        <v>0</v>
      </c>
      <c r="N887" s="10">
        <v>15</v>
      </c>
      <c r="O887" s="30"/>
      <c r="P887" s="80"/>
      <c r="Q887" s="32"/>
      <c r="R887" s="32"/>
      <c r="S887" s="32"/>
      <c r="T887" s="32">
        <f t="shared" si="188"/>
        <v>0</v>
      </c>
      <c r="U887" s="12"/>
      <c r="V887" s="12"/>
      <c r="W887" s="12"/>
      <c r="X887" s="12">
        <f t="shared" si="189"/>
        <v>0</v>
      </c>
      <c r="Z887" s="10">
        <v>15</v>
      </c>
      <c r="AA887" s="30"/>
      <c r="AB887" s="31"/>
      <c r="AC887" s="32"/>
      <c r="AD887" s="32"/>
      <c r="AE887" s="32"/>
      <c r="AF887" s="32">
        <f t="shared" si="190"/>
        <v>0</v>
      </c>
      <c r="AG887" s="12"/>
      <c r="AH887" s="12"/>
      <c r="AI887" s="12"/>
      <c r="AJ887" s="12">
        <f t="shared" si="191"/>
        <v>0</v>
      </c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1:53" x14ac:dyDescent="0.25">
      <c r="A888" s="18"/>
      <c r="B888" s="10">
        <v>16</v>
      </c>
      <c r="C888" s="30"/>
      <c r="D888" s="11"/>
      <c r="E888" s="32"/>
      <c r="F888" s="32"/>
      <c r="G888" s="32"/>
      <c r="H888" s="32">
        <f t="shared" si="186"/>
        <v>0</v>
      </c>
      <c r="I888" s="12"/>
      <c r="J888" s="12"/>
      <c r="K888" s="12"/>
      <c r="L888" s="12">
        <f t="shared" si="187"/>
        <v>0</v>
      </c>
      <c r="N888" s="10">
        <v>16</v>
      </c>
      <c r="O888" s="30"/>
      <c r="Q888" s="32"/>
      <c r="R888" s="32"/>
      <c r="S888" s="32"/>
      <c r="T888" s="32">
        <f t="shared" si="188"/>
        <v>0</v>
      </c>
      <c r="U888" s="12"/>
      <c r="V888" s="12"/>
      <c r="W888" s="12"/>
      <c r="X888" s="12">
        <f t="shared" si="189"/>
        <v>0</v>
      </c>
      <c r="Z888" s="10">
        <v>16</v>
      </c>
      <c r="AA888" s="30"/>
      <c r="AB888" s="11"/>
      <c r="AC888" s="32"/>
      <c r="AD888" s="32"/>
      <c r="AE888" s="32"/>
      <c r="AF888" s="32">
        <f t="shared" si="190"/>
        <v>0</v>
      </c>
      <c r="AG888" s="12"/>
      <c r="AH888" s="12"/>
      <c r="AI888" s="12"/>
      <c r="AJ888" s="12">
        <f t="shared" si="191"/>
        <v>0</v>
      </c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1:53" x14ac:dyDescent="0.25">
      <c r="A889" s="18"/>
      <c r="B889" s="10">
        <v>17</v>
      </c>
      <c r="C889" s="30"/>
      <c r="D889" s="31"/>
      <c r="E889" s="35"/>
      <c r="F889" s="32"/>
      <c r="G889" s="32"/>
      <c r="H889" s="32">
        <f t="shared" si="186"/>
        <v>0</v>
      </c>
      <c r="I889" s="12"/>
      <c r="J889" s="12"/>
      <c r="K889" s="12"/>
      <c r="L889" s="12">
        <f t="shared" si="187"/>
        <v>0</v>
      </c>
      <c r="N889" s="10">
        <v>17</v>
      </c>
      <c r="O889" s="30"/>
      <c r="Q889" s="35"/>
      <c r="R889" s="32"/>
      <c r="S889" s="32"/>
      <c r="T889" s="32">
        <f t="shared" si="188"/>
        <v>0</v>
      </c>
      <c r="U889" s="12"/>
      <c r="V889" s="12"/>
      <c r="W889" s="12"/>
      <c r="X889" s="12">
        <f t="shared" si="189"/>
        <v>0</v>
      </c>
      <c r="Z889" s="10">
        <v>17</v>
      </c>
      <c r="AA889" s="30"/>
      <c r="AB889" s="31"/>
      <c r="AC889" s="35"/>
      <c r="AD889" s="32"/>
      <c r="AE889" s="32"/>
      <c r="AF889" s="32">
        <f t="shared" si="190"/>
        <v>0</v>
      </c>
      <c r="AG889" s="12"/>
      <c r="AH889" s="12"/>
      <c r="AI889" s="12"/>
      <c r="AJ889" s="12">
        <f t="shared" si="191"/>
        <v>0</v>
      </c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1:53" x14ac:dyDescent="0.25">
      <c r="A890" s="18"/>
      <c r="B890" s="10">
        <v>18</v>
      </c>
      <c r="C890" s="30"/>
      <c r="D890" s="31"/>
      <c r="E890" s="32"/>
      <c r="F890" s="32"/>
      <c r="G890" s="32"/>
      <c r="H890" s="32">
        <f t="shared" si="186"/>
        <v>0</v>
      </c>
      <c r="I890" s="12"/>
      <c r="J890" s="12"/>
      <c r="K890" s="12"/>
      <c r="L890" s="12">
        <f t="shared" si="187"/>
        <v>0</v>
      </c>
      <c r="N890" s="10">
        <v>18</v>
      </c>
      <c r="O890" s="30"/>
      <c r="P890" s="80"/>
      <c r="Q890" s="32"/>
      <c r="R890" s="32"/>
      <c r="S890" s="32"/>
      <c r="T890" s="32">
        <f t="shared" si="188"/>
        <v>0</v>
      </c>
      <c r="U890" s="12"/>
      <c r="V890" s="12"/>
      <c r="W890" s="12"/>
      <c r="X890" s="12">
        <f t="shared" si="189"/>
        <v>0</v>
      </c>
      <c r="Z890" s="10">
        <v>18</v>
      </c>
      <c r="AA890" s="30"/>
      <c r="AB890" s="31"/>
      <c r="AC890" s="32"/>
      <c r="AD890" s="32"/>
      <c r="AE890" s="32"/>
      <c r="AF890" s="32">
        <f t="shared" si="190"/>
        <v>0</v>
      </c>
      <c r="AG890" s="12"/>
      <c r="AH890" s="12"/>
      <c r="AI890" s="12"/>
      <c r="AJ890" s="12">
        <f t="shared" si="191"/>
        <v>0</v>
      </c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1:53" x14ac:dyDescent="0.25">
      <c r="A891" s="18"/>
      <c r="B891" s="10">
        <v>19</v>
      </c>
      <c r="C891" s="30"/>
      <c r="D891" s="31"/>
      <c r="E891" s="32"/>
      <c r="F891" s="32"/>
      <c r="G891" s="32"/>
      <c r="H891" s="32">
        <f t="shared" si="186"/>
        <v>0</v>
      </c>
      <c r="I891" s="12"/>
      <c r="J891" s="12"/>
      <c r="K891" s="12"/>
      <c r="L891" s="12">
        <f t="shared" si="187"/>
        <v>0</v>
      </c>
      <c r="N891" s="10">
        <v>19</v>
      </c>
      <c r="O891" s="30"/>
      <c r="P891" s="80"/>
      <c r="Q891" s="32"/>
      <c r="R891" s="32"/>
      <c r="S891" s="32"/>
      <c r="T891" s="32">
        <f t="shared" si="188"/>
        <v>0</v>
      </c>
      <c r="U891" s="12"/>
      <c r="V891" s="12"/>
      <c r="W891" s="12"/>
      <c r="X891" s="12">
        <f t="shared" si="189"/>
        <v>0</v>
      </c>
      <c r="Z891" s="10">
        <v>19</v>
      </c>
      <c r="AA891" s="30"/>
      <c r="AB891" s="11"/>
      <c r="AC891" s="32"/>
      <c r="AD891" s="32"/>
      <c r="AE891" s="32"/>
      <c r="AF891" s="32">
        <f t="shared" si="190"/>
        <v>0</v>
      </c>
      <c r="AG891" s="12"/>
      <c r="AH891" s="12"/>
      <c r="AI891" s="12"/>
      <c r="AJ891" s="12">
        <f t="shared" si="191"/>
        <v>0</v>
      </c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1:53" x14ac:dyDescent="0.25">
      <c r="A892" s="18"/>
      <c r="B892" s="10">
        <v>20</v>
      </c>
      <c r="C892" s="30"/>
      <c r="D892" s="31"/>
      <c r="E892" s="32"/>
      <c r="F892" s="32"/>
      <c r="G892" s="32"/>
      <c r="H892" s="32">
        <f t="shared" si="186"/>
        <v>0</v>
      </c>
      <c r="I892" s="12"/>
      <c r="J892" s="12"/>
      <c r="K892" s="12"/>
      <c r="L892" s="12">
        <f t="shared" si="187"/>
        <v>0</v>
      </c>
      <c r="N892" s="10">
        <v>20</v>
      </c>
      <c r="O892" s="30"/>
      <c r="P892" s="80"/>
      <c r="Q892" s="32"/>
      <c r="R892" s="32"/>
      <c r="S892" s="32"/>
      <c r="T892" s="32">
        <f t="shared" si="188"/>
        <v>0</v>
      </c>
      <c r="U892" s="12"/>
      <c r="V892" s="12"/>
      <c r="W892" s="12"/>
      <c r="X892" s="12">
        <f t="shared" si="189"/>
        <v>0</v>
      </c>
      <c r="Z892" s="10">
        <v>20</v>
      </c>
      <c r="AA892" s="30"/>
      <c r="AB892" s="31"/>
      <c r="AC892" s="32"/>
      <c r="AD892" s="32"/>
      <c r="AE892" s="32"/>
      <c r="AF892" s="32">
        <f t="shared" si="190"/>
        <v>0</v>
      </c>
      <c r="AG892" s="12"/>
      <c r="AH892" s="12"/>
      <c r="AI892" s="12"/>
      <c r="AJ892" s="12">
        <f t="shared" si="191"/>
        <v>0</v>
      </c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1:53" x14ac:dyDescent="0.25">
      <c r="A893" s="18"/>
      <c r="B893" s="10">
        <v>21</v>
      </c>
      <c r="C893" s="30"/>
      <c r="D893" s="31"/>
      <c r="E893" s="44"/>
      <c r="F893" s="31"/>
      <c r="G893" s="31"/>
      <c r="H893" s="32">
        <f t="shared" si="186"/>
        <v>0</v>
      </c>
      <c r="I893" s="10"/>
      <c r="J893" s="10"/>
      <c r="K893" s="10"/>
      <c r="L893" s="12">
        <f t="shared" si="187"/>
        <v>0</v>
      </c>
      <c r="N893" s="10">
        <v>21</v>
      </c>
      <c r="O893" s="30"/>
      <c r="P893" s="11"/>
      <c r="Q893" s="44"/>
      <c r="R893" s="31"/>
      <c r="S893" s="31"/>
      <c r="T893" s="32">
        <f t="shared" si="188"/>
        <v>0</v>
      </c>
      <c r="U893" s="10"/>
      <c r="V893" s="10"/>
      <c r="W893" s="10"/>
      <c r="X893" s="12">
        <f t="shared" si="189"/>
        <v>0</v>
      </c>
      <c r="Z893" s="10">
        <v>21</v>
      </c>
      <c r="AA893" s="30"/>
      <c r="AB893" s="11"/>
      <c r="AC893" s="44"/>
      <c r="AD893" s="31"/>
      <c r="AE893" s="31"/>
      <c r="AF893" s="32">
        <f t="shared" si="190"/>
        <v>0</v>
      </c>
      <c r="AG893" s="10"/>
      <c r="AH893" s="10"/>
      <c r="AI893" s="10"/>
      <c r="AJ893" s="12">
        <f t="shared" si="191"/>
        <v>0</v>
      </c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1:53" x14ac:dyDescent="0.25">
      <c r="A894" s="18"/>
      <c r="B894" s="10">
        <v>22</v>
      </c>
      <c r="C894" s="30"/>
      <c r="D894" s="31"/>
      <c r="E894" s="43"/>
      <c r="F894" s="31"/>
      <c r="G894" s="31"/>
      <c r="H894" s="32">
        <f t="shared" si="186"/>
        <v>0</v>
      </c>
      <c r="I894" s="10"/>
      <c r="J894" s="10"/>
      <c r="K894" s="10"/>
      <c r="L894" s="12">
        <f t="shared" si="187"/>
        <v>0</v>
      </c>
      <c r="N894" s="10">
        <v>22</v>
      </c>
      <c r="O894" s="30"/>
      <c r="P894" s="31"/>
      <c r="Q894" s="43"/>
      <c r="R894" s="31"/>
      <c r="S894" s="31"/>
      <c r="T894" s="32">
        <f t="shared" si="188"/>
        <v>0</v>
      </c>
      <c r="U894" s="10"/>
      <c r="V894" s="10"/>
      <c r="W894" s="10"/>
      <c r="X894" s="12">
        <f t="shared" si="189"/>
        <v>0</v>
      </c>
      <c r="Z894" s="10">
        <v>22</v>
      </c>
      <c r="AA894" s="30"/>
      <c r="AB894" s="31"/>
      <c r="AC894" s="43"/>
      <c r="AD894" s="31"/>
      <c r="AE894" s="31"/>
      <c r="AF894" s="32">
        <f t="shared" si="190"/>
        <v>0</v>
      </c>
      <c r="AG894" s="10"/>
      <c r="AH894" s="10"/>
      <c r="AI894" s="10"/>
      <c r="AJ894" s="12">
        <f t="shared" si="191"/>
        <v>0</v>
      </c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1:53" x14ac:dyDescent="0.25">
      <c r="A895" s="18"/>
      <c r="B895" s="10">
        <v>23</v>
      </c>
      <c r="C895" s="30"/>
      <c r="D895" s="31"/>
      <c r="E895" s="45"/>
      <c r="F895" s="31"/>
      <c r="G895"/>
      <c r="H895" s="32">
        <f t="shared" si="186"/>
        <v>0</v>
      </c>
      <c r="I895" s="10"/>
      <c r="J895" s="10"/>
      <c r="K895" s="10"/>
      <c r="L895" s="12">
        <f t="shared" si="187"/>
        <v>0</v>
      </c>
      <c r="N895" s="10">
        <v>23</v>
      </c>
      <c r="O895" s="30"/>
      <c r="P895" s="31"/>
      <c r="Q895" s="45"/>
      <c r="T895" s="32">
        <f t="shared" si="188"/>
        <v>0</v>
      </c>
      <c r="U895" s="10"/>
      <c r="V895" s="10"/>
      <c r="W895" s="10"/>
      <c r="X895" s="12">
        <f t="shared" si="189"/>
        <v>0</v>
      </c>
      <c r="Z895" s="10">
        <v>23</v>
      </c>
      <c r="AA895" s="30"/>
      <c r="AB895" s="31"/>
      <c r="AC895" s="45"/>
      <c r="AD895" s="31"/>
      <c r="AF895" s="32">
        <f t="shared" si="190"/>
        <v>0</v>
      </c>
      <c r="AG895" s="10"/>
      <c r="AH895" s="10"/>
      <c r="AI895" s="10"/>
      <c r="AJ895" s="12">
        <f t="shared" si="191"/>
        <v>0</v>
      </c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1:53" x14ac:dyDescent="0.25">
      <c r="A896" s="18"/>
      <c r="B896" s="10">
        <v>24</v>
      </c>
      <c r="C896" s="30"/>
      <c r="D896" s="31"/>
      <c r="E896" s="45"/>
      <c r="F896" s="31"/>
      <c r="G896" s="31"/>
      <c r="H896" s="32">
        <f t="shared" si="186"/>
        <v>0</v>
      </c>
      <c r="I896" s="10"/>
      <c r="J896" s="10"/>
      <c r="K896" s="10"/>
      <c r="L896" s="12">
        <f t="shared" si="187"/>
        <v>0</v>
      </c>
      <c r="N896" s="10">
        <v>24</v>
      </c>
      <c r="O896" s="30"/>
      <c r="P896" s="31"/>
      <c r="Q896" s="45"/>
      <c r="R896" s="31"/>
      <c r="S896" s="31"/>
      <c r="T896" s="32">
        <f t="shared" si="188"/>
        <v>0</v>
      </c>
      <c r="U896" s="10"/>
      <c r="V896" s="10"/>
      <c r="W896" s="10"/>
      <c r="X896" s="12">
        <f t="shared" si="189"/>
        <v>0</v>
      </c>
      <c r="Z896" s="10">
        <v>24</v>
      </c>
      <c r="AA896" s="30"/>
      <c r="AB896" s="31"/>
      <c r="AC896" s="45"/>
      <c r="AD896" s="31"/>
      <c r="AE896" s="31"/>
      <c r="AF896" s="32">
        <f t="shared" si="190"/>
        <v>0</v>
      </c>
      <c r="AG896" s="10"/>
      <c r="AH896" s="10"/>
      <c r="AI896" s="10"/>
      <c r="AJ896" s="12">
        <f t="shared" si="191"/>
        <v>0</v>
      </c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1:53" x14ac:dyDescent="0.25">
      <c r="A897" s="18"/>
      <c r="B897" s="10">
        <v>25</v>
      </c>
      <c r="C897" s="30"/>
      <c r="D897" s="31"/>
      <c r="E897" s="45"/>
      <c r="F897" s="31"/>
      <c r="G897" s="31"/>
      <c r="H897" s="32">
        <f t="shared" si="186"/>
        <v>0</v>
      </c>
      <c r="I897" s="10"/>
      <c r="J897" s="10"/>
      <c r="K897" s="10"/>
      <c r="L897" s="12">
        <f t="shared" si="187"/>
        <v>0</v>
      </c>
      <c r="N897" s="10">
        <v>25</v>
      </c>
      <c r="O897" s="30"/>
      <c r="P897" s="31"/>
      <c r="Q897" s="45"/>
      <c r="R897" s="31"/>
      <c r="S897" s="31"/>
      <c r="T897" s="32">
        <f t="shared" si="188"/>
        <v>0</v>
      </c>
      <c r="U897" s="10"/>
      <c r="V897" s="10"/>
      <c r="W897" s="10"/>
      <c r="X897" s="12">
        <f t="shared" si="189"/>
        <v>0</v>
      </c>
      <c r="Z897" s="10">
        <v>25</v>
      </c>
      <c r="AA897" s="30"/>
      <c r="AB897" s="31"/>
      <c r="AC897" s="45"/>
      <c r="AD897" s="31"/>
      <c r="AE897" s="31"/>
      <c r="AF897" s="32">
        <f t="shared" si="190"/>
        <v>0</v>
      </c>
      <c r="AG897" s="10"/>
      <c r="AH897" s="10"/>
      <c r="AI897" s="10"/>
      <c r="AJ897" s="12">
        <f t="shared" si="191"/>
        <v>0</v>
      </c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1:53" x14ac:dyDescent="0.25">
      <c r="A898" s="18"/>
      <c r="B898" s="10">
        <v>26</v>
      </c>
      <c r="C898" s="30"/>
      <c r="D898" s="31"/>
      <c r="E898" s="45"/>
      <c r="F898" s="31"/>
      <c r="G898" s="31"/>
      <c r="H898" s="32">
        <f t="shared" si="186"/>
        <v>0</v>
      </c>
      <c r="I898" s="10"/>
      <c r="J898" s="10"/>
      <c r="K898" s="10"/>
      <c r="L898" s="12">
        <f t="shared" si="187"/>
        <v>0</v>
      </c>
      <c r="N898" s="10">
        <v>26</v>
      </c>
      <c r="O898" s="30"/>
      <c r="P898" s="31"/>
      <c r="Q898" s="45"/>
      <c r="R898" s="31"/>
      <c r="S898" s="31"/>
      <c r="T898" s="32">
        <f t="shared" si="188"/>
        <v>0</v>
      </c>
      <c r="U898" s="10"/>
      <c r="V898" s="10"/>
      <c r="W898" s="10"/>
      <c r="X898" s="12">
        <f t="shared" si="189"/>
        <v>0</v>
      </c>
      <c r="Z898" s="10">
        <v>26</v>
      </c>
      <c r="AA898" s="30"/>
      <c r="AB898" s="31"/>
      <c r="AC898" s="45"/>
      <c r="AD898" s="31"/>
      <c r="AE898" s="31"/>
      <c r="AF898" s="32">
        <f t="shared" si="190"/>
        <v>0</v>
      </c>
      <c r="AG898" s="10"/>
      <c r="AH898" s="10"/>
      <c r="AI898" s="10"/>
      <c r="AJ898" s="12">
        <f t="shared" si="191"/>
        <v>0</v>
      </c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1:53" x14ac:dyDescent="0.25">
      <c r="A899" s="18"/>
      <c r="B899" s="10">
        <v>27</v>
      </c>
      <c r="C899" s="30"/>
      <c r="D899" s="31"/>
      <c r="E899" s="45"/>
      <c r="F899" s="31"/>
      <c r="G899" s="31"/>
      <c r="H899" s="32">
        <f t="shared" si="186"/>
        <v>0</v>
      </c>
      <c r="I899" s="10"/>
      <c r="J899" s="10"/>
      <c r="K899" s="10"/>
      <c r="L899" s="12">
        <f t="shared" si="187"/>
        <v>0</v>
      </c>
      <c r="N899" s="10">
        <v>27</v>
      </c>
      <c r="O899" s="30"/>
      <c r="P899" s="31"/>
      <c r="Q899" s="45"/>
      <c r="R899" s="31"/>
      <c r="S899" s="31"/>
      <c r="T899" s="32">
        <f t="shared" si="188"/>
        <v>0</v>
      </c>
      <c r="U899" s="10"/>
      <c r="V899" s="10"/>
      <c r="W899" s="10"/>
      <c r="X899" s="12">
        <f t="shared" si="189"/>
        <v>0</v>
      </c>
      <c r="Z899" s="10">
        <v>27</v>
      </c>
      <c r="AA899" s="30"/>
      <c r="AB899" s="31"/>
      <c r="AC899" s="45"/>
      <c r="AD899" s="31"/>
      <c r="AE899" s="31"/>
      <c r="AF899" s="32">
        <f t="shared" si="190"/>
        <v>0</v>
      </c>
      <c r="AG899" s="10"/>
      <c r="AH899" s="10"/>
      <c r="AI899" s="10"/>
      <c r="AJ899" s="12">
        <f t="shared" si="191"/>
        <v>0</v>
      </c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1:53" x14ac:dyDescent="0.25">
      <c r="A900" s="18"/>
      <c r="B900" s="10">
        <v>28</v>
      </c>
      <c r="C900" s="30"/>
      <c r="D900" s="31"/>
      <c r="E900" s="45"/>
      <c r="F900" s="31"/>
      <c r="G900" s="31"/>
      <c r="H900" s="32">
        <f t="shared" si="186"/>
        <v>0</v>
      </c>
      <c r="I900" s="10"/>
      <c r="J900" s="10"/>
      <c r="K900" s="10"/>
      <c r="L900" s="12">
        <f t="shared" si="187"/>
        <v>0</v>
      </c>
      <c r="N900" s="10">
        <v>28</v>
      </c>
      <c r="O900" s="30"/>
      <c r="P900" s="31"/>
      <c r="Q900" s="45"/>
      <c r="R900" s="31"/>
      <c r="S900" s="31"/>
      <c r="T900" s="32">
        <f t="shared" si="188"/>
        <v>0</v>
      </c>
      <c r="U900" s="10"/>
      <c r="V900" s="10"/>
      <c r="W900" s="10"/>
      <c r="X900" s="12">
        <f t="shared" si="189"/>
        <v>0</v>
      </c>
      <c r="Z900" s="10">
        <v>28</v>
      </c>
      <c r="AA900" s="30"/>
      <c r="AB900" s="31"/>
      <c r="AC900" s="45"/>
      <c r="AD900" s="31"/>
      <c r="AE900" s="31"/>
      <c r="AF900" s="32">
        <f t="shared" si="190"/>
        <v>0</v>
      </c>
      <c r="AG900" s="10"/>
      <c r="AH900" s="10"/>
      <c r="AI900" s="10"/>
      <c r="AJ900" s="12">
        <f t="shared" si="191"/>
        <v>0</v>
      </c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1:53" x14ac:dyDescent="0.25">
      <c r="A901" s="18"/>
      <c r="B901" s="10">
        <v>29</v>
      </c>
      <c r="C901" s="30"/>
      <c r="D901" s="31"/>
      <c r="E901" s="45"/>
      <c r="F901" s="31"/>
      <c r="G901" s="31"/>
      <c r="H901" s="32">
        <f t="shared" si="186"/>
        <v>0</v>
      </c>
      <c r="I901" s="10"/>
      <c r="J901" s="10"/>
      <c r="K901" s="10"/>
      <c r="L901" s="12">
        <f t="shared" si="187"/>
        <v>0</v>
      </c>
      <c r="N901" s="10">
        <v>29</v>
      </c>
      <c r="O901" s="30"/>
      <c r="P901" s="31"/>
      <c r="Q901" s="45"/>
      <c r="R901" s="31"/>
      <c r="S901" s="31"/>
      <c r="T901" s="32">
        <f t="shared" si="188"/>
        <v>0</v>
      </c>
      <c r="U901" s="10"/>
      <c r="V901" s="10"/>
      <c r="W901" s="10"/>
      <c r="X901" s="12">
        <f t="shared" si="189"/>
        <v>0</v>
      </c>
      <c r="Z901" s="10">
        <v>29</v>
      </c>
      <c r="AA901" s="30"/>
      <c r="AB901" s="31"/>
      <c r="AC901" s="45"/>
      <c r="AD901" s="31"/>
      <c r="AE901" s="31"/>
      <c r="AF901" s="32">
        <f t="shared" si="190"/>
        <v>0</v>
      </c>
      <c r="AG901" s="10"/>
      <c r="AH901" s="10"/>
      <c r="AI901" s="10"/>
      <c r="AJ901" s="12">
        <f t="shared" si="191"/>
        <v>0</v>
      </c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1:53" x14ac:dyDescent="0.25">
      <c r="A902" s="18"/>
      <c r="B902" s="10">
        <v>30</v>
      </c>
      <c r="C902" s="30"/>
      <c r="D902" s="31"/>
      <c r="E902" s="45"/>
      <c r="F902" s="31"/>
      <c r="G902" s="31"/>
      <c r="H902" s="32">
        <f t="shared" si="186"/>
        <v>0</v>
      </c>
      <c r="I902" s="10"/>
      <c r="J902" s="10"/>
      <c r="K902" s="10"/>
      <c r="L902" s="12">
        <f t="shared" si="187"/>
        <v>0</v>
      </c>
      <c r="N902" s="10">
        <v>30</v>
      </c>
      <c r="O902" s="30"/>
      <c r="P902" s="31"/>
      <c r="Q902" s="45"/>
      <c r="R902" s="31"/>
      <c r="S902" s="31"/>
      <c r="T902" s="32">
        <f t="shared" si="188"/>
        <v>0</v>
      </c>
      <c r="U902" s="10"/>
      <c r="V902" s="10"/>
      <c r="W902" s="10"/>
      <c r="X902" s="12">
        <f t="shared" si="189"/>
        <v>0</v>
      </c>
      <c r="Z902" s="10">
        <v>30</v>
      </c>
      <c r="AA902" s="30"/>
      <c r="AB902" s="31"/>
      <c r="AC902" s="45"/>
      <c r="AD902" s="31"/>
      <c r="AE902" s="31"/>
      <c r="AF902" s="32">
        <f t="shared" si="190"/>
        <v>0</v>
      </c>
      <c r="AG902" s="10"/>
      <c r="AH902" s="10"/>
      <c r="AI902" s="10"/>
      <c r="AJ902" s="12">
        <f t="shared" si="191"/>
        <v>0</v>
      </c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1:53" x14ac:dyDescent="0.25">
      <c r="A903" s="18"/>
      <c r="B903" s="10">
        <v>31</v>
      </c>
      <c r="C903" s="30"/>
      <c r="D903" s="31"/>
      <c r="E903" s="45"/>
      <c r="F903" s="31"/>
      <c r="G903" s="31"/>
      <c r="H903" s="32">
        <f t="shared" si="186"/>
        <v>0</v>
      </c>
      <c r="I903" s="10"/>
      <c r="J903" s="10"/>
      <c r="K903" s="10"/>
      <c r="L903" s="12">
        <f t="shared" si="187"/>
        <v>0</v>
      </c>
      <c r="N903" s="10">
        <v>31</v>
      </c>
      <c r="O903" s="30"/>
      <c r="P903" s="31"/>
      <c r="Q903" s="45"/>
      <c r="R903" s="31"/>
      <c r="S903" s="31"/>
      <c r="T903" s="32">
        <f t="shared" si="188"/>
        <v>0</v>
      </c>
      <c r="U903" s="10"/>
      <c r="V903" s="10"/>
      <c r="W903" s="10"/>
      <c r="X903" s="12">
        <f t="shared" si="189"/>
        <v>0</v>
      </c>
      <c r="Z903" s="10">
        <v>31</v>
      </c>
      <c r="AA903" s="30"/>
      <c r="AB903" s="31"/>
      <c r="AC903" s="45"/>
      <c r="AD903" s="31"/>
      <c r="AE903" s="31"/>
      <c r="AF903" s="32">
        <f t="shared" si="190"/>
        <v>0</v>
      </c>
      <c r="AG903" s="10"/>
      <c r="AH903" s="10"/>
      <c r="AI903" s="10"/>
      <c r="AJ903" s="12">
        <f t="shared" si="191"/>
        <v>0</v>
      </c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1:53" x14ac:dyDescent="0.25">
      <c r="A904" s="18"/>
      <c r="B904" s="10">
        <v>32</v>
      </c>
      <c r="C904" s="30"/>
      <c r="D904" s="31"/>
      <c r="E904" s="45"/>
      <c r="F904" s="31"/>
      <c r="G904" s="31"/>
      <c r="H904" s="32">
        <f t="shared" si="186"/>
        <v>0</v>
      </c>
      <c r="I904" s="10"/>
      <c r="J904" s="10"/>
      <c r="K904" s="10"/>
      <c r="L904" s="12">
        <f t="shared" si="187"/>
        <v>0</v>
      </c>
      <c r="N904" s="10">
        <v>32</v>
      </c>
      <c r="O904" s="30"/>
      <c r="P904" s="31"/>
      <c r="Q904" s="45"/>
      <c r="R904" s="31"/>
      <c r="S904" s="31"/>
      <c r="T904" s="32">
        <f t="shared" si="188"/>
        <v>0</v>
      </c>
      <c r="U904" s="10"/>
      <c r="V904" s="10"/>
      <c r="W904" s="10"/>
      <c r="X904" s="12">
        <f t="shared" si="189"/>
        <v>0</v>
      </c>
      <c r="Z904" s="10">
        <v>32</v>
      </c>
      <c r="AA904" s="30"/>
      <c r="AB904" s="31"/>
      <c r="AC904" s="45"/>
      <c r="AD904" s="31"/>
      <c r="AE904" s="31"/>
      <c r="AF904" s="32">
        <f t="shared" si="190"/>
        <v>0</v>
      </c>
      <c r="AG904" s="10"/>
      <c r="AH904" s="10"/>
      <c r="AI904" s="10"/>
      <c r="AJ904" s="12">
        <f t="shared" si="191"/>
        <v>0</v>
      </c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1:53" x14ac:dyDescent="0.25">
      <c r="A905" s="18"/>
      <c r="B905" s="10">
        <v>33</v>
      </c>
      <c r="C905" s="30"/>
      <c r="D905" s="31"/>
      <c r="E905" s="45"/>
      <c r="F905" s="31"/>
      <c r="G905" s="31"/>
      <c r="H905" s="32">
        <f t="shared" si="186"/>
        <v>0</v>
      </c>
      <c r="I905" s="10"/>
      <c r="J905" s="10"/>
      <c r="K905" s="10"/>
      <c r="L905" s="12">
        <f t="shared" si="187"/>
        <v>0</v>
      </c>
      <c r="N905" s="10">
        <v>33</v>
      </c>
      <c r="O905" s="30"/>
      <c r="P905" s="31"/>
      <c r="Q905" s="45"/>
      <c r="R905" s="31"/>
      <c r="S905" s="31"/>
      <c r="T905" s="32">
        <f t="shared" si="188"/>
        <v>0</v>
      </c>
      <c r="U905" s="10"/>
      <c r="V905" s="10"/>
      <c r="W905" s="10"/>
      <c r="X905" s="12">
        <f t="shared" si="189"/>
        <v>0</v>
      </c>
      <c r="Z905" s="10">
        <v>33</v>
      </c>
      <c r="AA905" s="30"/>
      <c r="AB905" s="31"/>
      <c r="AC905" s="45"/>
      <c r="AD905" s="31"/>
      <c r="AE905" s="31"/>
      <c r="AF905" s="32">
        <f t="shared" si="190"/>
        <v>0</v>
      </c>
      <c r="AG905" s="10"/>
      <c r="AH905" s="10"/>
      <c r="AI905" s="10"/>
      <c r="AJ905" s="12">
        <f t="shared" si="191"/>
        <v>0</v>
      </c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1:53" x14ac:dyDescent="0.25">
      <c r="A906" s="18"/>
      <c r="B906" s="10">
        <v>34</v>
      </c>
      <c r="C906" s="30"/>
      <c r="D906" s="31"/>
      <c r="E906" s="45"/>
      <c r="F906" s="31"/>
      <c r="G906" s="31"/>
      <c r="H906" s="32">
        <f t="shared" si="186"/>
        <v>0</v>
      </c>
      <c r="I906" s="10"/>
      <c r="J906" s="10"/>
      <c r="K906" s="10"/>
      <c r="L906" s="12">
        <f t="shared" si="187"/>
        <v>0</v>
      </c>
      <c r="N906" s="10">
        <v>34</v>
      </c>
      <c r="O906" s="30"/>
      <c r="P906" s="31"/>
      <c r="Q906" s="45"/>
      <c r="R906" s="31"/>
      <c r="S906" s="31"/>
      <c r="T906" s="32">
        <f t="shared" si="188"/>
        <v>0</v>
      </c>
      <c r="U906" s="10"/>
      <c r="V906" s="10"/>
      <c r="W906" s="10"/>
      <c r="X906" s="12">
        <f t="shared" si="189"/>
        <v>0</v>
      </c>
      <c r="Z906" s="10">
        <v>34</v>
      </c>
      <c r="AA906" s="30"/>
      <c r="AB906" s="31"/>
      <c r="AC906" s="45"/>
      <c r="AD906" s="31"/>
      <c r="AE906" s="31"/>
      <c r="AF906" s="32">
        <f t="shared" si="190"/>
        <v>0</v>
      </c>
      <c r="AG906" s="10"/>
      <c r="AH906" s="10"/>
      <c r="AI906" s="10"/>
      <c r="AJ906" s="12">
        <f t="shared" si="191"/>
        <v>0</v>
      </c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1:53" x14ac:dyDescent="0.25">
      <c r="A907" s="18"/>
      <c r="B907" s="10">
        <v>35</v>
      </c>
      <c r="C907" s="30"/>
      <c r="D907" s="31"/>
      <c r="E907" s="45"/>
      <c r="F907" s="31"/>
      <c r="G907" s="31"/>
      <c r="H907" s="32">
        <f t="shared" si="186"/>
        <v>0</v>
      </c>
      <c r="I907" s="10"/>
      <c r="J907" s="10"/>
      <c r="K907" s="10"/>
      <c r="L907" s="12">
        <f t="shared" si="187"/>
        <v>0</v>
      </c>
      <c r="N907" s="10">
        <v>35</v>
      </c>
      <c r="O907" s="30"/>
      <c r="P907" s="31"/>
      <c r="Q907" s="45"/>
      <c r="R907" s="31"/>
      <c r="S907" s="31"/>
      <c r="T907" s="32">
        <f t="shared" si="188"/>
        <v>0</v>
      </c>
      <c r="U907" s="10"/>
      <c r="V907" s="10"/>
      <c r="W907" s="10"/>
      <c r="X907" s="12">
        <f t="shared" si="189"/>
        <v>0</v>
      </c>
      <c r="Z907" s="10">
        <v>35</v>
      </c>
      <c r="AA907" s="30"/>
      <c r="AB907" s="31"/>
      <c r="AC907" s="45"/>
      <c r="AD907" s="31"/>
      <c r="AE907" s="31"/>
      <c r="AF907" s="32">
        <f t="shared" si="190"/>
        <v>0</v>
      </c>
      <c r="AG907" s="10"/>
      <c r="AH907" s="10"/>
      <c r="AI907" s="10"/>
      <c r="AJ907" s="12">
        <f t="shared" si="191"/>
        <v>0</v>
      </c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1:53" x14ac:dyDescent="0.25">
      <c r="A908" s="18"/>
      <c r="B908" s="10">
        <v>36</v>
      </c>
      <c r="C908" s="30"/>
      <c r="D908" s="31"/>
      <c r="E908" s="45"/>
      <c r="F908" s="31"/>
      <c r="G908" s="31"/>
      <c r="H908" s="32">
        <f t="shared" si="186"/>
        <v>0</v>
      </c>
      <c r="I908" s="10"/>
      <c r="J908" s="10"/>
      <c r="K908" s="10"/>
      <c r="L908" s="12">
        <f t="shared" si="187"/>
        <v>0</v>
      </c>
      <c r="N908" s="10">
        <v>36</v>
      </c>
      <c r="O908" s="30"/>
      <c r="P908" s="31"/>
      <c r="Q908" s="45"/>
      <c r="R908" s="31"/>
      <c r="S908" s="31"/>
      <c r="T908" s="32">
        <f t="shared" si="188"/>
        <v>0</v>
      </c>
      <c r="U908" s="10"/>
      <c r="V908" s="10"/>
      <c r="W908" s="10"/>
      <c r="X908" s="12">
        <f t="shared" si="189"/>
        <v>0</v>
      </c>
      <c r="Z908" s="10">
        <v>36</v>
      </c>
      <c r="AA908" s="30"/>
      <c r="AB908" s="31"/>
      <c r="AC908" s="45"/>
      <c r="AD908" s="31"/>
      <c r="AE908" s="31"/>
      <c r="AF908" s="32">
        <f t="shared" si="190"/>
        <v>0</v>
      </c>
      <c r="AG908" s="10"/>
      <c r="AH908" s="10"/>
      <c r="AI908" s="10"/>
      <c r="AJ908" s="12">
        <f t="shared" si="191"/>
        <v>0</v>
      </c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1:53" x14ac:dyDescent="0.25">
      <c r="A909" s="18"/>
      <c r="B909" s="10">
        <v>37</v>
      </c>
      <c r="C909" s="30"/>
      <c r="D909"/>
      <c r="E909" s="45"/>
      <c r="F909" s="31"/>
      <c r="G909" s="31"/>
      <c r="H909" s="32">
        <f t="shared" si="186"/>
        <v>0</v>
      </c>
      <c r="I909" s="10"/>
      <c r="J909" s="10"/>
      <c r="K909" s="10"/>
      <c r="L909" s="12">
        <f t="shared" si="187"/>
        <v>0</v>
      </c>
      <c r="N909" s="10">
        <v>37</v>
      </c>
      <c r="O909" s="30"/>
      <c r="Q909" s="45"/>
      <c r="R909" s="31"/>
      <c r="S909" s="31"/>
      <c r="T909" s="32">
        <f t="shared" si="188"/>
        <v>0</v>
      </c>
      <c r="U909" s="10"/>
      <c r="V909" s="10"/>
      <c r="W909" s="10"/>
      <c r="X909" s="12">
        <f t="shared" si="189"/>
        <v>0</v>
      </c>
      <c r="Z909" s="10">
        <v>37</v>
      </c>
      <c r="AA909" s="30"/>
      <c r="AB909" s="31"/>
      <c r="AC909" s="45"/>
      <c r="AD909" s="31"/>
      <c r="AE909" s="31"/>
      <c r="AF909" s="32">
        <f t="shared" si="190"/>
        <v>0</v>
      </c>
      <c r="AG909" s="10"/>
      <c r="AH909" s="10"/>
      <c r="AI909" s="10"/>
      <c r="AJ909" s="12">
        <f t="shared" si="191"/>
        <v>0</v>
      </c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1:53" x14ac:dyDescent="0.25">
      <c r="A910" s="18"/>
      <c r="B910" s="10">
        <v>38</v>
      </c>
      <c r="C910" s="30"/>
      <c r="D910" s="31"/>
      <c r="E910" s="45"/>
      <c r="F910" s="31"/>
      <c r="G910" s="31"/>
      <c r="H910" s="32">
        <f t="shared" si="186"/>
        <v>0</v>
      </c>
      <c r="I910" s="10"/>
      <c r="J910" s="10"/>
      <c r="K910" s="10"/>
      <c r="L910" s="12">
        <f t="shared" si="187"/>
        <v>0</v>
      </c>
      <c r="N910" s="10">
        <v>38</v>
      </c>
      <c r="O910" s="30"/>
      <c r="P910" s="31"/>
      <c r="Q910" s="45"/>
      <c r="R910" s="31"/>
      <c r="S910" s="31"/>
      <c r="T910" s="32">
        <f t="shared" si="188"/>
        <v>0</v>
      </c>
      <c r="U910" s="10"/>
      <c r="V910" s="10"/>
      <c r="W910" s="10"/>
      <c r="X910" s="12">
        <f t="shared" si="189"/>
        <v>0</v>
      </c>
      <c r="Z910" s="10">
        <v>38</v>
      </c>
      <c r="AA910" s="30"/>
      <c r="AB910" s="31"/>
      <c r="AC910" s="45"/>
      <c r="AD910" s="31"/>
      <c r="AE910" s="31"/>
      <c r="AF910" s="32">
        <f t="shared" si="190"/>
        <v>0</v>
      </c>
      <c r="AG910" s="10"/>
      <c r="AH910" s="10"/>
      <c r="AI910" s="10"/>
      <c r="AJ910" s="12">
        <f t="shared" si="191"/>
        <v>0</v>
      </c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1:53" x14ac:dyDescent="0.25">
      <c r="A911" s="18"/>
      <c r="B911" s="10">
        <v>39</v>
      </c>
      <c r="C911" s="30"/>
      <c r="D911" s="31"/>
      <c r="E911" s="45"/>
      <c r="F911" s="31"/>
      <c r="G911" s="31"/>
      <c r="H911" s="32">
        <f t="shared" si="186"/>
        <v>0</v>
      </c>
      <c r="I911" s="10"/>
      <c r="J911" s="10"/>
      <c r="K911" s="10"/>
      <c r="L911" s="12">
        <f t="shared" si="187"/>
        <v>0</v>
      </c>
      <c r="N911" s="10">
        <v>39</v>
      </c>
      <c r="O911" s="30"/>
      <c r="P911" s="31"/>
      <c r="Q911" s="45"/>
      <c r="R911" s="31"/>
      <c r="S911" s="31"/>
      <c r="T911" s="32">
        <f t="shared" si="188"/>
        <v>0</v>
      </c>
      <c r="U911" s="10"/>
      <c r="V911" s="10"/>
      <c r="W911" s="10"/>
      <c r="X911" s="12">
        <f t="shared" si="189"/>
        <v>0</v>
      </c>
      <c r="Z911" s="10">
        <v>39</v>
      </c>
      <c r="AA911" s="30"/>
      <c r="AB911" s="31"/>
      <c r="AC911" s="45"/>
      <c r="AD911" s="31"/>
      <c r="AE911" s="31"/>
      <c r="AF911" s="32">
        <f t="shared" si="190"/>
        <v>0</v>
      </c>
      <c r="AG911" s="10"/>
      <c r="AH911" s="10"/>
      <c r="AI911" s="10"/>
      <c r="AJ911" s="12">
        <f t="shared" si="191"/>
        <v>0</v>
      </c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1:53" x14ac:dyDescent="0.25">
      <c r="A912" s="18"/>
      <c r="B912" s="10"/>
      <c r="C912" s="30"/>
      <c r="D912"/>
      <c r="E912" s="45"/>
      <c r="F912" s="31"/>
      <c r="G912" s="31"/>
      <c r="H912" s="32"/>
      <c r="I912" s="10"/>
      <c r="J912" s="10"/>
      <c r="K912" s="10"/>
      <c r="L912" s="12">
        <f t="shared" si="187"/>
        <v>0</v>
      </c>
      <c r="N912" s="10"/>
      <c r="O912" s="30"/>
      <c r="Q912" s="45"/>
      <c r="R912" s="31"/>
      <c r="S912" s="31"/>
      <c r="T912" s="32"/>
      <c r="U912" s="10"/>
      <c r="V912" s="10"/>
      <c r="W912" s="10"/>
      <c r="X912" s="12">
        <f t="shared" si="189"/>
        <v>0</v>
      </c>
      <c r="Z912" s="10"/>
      <c r="AA912" s="30"/>
      <c r="AC912" s="45"/>
      <c r="AD912" s="31"/>
      <c r="AE912" s="31"/>
      <c r="AF912" s="32"/>
      <c r="AG912" s="10"/>
      <c r="AH912" s="10"/>
      <c r="AI912" s="10"/>
      <c r="AJ912" s="12">
        <f t="shared" si="191"/>
        <v>0</v>
      </c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1:53" x14ac:dyDescent="0.25">
      <c r="A913" s="18"/>
      <c r="B913" s="10"/>
      <c r="C913" s="30"/>
      <c r="D913" s="31"/>
      <c r="E913" s="45"/>
      <c r="F913" s="31"/>
      <c r="G913" s="31"/>
      <c r="H913" s="32">
        <f t="shared" ref="H913" si="195">SUM(E913:F913)</f>
        <v>0</v>
      </c>
      <c r="I913" s="10"/>
      <c r="J913" s="10"/>
      <c r="K913" s="10"/>
      <c r="L913" s="12">
        <f t="shared" si="187"/>
        <v>0</v>
      </c>
      <c r="N913" s="10"/>
      <c r="O913" s="30"/>
      <c r="P913" s="31"/>
      <c r="Q913" s="45"/>
      <c r="R913" s="31"/>
      <c r="S913" s="31"/>
      <c r="T913" s="32">
        <f t="shared" ref="T913" si="196">SUM(Q913:R913)</f>
        <v>0</v>
      </c>
      <c r="U913" s="10"/>
      <c r="V913" s="10"/>
      <c r="W913" s="10"/>
      <c r="X913" s="12">
        <f t="shared" si="189"/>
        <v>0</v>
      </c>
      <c r="Z913" s="10"/>
      <c r="AA913" s="30"/>
      <c r="AB913" s="31"/>
      <c r="AC913" s="45"/>
      <c r="AD913" s="31"/>
      <c r="AE913" s="31"/>
      <c r="AF913" s="32">
        <f t="shared" ref="AF913" si="197">SUM(AC913:AD913)</f>
        <v>0</v>
      </c>
      <c r="AG913" s="10"/>
      <c r="AH913" s="10"/>
      <c r="AI913" s="10"/>
      <c r="AJ913" s="12">
        <f t="shared" si="191"/>
        <v>0</v>
      </c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1:53" x14ac:dyDescent="0.25">
      <c r="A914" s="18"/>
      <c r="B914" s="10"/>
      <c r="C914" s="31"/>
      <c r="D914" s="31"/>
      <c r="E914" s="31"/>
      <c r="F914" s="31"/>
      <c r="G914" s="31"/>
      <c r="H914" s="31"/>
      <c r="I914" s="10"/>
      <c r="J914" s="10"/>
      <c r="K914" s="10"/>
      <c r="L914" s="12">
        <f t="shared" si="187"/>
        <v>0</v>
      </c>
      <c r="N914" s="10"/>
      <c r="O914" s="31"/>
      <c r="P914" s="31"/>
      <c r="Q914" s="31"/>
      <c r="R914" s="31"/>
      <c r="S914" s="31"/>
      <c r="T914" s="31"/>
      <c r="U914" s="10"/>
      <c r="V914" s="10"/>
      <c r="W914" s="10"/>
      <c r="X914" s="12">
        <f t="shared" si="189"/>
        <v>0</v>
      </c>
      <c r="Z914" s="10"/>
      <c r="AA914" s="31"/>
      <c r="AB914" s="31"/>
      <c r="AC914" s="31"/>
      <c r="AD914" s="31"/>
      <c r="AE914" s="31"/>
      <c r="AF914" s="31"/>
      <c r="AG914" s="10"/>
      <c r="AH914" s="10"/>
      <c r="AI914" s="10"/>
      <c r="AJ914" s="12">
        <f t="shared" si="191"/>
        <v>0</v>
      </c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1:53" x14ac:dyDescent="0.25">
      <c r="A915" s="18"/>
      <c r="C915" s="55"/>
      <c r="D915" s="55"/>
      <c r="E915" s="36"/>
      <c r="F915" s="36"/>
      <c r="G915" s="36"/>
      <c r="H915" s="36"/>
      <c r="I915" s="37"/>
      <c r="J915" s="37"/>
      <c r="K915" s="37"/>
      <c r="L915" s="37"/>
      <c r="O915" s="55"/>
      <c r="P915" s="55"/>
      <c r="Q915" s="36"/>
      <c r="R915" s="36"/>
      <c r="S915" s="36"/>
      <c r="T915" s="36"/>
      <c r="U915" s="37"/>
      <c r="V915" s="37"/>
      <c r="W915" s="37"/>
      <c r="X915" s="37"/>
      <c r="AA915" s="55"/>
      <c r="AB915" s="55"/>
      <c r="AC915" s="36"/>
      <c r="AD915" s="36"/>
      <c r="AE915" s="36"/>
      <c r="AF915" s="36"/>
      <c r="AG915" s="37"/>
      <c r="AH915" s="37"/>
      <c r="AI915" s="37"/>
      <c r="AJ915" s="37"/>
      <c r="AL915" s="60"/>
      <c r="AM915" s="83"/>
      <c r="AN915" s="83"/>
      <c r="AO915" s="83"/>
      <c r="AP915" s="83"/>
      <c r="AQ915" s="83"/>
      <c r="AR915" s="83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1:53" x14ac:dyDescent="0.25">
      <c r="A916" s="18"/>
      <c r="C916" s="55"/>
      <c r="D916" s="55"/>
      <c r="E916" s="38">
        <f>SUM(E873:E915)</f>
        <v>567238</v>
      </c>
      <c r="F916" s="38">
        <f>SUM(F873:F897)</f>
        <v>-1296</v>
      </c>
      <c r="G916" s="38">
        <f>SUM(G873:G897)</f>
        <v>0</v>
      </c>
      <c r="H916" s="38">
        <f>SUM(H873:H915)</f>
        <v>565942</v>
      </c>
      <c r="I916" s="4"/>
      <c r="J916" s="39">
        <f>SUM(J873:J915)</f>
        <v>39207</v>
      </c>
      <c r="K916" s="39">
        <f>SUM(K873:K897)</f>
        <v>-30303</v>
      </c>
      <c r="L916" s="40">
        <f>SUM(L873:L915)</f>
        <v>574846</v>
      </c>
      <c r="O916" s="55"/>
      <c r="P916" s="55"/>
      <c r="Q916" s="38">
        <f>SUM(Q873:Q915)</f>
        <v>67525</v>
      </c>
      <c r="R916" s="38">
        <f>SUM(R873:R897)</f>
        <v>-534</v>
      </c>
      <c r="S916" s="38">
        <f>SUM(S873:S897)</f>
        <v>0</v>
      </c>
      <c r="T916" s="38">
        <f>SUM(T873:T915)</f>
        <v>66991</v>
      </c>
      <c r="U916" s="4"/>
      <c r="V916" s="39">
        <f>SUM(V873:V915)</f>
        <v>72</v>
      </c>
      <c r="W916" s="39">
        <f>SUM(W873:W897)</f>
        <v>-222</v>
      </c>
      <c r="X916" s="40">
        <f>SUM(X873:X915)</f>
        <v>66841</v>
      </c>
      <c r="AA916" s="55"/>
      <c r="AB916" s="55"/>
      <c r="AC916" s="38">
        <f>SUM(AC873:AC915)</f>
        <v>410291</v>
      </c>
      <c r="AD916" s="38">
        <f>SUM(AD873:AD897)</f>
        <v>-3732</v>
      </c>
      <c r="AE916" s="38">
        <f>SUM(AE873:AE897)</f>
        <v>0</v>
      </c>
      <c r="AF916" s="38">
        <f>SUM(AF873:AF915)</f>
        <v>406559</v>
      </c>
      <c r="AG916" s="4"/>
      <c r="AH916" s="39">
        <f>SUM(AH873:AH915)</f>
        <v>54</v>
      </c>
      <c r="AI916" s="39">
        <f>SUM(AI873:AI897)</f>
        <v>-1212</v>
      </c>
      <c r="AJ916" s="40">
        <f>SUM(AJ873:AJ915)</f>
        <v>405401</v>
      </c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1:5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1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1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1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0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1:53" x14ac:dyDescent="0.25">
      <c r="B920" s="61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1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1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83"/>
      <c r="AU920" s="83"/>
      <c r="AV920" s="60"/>
      <c r="AW920" s="60"/>
      <c r="AX920" s="60"/>
      <c r="AY920" s="60"/>
      <c r="AZ920" s="60"/>
      <c r="BA920" s="60"/>
    </row>
    <row r="921" spans="1:53" x14ac:dyDescent="0.25">
      <c r="B921" s="60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0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0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2"/>
      <c r="AM921" s="83"/>
      <c r="AN921" s="83"/>
      <c r="AO921" s="83"/>
      <c r="AP921" s="83"/>
      <c r="AQ921" s="83"/>
      <c r="AR921" s="83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1:53" ht="15.75" x14ac:dyDescent="0.25">
      <c r="B922" s="60"/>
      <c r="C922" s="84"/>
      <c r="D922" s="84"/>
      <c r="E922" s="84"/>
      <c r="F922" s="84"/>
      <c r="G922" s="84"/>
      <c r="H922" s="84"/>
      <c r="I922" s="60"/>
      <c r="J922" s="84"/>
      <c r="K922" s="71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84"/>
      <c r="W922" s="71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84"/>
      <c r="AI922" s="84"/>
      <c r="AJ922" s="60"/>
      <c r="AK922" s="60"/>
      <c r="AL922" s="60"/>
      <c r="AM922" s="83"/>
      <c r="AN922" s="83"/>
      <c r="AO922" s="83"/>
      <c r="AP922" s="83"/>
      <c r="AQ922" s="83"/>
      <c r="AR922" s="83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1:53" ht="15" customHeight="1" x14ac:dyDescent="0.25">
      <c r="B923" s="62"/>
      <c r="C923" s="84"/>
      <c r="D923" s="84"/>
      <c r="E923" s="84"/>
      <c r="F923" s="84"/>
      <c r="G923" s="84"/>
      <c r="H923" s="84"/>
      <c r="I923" s="60"/>
      <c r="J923" s="63"/>
      <c r="K923" s="63"/>
      <c r="L923" s="60"/>
      <c r="M923" s="60"/>
      <c r="N923" s="62"/>
      <c r="O923" s="84"/>
      <c r="P923" s="84"/>
      <c r="Q923" s="84"/>
      <c r="R923" s="84"/>
      <c r="S923" s="84"/>
      <c r="T923" s="84"/>
      <c r="U923" s="60"/>
      <c r="V923" s="63"/>
      <c r="W923" s="63"/>
      <c r="X923" s="60"/>
      <c r="Y923" s="60"/>
      <c r="Z923" s="62"/>
      <c r="AA923" s="84"/>
      <c r="AB923" s="84"/>
      <c r="AC923" s="84"/>
      <c r="AD923" s="84"/>
      <c r="AE923" s="84"/>
      <c r="AF923" s="84"/>
      <c r="AG923" s="60"/>
      <c r="AH923" s="63"/>
      <c r="AI923" s="63"/>
      <c r="AJ923" s="60"/>
      <c r="AK923" s="60"/>
      <c r="AL923" s="60"/>
      <c r="AM923" s="63"/>
      <c r="AN923" s="83"/>
      <c r="AO923" s="119"/>
      <c r="AP923" s="119"/>
      <c r="AQ923" s="83"/>
      <c r="AR923" s="83"/>
      <c r="AS923" s="60"/>
      <c r="AT923" s="119"/>
      <c r="AU923" s="119"/>
      <c r="AV923" s="118"/>
      <c r="AW923" s="60"/>
      <c r="AX923" s="60"/>
      <c r="AY923" s="60"/>
      <c r="AZ923" s="60"/>
      <c r="BA923" s="60"/>
    </row>
    <row r="924" spans="1:53" x14ac:dyDescent="0.25">
      <c r="B924" s="60"/>
      <c r="C924" s="84"/>
      <c r="D924" s="84"/>
      <c r="E924" s="84"/>
      <c r="F924" s="84"/>
      <c r="G924" s="84"/>
      <c r="H924" s="84"/>
      <c r="I924" s="60"/>
      <c r="J924" s="60"/>
      <c r="K924" s="60"/>
      <c r="L924" s="60"/>
      <c r="M924" s="60"/>
      <c r="N924" s="60"/>
      <c r="O924" s="84"/>
      <c r="P924" s="84"/>
      <c r="Q924" s="84"/>
      <c r="R924" s="84"/>
      <c r="S924" s="84"/>
      <c r="T924" s="84"/>
      <c r="U924" s="60"/>
      <c r="V924" s="60"/>
      <c r="W924" s="60"/>
      <c r="X924" s="60"/>
      <c r="Y924" s="60"/>
      <c r="Z924" s="60"/>
      <c r="AA924" s="84"/>
      <c r="AB924" s="84"/>
      <c r="AC924" s="84"/>
      <c r="AD924" s="84"/>
      <c r="AE924" s="84"/>
      <c r="AF924" s="84"/>
      <c r="AG924" s="60"/>
      <c r="AH924" s="60"/>
      <c r="AI924" s="60"/>
      <c r="AJ924" s="60"/>
      <c r="AK924" s="60"/>
      <c r="AL924" s="60"/>
      <c r="AM924" s="83"/>
      <c r="AN924" s="83"/>
      <c r="AO924" s="76"/>
      <c r="AP924" s="78"/>
      <c r="AQ924" s="78"/>
      <c r="AR924" s="78"/>
      <c r="AS924" s="60"/>
      <c r="AT924" s="82"/>
      <c r="AU924" s="82"/>
      <c r="AV924" s="118"/>
      <c r="AW924" s="60"/>
      <c r="AX924" s="60"/>
      <c r="AY924" s="60"/>
      <c r="AZ924" s="60"/>
      <c r="BA924" s="60"/>
    </row>
    <row r="925" spans="1:53" x14ac:dyDescent="0.25">
      <c r="B925" s="60"/>
      <c r="C925" s="63"/>
      <c r="D925" s="84"/>
      <c r="E925" s="119"/>
      <c r="F925" s="119"/>
      <c r="G925" s="84"/>
      <c r="H925" s="84"/>
      <c r="I925" s="60"/>
      <c r="J925" s="119"/>
      <c r="K925" s="119"/>
      <c r="L925" s="118"/>
      <c r="M925" s="60"/>
      <c r="N925" s="60"/>
      <c r="O925" s="63"/>
      <c r="P925" s="84"/>
      <c r="Q925" s="119"/>
      <c r="R925" s="119"/>
      <c r="S925" s="84"/>
      <c r="T925" s="84"/>
      <c r="U925" s="60"/>
      <c r="V925" s="119"/>
      <c r="W925" s="119"/>
      <c r="X925" s="118"/>
      <c r="Y925" s="60"/>
      <c r="Z925" s="60"/>
      <c r="AA925" s="63"/>
      <c r="AB925" s="84"/>
      <c r="AC925" s="119"/>
      <c r="AD925" s="119"/>
      <c r="AE925" s="84"/>
      <c r="AF925" s="84"/>
      <c r="AG925" s="60"/>
      <c r="AH925" s="119"/>
      <c r="AI925" s="119"/>
      <c r="AJ925" s="118"/>
      <c r="AK925" s="60"/>
      <c r="AL925" s="60"/>
      <c r="AM925" s="64"/>
      <c r="AN925" s="83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1:53" x14ac:dyDescent="0.25">
      <c r="B926" s="60"/>
      <c r="C926" s="84"/>
      <c r="D926" s="84"/>
      <c r="E926" s="76"/>
      <c r="F926" s="77"/>
      <c r="G926" s="78"/>
      <c r="H926" s="78"/>
      <c r="I926" s="60"/>
      <c r="J926" s="85"/>
      <c r="K926" s="85"/>
      <c r="L926" s="118"/>
      <c r="M926" s="60"/>
      <c r="N926" s="60"/>
      <c r="O926" s="84"/>
      <c r="P926" s="84"/>
      <c r="Q926" s="76"/>
      <c r="R926" s="78"/>
      <c r="S926" s="78"/>
      <c r="T926" s="78"/>
      <c r="U926" s="60"/>
      <c r="V926" s="85"/>
      <c r="W926" s="85"/>
      <c r="X926" s="118"/>
      <c r="Y926" s="60"/>
      <c r="Z926" s="60"/>
      <c r="AA926" s="84"/>
      <c r="AB926" s="84"/>
      <c r="AC926" s="76"/>
      <c r="AD926" s="78"/>
      <c r="AE926" s="78"/>
      <c r="AF926" s="78"/>
      <c r="AG926" s="60"/>
      <c r="AH926" s="85"/>
      <c r="AI926" s="85"/>
      <c r="AJ926" s="118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1:53" x14ac:dyDescent="0.25">
      <c r="B927" s="60"/>
      <c r="C927" s="64"/>
      <c r="D927" s="81"/>
      <c r="E927" s="58"/>
      <c r="F927" s="58"/>
      <c r="G927" s="58"/>
      <c r="H927" s="58"/>
      <c r="I927" s="59"/>
      <c r="J927" s="59"/>
      <c r="K927" s="59"/>
      <c r="L927" s="59"/>
      <c r="M927" s="60"/>
      <c r="N927" s="60"/>
      <c r="O927" s="64"/>
      <c r="P927" s="84"/>
      <c r="Q927" s="58"/>
      <c r="R927" s="58"/>
      <c r="S927" s="58"/>
      <c r="T927" s="58"/>
      <c r="U927" s="59"/>
      <c r="V927" s="59"/>
      <c r="W927" s="59"/>
      <c r="X927" s="59"/>
      <c r="Y927" s="60"/>
      <c r="Z927" s="60"/>
      <c r="AA927" s="64"/>
      <c r="AB927" s="84"/>
      <c r="AC927" s="58"/>
      <c r="AD927" s="58"/>
      <c r="AE927" s="58"/>
      <c r="AF927" s="58"/>
      <c r="AG927" s="59"/>
      <c r="AH927" s="59"/>
      <c r="AI927" s="59"/>
      <c r="AJ927" s="59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1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60"/>
      <c r="AI930" s="59"/>
      <c r="AJ930" s="59"/>
      <c r="AK930" s="60"/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63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59"/>
      <c r="AI931" s="59"/>
      <c r="AJ931" s="59"/>
      <c r="AK931" s="60"/>
      <c r="AL931" s="60"/>
      <c r="AM931" s="64"/>
      <c r="AN931" s="83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84"/>
      <c r="Q932" s="58"/>
      <c r="R932" s="58"/>
      <c r="S932" s="58"/>
      <c r="T932" s="58"/>
      <c r="U932" s="59"/>
      <c r="V932" s="59"/>
      <c r="W932" s="60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60"/>
      <c r="AJ932" s="59"/>
      <c r="AK932" s="60"/>
      <c r="AL932" s="60"/>
      <c r="AM932" s="64"/>
      <c r="AN932" s="83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59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59"/>
      <c r="AJ933" s="59"/>
      <c r="AK933" s="60"/>
      <c r="AL933" s="60"/>
      <c r="AM933" s="64"/>
      <c r="AN933" s="83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60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60"/>
      <c r="AF934" s="58"/>
      <c r="AG934" s="59"/>
      <c r="AH934" s="59"/>
      <c r="AI934" s="59"/>
      <c r="AJ934" s="59"/>
      <c r="AK934" s="60"/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84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58"/>
      <c r="AF935" s="58"/>
      <c r="AG935" s="59"/>
      <c r="AH935" s="60"/>
      <c r="AI935" s="59"/>
      <c r="AJ935" s="59"/>
      <c r="AK935" s="60"/>
      <c r="AL935" s="60"/>
      <c r="AM935" s="64"/>
      <c r="AN935" s="83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59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1"/>
      <c r="E938" s="58"/>
      <c r="F938" s="58"/>
      <c r="G938" s="58"/>
      <c r="H938" s="58"/>
      <c r="I938" s="59"/>
      <c r="J938" s="59"/>
      <c r="K938" s="60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63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59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84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60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63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1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84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84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65"/>
      <c r="AP945" s="83"/>
      <c r="AQ945" s="83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60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6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60"/>
      <c r="J947" s="60"/>
      <c r="K947" s="60"/>
      <c r="L947" s="59"/>
      <c r="M947" s="60"/>
      <c r="N947" s="60"/>
      <c r="O947" s="64"/>
      <c r="P947" s="84"/>
      <c r="Q947" s="65"/>
      <c r="R947" s="84"/>
      <c r="S947" s="84"/>
      <c r="T947" s="58"/>
      <c r="U947" s="60"/>
      <c r="V947" s="60"/>
      <c r="W947" s="60"/>
      <c r="X947" s="59"/>
      <c r="Y947" s="60"/>
      <c r="Z947" s="60"/>
      <c r="AA947" s="64"/>
      <c r="AB947" s="84"/>
      <c r="AC947" s="65"/>
      <c r="AD947" s="84"/>
      <c r="AE947" s="84"/>
      <c r="AF947" s="58"/>
      <c r="AG947" s="60"/>
      <c r="AH947" s="60"/>
      <c r="AI947" s="60"/>
      <c r="AJ947" s="59"/>
      <c r="AK947" s="60"/>
      <c r="AL947" s="60"/>
      <c r="AM947" s="64"/>
      <c r="AN947" s="83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6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6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83"/>
      <c r="AQ948" s="83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59"/>
      <c r="L949" s="59"/>
      <c r="M949" s="60"/>
      <c r="N949" s="60"/>
      <c r="O949" s="64"/>
      <c r="P949" s="84"/>
      <c r="Q949" s="67"/>
      <c r="R949" s="84"/>
      <c r="S949" s="60"/>
      <c r="T949" s="58"/>
      <c r="U949" s="60"/>
      <c r="V949" s="60"/>
      <c r="W949" s="60"/>
      <c r="X949" s="59"/>
      <c r="Y949" s="60"/>
      <c r="Z949" s="60"/>
      <c r="AA949" s="64"/>
      <c r="AB949" s="84"/>
      <c r="AC949" s="67"/>
      <c r="AD949" s="60"/>
      <c r="AE949" s="60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60"/>
      <c r="L950" s="59"/>
      <c r="M950" s="60"/>
      <c r="N950" s="60"/>
      <c r="O950" s="64"/>
      <c r="P950" s="84"/>
      <c r="Q950" s="67"/>
      <c r="R950" s="84"/>
      <c r="S950" s="84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84"/>
      <c r="AE950" s="84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60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83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60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83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4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60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84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60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83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60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60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83"/>
      <c r="AN966" s="83"/>
      <c r="AO966" s="83"/>
      <c r="AP966" s="83"/>
      <c r="AQ966" s="83"/>
      <c r="AR966" s="83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84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84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84"/>
      <c r="P968" s="84"/>
      <c r="Q968" s="84"/>
      <c r="R968" s="84"/>
      <c r="S968" s="84"/>
      <c r="T968" s="84"/>
      <c r="U968" s="60"/>
      <c r="V968" s="60"/>
      <c r="W968" s="60"/>
      <c r="X968" s="59"/>
      <c r="Y968" s="60"/>
      <c r="Z968" s="60"/>
      <c r="AA968" s="84"/>
      <c r="AB968" s="84"/>
      <c r="AC968" s="84"/>
      <c r="AD968" s="84"/>
      <c r="AE968" s="84"/>
      <c r="AF968" s="84"/>
      <c r="AG968" s="60"/>
      <c r="AH968" s="60"/>
      <c r="AI968" s="60"/>
      <c r="AJ968" s="59"/>
      <c r="AK968" s="60"/>
      <c r="AL968" s="60"/>
      <c r="AM968" s="83"/>
      <c r="AN968" s="83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2:53" x14ac:dyDescent="0.25">
      <c r="B969" s="60"/>
      <c r="C969" s="84"/>
      <c r="D969" s="84"/>
      <c r="E969" s="84"/>
      <c r="F969" s="84"/>
      <c r="G969" s="84"/>
      <c r="H969" s="84"/>
      <c r="I969" s="60"/>
      <c r="J969" s="60"/>
      <c r="K969" s="60"/>
      <c r="L969" s="60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60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68"/>
      <c r="F970" s="68"/>
      <c r="G970" s="68"/>
      <c r="H970" s="68"/>
      <c r="I970" s="61"/>
      <c r="J970" s="68"/>
      <c r="K970" s="68"/>
      <c r="L970" s="68"/>
      <c r="M970" s="60"/>
      <c r="N970" s="60"/>
      <c r="O970" s="84"/>
      <c r="P970" s="84"/>
      <c r="Q970" s="68"/>
      <c r="R970" s="68"/>
      <c r="S970" s="68"/>
      <c r="T970" s="68"/>
      <c r="U970" s="61"/>
      <c r="V970" s="68"/>
      <c r="W970" s="68"/>
      <c r="X970" s="68"/>
      <c r="Y970" s="60"/>
      <c r="Z970" s="60"/>
      <c r="AA970" s="84"/>
      <c r="AB970" s="84"/>
      <c r="AC970" s="68"/>
      <c r="AD970" s="68"/>
      <c r="AE970" s="68"/>
      <c r="AF970" s="68"/>
      <c r="AG970" s="61"/>
      <c r="AH970" s="68"/>
      <c r="AI970" s="68"/>
      <c r="AJ970" s="68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83"/>
      <c r="D972" s="83"/>
      <c r="E972" s="83"/>
      <c r="F972" s="83"/>
      <c r="G972" s="83"/>
      <c r="H972" s="83"/>
      <c r="I972" s="60"/>
      <c r="J972" s="60"/>
      <c r="K972" s="60"/>
      <c r="L972" s="60"/>
      <c r="M972" s="60"/>
      <c r="N972" s="60"/>
      <c r="O972" s="83"/>
      <c r="P972" s="83"/>
      <c r="Q972" s="83"/>
      <c r="R972" s="83"/>
      <c r="S972" s="83"/>
      <c r="T972" s="83"/>
      <c r="U972" s="60"/>
      <c r="V972" s="60"/>
      <c r="W972" s="60"/>
      <c r="X972" s="60"/>
      <c r="Y972" s="60"/>
      <c r="Z972" s="60"/>
      <c r="AA972" s="83"/>
      <c r="AB972" s="83"/>
      <c r="AC972" s="83"/>
      <c r="AD972" s="83"/>
      <c r="AE972" s="83"/>
      <c r="AF972" s="83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1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1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1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0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0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0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ht="15.75" x14ac:dyDescent="0.25">
      <c r="B975" s="60"/>
      <c r="C975" s="83"/>
      <c r="D975" s="83"/>
      <c r="E975" s="83"/>
      <c r="F975" s="83"/>
      <c r="G975" s="83"/>
      <c r="H975" s="83"/>
      <c r="I975" s="60"/>
      <c r="J975" s="83"/>
      <c r="K975" s="71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83"/>
      <c r="W975" s="71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83"/>
      <c r="AI975" s="83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x14ac:dyDescent="0.25">
      <c r="B976" s="62"/>
      <c r="C976" s="83"/>
      <c r="D976" s="83"/>
      <c r="E976" s="83"/>
      <c r="F976" s="83"/>
      <c r="G976" s="83"/>
      <c r="H976" s="83"/>
      <c r="I976" s="60"/>
      <c r="J976" s="63"/>
      <c r="K976" s="63"/>
      <c r="L976" s="60"/>
      <c r="M976" s="60"/>
      <c r="N976" s="62"/>
      <c r="O976" s="83"/>
      <c r="P976" s="83"/>
      <c r="Q976" s="83"/>
      <c r="R976" s="83"/>
      <c r="S976" s="83"/>
      <c r="T976" s="83"/>
      <c r="U976" s="60"/>
      <c r="V976" s="63"/>
      <c r="W976" s="63"/>
      <c r="X976" s="60"/>
      <c r="Y976" s="60"/>
      <c r="Z976" s="62"/>
      <c r="AA976" s="83"/>
      <c r="AB976" s="83"/>
      <c r="AC976" s="83"/>
      <c r="AD976" s="83"/>
      <c r="AE976" s="83"/>
      <c r="AF976" s="83"/>
      <c r="AG976" s="60"/>
      <c r="AH976" s="63"/>
      <c r="AI976" s="6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0"/>
      <c r="C977" s="83"/>
      <c r="D977" s="83"/>
      <c r="E977" s="83"/>
      <c r="F977" s="83"/>
      <c r="G977" s="83"/>
      <c r="H977" s="83"/>
      <c r="I977" s="60"/>
      <c r="J977" s="60"/>
      <c r="K977" s="60"/>
      <c r="L977" s="60"/>
      <c r="M977" s="60"/>
      <c r="N977" s="60"/>
      <c r="O977" s="83"/>
      <c r="P977" s="83"/>
      <c r="Q977" s="83"/>
      <c r="R977" s="83"/>
      <c r="S977" s="83"/>
      <c r="T977" s="83"/>
      <c r="U977" s="60"/>
      <c r="V977" s="60"/>
      <c r="W977" s="60"/>
      <c r="X977" s="60"/>
      <c r="Y977" s="60"/>
      <c r="Z977" s="60"/>
      <c r="AA977" s="83"/>
      <c r="AB977" s="83"/>
      <c r="AC977" s="83"/>
      <c r="AD977" s="83"/>
      <c r="AE977" s="83"/>
      <c r="AF977" s="83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63"/>
      <c r="D978" s="83"/>
      <c r="E978" s="119"/>
      <c r="F978" s="119"/>
      <c r="G978" s="83"/>
      <c r="H978" s="83"/>
      <c r="I978" s="60"/>
      <c r="J978" s="119"/>
      <c r="K978" s="119"/>
      <c r="L978" s="118"/>
      <c r="M978" s="60"/>
      <c r="N978" s="60"/>
      <c r="O978" s="63"/>
      <c r="P978" s="83"/>
      <c r="Q978" s="119"/>
      <c r="R978" s="119"/>
      <c r="S978" s="83"/>
      <c r="T978" s="83"/>
      <c r="U978" s="60"/>
      <c r="V978" s="119"/>
      <c r="W978" s="119"/>
      <c r="X978" s="118"/>
      <c r="Y978" s="60"/>
      <c r="Z978" s="60"/>
      <c r="AA978" s="63"/>
      <c r="AB978" s="83"/>
      <c r="AC978" s="119"/>
      <c r="AD978" s="119"/>
      <c r="AE978" s="83"/>
      <c r="AF978" s="83"/>
      <c r="AG978" s="60"/>
      <c r="AH978" s="119"/>
      <c r="AI978" s="119"/>
      <c r="AJ978" s="118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83"/>
      <c r="D979" s="83"/>
      <c r="E979" s="76"/>
      <c r="F979" s="77"/>
      <c r="G979" s="78"/>
      <c r="H979" s="78"/>
      <c r="I979" s="60"/>
      <c r="J979" s="82"/>
      <c r="K979" s="82"/>
      <c r="L979" s="118"/>
      <c r="M979" s="60"/>
      <c r="N979" s="60"/>
      <c r="O979" s="83"/>
      <c r="P979" s="83"/>
      <c r="Q979" s="76"/>
      <c r="R979" s="78"/>
      <c r="S979" s="78"/>
      <c r="T979" s="78"/>
      <c r="U979" s="60"/>
      <c r="V979" s="82"/>
      <c r="W979" s="82"/>
      <c r="X979" s="118"/>
      <c r="Y979" s="60"/>
      <c r="Z979" s="60"/>
      <c r="AA979" s="83"/>
      <c r="AB979" s="83"/>
      <c r="AC979" s="76"/>
      <c r="AD979" s="78"/>
      <c r="AE979" s="78"/>
      <c r="AF979" s="78"/>
      <c r="AG979" s="60"/>
      <c r="AH979" s="82"/>
      <c r="AI979" s="82"/>
      <c r="AJ979" s="118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64"/>
      <c r="D980" s="81"/>
      <c r="E980" s="58"/>
      <c r="F980" s="58"/>
      <c r="G980" s="58"/>
      <c r="H980" s="58"/>
      <c r="I980" s="59"/>
      <c r="J980" s="59"/>
      <c r="K980" s="59"/>
      <c r="L980" s="59"/>
      <c r="M980" s="60"/>
      <c r="N980" s="60"/>
      <c r="O980" s="64"/>
      <c r="P980" s="83"/>
      <c r="Q980" s="58"/>
      <c r="R980" s="58"/>
      <c r="S980" s="58"/>
      <c r="T980" s="58"/>
      <c r="U980" s="59"/>
      <c r="V980" s="59"/>
      <c r="W980" s="59"/>
      <c r="X980" s="59"/>
      <c r="Y980" s="60"/>
      <c r="Z980" s="60"/>
      <c r="AA980" s="64"/>
      <c r="AB980" s="83"/>
      <c r="AC980" s="58"/>
      <c r="AD980" s="58"/>
      <c r="AE980" s="58"/>
      <c r="AF980" s="58"/>
      <c r="AG980" s="59"/>
      <c r="AH980" s="59"/>
      <c r="AI980" s="59"/>
      <c r="AJ980" s="59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3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63"/>
      <c r="AC983" s="58"/>
      <c r="AD983" s="58"/>
      <c r="AE983" s="58"/>
      <c r="AF983" s="58"/>
      <c r="AG983" s="59"/>
      <c r="AH983" s="60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83"/>
      <c r="AC984" s="58"/>
      <c r="AD984" s="58"/>
      <c r="AE984" s="58"/>
      <c r="AF984" s="58"/>
      <c r="AG984" s="59"/>
      <c r="AH984" s="59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60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60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59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59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60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60"/>
      <c r="AD988" s="58"/>
      <c r="AE988" s="58"/>
      <c r="AF988" s="58"/>
      <c r="AG988" s="59"/>
      <c r="AH988" s="60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58"/>
      <c r="AD989" s="58"/>
      <c r="AE989" s="58"/>
      <c r="AF989" s="58"/>
      <c r="AG989" s="59"/>
      <c r="AH989" s="59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60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60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83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59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6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8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60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83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60"/>
      <c r="J1000" s="60"/>
      <c r="K1000" s="60"/>
      <c r="L1000" s="59"/>
      <c r="M1000" s="60"/>
      <c r="N1000" s="60"/>
      <c r="O1000" s="64"/>
      <c r="P1000" s="83"/>
      <c r="Q1000" s="65"/>
      <c r="R1000" s="83"/>
      <c r="S1000" s="83"/>
      <c r="T1000" s="58"/>
      <c r="U1000" s="60"/>
      <c r="V1000" s="60"/>
      <c r="W1000" s="60"/>
      <c r="X1000" s="59"/>
      <c r="Y1000" s="60"/>
      <c r="Z1000" s="60"/>
      <c r="AA1000" s="64"/>
      <c r="AB1000" s="83"/>
      <c r="AC1000" s="65"/>
      <c r="AD1000" s="83"/>
      <c r="AE1000" s="83"/>
      <c r="AF1000" s="58"/>
      <c r="AG1000" s="60"/>
      <c r="AH1000" s="60"/>
      <c r="AI1000" s="60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6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6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59"/>
      <c r="L1002" s="59"/>
      <c r="M1002" s="60"/>
      <c r="N1002" s="60"/>
      <c r="O1002" s="64"/>
      <c r="P1002" s="83"/>
      <c r="Q1002" s="67"/>
      <c r="R1002" s="83"/>
      <c r="S1002" s="60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7"/>
      <c r="AD1002" s="60"/>
      <c r="AE1002" s="60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60"/>
      <c r="L1003" s="59"/>
      <c r="M1003" s="60"/>
      <c r="N1003" s="60"/>
      <c r="O1003" s="64"/>
      <c r="P1003" s="83"/>
      <c r="Q1003" s="67"/>
      <c r="R1003" s="83"/>
      <c r="S1003" s="83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83"/>
      <c r="AE1003" s="83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60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6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83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8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60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1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60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3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83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83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1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60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83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3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60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83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60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60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83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83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64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83"/>
      <c r="P1021" s="83"/>
      <c r="Q1021" s="83"/>
      <c r="R1021" s="83"/>
      <c r="S1021" s="83"/>
      <c r="T1021" s="83"/>
      <c r="U1021" s="60"/>
      <c r="V1021" s="60"/>
      <c r="W1021" s="60"/>
      <c r="X1021" s="59"/>
      <c r="Y1021" s="60"/>
      <c r="Z1021" s="60"/>
      <c r="AA1021" s="83"/>
      <c r="AB1021" s="83"/>
      <c r="AC1021" s="83"/>
      <c r="AD1021" s="83"/>
      <c r="AE1021" s="83"/>
      <c r="AF1021" s="83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83"/>
      <c r="D1022" s="83"/>
      <c r="E1022" s="83"/>
      <c r="F1022" s="83"/>
      <c r="G1022" s="83"/>
      <c r="H1022" s="83"/>
      <c r="I1022" s="60"/>
      <c r="J1022" s="60"/>
      <c r="K1022" s="60"/>
      <c r="L1022" s="60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60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68"/>
      <c r="F1023" s="68"/>
      <c r="G1023" s="68"/>
      <c r="H1023" s="68"/>
      <c r="I1023" s="61"/>
      <c r="J1023" s="68"/>
      <c r="K1023" s="68"/>
      <c r="L1023" s="68"/>
      <c r="M1023" s="60"/>
      <c r="N1023" s="60"/>
      <c r="O1023" s="83"/>
      <c r="P1023" s="83"/>
      <c r="Q1023" s="68"/>
      <c r="R1023" s="68"/>
      <c r="S1023" s="68"/>
      <c r="T1023" s="68"/>
      <c r="U1023" s="61"/>
      <c r="V1023" s="69"/>
      <c r="W1023" s="69"/>
      <c r="X1023" s="69"/>
      <c r="Y1023" s="60"/>
      <c r="Z1023" s="60"/>
      <c r="AA1023" s="83"/>
      <c r="AB1023" s="83"/>
      <c r="AC1023" s="68"/>
      <c r="AD1023" s="68"/>
      <c r="AE1023" s="68"/>
      <c r="AF1023" s="68"/>
      <c r="AG1023" s="61"/>
      <c r="AH1023" s="69"/>
      <c r="AI1023" s="69"/>
      <c r="AJ1023" s="69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83"/>
      <c r="D1025" s="83"/>
      <c r="E1025" s="83"/>
      <c r="F1025" s="83"/>
      <c r="G1025" s="83"/>
      <c r="H1025" s="83"/>
      <c r="I1025" s="60"/>
      <c r="J1025" s="60"/>
      <c r="K1025" s="60"/>
      <c r="L1025" s="60"/>
      <c r="M1025" s="60"/>
      <c r="N1025" s="60"/>
      <c r="O1025" s="83"/>
      <c r="P1025" s="83"/>
      <c r="Q1025" s="83"/>
      <c r="R1025" s="83"/>
      <c r="S1025" s="83"/>
      <c r="T1025" s="83"/>
      <c r="U1025" s="60"/>
      <c r="V1025" s="60"/>
      <c r="W1025" s="60"/>
      <c r="X1025" s="60"/>
      <c r="Y1025" s="60"/>
      <c r="Z1025" s="60"/>
      <c r="AA1025" s="83"/>
      <c r="AB1025" s="83"/>
      <c r="AC1025" s="83"/>
      <c r="AD1025" s="83"/>
      <c r="AE1025" s="83"/>
      <c r="AF1025" s="83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1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1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1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0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0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0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ht="15.75" x14ac:dyDescent="0.25">
      <c r="B1030" s="60"/>
      <c r="C1030" s="83"/>
      <c r="D1030" s="83"/>
      <c r="E1030" s="83"/>
      <c r="F1030" s="83"/>
      <c r="G1030" s="83"/>
      <c r="H1030" s="83"/>
      <c r="I1030" s="60"/>
      <c r="J1030" s="83"/>
      <c r="K1030" s="71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83"/>
      <c r="W1030" s="71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83"/>
      <c r="AI1030" s="83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x14ac:dyDescent="0.25">
      <c r="B1031" s="62"/>
      <c r="C1031" s="83"/>
      <c r="D1031" s="83"/>
      <c r="E1031" s="83"/>
      <c r="F1031" s="83"/>
      <c r="G1031" s="83"/>
      <c r="H1031" s="83"/>
      <c r="I1031" s="60"/>
      <c r="J1031" s="63"/>
      <c r="K1031" s="63"/>
      <c r="L1031" s="60"/>
      <c r="M1031" s="60"/>
      <c r="N1031" s="62"/>
      <c r="O1031" s="83"/>
      <c r="P1031" s="83"/>
      <c r="Q1031" s="83"/>
      <c r="R1031" s="83"/>
      <c r="S1031" s="83"/>
      <c r="T1031" s="83"/>
      <c r="U1031" s="60"/>
      <c r="V1031" s="63"/>
      <c r="W1031" s="63"/>
      <c r="X1031" s="60"/>
      <c r="Y1031" s="60"/>
      <c r="Z1031" s="62"/>
      <c r="AA1031" s="83"/>
      <c r="AB1031" s="83"/>
      <c r="AC1031" s="83"/>
      <c r="AD1031" s="83"/>
      <c r="AE1031" s="83"/>
      <c r="AF1031" s="83"/>
      <c r="AG1031" s="60"/>
      <c r="AH1031" s="63"/>
      <c r="AI1031" s="6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0"/>
      <c r="C1032" s="83"/>
      <c r="D1032" s="83"/>
      <c r="E1032" s="83"/>
      <c r="F1032" s="83"/>
      <c r="G1032" s="83"/>
      <c r="H1032" s="83"/>
      <c r="I1032" s="60"/>
      <c r="J1032" s="60"/>
      <c r="K1032" s="60"/>
      <c r="L1032" s="60"/>
      <c r="M1032" s="60"/>
      <c r="N1032" s="60"/>
      <c r="O1032" s="83"/>
      <c r="P1032" s="83"/>
      <c r="Q1032" s="83"/>
      <c r="R1032" s="83"/>
      <c r="S1032" s="83"/>
      <c r="T1032" s="83"/>
      <c r="U1032" s="60"/>
      <c r="V1032" s="60"/>
      <c r="W1032" s="60"/>
      <c r="X1032" s="60"/>
      <c r="Y1032" s="60"/>
      <c r="Z1032" s="60"/>
      <c r="AA1032" s="83"/>
      <c r="AB1032" s="83"/>
      <c r="AC1032" s="83"/>
      <c r="AD1032" s="83"/>
      <c r="AE1032" s="83"/>
      <c r="AF1032" s="83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63"/>
      <c r="D1033" s="83"/>
      <c r="E1033" s="119"/>
      <c r="F1033" s="119"/>
      <c r="G1033" s="83"/>
      <c r="H1033" s="83"/>
      <c r="I1033" s="60"/>
      <c r="J1033" s="119"/>
      <c r="K1033" s="119"/>
      <c r="L1033" s="118"/>
      <c r="M1033" s="60"/>
      <c r="N1033" s="60"/>
      <c r="O1033" s="63"/>
      <c r="P1033" s="83"/>
      <c r="Q1033" s="119"/>
      <c r="R1033" s="119"/>
      <c r="S1033" s="83"/>
      <c r="T1033" s="83"/>
      <c r="U1033" s="60"/>
      <c r="V1033" s="119"/>
      <c r="W1033" s="119"/>
      <c r="X1033" s="118"/>
      <c r="Y1033" s="60"/>
      <c r="Z1033" s="60"/>
      <c r="AA1033" s="63"/>
      <c r="AB1033" s="83"/>
      <c r="AC1033" s="119"/>
      <c r="AD1033" s="119"/>
      <c r="AE1033" s="83"/>
      <c r="AF1033" s="83"/>
      <c r="AG1033" s="60"/>
      <c r="AH1033" s="119"/>
      <c r="AI1033" s="119"/>
      <c r="AJ1033" s="118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83"/>
      <c r="D1034" s="83"/>
      <c r="E1034" s="76"/>
      <c r="F1034" s="77"/>
      <c r="G1034" s="78"/>
      <c r="H1034" s="78"/>
      <c r="I1034" s="60"/>
      <c r="J1034" s="82"/>
      <c r="K1034" s="82"/>
      <c r="L1034" s="118"/>
      <c r="M1034" s="60"/>
      <c r="N1034" s="60"/>
      <c r="O1034" s="83"/>
      <c r="P1034" s="83"/>
      <c r="Q1034" s="76"/>
      <c r="R1034" s="78"/>
      <c r="S1034" s="78"/>
      <c r="T1034" s="78"/>
      <c r="U1034" s="60"/>
      <c r="V1034" s="82"/>
      <c r="W1034" s="82"/>
      <c r="X1034" s="118"/>
      <c r="Y1034" s="60"/>
      <c r="Z1034" s="60"/>
      <c r="AA1034" s="83"/>
      <c r="AB1034" s="83"/>
      <c r="AC1034" s="76"/>
      <c r="AD1034" s="78"/>
      <c r="AE1034" s="78"/>
      <c r="AF1034" s="78"/>
      <c r="AG1034" s="60"/>
      <c r="AH1034" s="82"/>
      <c r="AI1034" s="82"/>
      <c r="AJ1034" s="118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64"/>
      <c r="D1035" s="81"/>
      <c r="E1035" s="58"/>
      <c r="F1035" s="58"/>
      <c r="G1035" s="58"/>
      <c r="H1035" s="58"/>
      <c r="I1035" s="59"/>
      <c r="J1035" s="59"/>
      <c r="K1035" s="59"/>
      <c r="L1035" s="59"/>
      <c r="M1035" s="60"/>
      <c r="N1035" s="60"/>
      <c r="O1035" s="64"/>
      <c r="P1035" s="83"/>
      <c r="Q1035" s="58"/>
      <c r="R1035" s="58"/>
      <c r="S1035" s="58"/>
      <c r="T1035" s="58"/>
      <c r="U1035" s="59"/>
      <c r="V1035" s="59"/>
      <c r="W1035" s="59"/>
      <c r="X1035" s="59"/>
      <c r="Y1035" s="60"/>
      <c r="Z1035" s="60"/>
      <c r="AA1035" s="64"/>
      <c r="AB1035" s="83"/>
      <c r="AC1035" s="58"/>
      <c r="AD1035" s="58"/>
      <c r="AE1035" s="58"/>
      <c r="AF1035" s="58"/>
      <c r="AG1035" s="59"/>
      <c r="AH1035" s="59"/>
      <c r="AI1035" s="59"/>
      <c r="AJ1035" s="59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3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60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59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60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60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59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59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6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60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8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58"/>
      <c r="AF1043" s="58"/>
      <c r="AG1043" s="59"/>
      <c r="AH1043" s="60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59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60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6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59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8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6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8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60"/>
      <c r="J1055" s="60"/>
      <c r="K1055" s="60"/>
      <c r="L1055" s="59"/>
      <c r="M1055" s="60"/>
      <c r="N1055" s="60"/>
      <c r="O1055" s="64"/>
      <c r="P1055" s="83"/>
      <c r="Q1055" s="65"/>
      <c r="R1055" s="83"/>
      <c r="S1055" s="83"/>
      <c r="T1055" s="58"/>
      <c r="U1055" s="60"/>
      <c r="V1055" s="60"/>
      <c r="W1055" s="60"/>
      <c r="X1055" s="59"/>
      <c r="Y1055" s="60"/>
      <c r="Z1055" s="60"/>
      <c r="AA1055" s="64"/>
      <c r="AB1055" s="60"/>
      <c r="AC1055" s="65"/>
      <c r="AD1055" s="83"/>
      <c r="AE1055" s="83"/>
      <c r="AF1055" s="58"/>
      <c r="AG1055" s="60"/>
      <c r="AH1055" s="60"/>
      <c r="AI1055" s="60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6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83"/>
      <c r="AC1056" s="66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59"/>
      <c r="L1057" s="59"/>
      <c r="M1057" s="60"/>
      <c r="N1057" s="60"/>
      <c r="O1057" s="64"/>
      <c r="P1057" s="83"/>
      <c r="Q1057" s="67"/>
      <c r="R1057" s="83"/>
      <c r="S1057" s="60"/>
      <c r="T1057" s="58"/>
      <c r="U1057" s="60"/>
      <c r="V1057" s="60"/>
      <c r="W1057" s="60"/>
      <c r="X1057" s="59"/>
      <c r="Y1057" s="60"/>
      <c r="Z1057" s="60"/>
      <c r="AA1057" s="64"/>
      <c r="AB1057" s="60"/>
      <c r="AC1057" s="67"/>
      <c r="AD1057" s="83"/>
      <c r="AE1057" s="60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60"/>
      <c r="L1058" s="59"/>
      <c r="M1058" s="60"/>
      <c r="N1058" s="60"/>
      <c r="O1058" s="64"/>
      <c r="P1058" s="83"/>
      <c r="Q1058" s="67"/>
      <c r="R1058" s="83"/>
      <c r="S1058" s="83"/>
      <c r="T1058" s="58"/>
      <c r="U1058" s="60"/>
      <c r="V1058" s="60"/>
      <c r="W1058" s="60"/>
      <c r="X1058" s="59"/>
      <c r="Y1058" s="60"/>
      <c r="Z1058" s="60"/>
      <c r="AA1058" s="64"/>
      <c r="AB1058" s="83"/>
      <c r="AC1058" s="67"/>
      <c r="AD1058" s="83"/>
      <c r="AE1058" s="83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60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83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1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60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3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83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1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3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60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83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60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60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83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83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64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83"/>
      <c r="P1076" s="83"/>
      <c r="Q1076" s="83"/>
      <c r="R1076" s="83"/>
      <c r="S1076" s="83"/>
      <c r="T1076" s="83"/>
      <c r="U1076" s="60"/>
      <c r="V1076" s="60"/>
      <c r="W1076" s="60"/>
      <c r="X1076" s="59"/>
      <c r="Y1076" s="60"/>
      <c r="Z1076" s="60"/>
      <c r="AA1076" s="83"/>
      <c r="AB1076" s="83"/>
      <c r="AC1076" s="83"/>
      <c r="AD1076" s="83"/>
      <c r="AE1076" s="83"/>
      <c r="AF1076" s="83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83"/>
      <c r="D1077" s="83"/>
      <c r="E1077" s="83"/>
      <c r="F1077" s="83"/>
      <c r="G1077" s="83"/>
      <c r="H1077" s="83"/>
      <c r="I1077" s="60"/>
      <c r="J1077" s="60"/>
      <c r="K1077" s="60"/>
      <c r="L1077" s="60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60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60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68"/>
      <c r="F1078" s="68"/>
      <c r="G1078" s="68"/>
      <c r="H1078" s="68"/>
      <c r="I1078" s="61"/>
      <c r="J1078" s="68"/>
      <c r="K1078" s="68"/>
      <c r="L1078" s="68"/>
      <c r="M1078" s="60"/>
      <c r="N1078" s="60"/>
      <c r="O1078" s="83"/>
      <c r="P1078" s="83"/>
      <c r="Q1078" s="68"/>
      <c r="R1078" s="68"/>
      <c r="S1078" s="68"/>
      <c r="T1078" s="68"/>
      <c r="U1078" s="61"/>
      <c r="V1078" s="69"/>
      <c r="W1078" s="69"/>
      <c r="X1078" s="69"/>
      <c r="Y1078" s="60"/>
      <c r="Z1078" s="60"/>
      <c r="AA1078" s="83"/>
      <c r="AB1078" s="83"/>
      <c r="AC1078" s="68"/>
      <c r="AD1078" s="68"/>
      <c r="AE1078" s="68"/>
      <c r="AF1078" s="68"/>
      <c r="AG1078" s="61"/>
      <c r="AH1078" s="69"/>
      <c r="AI1078" s="69"/>
      <c r="AJ1078" s="69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83"/>
      <c r="D1080" s="83"/>
      <c r="E1080" s="83"/>
      <c r="F1080" s="83"/>
      <c r="G1080" s="83"/>
      <c r="H1080" s="83"/>
      <c r="I1080" s="60"/>
      <c r="J1080" s="60"/>
      <c r="K1080" s="60"/>
      <c r="L1080" s="60"/>
      <c r="M1080" s="60"/>
      <c r="N1080" s="60"/>
      <c r="O1080" s="83"/>
      <c r="P1080" s="83"/>
      <c r="Q1080" s="83"/>
      <c r="R1080" s="83"/>
      <c r="S1080" s="83"/>
      <c r="T1080" s="83"/>
      <c r="U1080" s="60"/>
      <c r="V1080" s="60"/>
      <c r="W1080" s="60"/>
      <c r="X1080" s="60"/>
      <c r="Y1080" s="60"/>
      <c r="Z1080" s="60"/>
      <c r="AA1080" s="83"/>
      <c r="AB1080" s="83"/>
      <c r="AC1080" s="83"/>
      <c r="AD1080" s="83"/>
      <c r="AE1080" s="83"/>
      <c r="AF1080" s="83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1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1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1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0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0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0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ht="15.75" x14ac:dyDescent="0.25">
      <c r="B1085" s="60"/>
      <c r="C1085" s="83"/>
      <c r="D1085" s="83"/>
      <c r="E1085" s="83"/>
      <c r="F1085" s="83"/>
      <c r="G1085" s="83"/>
      <c r="H1085" s="83"/>
      <c r="I1085" s="60"/>
      <c r="J1085" s="83"/>
      <c r="K1085" s="71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83"/>
      <c r="W1085" s="71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83"/>
      <c r="AI1085" s="83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x14ac:dyDescent="0.25">
      <c r="B1086" s="62"/>
      <c r="C1086" s="83"/>
      <c r="D1086" s="83"/>
      <c r="E1086" s="83"/>
      <c r="F1086" s="83"/>
      <c r="G1086" s="83"/>
      <c r="H1086" s="83"/>
      <c r="I1086" s="60"/>
      <c r="J1086" s="63"/>
      <c r="K1086" s="63"/>
      <c r="L1086" s="60"/>
      <c r="M1086" s="60"/>
      <c r="N1086" s="62"/>
      <c r="O1086" s="83"/>
      <c r="P1086" s="83"/>
      <c r="Q1086" s="83"/>
      <c r="R1086" s="83"/>
      <c r="S1086" s="83"/>
      <c r="T1086" s="83"/>
      <c r="U1086" s="60"/>
      <c r="V1086" s="63"/>
      <c r="W1086" s="63"/>
      <c r="X1086" s="60"/>
      <c r="Y1086" s="60"/>
      <c r="Z1086" s="62"/>
      <c r="AA1086" s="83"/>
      <c r="AB1086" s="83"/>
      <c r="AC1086" s="83"/>
      <c r="AD1086" s="83"/>
      <c r="AE1086" s="83"/>
      <c r="AF1086" s="83"/>
      <c r="AG1086" s="60"/>
      <c r="AH1086" s="63"/>
      <c r="AI1086" s="6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0"/>
      <c r="C1087" s="83"/>
      <c r="D1087" s="83"/>
      <c r="E1087" s="83"/>
      <c r="F1087" s="83"/>
      <c r="G1087" s="83"/>
      <c r="H1087" s="83"/>
      <c r="I1087" s="60"/>
      <c r="J1087" s="60"/>
      <c r="K1087" s="60"/>
      <c r="L1087" s="60"/>
      <c r="M1087" s="60"/>
      <c r="N1087" s="60"/>
      <c r="O1087" s="83"/>
      <c r="P1087" s="83"/>
      <c r="Q1087" s="83"/>
      <c r="R1087" s="83"/>
      <c r="S1087" s="83"/>
      <c r="T1087" s="83"/>
      <c r="U1087" s="60"/>
      <c r="V1087" s="60"/>
      <c r="W1087" s="60"/>
      <c r="X1087" s="60"/>
      <c r="Y1087" s="60"/>
      <c r="Z1087" s="60"/>
      <c r="AA1087" s="83"/>
      <c r="AB1087" s="83"/>
      <c r="AC1087" s="83"/>
      <c r="AD1087" s="83"/>
      <c r="AE1087" s="83"/>
      <c r="AF1087" s="83"/>
      <c r="AG1087" s="60"/>
      <c r="AH1087" s="60"/>
      <c r="AI1087" s="60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63"/>
      <c r="D1088" s="83"/>
      <c r="E1088" s="119"/>
      <c r="F1088" s="119"/>
      <c r="G1088" s="83"/>
      <c r="H1088" s="83"/>
      <c r="I1088" s="60"/>
      <c r="J1088" s="119"/>
      <c r="K1088" s="119"/>
      <c r="L1088" s="118"/>
      <c r="M1088" s="60"/>
      <c r="N1088" s="60"/>
      <c r="O1088" s="63"/>
      <c r="P1088" s="83"/>
      <c r="Q1088" s="119"/>
      <c r="R1088" s="119"/>
      <c r="S1088" s="83"/>
      <c r="T1088" s="83"/>
      <c r="U1088" s="60"/>
      <c r="V1088" s="119"/>
      <c r="W1088" s="119"/>
      <c r="X1088" s="118"/>
      <c r="Y1088" s="60"/>
      <c r="Z1088" s="60"/>
      <c r="AA1088" s="63"/>
      <c r="AB1088" s="83"/>
      <c r="AC1088" s="119"/>
      <c r="AD1088" s="119"/>
      <c r="AE1088" s="83"/>
      <c r="AF1088" s="83"/>
      <c r="AG1088" s="60"/>
      <c r="AH1088" s="119"/>
      <c r="AI1088" s="119"/>
      <c r="AJ1088" s="118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83"/>
      <c r="D1089" s="83"/>
      <c r="E1089" s="76"/>
      <c r="F1089" s="77"/>
      <c r="G1089" s="78"/>
      <c r="H1089" s="78"/>
      <c r="I1089" s="60"/>
      <c r="J1089" s="82"/>
      <c r="K1089" s="82"/>
      <c r="L1089" s="118"/>
      <c r="M1089" s="60"/>
      <c r="N1089" s="60"/>
      <c r="O1089" s="83"/>
      <c r="P1089" s="83"/>
      <c r="Q1089" s="76"/>
      <c r="R1089" s="78"/>
      <c r="S1089" s="78"/>
      <c r="T1089" s="78"/>
      <c r="U1089" s="60"/>
      <c r="V1089" s="82"/>
      <c r="W1089" s="82"/>
      <c r="X1089" s="118"/>
      <c r="Y1089" s="60"/>
      <c r="Z1089" s="60"/>
      <c r="AA1089" s="83"/>
      <c r="AB1089" s="83"/>
      <c r="AC1089" s="76"/>
      <c r="AD1089" s="78"/>
      <c r="AE1089" s="78"/>
      <c r="AF1089" s="78"/>
      <c r="AG1089" s="60"/>
      <c r="AH1089" s="82"/>
      <c r="AI1089" s="82"/>
      <c r="AJ1089" s="118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64"/>
      <c r="D1090" s="81"/>
      <c r="E1090" s="58"/>
      <c r="F1090" s="58"/>
      <c r="G1090" s="58"/>
      <c r="H1090" s="58"/>
      <c r="I1090" s="59"/>
      <c r="J1090" s="59"/>
      <c r="K1090" s="59"/>
      <c r="L1090" s="59"/>
      <c r="M1090" s="60"/>
      <c r="N1090" s="60"/>
      <c r="O1090" s="64"/>
      <c r="P1090" s="83"/>
      <c r="Q1090" s="58"/>
      <c r="R1090" s="58"/>
      <c r="S1090" s="58"/>
      <c r="T1090" s="58"/>
      <c r="U1090" s="59"/>
      <c r="V1090" s="59"/>
      <c r="W1090" s="59"/>
      <c r="X1090" s="59"/>
      <c r="Y1090" s="60"/>
      <c r="Z1090" s="60"/>
      <c r="AA1090" s="64"/>
      <c r="AB1090" s="83"/>
      <c r="AC1090" s="58"/>
      <c r="AD1090" s="58"/>
      <c r="AE1090" s="58"/>
      <c r="AF1090" s="58"/>
      <c r="AG1090" s="59"/>
      <c r="AH1090" s="59"/>
      <c r="AI1090" s="59"/>
      <c r="AJ1090" s="59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3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6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60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8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59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60"/>
      <c r="X1095" s="59"/>
      <c r="Y1095" s="60"/>
      <c r="Z1095" s="60"/>
      <c r="AA1095" s="64"/>
      <c r="AB1095" s="63"/>
      <c r="AC1095" s="58"/>
      <c r="AD1095" s="58"/>
      <c r="AE1095" s="58"/>
      <c r="AF1095" s="58"/>
      <c r="AG1095" s="59"/>
      <c r="AH1095" s="59"/>
      <c r="AI1095" s="60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59"/>
      <c r="X1096" s="59"/>
      <c r="Y1096" s="60"/>
      <c r="Z1096" s="60"/>
      <c r="AA1096" s="64"/>
      <c r="AB1096" s="83"/>
      <c r="AC1096" s="58"/>
      <c r="AD1096" s="58"/>
      <c r="AE1096" s="58"/>
      <c r="AF1096" s="58"/>
      <c r="AG1096" s="59"/>
      <c r="AH1096" s="59"/>
      <c r="AI1096" s="59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60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60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83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58"/>
      <c r="AF1098" s="58"/>
      <c r="AG1098" s="59"/>
      <c r="AH1098" s="60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6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59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8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60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60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59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83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60"/>
      <c r="J1110" s="60"/>
      <c r="K1110" s="60"/>
      <c r="L1110" s="59"/>
      <c r="M1110" s="60"/>
      <c r="N1110" s="60"/>
      <c r="O1110" s="64"/>
      <c r="P1110" s="83"/>
      <c r="Q1110" s="65"/>
      <c r="R1110" s="83"/>
      <c r="S1110" s="83"/>
      <c r="T1110" s="58"/>
      <c r="U1110" s="60"/>
      <c r="V1110" s="60"/>
      <c r="W1110" s="60"/>
      <c r="X1110" s="59"/>
      <c r="Y1110" s="60"/>
      <c r="Z1110" s="60"/>
      <c r="AA1110" s="64"/>
      <c r="AB1110" s="60"/>
      <c r="AC1110" s="65"/>
      <c r="AD1110" s="83"/>
      <c r="AE1110" s="83"/>
      <c r="AF1110" s="58"/>
      <c r="AG1110" s="60"/>
      <c r="AH1110" s="60"/>
      <c r="AI1110" s="60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6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83"/>
      <c r="AC1111" s="66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59"/>
      <c r="L1112" s="59"/>
      <c r="M1112" s="60"/>
      <c r="N1112" s="60"/>
      <c r="O1112" s="64"/>
      <c r="P1112" s="83"/>
      <c r="Q1112" s="67"/>
      <c r="R1112" s="83"/>
      <c r="S1112" s="60"/>
      <c r="T1112" s="58"/>
      <c r="U1112" s="60"/>
      <c r="V1112" s="60"/>
      <c r="W1112" s="60"/>
      <c r="X1112" s="59"/>
      <c r="Y1112" s="60"/>
      <c r="Z1112" s="60"/>
      <c r="AA1112" s="64"/>
      <c r="AB1112" s="60"/>
      <c r="AC1112" s="67"/>
      <c r="AD1112" s="83"/>
      <c r="AE1112" s="60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60"/>
      <c r="L1113" s="59"/>
      <c r="M1113" s="60"/>
      <c r="N1113" s="60"/>
      <c r="O1113" s="64"/>
      <c r="P1113" s="83"/>
      <c r="Q1113" s="67"/>
      <c r="R1113" s="83"/>
      <c r="S1113" s="83"/>
      <c r="T1113" s="58"/>
      <c r="U1113" s="60"/>
      <c r="V1113" s="60"/>
      <c r="W1113" s="60"/>
      <c r="X1113" s="59"/>
      <c r="Y1113" s="60"/>
      <c r="Z1113" s="60"/>
      <c r="AA1113" s="64"/>
      <c r="AB1113" s="83"/>
      <c r="AC1113" s="67"/>
      <c r="AD1113" s="83"/>
      <c r="AE1113" s="83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60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83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1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60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3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83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1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3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60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83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60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60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83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83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64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83"/>
      <c r="P1131" s="83"/>
      <c r="Q1131" s="83"/>
      <c r="R1131" s="83"/>
      <c r="S1131" s="83"/>
      <c r="T1131" s="83"/>
      <c r="U1131" s="60"/>
      <c r="V1131" s="60"/>
      <c r="W1131" s="60"/>
      <c r="X1131" s="59"/>
      <c r="Y1131" s="60"/>
      <c r="Z1131" s="60"/>
      <c r="AA1131" s="83"/>
      <c r="AB1131" s="83"/>
      <c r="AC1131" s="83"/>
      <c r="AD1131" s="83"/>
      <c r="AE1131" s="83"/>
      <c r="AF1131" s="83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83"/>
      <c r="D1132" s="83"/>
      <c r="E1132" s="83"/>
      <c r="F1132" s="83"/>
      <c r="G1132" s="83"/>
      <c r="H1132" s="83"/>
      <c r="I1132" s="60"/>
      <c r="J1132" s="60"/>
      <c r="K1132" s="60"/>
      <c r="L1132" s="60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60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60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68"/>
      <c r="F1133" s="68"/>
      <c r="G1133" s="68"/>
      <c r="H1133" s="68"/>
      <c r="I1133" s="61"/>
      <c r="J1133" s="68"/>
      <c r="K1133" s="68"/>
      <c r="L1133" s="68"/>
      <c r="M1133" s="60"/>
      <c r="N1133" s="60"/>
      <c r="O1133" s="83"/>
      <c r="P1133" s="83"/>
      <c r="Q1133" s="68"/>
      <c r="R1133" s="68"/>
      <c r="S1133" s="68"/>
      <c r="T1133" s="68"/>
      <c r="U1133" s="61"/>
      <c r="V1133" s="69"/>
      <c r="W1133" s="69"/>
      <c r="X1133" s="69"/>
      <c r="Y1133" s="60"/>
      <c r="Z1133" s="60"/>
      <c r="AA1133" s="83"/>
      <c r="AB1133" s="83"/>
      <c r="AC1133" s="68"/>
      <c r="AD1133" s="68"/>
      <c r="AE1133" s="68"/>
      <c r="AF1133" s="68"/>
      <c r="AG1133" s="61"/>
      <c r="AH1133" s="69"/>
      <c r="AI1133" s="69"/>
      <c r="AJ1133" s="69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83"/>
      <c r="D1135" s="83"/>
      <c r="E1135" s="83"/>
      <c r="F1135" s="83"/>
      <c r="G1135" s="83"/>
      <c r="H1135" s="83"/>
      <c r="I1135" s="60"/>
      <c r="J1135" s="60"/>
      <c r="K1135" s="60"/>
      <c r="L1135" s="60"/>
      <c r="M1135" s="60"/>
      <c r="N1135" s="60"/>
      <c r="O1135" s="83"/>
      <c r="P1135" s="83"/>
      <c r="Q1135" s="83"/>
      <c r="R1135" s="83"/>
      <c r="S1135" s="83"/>
      <c r="T1135" s="83"/>
      <c r="U1135" s="60"/>
      <c r="V1135" s="60"/>
      <c r="W1135" s="60"/>
      <c r="X1135" s="60"/>
      <c r="Y1135" s="60"/>
      <c r="Z1135" s="60"/>
      <c r="AA1135" s="83"/>
      <c r="AB1135" s="83"/>
      <c r="AC1135" s="83"/>
      <c r="AD1135" s="83"/>
      <c r="AE1135" s="83"/>
      <c r="AF1135" s="83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1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1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1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0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0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0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ht="15.75" x14ac:dyDescent="0.25">
      <c r="B1140" s="60"/>
      <c r="C1140" s="83"/>
      <c r="D1140" s="83"/>
      <c r="E1140" s="83"/>
      <c r="F1140" s="83"/>
      <c r="G1140" s="83"/>
      <c r="H1140" s="83"/>
      <c r="I1140" s="60"/>
      <c r="J1140" s="83"/>
      <c r="K1140" s="71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83"/>
      <c r="W1140" s="71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83"/>
      <c r="AI1140" s="83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x14ac:dyDescent="0.25">
      <c r="B1141" s="62"/>
      <c r="C1141" s="83"/>
      <c r="D1141" s="83"/>
      <c r="E1141" s="83"/>
      <c r="F1141" s="83"/>
      <c r="G1141" s="83"/>
      <c r="H1141" s="83"/>
      <c r="I1141" s="60"/>
      <c r="J1141" s="63"/>
      <c r="K1141" s="63"/>
      <c r="L1141" s="60"/>
      <c r="M1141" s="60"/>
      <c r="N1141" s="62"/>
      <c r="O1141" s="83"/>
      <c r="P1141" s="83"/>
      <c r="Q1141" s="83"/>
      <c r="R1141" s="83"/>
      <c r="S1141" s="83"/>
      <c r="T1141" s="83"/>
      <c r="U1141" s="60"/>
      <c r="V1141" s="63"/>
      <c r="W1141" s="63"/>
      <c r="X1141" s="60"/>
      <c r="Y1141" s="60"/>
      <c r="Z1141" s="62"/>
      <c r="AA1141" s="83"/>
      <c r="AB1141" s="83"/>
      <c r="AC1141" s="83"/>
      <c r="AD1141" s="83"/>
      <c r="AE1141" s="83"/>
      <c r="AF1141" s="83"/>
      <c r="AG1141" s="60"/>
      <c r="AH1141" s="63"/>
      <c r="AI1141" s="6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0"/>
      <c r="C1142" s="83"/>
      <c r="D1142" s="83"/>
      <c r="E1142" s="83"/>
      <c r="F1142" s="83"/>
      <c r="G1142" s="83"/>
      <c r="H1142" s="83"/>
      <c r="I1142" s="60"/>
      <c r="J1142" s="60"/>
      <c r="K1142" s="60"/>
      <c r="L1142" s="60"/>
      <c r="M1142" s="60"/>
      <c r="N1142" s="60"/>
      <c r="O1142" s="83"/>
      <c r="P1142" s="83"/>
      <c r="Q1142" s="83"/>
      <c r="R1142" s="83"/>
      <c r="S1142" s="83"/>
      <c r="T1142" s="83"/>
      <c r="U1142" s="60"/>
      <c r="V1142" s="60"/>
      <c r="W1142" s="60"/>
      <c r="X1142" s="60"/>
      <c r="Y1142" s="60"/>
      <c r="Z1142" s="60"/>
      <c r="AA1142" s="83"/>
      <c r="AB1142" s="83"/>
      <c r="AC1142" s="83"/>
      <c r="AD1142" s="83"/>
      <c r="AE1142" s="83"/>
      <c r="AF1142" s="83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63"/>
      <c r="D1143" s="83"/>
      <c r="E1143" s="119"/>
      <c r="F1143" s="119"/>
      <c r="G1143" s="83"/>
      <c r="H1143" s="83"/>
      <c r="I1143" s="60"/>
      <c r="J1143" s="119"/>
      <c r="K1143" s="119"/>
      <c r="L1143" s="118"/>
      <c r="M1143" s="60"/>
      <c r="N1143" s="60"/>
      <c r="O1143" s="63"/>
      <c r="P1143" s="83"/>
      <c r="Q1143" s="119"/>
      <c r="R1143" s="119"/>
      <c r="S1143" s="83"/>
      <c r="T1143" s="83"/>
      <c r="U1143" s="60"/>
      <c r="V1143" s="119"/>
      <c r="W1143" s="119"/>
      <c r="X1143" s="118"/>
      <c r="Y1143" s="60"/>
      <c r="Z1143" s="60"/>
      <c r="AA1143" s="63"/>
      <c r="AB1143" s="83"/>
      <c r="AC1143" s="119"/>
      <c r="AD1143" s="119"/>
      <c r="AE1143" s="83"/>
      <c r="AF1143" s="83"/>
      <c r="AG1143" s="60"/>
      <c r="AH1143" s="119"/>
      <c r="AI1143" s="119"/>
      <c r="AJ1143" s="118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83"/>
      <c r="D1144" s="83"/>
      <c r="E1144" s="76"/>
      <c r="F1144" s="77"/>
      <c r="G1144" s="78"/>
      <c r="H1144" s="78"/>
      <c r="I1144" s="60"/>
      <c r="J1144" s="82"/>
      <c r="K1144" s="82"/>
      <c r="L1144" s="118"/>
      <c r="M1144" s="60"/>
      <c r="N1144" s="60"/>
      <c r="O1144" s="83"/>
      <c r="P1144" s="83"/>
      <c r="Q1144" s="76"/>
      <c r="R1144" s="78"/>
      <c r="S1144" s="78"/>
      <c r="T1144" s="78"/>
      <c r="U1144" s="60"/>
      <c r="V1144" s="82"/>
      <c r="W1144" s="82"/>
      <c r="X1144" s="118"/>
      <c r="Y1144" s="60"/>
      <c r="Z1144" s="60"/>
      <c r="AA1144" s="83"/>
      <c r="AB1144" s="83"/>
      <c r="AC1144" s="76"/>
      <c r="AD1144" s="78"/>
      <c r="AE1144" s="78"/>
      <c r="AF1144" s="78"/>
      <c r="AG1144" s="60"/>
      <c r="AH1144" s="82"/>
      <c r="AI1144" s="82"/>
      <c r="AJ1144" s="118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64"/>
      <c r="D1145" s="83"/>
      <c r="E1145" s="58"/>
      <c r="F1145" s="58"/>
      <c r="G1145" s="58"/>
      <c r="H1145" s="58"/>
      <c r="I1145" s="59"/>
      <c r="J1145" s="59"/>
      <c r="K1145" s="59"/>
      <c r="L1145" s="59"/>
      <c r="M1145" s="60"/>
      <c r="N1145" s="60"/>
      <c r="O1145" s="64"/>
      <c r="P1145" s="83"/>
      <c r="Q1145" s="58"/>
      <c r="R1145" s="58"/>
      <c r="S1145" s="58"/>
      <c r="T1145" s="58"/>
      <c r="U1145" s="59"/>
      <c r="V1145" s="59"/>
      <c r="W1145" s="59"/>
      <c r="X1145" s="59"/>
      <c r="Y1145" s="60"/>
      <c r="Z1145" s="60"/>
      <c r="AA1145" s="64"/>
      <c r="AB1145" s="83"/>
      <c r="AC1145" s="58"/>
      <c r="AD1145" s="58"/>
      <c r="AE1145" s="58"/>
      <c r="AF1145" s="58"/>
      <c r="AG1145" s="59"/>
      <c r="AH1145" s="59"/>
      <c r="AI1145" s="59"/>
      <c r="AJ1145" s="5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60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59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63"/>
      <c r="Q1150" s="58"/>
      <c r="R1150" s="58"/>
      <c r="S1150" s="58"/>
      <c r="T1150" s="58"/>
      <c r="U1150" s="59"/>
      <c r="V1150" s="59"/>
      <c r="W1150" s="60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60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6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83"/>
      <c r="Q1151" s="58"/>
      <c r="R1151" s="58"/>
      <c r="S1151" s="58"/>
      <c r="T1151" s="58"/>
      <c r="U1151" s="59"/>
      <c r="V1151" s="59"/>
      <c r="W1151" s="59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59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8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60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79"/>
      <c r="AD1153" s="58"/>
      <c r="AE1153" s="58"/>
      <c r="AF1153" s="58"/>
      <c r="AG1153" s="59"/>
      <c r="AH1153" s="60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58"/>
      <c r="AD1154" s="58"/>
      <c r="AE1154" s="58"/>
      <c r="AF1154" s="58"/>
      <c r="AG1154" s="59"/>
      <c r="AH1154" s="59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60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6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60"/>
      <c r="L1156" s="59"/>
      <c r="M1156" s="60"/>
      <c r="N1156" s="60"/>
      <c r="O1156" s="64"/>
      <c r="P1156" s="83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0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59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83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60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83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60"/>
      <c r="J1165" s="60"/>
      <c r="K1165" s="60"/>
      <c r="L1165" s="59"/>
      <c r="M1165" s="60"/>
      <c r="N1165" s="60"/>
      <c r="O1165" s="64"/>
      <c r="P1165" s="60"/>
      <c r="Q1165" s="65"/>
      <c r="R1165" s="83"/>
      <c r="S1165" s="83"/>
      <c r="T1165" s="58"/>
      <c r="U1165" s="60"/>
      <c r="V1165" s="60"/>
      <c r="W1165" s="60"/>
      <c r="X1165" s="59"/>
      <c r="Y1165" s="60"/>
      <c r="Z1165" s="60"/>
      <c r="AA1165" s="64"/>
      <c r="AB1165" s="83"/>
      <c r="AC1165" s="65"/>
      <c r="AD1165" s="83"/>
      <c r="AE1165" s="83"/>
      <c r="AF1165" s="58"/>
      <c r="AG1165" s="60"/>
      <c r="AH1165" s="60"/>
      <c r="AI1165" s="60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83"/>
      <c r="Q1166" s="66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6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59"/>
      <c r="L1167" s="59"/>
      <c r="M1167" s="60"/>
      <c r="N1167" s="60"/>
      <c r="O1167" s="64"/>
      <c r="P1167" s="83"/>
      <c r="Q1167" s="67"/>
      <c r="R1167" s="83"/>
      <c r="S1167" s="60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7"/>
      <c r="AD1167" s="60"/>
      <c r="AE1167" s="60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60"/>
      <c r="L1168" s="59"/>
      <c r="M1168" s="60"/>
      <c r="N1168" s="60"/>
      <c r="O1168" s="64"/>
      <c r="P1168" s="83"/>
      <c r="Q1168" s="67"/>
      <c r="R1168" s="83"/>
      <c r="S1168" s="83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83"/>
      <c r="AE1168" s="83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60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83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6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60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83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60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8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83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60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60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83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83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64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83"/>
      <c r="P1186" s="83"/>
      <c r="Q1186" s="83"/>
      <c r="R1186" s="83"/>
      <c r="S1186" s="83"/>
      <c r="T1186" s="83"/>
      <c r="U1186" s="60"/>
      <c r="V1186" s="60"/>
      <c r="W1186" s="60"/>
      <c r="X1186" s="59"/>
      <c r="Y1186" s="60"/>
      <c r="Z1186" s="60"/>
      <c r="AA1186" s="83"/>
      <c r="AB1186" s="83"/>
      <c r="AC1186" s="83"/>
      <c r="AD1186" s="83"/>
      <c r="AE1186" s="83"/>
      <c r="AF1186" s="83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83"/>
      <c r="D1187" s="83"/>
      <c r="E1187" s="83"/>
      <c r="F1187" s="83"/>
      <c r="G1187" s="83"/>
      <c r="H1187" s="83"/>
      <c r="I1187" s="60"/>
      <c r="J1187" s="60"/>
      <c r="K1187" s="60"/>
      <c r="L1187" s="60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60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60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68"/>
      <c r="F1188" s="68"/>
      <c r="G1188" s="68"/>
      <c r="H1188" s="68"/>
      <c r="I1188" s="61"/>
      <c r="J1188" s="68"/>
      <c r="K1188" s="68"/>
      <c r="L1188" s="68"/>
      <c r="M1188" s="60"/>
      <c r="N1188" s="60"/>
      <c r="O1188" s="83"/>
      <c r="P1188" s="83"/>
      <c r="Q1188" s="68"/>
      <c r="R1188" s="68"/>
      <c r="S1188" s="68"/>
      <c r="T1188" s="68"/>
      <c r="U1188" s="61"/>
      <c r="V1188" s="69"/>
      <c r="W1188" s="69"/>
      <c r="X1188" s="69"/>
      <c r="Y1188" s="60"/>
      <c r="Z1188" s="60"/>
      <c r="AA1188" s="83"/>
      <c r="AB1188" s="83"/>
      <c r="AC1188" s="68"/>
      <c r="AD1188" s="68"/>
      <c r="AE1188" s="68"/>
      <c r="AF1188" s="68"/>
      <c r="AG1188" s="61"/>
      <c r="AH1188" s="69"/>
      <c r="AI1188" s="69"/>
      <c r="AJ1188" s="69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83"/>
      <c r="D1191" s="83"/>
      <c r="E1191" s="83"/>
      <c r="F1191" s="83"/>
      <c r="G1191" s="83"/>
      <c r="H1191" s="83"/>
      <c r="I1191" s="60"/>
      <c r="J1191" s="60"/>
      <c r="K1191" s="60"/>
      <c r="L1191" s="60"/>
      <c r="M1191" s="60"/>
      <c r="N1191" s="60"/>
      <c r="O1191" s="83"/>
      <c r="P1191" s="83"/>
      <c r="Q1191" s="83"/>
      <c r="R1191" s="83"/>
      <c r="S1191" s="83"/>
      <c r="T1191" s="83"/>
      <c r="U1191" s="60"/>
      <c r="V1191" s="60"/>
      <c r="W1191" s="60"/>
      <c r="X1191" s="60"/>
      <c r="Y1191" s="60"/>
      <c r="Z1191" s="60"/>
      <c r="AA1191" s="83"/>
      <c r="AB1191" s="83"/>
      <c r="AC1191" s="83"/>
      <c r="AD1191" s="83"/>
      <c r="AE1191" s="83"/>
      <c r="AF1191" s="83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1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1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1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0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0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0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ht="15.75" x14ac:dyDescent="0.25">
      <c r="B1196" s="60"/>
      <c r="C1196" s="83"/>
      <c r="D1196" s="83"/>
      <c r="E1196" s="83"/>
      <c r="F1196" s="83"/>
      <c r="G1196" s="83"/>
      <c r="H1196" s="83"/>
      <c r="I1196" s="60"/>
      <c r="J1196" s="83"/>
      <c r="K1196" s="71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83"/>
      <c r="W1196" s="71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83"/>
      <c r="AI1196" s="83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x14ac:dyDescent="0.25">
      <c r="B1197" s="62"/>
      <c r="C1197" s="83"/>
      <c r="D1197" s="83"/>
      <c r="E1197" s="83"/>
      <c r="F1197" s="83"/>
      <c r="G1197" s="83"/>
      <c r="H1197" s="83"/>
      <c r="I1197" s="60"/>
      <c r="J1197" s="63"/>
      <c r="K1197" s="63"/>
      <c r="L1197" s="60"/>
      <c r="M1197" s="60"/>
      <c r="N1197" s="62"/>
      <c r="O1197" s="83"/>
      <c r="P1197" s="83"/>
      <c r="Q1197" s="83"/>
      <c r="R1197" s="83"/>
      <c r="S1197" s="83"/>
      <c r="T1197" s="83"/>
      <c r="U1197" s="60"/>
      <c r="V1197" s="63"/>
      <c r="W1197" s="63"/>
      <c r="X1197" s="60"/>
      <c r="Y1197" s="60"/>
      <c r="Z1197" s="62"/>
      <c r="AA1197" s="83"/>
      <c r="AB1197" s="83"/>
      <c r="AC1197" s="83"/>
      <c r="AD1197" s="83"/>
      <c r="AE1197" s="83"/>
      <c r="AF1197" s="83"/>
      <c r="AG1197" s="60"/>
      <c r="AH1197" s="63"/>
      <c r="AI1197" s="6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0"/>
      <c r="C1198" s="83"/>
      <c r="D1198" s="83"/>
      <c r="E1198" s="83"/>
      <c r="F1198" s="83"/>
      <c r="G1198" s="83"/>
      <c r="H1198" s="83"/>
      <c r="I1198" s="60"/>
      <c r="J1198" s="60"/>
      <c r="K1198" s="60"/>
      <c r="L1198" s="60"/>
      <c r="M1198" s="60"/>
      <c r="N1198" s="60"/>
      <c r="O1198" s="83"/>
      <c r="P1198" s="83"/>
      <c r="Q1198" s="83"/>
      <c r="R1198" s="83"/>
      <c r="S1198" s="83"/>
      <c r="T1198" s="83"/>
      <c r="U1198" s="60"/>
      <c r="V1198" s="60"/>
      <c r="W1198" s="60"/>
      <c r="X1198" s="60"/>
      <c r="Y1198" s="60"/>
      <c r="Z1198" s="60"/>
      <c r="AA1198" s="83"/>
      <c r="AB1198" s="83"/>
      <c r="AC1198" s="83"/>
      <c r="AD1198" s="83"/>
      <c r="AE1198" s="83"/>
      <c r="AF1198" s="83"/>
      <c r="AG1198" s="60"/>
      <c r="AH1198" s="60"/>
      <c r="AI1198" s="60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63"/>
      <c r="D1199" s="83"/>
      <c r="E1199" s="119"/>
      <c r="F1199" s="119"/>
      <c r="G1199" s="83"/>
      <c r="H1199" s="83"/>
      <c r="I1199" s="60"/>
      <c r="J1199" s="119"/>
      <c r="K1199" s="119"/>
      <c r="L1199" s="118"/>
      <c r="M1199" s="60"/>
      <c r="N1199" s="60"/>
      <c r="O1199" s="63"/>
      <c r="P1199" s="83"/>
      <c r="Q1199" s="119"/>
      <c r="R1199" s="119"/>
      <c r="S1199" s="83"/>
      <c r="T1199" s="83"/>
      <c r="U1199" s="60"/>
      <c r="V1199" s="119"/>
      <c r="W1199" s="119"/>
      <c r="X1199" s="118"/>
      <c r="Y1199" s="60"/>
      <c r="Z1199" s="60"/>
      <c r="AA1199" s="63"/>
      <c r="AB1199" s="83"/>
      <c r="AC1199" s="119"/>
      <c r="AD1199" s="119"/>
      <c r="AE1199" s="83"/>
      <c r="AF1199" s="83"/>
      <c r="AG1199" s="60"/>
      <c r="AH1199" s="119"/>
      <c r="AI1199" s="119"/>
      <c r="AJ1199" s="118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83"/>
      <c r="D1200" s="83"/>
      <c r="E1200" s="76"/>
      <c r="F1200" s="77"/>
      <c r="G1200" s="78"/>
      <c r="H1200" s="78"/>
      <c r="I1200" s="60"/>
      <c r="J1200" s="82"/>
      <c r="K1200" s="82"/>
      <c r="L1200" s="118"/>
      <c r="M1200" s="60"/>
      <c r="N1200" s="60"/>
      <c r="O1200" s="83"/>
      <c r="P1200" s="83"/>
      <c r="Q1200" s="76"/>
      <c r="R1200" s="78"/>
      <c r="S1200" s="78"/>
      <c r="T1200" s="78"/>
      <c r="U1200" s="60"/>
      <c r="V1200" s="82"/>
      <c r="W1200" s="82"/>
      <c r="X1200" s="118"/>
      <c r="Y1200" s="60"/>
      <c r="Z1200" s="60"/>
      <c r="AA1200" s="83"/>
      <c r="AB1200" s="83"/>
      <c r="AC1200" s="76"/>
      <c r="AD1200" s="77"/>
      <c r="AE1200" s="78"/>
      <c r="AF1200" s="78"/>
      <c r="AG1200" s="60"/>
      <c r="AH1200" s="82"/>
      <c r="AI1200" s="82"/>
      <c r="AJ1200" s="118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83"/>
      <c r="E1201" s="58"/>
      <c r="F1201" s="58"/>
      <c r="G1201" s="58"/>
      <c r="H1201" s="58"/>
      <c r="I1201" s="59"/>
      <c r="J1201" s="59"/>
      <c r="K1201" s="59"/>
      <c r="L1201" s="59"/>
      <c r="M1201" s="60"/>
      <c r="N1201" s="60"/>
      <c r="O1201" s="64"/>
      <c r="P1201" s="83"/>
      <c r="Q1201" s="58"/>
      <c r="R1201" s="58"/>
      <c r="S1201" s="58"/>
      <c r="T1201" s="58"/>
      <c r="U1201" s="59"/>
      <c r="V1201" s="59"/>
      <c r="W1201" s="59"/>
      <c r="X1201" s="59"/>
      <c r="Y1201" s="60"/>
      <c r="Z1201" s="60"/>
      <c r="AA1201" s="64"/>
      <c r="AB1201" s="83"/>
      <c r="AC1201" s="58"/>
      <c r="AD1201" s="58"/>
      <c r="AE1201" s="58"/>
      <c r="AF1201" s="58"/>
      <c r="AG1201" s="59"/>
      <c r="AH1201" s="59"/>
      <c r="AI1201" s="59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6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0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83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60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59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6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60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83"/>
      <c r="AC1212" s="58"/>
      <c r="AD1212" s="58"/>
      <c r="AE1212" s="58"/>
      <c r="AF1212" s="58"/>
      <c r="AG1212" s="59"/>
      <c r="AH1212" s="59"/>
      <c r="AI1212" s="60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59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59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60"/>
      <c r="J1221" s="60"/>
      <c r="K1221" s="60"/>
      <c r="L1221" s="59"/>
      <c r="M1221" s="60"/>
      <c r="N1221" s="60"/>
      <c r="O1221" s="64"/>
      <c r="P1221" s="83"/>
      <c r="Q1221" s="65"/>
      <c r="R1221" s="83"/>
      <c r="S1221" s="83"/>
      <c r="T1221" s="58"/>
      <c r="U1221" s="60"/>
      <c r="V1221" s="60"/>
      <c r="W1221" s="60"/>
      <c r="X1221" s="59"/>
      <c r="Y1221" s="60"/>
      <c r="Z1221" s="60"/>
      <c r="AA1221" s="64"/>
      <c r="AB1221" s="60"/>
      <c r="AC1221" s="58"/>
      <c r="AD1221" s="58"/>
      <c r="AE1221" s="58"/>
      <c r="AF1221" s="58"/>
      <c r="AG1221" s="60"/>
      <c r="AH1221" s="60"/>
      <c r="AI1221" s="60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6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6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83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3"/>
      <c r="E1223" s="58"/>
      <c r="F1223" s="58"/>
      <c r="G1223" s="58"/>
      <c r="H1223" s="58"/>
      <c r="I1223" s="60"/>
      <c r="J1223" s="60"/>
      <c r="K1223" s="59"/>
      <c r="L1223" s="59"/>
      <c r="M1223" s="60"/>
      <c r="N1223" s="60"/>
      <c r="O1223" s="64"/>
      <c r="P1223" s="60"/>
      <c r="Q1223" s="67"/>
      <c r="R1223" s="60"/>
      <c r="S1223" s="60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60"/>
      <c r="L1224" s="59"/>
      <c r="M1224" s="60"/>
      <c r="N1224" s="60"/>
      <c r="O1224" s="64"/>
      <c r="P1224" s="83"/>
      <c r="Q1224" s="67"/>
      <c r="R1224" s="83"/>
      <c r="S1224" s="83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60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60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60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83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83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6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3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3"/>
      <c r="P1250" s="83"/>
      <c r="Q1250" s="83"/>
      <c r="R1250" s="83"/>
      <c r="S1250" s="83"/>
      <c r="T1250" s="83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3"/>
      <c r="D1251" s="83"/>
      <c r="E1251" s="83"/>
      <c r="F1251" s="83"/>
      <c r="G1251" s="83"/>
      <c r="H1251" s="83"/>
      <c r="I1251" s="60"/>
      <c r="J1251" s="60"/>
      <c r="K1251" s="60"/>
      <c r="L1251" s="60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60"/>
      <c r="Y1251" s="60"/>
      <c r="Z1251" s="60"/>
      <c r="AA1251" s="83"/>
      <c r="AB1251" s="83"/>
      <c r="AC1251" s="83"/>
      <c r="AD1251" s="83"/>
      <c r="AE1251" s="83"/>
      <c r="AF1251" s="83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3"/>
      <c r="P1252" s="83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3"/>
      <c r="AB1252" s="83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3"/>
      <c r="D1254" s="83"/>
      <c r="E1254" s="83"/>
      <c r="F1254" s="83"/>
      <c r="G1254" s="83"/>
      <c r="H1254" s="83"/>
      <c r="I1254" s="60"/>
      <c r="J1254" s="60"/>
      <c r="K1254" s="60"/>
      <c r="L1254" s="60"/>
      <c r="M1254" s="60"/>
      <c r="N1254" s="60"/>
      <c r="O1254" s="83"/>
      <c r="P1254" s="83"/>
      <c r="Q1254" s="83"/>
      <c r="R1254" s="83"/>
      <c r="S1254" s="83"/>
      <c r="T1254" s="83"/>
      <c r="U1254" s="60"/>
      <c r="V1254" s="60"/>
      <c r="W1254" s="60"/>
      <c r="X1254" s="60"/>
      <c r="Y1254" s="60"/>
      <c r="Z1254" s="60"/>
      <c r="AA1254" s="83"/>
      <c r="AB1254" s="83"/>
      <c r="AC1254" s="83"/>
      <c r="AD1254" s="83"/>
      <c r="AE1254" s="83"/>
      <c r="AF1254" s="83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1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1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0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0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3"/>
      <c r="D1258" s="83"/>
      <c r="E1258" s="83"/>
      <c r="F1258" s="83"/>
      <c r="G1258" s="83"/>
      <c r="H1258" s="83"/>
      <c r="I1258" s="60"/>
      <c r="J1258" s="83"/>
      <c r="K1258" s="71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83"/>
      <c r="W1258" s="71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83"/>
      <c r="AI1258" s="83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3"/>
      <c r="D1259" s="83"/>
      <c r="E1259" s="83"/>
      <c r="F1259" s="83"/>
      <c r="G1259" s="83"/>
      <c r="H1259" s="83"/>
      <c r="I1259" s="60"/>
      <c r="J1259" s="63"/>
      <c r="K1259" s="63"/>
      <c r="L1259" s="60"/>
      <c r="M1259" s="60"/>
      <c r="N1259" s="62"/>
      <c r="O1259" s="83"/>
      <c r="P1259" s="83"/>
      <c r="Q1259" s="83"/>
      <c r="R1259" s="83"/>
      <c r="S1259" s="83"/>
      <c r="T1259" s="83"/>
      <c r="U1259" s="60"/>
      <c r="V1259" s="63"/>
      <c r="W1259" s="63"/>
      <c r="X1259" s="60"/>
      <c r="Y1259" s="60"/>
      <c r="Z1259" s="62"/>
      <c r="AA1259" s="83"/>
      <c r="AB1259" s="83"/>
      <c r="AC1259" s="83"/>
      <c r="AD1259" s="83"/>
      <c r="AE1259" s="83"/>
      <c r="AF1259" s="83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3"/>
      <c r="D1260" s="83"/>
      <c r="E1260" s="83"/>
      <c r="F1260" s="83"/>
      <c r="G1260" s="83"/>
      <c r="H1260" s="83"/>
      <c r="I1260" s="60"/>
      <c r="J1260" s="60"/>
      <c r="K1260" s="60"/>
      <c r="L1260" s="60"/>
      <c r="M1260" s="60"/>
      <c r="N1260" s="60"/>
      <c r="O1260" s="83"/>
      <c r="P1260" s="83"/>
      <c r="Q1260" s="83"/>
      <c r="R1260" s="83"/>
      <c r="S1260" s="83"/>
      <c r="T1260" s="83"/>
      <c r="U1260" s="60"/>
      <c r="V1260" s="60"/>
      <c r="W1260" s="60"/>
      <c r="X1260" s="60"/>
      <c r="Y1260" s="60"/>
      <c r="Z1260" s="60"/>
      <c r="AA1260" s="83"/>
      <c r="AB1260" s="83"/>
      <c r="AC1260" s="83"/>
      <c r="AD1260" s="83"/>
      <c r="AE1260" s="83"/>
      <c r="AF1260" s="83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3"/>
      <c r="E1261" s="119"/>
      <c r="F1261" s="119"/>
      <c r="G1261" s="83"/>
      <c r="H1261" s="83"/>
      <c r="I1261" s="60"/>
      <c r="J1261" s="119"/>
      <c r="K1261" s="119"/>
      <c r="L1261" s="118"/>
      <c r="M1261" s="60"/>
      <c r="N1261" s="60"/>
      <c r="O1261" s="63"/>
      <c r="P1261" s="83"/>
      <c r="Q1261" s="119"/>
      <c r="R1261" s="119"/>
      <c r="S1261" s="83"/>
      <c r="T1261" s="83"/>
      <c r="U1261" s="60"/>
      <c r="V1261" s="119"/>
      <c r="W1261" s="119"/>
      <c r="X1261" s="118"/>
      <c r="Y1261" s="60"/>
      <c r="Z1261" s="60"/>
      <c r="AA1261" s="63"/>
      <c r="AB1261" s="83"/>
      <c r="AC1261" s="119"/>
      <c r="AD1261" s="119"/>
      <c r="AE1261" s="83"/>
      <c r="AF1261" s="83"/>
      <c r="AG1261" s="60"/>
      <c r="AH1261" s="119"/>
      <c r="AI1261" s="119"/>
      <c r="AJ1261" s="118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3"/>
      <c r="D1262" s="83"/>
      <c r="E1262" s="83"/>
      <c r="F1262" s="82"/>
      <c r="G1262" s="82"/>
      <c r="H1262" s="82"/>
      <c r="I1262" s="60"/>
      <c r="J1262" s="82"/>
      <c r="K1262" s="82"/>
      <c r="L1262" s="118"/>
      <c r="M1262" s="60"/>
      <c r="N1262" s="60"/>
      <c r="O1262" s="83"/>
      <c r="P1262" s="83"/>
      <c r="Q1262" s="83"/>
      <c r="R1262" s="82"/>
      <c r="S1262" s="82"/>
      <c r="T1262" s="82"/>
      <c r="U1262" s="60"/>
      <c r="V1262" s="82"/>
      <c r="W1262" s="82"/>
      <c r="X1262" s="118"/>
      <c r="Y1262" s="60"/>
      <c r="Z1262" s="60"/>
      <c r="AA1262" s="83"/>
      <c r="AB1262" s="83"/>
      <c r="AC1262" s="83"/>
      <c r="AD1262" s="82"/>
      <c r="AE1262" s="82"/>
      <c r="AF1262" s="82"/>
      <c r="AG1262" s="60"/>
      <c r="AH1262" s="82"/>
      <c r="AI1262" s="82"/>
      <c r="AJ1262" s="118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3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3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3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83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83"/>
      <c r="G1276" s="83"/>
      <c r="H1276" s="58"/>
      <c r="I1276" s="59"/>
      <c r="J1276" s="59"/>
      <c r="K1276" s="60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83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3"/>
      <c r="Q1283" s="65"/>
      <c r="R1283" s="83"/>
      <c r="S1283" s="83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3"/>
      <c r="AE1283" s="83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6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83"/>
      <c r="AC1284" s="66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3"/>
      <c r="Q1286" s="67"/>
      <c r="R1286" s="83"/>
      <c r="S1286" s="83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83"/>
      <c r="AE1286" s="83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83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3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3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83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3"/>
      <c r="P1304" s="83"/>
      <c r="Q1304" s="83"/>
      <c r="R1304" s="83"/>
      <c r="S1304" s="83"/>
      <c r="T1304" s="83"/>
      <c r="U1304" s="60"/>
      <c r="V1304" s="60"/>
      <c r="W1304" s="60"/>
      <c r="X1304" s="59"/>
      <c r="Y1304" s="60"/>
      <c r="Z1304" s="60"/>
      <c r="AA1304" s="83"/>
      <c r="AB1304" s="83"/>
      <c r="AC1304" s="83"/>
      <c r="AD1304" s="83"/>
      <c r="AE1304" s="83"/>
      <c r="AF1304" s="83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3"/>
      <c r="D1305" s="83"/>
      <c r="E1305" s="83"/>
      <c r="F1305" s="83"/>
      <c r="G1305" s="83"/>
      <c r="H1305" s="83"/>
      <c r="I1305" s="60"/>
      <c r="J1305" s="60"/>
      <c r="K1305" s="60"/>
      <c r="L1305" s="60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60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3"/>
      <c r="P1306" s="83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3"/>
      <c r="AB1306" s="83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3"/>
      <c r="D1308" s="83"/>
      <c r="E1308" s="83"/>
      <c r="F1308" s="83"/>
      <c r="G1308" s="83"/>
      <c r="H1308" s="83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V431:W431"/>
    <mergeCell ref="Q431:R431"/>
    <mergeCell ref="E925:F925"/>
    <mergeCell ref="J925:K925"/>
    <mergeCell ref="L925:L926"/>
    <mergeCell ref="Q925:R925"/>
    <mergeCell ref="V925:W925"/>
    <mergeCell ref="X925:X926"/>
    <mergeCell ref="V486:W486"/>
    <mergeCell ref="X596:X597"/>
    <mergeCell ref="V596:W596"/>
    <mergeCell ref="Q596:R596"/>
    <mergeCell ref="X486:X487"/>
    <mergeCell ref="Q541:R541"/>
    <mergeCell ref="V541:W541"/>
    <mergeCell ref="X541:X542"/>
    <mergeCell ref="L431:L432"/>
    <mergeCell ref="E650:F650"/>
    <mergeCell ref="V650:W650"/>
    <mergeCell ref="Q650:R650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H596:AI596"/>
    <mergeCell ref="AC596:AD596"/>
    <mergeCell ref="AJ486:AJ487"/>
    <mergeCell ref="AH486:AI486"/>
    <mergeCell ref="AC486:AD486"/>
    <mergeCell ref="AC541:AD541"/>
    <mergeCell ref="AH541:AI541"/>
    <mergeCell ref="AJ541:AJ542"/>
    <mergeCell ref="Q321:R321"/>
    <mergeCell ref="X376:X377"/>
    <mergeCell ref="V376:W376"/>
    <mergeCell ref="Q376:R376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L978:L979"/>
    <mergeCell ref="J978:K978"/>
    <mergeCell ref="E978:F978"/>
    <mergeCell ref="J431:K431"/>
    <mergeCell ref="E376:F376"/>
    <mergeCell ref="X321:X322"/>
    <mergeCell ref="J321:K321"/>
    <mergeCell ref="E321:F321"/>
    <mergeCell ref="X431:X432"/>
    <mergeCell ref="E541:F541"/>
    <mergeCell ref="J541:K541"/>
    <mergeCell ref="L541:L542"/>
    <mergeCell ref="L321:L322"/>
    <mergeCell ref="E431:F431"/>
    <mergeCell ref="L650:L651"/>
    <mergeCell ref="J650:K650"/>
    <mergeCell ref="J596:K596"/>
    <mergeCell ref="E596:F596"/>
    <mergeCell ref="AJ1261:AJ1262"/>
    <mergeCell ref="AH1261:AI1261"/>
    <mergeCell ref="AC1261:AD1261"/>
    <mergeCell ref="AJ978:AJ979"/>
    <mergeCell ref="AH978:AI978"/>
    <mergeCell ref="AC978:AD978"/>
    <mergeCell ref="X1199:X1200"/>
    <mergeCell ref="V1199:W1199"/>
    <mergeCell ref="Q1199:R1199"/>
    <mergeCell ref="AJ1199:AJ1200"/>
    <mergeCell ref="AH1199:AI1199"/>
    <mergeCell ref="AC1199:AD1199"/>
    <mergeCell ref="X1143:X1144"/>
    <mergeCell ref="V1143:W1143"/>
    <mergeCell ref="Q1143:R1143"/>
    <mergeCell ref="AJ1143:AJ1144"/>
    <mergeCell ref="AH1143:AI1143"/>
    <mergeCell ref="AC1143:AD1143"/>
    <mergeCell ref="AJ1088:AJ1089"/>
    <mergeCell ref="AH1088:AI1088"/>
    <mergeCell ref="AC1088:AD1088"/>
    <mergeCell ref="X1033:X1034"/>
    <mergeCell ref="V1033:W1033"/>
    <mergeCell ref="Q1033:R1033"/>
    <mergeCell ref="L1261:L1262"/>
    <mergeCell ref="J1261:K1261"/>
    <mergeCell ref="E1261:F1261"/>
    <mergeCell ref="X1261:X1262"/>
    <mergeCell ref="V1261:W1261"/>
    <mergeCell ref="Q1261:R1261"/>
    <mergeCell ref="V101:W101"/>
    <mergeCell ref="V321:W321"/>
    <mergeCell ref="E1088:F1088"/>
    <mergeCell ref="X1088:X1089"/>
    <mergeCell ref="V1088:W1088"/>
    <mergeCell ref="Q1088:R1088"/>
    <mergeCell ref="L1199:L1200"/>
    <mergeCell ref="J1199:K1199"/>
    <mergeCell ref="E1199:F1199"/>
    <mergeCell ref="L1143:L1144"/>
    <mergeCell ref="J1143:K1143"/>
    <mergeCell ref="E1143:F1143"/>
    <mergeCell ref="L1088:L1089"/>
    <mergeCell ref="J1088:K1088"/>
    <mergeCell ref="L1033:L1034"/>
    <mergeCell ref="J1033:K1033"/>
    <mergeCell ref="E1033:F1033"/>
    <mergeCell ref="L596:L597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X650:X651"/>
    <mergeCell ref="E486:F486"/>
    <mergeCell ref="J486:K486"/>
    <mergeCell ref="L486:L487"/>
    <mergeCell ref="Q486:R486"/>
    <mergeCell ref="AV923:AV924"/>
    <mergeCell ref="AT923:AU923"/>
    <mergeCell ref="AO923:AP923"/>
    <mergeCell ref="E706:F706"/>
    <mergeCell ref="J706:K706"/>
    <mergeCell ref="L706:L707"/>
    <mergeCell ref="Q706:R706"/>
    <mergeCell ref="V706:W706"/>
    <mergeCell ref="X706:X707"/>
    <mergeCell ref="AC706:AD706"/>
    <mergeCell ref="AH706:AI706"/>
    <mergeCell ref="AJ706:AJ707"/>
    <mergeCell ref="E761:F761"/>
    <mergeCell ref="J761:K761"/>
    <mergeCell ref="L761:L762"/>
    <mergeCell ref="Q761:R761"/>
    <mergeCell ref="AJ1033:AJ1034"/>
    <mergeCell ref="AH1033:AI1033"/>
    <mergeCell ref="AC1033:AD1033"/>
    <mergeCell ref="X978:X979"/>
    <mergeCell ref="V978:W978"/>
    <mergeCell ref="Q978:R978"/>
    <mergeCell ref="AC925:AD925"/>
    <mergeCell ref="AH925:AI925"/>
    <mergeCell ref="AJ925:AJ926"/>
    <mergeCell ref="V761:W761"/>
    <mergeCell ref="X761:X762"/>
    <mergeCell ref="AC761:AD761"/>
    <mergeCell ref="AH761:AI761"/>
    <mergeCell ref="AJ761:AJ762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2026-08-21T01:47:15Z</dcterms:modified>
</cp:coreProperties>
</file>