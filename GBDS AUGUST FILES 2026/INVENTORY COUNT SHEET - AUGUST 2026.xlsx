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1B53221E-8ED5-45C6-8ACA-A511A93EA64A}" xr6:coauthVersionLast="45" xr6:coauthVersionMax="45" xr10:uidLastSave="{00000000-0000-0000-0000-000000000000}"/>
  <bookViews>
    <workbookView xWindow="-120" yWindow="-120" windowWidth="29040" windowHeight="15840" activeTab="4" xr2:uid="{D34C963E-9680-4B45-A4EE-B681FF0CEC08}"/>
  </bookViews>
  <sheets>
    <sheet name="SAMPLE" sheetId="32" r:id="rId1"/>
    <sheet name="08-03-2026" sheetId="69" r:id="rId2"/>
    <sheet name="08-04-2026" sheetId="70" r:id="rId3"/>
    <sheet name="08-05-2026" sheetId="71" r:id="rId4"/>
    <sheet name="08-06-2026" sheetId="72" r:id="rId5"/>
    <sheet name="08-07-2026" sheetId="73" r:id="rId6"/>
    <sheet name="08-08-2026" sheetId="74" r:id="rId7"/>
    <sheet name="08-09-2026" sheetId="75" r:id="rId8"/>
    <sheet name="08-10-2026" sheetId="76" r:id="rId9"/>
  </sheets>
  <definedNames>
    <definedName name="_xlnm.Print_Area" localSheetId="1">'08-03-2026'!$A$1:$W$59</definedName>
    <definedName name="_xlnm.Print_Area" localSheetId="2">'08-04-2026'!$A$1:$W$59</definedName>
    <definedName name="_xlnm.Print_Area" localSheetId="3">'08-05-2026'!$A$1:$W$59</definedName>
    <definedName name="_xlnm.Print_Area" localSheetId="4">'08-06-2026'!$A$1:$W$59</definedName>
    <definedName name="_xlnm.Print_Area" localSheetId="5">'08-07-2026'!$A$1:$W$59</definedName>
    <definedName name="_xlnm.Print_Area" localSheetId="6">'08-08-2026'!$A$1:$W$59</definedName>
    <definedName name="_xlnm.Print_Area" localSheetId="7">'08-09-2026'!$A$1:$W$59</definedName>
    <definedName name="_xlnm.Print_Area" localSheetId="8">'08-10-2026'!$A$1:$W$59</definedName>
    <definedName name="_xlnm.Print_Area" localSheetId="0">SAMPLE!$A$1:$W$85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21" i="72" l="1"/>
  <c r="C47" i="72"/>
  <c r="K43" i="72"/>
  <c r="J43" i="72"/>
  <c r="C43" i="72"/>
  <c r="C40" i="72"/>
  <c r="C37" i="72"/>
  <c r="K37" i="72"/>
  <c r="C34" i="72"/>
  <c r="H24" i="72"/>
  <c r="H23" i="72"/>
  <c r="H19" i="72"/>
  <c r="H17" i="72"/>
  <c r="C12" i="72"/>
  <c r="C10" i="72"/>
  <c r="C9" i="72"/>
  <c r="C8" i="72"/>
  <c r="R58" i="76"/>
  <c r="Q58" i="76"/>
  <c r="P58" i="76"/>
  <c r="O58" i="76"/>
  <c r="N58" i="76"/>
  <c r="M58" i="76"/>
  <c r="K58" i="76"/>
  <c r="J58" i="76"/>
  <c r="I58" i="76"/>
  <c r="H58" i="76"/>
  <c r="G58" i="76"/>
  <c r="F58" i="76"/>
  <c r="C58" i="76"/>
  <c r="T54" i="76"/>
  <c r="U54" i="76" s="1"/>
  <c r="V54" i="76" s="1"/>
  <c r="T53" i="76"/>
  <c r="U53" i="76" s="1"/>
  <c r="V53" i="76" s="1"/>
  <c r="T52" i="76"/>
  <c r="U52" i="76" s="1"/>
  <c r="V52" i="76" s="1"/>
  <c r="T51" i="76"/>
  <c r="U51" i="76" s="1"/>
  <c r="V51" i="76" s="1"/>
  <c r="T50" i="76"/>
  <c r="U50" i="76" s="1"/>
  <c r="V50" i="76" s="1"/>
  <c r="T49" i="76"/>
  <c r="U49" i="76" s="1"/>
  <c r="V49" i="76" s="1"/>
  <c r="T48" i="76"/>
  <c r="U48" i="76" s="1"/>
  <c r="V48" i="76" s="1"/>
  <c r="T47" i="76"/>
  <c r="U47" i="76" s="1"/>
  <c r="V47" i="76" s="1"/>
  <c r="T46" i="76"/>
  <c r="U46" i="76" s="1"/>
  <c r="V46" i="76" s="1"/>
  <c r="T45" i="76"/>
  <c r="U45" i="76" s="1"/>
  <c r="V45" i="76" s="1"/>
  <c r="T43" i="76"/>
  <c r="U43" i="76" s="1"/>
  <c r="V43" i="76" s="1"/>
  <c r="T41" i="76"/>
  <c r="U41" i="76" s="1"/>
  <c r="V41" i="76" s="1"/>
  <c r="T40" i="76"/>
  <c r="U40" i="76" s="1"/>
  <c r="V40" i="76" s="1"/>
  <c r="U39" i="76"/>
  <c r="V39" i="76" s="1"/>
  <c r="T39" i="76"/>
  <c r="T38" i="76"/>
  <c r="U38" i="76" s="1"/>
  <c r="V38" i="76" s="1"/>
  <c r="T37" i="76"/>
  <c r="U37" i="76" s="1"/>
  <c r="V37" i="76" s="1"/>
  <c r="T36" i="76"/>
  <c r="U36" i="76" s="1"/>
  <c r="V36" i="76" s="1"/>
  <c r="U35" i="76"/>
  <c r="V35" i="76" s="1"/>
  <c r="T35" i="76"/>
  <c r="T34" i="76"/>
  <c r="U34" i="76" s="1"/>
  <c r="V34" i="76" s="1"/>
  <c r="T33" i="76"/>
  <c r="U33" i="76" s="1"/>
  <c r="V33" i="76" s="1"/>
  <c r="T32" i="76"/>
  <c r="U32" i="76" s="1"/>
  <c r="V32" i="76" s="1"/>
  <c r="U31" i="76"/>
  <c r="V31" i="76" s="1"/>
  <c r="T31" i="76"/>
  <c r="T30" i="76"/>
  <c r="U30" i="76" s="1"/>
  <c r="V30" i="76" s="1"/>
  <c r="T29" i="76"/>
  <c r="U29" i="76" s="1"/>
  <c r="V29" i="76" s="1"/>
  <c r="T28" i="76"/>
  <c r="U28" i="76" s="1"/>
  <c r="V28" i="76" s="1"/>
  <c r="U27" i="76"/>
  <c r="V27" i="76" s="1"/>
  <c r="T27" i="76"/>
  <c r="T26" i="76"/>
  <c r="U26" i="76" s="1"/>
  <c r="V26" i="76" s="1"/>
  <c r="AY25" i="76"/>
  <c r="U25" i="76"/>
  <c r="V25" i="76" s="1"/>
  <c r="T25" i="76"/>
  <c r="U24" i="76"/>
  <c r="V24" i="76" s="1"/>
  <c r="T24" i="76"/>
  <c r="T23" i="76"/>
  <c r="U23" i="76" s="1"/>
  <c r="V23" i="76" s="1"/>
  <c r="U22" i="76"/>
  <c r="V22" i="76" s="1"/>
  <c r="T22" i="76"/>
  <c r="U21" i="76"/>
  <c r="V21" i="76" s="1"/>
  <c r="T21" i="76"/>
  <c r="U20" i="76"/>
  <c r="V20" i="76" s="1"/>
  <c r="T20" i="76"/>
  <c r="A20" i="76"/>
  <c r="A21" i="76" s="1"/>
  <c r="A22" i="76" s="1"/>
  <c r="A23" i="76" s="1"/>
  <c r="A24" i="76" s="1"/>
  <c r="A25" i="76" s="1"/>
  <c r="A26" i="76" s="1"/>
  <c r="A27" i="76" s="1"/>
  <c r="A28" i="76" s="1"/>
  <c r="A29" i="76" s="1"/>
  <c r="A30" i="76" s="1"/>
  <c r="A31" i="76" s="1"/>
  <c r="A32" i="76" s="1"/>
  <c r="A33" i="76" s="1"/>
  <c r="A34" i="76" s="1"/>
  <c r="A35" i="76" s="1"/>
  <c r="A36" i="76" s="1"/>
  <c r="A37" i="76" s="1"/>
  <c r="A38" i="76" s="1"/>
  <c r="A39" i="76" s="1"/>
  <c r="A40" i="76" s="1"/>
  <c r="A41" i="76" s="1"/>
  <c r="A42" i="76" s="1"/>
  <c r="A43" i="76" s="1"/>
  <c r="A44" i="76" s="1"/>
  <c r="A45" i="76" s="1"/>
  <c r="A46" i="76" s="1"/>
  <c r="A47" i="76" s="1"/>
  <c r="A48" i="76" s="1"/>
  <c r="A49" i="76" s="1"/>
  <c r="A50" i="76" s="1"/>
  <c r="A51" i="76" s="1"/>
  <c r="A52" i="76" s="1"/>
  <c r="A53" i="76" s="1"/>
  <c r="A54" i="76" s="1"/>
  <c r="A55" i="76" s="1"/>
  <c r="A56" i="76" s="1"/>
  <c r="A57" i="76" s="1"/>
  <c r="T19" i="76"/>
  <c r="U19" i="76" s="1"/>
  <c r="V19" i="76" s="1"/>
  <c r="T18" i="76"/>
  <c r="U18" i="76" s="1"/>
  <c r="V18" i="76" s="1"/>
  <c r="T17" i="76"/>
  <c r="U17" i="76" s="1"/>
  <c r="V17" i="76" s="1"/>
  <c r="T16" i="76"/>
  <c r="U16" i="76" s="1"/>
  <c r="V16" i="76" s="1"/>
  <c r="U15" i="76"/>
  <c r="V15" i="76" s="1"/>
  <c r="T15" i="76"/>
  <c r="A15" i="76"/>
  <c r="A16" i="76" s="1"/>
  <c r="A17" i="76" s="1"/>
  <c r="A18" i="76" s="1"/>
  <c r="T14" i="76"/>
  <c r="U14" i="76" s="1"/>
  <c r="V14" i="76" s="1"/>
  <c r="A14" i="76"/>
  <c r="T13" i="76"/>
  <c r="U13" i="76" s="1"/>
  <c r="V13" i="76" s="1"/>
  <c r="U12" i="76"/>
  <c r="V12" i="76" s="1"/>
  <c r="T12" i="76"/>
  <c r="T11" i="76"/>
  <c r="U11" i="76" s="1"/>
  <c r="V11" i="76" s="1"/>
  <c r="T10" i="76"/>
  <c r="U10" i="76" s="1"/>
  <c r="V10" i="76" s="1"/>
  <c r="A10" i="76"/>
  <c r="A11" i="76" s="1"/>
  <c r="T9" i="76"/>
  <c r="U9" i="76" s="1"/>
  <c r="V9" i="76" s="1"/>
  <c r="A9" i="76"/>
  <c r="T8" i="76"/>
  <c r="U8" i="76" s="1"/>
  <c r="V8" i="76" s="1"/>
  <c r="A8" i="76"/>
  <c r="T7" i="76"/>
  <c r="T58" i="76" s="1"/>
  <c r="R58" i="75"/>
  <c r="Q58" i="75"/>
  <c r="P58" i="75"/>
  <c r="O58" i="75"/>
  <c r="N58" i="75"/>
  <c r="M58" i="75"/>
  <c r="K58" i="75"/>
  <c r="J58" i="75"/>
  <c r="I58" i="75"/>
  <c r="H58" i="75"/>
  <c r="G58" i="75"/>
  <c r="F58" i="75"/>
  <c r="C58" i="75"/>
  <c r="T54" i="75"/>
  <c r="U54" i="75" s="1"/>
  <c r="V54" i="75" s="1"/>
  <c r="T53" i="75"/>
  <c r="U53" i="75" s="1"/>
  <c r="V53" i="75" s="1"/>
  <c r="T52" i="75"/>
  <c r="U52" i="75" s="1"/>
  <c r="V52" i="75" s="1"/>
  <c r="T51" i="75"/>
  <c r="U51" i="75" s="1"/>
  <c r="V51" i="75" s="1"/>
  <c r="T50" i="75"/>
  <c r="U50" i="75" s="1"/>
  <c r="V50" i="75" s="1"/>
  <c r="T49" i="75"/>
  <c r="U49" i="75" s="1"/>
  <c r="V49" i="75" s="1"/>
  <c r="T48" i="75"/>
  <c r="U48" i="75" s="1"/>
  <c r="V48" i="75" s="1"/>
  <c r="T47" i="75"/>
  <c r="U47" i="75" s="1"/>
  <c r="V47" i="75" s="1"/>
  <c r="T46" i="75"/>
  <c r="U46" i="75" s="1"/>
  <c r="V46" i="75" s="1"/>
  <c r="T45" i="75"/>
  <c r="U45" i="75" s="1"/>
  <c r="V45" i="75" s="1"/>
  <c r="U43" i="75"/>
  <c r="V43" i="75" s="1"/>
  <c r="T43" i="75"/>
  <c r="U41" i="75"/>
  <c r="V41" i="75" s="1"/>
  <c r="T41" i="75"/>
  <c r="T40" i="75"/>
  <c r="U40" i="75" s="1"/>
  <c r="V40" i="75" s="1"/>
  <c r="U39" i="75"/>
  <c r="V39" i="75" s="1"/>
  <c r="T39" i="75"/>
  <c r="T38" i="75"/>
  <c r="U38" i="75" s="1"/>
  <c r="V38" i="75" s="1"/>
  <c r="U37" i="75"/>
  <c r="V37" i="75" s="1"/>
  <c r="T37" i="75"/>
  <c r="T36" i="75"/>
  <c r="U36" i="75" s="1"/>
  <c r="V36" i="75" s="1"/>
  <c r="U35" i="75"/>
  <c r="V35" i="75" s="1"/>
  <c r="T35" i="75"/>
  <c r="T34" i="75"/>
  <c r="U34" i="75" s="1"/>
  <c r="V34" i="75" s="1"/>
  <c r="U33" i="75"/>
  <c r="V33" i="75" s="1"/>
  <c r="T33" i="75"/>
  <c r="T32" i="75"/>
  <c r="U32" i="75" s="1"/>
  <c r="V32" i="75" s="1"/>
  <c r="U31" i="75"/>
  <c r="V31" i="75" s="1"/>
  <c r="T31" i="75"/>
  <c r="T30" i="75"/>
  <c r="U30" i="75" s="1"/>
  <c r="V30" i="75" s="1"/>
  <c r="U29" i="75"/>
  <c r="V29" i="75" s="1"/>
  <c r="T29" i="75"/>
  <c r="T28" i="75"/>
  <c r="U28" i="75" s="1"/>
  <c r="V28" i="75" s="1"/>
  <c r="U27" i="75"/>
  <c r="V27" i="75" s="1"/>
  <c r="T27" i="75"/>
  <c r="T26" i="75"/>
  <c r="U26" i="75" s="1"/>
  <c r="V26" i="75" s="1"/>
  <c r="AY25" i="75"/>
  <c r="T25" i="75"/>
  <c r="U25" i="75" s="1"/>
  <c r="V25" i="75" s="1"/>
  <c r="U24" i="75"/>
  <c r="V24" i="75" s="1"/>
  <c r="T24" i="75"/>
  <c r="T23" i="75"/>
  <c r="U23" i="75" s="1"/>
  <c r="V23" i="75" s="1"/>
  <c r="U22" i="75"/>
  <c r="V22" i="75" s="1"/>
  <c r="T22" i="75"/>
  <c r="T21" i="75"/>
  <c r="U21" i="75" s="1"/>
  <c r="V21" i="75" s="1"/>
  <c r="A21" i="75"/>
  <c r="A22" i="75" s="1"/>
  <c r="A23" i="75" s="1"/>
  <c r="A24" i="75" s="1"/>
  <c r="A25" i="75" s="1"/>
  <c r="A26" i="75" s="1"/>
  <c r="A27" i="75" s="1"/>
  <c r="A28" i="75" s="1"/>
  <c r="A29" i="75" s="1"/>
  <c r="A30" i="75" s="1"/>
  <c r="A31" i="75" s="1"/>
  <c r="A32" i="75" s="1"/>
  <c r="A33" i="75" s="1"/>
  <c r="A34" i="75" s="1"/>
  <c r="A35" i="75" s="1"/>
  <c r="A36" i="75" s="1"/>
  <c r="A37" i="75" s="1"/>
  <c r="A38" i="75" s="1"/>
  <c r="A39" i="75" s="1"/>
  <c r="A40" i="75" s="1"/>
  <c r="A41" i="75" s="1"/>
  <c r="A42" i="75" s="1"/>
  <c r="A43" i="75" s="1"/>
  <c r="A44" i="75" s="1"/>
  <c r="A45" i="75" s="1"/>
  <c r="A46" i="75" s="1"/>
  <c r="A47" i="75" s="1"/>
  <c r="A48" i="75" s="1"/>
  <c r="A49" i="75" s="1"/>
  <c r="A50" i="75" s="1"/>
  <c r="A51" i="75" s="1"/>
  <c r="A52" i="75" s="1"/>
  <c r="A53" i="75" s="1"/>
  <c r="A54" i="75" s="1"/>
  <c r="A55" i="75" s="1"/>
  <c r="A56" i="75" s="1"/>
  <c r="A57" i="75" s="1"/>
  <c r="U20" i="75"/>
  <c r="V20" i="75" s="1"/>
  <c r="T20" i="75"/>
  <c r="A20" i="75"/>
  <c r="T19" i="75"/>
  <c r="U19" i="75" s="1"/>
  <c r="V19" i="75" s="1"/>
  <c r="T18" i="75"/>
  <c r="U18" i="75" s="1"/>
  <c r="V18" i="75" s="1"/>
  <c r="U17" i="75"/>
  <c r="V17" i="75" s="1"/>
  <c r="T17" i="75"/>
  <c r="T16" i="75"/>
  <c r="U16" i="75" s="1"/>
  <c r="V16" i="75" s="1"/>
  <c r="U15" i="75"/>
  <c r="V15" i="75" s="1"/>
  <c r="T15" i="75"/>
  <c r="A15" i="75"/>
  <c r="A16" i="75" s="1"/>
  <c r="A17" i="75" s="1"/>
  <c r="A18" i="75" s="1"/>
  <c r="T14" i="75"/>
  <c r="U14" i="75" s="1"/>
  <c r="V14" i="75" s="1"/>
  <c r="A14" i="75"/>
  <c r="U13" i="75"/>
  <c r="V13" i="75" s="1"/>
  <c r="T13" i="75"/>
  <c r="U12" i="75"/>
  <c r="V12" i="75" s="1"/>
  <c r="T12" i="75"/>
  <c r="T11" i="75"/>
  <c r="U11" i="75" s="1"/>
  <c r="V11" i="75" s="1"/>
  <c r="T10" i="75"/>
  <c r="U10" i="75" s="1"/>
  <c r="V10" i="75" s="1"/>
  <c r="T9" i="75"/>
  <c r="U9" i="75" s="1"/>
  <c r="V9" i="75" s="1"/>
  <c r="A9" i="75"/>
  <c r="A10" i="75" s="1"/>
  <c r="A11" i="75" s="1"/>
  <c r="T8" i="75"/>
  <c r="T58" i="75" s="1"/>
  <c r="A8" i="75"/>
  <c r="T7" i="75"/>
  <c r="U7" i="75" s="1"/>
  <c r="R58" i="74"/>
  <c r="Q58" i="74"/>
  <c r="P58" i="74"/>
  <c r="O58" i="74"/>
  <c r="N58" i="74"/>
  <c r="M58" i="74"/>
  <c r="K58" i="74"/>
  <c r="J58" i="74"/>
  <c r="I58" i="74"/>
  <c r="H58" i="74"/>
  <c r="G58" i="74"/>
  <c r="F58" i="74"/>
  <c r="C58" i="74"/>
  <c r="T54" i="74"/>
  <c r="U54" i="74" s="1"/>
  <c r="V54" i="74" s="1"/>
  <c r="T53" i="74"/>
  <c r="U53" i="74" s="1"/>
  <c r="V53" i="74" s="1"/>
  <c r="T52" i="74"/>
  <c r="U52" i="74" s="1"/>
  <c r="V52" i="74" s="1"/>
  <c r="T51" i="74"/>
  <c r="U51" i="74" s="1"/>
  <c r="V51" i="74" s="1"/>
  <c r="T50" i="74"/>
  <c r="U50" i="74" s="1"/>
  <c r="V50" i="74" s="1"/>
  <c r="T49" i="74"/>
  <c r="U49" i="74" s="1"/>
  <c r="V49" i="74" s="1"/>
  <c r="T48" i="74"/>
  <c r="U48" i="74" s="1"/>
  <c r="V48" i="74" s="1"/>
  <c r="T47" i="74"/>
  <c r="U47" i="74" s="1"/>
  <c r="V47" i="74" s="1"/>
  <c r="T46" i="74"/>
  <c r="U46" i="74" s="1"/>
  <c r="V46" i="74" s="1"/>
  <c r="T45" i="74"/>
  <c r="U45" i="74" s="1"/>
  <c r="V45" i="74" s="1"/>
  <c r="U43" i="74"/>
  <c r="V43" i="74" s="1"/>
  <c r="T43" i="74"/>
  <c r="T41" i="74"/>
  <c r="U41" i="74" s="1"/>
  <c r="V41" i="74" s="1"/>
  <c r="T40" i="74"/>
  <c r="U40" i="74" s="1"/>
  <c r="V40" i="74" s="1"/>
  <c r="T39" i="74"/>
  <c r="U39" i="74" s="1"/>
  <c r="V39" i="74" s="1"/>
  <c r="T38" i="74"/>
  <c r="U38" i="74" s="1"/>
  <c r="V38" i="74" s="1"/>
  <c r="T37" i="74"/>
  <c r="U37" i="74" s="1"/>
  <c r="V37" i="74" s="1"/>
  <c r="T36" i="74"/>
  <c r="U36" i="74" s="1"/>
  <c r="V36" i="74" s="1"/>
  <c r="T35" i="74"/>
  <c r="U35" i="74" s="1"/>
  <c r="V35" i="74" s="1"/>
  <c r="T34" i="74"/>
  <c r="U34" i="74" s="1"/>
  <c r="V34" i="74" s="1"/>
  <c r="T33" i="74"/>
  <c r="U33" i="74" s="1"/>
  <c r="V33" i="74" s="1"/>
  <c r="T32" i="74"/>
  <c r="U32" i="74" s="1"/>
  <c r="V32" i="74" s="1"/>
  <c r="T31" i="74"/>
  <c r="U31" i="74" s="1"/>
  <c r="V31" i="74" s="1"/>
  <c r="T30" i="74"/>
  <c r="U30" i="74" s="1"/>
  <c r="V30" i="74" s="1"/>
  <c r="T29" i="74"/>
  <c r="U29" i="74" s="1"/>
  <c r="V29" i="74" s="1"/>
  <c r="T28" i="74"/>
  <c r="U28" i="74" s="1"/>
  <c r="V28" i="74" s="1"/>
  <c r="T27" i="74"/>
  <c r="U27" i="74" s="1"/>
  <c r="V27" i="74" s="1"/>
  <c r="T26" i="74"/>
  <c r="U26" i="74" s="1"/>
  <c r="V26" i="74" s="1"/>
  <c r="AY25" i="74"/>
  <c r="U25" i="74"/>
  <c r="V25" i="74" s="1"/>
  <c r="T25" i="74"/>
  <c r="U24" i="74"/>
  <c r="V24" i="74" s="1"/>
  <c r="T24" i="74"/>
  <c r="U23" i="74"/>
  <c r="V23" i="74" s="1"/>
  <c r="T23" i="74"/>
  <c r="U22" i="74"/>
  <c r="V22" i="74" s="1"/>
  <c r="T22" i="74"/>
  <c r="U21" i="74"/>
  <c r="V21" i="74" s="1"/>
  <c r="T21" i="74"/>
  <c r="U20" i="74"/>
  <c r="V20" i="74" s="1"/>
  <c r="T20" i="74"/>
  <c r="A20" i="74"/>
  <c r="A21" i="74" s="1"/>
  <c r="A22" i="74" s="1"/>
  <c r="A23" i="74" s="1"/>
  <c r="A24" i="74" s="1"/>
  <c r="A25" i="74" s="1"/>
  <c r="A26" i="74" s="1"/>
  <c r="A27" i="74" s="1"/>
  <c r="A28" i="74" s="1"/>
  <c r="A29" i="74" s="1"/>
  <c r="A30" i="74" s="1"/>
  <c r="A31" i="74" s="1"/>
  <c r="A32" i="74" s="1"/>
  <c r="A33" i="74" s="1"/>
  <c r="A34" i="74" s="1"/>
  <c r="A35" i="74" s="1"/>
  <c r="A36" i="74" s="1"/>
  <c r="A37" i="74" s="1"/>
  <c r="A38" i="74" s="1"/>
  <c r="A39" i="74" s="1"/>
  <c r="A40" i="74" s="1"/>
  <c r="A41" i="74" s="1"/>
  <c r="A42" i="74" s="1"/>
  <c r="A43" i="74" s="1"/>
  <c r="A44" i="74" s="1"/>
  <c r="A45" i="74" s="1"/>
  <c r="A46" i="74" s="1"/>
  <c r="A47" i="74" s="1"/>
  <c r="A48" i="74" s="1"/>
  <c r="A49" i="74" s="1"/>
  <c r="A50" i="74" s="1"/>
  <c r="A51" i="74" s="1"/>
  <c r="A52" i="74" s="1"/>
  <c r="A53" i="74" s="1"/>
  <c r="A54" i="74" s="1"/>
  <c r="A55" i="74" s="1"/>
  <c r="A56" i="74" s="1"/>
  <c r="A57" i="74" s="1"/>
  <c r="U19" i="74"/>
  <c r="V19" i="74" s="1"/>
  <c r="T19" i="74"/>
  <c r="T18" i="74"/>
  <c r="U18" i="74" s="1"/>
  <c r="V18" i="74" s="1"/>
  <c r="T17" i="74"/>
  <c r="U17" i="74" s="1"/>
  <c r="V17" i="74" s="1"/>
  <c r="T16" i="74"/>
  <c r="U16" i="74" s="1"/>
  <c r="V16" i="74" s="1"/>
  <c r="T15" i="74"/>
  <c r="U15" i="74" s="1"/>
  <c r="V15" i="74" s="1"/>
  <c r="A15" i="74"/>
  <c r="A16" i="74" s="1"/>
  <c r="A17" i="74" s="1"/>
  <c r="A18" i="74" s="1"/>
  <c r="T14" i="74"/>
  <c r="U14" i="74" s="1"/>
  <c r="V14" i="74" s="1"/>
  <c r="A14" i="74"/>
  <c r="T13" i="74"/>
  <c r="U13" i="74" s="1"/>
  <c r="V13" i="74" s="1"/>
  <c r="T12" i="74"/>
  <c r="U12" i="74" s="1"/>
  <c r="V12" i="74" s="1"/>
  <c r="T11" i="74"/>
  <c r="U11" i="74" s="1"/>
  <c r="V11" i="74" s="1"/>
  <c r="T10" i="74"/>
  <c r="T58" i="74" s="1"/>
  <c r="T9" i="74"/>
  <c r="U9" i="74" s="1"/>
  <c r="V9" i="74" s="1"/>
  <c r="A9" i="74"/>
  <c r="A10" i="74" s="1"/>
  <c r="A11" i="74" s="1"/>
  <c r="V8" i="74"/>
  <c r="U8" i="74"/>
  <c r="T8" i="74"/>
  <c r="A8" i="74"/>
  <c r="T7" i="74"/>
  <c r="U7" i="74" s="1"/>
  <c r="R58" i="73"/>
  <c r="Q58" i="73"/>
  <c r="P58" i="73"/>
  <c r="O58" i="73"/>
  <c r="N58" i="73"/>
  <c r="M58" i="73"/>
  <c r="K58" i="73"/>
  <c r="J58" i="73"/>
  <c r="I58" i="73"/>
  <c r="H58" i="73"/>
  <c r="G58" i="73"/>
  <c r="F58" i="73"/>
  <c r="C58" i="73"/>
  <c r="T54" i="73"/>
  <c r="U54" i="73" s="1"/>
  <c r="V54" i="73" s="1"/>
  <c r="T53" i="73"/>
  <c r="U53" i="73" s="1"/>
  <c r="V53" i="73" s="1"/>
  <c r="U52" i="73"/>
  <c r="V52" i="73" s="1"/>
  <c r="T52" i="73"/>
  <c r="T51" i="73"/>
  <c r="U51" i="73" s="1"/>
  <c r="V51" i="73" s="1"/>
  <c r="T50" i="73"/>
  <c r="U50" i="73" s="1"/>
  <c r="V50" i="73" s="1"/>
  <c r="T49" i="73"/>
  <c r="U49" i="73" s="1"/>
  <c r="V49" i="73" s="1"/>
  <c r="U48" i="73"/>
  <c r="V48" i="73" s="1"/>
  <c r="T48" i="73"/>
  <c r="T47" i="73"/>
  <c r="U47" i="73" s="1"/>
  <c r="V47" i="73" s="1"/>
  <c r="T46" i="73"/>
  <c r="U46" i="73" s="1"/>
  <c r="V46" i="73" s="1"/>
  <c r="T45" i="73"/>
  <c r="U45" i="73" s="1"/>
  <c r="V45" i="73" s="1"/>
  <c r="T43" i="73"/>
  <c r="U43" i="73" s="1"/>
  <c r="V43" i="73" s="1"/>
  <c r="T41" i="73"/>
  <c r="U41" i="73" s="1"/>
  <c r="V41" i="73" s="1"/>
  <c r="T40" i="73"/>
  <c r="U40" i="73" s="1"/>
  <c r="V40" i="73" s="1"/>
  <c r="T39" i="73"/>
  <c r="U39" i="73" s="1"/>
  <c r="V39" i="73" s="1"/>
  <c r="T38" i="73"/>
  <c r="U38" i="73" s="1"/>
  <c r="V38" i="73" s="1"/>
  <c r="T37" i="73"/>
  <c r="U37" i="73" s="1"/>
  <c r="V37" i="73" s="1"/>
  <c r="T36" i="73"/>
  <c r="U36" i="73" s="1"/>
  <c r="V36" i="73" s="1"/>
  <c r="T35" i="73"/>
  <c r="U35" i="73" s="1"/>
  <c r="V35" i="73" s="1"/>
  <c r="T34" i="73"/>
  <c r="U34" i="73" s="1"/>
  <c r="V34" i="73" s="1"/>
  <c r="T33" i="73"/>
  <c r="U33" i="73" s="1"/>
  <c r="V33" i="73" s="1"/>
  <c r="T32" i="73"/>
  <c r="U32" i="73" s="1"/>
  <c r="V32" i="73" s="1"/>
  <c r="T31" i="73"/>
  <c r="U31" i="73" s="1"/>
  <c r="V31" i="73" s="1"/>
  <c r="T30" i="73"/>
  <c r="U30" i="73" s="1"/>
  <c r="V30" i="73" s="1"/>
  <c r="T29" i="73"/>
  <c r="U29" i="73" s="1"/>
  <c r="V29" i="73" s="1"/>
  <c r="T28" i="73"/>
  <c r="U28" i="73" s="1"/>
  <c r="V28" i="73" s="1"/>
  <c r="T27" i="73"/>
  <c r="U27" i="73" s="1"/>
  <c r="V27" i="73" s="1"/>
  <c r="T26" i="73"/>
  <c r="U26" i="73" s="1"/>
  <c r="V26" i="73" s="1"/>
  <c r="AY25" i="73"/>
  <c r="T25" i="73"/>
  <c r="U25" i="73" s="1"/>
  <c r="V25" i="73" s="1"/>
  <c r="T24" i="73"/>
  <c r="U24" i="73" s="1"/>
  <c r="V24" i="73" s="1"/>
  <c r="T23" i="73"/>
  <c r="U23" i="73" s="1"/>
  <c r="V23" i="73" s="1"/>
  <c r="U22" i="73"/>
  <c r="V22" i="73" s="1"/>
  <c r="T22" i="73"/>
  <c r="T21" i="73"/>
  <c r="U21" i="73" s="1"/>
  <c r="V21" i="73" s="1"/>
  <c r="T20" i="73"/>
  <c r="U20" i="73" s="1"/>
  <c r="V20" i="73" s="1"/>
  <c r="A20" i="73"/>
  <c r="A21" i="73" s="1"/>
  <c r="A22" i="73" s="1"/>
  <c r="A23" i="73" s="1"/>
  <c r="A24" i="73" s="1"/>
  <c r="A25" i="73" s="1"/>
  <c r="A26" i="73" s="1"/>
  <c r="A27" i="73" s="1"/>
  <c r="A28" i="73" s="1"/>
  <c r="A29" i="73" s="1"/>
  <c r="A30" i="73" s="1"/>
  <c r="A31" i="73" s="1"/>
  <c r="A32" i="73" s="1"/>
  <c r="A33" i="73" s="1"/>
  <c r="A34" i="73" s="1"/>
  <c r="A35" i="73" s="1"/>
  <c r="A36" i="73" s="1"/>
  <c r="A37" i="73" s="1"/>
  <c r="A38" i="73" s="1"/>
  <c r="A39" i="73" s="1"/>
  <c r="A40" i="73" s="1"/>
  <c r="A41" i="73" s="1"/>
  <c r="A42" i="73" s="1"/>
  <c r="A43" i="73" s="1"/>
  <c r="A44" i="73" s="1"/>
  <c r="A45" i="73" s="1"/>
  <c r="A46" i="73" s="1"/>
  <c r="A47" i="73" s="1"/>
  <c r="A48" i="73" s="1"/>
  <c r="A49" i="73" s="1"/>
  <c r="A50" i="73" s="1"/>
  <c r="A51" i="73" s="1"/>
  <c r="A52" i="73" s="1"/>
  <c r="A53" i="73" s="1"/>
  <c r="A54" i="73" s="1"/>
  <c r="A55" i="73" s="1"/>
  <c r="A56" i="73" s="1"/>
  <c r="A57" i="73" s="1"/>
  <c r="T19" i="73"/>
  <c r="U19" i="73" s="1"/>
  <c r="V19" i="73" s="1"/>
  <c r="T18" i="73"/>
  <c r="U18" i="73" s="1"/>
  <c r="V18" i="73" s="1"/>
  <c r="T17" i="73"/>
  <c r="U17" i="73" s="1"/>
  <c r="V17" i="73" s="1"/>
  <c r="T16" i="73"/>
  <c r="U16" i="73" s="1"/>
  <c r="V16" i="73" s="1"/>
  <c r="T15" i="73"/>
  <c r="U15" i="73" s="1"/>
  <c r="V15" i="73" s="1"/>
  <c r="A15" i="73"/>
  <c r="A16" i="73" s="1"/>
  <c r="A17" i="73" s="1"/>
  <c r="A18" i="73" s="1"/>
  <c r="T14" i="73"/>
  <c r="U14" i="73" s="1"/>
  <c r="V14" i="73" s="1"/>
  <c r="A14" i="73"/>
  <c r="T13" i="73"/>
  <c r="U13" i="73" s="1"/>
  <c r="V13" i="73" s="1"/>
  <c r="T12" i="73"/>
  <c r="U12" i="73" s="1"/>
  <c r="V12" i="73" s="1"/>
  <c r="T11" i="73"/>
  <c r="U11" i="73" s="1"/>
  <c r="V11" i="73" s="1"/>
  <c r="U10" i="73"/>
  <c r="V10" i="73" s="1"/>
  <c r="T10" i="73"/>
  <c r="T9" i="73"/>
  <c r="U9" i="73" s="1"/>
  <c r="V9" i="73" s="1"/>
  <c r="T8" i="73"/>
  <c r="U8" i="73" s="1"/>
  <c r="V8" i="73" s="1"/>
  <c r="A8" i="73"/>
  <c r="A9" i="73" s="1"/>
  <c r="A10" i="73" s="1"/>
  <c r="A11" i="73" s="1"/>
  <c r="T7" i="73"/>
  <c r="T58" i="73" s="1"/>
  <c r="C47" i="71"/>
  <c r="C43" i="71"/>
  <c r="K43" i="71"/>
  <c r="J43" i="71"/>
  <c r="C40" i="71"/>
  <c r="K37" i="71"/>
  <c r="C37" i="71"/>
  <c r="C34" i="71"/>
  <c r="H24" i="71"/>
  <c r="H23" i="71"/>
  <c r="C22" i="71"/>
  <c r="H21" i="71"/>
  <c r="H19" i="71"/>
  <c r="H17" i="71"/>
  <c r="C12" i="71"/>
  <c r="C11" i="71"/>
  <c r="C10" i="71"/>
  <c r="C9" i="71"/>
  <c r="C8" i="71"/>
  <c r="U7" i="76" l="1"/>
  <c r="U58" i="75"/>
  <c r="V7" i="75"/>
  <c r="U8" i="75"/>
  <c r="V8" i="75" s="1"/>
  <c r="V7" i="74"/>
  <c r="U10" i="74"/>
  <c r="V10" i="74" s="1"/>
  <c r="U7" i="73"/>
  <c r="C47" i="70"/>
  <c r="K43" i="70"/>
  <c r="J43" i="70"/>
  <c r="T43" i="70" s="1"/>
  <c r="C43" i="70"/>
  <c r="C40" i="70"/>
  <c r="C37" i="70"/>
  <c r="K37" i="70"/>
  <c r="T37" i="70" s="1"/>
  <c r="U37" i="70" s="1"/>
  <c r="V37" i="70" s="1"/>
  <c r="C34" i="70"/>
  <c r="H24" i="70"/>
  <c r="T24" i="70" s="1"/>
  <c r="U24" i="70" s="1"/>
  <c r="V24" i="70" s="1"/>
  <c r="H23" i="70"/>
  <c r="H21" i="70"/>
  <c r="H19" i="70"/>
  <c r="T19" i="70" s="1"/>
  <c r="U19" i="70" s="1"/>
  <c r="V19" i="70" s="1"/>
  <c r="H17" i="70"/>
  <c r="C12" i="70"/>
  <c r="C10" i="70"/>
  <c r="C9" i="70"/>
  <c r="C8" i="70"/>
  <c r="R58" i="72"/>
  <c r="Q58" i="72"/>
  <c r="P58" i="72"/>
  <c r="O58" i="72"/>
  <c r="N58" i="72"/>
  <c r="M58" i="72"/>
  <c r="K58" i="72"/>
  <c r="J58" i="72"/>
  <c r="I58" i="72"/>
  <c r="H58" i="72"/>
  <c r="G58" i="72"/>
  <c r="F58" i="72"/>
  <c r="C58" i="72"/>
  <c r="U54" i="72"/>
  <c r="V54" i="72" s="1"/>
  <c r="T54" i="72"/>
  <c r="U53" i="72"/>
  <c r="V53" i="72" s="1"/>
  <c r="T53" i="72"/>
  <c r="U52" i="72"/>
  <c r="V52" i="72" s="1"/>
  <c r="T52" i="72"/>
  <c r="T51" i="72"/>
  <c r="U51" i="72" s="1"/>
  <c r="V51" i="72" s="1"/>
  <c r="U50" i="72"/>
  <c r="V50" i="72" s="1"/>
  <c r="T50" i="72"/>
  <c r="V49" i="72"/>
  <c r="U49" i="72"/>
  <c r="T49" i="72"/>
  <c r="T48" i="72"/>
  <c r="U48" i="72" s="1"/>
  <c r="V48" i="72" s="1"/>
  <c r="T47" i="72"/>
  <c r="U47" i="72" s="1"/>
  <c r="V47" i="72" s="1"/>
  <c r="U46" i="72"/>
  <c r="V46" i="72" s="1"/>
  <c r="T46" i="72"/>
  <c r="V45" i="72"/>
  <c r="U45" i="72"/>
  <c r="T45" i="72"/>
  <c r="T43" i="72"/>
  <c r="U43" i="72" s="1"/>
  <c r="V43" i="72" s="1"/>
  <c r="T41" i="72"/>
  <c r="U41" i="72" s="1"/>
  <c r="V41" i="72" s="1"/>
  <c r="T40" i="72"/>
  <c r="U40" i="72" s="1"/>
  <c r="V40" i="72" s="1"/>
  <c r="T39" i="72"/>
  <c r="U39" i="72" s="1"/>
  <c r="V39" i="72" s="1"/>
  <c r="T38" i="72"/>
  <c r="U38" i="72" s="1"/>
  <c r="V38" i="72" s="1"/>
  <c r="T37" i="72"/>
  <c r="U37" i="72" s="1"/>
  <c r="V37" i="72" s="1"/>
  <c r="T36" i="72"/>
  <c r="U36" i="72" s="1"/>
  <c r="V36" i="72" s="1"/>
  <c r="T35" i="72"/>
  <c r="U35" i="72" s="1"/>
  <c r="V35" i="72" s="1"/>
  <c r="T34" i="72"/>
  <c r="U34" i="72" s="1"/>
  <c r="V34" i="72" s="1"/>
  <c r="T33" i="72"/>
  <c r="U33" i="72" s="1"/>
  <c r="V33" i="72" s="1"/>
  <c r="T32" i="72"/>
  <c r="U32" i="72" s="1"/>
  <c r="V32" i="72" s="1"/>
  <c r="T31" i="72"/>
  <c r="U31" i="72" s="1"/>
  <c r="V31" i="72" s="1"/>
  <c r="T30" i="72"/>
  <c r="U30" i="72" s="1"/>
  <c r="V30" i="72" s="1"/>
  <c r="T29" i="72"/>
  <c r="U29" i="72" s="1"/>
  <c r="V29" i="72" s="1"/>
  <c r="T28" i="72"/>
  <c r="U28" i="72" s="1"/>
  <c r="V28" i="72" s="1"/>
  <c r="T27" i="72"/>
  <c r="U27" i="72" s="1"/>
  <c r="V27" i="72" s="1"/>
  <c r="T26" i="72"/>
  <c r="U26" i="72" s="1"/>
  <c r="V26" i="72" s="1"/>
  <c r="AY25" i="72"/>
  <c r="T25" i="72"/>
  <c r="U25" i="72" s="1"/>
  <c r="V25" i="72" s="1"/>
  <c r="T24" i="72"/>
  <c r="U24" i="72" s="1"/>
  <c r="V24" i="72" s="1"/>
  <c r="T23" i="72"/>
  <c r="U23" i="72" s="1"/>
  <c r="V23" i="72" s="1"/>
  <c r="T22" i="72"/>
  <c r="U22" i="72" s="1"/>
  <c r="V22" i="72" s="1"/>
  <c r="T21" i="72"/>
  <c r="U21" i="72" s="1"/>
  <c r="V21" i="72" s="1"/>
  <c r="T20" i="72"/>
  <c r="U20" i="72" s="1"/>
  <c r="V20" i="72" s="1"/>
  <c r="A20" i="72"/>
  <c r="A21" i="72" s="1"/>
  <c r="A22" i="72" s="1"/>
  <c r="A23" i="72" s="1"/>
  <c r="A24" i="72" s="1"/>
  <c r="A25" i="72" s="1"/>
  <c r="A26" i="72" s="1"/>
  <c r="A27" i="72" s="1"/>
  <c r="A28" i="72" s="1"/>
  <c r="A29" i="72" s="1"/>
  <c r="A30" i="72" s="1"/>
  <c r="A31" i="72" s="1"/>
  <c r="A32" i="72" s="1"/>
  <c r="A33" i="72" s="1"/>
  <c r="A34" i="72" s="1"/>
  <c r="A35" i="72" s="1"/>
  <c r="A36" i="72" s="1"/>
  <c r="A37" i="72" s="1"/>
  <c r="A38" i="72" s="1"/>
  <c r="A39" i="72" s="1"/>
  <c r="A40" i="72" s="1"/>
  <c r="A41" i="72" s="1"/>
  <c r="A42" i="72" s="1"/>
  <c r="A43" i="72" s="1"/>
  <c r="A44" i="72" s="1"/>
  <c r="A45" i="72" s="1"/>
  <c r="A46" i="72" s="1"/>
  <c r="A47" i="72" s="1"/>
  <c r="A48" i="72" s="1"/>
  <c r="A49" i="72" s="1"/>
  <c r="A50" i="72" s="1"/>
  <c r="A51" i="72" s="1"/>
  <c r="A52" i="72" s="1"/>
  <c r="A53" i="72" s="1"/>
  <c r="A54" i="72" s="1"/>
  <c r="A55" i="72" s="1"/>
  <c r="A56" i="72" s="1"/>
  <c r="A57" i="72" s="1"/>
  <c r="T19" i="72"/>
  <c r="U19" i="72" s="1"/>
  <c r="V19" i="72" s="1"/>
  <c r="T18" i="72"/>
  <c r="U18" i="72" s="1"/>
  <c r="V18" i="72" s="1"/>
  <c r="T17" i="72"/>
  <c r="U17" i="72" s="1"/>
  <c r="V17" i="72" s="1"/>
  <c r="T16" i="72"/>
  <c r="U16" i="72" s="1"/>
  <c r="V16" i="72" s="1"/>
  <c r="T15" i="72"/>
  <c r="U15" i="72" s="1"/>
  <c r="V15" i="72" s="1"/>
  <c r="A15" i="72"/>
  <c r="A16" i="72" s="1"/>
  <c r="A17" i="72" s="1"/>
  <c r="A18" i="72" s="1"/>
  <c r="T14" i="72"/>
  <c r="U14" i="72" s="1"/>
  <c r="V14" i="72" s="1"/>
  <c r="A14" i="72"/>
  <c r="T13" i="72"/>
  <c r="U13" i="72" s="1"/>
  <c r="V13" i="72" s="1"/>
  <c r="T12" i="72"/>
  <c r="U12" i="72" s="1"/>
  <c r="V12" i="72" s="1"/>
  <c r="U11" i="72"/>
  <c r="V11" i="72" s="1"/>
  <c r="T11" i="72"/>
  <c r="U10" i="72"/>
  <c r="V10" i="72" s="1"/>
  <c r="T10" i="72"/>
  <c r="T9" i="72"/>
  <c r="U9" i="72" s="1"/>
  <c r="V9" i="72" s="1"/>
  <c r="T8" i="72"/>
  <c r="U8" i="72" s="1"/>
  <c r="V8" i="72" s="1"/>
  <c r="A8" i="72"/>
  <c r="A9" i="72" s="1"/>
  <c r="A10" i="72" s="1"/>
  <c r="A11" i="72" s="1"/>
  <c r="T7" i="72"/>
  <c r="H24" i="69"/>
  <c r="C47" i="69"/>
  <c r="C43" i="69"/>
  <c r="C41" i="69"/>
  <c r="I43" i="69"/>
  <c r="J43" i="69"/>
  <c r="K43" i="69"/>
  <c r="C40" i="69"/>
  <c r="K37" i="69"/>
  <c r="C37" i="69"/>
  <c r="C34" i="69"/>
  <c r="H23" i="69"/>
  <c r="H21" i="69"/>
  <c r="H19" i="69"/>
  <c r="H17" i="69"/>
  <c r="C12" i="69"/>
  <c r="C10" i="69"/>
  <c r="C9" i="69"/>
  <c r="C8" i="69"/>
  <c r="R58" i="71"/>
  <c r="Q58" i="71"/>
  <c r="P58" i="71"/>
  <c r="O58" i="71"/>
  <c r="N58" i="71"/>
  <c r="M58" i="71"/>
  <c r="K58" i="71"/>
  <c r="J58" i="71"/>
  <c r="I58" i="71"/>
  <c r="H58" i="71"/>
  <c r="G58" i="71"/>
  <c r="F58" i="71"/>
  <c r="C58" i="71"/>
  <c r="T54" i="71"/>
  <c r="U54" i="71" s="1"/>
  <c r="V54" i="71" s="1"/>
  <c r="T53" i="71"/>
  <c r="U53" i="71" s="1"/>
  <c r="V53" i="71" s="1"/>
  <c r="U52" i="71"/>
  <c r="V52" i="71" s="1"/>
  <c r="T52" i="71"/>
  <c r="T51" i="71"/>
  <c r="U51" i="71" s="1"/>
  <c r="V51" i="71" s="1"/>
  <c r="T50" i="71"/>
  <c r="U50" i="71" s="1"/>
  <c r="V50" i="71" s="1"/>
  <c r="T49" i="71"/>
  <c r="U49" i="71" s="1"/>
  <c r="V49" i="71" s="1"/>
  <c r="T48" i="71"/>
  <c r="U48" i="71" s="1"/>
  <c r="V48" i="71" s="1"/>
  <c r="T47" i="71"/>
  <c r="U47" i="71" s="1"/>
  <c r="V47" i="71" s="1"/>
  <c r="T46" i="71"/>
  <c r="U46" i="71" s="1"/>
  <c r="V46" i="71" s="1"/>
  <c r="T45" i="71"/>
  <c r="U45" i="71" s="1"/>
  <c r="V45" i="71" s="1"/>
  <c r="T43" i="71"/>
  <c r="U43" i="71" s="1"/>
  <c r="V43" i="71" s="1"/>
  <c r="T41" i="71"/>
  <c r="U41" i="71" s="1"/>
  <c r="V41" i="71" s="1"/>
  <c r="T40" i="71"/>
  <c r="U40" i="71" s="1"/>
  <c r="V40" i="71" s="1"/>
  <c r="T39" i="71"/>
  <c r="U39" i="71" s="1"/>
  <c r="V39" i="71" s="1"/>
  <c r="T38" i="71"/>
  <c r="U38" i="71" s="1"/>
  <c r="V38" i="71" s="1"/>
  <c r="T37" i="71"/>
  <c r="U37" i="71" s="1"/>
  <c r="V37" i="71" s="1"/>
  <c r="T36" i="71"/>
  <c r="U36" i="71" s="1"/>
  <c r="V36" i="71" s="1"/>
  <c r="T35" i="71"/>
  <c r="U35" i="71" s="1"/>
  <c r="V35" i="71" s="1"/>
  <c r="T34" i="71"/>
  <c r="U34" i="71" s="1"/>
  <c r="V34" i="71" s="1"/>
  <c r="T33" i="71"/>
  <c r="U33" i="71" s="1"/>
  <c r="V33" i="71" s="1"/>
  <c r="T32" i="71"/>
  <c r="U32" i="71" s="1"/>
  <c r="V32" i="71" s="1"/>
  <c r="T31" i="71"/>
  <c r="U31" i="71" s="1"/>
  <c r="V31" i="71" s="1"/>
  <c r="T30" i="71"/>
  <c r="U30" i="71" s="1"/>
  <c r="V30" i="71" s="1"/>
  <c r="T29" i="71"/>
  <c r="U29" i="71" s="1"/>
  <c r="V29" i="71" s="1"/>
  <c r="T28" i="71"/>
  <c r="U28" i="71" s="1"/>
  <c r="V28" i="71" s="1"/>
  <c r="T27" i="71"/>
  <c r="U27" i="71" s="1"/>
  <c r="V27" i="71" s="1"/>
  <c r="T26" i="71"/>
  <c r="U26" i="71" s="1"/>
  <c r="V26" i="71" s="1"/>
  <c r="AY25" i="71"/>
  <c r="T25" i="71"/>
  <c r="U25" i="71" s="1"/>
  <c r="V25" i="71" s="1"/>
  <c r="T24" i="71"/>
  <c r="U24" i="71" s="1"/>
  <c r="V24" i="71" s="1"/>
  <c r="T23" i="71"/>
  <c r="U23" i="71" s="1"/>
  <c r="V23" i="71" s="1"/>
  <c r="T22" i="71"/>
  <c r="U22" i="71" s="1"/>
  <c r="V22" i="71" s="1"/>
  <c r="T21" i="71"/>
  <c r="U21" i="71" s="1"/>
  <c r="V21" i="71" s="1"/>
  <c r="A21" i="71"/>
  <c r="A22" i="71" s="1"/>
  <c r="A23" i="71" s="1"/>
  <c r="A24" i="71" s="1"/>
  <c r="A25" i="71" s="1"/>
  <c r="A26" i="71" s="1"/>
  <c r="A27" i="71" s="1"/>
  <c r="A28" i="71" s="1"/>
  <c r="A29" i="71" s="1"/>
  <c r="A30" i="71" s="1"/>
  <c r="A31" i="71" s="1"/>
  <c r="A32" i="71" s="1"/>
  <c r="A33" i="71" s="1"/>
  <c r="A34" i="71" s="1"/>
  <c r="A35" i="71" s="1"/>
  <c r="A36" i="71" s="1"/>
  <c r="A37" i="71" s="1"/>
  <c r="A38" i="71" s="1"/>
  <c r="A39" i="71" s="1"/>
  <c r="A40" i="71" s="1"/>
  <c r="A41" i="71" s="1"/>
  <c r="A42" i="71" s="1"/>
  <c r="A43" i="71" s="1"/>
  <c r="A44" i="71" s="1"/>
  <c r="A45" i="71" s="1"/>
  <c r="A46" i="71" s="1"/>
  <c r="A47" i="71" s="1"/>
  <c r="A48" i="71" s="1"/>
  <c r="A49" i="71" s="1"/>
  <c r="A50" i="71" s="1"/>
  <c r="A51" i="71" s="1"/>
  <c r="A52" i="71" s="1"/>
  <c r="A53" i="71" s="1"/>
  <c r="A54" i="71" s="1"/>
  <c r="A55" i="71" s="1"/>
  <c r="A56" i="71" s="1"/>
  <c r="A57" i="71" s="1"/>
  <c r="U20" i="71"/>
  <c r="V20" i="71" s="1"/>
  <c r="T20" i="71"/>
  <c r="A20" i="71"/>
  <c r="T19" i="71"/>
  <c r="U19" i="71" s="1"/>
  <c r="V19" i="71" s="1"/>
  <c r="T18" i="71"/>
  <c r="U18" i="71" s="1"/>
  <c r="V18" i="71" s="1"/>
  <c r="T17" i="71"/>
  <c r="U17" i="71" s="1"/>
  <c r="V17" i="71" s="1"/>
  <c r="T16" i="71"/>
  <c r="U16" i="71" s="1"/>
  <c r="V16" i="71" s="1"/>
  <c r="T15" i="71"/>
  <c r="U15" i="71" s="1"/>
  <c r="V15" i="71" s="1"/>
  <c r="A15" i="71"/>
  <c r="A16" i="71" s="1"/>
  <c r="A17" i="71" s="1"/>
  <c r="A18" i="71" s="1"/>
  <c r="T14" i="71"/>
  <c r="U14" i="71" s="1"/>
  <c r="V14" i="71" s="1"/>
  <c r="A14" i="71"/>
  <c r="T13" i="71"/>
  <c r="U13" i="71" s="1"/>
  <c r="V13" i="71" s="1"/>
  <c r="T12" i="71"/>
  <c r="U12" i="71" s="1"/>
  <c r="V12" i="71" s="1"/>
  <c r="T11" i="71"/>
  <c r="U11" i="71" s="1"/>
  <c r="V11" i="71" s="1"/>
  <c r="U10" i="71"/>
  <c r="V10" i="71" s="1"/>
  <c r="T10" i="71"/>
  <c r="T9" i="71"/>
  <c r="U9" i="71" s="1"/>
  <c r="V9" i="71" s="1"/>
  <c r="T8" i="71"/>
  <c r="U8" i="71" s="1"/>
  <c r="V8" i="71" s="1"/>
  <c r="A8" i="71"/>
  <c r="A9" i="71" s="1"/>
  <c r="A10" i="71" s="1"/>
  <c r="A11" i="71" s="1"/>
  <c r="T7" i="71"/>
  <c r="R58" i="70"/>
  <c r="Q58" i="70"/>
  <c r="P58" i="70"/>
  <c r="O58" i="70"/>
  <c r="N58" i="70"/>
  <c r="M58" i="70"/>
  <c r="J58" i="70"/>
  <c r="I58" i="70"/>
  <c r="G58" i="70"/>
  <c r="F58" i="70"/>
  <c r="U54" i="70"/>
  <c r="V54" i="70" s="1"/>
  <c r="T54" i="70"/>
  <c r="T53" i="70"/>
  <c r="U53" i="70" s="1"/>
  <c r="V53" i="70" s="1"/>
  <c r="U52" i="70"/>
  <c r="V52" i="70" s="1"/>
  <c r="T52" i="70"/>
  <c r="U51" i="70"/>
  <c r="V51" i="70" s="1"/>
  <c r="T51" i="70"/>
  <c r="U50" i="70"/>
  <c r="V50" i="70" s="1"/>
  <c r="T50" i="70"/>
  <c r="T49" i="70"/>
  <c r="U49" i="70" s="1"/>
  <c r="V49" i="70" s="1"/>
  <c r="T48" i="70"/>
  <c r="U48" i="70" s="1"/>
  <c r="V48" i="70" s="1"/>
  <c r="T47" i="70"/>
  <c r="U47" i="70" s="1"/>
  <c r="V47" i="70" s="1"/>
  <c r="U46" i="70"/>
  <c r="V46" i="70" s="1"/>
  <c r="T46" i="70"/>
  <c r="T45" i="70"/>
  <c r="U45" i="70" s="1"/>
  <c r="V45" i="70" s="1"/>
  <c r="T41" i="70"/>
  <c r="U41" i="70" s="1"/>
  <c r="V41" i="70" s="1"/>
  <c r="T40" i="70"/>
  <c r="U40" i="70" s="1"/>
  <c r="V40" i="70" s="1"/>
  <c r="T39" i="70"/>
  <c r="U39" i="70" s="1"/>
  <c r="V39" i="70" s="1"/>
  <c r="T38" i="70"/>
  <c r="U38" i="70" s="1"/>
  <c r="V38" i="70" s="1"/>
  <c r="T36" i="70"/>
  <c r="U36" i="70" s="1"/>
  <c r="V36" i="70" s="1"/>
  <c r="T35" i="70"/>
  <c r="U35" i="70" s="1"/>
  <c r="V35" i="70" s="1"/>
  <c r="T34" i="70"/>
  <c r="T33" i="70"/>
  <c r="U33" i="70" s="1"/>
  <c r="V33" i="70" s="1"/>
  <c r="T32" i="70"/>
  <c r="U32" i="70" s="1"/>
  <c r="V32" i="70" s="1"/>
  <c r="T31" i="70"/>
  <c r="U31" i="70" s="1"/>
  <c r="V31" i="70" s="1"/>
  <c r="T30" i="70"/>
  <c r="U30" i="70" s="1"/>
  <c r="V30" i="70" s="1"/>
  <c r="T29" i="70"/>
  <c r="U29" i="70" s="1"/>
  <c r="V29" i="70" s="1"/>
  <c r="T28" i="70"/>
  <c r="U28" i="70" s="1"/>
  <c r="V28" i="70" s="1"/>
  <c r="T27" i="70"/>
  <c r="U27" i="70" s="1"/>
  <c r="V27" i="70" s="1"/>
  <c r="T26" i="70"/>
  <c r="U26" i="70" s="1"/>
  <c r="V26" i="70" s="1"/>
  <c r="AY25" i="70"/>
  <c r="T25" i="70"/>
  <c r="U25" i="70" s="1"/>
  <c r="V25" i="70" s="1"/>
  <c r="T23" i="70"/>
  <c r="U23" i="70" s="1"/>
  <c r="V23" i="70" s="1"/>
  <c r="T22" i="70"/>
  <c r="U22" i="70" s="1"/>
  <c r="V22" i="70" s="1"/>
  <c r="T21" i="70"/>
  <c r="U21" i="70" s="1"/>
  <c r="V21" i="70" s="1"/>
  <c r="T20" i="70"/>
  <c r="U20" i="70" s="1"/>
  <c r="V20" i="70" s="1"/>
  <c r="A20" i="70"/>
  <c r="A21" i="70" s="1"/>
  <c r="A22" i="70" s="1"/>
  <c r="A23" i="70" s="1"/>
  <c r="A24" i="70" s="1"/>
  <c r="A25" i="70" s="1"/>
  <c r="A26" i="70" s="1"/>
  <c r="A27" i="70" s="1"/>
  <c r="A28" i="70" s="1"/>
  <c r="A29" i="70" s="1"/>
  <c r="A30" i="70" s="1"/>
  <c r="A31" i="70" s="1"/>
  <c r="A32" i="70" s="1"/>
  <c r="A33" i="70" s="1"/>
  <c r="A34" i="70" s="1"/>
  <c r="A35" i="70" s="1"/>
  <c r="A36" i="70" s="1"/>
  <c r="A37" i="70" s="1"/>
  <c r="A38" i="70" s="1"/>
  <c r="A39" i="70" s="1"/>
  <c r="A40" i="70" s="1"/>
  <c r="A41" i="70" s="1"/>
  <c r="A42" i="70" s="1"/>
  <c r="A43" i="70" s="1"/>
  <c r="A44" i="70" s="1"/>
  <c r="A45" i="70" s="1"/>
  <c r="A46" i="70" s="1"/>
  <c r="A47" i="70" s="1"/>
  <c r="A48" i="70" s="1"/>
  <c r="A49" i="70" s="1"/>
  <c r="A50" i="70" s="1"/>
  <c r="A51" i="70" s="1"/>
  <c r="A52" i="70" s="1"/>
  <c r="A53" i="70" s="1"/>
  <c r="A54" i="70" s="1"/>
  <c r="A55" i="70" s="1"/>
  <c r="A56" i="70" s="1"/>
  <c r="A57" i="70" s="1"/>
  <c r="T18" i="70"/>
  <c r="U18" i="70" s="1"/>
  <c r="V18" i="70" s="1"/>
  <c r="T17" i="70"/>
  <c r="U17" i="70" s="1"/>
  <c r="V17" i="70" s="1"/>
  <c r="T16" i="70"/>
  <c r="U16" i="70" s="1"/>
  <c r="V16" i="70" s="1"/>
  <c r="T15" i="70"/>
  <c r="U15" i="70" s="1"/>
  <c r="V15" i="70" s="1"/>
  <c r="T14" i="70"/>
  <c r="U14" i="70" s="1"/>
  <c r="V14" i="70" s="1"/>
  <c r="A14" i="70"/>
  <c r="A15" i="70" s="1"/>
  <c r="A16" i="70" s="1"/>
  <c r="A17" i="70" s="1"/>
  <c r="A18" i="70" s="1"/>
  <c r="T13" i="70"/>
  <c r="U13" i="70" s="1"/>
  <c r="V13" i="70" s="1"/>
  <c r="T12" i="70"/>
  <c r="U12" i="70" s="1"/>
  <c r="V12" i="70" s="1"/>
  <c r="T11" i="70"/>
  <c r="U11" i="70" s="1"/>
  <c r="V11" i="70" s="1"/>
  <c r="T10" i="70"/>
  <c r="U9" i="70"/>
  <c r="V9" i="70" s="1"/>
  <c r="T9" i="70"/>
  <c r="T8" i="70"/>
  <c r="U8" i="70" s="1"/>
  <c r="V8" i="70" s="1"/>
  <c r="A8" i="70"/>
  <c r="A9" i="70" s="1"/>
  <c r="A10" i="70" s="1"/>
  <c r="A11" i="70" s="1"/>
  <c r="T7" i="70"/>
  <c r="T58" i="72" l="1"/>
  <c r="U7" i="72"/>
  <c r="U58" i="72" s="1"/>
  <c r="U58" i="76"/>
  <c r="V7" i="76"/>
  <c r="V58" i="76" s="1"/>
  <c r="V58" i="75"/>
  <c r="V58" i="74"/>
  <c r="U58" i="74"/>
  <c r="U58" i="73"/>
  <c r="V7" i="73"/>
  <c r="V58" i="73" s="1"/>
  <c r="T58" i="71"/>
  <c r="U43" i="70"/>
  <c r="V43" i="70" s="1"/>
  <c r="K58" i="70"/>
  <c r="U34" i="70"/>
  <c r="V34" i="70" s="1"/>
  <c r="H58" i="70"/>
  <c r="T58" i="70"/>
  <c r="C58" i="70"/>
  <c r="U10" i="70"/>
  <c r="V10" i="70" s="1"/>
  <c r="U7" i="71"/>
  <c r="U7" i="70"/>
  <c r="R58" i="69"/>
  <c r="Q58" i="69"/>
  <c r="P58" i="69"/>
  <c r="O58" i="69"/>
  <c r="N58" i="69"/>
  <c r="M58" i="69"/>
  <c r="K58" i="69"/>
  <c r="J58" i="69"/>
  <c r="I58" i="69"/>
  <c r="H58" i="69"/>
  <c r="G58" i="69"/>
  <c r="F58" i="69"/>
  <c r="C58" i="69"/>
  <c r="T54" i="69"/>
  <c r="U54" i="69" s="1"/>
  <c r="V54" i="69" s="1"/>
  <c r="U53" i="69"/>
  <c r="V53" i="69" s="1"/>
  <c r="T53" i="69"/>
  <c r="T52" i="69"/>
  <c r="U52" i="69" s="1"/>
  <c r="V52" i="69" s="1"/>
  <c r="T51" i="69"/>
  <c r="U51" i="69" s="1"/>
  <c r="V51" i="69" s="1"/>
  <c r="T50" i="69"/>
  <c r="U50" i="69" s="1"/>
  <c r="V50" i="69" s="1"/>
  <c r="U49" i="69"/>
  <c r="V49" i="69" s="1"/>
  <c r="T49" i="69"/>
  <c r="T48" i="69"/>
  <c r="U48" i="69" s="1"/>
  <c r="V48" i="69" s="1"/>
  <c r="T47" i="69"/>
  <c r="U47" i="69" s="1"/>
  <c r="V47" i="69" s="1"/>
  <c r="T46" i="69"/>
  <c r="U46" i="69" s="1"/>
  <c r="V46" i="69" s="1"/>
  <c r="U45" i="69"/>
  <c r="V45" i="69" s="1"/>
  <c r="T45" i="69"/>
  <c r="T43" i="69"/>
  <c r="U43" i="69" s="1"/>
  <c r="V43" i="69" s="1"/>
  <c r="U41" i="69"/>
  <c r="V41" i="69" s="1"/>
  <c r="T41" i="69"/>
  <c r="U40" i="69"/>
  <c r="V40" i="69" s="1"/>
  <c r="T40" i="69"/>
  <c r="T39" i="69"/>
  <c r="U39" i="69" s="1"/>
  <c r="V39" i="69" s="1"/>
  <c r="T38" i="69"/>
  <c r="U38" i="69" s="1"/>
  <c r="V38" i="69" s="1"/>
  <c r="T37" i="69"/>
  <c r="U37" i="69" s="1"/>
  <c r="V37" i="69" s="1"/>
  <c r="U36" i="69"/>
  <c r="V36" i="69" s="1"/>
  <c r="T36" i="69"/>
  <c r="T35" i="69"/>
  <c r="U35" i="69" s="1"/>
  <c r="V35" i="69" s="1"/>
  <c r="T34" i="69"/>
  <c r="U34" i="69" s="1"/>
  <c r="V34" i="69" s="1"/>
  <c r="U33" i="69"/>
  <c r="V33" i="69" s="1"/>
  <c r="T33" i="69"/>
  <c r="U32" i="69"/>
  <c r="V32" i="69" s="1"/>
  <c r="T32" i="69"/>
  <c r="T31" i="69"/>
  <c r="U31" i="69" s="1"/>
  <c r="V31" i="69" s="1"/>
  <c r="T30" i="69"/>
  <c r="U30" i="69" s="1"/>
  <c r="V30" i="69" s="1"/>
  <c r="T29" i="69"/>
  <c r="U29" i="69" s="1"/>
  <c r="V29" i="69" s="1"/>
  <c r="U28" i="69"/>
  <c r="V28" i="69" s="1"/>
  <c r="T28" i="69"/>
  <c r="T27" i="69"/>
  <c r="U27" i="69" s="1"/>
  <c r="V27" i="69" s="1"/>
  <c r="T26" i="69"/>
  <c r="U26" i="69" s="1"/>
  <c r="V26" i="69" s="1"/>
  <c r="AY25" i="69"/>
  <c r="T25" i="69"/>
  <c r="U25" i="69" s="1"/>
  <c r="V25" i="69" s="1"/>
  <c r="T24" i="69"/>
  <c r="U24" i="69" s="1"/>
  <c r="V24" i="69" s="1"/>
  <c r="T23" i="69"/>
  <c r="U23" i="69" s="1"/>
  <c r="V23" i="69" s="1"/>
  <c r="T22" i="69"/>
  <c r="U22" i="69" s="1"/>
  <c r="V22" i="69" s="1"/>
  <c r="A22" i="69"/>
  <c r="A23" i="69" s="1"/>
  <c r="A24" i="69" s="1"/>
  <c r="A25" i="69" s="1"/>
  <c r="A26" i="69" s="1"/>
  <c r="A27" i="69" s="1"/>
  <c r="A28" i="69" s="1"/>
  <c r="A29" i="69" s="1"/>
  <c r="A30" i="69" s="1"/>
  <c r="A31" i="69" s="1"/>
  <c r="A32" i="69" s="1"/>
  <c r="A33" i="69" s="1"/>
  <c r="A34" i="69" s="1"/>
  <c r="A35" i="69" s="1"/>
  <c r="A36" i="69" s="1"/>
  <c r="A37" i="69" s="1"/>
  <c r="A38" i="69" s="1"/>
  <c r="A39" i="69" s="1"/>
  <c r="A40" i="69" s="1"/>
  <c r="A41" i="69" s="1"/>
  <c r="A42" i="69" s="1"/>
  <c r="A43" i="69" s="1"/>
  <c r="A44" i="69" s="1"/>
  <c r="A45" i="69" s="1"/>
  <c r="A46" i="69" s="1"/>
  <c r="A47" i="69" s="1"/>
  <c r="A48" i="69" s="1"/>
  <c r="A49" i="69" s="1"/>
  <c r="A50" i="69" s="1"/>
  <c r="A51" i="69" s="1"/>
  <c r="A52" i="69" s="1"/>
  <c r="A53" i="69" s="1"/>
  <c r="A54" i="69" s="1"/>
  <c r="A55" i="69" s="1"/>
  <c r="A56" i="69" s="1"/>
  <c r="A57" i="69" s="1"/>
  <c r="T21" i="69"/>
  <c r="U21" i="69" s="1"/>
  <c r="V21" i="69" s="1"/>
  <c r="A21" i="69"/>
  <c r="T20" i="69"/>
  <c r="U20" i="69" s="1"/>
  <c r="V20" i="69" s="1"/>
  <c r="A20" i="69"/>
  <c r="T19" i="69"/>
  <c r="U19" i="69" s="1"/>
  <c r="V19" i="69" s="1"/>
  <c r="T18" i="69"/>
  <c r="U18" i="69" s="1"/>
  <c r="V18" i="69" s="1"/>
  <c r="T17" i="69"/>
  <c r="U17" i="69" s="1"/>
  <c r="V17" i="69" s="1"/>
  <c r="U16" i="69"/>
  <c r="V16" i="69" s="1"/>
  <c r="T16" i="69"/>
  <c r="T15" i="69"/>
  <c r="U15" i="69" s="1"/>
  <c r="V15" i="69" s="1"/>
  <c r="T14" i="69"/>
  <c r="U14" i="69" s="1"/>
  <c r="V14" i="69" s="1"/>
  <c r="A14" i="69"/>
  <c r="A15" i="69" s="1"/>
  <c r="A16" i="69" s="1"/>
  <c r="A17" i="69" s="1"/>
  <c r="A18" i="69" s="1"/>
  <c r="T13" i="69"/>
  <c r="U13" i="69" s="1"/>
  <c r="V13" i="69" s="1"/>
  <c r="T12" i="69"/>
  <c r="U12" i="69" s="1"/>
  <c r="V12" i="69" s="1"/>
  <c r="T11" i="69"/>
  <c r="U11" i="69" s="1"/>
  <c r="V11" i="69" s="1"/>
  <c r="T10" i="69"/>
  <c r="U10" i="69" s="1"/>
  <c r="V10" i="69" s="1"/>
  <c r="T9" i="69"/>
  <c r="A9" i="69"/>
  <c r="A10" i="69" s="1"/>
  <c r="A11" i="69" s="1"/>
  <c r="T8" i="69"/>
  <c r="U8" i="69" s="1"/>
  <c r="V8" i="69" s="1"/>
  <c r="A8" i="69"/>
  <c r="T7" i="69"/>
  <c r="U7" i="69" s="1"/>
  <c r="V7" i="72" l="1"/>
  <c r="V58" i="72" s="1"/>
  <c r="U58" i="71"/>
  <c r="V7" i="71"/>
  <c r="V58" i="71" s="1"/>
  <c r="U58" i="70"/>
  <c r="V7" i="70"/>
  <c r="V58" i="70" s="1"/>
  <c r="T58" i="69"/>
  <c r="V7" i="69"/>
  <c r="U9" i="69"/>
  <c r="V9" i="69" s="1"/>
  <c r="U58" i="69" l="1"/>
  <c r="V58" i="69"/>
  <c r="R58" i="32" l="1"/>
  <c r="Q58" i="32"/>
  <c r="P58" i="32"/>
  <c r="O58" i="32"/>
  <c r="N58" i="32"/>
  <c r="M58" i="32"/>
  <c r="K58" i="32"/>
  <c r="J58" i="32"/>
  <c r="I58" i="32"/>
  <c r="H58" i="32"/>
  <c r="G58" i="32"/>
  <c r="F58" i="32"/>
  <c r="C58" i="32"/>
  <c r="T54" i="32"/>
  <c r="U54" i="32" s="1"/>
  <c r="V54" i="32" s="1"/>
  <c r="T53" i="32"/>
  <c r="U53" i="32" s="1"/>
  <c r="V53" i="32" s="1"/>
  <c r="T52" i="32"/>
  <c r="U52" i="32" s="1"/>
  <c r="V52" i="32" s="1"/>
  <c r="T51" i="32"/>
  <c r="U51" i="32" s="1"/>
  <c r="V51" i="32" s="1"/>
  <c r="T50" i="32"/>
  <c r="U50" i="32" s="1"/>
  <c r="V50" i="32" s="1"/>
  <c r="T49" i="32"/>
  <c r="U49" i="32" s="1"/>
  <c r="V49" i="32" s="1"/>
  <c r="T48" i="32"/>
  <c r="U48" i="32" s="1"/>
  <c r="V48" i="32" s="1"/>
  <c r="T47" i="32"/>
  <c r="U47" i="32" s="1"/>
  <c r="V47" i="32" s="1"/>
  <c r="T46" i="32"/>
  <c r="U46" i="32" s="1"/>
  <c r="V46" i="32" s="1"/>
  <c r="T45" i="32"/>
  <c r="U45" i="32" s="1"/>
  <c r="V45" i="32" s="1"/>
  <c r="T43" i="32"/>
  <c r="U43" i="32" s="1"/>
  <c r="V43" i="32" s="1"/>
  <c r="T41" i="32"/>
  <c r="U41" i="32" s="1"/>
  <c r="V41" i="32" s="1"/>
  <c r="T40" i="32"/>
  <c r="U40" i="32"/>
  <c r="V40" i="32" s="1"/>
  <c r="T38" i="32"/>
  <c r="U38" i="32"/>
  <c r="V38" i="32" s="1"/>
  <c r="T37" i="32"/>
  <c r="U37" i="32" s="1"/>
  <c r="V37" i="32" s="1"/>
  <c r="T36" i="32"/>
  <c r="U36" i="32" s="1"/>
  <c r="V36" i="32" s="1"/>
  <c r="T35" i="32"/>
  <c r="U35" i="32" s="1"/>
  <c r="V35" i="32" s="1"/>
  <c r="T34" i="32"/>
  <c r="U34" i="32" s="1"/>
  <c r="V34" i="32" s="1"/>
  <c r="T33" i="32"/>
  <c r="U33" i="32" s="1"/>
  <c r="V33" i="32" s="1"/>
  <c r="T32" i="32"/>
  <c r="U32" i="32" s="1"/>
  <c r="V32" i="32" s="1"/>
  <c r="T31" i="32"/>
  <c r="U31" i="32" s="1"/>
  <c r="V31" i="32" s="1"/>
  <c r="T30" i="32"/>
  <c r="U30" i="32" s="1"/>
  <c r="V30" i="32" s="1"/>
  <c r="T29" i="32"/>
  <c r="U29" i="32" s="1"/>
  <c r="V29" i="32" s="1"/>
  <c r="T28" i="32"/>
  <c r="U28" i="32" s="1"/>
  <c r="V28" i="32" s="1"/>
  <c r="T26" i="32"/>
  <c r="U26" i="32" s="1"/>
  <c r="V26" i="32" s="1"/>
  <c r="AY25" i="32"/>
  <c r="T25" i="32"/>
  <c r="U25" i="32" s="1"/>
  <c r="V25" i="32" s="1"/>
  <c r="T24" i="32"/>
  <c r="U24" i="32" s="1"/>
  <c r="V24" i="32" s="1"/>
  <c r="T23" i="32"/>
  <c r="U23" i="32" s="1"/>
  <c r="V23" i="32" s="1"/>
  <c r="T22" i="32"/>
  <c r="U22" i="32" s="1"/>
  <c r="V22" i="32" s="1"/>
  <c r="T21" i="32"/>
  <c r="U21" i="32" s="1"/>
  <c r="V21" i="32" s="1"/>
  <c r="T20" i="32"/>
  <c r="U20" i="32" s="1"/>
  <c r="V20" i="32" s="1"/>
  <c r="A20" i="32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T19" i="32"/>
  <c r="U19" i="32" s="1"/>
  <c r="V19" i="32" s="1"/>
  <c r="T18" i="32"/>
  <c r="U18" i="32" s="1"/>
  <c r="V18" i="32" s="1"/>
  <c r="T17" i="32"/>
  <c r="U17" i="32" s="1"/>
  <c r="V17" i="32" s="1"/>
  <c r="T16" i="32"/>
  <c r="U16" i="32" s="1"/>
  <c r="V16" i="32" s="1"/>
  <c r="T15" i="32"/>
  <c r="U15" i="32" s="1"/>
  <c r="V15" i="32" s="1"/>
  <c r="T14" i="32"/>
  <c r="U14" i="32" s="1"/>
  <c r="V14" i="32" s="1"/>
  <c r="A14" i="32"/>
  <c r="A15" i="32" s="1"/>
  <c r="A16" i="32" s="1"/>
  <c r="A17" i="32" s="1"/>
  <c r="A18" i="32" s="1"/>
  <c r="T13" i="32"/>
  <c r="U13" i="32" s="1"/>
  <c r="V13" i="32" s="1"/>
  <c r="T12" i="32"/>
  <c r="U12" i="32" s="1"/>
  <c r="V12" i="32" s="1"/>
  <c r="T11" i="32"/>
  <c r="U11" i="32" s="1"/>
  <c r="V11" i="32" s="1"/>
  <c r="T10" i="32"/>
  <c r="U10" i="32" s="1"/>
  <c r="V10" i="32" s="1"/>
  <c r="T9" i="32"/>
  <c r="U9" i="32" s="1"/>
  <c r="V9" i="32" s="1"/>
  <c r="A9" i="32"/>
  <c r="A10" i="32" s="1"/>
  <c r="A11" i="32" s="1"/>
  <c r="T8" i="32"/>
  <c r="U8" i="32"/>
  <c r="V8" i="32" s="1"/>
  <c r="A8" i="32"/>
  <c r="T7" i="32"/>
  <c r="T58" i="32" l="1"/>
  <c r="U7" i="32"/>
  <c r="U58" i="32" l="1"/>
  <c r="V7" i="32"/>
  <c r="V58" i="32" s="1"/>
</calcChain>
</file>

<file path=xl/sharedStrings.xml><?xml version="1.0" encoding="utf-8"?>
<sst xmlns="http://schemas.openxmlformats.org/spreadsheetml/2006/main" count="756" uniqueCount="79">
  <si>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</si>
  <si>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</si>
  <si>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</si>
  <si>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</si>
  <si>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</si>
  <si>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</si>
  <si>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</si>
  <si>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</si>
  <si>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</si>
  <si>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</si>
  <si>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</si>
  <si>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</si>
  <si>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</si>
  <si>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</si>
  <si>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</si>
  <si>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</si>
  <si>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</si>
  <si>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</si>
  <si>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</si>
  <si>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</si>
  <si>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</si>
  <si>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</si>
  <si>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</si>
  <si>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</si>
  <si>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</si>
  <si>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</si>
  <si>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</si>
  <si>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</si>
  <si>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</si>
  <si>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</si>
  <si>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</si>
  <si>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</si>
  <si>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</si>
  <si>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</si>
  <si>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</si>
  <si>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</si>
  <si>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</si>
  <si>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</si>
  <si>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RH5</t>
  </si>
  <si>
    <t>ROUTE 2</t>
  </si>
  <si>
    <t>ROUTE 3</t>
  </si>
  <si>
    <t>FLOOR STOCKS</t>
  </si>
  <si>
    <t>INVENTORY COUNT SHEET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</si>
  <si>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</si>
  <si>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</si>
  <si>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</si>
  <si>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</si>
  <si>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</si>
  <si>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</si>
  <si>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</si>
  <si>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</si>
  <si>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</si>
  <si>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</si>
  <si>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</si>
  <si>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</si>
  <si>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</si>
  <si>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</si>
  <si>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</si>
  <si>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</si>
  <si>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</si>
  <si>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</si>
  <si>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</si>
  <si>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</si>
  <si>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</si>
  <si>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</si>
  <si>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</si>
  <si>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</si>
  <si>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</si>
  <si>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</si>
  <si>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SML500C</t>
  </si>
  <si>
    <t xml:space="preserve">DATE: </t>
  </si>
  <si>
    <t>DATE: 08/03/2026</t>
  </si>
  <si>
    <t>DATE: 08/04/2026</t>
  </si>
  <si>
    <t>DATE: 08/05/2026</t>
  </si>
  <si>
    <t>DATE: 08/06/2026</t>
  </si>
  <si>
    <t>DATE: 08/07/2026</t>
  </si>
  <si>
    <t>DATE: 08/08/2026</t>
  </si>
  <si>
    <t>DATE: 08/09/2026</t>
  </si>
  <si>
    <t>DATE: 08/10/2026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</si>
</sst>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6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8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164" fontId="3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</cellStyleXfs>
  <cellXfs count="118">
    <xf numFmtId="0" fontId="0" fillId="0" borderId="0" xfId="0"/>
    <xf numFmtId="166" fontId="2" fillId="0" borderId="6" xfId="3" applyNumberFormat="1" applyFont="1" applyFill="1" applyBorder="1" applyAlignment="1">
      <alignment vertical="center"/>
    </xf>
    <xf numFmtId="166" fontId="7" fillId="0" borderId="20" xfId="2" applyNumberFormat="1" applyFont="1" applyFill="1" applyBorder="1" applyAlignment="1">
      <alignment vertical="center"/>
    </xf>
    <xf numFmtId="166" fontId="2" fillId="0" borderId="23" xfId="3" applyNumberFormat="1" applyFont="1" applyFill="1" applyBorder="1" applyAlignment="1">
      <alignment vertical="center"/>
    </xf>
    <xf numFmtId="166" fontId="7" fillId="0" borderId="24" xfId="2" applyNumberFormat="1" applyFont="1" applyFill="1" applyBorder="1" applyAlignment="1">
      <alignment vertical="center"/>
    </xf>
    <xf numFmtId="166" fontId="7" fillId="0" borderId="19" xfId="2" applyNumberFormat="1" applyFont="1" applyFill="1" applyBorder="1" applyAlignment="1">
      <alignment vertical="center"/>
    </xf>
    <xf numFmtId="166" fontId="7" fillId="0" borderId="21" xfId="2" applyNumberFormat="1" applyFont="1" applyFill="1" applyBorder="1" applyAlignment="1">
      <alignment vertical="center"/>
    </xf>
    <xf numFmtId="166" fontId="2" fillId="0" borderId="25" xfId="3" applyNumberFormat="1" applyFont="1" applyFill="1" applyBorder="1" applyAlignment="1">
      <alignment vertical="center"/>
    </xf>
    <xf numFmtId="166" fontId="2" fillId="0" borderId="7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7" fillId="0" borderId="0" xfId="2" applyFont="1" applyFill="1" applyAlignment="1">
      <alignment horizontal="center" vertical="center"/>
    </xf>
    <xf numFmtId="165" fontId="7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8" fillId="0" borderId="0" xfId="2" applyNumberFormat="1" applyFont="1" applyFill="1" applyAlignment="1">
      <alignment vertical="center"/>
    </xf>
    <xf numFmtId="0" fontId="7" fillId="0" borderId="0" xfId="2" applyFont="1" applyFill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2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166" fontId="2" fillId="0" borderId="13" xfId="3" applyNumberFormat="1" applyFont="1" applyFill="1" applyBorder="1" applyAlignment="1">
      <alignment vertical="center"/>
    </xf>
    <xf numFmtId="166" fontId="2" fillId="0" borderId="14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0" fontId="6" fillId="0" borderId="3" xfId="2" applyFont="1" applyFill="1" applyBorder="1" applyAlignment="1">
      <alignment horizontal="center" vertical="center"/>
    </xf>
    <xf numFmtId="0" fontId="11" fillId="0" borderId="16" xfId="2" applyFont="1" applyFill="1" applyBorder="1" applyAlignment="1">
      <alignment vertical="center"/>
    </xf>
    <xf numFmtId="0" fontId="11" fillId="0" borderId="5" xfId="2" applyFont="1" applyFill="1" applyBorder="1" applyAlignment="1">
      <alignment vertical="center"/>
    </xf>
    <xf numFmtId="0" fontId="11" fillId="0" borderId="0" xfId="2" applyFont="1" applyFill="1" applyAlignment="1">
      <alignment vertical="center"/>
    </xf>
    <xf numFmtId="0" fontId="12" fillId="0" borderId="0" xfId="2" applyFont="1" applyFill="1" applyAlignment="1">
      <alignment vertical="center"/>
    </xf>
    <xf numFmtId="0" fontId="11" fillId="0" borderId="19" xfId="2" applyFont="1" applyFill="1" applyBorder="1" applyAlignment="1">
      <alignment vertical="center" wrapText="1"/>
    </xf>
    <xf numFmtId="0" fontId="11" fillId="0" borderId="1" xfId="2" applyFont="1" applyFill="1" applyBorder="1" applyAlignment="1">
      <alignment vertical="center"/>
    </xf>
    <xf numFmtId="0" fontId="11" fillId="0" borderId="12" xfId="2" applyFont="1" applyFill="1" applyBorder="1" applyAlignment="1">
      <alignment vertical="center"/>
    </xf>
    <xf numFmtId="0" fontId="12" fillId="0" borderId="5" xfId="2" applyFont="1" applyFill="1" applyBorder="1" applyAlignment="1">
      <alignment vertical="center"/>
    </xf>
    <xf numFmtId="0" fontId="12" fillId="0" borderId="19" xfId="2" applyFont="1" applyFill="1" applyBorder="1" applyAlignment="1">
      <alignment vertical="center"/>
    </xf>
    <xf numFmtId="0" fontId="7" fillId="0" borderId="26" xfId="2" applyFont="1" applyFill="1" applyBorder="1" applyAlignment="1">
      <alignment horizontal="center" vertical="center"/>
    </xf>
    <xf numFmtId="0" fontId="7" fillId="0" borderId="27" xfId="2" applyFont="1" applyFill="1" applyBorder="1" applyAlignment="1">
      <alignment horizontal="center" vertical="center"/>
    </xf>
    <xf numFmtId="0" fontId="7" fillId="0" borderId="28" xfId="2" applyFont="1" applyFill="1" applyBorder="1" applyAlignment="1">
      <alignment horizontal="center" vertical="center"/>
    </xf>
    <xf numFmtId="0" fontId="7" fillId="0" borderId="5" xfId="2" applyFont="1" applyFill="1" applyBorder="1" applyAlignment="1">
      <alignment horizontal="center" vertical="center"/>
    </xf>
    <xf numFmtId="0" fontId="7" fillId="0" borderId="15" xfId="2" applyFont="1" applyFill="1" applyBorder="1" applyAlignment="1">
      <alignment horizontal="center" vertical="center"/>
    </xf>
    <xf numFmtId="0" fontId="10" fillId="0" borderId="29" xfId="2" applyFont="1" applyFill="1" applyBorder="1" applyAlignment="1">
      <alignment horizontal="center" vertical="center"/>
    </xf>
    <xf numFmtId="0" fontId="7" fillId="0" borderId="6" xfId="2" applyFont="1" applyFill="1" applyBorder="1" applyAlignment="1">
      <alignment horizontal="center" vertical="center"/>
    </xf>
    <xf numFmtId="0" fontId="7" fillId="0" borderId="12" xfId="2" applyFont="1" applyFill="1" applyBorder="1" applyAlignment="1">
      <alignment horizontal="center" vertical="center"/>
    </xf>
    <xf numFmtId="0" fontId="11" fillId="0" borderId="30" xfId="2" applyFont="1" applyFill="1" applyBorder="1" applyAlignment="1">
      <alignment vertical="center"/>
    </xf>
    <xf numFmtId="0" fontId="11" fillId="0" borderId="35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22" xfId="3" applyNumberFormat="1" applyFont="1" applyFill="1" applyBorder="1" applyAlignment="1">
      <alignment vertical="center"/>
    </xf>
    <xf numFmtId="0" fontId="7" fillId="0" borderId="50" xfId="2" applyFont="1" applyFill="1" applyBorder="1" applyAlignment="1">
      <alignment horizontal="center" vertical="center"/>
    </xf>
    <xf numFmtId="0" fontId="7" fillId="0" borderId="51" xfId="2" applyFont="1" applyFill="1" applyBorder="1" applyAlignment="1">
      <alignment horizontal="center" vertical="center"/>
    </xf>
    <xf numFmtId="166" fontId="2" fillId="0" borderId="0" xfId="2" applyNumberFormat="1" applyFont="1" applyFill="1" applyAlignment="1">
      <alignment vertical="center"/>
    </xf>
    <xf numFmtId="0" fontId="11" fillId="0" borderId="59" xfId="2" applyFont="1" applyFill="1" applyBorder="1" applyAlignment="1">
      <alignment vertical="center"/>
    </xf>
    <xf numFmtId="166" fontId="13" fillId="0" borderId="6" xfId="3" applyNumberFormat="1" applyFont="1" applyFill="1" applyBorder="1" applyAlignment="1">
      <alignment vertical="center"/>
    </xf>
    <xf numFmtId="166" fontId="13" fillId="0" borderId="45" xfId="3" applyNumberFormat="1" applyFont="1" applyFill="1" applyBorder="1" applyAlignment="1">
      <alignment vertical="center"/>
    </xf>
    <xf numFmtId="166" fontId="13" fillId="0" borderId="15" xfId="3" applyNumberFormat="1" applyFont="1" applyFill="1" applyBorder="1" applyAlignment="1">
      <alignment vertical="center"/>
    </xf>
    <xf numFmtId="0" fontId="13" fillId="0" borderId="0" xfId="2" applyFont="1" applyFill="1" applyAlignment="1">
      <alignment vertical="center"/>
    </xf>
    <xf numFmtId="166" fontId="13" fillId="0" borderId="5" xfId="3" applyNumberFormat="1" applyFont="1" applyFill="1" applyBorder="1" applyAlignment="1">
      <alignment vertical="center"/>
    </xf>
    <xf numFmtId="166" fontId="13" fillId="0" borderId="51" xfId="3" applyNumberFormat="1" applyFont="1" applyFill="1" applyBorder="1" applyAlignment="1">
      <alignment vertical="center"/>
    </xf>
    <xf numFmtId="166" fontId="13" fillId="0" borderId="29" xfId="3" applyNumberFormat="1" applyFont="1" applyFill="1" applyBorder="1" applyAlignment="1">
      <alignment vertical="center"/>
    </xf>
    <xf numFmtId="166" fontId="13" fillId="0" borderId="31" xfId="3" applyNumberFormat="1" applyFont="1" applyFill="1" applyBorder="1" applyAlignment="1">
      <alignment vertical="center"/>
    </xf>
    <xf numFmtId="166" fontId="13" fillId="0" borderId="46" xfId="3" applyNumberFormat="1" applyFont="1" applyFill="1" applyBorder="1" applyAlignment="1">
      <alignment vertical="center"/>
    </xf>
    <xf numFmtId="166" fontId="13" fillId="0" borderId="32" xfId="3" applyNumberFormat="1" applyFont="1" applyFill="1" applyBorder="1" applyAlignment="1">
      <alignment vertical="center"/>
    </xf>
    <xf numFmtId="0" fontId="13" fillId="0" borderId="38" xfId="2" applyFont="1" applyFill="1" applyBorder="1" applyAlignment="1">
      <alignment vertical="center"/>
    </xf>
    <xf numFmtId="166" fontId="13" fillId="0" borderId="39" xfId="3" applyNumberFormat="1" applyFont="1" applyFill="1" applyBorder="1" applyAlignment="1">
      <alignment vertical="center"/>
    </xf>
    <xf numFmtId="166" fontId="13" fillId="0" borderId="52" xfId="3" applyNumberFormat="1" applyFont="1" applyFill="1" applyBorder="1" applyAlignment="1">
      <alignment vertical="center"/>
    </xf>
    <xf numFmtId="166" fontId="13" fillId="0" borderId="33" xfId="3" applyNumberFormat="1" applyFont="1" applyFill="1" applyBorder="1" applyAlignment="1">
      <alignment vertical="center"/>
    </xf>
    <xf numFmtId="166" fontId="13" fillId="0" borderId="49" xfId="3" applyNumberFormat="1" applyFont="1" applyFill="1" applyBorder="1" applyAlignment="1">
      <alignment vertical="center"/>
    </xf>
    <xf numFmtId="166" fontId="13" fillId="0" borderId="34" xfId="3" applyNumberFormat="1" applyFont="1" applyFill="1" applyBorder="1" applyAlignment="1">
      <alignment vertical="center"/>
    </xf>
    <xf numFmtId="166" fontId="13" fillId="0" borderId="58" xfId="3" applyNumberFormat="1" applyFont="1" applyFill="1" applyBorder="1" applyAlignment="1">
      <alignment vertical="center"/>
    </xf>
    <xf numFmtId="166" fontId="13" fillId="0" borderId="57" xfId="3" applyNumberFormat="1" applyFont="1" applyFill="1" applyBorder="1" applyAlignment="1">
      <alignment vertical="center"/>
    </xf>
    <xf numFmtId="166" fontId="13" fillId="0" borderId="17" xfId="3" applyNumberFormat="1" applyFont="1" applyFill="1" applyBorder="1" applyAlignment="1">
      <alignment vertical="center"/>
    </xf>
    <xf numFmtId="166" fontId="13" fillId="0" borderId="47" xfId="3" applyNumberFormat="1" applyFont="1" applyFill="1" applyBorder="1" applyAlignment="1">
      <alignment vertical="center"/>
    </xf>
    <xf numFmtId="166" fontId="13" fillId="0" borderId="18" xfId="3" applyNumberFormat="1" applyFont="1" applyFill="1" applyBorder="1" applyAlignment="1">
      <alignment vertical="center"/>
    </xf>
    <xf numFmtId="166" fontId="13" fillId="0" borderId="16" xfId="3" applyNumberFormat="1" applyFont="1" applyFill="1" applyBorder="1" applyAlignment="1">
      <alignment vertical="center"/>
    </xf>
    <xf numFmtId="166" fontId="13" fillId="0" borderId="53" xfId="3" applyNumberFormat="1" applyFont="1" applyFill="1" applyBorder="1" applyAlignment="1">
      <alignment vertical="center"/>
    </xf>
    <xf numFmtId="166" fontId="13" fillId="0" borderId="23" xfId="3" applyNumberFormat="1" applyFont="1" applyFill="1" applyBorder="1" applyAlignment="1">
      <alignment vertical="center"/>
    </xf>
    <xf numFmtId="166" fontId="13" fillId="0" borderId="56" xfId="3" applyNumberFormat="1" applyFont="1" applyFill="1" applyBorder="1" applyAlignment="1">
      <alignment vertical="center"/>
    </xf>
    <xf numFmtId="166" fontId="13" fillId="0" borderId="40" xfId="3" applyNumberFormat="1" applyFont="1" applyFill="1" applyBorder="1" applyAlignment="1">
      <alignment vertical="center"/>
    </xf>
    <xf numFmtId="166" fontId="13" fillId="0" borderId="60" xfId="3" applyNumberFormat="1" applyFont="1" applyFill="1" applyBorder="1" applyAlignment="1">
      <alignment vertical="center"/>
    </xf>
    <xf numFmtId="166" fontId="13" fillId="0" borderId="61" xfId="3" applyNumberFormat="1" applyFont="1" applyFill="1" applyBorder="1" applyAlignment="1">
      <alignment vertical="center"/>
    </xf>
    <xf numFmtId="166" fontId="13" fillId="0" borderId="62" xfId="3" applyNumberFormat="1" applyFont="1" applyFill="1" applyBorder="1" applyAlignment="1">
      <alignment vertical="center"/>
    </xf>
    <xf numFmtId="166" fontId="13" fillId="0" borderId="8" xfId="3" applyNumberFormat="1" applyFont="1" applyFill="1" applyBorder="1" applyAlignment="1">
      <alignment vertical="center"/>
    </xf>
    <xf numFmtId="166" fontId="13" fillId="0" borderId="36" xfId="3" applyNumberFormat="1" applyFont="1" applyFill="1" applyBorder="1" applyAlignment="1">
      <alignment vertical="center"/>
    </xf>
    <xf numFmtId="166" fontId="13" fillId="0" borderId="48" xfId="3" applyNumberFormat="1" applyFont="1" applyFill="1" applyBorder="1" applyAlignment="1">
      <alignment vertical="center"/>
    </xf>
    <xf numFmtId="166" fontId="13" fillId="0" borderId="37" xfId="3" applyNumberFormat="1" applyFont="1" applyFill="1" applyBorder="1" applyAlignment="1">
      <alignment vertical="center"/>
    </xf>
    <xf numFmtId="0" fontId="13" fillId="0" borderId="41" xfId="2" applyFont="1" applyFill="1" applyBorder="1" applyAlignment="1">
      <alignment vertical="center"/>
    </xf>
    <xf numFmtId="166" fontId="13" fillId="0" borderId="35" xfId="3" applyNumberFormat="1" applyFont="1" applyFill="1" applyBorder="1" applyAlignment="1">
      <alignment vertical="center"/>
    </xf>
    <xf numFmtId="166" fontId="13" fillId="0" borderId="54" xfId="3" applyNumberFormat="1" applyFont="1" applyFill="1" applyBorder="1" applyAlignment="1">
      <alignment vertical="center"/>
    </xf>
    <xf numFmtId="166" fontId="13" fillId="0" borderId="42" xfId="3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166" fontId="7" fillId="2" borderId="24" xfId="2" applyNumberFormat="1" applyFont="1" applyFill="1" applyBorder="1" applyAlignment="1">
      <alignment vertical="center"/>
    </xf>
    <xf numFmtId="0" fontId="11" fillId="0" borderId="0" xfId="2" applyFont="1" applyFill="1" applyBorder="1" applyAlignment="1">
      <alignment vertical="center" wrapText="1"/>
    </xf>
    <xf numFmtId="166" fontId="7" fillId="0" borderId="0" xfId="2" applyNumberFormat="1" applyFont="1" applyFill="1" applyBorder="1" applyAlignment="1">
      <alignment vertical="center"/>
    </xf>
    <xf numFmtId="0" fontId="15" fillId="0" borderId="6" xfId="2" applyFont="1" applyFill="1" applyBorder="1" applyAlignment="1">
      <alignment horizontal="center" vertical="center"/>
    </xf>
    <xf numFmtId="0" fontId="15" fillId="0" borderId="50" xfId="2" applyFont="1" applyFill="1" applyBorder="1" applyAlignment="1">
      <alignment horizontal="center" vertical="center"/>
    </xf>
    <xf numFmtId="0" fontId="13" fillId="0" borderId="63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9" xfId="2" applyFont="1" applyFill="1" applyBorder="1" applyAlignment="1">
      <alignment horizontal="center" vertical="center" wrapText="1"/>
    </xf>
    <xf numFmtId="0" fontId="7" fillId="0" borderId="23" xfId="2" applyFont="1" applyFill="1" applyBorder="1" applyAlignment="1">
      <alignment horizontal="center" vertical="center" wrapText="1"/>
    </xf>
    <xf numFmtId="0" fontId="15" fillId="0" borderId="45" xfId="2" applyFont="1" applyFill="1" applyBorder="1" applyAlignment="1">
      <alignment horizontal="center" vertical="center"/>
    </xf>
    <xf numFmtId="0" fontId="15" fillId="0" borderId="55" xfId="2" applyFont="1" applyFill="1" applyBorder="1" applyAlignment="1">
      <alignment horizontal="center" vertical="center"/>
    </xf>
    <xf numFmtId="0" fontId="7" fillId="0" borderId="22" xfId="2" applyFont="1" applyFill="1" applyBorder="1" applyAlignment="1">
      <alignment horizontal="center" vertical="center"/>
    </xf>
    <xf numFmtId="0" fontId="7" fillId="0" borderId="10" xfId="2" applyFont="1" applyFill="1" applyBorder="1" applyAlignment="1">
      <alignment horizontal="center" vertical="center"/>
    </xf>
    <xf numFmtId="0" fontId="7" fillId="0" borderId="4" xfId="2" applyFont="1" applyFill="1" applyBorder="1" applyAlignment="1">
      <alignment horizontal="center" vertical="center"/>
    </xf>
    <xf numFmtId="0" fontId="9" fillId="0" borderId="0" xfId="2" applyFont="1" applyFill="1" applyAlignment="1">
      <alignment horizontal="right" vertical="center"/>
    </xf>
    <xf numFmtId="0" fontId="7" fillId="0" borderId="13" xfId="2" applyFont="1" applyFill="1" applyBorder="1" applyAlignment="1">
      <alignment horizontal="center" vertical="center"/>
    </xf>
    <xf numFmtId="0" fontId="7" fillId="0" borderId="44" xfId="2" applyFont="1" applyFill="1" applyBorder="1" applyAlignment="1">
      <alignment horizontal="center" vertical="center"/>
    </xf>
    <xf numFmtId="0" fontId="7" fillId="0" borderId="14" xfId="2" applyFont="1" applyFill="1" applyBorder="1" applyAlignment="1">
      <alignment horizontal="center" vertical="center"/>
    </xf>
    <xf numFmtId="0" fontId="4" fillId="0" borderId="9" xfId="2" applyFont="1" applyFill="1" applyBorder="1" applyAlignment="1">
      <alignment horizontal="center" vertical="center" wrapText="1"/>
    </xf>
    <xf numFmtId="0" fontId="4" fillId="0" borderId="23" xfId="2" applyFont="1" applyFill="1" applyBorder="1" applyAlignment="1">
      <alignment horizontal="center" vertical="center" wrapText="1"/>
    </xf>
    <xf numFmtId="0" fontId="14" fillId="0" borderId="9" xfId="2" applyFont="1" applyFill="1" applyBorder="1" applyAlignment="1">
      <alignment horizontal="center" vertical="center" wrapText="1"/>
    </xf>
    <xf numFmtId="0" fontId="14" fillId="0" borderId="23" xfId="2" applyFont="1" applyFill="1" applyBorder="1" applyAlignment="1">
      <alignment horizontal="center" vertical="center" wrapText="1"/>
    </xf>
    <xf numFmtId="0" fontId="7" fillId="0" borderId="45" xfId="2" applyFont="1" applyFill="1" applyBorder="1" applyAlignment="1">
      <alignment horizontal="center" vertical="center"/>
    </xf>
    <xf numFmtId="0" fontId="7" fillId="0" borderId="55" xfId="2" applyFont="1" applyFill="1" applyBorder="1" applyAlignment="1">
      <alignment horizontal="center" vertical="center"/>
    </xf>
    <xf numFmtId="0" fontId="10" fillId="0" borderId="9" xfId="2" applyFont="1" applyFill="1" applyBorder="1" applyAlignment="1">
      <alignment horizontal="center" vertical="center" wrapText="1"/>
    </xf>
    <xf numFmtId="0" fontId="10" fillId="0" borderId="2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AD0B5-9BBE-4B8F-9457-EBD483EDFB0D}">
  <sheetPr>
    <pageSetUpPr fitToPage="1"/>
  </sheetPr>
  <dimension ref="A1:BB83"/>
  <sheetViews>
    <sheetView view="pageBreakPreview" zoomScale="55" zoomScaleNormal="100" zoomScaleSheetLayoutView="5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6" t="s">
        <v>43</v>
      </c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</row>
    <row r="2" spans="1:54" x14ac:dyDescent="0.25">
      <c r="B2" s="28" t="s">
        <v>70</v>
      </c>
    </row>
    <row r="3" spans="1:54" ht="19.5" thickBot="1" x14ac:dyDescent="0.3"/>
    <row r="4" spans="1:54" s="10" customFormat="1" ht="15.75" x14ac:dyDescent="0.25">
      <c r="B4" s="41" t="s">
        <v>52</v>
      </c>
      <c r="C4" s="107" t="s">
        <v>41</v>
      </c>
      <c r="D4" s="107"/>
      <c r="E4" s="107"/>
      <c r="F4" s="107"/>
      <c r="G4" s="107"/>
      <c r="H4" s="107"/>
      <c r="I4" s="107"/>
      <c r="J4" s="108"/>
      <c r="K4" s="109"/>
      <c r="M4" s="34" t="s">
        <v>0</v>
      </c>
      <c r="N4" s="94" t="s">
        <v>61</v>
      </c>
      <c r="O4" s="35" t="s">
        <v>39</v>
      </c>
      <c r="P4" s="94" t="s">
        <v>61</v>
      </c>
      <c r="Q4" s="36" t="s">
        <v>40</v>
      </c>
      <c r="R4" s="94" t="s">
        <v>61</v>
      </c>
      <c r="S4" s="9"/>
      <c r="T4" s="110" t="s">
        <v>68</v>
      </c>
      <c r="U4" s="112" t="s">
        <v>67</v>
      </c>
      <c r="V4" s="9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93" t="s">
        <v>64</v>
      </c>
      <c r="I5" s="93" t="s">
        <v>60</v>
      </c>
      <c r="J5" s="101" t="s">
        <v>65</v>
      </c>
      <c r="K5" s="102"/>
      <c r="M5" s="37"/>
      <c r="N5" s="49"/>
      <c r="O5" s="40"/>
      <c r="P5" s="89"/>
      <c r="Q5" s="89"/>
      <c r="R5" s="38"/>
      <c r="S5" s="9"/>
      <c r="T5" s="111"/>
      <c r="U5" s="113"/>
      <c r="V5" s="10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89"/>
      <c r="K6" s="38"/>
      <c r="M6" s="37"/>
      <c r="N6" s="49"/>
      <c r="O6" s="40"/>
      <c r="P6" s="89"/>
      <c r="Q6" s="8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58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/>
      <c r="U27" s="75"/>
      <c r="V27" s="75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56"/>
      <c r="N39" s="57"/>
      <c r="O39" s="52"/>
      <c r="P39" s="53"/>
      <c r="Q39" s="52"/>
      <c r="R39" s="80"/>
      <c r="S39" s="55"/>
      <c r="T39" s="81"/>
      <c r="U39" s="81"/>
      <c r="V39" s="81"/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s="15" customFormat="1" x14ac:dyDescent="0.25">
      <c r="B59" s="91"/>
      <c r="C59" s="92"/>
      <c r="D59" s="92"/>
      <c r="E59" s="92"/>
      <c r="F59" s="92"/>
      <c r="G59" s="92"/>
      <c r="H59" s="92"/>
      <c r="I59" s="92"/>
      <c r="J59" s="92"/>
      <c r="K59" s="92"/>
      <c r="M59" s="92"/>
      <c r="N59" s="92"/>
      <c r="O59" s="92"/>
      <c r="P59" s="92"/>
      <c r="Q59" s="92"/>
      <c r="R59" s="92"/>
      <c r="S59" s="55"/>
      <c r="T59" s="92"/>
      <c r="U59" s="92"/>
      <c r="V59" s="92"/>
    </row>
    <row r="60" spans="1:22" s="15" customFormat="1" x14ac:dyDescent="0.25">
      <c r="B60" s="91"/>
      <c r="C60" s="92"/>
      <c r="D60" s="92"/>
      <c r="E60" s="92"/>
      <c r="F60" s="92"/>
      <c r="G60" s="92"/>
      <c r="H60" s="92"/>
      <c r="I60" s="92"/>
      <c r="J60" s="92"/>
      <c r="K60" s="92"/>
      <c r="M60" s="92"/>
      <c r="N60" s="92"/>
      <c r="O60" s="92"/>
      <c r="P60" s="92"/>
      <c r="Q60" s="92"/>
      <c r="R60" s="92"/>
      <c r="S60" s="55"/>
      <c r="T60" s="92"/>
      <c r="U60" s="92"/>
      <c r="V60" s="92"/>
    </row>
    <row r="61" spans="1:22" ht="20.25" customHeight="1" thickBot="1" x14ac:dyDescent="0.3"/>
    <row r="62" spans="1:22" ht="19.5" thickBot="1" x14ac:dyDescent="0.3">
      <c r="B62" s="30" t="s">
        <v>37</v>
      </c>
      <c r="C62" s="103" t="s">
        <v>41</v>
      </c>
      <c r="D62" s="104"/>
      <c r="E62" s="104"/>
      <c r="F62" s="104"/>
      <c r="G62" s="104"/>
      <c r="H62" s="104"/>
      <c r="I62" s="104"/>
      <c r="J62" s="104"/>
      <c r="K62" s="105"/>
      <c r="U62" s="24" t="s">
        <v>51</v>
      </c>
    </row>
    <row r="63" spans="1:22" x14ac:dyDescent="0.25">
      <c r="B63" s="31" t="s">
        <v>17</v>
      </c>
      <c r="C63" s="19"/>
      <c r="D63" s="19"/>
      <c r="E63" s="19"/>
      <c r="F63" s="19"/>
      <c r="G63" s="19"/>
      <c r="H63" s="19"/>
      <c r="I63" s="19"/>
      <c r="J63" s="45"/>
      <c r="K63" s="20"/>
      <c r="U63" s="7"/>
    </row>
    <row r="64" spans="1:22" x14ac:dyDescent="0.25">
      <c r="B64" s="32" t="s">
        <v>45</v>
      </c>
      <c r="C64" s="1"/>
      <c r="D64" s="1"/>
      <c r="E64" s="1"/>
      <c r="F64" s="1"/>
      <c r="G64" s="1"/>
      <c r="H64" s="1"/>
      <c r="I64" s="1"/>
      <c r="J64" s="44"/>
      <c r="K64" s="21"/>
      <c r="U64" s="3"/>
    </row>
    <row r="65" spans="2:21" ht="19.5" thickBot="1" x14ac:dyDescent="0.3">
      <c r="B65" s="33" t="s">
        <v>44</v>
      </c>
      <c r="C65" s="22"/>
      <c r="D65" s="22"/>
      <c r="E65" s="22"/>
      <c r="F65" s="22"/>
      <c r="G65" s="22"/>
      <c r="H65" s="22"/>
      <c r="I65" s="22"/>
      <c r="J65" s="46"/>
      <c r="K65" s="23"/>
      <c r="U65" s="8"/>
    </row>
    <row r="66" spans="2:21" ht="7.5" customHeight="1" thickBot="1" x14ac:dyDescent="0.3"/>
    <row r="67" spans="2:21" x14ac:dyDescent="0.25">
      <c r="B67" s="31" t="s">
        <v>46</v>
      </c>
      <c r="C67" s="19"/>
      <c r="D67" s="19"/>
      <c r="E67" s="19"/>
      <c r="F67" s="19"/>
      <c r="G67" s="19"/>
      <c r="H67" s="19"/>
      <c r="I67" s="19"/>
      <c r="J67" s="45"/>
      <c r="K67" s="20"/>
      <c r="U67" s="7"/>
    </row>
    <row r="68" spans="2:21" x14ac:dyDescent="0.25">
      <c r="B68" s="32" t="s">
        <v>45</v>
      </c>
      <c r="C68" s="1"/>
      <c r="D68" s="1"/>
      <c r="E68" s="1"/>
      <c r="F68" s="1"/>
      <c r="G68" s="1"/>
      <c r="H68" s="1"/>
      <c r="I68" s="1"/>
      <c r="J68" s="44"/>
      <c r="K68" s="21"/>
      <c r="U68" s="3"/>
    </row>
    <row r="69" spans="2:21" ht="19.5" thickBot="1" x14ac:dyDescent="0.3">
      <c r="B69" s="33" t="s">
        <v>44</v>
      </c>
      <c r="C69" s="22"/>
      <c r="D69" s="22"/>
      <c r="E69" s="22"/>
      <c r="F69" s="22"/>
      <c r="G69" s="22"/>
      <c r="H69" s="22"/>
      <c r="I69" s="22"/>
      <c r="J69" s="46"/>
      <c r="K69" s="23"/>
      <c r="U69" s="8"/>
    </row>
    <row r="70" spans="2:21" ht="7.5" customHeight="1" thickBot="1" x14ac:dyDescent="0.3"/>
    <row r="71" spans="2:21" x14ac:dyDescent="0.25">
      <c r="B71" s="31" t="s">
        <v>38</v>
      </c>
      <c r="C71" s="19"/>
      <c r="D71" s="19"/>
      <c r="E71" s="19"/>
      <c r="F71" s="19"/>
      <c r="G71" s="19"/>
      <c r="H71" s="19"/>
      <c r="I71" s="19"/>
      <c r="J71" s="45"/>
      <c r="K71" s="20"/>
      <c r="U71" s="7"/>
    </row>
    <row r="72" spans="2:21" x14ac:dyDescent="0.25">
      <c r="B72" s="32" t="s">
        <v>45</v>
      </c>
      <c r="C72" s="1"/>
      <c r="D72" s="1"/>
      <c r="E72" s="1"/>
      <c r="F72" s="1"/>
      <c r="G72" s="1"/>
      <c r="H72" s="1"/>
      <c r="I72" s="1"/>
      <c r="J72" s="44"/>
      <c r="K72" s="21"/>
      <c r="U72" s="3"/>
    </row>
    <row r="73" spans="2:21" ht="19.5" thickBot="1" x14ac:dyDescent="0.3">
      <c r="B73" s="33" t="s">
        <v>44</v>
      </c>
      <c r="C73" s="22"/>
      <c r="D73" s="22"/>
      <c r="E73" s="22"/>
      <c r="F73" s="22"/>
      <c r="G73" s="22"/>
      <c r="H73" s="22"/>
      <c r="I73" s="22"/>
      <c r="J73" s="46"/>
      <c r="K73" s="23"/>
      <c r="U73" s="8"/>
    </row>
    <row r="74" spans="2:21" ht="7.5" customHeight="1" thickBot="1" x14ac:dyDescent="0.3"/>
    <row r="75" spans="2:21" x14ac:dyDescent="0.25">
      <c r="B75" s="31" t="s">
        <v>47</v>
      </c>
      <c r="C75" s="19"/>
      <c r="D75" s="19"/>
      <c r="E75" s="19"/>
      <c r="F75" s="19"/>
      <c r="G75" s="19"/>
      <c r="H75" s="19"/>
      <c r="I75" s="19"/>
      <c r="J75" s="45"/>
      <c r="K75" s="20"/>
      <c r="U75" s="7"/>
    </row>
    <row r="76" spans="2:21" x14ac:dyDescent="0.25">
      <c r="B76" s="32" t="s">
        <v>45</v>
      </c>
      <c r="C76" s="1"/>
      <c r="D76" s="1"/>
      <c r="E76" s="1"/>
      <c r="F76" s="1"/>
      <c r="G76" s="1"/>
      <c r="H76" s="1"/>
      <c r="I76" s="1"/>
      <c r="J76" s="44"/>
      <c r="K76" s="21"/>
      <c r="U76" s="3"/>
    </row>
    <row r="77" spans="2:21" ht="19.5" thickBot="1" x14ac:dyDescent="0.3">
      <c r="B77" s="33" t="s">
        <v>44</v>
      </c>
      <c r="C77" s="22"/>
      <c r="D77" s="22"/>
      <c r="E77" s="22"/>
      <c r="F77" s="22"/>
      <c r="G77" s="22"/>
      <c r="H77" s="22"/>
      <c r="I77" s="22"/>
      <c r="J77" s="46"/>
      <c r="K77" s="23"/>
      <c r="U77" s="8"/>
    </row>
    <row r="78" spans="2:21" ht="7.5" customHeight="1" thickBot="1" x14ac:dyDescent="0.3"/>
    <row r="79" spans="2:21" x14ac:dyDescent="0.25">
      <c r="B79" s="31" t="s">
        <v>48</v>
      </c>
      <c r="C79" s="19"/>
      <c r="D79" s="19"/>
      <c r="E79" s="19"/>
      <c r="F79" s="19"/>
      <c r="G79" s="19"/>
      <c r="H79" s="19"/>
      <c r="I79" s="19"/>
      <c r="J79" s="45"/>
      <c r="K79" s="20"/>
      <c r="U79" s="7"/>
    </row>
    <row r="80" spans="2:21" x14ac:dyDescent="0.25">
      <c r="B80" s="32" t="s">
        <v>45</v>
      </c>
      <c r="C80" s="1"/>
      <c r="D80" s="1"/>
      <c r="E80" s="1"/>
      <c r="F80" s="1"/>
      <c r="G80" s="1"/>
      <c r="H80" s="1"/>
      <c r="I80" s="1"/>
      <c r="J80" s="44"/>
      <c r="K80" s="21"/>
      <c r="U80" s="3"/>
    </row>
    <row r="81" spans="2:21" ht="19.5" thickBot="1" x14ac:dyDescent="0.3">
      <c r="B81" s="33" t="s">
        <v>44</v>
      </c>
      <c r="C81" s="22"/>
      <c r="D81" s="22"/>
      <c r="E81" s="22"/>
      <c r="F81" s="22"/>
      <c r="G81" s="22"/>
      <c r="H81" s="22"/>
      <c r="I81" s="22"/>
      <c r="J81" s="46"/>
      <c r="K81" s="23"/>
      <c r="U81" s="8"/>
    </row>
    <row r="82" spans="2:21" ht="7.5" customHeight="1" thickBot="1" x14ac:dyDescent="0.3"/>
    <row r="83" spans="2:21" ht="19.5" thickBot="1" x14ac:dyDescent="0.3">
      <c r="B83" s="30" t="s">
        <v>49</v>
      </c>
      <c r="C83" s="17"/>
      <c r="D83" s="17"/>
      <c r="E83" s="17"/>
      <c r="F83" s="17"/>
      <c r="G83" s="17"/>
      <c r="H83" s="17"/>
      <c r="I83" s="17"/>
      <c r="J83" s="47"/>
      <c r="K83" s="18"/>
      <c r="U83" s="16"/>
    </row>
  </sheetData>
  <mergeCells count="7">
    <mergeCell ref="V4:V5"/>
    <mergeCell ref="J5:K5"/>
    <mergeCell ref="C62:K62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53" orientation="portrait" horizontalDpi="360" verticalDpi="360" r:id="rId1"/>
  <colBreaks count="1" manualBreakCount="1">
    <brk id="24" max="8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25570-961A-4F51-8ABE-D25E61E306DD}">
  <sheetPr>
    <pageSetUpPr fitToPage="1"/>
  </sheetPr>
  <dimension ref="A1:BB81"/>
  <sheetViews>
    <sheetView topLeftCell="A39" zoomScale="115" zoomScaleNormal="115" zoomScaleSheetLayoutView="115" workbookViewId="0">
      <selection activeCell="J5" sqref="J5:K5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6" t="s">
        <v>43</v>
      </c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107" t="s">
        <v>41</v>
      </c>
      <c r="D4" s="107"/>
      <c r="E4" s="107"/>
      <c r="F4" s="107"/>
      <c r="G4" s="107"/>
      <c r="H4" s="107"/>
      <c r="I4" s="107"/>
      <c r="J4" s="108"/>
      <c r="K4" s="10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0" t="s">
        <v>68</v>
      </c>
      <c r="U4" s="116" t="s">
        <v>67</v>
      </c>
      <c r="V4" s="9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4" t="s">
        <v>65</v>
      </c>
      <c r="K5" s="115"/>
      <c r="M5" s="37"/>
      <c r="N5" s="49"/>
      <c r="O5" s="40"/>
      <c r="P5" s="96"/>
      <c r="Q5" s="96"/>
      <c r="R5" s="38"/>
      <c r="S5" s="9"/>
      <c r="T5" s="111"/>
      <c r="U5" s="117"/>
      <c r="V5" s="10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6"/>
      <c r="K6" s="38"/>
      <c r="M6" s="37"/>
      <c r="N6" s="49"/>
      <c r="O6" s="40"/>
      <c r="P6" s="96"/>
      <c r="Q6" s="9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2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849</v>
      </c>
      <c r="V7" s="58">
        <f>U7/24</f>
        <v>35.375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2</v>
      </c>
      <c r="N8" s="64"/>
      <c r="O8" s="65"/>
      <c r="P8" s="66">
        <v>12</v>
      </c>
      <c r="Q8" s="66">
        <v>2</v>
      </c>
      <c r="R8" s="67"/>
      <c r="S8" s="62"/>
      <c r="T8" s="68">
        <f t="shared" ref="T8:T41" si="0">H8+I8+J8+K8+N8+P8+R8</f>
        <v>12</v>
      </c>
      <c r="U8" s="69">
        <f>C8*24+M8*24+O8*24+Q8*24+T8</f>
        <v>2124</v>
      </c>
      <c r="V8" s="69">
        <f>U8/24</f>
        <v>88.5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63+30</f>
        <v>93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2256</v>
      </c>
      <c r="V9" s="76">
        <f t="shared" ref="V9:V11" si="3">U9/24</f>
        <v>94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39+10</f>
        <v>49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1</v>
      </c>
      <c r="P10" s="71"/>
      <c r="Q10" s="71"/>
      <c r="R10" s="72"/>
      <c r="S10" s="55"/>
      <c r="T10" s="58">
        <f t="shared" si="0"/>
        <v>0</v>
      </c>
      <c r="U10" s="58">
        <f t="shared" si="2"/>
        <v>1200</v>
      </c>
      <c r="V10" s="58">
        <f t="shared" si="3"/>
        <v>50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1224+53+1080+29+1152+36</f>
        <v>3574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10</v>
      </c>
      <c r="N12" s="64">
        <v>8</v>
      </c>
      <c r="O12" s="65">
        <v>16</v>
      </c>
      <c r="P12" s="66">
        <v>8</v>
      </c>
      <c r="Q12" s="66">
        <v>22</v>
      </c>
      <c r="R12" s="67">
        <v>8</v>
      </c>
      <c r="S12" s="62"/>
      <c r="T12" s="69">
        <f t="shared" si="0"/>
        <v>24</v>
      </c>
      <c r="U12" s="69">
        <f>C12*24+M12*24+O12*24+Q12*24+T12</f>
        <v>86952</v>
      </c>
      <c r="V12" s="69">
        <f>U12/24</f>
        <v>3623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56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/>
      <c r="R25" s="72"/>
      <c r="S25" s="55"/>
      <c r="T25" s="58">
        <f t="shared" si="0"/>
        <v>1</v>
      </c>
      <c r="U25" s="75">
        <f t="shared" si="4"/>
        <v>1369</v>
      </c>
      <c r="V25" s="75">
        <f t="shared" si="5"/>
        <v>57.041666666666664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2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48</v>
      </c>
      <c r="V26" s="75">
        <f t="shared" si="5"/>
        <v>2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16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3</v>
      </c>
      <c r="N28" s="74"/>
      <c r="O28" s="70">
        <v>2</v>
      </c>
      <c r="P28" s="71"/>
      <c r="Q28" s="71">
        <v>2</v>
      </c>
      <c r="R28" s="72"/>
      <c r="S28" s="55"/>
      <c r="T28" s="58">
        <f t="shared" si="0"/>
        <v>0</v>
      </c>
      <c r="U28" s="75">
        <f t="shared" si="4"/>
        <v>552</v>
      </c>
      <c r="V28" s="75">
        <f t="shared" si="5"/>
        <v>23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29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725</v>
      </c>
      <c r="V29" s="75">
        <f t="shared" si="5"/>
        <v>30.208333333333332</v>
      </c>
    </row>
    <row r="30" spans="1:54" x14ac:dyDescent="0.25">
      <c r="A30" s="27">
        <f t="shared" si="1"/>
        <v>27</v>
      </c>
      <c r="B30" s="26" t="s">
        <v>15</v>
      </c>
      <c r="C30" s="70">
        <v>14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5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120</v>
      </c>
      <c r="V31" s="75">
        <f t="shared" si="5"/>
        <v>5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144+65</f>
        <v>209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/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5066</v>
      </c>
      <c r="V34" s="75">
        <f t="shared" si="5"/>
        <v>211.08333333333334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1080+82+3132+94</f>
        <v>4388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32</v>
      </c>
      <c r="N37" s="64"/>
      <c r="O37" s="65">
        <v>60</v>
      </c>
      <c r="P37" s="66"/>
      <c r="Q37" s="66">
        <v>90</v>
      </c>
      <c r="R37" s="67"/>
      <c r="S37" s="62"/>
      <c r="T37" s="77">
        <f t="shared" si="0"/>
        <v>13</v>
      </c>
      <c r="U37" s="77">
        <f>C37*6+M37*6+O37*6+Q37*6+T37</f>
        <v>27433</v>
      </c>
      <c r="V37" s="77">
        <f>U37/6</f>
        <v>4572.166666666667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1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>
        <v>1</v>
      </c>
      <c r="P38" s="71"/>
      <c r="Q38" s="71"/>
      <c r="R38" s="72"/>
      <c r="S38" s="55"/>
      <c r="T38" s="75">
        <f t="shared" si="0"/>
        <v>0</v>
      </c>
      <c r="U38" s="75">
        <f>C38*24+M38*24+O38*24+Q38*24+T38</f>
        <v>48</v>
      </c>
      <c r="V38" s="75">
        <f>U38/24</f>
        <v>2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58+126+22</f>
        <v>206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/>
      <c r="P40" s="66"/>
      <c r="Q40" s="66"/>
      <c r="R40" s="67"/>
      <c r="S40" s="62"/>
      <c r="T40" s="77">
        <f t="shared" si="0"/>
        <v>20</v>
      </c>
      <c r="U40" s="77">
        <f>C40*24+M40*24+O40*24+Q40*24+T40</f>
        <v>5012</v>
      </c>
      <c r="V40" s="77">
        <f>U40/24</f>
        <v>208.83333333333334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21+96</f>
        <v>117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9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1872</v>
      </c>
      <c r="V41" s="88">
        <f>U41/12</f>
        <v>156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15012+19764+10260</f>
        <v>45036</v>
      </c>
      <c r="D43" s="65"/>
      <c r="E43" s="65"/>
      <c r="F43" s="65"/>
      <c r="G43" s="65"/>
      <c r="H43" s="65"/>
      <c r="I43" s="65">
        <f>12</f>
        <v>12</v>
      </c>
      <c r="J43" s="66">
        <f>6*6+5</f>
        <v>41</v>
      </c>
      <c r="K43" s="67">
        <f>71*6+2</f>
        <v>428</v>
      </c>
      <c r="L43" s="62"/>
      <c r="M43" s="63">
        <v>369</v>
      </c>
      <c r="N43" s="64"/>
      <c r="O43" s="65">
        <v>401</v>
      </c>
      <c r="P43" s="66"/>
      <c r="Q43" s="66">
        <v>540</v>
      </c>
      <c r="R43" s="67"/>
      <c r="S43" s="62"/>
      <c r="T43" s="77">
        <f t="shared" ref="T43" si="6">H43+I43+J43+K43+N43+P43+R43</f>
        <v>481</v>
      </c>
      <c r="U43" s="77">
        <f>C43*6+M43*6+O43*6+Q43*6+T43</f>
        <v>278557</v>
      </c>
      <c r="V43" s="77">
        <f>U43/6</f>
        <v>46426.166666666664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>
        <v>2</v>
      </c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48</v>
      </c>
      <c r="V45" s="75">
        <f>U45/24</f>
        <v>2</v>
      </c>
    </row>
    <row r="46" spans="1:23" x14ac:dyDescent="0.25">
      <c r="A46" s="27">
        <f t="shared" si="1"/>
        <v>43</v>
      </c>
      <c r="B46" s="26" t="s">
        <v>57</v>
      </c>
      <c r="C46" s="70">
        <v>2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48</v>
      </c>
      <c r="V46" s="75">
        <f t="shared" ref="V46:V54" si="9">U46/24</f>
        <v>2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101+648+324+88+540+103+324+432+106</f>
        <v>2666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10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56659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1186</v>
      </c>
      <c r="I58" s="6">
        <f t="shared" si="11"/>
        <v>38</v>
      </c>
      <c r="J58" s="6">
        <f t="shared" si="11"/>
        <v>48</v>
      </c>
      <c r="K58" s="6">
        <f t="shared" si="11"/>
        <v>470</v>
      </c>
      <c r="M58" s="5">
        <f t="shared" ref="M58:R58" si="12">SUM(M7:M57)</f>
        <v>438</v>
      </c>
      <c r="N58" s="5">
        <f t="shared" si="12"/>
        <v>8</v>
      </c>
      <c r="O58" s="5">
        <f t="shared" si="12"/>
        <v>511</v>
      </c>
      <c r="P58" s="5">
        <f t="shared" si="12"/>
        <v>20</v>
      </c>
      <c r="Q58" s="5">
        <f t="shared" si="12"/>
        <v>692</v>
      </c>
      <c r="R58" s="5">
        <f t="shared" si="12"/>
        <v>11</v>
      </c>
      <c r="S58" s="55"/>
      <c r="T58" s="4">
        <f>SUM(T7:T57)</f>
        <v>1781</v>
      </c>
      <c r="U58" s="90">
        <f>SUM(U7:U57)</f>
        <v>433391</v>
      </c>
      <c r="V58" s="4">
        <f>SUM(V7:V57)</f>
        <v>58437.083333333328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03" t="s">
        <v>41</v>
      </c>
      <c r="D60" s="104"/>
      <c r="E60" s="104"/>
      <c r="F60" s="104"/>
      <c r="G60" s="104"/>
      <c r="H60" s="104"/>
      <c r="I60" s="104"/>
      <c r="J60" s="104"/>
      <c r="K60" s="10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C493E-115E-4785-93A0-A3E4CC4BAE36}">
  <sheetPr>
    <pageSetUpPr fitToPage="1"/>
  </sheetPr>
  <dimension ref="A1:BB81"/>
  <sheetViews>
    <sheetView zoomScale="115" zoomScaleNormal="115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6" t="s">
        <v>43</v>
      </c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</row>
    <row r="2" spans="1:54" x14ac:dyDescent="0.25">
      <c r="B2" s="28" t="s">
        <v>72</v>
      </c>
    </row>
    <row r="3" spans="1:54" ht="19.5" thickBot="1" x14ac:dyDescent="0.3"/>
    <row r="4" spans="1:54" s="10" customFormat="1" ht="15.75" x14ac:dyDescent="0.25">
      <c r="B4" s="41" t="s">
        <v>52</v>
      </c>
      <c r="C4" s="107" t="s">
        <v>41</v>
      </c>
      <c r="D4" s="107"/>
      <c r="E4" s="107"/>
      <c r="F4" s="107"/>
      <c r="G4" s="107"/>
      <c r="H4" s="107"/>
      <c r="I4" s="107"/>
      <c r="J4" s="108"/>
      <c r="K4" s="10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0" t="s">
        <v>68</v>
      </c>
      <c r="U4" s="116" t="s">
        <v>67</v>
      </c>
      <c r="V4" s="9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4" t="s">
        <v>65</v>
      </c>
      <c r="K5" s="115"/>
      <c r="M5" s="37"/>
      <c r="N5" s="49"/>
      <c r="O5" s="40"/>
      <c r="P5" s="97"/>
      <c r="Q5" s="97"/>
      <c r="R5" s="38"/>
      <c r="S5" s="9"/>
      <c r="T5" s="111"/>
      <c r="U5" s="117"/>
      <c r="V5" s="10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2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849</v>
      </c>
      <c r="V7" s="58">
        <f>U7/24</f>
        <v>35.375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>
        <v>12</v>
      </c>
      <c r="Q8" s="66">
        <v>2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63+30</f>
        <v>93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2232</v>
      </c>
      <c r="V9" s="76">
        <f t="shared" ref="V9:V11" si="3">U9/24</f>
        <v>93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39+10</f>
        <v>49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1176</v>
      </c>
      <c r="V10" s="58">
        <f t="shared" si="3"/>
        <v>49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1224+53+1080+71+1080+29</f>
        <v>3537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/>
      <c r="O12" s="65">
        <v>13</v>
      </c>
      <c r="P12" s="66"/>
      <c r="Q12" s="66">
        <v>20</v>
      </c>
      <c r="R12" s="67">
        <v>5</v>
      </c>
      <c r="S12" s="62"/>
      <c r="T12" s="69">
        <f t="shared" si="0"/>
        <v>5</v>
      </c>
      <c r="U12" s="69">
        <f>C12*24+M12*24+O12*24+Q12*24+T12</f>
        <v>85877</v>
      </c>
      <c r="V12" s="69">
        <f>U12/24</f>
        <v>3578.2083333333335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54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1369</v>
      </c>
      <c r="V25" s="75">
        <f t="shared" si="5"/>
        <v>57.041666666666664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>
        <v>1</v>
      </c>
      <c r="P26" s="71"/>
      <c r="Q26" s="71"/>
      <c r="R26" s="72"/>
      <c r="S26" s="55"/>
      <c r="T26" s="58">
        <f t="shared" si="0"/>
        <v>0</v>
      </c>
      <c r="U26" s="75">
        <f t="shared" si="4"/>
        <v>24</v>
      </c>
      <c r="V26" s="75">
        <f t="shared" si="5"/>
        <v>1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12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2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480</v>
      </c>
      <c r="V28" s="75">
        <f t="shared" si="5"/>
        <v>20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29</v>
      </c>
      <c r="D29" s="70"/>
      <c r="E29" s="70"/>
      <c r="F29" s="70"/>
      <c r="G29" s="70"/>
      <c r="H29" s="70">
        <v>5</v>
      </c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701</v>
      </c>
      <c r="V29" s="75">
        <f t="shared" si="5"/>
        <v>29.208333333333332</v>
      </c>
    </row>
    <row r="30" spans="1:54" x14ac:dyDescent="0.25">
      <c r="A30" s="27">
        <f t="shared" si="1"/>
        <v>27</v>
      </c>
      <c r="B30" s="26" t="s">
        <v>15</v>
      </c>
      <c r="C30" s="70">
        <v>14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>
        <v>1</v>
      </c>
      <c r="P31" s="71"/>
      <c r="Q31" s="71"/>
      <c r="R31" s="72"/>
      <c r="S31" s="55"/>
      <c r="T31" s="58">
        <f t="shared" si="0"/>
        <v>0</v>
      </c>
      <c r="U31" s="75">
        <f t="shared" si="4"/>
        <v>72</v>
      </c>
      <c r="V31" s="75">
        <f t="shared" si="5"/>
        <v>3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144+62</f>
        <v>206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3</v>
      </c>
      <c r="P34" s="71"/>
      <c r="Q34" s="71"/>
      <c r="R34" s="72"/>
      <c r="S34" s="55"/>
      <c r="T34" s="58">
        <f t="shared" si="0"/>
        <v>2</v>
      </c>
      <c r="U34" s="75">
        <f t="shared" si="4"/>
        <v>5018</v>
      </c>
      <c r="V34" s="75">
        <f t="shared" si="5"/>
        <v>209.08333333333334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15+972+3132+94</f>
        <v>4213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/>
      <c r="N37" s="64"/>
      <c r="O37" s="65">
        <v>20</v>
      </c>
      <c r="P37" s="66"/>
      <c r="Q37" s="66">
        <v>56</v>
      </c>
      <c r="R37" s="67"/>
      <c r="S37" s="62"/>
      <c r="T37" s="77">
        <f t="shared" si="0"/>
        <v>13</v>
      </c>
      <c r="U37" s="77">
        <f>C37*6+M37*6+O37*6+Q37*6+T37</f>
        <v>25747</v>
      </c>
      <c r="V37" s="77">
        <f>U37/6</f>
        <v>4291.166666666667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1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24</v>
      </c>
      <c r="V38" s="75">
        <f>U38/24</f>
        <v>1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21+126+58</f>
        <v>205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1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5012</v>
      </c>
      <c r="V40" s="77">
        <f>U40/24</f>
        <v>208.83333333333334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87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</v>
      </c>
      <c r="N41" s="87"/>
      <c r="O41" s="82">
        <v>12</v>
      </c>
      <c r="P41" s="83"/>
      <c r="Q41" s="83">
        <v>27</v>
      </c>
      <c r="R41" s="84"/>
      <c r="S41" s="85"/>
      <c r="T41" s="88">
        <f t="shared" si="0"/>
        <v>0</v>
      </c>
      <c r="U41" s="88">
        <f>C41*12+M41*12+O41*12+Q41*12+T41</f>
        <v>1524</v>
      </c>
      <c r="V41" s="88">
        <f>U41/12</f>
        <v>127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94+19764+10260+13824</f>
        <v>43942</v>
      </c>
      <c r="D43" s="65"/>
      <c r="E43" s="65"/>
      <c r="F43" s="65"/>
      <c r="G43" s="65"/>
      <c r="H43" s="65">
        <v>4</v>
      </c>
      <c r="I43" s="65">
        <v>12</v>
      </c>
      <c r="J43" s="66">
        <f>7*6+1</f>
        <v>43</v>
      </c>
      <c r="K43" s="67">
        <f>71*6+2</f>
        <v>428</v>
      </c>
      <c r="L43" s="62"/>
      <c r="M43" s="63">
        <v>86</v>
      </c>
      <c r="N43" s="64"/>
      <c r="O43" s="65">
        <v>467</v>
      </c>
      <c r="P43" s="66"/>
      <c r="Q43" s="66">
        <v>652</v>
      </c>
      <c r="R43" s="67"/>
      <c r="S43" s="62"/>
      <c r="T43" s="77">
        <f t="shared" ref="T43" si="6">H43+I43+J43+K43+N43+P43+R43</f>
        <v>487</v>
      </c>
      <c r="U43" s="77">
        <f>C43*6+M43*6+O43*6+Q43*6+T43</f>
        <v>271369</v>
      </c>
      <c r="V43" s="77">
        <f>U43/6</f>
        <v>45228.166666666664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1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24</v>
      </c>
      <c r="V46" s="75">
        <f t="shared" ref="V46:V54" si="9">U46/24</f>
        <v>1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101+648+324+88+540+103+324+432+106</f>
        <v>2666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10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55307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1195</v>
      </c>
      <c r="I58" s="6">
        <f t="shared" si="11"/>
        <v>38</v>
      </c>
      <c r="J58" s="6">
        <f t="shared" si="11"/>
        <v>45</v>
      </c>
      <c r="K58" s="6">
        <f t="shared" si="11"/>
        <v>470</v>
      </c>
      <c r="M58" s="5">
        <f t="shared" ref="M58:R58" si="12">SUM(M7:M57)</f>
        <v>110</v>
      </c>
      <c r="N58" s="5">
        <f t="shared" si="12"/>
        <v>0</v>
      </c>
      <c r="O58" s="5">
        <f t="shared" si="12"/>
        <v>538</v>
      </c>
      <c r="P58" s="5">
        <f t="shared" si="12"/>
        <v>12</v>
      </c>
      <c r="Q58" s="5">
        <f t="shared" si="12"/>
        <v>776</v>
      </c>
      <c r="R58" s="5">
        <f t="shared" si="12"/>
        <v>8</v>
      </c>
      <c r="S58" s="55"/>
      <c r="T58" s="4">
        <f>SUM(T7:T57)</f>
        <v>1768</v>
      </c>
      <c r="U58" s="90">
        <f>SUM(U7:U57)</f>
        <v>422710</v>
      </c>
      <c r="V58" s="4">
        <f>SUM(V7:V57)</f>
        <v>56868.291666666664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3" t="s">
        <v>41</v>
      </c>
      <c r="D60" s="104"/>
      <c r="E60" s="104"/>
      <c r="F60" s="104"/>
      <c r="G60" s="104"/>
      <c r="H60" s="104"/>
      <c r="I60" s="104"/>
      <c r="J60" s="104"/>
      <c r="K60" s="10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2D9E2-DA28-415F-A8A3-160088EA95B5}">
  <sheetPr>
    <pageSetUpPr fitToPage="1"/>
  </sheetPr>
  <dimension ref="A1:BB81"/>
  <sheetViews>
    <sheetView zoomScale="115" zoomScaleNormal="115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6" t="s">
        <v>43</v>
      </c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07" t="s">
        <v>41</v>
      </c>
      <c r="D4" s="107"/>
      <c r="E4" s="107"/>
      <c r="F4" s="107"/>
      <c r="G4" s="107"/>
      <c r="H4" s="107"/>
      <c r="I4" s="107"/>
      <c r="J4" s="108"/>
      <c r="K4" s="10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0" t="s">
        <v>68</v>
      </c>
      <c r="U4" s="116" t="s">
        <v>67</v>
      </c>
      <c r="V4" s="9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4" t="s">
        <v>65</v>
      </c>
      <c r="K5" s="115"/>
      <c r="M5" s="37"/>
      <c r="N5" s="49"/>
      <c r="O5" s="40"/>
      <c r="P5" s="97"/>
      <c r="Q5" s="97"/>
      <c r="R5" s="38"/>
      <c r="S5" s="9"/>
      <c r="T5" s="111"/>
      <c r="U5" s="117"/>
      <c r="V5" s="10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2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849</v>
      </c>
      <c r="V7" s="58">
        <f>U7/24</f>
        <v>35.375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>
        <v>12</v>
      </c>
      <c r="Q8" s="66">
        <v>2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63+30</f>
        <v>93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2232</v>
      </c>
      <c r="V9" s="76">
        <f t="shared" ref="V9:V11" si="3">U9/24</f>
        <v>93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39+10</f>
        <v>49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1176</v>
      </c>
      <c r="V10" s="58">
        <f t="shared" si="3"/>
        <v>49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f>9</f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1224+53+1080+61+1080+29</f>
        <v>3527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/>
      <c r="O12" s="65">
        <v>11</v>
      </c>
      <c r="P12" s="66">
        <v>20</v>
      </c>
      <c r="Q12" s="66">
        <v>3</v>
      </c>
      <c r="R12" s="67"/>
      <c r="S12" s="62"/>
      <c r="T12" s="69">
        <f t="shared" si="0"/>
        <v>20</v>
      </c>
      <c r="U12" s="69">
        <f>C12*24+M12*24+O12*24+Q12*24+T12</f>
        <v>85196</v>
      </c>
      <c r="V12" s="69">
        <f>U12/24</f>
        <v>3549.8333333333335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f>2</f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54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/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>
        <v>1</v>
      </c>
      <c r="P26" s="71"/>
      <c r="Q26" s="71"/>
      <c r="R26" s="72"/>
      <c r="S26" s="55"/>
      <c r="T26" s="58">
        <f t="shared" si="0"/>
        <v>0</v>
      </c>
      <c r="U26" s="75">
        <f t="shared" si="4"/>
        <v>24</v>
      </c>
      <c r="V26" s="75">
        <f t="shared" si="5"/>
        <v>1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12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2</v>
      </c>
      <c r="P28" s="71"/>
      <c r="Q28" s="71"/>
      <c r="R28" s="72"/>
      <c r="S28" s="55"/>
      <c r="T28" s="58">
        <f t="shared" si="0"/>
        <v>0</v>
      </c>
      <c r="U28" s="75">
        <f t="shared" si="4"/>
        <v>384</v>
      </c>
      <c r="V28" s="75">
        <f t="shared" si="5"/>
        <v>16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29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701</v>
      </c>
      <c r="V29" s="75">
        <f t="shared" si="5"/>
        <v>29.208333333333332</v>
      </c>
    </row>
    <row r="30" spans="1:54" x14ac:dyDescent="0.25">
      <c r="A30" s="27">
        <f t="shared" si="1"/>
        <v>27</v>
      </c>
      <c r="B30" s="26" t="s">
        <v>15</v>
      </c>
      <c r="C30" s="70">
        <v>14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>
        <v>1</v>
      </c>
      <c r="P31" s="71"/>
      <c r="Q31" s="71"/>
      <c r="R31" s="72"/>
      <c r="S31" s="55"/>
      <c r="T31" s="58">
        <f t="shared" si="0"/>
        <v>0</v>
      </c>
      <c r="U31" s="75">
        <f t="shared" si="4"/>
        <v>72</v>
      </c>
      <c r="V31" s="75">
        <f t="shared" si="5"/>
        <v>3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144+62</f>
        <v>206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3</v>
      </c>
      <c r="P34" s="71"/>
      <c r="Q34" s="71"/>
      <c r="R34" s="72"/>
      <c r="S34" s="55"/>
      <c r="T34" s="58">
        <f t="shared" si="0"/>
        <v>2</v>
      </c>
      <c r="U34" s="75">
        <f t="shared" si="4"/>
        <v>5018</v>
      </c>
      <c r="V34" s="75">
        <f t="shared" si="5"/>
        <v>209.08333333333334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756+3132+89+94</f>
        <v>4071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118</v>
      </c>
      <c r="N37" s="64"/>
      <c r="O37" s="65">
        <v>24</v>
      </c>
      <c r="P37" s="66"/>
      <c r="Q37" s="66">
        <v>1</v>
      </c>
      <c r="R37" s="67"/>
      <c r="S37" s="62"/>
      <c r="T37" s="77">
        <f t="shared" si="0"/>
        <v>13</v>
      </c>
      <c r="U37" s="77">
        <f>C37*6+M37*6+O37*6+Q37*6+T37</f>
        <v>25297</v>
      </c>
      <c r="V37" s="77">
        <f>U37/6</f>
        <v>4216.166666666667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1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24</v>
      </c>
      <c r="V38" s="75">
        <f>U38/24</f>
        <v>1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21+126+58</f>
        <v>205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1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5012</v>
      </c>
      <c r="V40" s="77">
        <f>U40/24</f>
        <v>208.83333333333334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69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17</v>
      </c>
      <c r="N41" s="87"/>
      <c r="O41" s="82">
        <v>12</v>
      </c>
      <c r="P41" s="83"/>
      <c r="Q41" s="83">
        <v>23</v>
      </c>
      <c r="R41" s="84"/>
      <c r="S41" s="85"/>
      <c r="T41" s="88">
        <f t="shared" si="0"/>
        <v>0</v>
      </c>
      <c r="U41" s="88">
        <f>C41*12+M41*12+O41*12+Q41*12+T41</f>
        <v>1452</v>
      </c>
      <c r="V41" s="88">
        <f>U41/12</f>
        <v>121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13284+19764+10260</f>
        <v>43308</v>
      </c>
      <c r="D43" s="65"/>
      <c r="E43" s="65"/>
      <c r="F43" s="65"/>
      <c r="G43" s="65"/>
      <c r="H43" s="65">
        <v>4</v>
      </c>
      <c r="I43" s="65">
        <v>12</v>
      </c>
      <c r="J43" s="66">
        <f>7*6+1</f>
        <v>43</v>
      </c>
      <c r="K43" s="67">
        <f>71*6+2</f>
        <v>428</v>
      </c>
      <c r="L43" s="62"/>
      <c r="M43" s="63">
        <v>302</v>
      </c>
      <c r="N43" s="64"/>
      <c r="O43" s="65">
        <v>454</v>
      </c>
      <c r="P43" s="66"/>
      <c r="Q43" s="66">
        <v>104</v>
      </c>
      <c r="R43" s="67"/>
      <c r="S43" s="62"/>
      <c r="T43" s="77">
        <f t="shared" ref="T43" si="6">H43+I43+J43+K43+N43+P43+R43</f>
        <v>487</v>
      </c>
      <c r="U43" s="77">
        <f>C43*6+M43*6+O43*6+Q43*6+T43</f>
        <v>265495</v>
      </c>
      <c r="V43" s="77">
        <f>U43/6</f>
        <v>44249.166666666664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1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24</v>
      </c>
      <c r="V46" s="75">
        <f t="shared" ref="V46:V54" si="9">U46/24</f>
        <v>1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101+648+324+88+540+103+324+432+106</f>
        <v>2666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10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54503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38</v>
      </c>
      <c r="J58" s="6">
        <f t="shared" si="11"/>
        <v>50</v>
      </c>
      <c r="K58" s="6">
        <f t="shared" si="11"/>
        <v>470</v>
      </c>
      <c r="M58" s="5">
        <f t="shared" ref="M58:R58" si="12">SUM(M7:M57)</f>
        <v>460</v>
      </c>
      <c r="N58" s="5">
        <f t="shared" si="12"/>
        <v>0</v>
      </c>
      <c r="O58" s="5">
        <f t="shared" si="12"/>
        <v>527</v>
      </c>
      <c r="P58" s="5">
        <f t="shared" si="12"/>
        <v>32</v>
      </c>
      <c r="Q58" s="5">
        <f t="shared" si="12"/>
        <v>146</v>
      </c>
      <c r="R58" s="5">
        <f t="shared" si="12"/>
        <v>3</v>
      </c>
      <c r="S58" s="55"/>
      <c r="T58" s="4">
        <f>SUM(T7:T57)</f>
        <v>1783</v>
      </c>
      <c r="U58" s="90">
        <f>SUM(U7:U57)</f>
        <v>415489</v>
      </c>
      <c r="V58" s="4">
        <f>SUM(V7:V57)</f>
        <v>55773.916666666664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3" t="s">
        <v>41</v>
      </c>
      <c r="D60" s="104"/>
      <c r="E60" s="104"/>
      <c r="F60" s="104"/>
      <c r="G60" s="104"/>
      <c r="H60" s="104"/>
      <c r="I60" s="104"/>
      <c r="J60" s="104"/>
      <c r="K60" s="10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80862-C168-499B-9B04-10F231C2E69B}">
  <sheetPr>
    <pageSetUpPr fitToPage="1"/>
  </sheetPr>
  <dimension ref="A1:BB81"/>
  <sheetViews>
    <sheetView tabSelected="1" zoomScale="130" zoomScaleNormal="13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6" t="s">
        <v>43</v>
      </c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</row>
    <row r="2" spans="1:54" x14ac:dyDescent="0.25">
      <c r="B2" s="28" t="s">
        <v>74</v>
      </c>
    </row>
    <row r="3" spans="1:54" ht="19.5" thickBot="1" x14ac:dyDescent="0.3"/>
    <row r="4" spans="1:54" s="10" customFormat="1" ht="15.75" x14ac:dyDescent="0.25">
      <c r="B4" s="41" t="s">
        <v>52</v>
      </c>
      <c r="C4" s="107" t="s">
        <v>41</v>
      </c>
      <c r="D4" s="107"/>
      <c r="E4" s="107"/>
      <c r="F4" s="107"/>
      <c r="G4" s="107"/>
      <c r="H4" s="107"/>
      <c r="I4" s="107"/>
      <c r="J4" s="108"/>
      <c r="K4" s="10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0" t="s">
        <v>68</v>
      </c>
      <c r="U4" s="116" t="s">
        <v>67</v>
      </c>
      <c r="V4" s="9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4" t="s">
        <v>65</v>
      </c>
      <c r="K5" s="115"/>
      <c r="M5" s="37"/>
      <c r="N5" s="49"/>
      <c r="O5" s="40"/>
      <c r="P5" s="97"/>
      <c r="Q5" s="97"/>
      <c r="R5" s="38"/>
      <c r="S5" s="9"/>
      <c r="T5" s="111"/>
      <c r="U5" s="117"/>
      <c r="V5" s="10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2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849</v>
      </c>
      <c r="V7" s="58">
        <f>U7/24</f>
        <v>35.375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42+43</f>
        <v>85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63+30</f>
        <v>93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2232</v>
      </c>
      <c r="V9" s="76">
        <f t="shared" ref="V9:V11" si="3">U9/24</f>
        <v>93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37+10</f>
        <v>47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1128</v>
      </c>
      <c r="V10" s="58">
        <f t="shared" si="3"/>
        <v>47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1224+53+1080+41+1080+29</f>
        <v>3507</v>
      </c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>
        <v>11</v>
      </c>
      <c r="P12" s="66">
        <v>10</v>
      </c>
      <c r="Q12" s="66">
        <v>13</v>
      </c>
      <c r="R12" s="67"/>
      <c r="S12" s="62"/>
      <c r="T12" s="69">
        <f t="shared" si="0"/>
        <v>10</v>
      </c>
      <c r="U12" s="69">
        <f>C12*24+M12*24+O12*24+Q12*24+T12</f>
        <v>84754</v>
      </c>
      <c r="V12" s="69">
        <f>U12/24</f>
        <v>3531.4166666666665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54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/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10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1</v>
      </c>
      <c r="P28" s="71"/>
      <c r="Q28" s="71">
        <v>2</v>
      </c>
      <c r="R28" s="72"/>
      <c r="S28" s="55"/>
      <c r="T28" s="58">
        <f t="shared" si="0"/>
        <v>0</v>
      </c>
      <c r="U28" s="75">
        <f t="shared" si="4"/>
        <v>360</v>
      </c>
      <c r="V28" s="75">
        <f t="shared" si="5"/>
        <v>15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29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701</v>
      </c>
      <c r="V29" s="75">
        <f t="shared" si="5"/>
        <v>29.208333333333332</v>
      </c>
    </row>
    <row r="30" spans="1:54" x14ac:dyDescent="0.25">
      <c r="A30" s="27">
        <f t="shared" si="1"/>
        <v>27</v>
      </c>
      <c r="B30" s="26" t="s">
        <v>15</v>
      </c>
      <c r="C30" s="70">
        <v>15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144+62</f>
        <v>206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3</v>
      </c>
      <c r="P34" s="71"/>
      <c r="Q34" s="71"/>
      <c r="R34" s="72"/>
      <c r="S34" s="55"/>
      <c r="T34" s="58">
        <f t="shared" si="0"/>
        <v>2</v>
      </c>
      <c r="U34" s="75">
        <f t="shared" si="4"/>
        <v>5018</v>
      </c>
      <c r="V34" s="75">
        <f t="shared" si="5"/>
        <v>209.08333333333334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61+756+3132+94</f>
        <v>4043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1*6+2</f>
        <v>8</v>
      </c>
      <c r="L37" s="62"/>
      <c r="M37" s="63">
        <v>5</v>
      </c>
      <c r="N37" s="64"/>
      <c r="O37" s="65">
        <v>3</v>
      </c>
      <c r="P37" s="66"/>
      <c r="Q37" s="66">
        <v>29</v>
      </c>
      <c r="R37" s="67"/>
      <c r="S37" s="62"/>
      <c r="T37" s="77">
        <f t="shared" si="0"/>
        <v>13</v>
      </c>
      <c r="U37" s="77">
        <f>C37*6+M37*6+O37*6+Q37*6+T37</f>
        <v>24493</v>
      </c>
      <c r="V37" s="77">
        <f>U37/6</f>
        <v>4082.1666666666665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126+58</f>
        <v>184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20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5012</v>
      </c>
      <c r="V40" s="77">
        <f>U40/24</f>
        <v>208.83333333333334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80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2</v>
      </c>
      <c r="N41" s="87"/>
      <c r="O41" s="82">
        <v>12</v>
      </c>
      <c r="P41" s="83"/>
      <c r="Q41" s="83">
        <v>12</v>
      </c>
      <c r="R41" s="84"/>
      <c r="S41" s="85"/>
      <c r="T41" s="88">
        <f t="shared" si="0"/>
        <v>0</v>
      </c>
      <c r="U41" s="88">
        <f>C41*12+M41*12+O41*12+Q41*12+T41</f>
        <v>1272</v>
      </c>
      <c r="V41" s="88">
        <f>U41/12</f>
        <v>106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12636+19764+10260</f>
        <v>42660</v>
      </c>
      <c r="D43" s="65"/>
      <c r="E43" s="65"/>
      <c r="F43" s="65"/>
      <c r="G43" s="65"/>
      <c r="H43" s="65">
        <v>4</v>
      </c>
      <c r="I43" s="65">
        <v>12</v>
      </c>
      <c r="J43" s="66">
        <f>7*6+1</f>
        <v>43</v>
      </c>
      <c r="K43" s="67">
        <f>71*6+2</f>
        <v>428</v>
      </c>
      <c r="L43" s="62"/>
      <c r="M43" s="63">
        <v>66</v>
      </c>
      <c r="N43" s="64"/>
      <c r="O43" s="65">
        <v>456</v>
      </c>
      <c r="P43" s="66"/>
      <c r="Q43" s="66">
        <v>428</v>
      </c>
      <c r="R43" s="67"/>
      <c r="S43" s="62"/>
      <c r="T43" s="77">
        <f t="shared" ref="T43" si="6">H43+I43+J43+K43+N43+P43+R43</f>
        <v>487</v>
      </c>
      <c r="U43" s="77">
        <f>C43*6+M43*6+O43*6+Q43*6+T43</f>
        <v>262147</v>
      </c>
      <c r="V43" s="77">
        <f>U43/6</f>
        <v>43691.166666666664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53798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38</v>
      </c>
      <c r="J58" s="6">
        <f t="shared" si="11"/>
        <v>50</v>
      </c>
      <c r="K58" s="6">
        <f t="shared" si="11"/>
        <v>470</v>
      </c>
      <c r="M58" s="5">
        <f t="shared" ref="M58:R58" si="12">SUM(M7:M57)</f>
        <v>88</v>
      </c>
      <c r="N58" s="5">
        <f t="shared" si="12"/>
        <v>0</v>
      </c>
      <c r="O58" s="5">
        <f t="shared" si="12"/>
        <v>524</v>
      </c>
      <c r="P58" s="5">
        <f t="shared" si="12"/>
        <v>22</v>
      </c>
      <c r="Q58" s="5">
        <f t="shared" si="12"/>
        <v>494</v>
      </c>
      <c r="R58" s="5">
        <f t="shared" si="12"/>
        <v>3</v>
      </c>
      <c r="S58" s="55"/>
      <c r="T58" s="4">
        <f>SUM(T7:T57)</f>
        <v>1773</v>
      </c>
      <c r="U58" s="90">
        <f>SUM(U7:U57)</f>
        <v>410547</v>
      </c>
      <c r="V58" s="4">
        <f>SUM(V7:V57)</f>
        <v>55041.5</v>
      </c>
    </row>
    <row r="59" spans="1:22" ht="7.5" customHeight="1" thickBot="1" x14ac:dyDescent="0.3"/>
    <row r="60" spans="1:22" ht="19.5" thickBot="1" x14ac:dyDescent="0.3">
      <c r="B60" s="30" t="s">
        <v>37</v>
      </c>
      <c r="C60" s="103" t="s">
        <v>41</v>
      </c>
      <c r="D60" s="104"/>
      <c r="E60" s="104"/>
      <c r="F60" s="104"/>
      <c r="G60" s="104"/>
      <c r="H60" s="104"/>
      <c r="I60" s="104"/>
      <c r="J60" s="104"/>
      <c r="K60" s="10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96E3C-F544-4408-9EAE-90D99285A125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6" t="s">
        <v>43</v>
      </c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</row>
    <row r="2" spans="1:54" x14ac:dyDescent="0.25">
      <c r="B2" s="28" t="s">
        <v>75</v>
      </c>
    </row>
    <row r="3" spans="1:54" ht="19.5" thickBot="1" x14ac:dyDescent="0.3"/>
    <row r="4" spans="1:54" s="10" customFormat="1" ht="15.75" x14ac:dyDescent="0.25">
      <c r="B4" s="41" t="s">
        <v>52</v>
      </c>
      <c r="C4" s="107" t="s">
        <v>41</v>
      </c>
      <c r="D4" s="107"/>
      <c r="E4" s="107"/>
      <c r="F4" s="107"/>
      <c r="G4" s="107"/>
      <c r="H4" s="107"/>
      <c r="I4" s="107"/>
      <c r="J4" s="108"/>
      <c r="K4" s="10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0" t="s">
        <v>68</v>
      </c>
      <c r="U4" s="116" t="s">
        <v>67</v>
      </c>
      <c r="V4" s="9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4" t="s">
        <v>65</v>
      </c>
      <c r="K5" s="115"/>
      <c r="M5" s="37"/>
      <c r="N5" s="49"/>
      <c r="O5" s="40"/>
      <c r="P5" s="98"/>
      <c r="Q5" s="98"/>
      <c r="R5" s="38"/>
      <c r="S5" s="9"/>
      <c r="T5" s="111"/>
      <c r="U5" s="117"/>
      <c r="V5" s="10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69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90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03" t="s">
        <v>41</v>
      </c>
      <c r="D60" s="104"/>
      <c r="E60" s="104"/>
      <c r="F60" s="104"/>
      <c r="G60" s="104"/>
      <c r="H60" s="104"/>
      <c r="I60" s="104"/>
      <c r="J60" s="104"/>
      <c r="K60" s="10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C60:K60"/>
    <mergeCell ref="I1:U1"/>
    <mergeCell ref="C4:K4"/>
    <mergeCell ref="T4:T5"/>
    <mergeCell ref="U4:U5"/>
    <mergeCell ref="V4:V5"/>
    <mergeCell ref="J5:K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CD48-36B7-4216-A88E-17673474B053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6" t="s">
        <v>43</v>
      </c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</row>
    <row r="2" spans="1:54" x14ac:dyDescent="0.25">
      <c r="B2" s="28" t="s">
        <v>76</v>
      </c>
    </row>
    <row r="3" spans="1:54" ht="19.5" thickBot="1" x14ac:dyDescent="0.3"/>
    <row r="4" spans="1:54" s="10" customFormat="1" ht="15.75" x14ac:dyDescent="0.25">
      <c r="B4" s="41" t="s">
        <v>52</v>
      </c>
      <c r="C4" s="107" t="s">
        <v>41</v>
      </c>
      <c r="D4" s="107"/>
      <c r="E4" s="107"/>
      <c r="F4" s="107"/>
      <c r="G4" s="107"/>
      <c r="H4" s="107"/>
      <c r="I4" s="107"/>
      <c r="J4" s="108"/>
      <c r="K4" s="10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0" t="s">
        <v>68</v>
      </c>
      <c r="U4" s="116" t="s">
        <v>67</v>
      </c>
      <c r="V4" s="9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4" t="s">
        <v>65</v>
      </c>
      <c r="K5" s="115"/>
      <c r="M5" s="37"/>
      <c r="N5" s="49"/>
      <c r="O5" s="40"/>
      <c r="P5" s="98"/>
      <c r="Q5" s="98"/>
      <c r="R5" s="38"/>
      <c r="S5" s="9"/>
      <c r="T5" s="111"/>
      <c r="U5" s="117"/>
      <c r="V5" s="10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69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90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03" t="s">
        <v>41</v>
      </c>
      <c r="D60" s="104"/>
      <c r="E60" s="104"/>
      <c r="F60" s="104"/>
      <c r="G60" s="104"/>
      <c r="H60" s="104"/>
      <c r="I60" s="104"/>
      <c r="J60" s="104"/>
      <c r="K60" s="10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C60:K60"/>
    <mergeCell ref="I1:U1"/>
    <mergeCell ref="C4:K4"/>
    <mergeCell ref="T4:T5"/>
    <mergeCell ref="U4:U5"/>
    <mergeCell ref="V4:V5"/>
    <mergeCell ref="J5:K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C1C8C-E747-496B-BE70-EA58545B1CAD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6" t="s">
        <v>43</v>
      </c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</row>
    <row r="2" spans="1:54" x14ac:dyDescent="0.25">
      <c r="B2" s="28" t="s">
        <v>77</v>
      </c>
    </row>
    <row r="3" spans="1:54" ht="19.5" thickBot="1" x14ac:dyDescent="0.3"/>
    <row r="4" spans="1:54" s="10" customFormat="1" ht="15.75" x14ac:dyDescent="0.25">
      <c r="B4" s="41" t="s">
        <v>52</v>
      </c>
      <c r="C4" s="107" t="s">
        <v>41</v>
      </c>
      <c r="D4" s="107"/>
      <c r="E4" s="107"/>
      <c r="F4" s="107"/>
      <c r="G4" s="107"/>
      <c r="H4" s="107"/>
      <c r="I4" s="107"/>
      <c r="J4" s="108"/>
      <c r="K4" s="10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0" t="s">
        <v>68</v>
      </c>
      <c r="U4" s="116" t="s">
        <v>67</v>
      </c>
      <c r="V4" s="9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4" t="s">
        <v>65</v>
      </c>
      <c r="K5" s="115"/>
      <c r="M5" s="37"/>
      <c r="N5" s="49"/>
      <c r="O5" s="40"/>
      <c r="P5" s="98"/>
      <c r="Q5" s="98"/>
      <c r="R5" s="38"/>
      <c r="S5" s="9"/>
      <c r="T5" s="111"/>
      <c r="U5" s="117"/>
      <c r="V5" s="10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69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90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03" t="s">
        <v>41</v>
      </c>
      <c r="D60" s="104"/>
      <c r="E60" s="104"/>
      <c r="F60" s="104"/>
      <c r="G60" s="104"/>
      <c r="H60" s="104"/>
      <c r="I60" s="104"/>
      <c r="J60" s="104"/>
      <c r="K60" s="10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C60:K60"/>
    <mergeCell ref="I1:U1"/>
    <mergeCell ref="C4:K4"/>
    <mergeCell ref="T4:T5"/>
    <mergeCell ref="U4:U5"/>
    <mergeCell ref="V4:V5"/>
    <mergeCell ref="J5:K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0CA8C6-0E34-4041-83EB-8BD8B22ACF90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6" t="s">
        <v>43</v>
      </c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</row>
    <row r="2" spans="1:54" x14ac:dyDescent="0.25">
      <c r="B2" s="28" t="s">
        <v>78</v>
      </c>
    </row>
    <row r="3" spans="1:54" ht="19.5" thickBot="1" x14ac:dyDescent="0.3"/>
    <row r="4" spans="1:54" s="10" customFormat="1" ht="15.75" x14ac:dyDescent="0.25">
      <c r="B4" s="41" t="s">
        <v>52</v>
      </c>
      <c r="C4" s="107" t="s">
        <v>41</v>
      </c>
      <c r="D4" s="107"/>
      <c r="E4" s="107"/>
      <c r="F4" s="107"/>
      <c r="G4" s="107"/>
      <c r="H4" s="107"/>
      <c r="I4" s="107"/>
      <c r="J4" s="108"/>
      <c r="K4" s="109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0" t="s">
        <v>68</v>
      </c>
      <c r="U4" s="116" t="s">
        <v>67</v>
      </c>
      <c r="V4" s="99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4" t="s">
        <v>65</v>
      </c>
      <c r="K5" s="115"/>
      <c r="M5" s="37"/>
      <c r="N5" s="49"/>
      <c r="O5" s="40"/>
      <c r="P5" s="98"/>
      <c r="Q5" s="98"/>
      <c r="R5" s="38"/>
      <c r="S5" s="9"/>
      <c r="T5" s="111"/>
      <c r="U5" s="117"/>
      <c r="V5" s="100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69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90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03" t="s">
        <v>41</v>
      </c>
      <c r="D60" s="104"/>
      <c r="E60" s="104"/>
      <c r="F60" s="104"/>
      <c r="G60" s="104"/>
      <c r="H60" s="104"/>
      <c r="I60" s="104"/>
      <c r="J60" s="104"/>
      <c r="K60" s="105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C60:K60"/>
    <mergeCell ref="I1:U1"/>
    <mergeCell ref="C4:K4"/>
    <mergeCell ref="T4:T5"/>
    <mergeCell ref="U4:U5"/>
    <mergeCell ref="V4:V5"/>
    <mergeCell ref="J5:K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9</vt:i4>
      </vt:variant>
    </vt:vector>
  </HeadingPairs>
  <TitlesOfParts>
    <vt:vector size="18" baseType="lpstr">
      <vt:lpstr>SAMPLE</vt:lpstr>
      <vt:lpstr>08-03-2026</vt:lpstr>
      <vt:lpstr>08-04-2026</vt:lpstr>
      <vt:lpstr>08-05-2026</vt:lpstr>
      <vt:lpstr>08-06-2026</vt:lpstr>
      <vt:lpstr>08-07-2026</vt:lpstr>
      <vt:lpstr>08-08-2026</vt:lpstr>
      <vt:lpstr>08-09-2026</vt:lpstr>
      <vt:lpstr>08-10-2026</vt:lpstr>
      <vt:lpstr>'08-03-2026'!Print_Area</vt:lpstr>
      <vt:lpstr>'08-04-2026'!Print_Area</vt:lpstr>
      <vt:lpstr>'08-05-2026'!Print_Area</vt:lpstr>
      <vt:lpstr>'08-06-2026'!Print_Area</vt:lpstr>
      <vt:lpstr>'08-07-2026'!Print_Area</vt:lpstr>
      <vt:lpstr>'08-08-2026'!Print_Area</vt:lpstr>
      <vt:lpstr>'08-09-2026'!Print_Area</vt:lpstr>
      <vt:lpstr>'08-10-2026'!Print_Area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2026-05-14T09:16:27Z</cp:lastPrinted>
  <dcterms:created xsi:type="dcterms:W3CDTF">2024-08-17T00:07:58Z</dcterms:created>
  <dcterms:modified xsi:type="dcterms:W3CDTF">2026-08-06T06:36:51Z</dcterms:modified>
</cp:coreProperties>
</file>