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380D70AC-84DD-4F16-A9DB-A5613DF33D00}" xr6:coauthVersionLast="45" xr6:coauthVersionMax="45" xr10:uidLastSave="{00000000-0000-0000-0000-000000000000}"/>
  <bookViews>
    <workbookView xWindow="-120" yWindow="-120" windowWidth="29040" windowHeight="15840" firstSheet="3" activeTab="10" xr2:uid="{D34C963E-9680-4B45-A4EE-B681FF0CEC08}"/>
  </bookViews>
  <sheets>
    <sheet name="SAMPLE" sheetId="32" r:id="rId1"/>
    <sheet name="08-03-2026" sheetId="69" r:id="rId2"/>
    <sheet name="08-04-2026" sheetId="70" r:id="rId3"/>
    <sheet name="08-05-2026" sheetId="71" r:id="rId4"/>
    <sheet name="08-06-2026" sheetId="72" r:id="rId5"/>
    <sheet name="08-07-2026" sheetId="73" r:id="rId6"/>
    <sheet name="08-10-2026" sheetId="76" r:id="rId7"/>
    <sheet name="08-11-2026" sheetId="74" r:id="rId8"/>
    <sheet name="08-12-2026" sheetId="75" r:id="rId9"/>
    <sheet name="08-13-2026" sheetId="77" r:id="rId10"/>
    <sheet name="08-14-2026" sheetId="78" r:id="rId11"/>
    <sheet name="08-15-2026" sheetId="79" r:id="rId12"/>
    <sheet name="08-17-2026" sheetId="80" r:id="rId13"/>
  </sheets>
  <definedNames>
    <definedName name="_xlnm.Print_Area" localSheetId="1">'08-03-2026'!$A$1:$W$59</definedName>
    <definedName name="_xlnm.Print_Area" localSheetId="2">'08-04-2026'!$A$1:$W$59</definedName>
    <definedName name="_xlnm.Print_Area" localSheetId="3">'08-05-2026'!$A$1:$W$59</definedName>
    <definedName name="_xlnm.Print_Area" localSheetId="4">'08-06-2026'!$A$1:$W$59</definedName>
    <definedName name="_xlnm.Print_Area" localSheetId="5">'08-07-2026'!$A$1:$W$59</definedName>
    <definedName name="_xlnm.Print_Area" localSheetId="6">'08-10-2026'!$A$1:$W$59</definedName>
    <definedName name="_xlnm.Print_Area" localSheetId="7">'08-11-2026'!$A$1:$W$59</definedName>
    <definedName name="_xlnm.Print_Area" localSheetId="8">'08-12-2026'!$A$1:$W$59</definedName>
    <definedName name="_xlnm.Print_Area" localSheetId="9">'08-13-2026'!$A$1:$W$59</definedName>
    <definedName name="_xlnm.Print_Area" localSheetId="10">'08-14-2026'!$A$1:$W$59</definedName>
    <definedName name="_xlnm.Print_Area" localSheetId="11">'08-15-2026'!$A$1:$W$59</definedName>
    <definedName name="_xlnm.Print_Area" localSheetId="12">'08-17-2026'!$A$1:$W$59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7" i="78" l="1"/>
  <c r="C47" i="78"/>
  <c r="C43" i="78"/>
  <c r="J43" i="78"/>
  <c r="K43" i="78"/>
  <c r="C41" i="78"/>
  <c r="C40" i="78"/>
  <c r="C37" i="78"/>
  <c r="C34" i="78"/>
  <c r="H24" i="78"/>
  <c r="H23" i="78"/>
  <c r="H21" i="78"/>
  <c r="H19" i="78"/>
  <c r="H17" i="78"/>
  <c r="C12" i="78"/>
  <c r="C10" i="78"/>
  <c r="C9" i="78"/>
  <c r="C8" i="78"/>
  <c r="C47" i="77" l="1"/>
  <c r="K43" i="77"/>
  <c r="J43" i="77"/>
  <c r="C43" i="77"/>
  <c r="C41" i="77"/>
  <c r="C40" i="77"/>
  <c r="K37" i="77"/>
  <c r="C37" i="77"/>
  <c r="C34" i="77"/>
  <c r="H24" i="77"/>
  <c r="H23" i="77"/>
  <c r="H21" i="77"/>
  <c r="H19" i="77"/>
  <c r="H17" i="77"/>
  <c r="C12" i="77"/>
  <c r="C10" i="77"/>
  <c r="C9" i="77"/>
  <c r="C8" i="77"/>
  <c r="C53" i="75" l="1"/>
  <c r="C47" i="75"/>
  <c r="H45" i="75"/>
  <c r="K43" i="75"/>
  <c r="J43" i="75"/>
  <c r="C43" i="75"/>
  <c r="H41" i="75"/>
  <c r="H40" i="75"/>
  <c r="C40" i="75"/>
  <c r="H38" i="75"/>
  <c r="K37" i="75"/>
  <c r="C37" i="75"/>
  <c r="C34" i="75"/>
  <c r="H26" i="75"/>
  <c r="H24" i="75"/>
  <c r="H23" i="75"/>
  <c r="H21" i="75"/>
  <c r="H19" i="75"/>
  <c r="H17" i="75"/>
  <c r="C12" i="75"/>
  <c r="C10" i="75"/>
  <c r="C9" i="75"/>
  <c r="C8" i="75"/>
  <c r="C47" i="74" l="1"/>
  <c r="K43" i="74"/>
  <c r="J43" i="74"/>
  <c r="C43" i="74"/>
  <c r="C40" i="74"/>
  <c r="C37" i="74"/>
  <c r="K37" i="74"/>
  <c r="C34" i="74"/>
  <c r="H23" i="74"/>
  <c r="H24" i="74"/>
  <c r="H21" i="74"/>
  <c r="H19" i="74"/>
  <c r="H17" i="74"/>
  <c r="C12" i="74"/>
  <c r="C10" i="74"/>
  <c r="C9" i="74"/>
  <c r="C8" i="74"/>
  <c r="T58" i="80"/>
  <c r="R58" i="80"/>
  <c r="Q58" i="80"/>
  <c r="P58" i="80"/>
  <c r="O58" i="80"/>
  <c r="N58" i="80"/>
  <c r="M58" i="80"/>
  <c r="K58" i="80"/>
  <c r="J58" i="80"/>
  <c r="I58" i="80"/>
  <c r="H58" i="80"/>
  <c r="G58" i="80"/>
  <c r="F58" i="80"/>
  <c r="C58" i="80"/>
  <c r="T54" i="80"/>
  <c r="U54" i="80" s="1"/>
  <c r="V54" i="80" s="1"/>
  <c r="T53" i="80"/>
  <c r="U53" i="80" s="1"/>
  <c r="V53" i="80" s="1"/>
  <c r="T52" i="80"/>
  <c r="U52" i="80" s="1"/>
  <c r="V52" i="80" s="1"/>
  <c r="T51" i="80"/>
  <c r="U51" i="80" s="1"/>
  <c r="V51" i="80" s="1"/>
  <c r="T50" i="80"/>
  <c r="U50" i="80" s="1"/>
  <c r="V50" i="80" s="1"/>
  <c r="T49" i="80"/>
  <c r="U49" i="80" s="1"/>
  <c r="V49" i="80" s="1"/>
  <c r="T48" i="80"/>
  <c r="U48" i="80" s="1"/>
  <c r="V48" i="80" s="1"/>
  <c r="T47" i="80"/>
  <c r="U47" i="80" s="1"/>
  <c r="V47" i="80" s="1"/>
  <c r="T46" i="80"/>
  <c r="U46" i="80" s="1"/>
  <c r="V46" i="80" s="1"/>
  <c r="T45" i="80"/>
  <c r="U45" i="80" s="1"/>
  <c r="V45" i="80" s="1"/>
  <c r="U43" i="80"/>
  <c r="V43" i="80" s="1"/>
  <c r="T43" i="80"/>
  <c r="U41" i="80"/>
  <c r="V41" i="80" s="1"/>
  <c r="T41" i="80"/>
  <c r="U40" i="80"/>
  <c r="V40" i="80" s="1"/>
  <c r="T40" i="80"/>
  <c r="U39" i="80"/>
  <c r="V39" i="80" s="1"/>
  <c r="T39" i="80"/>
  <c r="T38" i="80"/>
  <c r="U38" i="80" s="1"/>
  <c r="V38" i="80" s="1"/>
  <c r="U37" i="80"/>
  <c r="V37" i="80" s="1"/>
  <c r="T37" i="80"/>
  <c r="U36" i="80"/>
  <c r="V36" i="80" s="1"/>
  <c r="T36" i="80"/>
  <c r="U35" i="80"/>
  <c r="V35" i="80" s="1"/>
  <c r="T35" i="80"/>
  <c r="T34" i="80"/>
  <c r="U34" i="80" s="1"/>
  <c r="V34" i="80" s="1"/>
  <c r="U33" i="80"/>
  <c r="V33" i="80" s="1"/>
  <c r="T33" i="80"/>
  <c r="U32" i="80"/>
  <c r="V32" i="80" s="1"/>
  <c r="T32" i="80"/>
  <c r="U31" i="80"/>
  <c r="V31" i="80" s="1"/>
  <c r="T31" i="80"/>
  <c r="T30" i="80"/>
  <c r="U30" i="80" s="1"/>
  <c r="V30" i="80" s="1"/>
  <c r="U29" i="80"/>
  <c r="V29" i="80" s="1"/>
  <c r="T29" i="80"/>
  <c r="U28" i="80"/>
  <c r="V28" i="80" s="1"/>
  <c r="T28" i="80"/>
  <c r="U27" i="80"/>
  <c r="V27" i="80" s="1"/>
  <c r="T27" i="80"/>
  <c r="T26" i="80"/>
  <c r="U26" i="80" s="1"/>
  <c r="V26" i="80" s="1"/>
  <c r="AY25" i="80"/>
  <c r="T25" i="80"/>
  <c r="U25" i="80" s="1"/>
  <c r="V25" i="80" s="1"/>
  <c r="T24" i="80"/>
  <c r="U24" i="80" s="1"/>
  <c r="V24" i="80" s="1"/>
  <c r="T23" i="80"/>
  <c r="U23" i="80" s="1"/>
  <c r="V23" i="80" s="1"/>
  <c r="T22" i="80"/>
  <c r="U22" i="80" s="1"/>
  <c r="V22" i="80" s="1"/>
  <c r="T21" i="80"/>
  <c r="U21" i="80" s="1"/>
  <c r="V21" i="80" s="1"/>
  <c r="T20" i="80"/>
  <c r="U20" i="80" s="1"/>
  <c r="V20" i="80" s="1"/>
  <c r="A20" i="80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T19" i="80"/>
  <c r="U19" i="80" s="1"/>
  <c r="V19" i="80" s="1"/>
  <c r="T18" i="80"/>
  <c r="U18" i="80" s="1"/>
  <c r="V18" i="80" s="1"/>
  <c r="U17" i="80"/>
  <c r="V17" i="80" s="1"/>
  <c r="T17" i="80"/>
  <c r="U16" i="80"/>
  <c r="V16" i="80" s="1"/>
  <c r="T16" i="80"/>
  <c r="U15" i="80"/>
  <c r="V15" i="80" s="1"/>
  <c r="T15" i="80"/>
  <c r="T14" i="80"/>
  <c r="U14" i="80" s="1"/>
  <c r="V14" i="80" s="1"/>
  <c r="A14" i="80"/>
  <c r="A15" i="80" s="1"/>
  <c r="A16" i="80" s="1"/>
  <c r="A17" i="80" s="1"/>
  <c r="A18" i="80" s="1"/>
  <c r="U13" i="80"/>
  <c r="V13" i="80" s="1"/>
  <c r="T13" i="80"/>
  <c r="T12" i="80"/>
  <c r="U12" i="80" s="1"/>
  <c r="V12" i="80" s="1"/>
  <c r="T11" i="80"/>
  <c r="U11" i="80" s="1"/>
  <c r="V11" i="80" s="1"/>
  <c r="T10" i="80"/>
  <c r="U10" i="80" s="1"/>
  <c r="V10" i="80" s="1"/>
  <c r="T9" i="80"/>
  <c r="U9" i="80" s="1"/>
  <c r="V9" i="80" s="1"/>
  <c r="A9" i="80"/>
  <c r="A10" i="80" s="1"/>
  <c r="A11" i="80" s="1"/>
  <c r="T8" i="80"/>
  <c r="U8" i="80" s="1"/>
  <c r="V8" i="80" s="1"/>
  <c r="A8" i="80"/>
  <c r="T7" i="80"/>
  <c r="U7" i="80" s="1"/>
  <c r="R58" i="79"/>
  <c r="Q58" i="79"/>
  <c r="P58" i="79"/>
  <c r="O58" i="79"/>
  <c r="N58" i="79"/>
  <c r="M58" i="79"/>
  <c r="K58" i="79"/>
  <c r="J58" i="79"/>
  <c r="I58" i="79"/>
  <c r="H58" i="79"/>
  <c r="G58" i="79"/>
  <c r="F58" i="79"/>
  <c r="C58" i="79"/>
  <c r="T54" i="79"/>
  <c r="U54" i="79" s="1"/>
  <c r="V54" i="79" s="1"/>
  <c r="T53" i="79"/>
  <c r="U53" i="79" s="1"/>
  <c r="V53" i="79" s="1"/>
  <c r="T52" i="79"/>
  <c r="U52" i="79" s="1"/>
  <c r="V52" i="79" s="1"/>
  <c r="U51" i="79"/>
  <c r="V51" i="79" s="1"/>
  <c r="T51" i="79"/>
  <c r="T50" i="79"/>
  <c r="U50" i="79" s="1"/>
  <c r="V50" i="79" s="1"/>
  <c r="T49" i="79"/>
  <c r="U49" i="79" s="1"/>
  <c r="V49" i="79" s="1"/>
  <c r="T48" i="79"/>
  <c r="U48" i="79" s="1"/>
  <c r="V48" i="79" s="1"/>
  <c r="U47" i="79"/>
  <c r="V47" i="79" s="1"/>
  <c r="T47" i="79"/>
  <c r="T46" i="79"/>
  <c r="U46" i="79" s="1"/>
  <c r="V46" i="79" s="1"/>
  <c r="T45" i="79"/>
  <c r="U45" i="79" s="1"/>
  <c r="V45" i="79" s="1"/>
  <c r="U43" i="79"/>
  <c r="V43" i="79" s="1"/>
  <c r="T43" i="79"/>
  <c r="T41" i="79"/>
  <c r="U41" i="79" s="1"/>
  <c r="V41" i="79" s="1"/>
  <c r="V40" i="79"/>
  <c r="U40" i="79"/>
  <c r="T40" i="79"/>
  <c r="T39" i="79"/>
  <c r="U39" i="79" s="1"/>
  <c r="V39" i="79" s="1"/>
  <c r="T38" i="79"/>
  <c r="U38" i="79" s="1"/>
  <c r="V38" i="79" s="1"/>
  <c r="T37" i="79"/>
  <c r="U37" i="79" s="1"/>
  <c r="V37" i="79" s="1"/>
  <c r="V36" i="79"/>
  <c r="U36" i="79"/>
  <c r="T36" i="79"/>
  <c r="T35" i="79"/>
  <c r="U35" i="79" s="1"/>
  <c r="V35" i="79" s="1"/>
  <c r="T34" i="79"/>
  <c r="U34" i="79" s="1"/>
  <c r="V34" i="79" s="1"/>
  <c r="T33" i="79"/>
  <c r="U33" i="79" s="1"/>
  <c r="V33" i="79" s="1"/>
  <c r="V32" i="79"/>
  <c r="U32" i="79"/>
  <c r="T32" i="79"/>
  <c r="T31" i="79"/>
  <c r="U31" i="79" s="1"/>
  <c r="V31" i="79" s="1"/>
  <c r="T30" i="79"/>
  <c r="U30" i="79" s="1"/>
  <c r="V30" i="79" s="1"/>
  <c r="T29" i="79"/>
  <c r="U29" i="79" s="1"/>
  <c r="V29" i="79" s="1"/>
  <c r="V28" i="79"/>
  <c r="U28" i="79"/>
  <c r="T28" i="79"/>
  <c r="T27" i="79"/>
  <c r="U27" i="79" s="1"/>
  <c r="V27" i="79" s="1"/>
  <c r="T26" i="79"/>
  <c r="U26" i="79" s="1"/>
  <c r="V26" i="79" s="1"/>
  <c r="AY25" i="79"/>
  <c r="T25" i="79"/>
  <c r="U25" i="79" s="1"/>
  <c r="V25" i="79" s="1"/>
  <c r="T24" i="79"/>
  <c r="U24" i="79" s="1"/>
  <c r="V24" i="79" s="1"/>
  <c r="T23" i="79"/>
  <c r="U23" i="79" s="1"/>
  <c r="V23" i="79" s="1"/>
  <c r="T22" i="79"/>
  <c r="U22" i="79" s="1"/>
  <c r="V22" i="79" s="1"/>
  <c r="T21" i="79"/>
  <c r="U21" i="79" s="1"/>
  <c r="V21" i="79" s="1"/>
  <c r="T20" i="79"/>
  <c r="U20" i="79" s="1"/>
  <c r="V20" i="79" s="1"/>
  <c r="A20" i="79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T19" i="79"/>
  <c r="U19" i="79" s="1"/>
  <c r="V19" i="79" s="1"/>
  <c r="T18" i="79"/>
  <c r="U18" i="79" s="1"/>
  <c r="V18" i="79" s="1"/>
  <c r="T17" i="79"/>
  <c r="U17" i="79" s="1"/>
  <c r="V17" i="79" s="1"/>
  <c r="V16" i="79"/>
  <c r="U16" i="79"/>
  <c r="T16" i="79"/>
  <c r="T15" i="79"/>
  <c r="U15" i="79" s="1"/>
  <c r="V15" i="79" s="1"/>
  <c r="T14" i="79"/>
  <c r="U14" i="79" s="1"/>
  <c r="V14" i="79" s="1"/>
  <c r="A14" i="79"/>
  <c r="A15" i="79" s="1"/>
  <c r="A16" i="79" s="1"/>
  <c r="A17" i="79" s="1"/>
  <c r="A18" i="79" s="1"/>
  <c r="T13" i="79"/>
  <c r="U13" i="79" s="1"/>
  <c r="V13" i="79" s="1"/>
  <c r="U12" i="79"/>
  <c r="V12" i="79" s="1"/>
  <c r="T12" i="79"/>
  <c r="T11" i="79"/>
  <c r="U11" i="79" s="1"/>
  <c r="V11" i="79" s="1"/>
  <c r="T10" i="79"/>
  <c r="U10" i="79" s="1"/>
  <c r="V10" i="79" s="1"/>
  <c r="U9" i="79"/>
  <c r="V9" i="79" s="1"/>
  <c r="T9" i="79"/>
  <c r="T8" i="79"/>
  <c r="U8" i="79" s="1"/>
  <c r="V8" i="79" s="1"/>
  <c r="A8" i="79"/>
  <c r="A9" i="79" s="1"/>
  <c r="A10" i="79" s="1"/>
  <c r="A11" i="79" s="1"/>
  <c r="T7" i="79"/>
  <c r="T58" i="79" s="1"/>
  <c r="R58" i="78"/>
  <c r="Q58" i="78"/>
  <c r="P58" i="78"/>
  <c r="O58" i="78"/>
  <c r="N58" i="78"/>
  <c r="M58" i="78"/>
  <c r="K58" i="78"/>
  <c r="J58" i="78"/>
  <c r="I58" i="78"/>
  <c r="H58" i="78"/>
  <c r="G58" i="78"/>
  <c r="F58" i="78"/>
  <c r="C58" i="78"/>
  <c r="U54" i="78"/>
  <c r="V54" i="78" s="1"/>
  <c r="T54" i="78"/>
  <c r="U53" i="78"/>
  <c r="V53" i="78" s="1"/>
  <c r="T53" i="78"/>
  <c r="T52" i="78"/>
  <c r="U52" i="78" s="1"/>
  <c r="V52" i="78" s="1"/>
  <c r="U51" i="78"/>
  <c r="V51" i="78" s="1"/>
  <c r="T51" i="78"/>
  <c r="U50" i="78"/>
  <c r="V50" i="78" s="1"/>
  <c r="T50" i="78"/>
  <c r="T49" i="78"/>
  <c r="U49" i="78" s="1"/>
  <c r="V49" i="78" s="1"/>
  <c r="T48" i="78"/>
  <c r="U48" i="78" s="1"/>
  <c r="V48" i="78" s="1"/>
  <c r="T47" i="78"/>
  <c r="U47" i="78" s="1"/>
  <c r="V47" i="78" s="1"/>
  <c r="U46" i="78"/>
  <c r="V46" i="78" s="1"/>
  <c r="T46" i="78"/>
  <c r="T45" i="78"/>
  <c r="U45" i="78" s="1"/>
  <c r="V45" i="78" s="1"/>
  <c r="T43" i="78"/>
  <c r="U43" i="78" s="1"/>
  <c r="V43" i="78" s="1"/>
  <c r="T41" i="78"/>
  <c r="U41" i="78" s="1"/>
  <c r="V41" i="78" s="1"/>
  <c r="T40" i="78"/>
  <c r="U40" i="78" s="1"/>
  <c r="V40" i="78" s="1"/>
  <c r="U39" i="78"/>
  <c r="V39" i="78" s="1"/>
  <c r="T39" i="78"/>
  <c r="T38" i="78"/>
  <c r="U38" i="78" s="1"/>
  <c r="V38" i="78" s="1"/>
  <c r="T37" i="78"/>
  <c r="U37" i="78" s="1"/>
  <c r="V37" i="78" s="1"/>
  <c r="T36" i="78"/>
  <c r="U36" i="78" s="1"/>
  <c r="V36" i="78" s="1"/>
  <c r="U35" i="78"/>
  <c r="V35" i="78" s="1"/>
  <c r="T35" i="78"/>
  <c r="T34" i="78"/>
  <c r="U34" i="78" s="1"/>
  <c r="V34" i="78" s="1"/>
  <c r="T33" i="78"/>
  <c r="U33" i="78" s="1"/>
  <c r="V33" i="78" s="1"/>
  <c r="T32" i="78"/>
  <c r="U32" i="78" s="1"/>
  <c r="V32" i="78" s="1"/>
  <c r="U31" i="78"/>
  <c r="V31" i="78" s="1"/>
  <c r="T31" i="78"/>
  <c r="T30" i="78"/>
  <c r="U30" i="78" s="1"/>
  <c r="V30" i="78" s="1"/>
  <c r="T29" i="78"/>
  <c r="U29" i="78" s="1"/>
  <c r="V29" i="78" s="1"/>
  <c r="T28" i="78"/>
  <c r="U28" i="78" s="1"/>
  <c r="V28" i="78" s="1"/>
  <c r="U27" i="78"/>
  <c r="V27" i="78" s="1"/>
  <c r="T27" i="78"/>
  <c r="T26" i="78"/>
  <c r="U26" i="78" s="1"/>
  <c r="V26" i="78" s="1"/>
  <c r="AY25" i="78"/>
  <c r="T25" i="78"/>
  <c r="U25" i="78" s="1"/>
  <c r="V25" i="78" s="1"/>
  <c r="T24" i="78"/>
  <c r="U24" i="78" s="1"/>
  <c r="V24" i="78" s="1"/>
  <c r="T23" i="78"/>
  <c r="U23" i="78" s="1"/>
  <c r="V23" i="78" s="1"/>
  <c r="T22" i="78"/>
  <c r="U22" i="78" s="1"/>
  <c r="V22" i="78" s="1"/>
  <c r="T21" i="78"/>
  <c r="U21" i="78" s="1"/>
  <c r="V21" i="78" s="1"/>
  <c r="T20" i="78"/>
  <c r="U20" i="78" s="1"/>
  <c r="V20" i="78" s="1"/>
  <c r="A20" i="78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T19" i="78"/>
  <c r="U19" i="78" s="1"/>
  <c r="V19" i="78" s="1"/>
  <c r="T18" i="78"/>
  <c r="U18" i="78" s="1"/>
  <c r="V18" i="78" s="1"/>
  <c r="T17" i="78"/>
  <c r="U17" i="78" s="1"/>
  <c r="V17" i="78" s="1"/>
  <c r="T16" i="78"/>
  <c r="U16" i="78" s="1"/>
  <c r="V16" i="78" s="1"/>
  <c r="U15" i="78"/>
  <c r="V15" i="78" s="1"/>
  <c r="T15" i="78"/>
  <c r="T14" i="78"/>
  <c r="U14" i="78" s="1"/>
  <c r="V14" i="78" s="1"/>
  <c r="A14" i="78"/>
  <c r="A15" i="78" s="1"/>
  <c r="A16" i="78" s="1"/>
  <c r="A17" i="78" s="1"/>
  <c r="A18" i="78" s="1"/>
  <c r="T13" i="78"/>
  <c r="U13" i="78" s="1"/>
  <c r="V13" i="78" s="1"/>
  <c r="T12" i="78"/>
  <c r="U12" i="78" s="1"/>
  <c r="V12" i="78" s="1"/>
  <c r="T11" i="78"/>
  <c r="U11" i="78" s="1"/>
  <c r="V11" i="78" s="1"/>
  <c r="T10" i="78"/>
  <c r="U10" i="78" s="1"/>
  <c r="V10" i="78" s="1"/>
  <c r="A10" i="78"/>
  <c r="A11" i="78" s="1"/>
  <c r="U9" i="78"/>
  <c r="V9" i="78" s="1"/>
  <c r="T9" i="78"/>
  <c r="A9" i="78"/>
  <c r="T8" i="78"/>
  <c r="U8" i="78" s="1"/>
  <c r="V8" i="78" s="1"/>
  <c r="A8" i="78"/>
  <c r="T7" i="78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T54" i="77"/>
  <c r="U54" i="77" s="1"/>
  <c r="V54" i="77" s="1"/>
  <c r="T53" i="77"/>
  <c r="U53" i="77" s="1"/>
  <c r="V53" i="77" s="1"/>
  <c r="T52" i="77"/>
  <c r="U52" i="77" s="1"/>
  <c r="V52" i="77" s="1"/>
  <c r="T51" i="77"/>
  <c r="U51" i="77" s="1"/>
  <c r="V51" i="77" s="1"/>
  <c r="T50" i="77"/>
  <c r="U50" i="77" s="1"/>
  <c r="V50" i="77" s="1"/>
  <c r="T49" i="77"/>
  <c r="U49" i="77" s="1"/>
  <c r="V49" i="77" s="1"/>
  <c r="T48" i="77"/>
  <c r="U48" i="77" s="1"/>
  <c r="V48" i="77" s="1"/>
  <c r="T47" i="77"/>
  <c r="U47" i="77" s="1"/>
  <c r="V47" i="77" s="1"/>
  <c r="T46" i="77"/>
  <c r="U46" i="77" s="1"/>
  <c r="V46" i="77" s="1"/>
  <c r="T45" i="77"/>
  <c r="U45" i="77" s="1"/>
  <c r="V45" i="77" s="1"/>
  <c r="T43" i="77"/>
  <c r="U43" i="77" s="1"/>
  <c r="V43" i="77" s="1"/>
  <c r="T41" i="77"/>
  <c r="U41" i="77" s="1"/>
  <c r="V41" i="77" s="1"/>
  <c r="T40" i="77"/>
  <c r="U40" i="77" s="1"/>
  <c r="V40" i="77" s="1"/>
  <c r="T39" i="77"/>
  <c r="U39" i="77" s="1"/>
  <c r="V39" i="77" s="1"/>
  <c r="T38" i="77"/>
  <c r="U38" i="77" s="1"/>
  <c r="V38" i="77" s="1"/>
  <c r="T37" i="77"/>
  <c r="U37" i="77" s="1"/>
  <c r="V37" i="77" s="1"/>
  <c r="T36" i="77"/>
  <c r="U36" i="77" s="1"/>
  <c r="V36" i="77" s="1"/>
  <c r="T35" i="77"/>
  <c r="U35" i="77" s="1"/>
  <c r="V35" i="77" s="1"/>
  <c r="T34" i="77"/>
  <c r="U34" i="77" s="1"/>
  <c r="V34" i="77" s="1"/>
  <c r="T33" i="77"/>
  <c r="U33" i="77" s="1"/>
  <c r="V33" i="77" s="1"/>
  <c r="T32" i="77"/>
  <c r="U32" i="77" s="1"/>
  <c r="V32" i="77" s="1"/>
  <c r="T31" i="77"/>
  <c r="U31" i="77" s="1"/>
  <c r="V31" i="77" s="1"/>
  <c r="T30" i="77"/>
  <c r="U30" i="77" s="1"/>
  <c r="V30" i="77" s="1"/>
  <c r="T29" i="77"/>
  <c r="U29" i="77" s="1"/>
  <c r="V29" i="77" s="1"/>
  <c r="T28" i="77"/>
  <c r="U28" i="77" s="1"/>
  <c r="V28" i="77" s="1"/>
  <c r="T27" i="77"/>
  <c r="U27" i="77" s="1"/>
  <c r="V27" i="77" s="1"/>
  <c r="T26" i="77"/>
  <c r="U26" i="77" s="1"/>
  <c r="V26" i="77" s="1"/>
  <c r="AY25" i="77"/>
  <c r="T25" i="77"/>
  <c r="U25" i="77" s="1"/>
  <c r="V25" i="77" s="1"/>
  <c r="T24" i="77"/>
  <c r="U24" i="77" s="1"/>
  <c r="V24" i="77" s="1"/>
  <c r="T23" i="77"/>
  <c r="U23" i="77" s="1"/>
  <c r="V23" i="77" s="1"/>
  <c r="T22" i="77"/>
  <c r="U22" i="77" s="1"/>
  <c r="V22" i="77" s="1"/>
  <c r="A22" i="77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T21" i="77"/>
  <c r="U21" i="77" s="1"/>
  <c r="V21" i="77" s="1"/>
  <c r="A21" i="77"/>
  <c r="U20" i="77"/>
  <c r="V20" i="77" s="1"/>
  <c r="T20" i="77"/>
  <c r="A20" i="77"/>
  <c r="T19" i="77"/>
  <c r="U19" i="77" s="1"/>
  <c r="V19" i="77" s="1"/>
  <c r="T18" i="77"/>
  <c r="U18" i="77" s="1"/>
  <c r="V18" i="77" s="1"/>
  <c r="T17" i="77"/>
  <c r="U17" i="77" s="1"/>
  <c r="V17" i="77" s="1"/>
  <c r="T16" i="77"/>
  <c r="U16" i="77" s="1"/>
  <c r="V16" i="77" s="1"/>
  <c r="T15" i="77"/>
  <c r="U15" i="77" s="1"/>
  <c r="V15" i="77" s="1"/>
  <c r="T14" i="77"/>
  <c r="U14" i="77" s="1"/>
  <c r="V14" i="77" s="1"/>
  <c r="A14" i="77"/>
  <c r="A15" i="77" s="1"/>
  <c r="A16" i="77" s="1"/>
  <c r="A17" i="77" s="1"/>
  <c r="A18" i="77" s="1"/>
  <c r="T13" i="77"/>
  <c r="U13" i="77" s="1"/>
  <c r="V13" i="77" s="1"/>
  <c r="U12" i="77"/>
  <c r="V12" i="77" s="1"/>
  <c r="T12" i="77"/>
  <c r="T11" i="77"/>
  <c r="U11" i="77" s="1"/>
  <c r="V11" i="77" s="1"/>
  <c r="T10" i="77"/>
  <c r="U10" i="77" s="1"/>
  <c r="V10" i="77" s="1"/>
  <c r="T9" i="77"/>
  <c r="U9" i="77" s="1"/>
  <c r="V9" i="77" s="1"/>
  <c r="T8" i="77"/>
  <c r="U8" i="77" s="1"/>
  <c r="V8" i="77" s="1"/>
  <c r="A8" i="77"/>
  <c r="A9" i="77" s="1"/>
  <c r="A10" i="77" s="1"/>
  <c r="A11" i="77" s="1"/>
  <c r="T7" i="77"/>
  <c r="T58" i="78" l="1"/>
  <c r="T58" i="77"/>
  <c r="U7" i="77"/>
  <c r="V7" i="77" s="1"/>
  <c r="V58" i="77" s="1"/>
  <c r="V7" i="80"/>
  <c r="V58" i="80" s="1"/>
  <c r="U58" i="80"/>
  <c r="U7" i="79"/>
  <c r="U7" i="78"/>
  <c r="C47" i="76"/>
  <c r="K43" i="76"/>
  <c r="J43" i="76"/>
  <c r="C43" i="76"/>
  <c r="C40" i="76"/>
  <c r="K37" i="76"/>
  <c r="C37" i="76"/>
  <c r="C34" i="76"/>
  <c r="C12" i="76"/>
  <c r="C10" i="76"/>
  <c r="C9" i="76"/>
  <c r="C8" i="76"/>
  <c r="U58" i="77" l="1"/>
  <c r="U58" i="79"/>
  <c r="V7" i="79"/>
  <c r="V58" i="79" s="1"/>
  <c r="U58" i="78"/>
  <c r="V7" i="78"/>
  <c r="V58" i="78" s="1"/>
  <c r="K37" i="73"/>
  <c r="C37" i="73"/>
  <c r="C47" i="73"/>
  <c r="K43" i="73"/>
  <c r="J43" i="73"/>
  <c r="C43" i="73"/>
  <c r="C40" i="73"/>
  <c r="C34" i="73"/>
  <c r="H24" i="73"/>
  <c r="H23" i="73"/>
  <c r="H21" i="73"/>
  <c r="H19" i="73"/>
  <c r="H17" i="73"/>
  <c r="C12" i="73"/>
  <c r="C10" i="73"/>
  <c r="C9" i="73"/>
  <c r="C8" i="73"/>
  <c r="C7" i="73"/>
  <c r="H21" i="72" l="1"/>
  <c r="C47" i="72"/>
  <c r="K43" i="72"/>
  <c r="J43" i="72"/>
  <c r="C43" i="72"/>
  <c r="C40" i="72"/>
  <c r="C37" i="72"/>
  <c r="K37" i="72"/>
  <c r="C34" i="72"/>
  <c r="H24" i="72"/>
  <c r="H23" i="72"/>
  <c r="H19" i="72"/>
  <c r="H17" i="72"/>
  <c r="C12" i="72"/>
  <c r="C10" i="72"/>
  <c r="C9" i="72"/>
  <c r="C8" i="72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T43" i="76"/>
  <c r="U43" i="76" s="1"/>
  <c r="V43" i="76" s="1"/>
  <c r="T41" i="76"/>
  <c r="U41" i="76" s="1"/>
  <c r="V41" i="76" s="1"/>
  <c r="T40" i="76"/>
  <c r="U40" i="76" s="1"/>
  <c r="V40" i="76" s="1"/>
  <c r="U39" i="76"/>
  <c r="V39" i="76" s="1"/>
  <c r="T39" i="76"/>
  <c r="T38" i="76"/>
  <c r="U38" i="76" s="1"/>
  <c r="V38" i="76" s="1"/>
  <c r="T37" i="76"/>
  <c r="U37" i="76" s="1"/>
  <c r="V37" i="76" s="1"/>
  <c r="T36" i="76"/>
  <c r="U36" i="76" s="1"/>
  <c r="V36" i="76" s="1"/>
  <c r="U35" i="76"/>
  <c r="V35" i="76" s="1"/>
  <c r="T35" i="76"/>
  <c r="T34" i="76"/>
  <c r="U34" i="76" s="1"/>
  <c r="V34" i="76" s="1"/>
  <c r="T33" i="76"/>
  <c r="U33" i="76" s="1"/>
  <c r="V33" i="76" s="1"/>
  <c r="T32" i="76"/>
  <c r="U32" i="76" s="1"/>
  <c r="V32" i="76" s="1"/>
  <c r="U31" i="76"/>
  <c r="V31" i="76" s="1"/>
  <c r="T31" i="76"/>
  <c r="T30" i="76"/>
  <c r="U30" i="76" s="1"/>
  <c r="V30" i="76" s="1"/>
  <c r="T29" i="76"/>
  <c r="U29" i="76" s="1"/>
  <c r="V29" i="76" s="1"/>
  <c r="T28" i="76"/>
  <c r="U28" i="76" s="1"/>
  <c r="V28" i="76" s="1"/>
  <c r="U27" i="76"/>
  <c r="V27" i="76" s="1"/>
  <c r="T27" i="76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1" i="76"/>
  <c r="U21" i="76" s="1"/>
  <c r="V21" i="76" s="1"/>
  <c r="T20" i="76"/>
  <c r="U20" i="76" s="1"/>
  <c r="V20" i="76" s="1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U15" i="76"/>
  <c r="V15" i="76" s="1"/>
  <c r="T15" i="76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T12" i="76"/>
  <c r="U12" i="76" s="1"/>
  <c r="V12" i="76" s="1"/>
  <c r="T11" i="76"/>
  <c r="U11" i="76" s="1"/>
  <c r="V11" i="76" s="1"/>
  <c r="T10" i="76"/>
  <c r="U10" i="76" s="1"/>
  <c r="V10" i="76" s="1"/>
  <c r="A10" i="76"/>
  <c r="A11" i="76" s="1"/>
  <c r="T9" i="76"/>
  <c r="U9" i="76" s="1"/>
  <c r="V9" i="76" s="1"/>
  <c r="A9" i="76"/>
  <c r="T8" i="76"/>
  <c r="U8" i="76" s="1"/>
  <c r="V8" i="76" s="1"/>
  <c r="A8" i="76"/>
  <c r="T7" i="76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T45" i="75"/>
  <c r="U45" i="75" s="1"/>
  <c r="V45" i="75" s="1"/>
  <c r="T43" i="75"/>
  <c r="U43" i="75" s="1"/>
  <c r="V43" i="75" s="1"/>
  <c r="T41" i="75"/>
  <c r="U41" i="75" s="1"/>
  <c r="V41" i="75" s="1"/>
  <c r="T40" i="75"/>
  <c r="U40" i="75" s="1"/>
  <c r="V40" i="75" s="1"/>
  <c r="U39" i="75"/>
  <c r="V39" i="75" s="1"/>
  <c r="T39" i="75"/>
  <c r="T38" i="75"/>
  <c r="U38" i="75" s="1"/>
  <c r="V38" i="75" s="1"/>
  <c r="T37" i="75"/>
  <c r="U37" i="75" s="1"/>
  <c r="V37" i="75" s="1"/>
  <c r="T36" i="75"/>
  <c r="U36" i="75" s="1"/>
  <c r="V36" i="75" s="1"/>
  <c r="U35" i="75"/>
  <c r="V35" i="75" s="1"/>
  <c r="T35" i="75"/>
  <c r="T34" i="75"/>
  <c r="U34" i="75" s="1"/>
  <c r="V34" i="75" s="1"/>
  <c r="U33" i="75"/>
  <c r="V33" i="75" s="1"/>
  <c r="T33" i="75"/>
  <c r="T32" i="75"/>
  <c r="U32" i="75" s="1"/>
  <c r="V32" i="75" s="1"/>
  <c r="U31" i="75"/>
  <c r="V31" i="75" s="1"/>
  <c r="T31" i="75"/>
  <c r="T30" i="75"/>
  <c r="U30" i="75" s="1"/>
  <c r="V30" i="75" s="1"/>
  <c r="T29" i="75"/>
  <c r="U29" i="75" s="1"/>
  <c r="V29" i="75" s="1"/>
  <c r="T28" i="75"/>
  <c r="U28" i="75" s="1"/>
  <c r="V28" i="75" s="1"/>
  <c r="U27" i="75"/>
  <c r="V27" i="75" s="1"/>
  <c r="T27" i="75"/>
  <c r="T26" i="75"/>
  <c r="U26" i="75" s="1"/>
  <c r="V26" i="75" s="1"/>
  <c r="AY25" i="75"/>
  <c r="T25" i="75"/>
  <c r="U25" i="75" s="1"/>
  <c r="V25" i="75" s="1"/>
  <c r="T24" i="75"/>
  <c r="U24" i="75" s="1"/>
  <c r="V24" i="75" s="1"/>
  <c r="T23" i="75"/>
  <c r="U23" i="75" s="1"/>
  <c r="V23" i="75" s="1"/>
  <c r="T22" i="75"/>
  <c r="U22" i="75" s="1"/>
  <c r="V22" i="75" s="1"/>
  <c r="T21" i="75"/>
  <c r="U21" i="75" s="1"/>
  <c r="V21" i="75" s="1"/>
  <c r="A21" i="75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U20" i="75"/>
  <c r="V20" i="75" s="1"/>
  <c r="T20" i="75"/>
  <c r="A20" i="75"/>
  <c r="T19" i="75"/>
  <c r="U19" i="75" s="1"/>
  <c r="V19" i="75" s="1"/>
  <c r="T18" i="75"/>
  <c r="U18" i="75" s="1"/>
  <c r="V18" i="75" s="1"/>
  <c r="T17" i="75"/>
  <c r="U17" i="75" s="1"/>
  <c r="V17" i="75" s="1"/>
  <c r="T16" i="75"/>
  <c r="U16" i="75" s="1"/>
  <c r="V16" i="75" s="1"/>
  <c r="U15" i="75"/>
  <c r="V15" i="75" s="1"/>
  <c r="T15" i="75"/>
  <c r="A15" i="75"/>
  <c r="A16" i="75" s="1"/>
  <c r="A17" i="75" s="1"/>
  <c r="A18" i="75" s="1"/>
  <c r="T14" i="75"/>
  <c r="U14" i="75" s="1"/>
  <c r="V14" i="75" s="1"/>
  <c r="A14" i="75"/>
  <c r="T13" i="75"/>
  <c r="U13" i="75" s="1"/>
  <c r="V13" i="75" s="1"/>
  <c r="T12" i="75"/>
  <c r="U12" i="75" s="1"/>
  <c r="V12" i="75" s="1"/>
  <c r="T11" i="75"/>
  <c r="U11" i="75" s="1"/>
  <c r="V11" i="75" s="1"/>
  <c r="T10" i="75"/>
  <c r="U10" i="75" s="1"/>
  <c r="V10" i="75" s="1"/>
  <c r="T9" i="75"/>
  <c r="U9" i="75" s="1"/>
  <c r="V9" i="75" s="1"/>
  <c r="A9" i="75"/>
  <c r="A10" i="75" s="1"/>
  <c r="A11" i="75" s="1"/>
  <c r="T8" i="75"/>
  <c r="A8" i="75"/>
  <c r="T7" i="75"/>
  <c r="U7" i="75" s="1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U47" i="74" s="1"/>
  <c r="V47" i="74" s="1"/>
  <c r="T46" i="74"/>
  <c r="U46" i="74" s="1"/>
  <c r="V46" i="74" s="1"/>
  <c r="T45" i="74"/>
  <c r="U45" i="74" s="1"/>
  <c r="V45" i="74" s="1"/>
  <c r="T43" i="74"/>
  <c r="U43" i="74" s="1"/>
  <c r="V43" i="74" s="1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T36" i="74"/>
  <c r="U36" i="74" s="1"/>
  <c r="V36" i="74" s="1"/>
  <c r="T35" i="74"/>
  <c r="U35" i="74" s="1"/>
  <c r="V35" i="74" s="1"/>
  <c r="T34" i="74"/>
  <c r="U34" i="74" s="1"/>
  <c r="V34" i="74" s="1"/>
  <c r="T33" i="74"/>
  <c r="U33" i="74" s="1"/>
  <c r="V33" i="74" s="1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U28" i="74" s="1"/>
  <c r="V28" i="74" s="1"/>
  <c r="T27" i="74"/>
  <c r="U27" i="74" s="1"/>
  <c r="V27" i="74" s="1"/>
  <c r="T26" i="74"/>
  <c r="U26" i="74" s="1"/>
  <c r="V26" i="74" s="1"/>
  <c r="AY25" i="74"/>
  <c r="T25" i="74"/>
  <c r="U25" i="74" s="1"/>
  <c r="V25" i="74" s="1"/>
  <c r="T24" i="74"/>
  <c r="U24" i="74" s="1"/>
  <c r="V24" i="74" s="1"/>
  <c r="T23" i="74"/>
  <c r="U23" i="74" s="1"/>
  <c r="V23" i="74" s="1"/>
  <c r="T22" i="74"/>
  <c r="U22" i="74" s="1"/>
  <c r="V22" i="74" s="1"/>
  <c r="T21" i="74"/>
  <c r="U21" i="74" s="1"/>
  <c r="V21" i="74" s="1"/>
  <c r="U20" i="74"/>
  <c r="V20" i="74" s="1"/>
  <c r="T20" i="74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U19" i="74"/>
  <c r="V19" i="74" s="1"/>
  <c r="T19" i="74"/>
  <c r="T18" i="74"/>
  <c r="U18" i="74" s="1"/>
  <c r="V18" i="74" s="1"/>
  <c r="T17" i="74"/>
  <c r="U17" i="74" s="1"/>
  <c r="V17" i="74" s="1"/>
  <c r="T16" i="74"/>
  <c r="U16" i="74" s="1"/>
  <c r="V16" i="74" s="1"/>
  <c r="T15" i="74"/>
  <c r="U15" i="74" s="1"/>
  <c r="V15" i="74" s="1"/>
  <c r="A15" i="74"/>
  <c r="A16" i="74" s="1"/>
  <c r="A17" i="74" s="1"/>
  <c r="A18" i="74" s="1"/>
  <c r="T14" i="74"/>
  <c r="U14" i="74" s="1"/>
  <c r="V14" i="74" s="1"/>
  <c r="A14" i="74"/>
  <c r="T13" i="74"/>
  <c r="U13" i="74" s="1"/>
  <c r="V13" i="74" s="1"/>
  <c r="T12" i="74"/>
  <c r="U12" i="74" s="1"/>
  <c r="V12" i="74" s="1"/>
  <c r="T11" i="74"/>
  <c r="U11" i="74" s="1"/>
  <c r="V11" i="74" s="1"/>
  <c r="T10" i="74"/>
  <c r="T9" i="74"/>
  <c r="U9" i="74" s="1"/>
  <c r="V9" i="74" s="1"/>
  <c r="A9" i="74"/>
  <c r="A10" i="74" s="1"/>
  <c r="A11" i="74" s="1"/>
  <c r="T8" i="74"/>
  <c r="U8" i="74" s="1"/>
  <c r="V8" i="74" s="1"/>
  <c r="A8" i="74"/>
  <c r="T7" i="74"/>
  <c r="U7" i="74" s="1"/>
  <c r="R58" i="73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U52" i="73"/>
  <c r="V52" i="73" s="1"/>
  <c r="T52" i="73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T12" i="73"/>
  <c r="U12" i="73" s="1"/>
  <c r="V12" i="73" s="1"/>
  <c r="T11" i="73"/>
  <c r="U11" i="73" s="1"/>
  <c r="V11" i="73" s="1"/>
  <c r="U10" i="73"/>
  <c r="V10" i="73" s="1"/>
  <c r="T10" i="73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C47" i="71"/>
  <c r="C43" i="71"/>
  <c r="K43" i="71"/>
  <c r="J43" i="71"/>
  <c r="C40" i="71"/>
  <c r="K37" i="71"/>
  <c r="C37" i="71"/>
  <c r="C34" i="71"/>
  <c r="H24" i="71"/>
  <c r="H23" i="71"/>
  <c r="C22" i="71"/>
  <c r="H21" i="71"/>
  <c r="H19" i="71"/>
  <c r="H17" i="71"/>
  <c r="C12" i="71"/>
  <c r="C11" i="71"/>
  <c r="C10" i="71"/>
  <c r="C9" i="71"/>
  <c r="C8" i="71"/>
  <c r="T58" i="75" l="1"/>
  <c r="T58" i="74"/>
  <c r="T58" i="76"/>
  <c r="T58" i="73"/>
  <c r="U7" i="76"/>
  <c r="V7" i="75"/>
  <c r="U8" i="75"/>
  <c r="V8" i="75" s="1"/>
  <c r="V7" i="74"/>
  <c r="U10" i="74"/>
  <c r="V10" i="74" s="1"/>
  <c r="U7" i="73"/>
  <c r="C47" i="70"/>
  <c r="K43" i="70"/>
  <c r="J43" i="70"/>
  <c r="T43" i="70" s="1"/>
  <c r="C43" i="70"/>
  <c r="C40" i="70"/>
  <c r="C37" i="70"/>
  <c r="K37" i="70"/>
  <c r="T37" i="70" s="1"/>
  <c r="U37" i="70" s="1"/>
  <c r="V37" i="70" s="1"/>
  <c r="C34" i="70"/>
  <c r="H24" i="70"/>
  <c r="T24" i="70" s="1"/>
  <c r="U24" i="70" s="1"/>
  <c r="V24" i="70" s="1"/>
  <c r="H23" i="70"/>
  <c r="H21" i="70"/>
  <c r="H19" i="70"/>
  <c r="T19" i="70" s="1"/>
  <c r="U19" i="70" s="1"/>
  <c r="V19" i="70" s="1"/>
  <c r="H17" i="70"/>
  <c r="C12" i="70"/>
  <c r="C10" i="70"/>
  <c r="C9" i="70"/>
  <c r="C8" i="70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U54" i="72"/>
  <c r="V54" i="72" s="1"/>
  <c r="T54" i="72"/>
  <c r="U53" i="72"/>
  <c r="V53" i="72" s="1"/>
  <c r="T53" i="72"/>
  <c r="U52" i="72"/>
  <c r="V52" i="72" s="1"/>
  <c r="T52" i="72"/>
  <c r="T51" i="72"/>
  <c r="U51" i="72" s="1"/>
  <c r="V51" i="72" s="1"/>
  <c r="U50" i="72"/>
  <c r="V50" i="72" s="1"/>
  <c r="T50" i="72"/>
  <c r="V49" i="72"/>
  <c r="U49" i="72"/>
  <c r="T49" i="72"/>
  <c r="T48" i="72"/>
  <c r="U48" i="72" s="1"/>
  <c r="V48" i="72" s="1"/>
  <c r="T47" i="72"/>
  <c r="U47" i="72" s="1"/>
  <c r="V47" i="72" s="1"/>
  <c r="U46" i="72"/>
  <c r="V46" i="72" s="1"/>
  <c r="T46" i="72"/>
  <c r="V45" i="72"/>
  <c r="U45" i="72"/>
  <c r="T45" i="72"/>
  <c r="T43" i="72"/>
  <c r="U43" i="72" s="1"/>
  <c r="V43" i="72" s="1"/>
  <c r="T41" i="72"/>
  <c r="U41" i="72" s="1"/>
  <c r="V41" i="72" s="1"/>
  <c r="T40" i="72"/>
  <c r="U40" i="72" s="1"/>
  <c r="V40" i="72" s="1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4" i="72"/>
  <c r="U24" i="72" s="1"/>
  <c r="V24" i="72" s="1"/>
  <c r="T23" i="72"/>
  <c r="U23" i="72" s="1"/>
  <c r="V23" i="72" s="1"/>
  <c r="T22" i="72"/>
  <c r="U22" i="72" s="1"/>
  <c r="V22" i="72" s="1"/>
  <c r="T21" i="72"/>
  <c r="U21" i="72" s="1"/>
  <c r="V21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A15" i="72"/>
  <c r="A16" i="72" s="1"/>
  <c r="A17" i="72" s="1"/>
  <c r="A18" i="72" s="1"/>
  <c r="T14" i="72"/>
  <c r="U14" i="72" s="1"/>
  <c r="V14" i="72" s="1"/>
  <c r="A14" i="72"/>
  <c r="T13" i="72"/>
  <c r="U13" i="72" s="1"/>
  <c r="V13" i="72" s="1"/>
  <c r="T12" i="72"/>
  <c r="U12" i="72" s="1"/>
  <c r="V12" i="72" s="1"/>
  <c r="U11" i="72"/>
  <c r="V11" i="72" s="1"/>
  <c r="T11" i="72"/>
  <c r="U10" i="72"/>
  <c r="V10" i="72" s="1"/>
  <c r="T10" i="72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4" i="69"/>
  <c r="C47" i="69"/>
  <c r="C43" i="69"/>
  <c r="C41" i="69"/>
  <c r="I43" i="69"/>
  <c r="J43" i="69"/>
  <c r="K43" i="69"/>
  <c r="C40" i="69"/>
  <c r="K37" i="69"/>
  <c r="C37" i="69"/>
  <c r="C34" i="69"/>
  <c r="H23" i="69"/>
  <c r="H21" i="69"/>
  <c r="H19" i="69"/>
  <c r="H17" i="69"/>
  <c r="C12" i="69"/>
  <c r="C10" i="69"/>
  <c r="C9" i="69"/>
  <c r="C8" i="69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U52" i="71"/>
  <c r="V52" i="71" s="1"/>
  <c r="T52" i="7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T40" i="71"/>
  <c r="U40" i="71" s="1"/>
  <c r="V40" i="71" s="1"/>
  <c r="T39" i="71"/>
  <c r="U39" i="71" s="1"/>
  <c r="V39" i="71" s="1"/>
  <c r="T38" i="71"/>
  <c r="U38" i="71" s="1"/>
  <c r="V38" i="71" s="1"/>
  <c r="T37" i="71"/>
  <c r="U37" i="71" s="1"/>
  <c r="V37" i="71" s="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T30" i="71"/>
  <c r="U30" i="71" s="1"/>
  <c r="V30" i="71" s="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A21" i="7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20" i="71"/>
  <c r="V20" i="71" s="1"/>
  <c r="T20" i="71"/>
  <c r="A20" i="71"/>
  <c r="T19" i="71"/>
  <c r="U19" i="71" s="1"/>
  <c r="V19" i="71" s="1"/>
  <c r="T18" i="71"/>
  <c r="U18" i="71" s="1"/>
  <c r="V18" i="71" s="1"/>
  <c r="T17" i="71"/>
  <c r="U17" i="71" s="1"/>
  <c r="V17" i="71" s="1"/>
  <c r="T16" i="71"/>
  <c r="U16" i="71" s="1"/>
  <c r="V16" i="71" s="1"/>
  <c r="T15" i="71"/>
  <c r="U15" i="71" s="1"/>
  <c r="V15" i="71" s="1"/>
  <c r="A15" i="71"/>
  <c r="A16" i="71" s="1"/>
  <c r="A17" i="71" s="1"/>
  <c r="A18" i="71" s="1"/>
  <c r="T14" i="71"/>
  <c r="U14" i="71" s="1"/>
  <c r="V14" i="71" s="1"/>
  <c r="A14" i="71"/>
  <c r="T13" i="71"/>
  <c r="U13" i="71" s="1"/>
  <c r="V13" i="71" s="1"/>
  <c r="T12" i="71"/>
  <c r="U12" i="71" s="1"/>
  <c r="V12" i="71" s="1"/>
  <c r="T11" i="71"/>
  <c r="U11" i="71" s="1"/>
  <c r="V11" i="71" s="1"/>
  <c r="U10" i="71"/>
  <c r="V10" i="71" s="1"/>
  <c r="T10" i="71"/>
  <c r="T9" i="71"/>
  <c r="U9" i="71" s="1"/>
  <c r="V9" i="71" s="1"/>
  <c r="T8" i="71"/>
  <c r="U8" i="71" s="1"/>
  <c r="V8" i="71" s="1"/>
  <c r="A8" i="71"/>
  <c r="A9" i="71" s="1"/>
  <c r="A10" i="71" s="1"/>
  <c r="A11" i="71" s="1"/>
  <c r="T7" i="71"/>
  <c r="R58" i="70"/>
  <c r="Q58" i="70"/>
  <c r="P58" i="70"/>
  <c r="O58" i="70"/>
  <c r="N58" i="70"/>
  <c r="M58" i="70"/>
  <c r="J58" i="70"/>
  <c r="I58" i="70"/>
  <c r="G58" i="70"/>
  <c r="F58" i="70"/>
  <c r="U54" i="70"/>
  <c r="V54" i="70" s="1"/>
  <c r="T54" i="70"/>
  <c r="T53" i="70"/>
  <c r="U53" i="70" s="1"/>
  <c r="V53" i="70" s="1"/>
  <c r="U52" i="70"/>
  <c r="V52" i="70" s="1"/>
  <c r="T52" i="70"/>
  <c r="U51" i="70"/>
  <c r="V51" i="70" s="1"/>
  <c r="T51" i="70"/>
  <c r="U50" i="70"/>
  <c r="V50" i="70" s="1"/>
  <c r="T50" i="70"/>
  <c r="T49" i="70"/>
  <c r="U49" i="70" s="1"/>
  <c r="V49" i="70" s="1"/>
  <c r="T48" i="70"/>
  <c r="U48" i="70" s="1"/>
  <c r="V48" i="70" s="1"/>
  <c r="T47" i="70"/>
  <c r="U47" i="70" s="1"/>
  <c r="V47" i="70" s="1"/>
  <c r="U46" i="70"/>
  <c r="V46" i="70" s="1"/>
  <c r="T46" i="70"/>
  <c r="T45" i="70"/>
  <c r="U45" i="70" s="1"/>
  <c r="V45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6" i="70"/>
  <c r="U36" i="70" s="1"/>
  <c r="V36" i="70" s="1"/>
  <c r="T35" i="70"/>
  <c r="U35" i="70" s="1"/>
  <c r="V35" i="70" s="1"/>
  <c r="T34" i="70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9" i="70"/>
  <c r="V9" i="70" s="1"/>
  <c r="T9" i="70"/>
  <c r="T8" i="70"/>
  <c r="U8" i="70" s="1"/>
  <c r="V8" i="70" s="1"/>
  <c r="A8" i="70"/>
  <c r="A9" i="70" s="1"/>
  <c r="A10" i="70" s="1"/>
  <c r="A11" i="70" s="1"/>
  <c r="T7" i="70"/>
  <c r="U58" i="75" l="1"/>
  <c r="T58" i="72"/>
  <c r="U7" i="72"/>
  <c r="U58" i="72" s="1"/>
  <c r="U58" i="76"/>
  <c r="V7" i="76"/>
  <c r="V58" i="76" s="1"/>
  <c r="V58" i="75"/>
  <c r="V58" i="74"/>
  <c r="U58" i="74"/>
  <c r="U58" i="73"/>
  <c r="V7" i="73"/>
  <c r="V58" i="73" s="1"/>
  <c r="T58" i="71"/>
  <c r="U43" i="70"/>
  <c r="V43" i="70" s="1"/>
  <c r="K58" i="70"/>
  <c r="U34" i="70"/>
  <c r="V34" i="70" s="1"/>
  <c r="H58" i="70"/>
  <c r="T58" i="70"/>
  <c r="C58" i="70"/>
  <c r="U10" i="70"/>
  <c r="V10" i="70" s="1"/>
  <c r="U7" i="71"/>
  <c r="U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U40" i="69"/>
  <c r="V40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T25" i="69"/>
  <c r="U25" i="69" s="1"/>
  <c r="V25" i="69" s="1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9" i="69"/>
  <c r="U19" i="69" s="1"/>
  <c r="V19" i="69" s="1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V7" i="72" l="1"/>
  <c r="V58" i="72" s="1"/>
  <c r="U58" i="71"/>
  <c r="V7" i="71"/>
  <c r="V58" i="71" s="1"/>
  <c r="U58" i="70"/>
  <c r="V7" i="70"/>
  <c r="V58" i="70" s="1"/>
  <c r="T58" i="69"/>
  <c r="V7" i="69"/>
  <c r="U9" i="69"/>
  <c r="V9" i="69" s="1"/>
  <c r="U58" i="69" l="1"/>
  <c r="V58" i="69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<sst xmlns="http://schemas.openxmlformats.org/spreadsheetml/2006/main" count="1092" uniqueCount="83">
  <si>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</si>
  <si>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</si>
  <si>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</si>
  <si>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</si>
  <si>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</si>
  <si>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</si>
  <si>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</si>
  <si>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</si>
  <si>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</si>
  <si>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</si>
  <si>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</si>
  <si>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</si>
  <si>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</si>
  <si>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</si>
  <si>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</si>
  <si>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</si>
  <si>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</si>
  <si>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</si>
  <si>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</si>
  <si>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</si>
  <si>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</si>
  <si>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</si>
  <si>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</si>
  <si>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</si>
  <si>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</si>
  <si>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</si>
  <si>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</si>
  <si>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</si>
  <si>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</si>
  <si>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</si>
  <si>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</si>
  <si>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</si>
  <si>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</si>
  <si>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</si>
  <si>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</si>
  <si>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</si>
  <si>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</si>
  <si>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</si>
  <si>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</si>
  <si>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</si>
  <si>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</si>
  <si>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</si>
  <si>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</si>
  <si>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</si>
  <si>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</si>
  <si>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</si>
  <si>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</si>
  <si>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</si>
  <si>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</si>
  <si>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</si>
  <si>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</si>
  <si>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</si>
  <si>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</si>
  <si>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</si>
  <si>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</si>
  <si>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</si>
  <si>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</si>
  <si>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</si>
  <si>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</si>
  <si>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</si>
  <si>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</si>
  <si>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</si>
  <si>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</si>
  <si>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</si>
  <si>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</si>
  <si>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</si>
  <si>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</si>
  <si>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</si>
  <si>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</si>
  <si>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</si>
  <si>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</si>
  <si>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08/03/2026</t>
  </si>
  <si>
    <t>DATE: 08/04/2026</t>
  </si>
  <si>
    <t>DATE: 08/05/2026</t>
  </si>
  <si>
    <t>DATE: 08/06/2026</t>
  </si>
  <si>
    <t>DATE: 08/07/2026</t>
  </si>
  <si>
    <t>DATE: 08/10/2026</t>
  </si>
  <si>
    <t>DATE: 08/11/2026</t>
  </si>
  <si>
    <t>DATE: 08/12/2026</t>
  </si>
  <si>
    <t>DATE: 08/13/2026</t>
  </si>
  <si>
    <t>DATE: 08/14/2026</t>
  </si>
  <si>
    <t>DATE: 08/15/2026</t>
  </si>
  <si>
    <t>DATE: 08/17/2026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</si>
</sst>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9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1" t="s">
        <v>68</v>
      </c>
      <c r="U4" s="113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2" t="s">
        <v>65</v>
      </c>
      <c r="K5" s="103"/>
      <c r="M5" s="37"/>
      <c r="N5" s="49"/>
      <c r="O5" s="40"/>
      <c r="P5" s="89"/>
      <c r="Q5" s="89"/>
      <c r="R5" s="38"/>
      <c r="S5" s="9"/>
      <c r="T5" s="112"/>
      <c r="U5" s="114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4" t="s">
        <v>41</v>
      </c>
      <c r="D62" s="105"/>
      <c r="E62" s="105"/>
      <c r="F62" s="105"/>
      <c r="G62" s="105"/>
      <c r="H62" s="105"/>
      <c r="I62" s="105"/>
      <c r="J62" s="105"/>
      <c r="K62" s="106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opLeftCell="A39" zoomScale="115" zoomScaleNormal="115" zoomScaleSheetLayoutView="115" workbookViewId="0">
      <selection activeCell="J5" sqref="J5:K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6"/>
      <c r="Q5" s="96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2256</v>
      </c>
      <c r="V9" s="76">
        <f t="shared" ref="V9:V11" si="3">U9/24</f>
        <v>94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1200</v>
      </c>
      <c r="V10" s="58">
        <f t="shared" si="3"/>
        <v>50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1224+53+1080+29+1152+36</f>
        <v>3574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8</v>
      </c>
      <c r="O12" s="65">
        <v>16</v>
      </c>
      <c r="P12" s="66">
        <v>8</v>
      </c>
      <c r="Q12" s="66">
        <v>22</v>
      </c>
      <c r="R12" s="67">
        <v>8</v>
      </c>
      <c r="S12" s="62"/>
      <c r="T12" s="69">
        <f t="shared" si="0"/>
        <v>24</v>
      </c>
      <c r="U12" s="69">
        <f>C12*24+M12*24+O12*24+Q12*24+T12</f>
        <v>86952</v>
      </c>
      <c r="V12" s="69">
        <f>U12/24</f>
        <v>3623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552</v>
      </c>
      <c r="V28" s="75">
        <f t="shared" si="5"/>
        <v>23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725</v>
      </c>
      <c r="V29" s="75">
        <f t="shared" si="5"/>
        <v>30.208333333333332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144+65</f>
        <v>209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5066</v>
      </c>
      <c r="V34" s="75">
        <f t="shared" si="5"/>
        <v>211.08333333333334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1080+82+3132+94</f>
        <v>4388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32</v>
      </c>
      <c r="N37" s="64"/>
      <c r="O37" s="65">
        <v>60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27433</v>
      </c>
      <c r="V37" s="77">
        <f>U37/6</f>
        <v>4572.166666666667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58+126+22</f>
        <v>206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21+96</f>
        <v>117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9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1872</v>
      </c>
      <c r="V41" s="88">
        <f>U41/12</f>
        <v>156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15012+19764+10260</f>
        <v>45036</v>
      </c>
      <c r="D43" s="65"/>
      <c r="E43" s="65"/>
      <c r="F43" s="65"/>
      <c r="G43" s="65"/>
      <c r="H43" s="65"/>
      <c r="I43" s="65">
        <f>12</f>
        <v>12</v>
      </c>
      <c r="J43" s="66">
        <f>6*6+5</f>
        <v>41</v>
      </c>
      <c r="K43" s="67">
        <f>71*6+2</f>
        <v>428</v>
      </c>
      <c r="L43" s="62"/>
      <c r="M43" s="63">
        <v>369</v>
      </c>
      <c r="N43" s="64"/>
      <c r="O43" s="65">
        <v>401</v>
      </c>
      <c r="P43" s="66"/>
      <c r="Q43" s="66">
        <v>540</v>
      </c>
      <c r="R43" s="67"/>
      <c r="S43" s="62"/>
      <c r="T43" s="77">
        <f t="shared" ref="T43" si="6">H43+I43+J43+K43+N43+P43+R43</f>
        <v>481</v>
      </c>
      <c r="U43" s="77">
        <f>C43*6+M43*6+O43*6+Q43*6+T43</f>
        <v>278557</v>
      </c>
      <c r="V43" s="77">
        <f>U43/6</f>
        <v>46426.166666666664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48</v>
      </c>
      <c r="V45" s="75">
        <f>U45/24</f>
        <v>2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48</v>
      </c>
      <c r="V46" s="75">
        <f t="shared" ref="V46:V54" si="9">U46/24</f>
        <v>2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38</v>
      </c>
      <c r="J58" s="6">
        <f t="shared" si="11"/>
        <v>48</v>
      </c>
      <c r="K58" s="6">
        <f t="shared" si="11"/>
        <v>470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511</v>
      </c>
      <c r="P58" s="5">
        <f t="shared" si="12"/>
        <v>20</v>
      </c>
      <c r="Q58" s="5">
        <f t="shared" si="12"/>
        <v>692</v>
      </c>
      <c r="R58" s="5">
        <f t="shared" si="12"/>
        <v>11</v>
      </c>
      <c r="S58" s="55"/>
      <c r="T58" s="4">
        <f>SUM(T7:T57)</f>
        <v>1781</v>
      </c>
      <c r="U58" s="90">
        <f>SUM(U7:U57)</f>
        <v>433391</v>
      </c>
      <c r="V58" s="4">
        <f>SUM(V7:V57)</f>
        <v>58437.083333333328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C493E-115E-4785-93A0-A3E4CC4BAE36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1224+53+1080+71+1080+29</f>
        <v>3537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13</v>
      </c>
      <c r="P12" s="66"/>
      <c r="Q12" s="66">
        <v>20</v>
      </c>
      <c r="R12" s="67">
        <v>5</v>
      </c>
      <c r="S12" s="62"/>
      <c r="T12" s="69">
        <f t="shared" si="0"/>
        <v>5</v>
      </c>
      <c r="U12" s="69">
        <f>C12*24+M12*24+O12*24+Q12*24+T12</f>
        <v>85877</v>
      </c>
      <c r="V12" s="69">
        <f>U12/24</f>
        <v>3578.2083333333335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15+972+3132+94</f>
        <v>4213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/>
      <c r="N37" s="64"/>
      <c r="O37" s="65">
        <v>20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25747</v>
      </c>
      <c r="V37" s="77">
        <f>U37/6</f>
        <v>4291.166666666667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1524</v>
      </c>
      <c r="V41" s="88">
        <f>U41/12</f>
        <v>127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94+19764+10260+13824</f>
        <v>43942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86</v>
      </c>
      <c r="N43" s="64"/>
      <c r="O43" s="65">
        <v>467</v>
      </c>
      <c r="P43" s="66"/>
      <c r="Q43" s="66">
        <v>652</v>
      </c>
      <c r="R43" s="67"/>
      <c r="S43" s="62"/>
      <c r="T43" s="77">
        <f t="shared" ref="T43" si="6">H43+I43+J43+K43+N43+P43+R43</f>
        <v>487</v>
      </c>
      <c r="U43" s="77">
        <f>C43*6+M43*6+O43*6+Q43*6+T43</f>
        <v>271369</v>
      </c>
      <c r="V43" s="77">
        <f>U43/6</f>
        <v>45228.166666666664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38</v>
      </c>
      <c r="J58" s="6">
        <f t="shared" si="11"/>
        <v>45</v>
      </c>
      <c r="K58" s="6">
        <f t="shared" si="11"/>
        <v>470</v>
      </c>
      <c r="M58" s="5">
        <f t="shared" ref="M58:R58" si="12">SUM(M7:M57)</f>
        <v>110</v>
      </c>
      <c r="N58" s="5">
        <f t="shared" si="12"/>
        <v>0</v>
      </c>
      <c r="O58" s="5">
        <f t="shared" si="12"/>
        <v>538</v>
      </c>
      <c r="P58" s="5">
        <f t="shared" si="12"/>
        <v>12</v>
      </c>
      <c r="Q58" s="5">
        <f t="shared" si="12"/>
        <v>776</v>
      </c>
      <c r="R58" s="5">
        <f t="shared" si="12"/>
        <v>8</v>
      </c>
      <c r="S58" s="55"/>
      <c r="T58" s="4">
        <f>SUM(T7:T57)</f>
        <v>1768</v>
      </c>
      <c r="U58" s="90">
        <f>SUM(U7:U57)</f>
        <v>422710</v>
      </c>
      <c r="V58" s="4">
        <f>SUM(V7:V57)</f>
        <v>56868.291666666664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D9E2-DA28-415F-A8A3-160088EA95B5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9</f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1224+53+1080+61+1080+29</f>
        <v>3527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11</v>
      </c>
      <c r="P12" s="66">
        <v>20</v>
      </c>
      <c r="Q12" s="66">
        <v>3</v>
      </c>
      <c r="R12" s="67"/>
      <c r="S12" s="62"/>
      <c r="T12" s="69">
        <f t="shared" si="0"/>
        <v>20</v>
      </c>
      <c r="U12" s="69">
        <f>C12*24+M12*24+O12*24+Q12*24+T12</f>
        <v>85196</v>
      </c>
      <c r="V12" s="69">
        <f>U12/24</f>
        <v>3549.8333333333335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f>2</f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384</v>
      </c>
      <c r="V28" s="75">
        <f t="shared" si="5"/>
        <v>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756+3132+89+94</f>
        <v>4071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118</v>
      </c>
      <c r="N37" s="64"/>
      <c r="O37" s="65">
        <v>24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25297</v>
      </c>
      <c r="V37" s="77">
        <f>U37/6</f>
        <v>4216.166666666667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17</v>
      </c>
      <c r="N41" s="87"/>
      <c r="O41" s="82">
        <v>12</v>
      </c>
      <c r="P41" s="83"/>
      <c r="Q41" s="83">
        <v>23</v>
      </c>
      <c r="R41" s="84"/>
      <c r="S41" s="85"/>
      <c r="T41" s="88">
        <f t="shared" si="0"/>
        <v>0</v>
      </c>
      <c r="U41" s="88">
        <f>C41*12+M41*12+O41*12+Q41*12+T41</f>
        <v>1452</v>
      </c>
      <c r="V41" s="88">
        <f>U41/12</f>
        <v>121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13284+19764+10260</f>
        <v>43308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302</v>
      </c>
      <c r="N43" s="64"/>
      <c r="O43" s="65">
        <v>454</v>
      </c>
      <c r="P43" s="66"/>
      <c r="Q43" s="66">
        <v>104</v>
      </c>
      <c r="R43" s="67"/>
      <c r="S43" s="62"/>
      <c r="T43" s="77">
        <f t="shared" ref="T43" si="6">H43+I43+J43+K43+N43+P43+R43</f>
        <v>487</v>
      </c>
      <c r="U43" s="77">
        <f>C43*6+M43*6+O43*6+Q43*6+T43</f>
        <v>265495</v>
      </c>
      <c r="V43" s="77">
        <f>U43/6</f>
        <v>44249.166666666664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54503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460</v>
      </c>
      <c r="N58" s="5">
        <f t="shared" si="12"/>
        <v>0</v>
      </c>
      <c r="O58" s="5">
        <f t="shared" si="12"/>
        <v>527</v>
      </c>
      <c r="P58" s="5">
        <f t="shared" si="12"/>
        <v>32</v>
      </c>
      <c r="Q58" s="5">
        <f t="shared" si="12"/>
        <v>146</v>
      </c>
      <c r="R58" s="5">
        <f t="shared" si="12"/>
        <v>3</v>
      </c>
      <c r="S58" s="55"/>
      <c r="T58" s="4">
        <f>SUM(T7:T57)</f>
        <v>1783</v>
      </c>
      <c r="U58" s="90">
        <f>SUM(U7:U57)</f>
        <v>415489</v>
      </c>
      <c r="V58" s="4">
        <f>SUM(V7:V57)</f>
        <v>55773.916666666664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80862-C168-499B-9B04-10F231C2E69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42+43</f>
        <v>85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37+10</f>
        <v>47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1224+53+1080+41+1080+29</f>
        <v>3507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11</v>
      </c>
      <c r="P12" s="66">
        <v>10</v>
      </c>
      <c r="Q12" s="66">
        <v>13</v>
      </c>
      <c r="R12" s="67"/>
      <c r="S12" s="62"/>
      <c r="T12" s="69">
        <f t="shared" si="0"/>
        <v>10</v>
      </c>
      <c r="U12" s="69">
        <f>C12*24+M12*24+O12*24+Q12*24+T12</f>
        <v>84754</v>
      </c>
      <c r="V12" s="69">
        <f>U12/24</f>
        <v>3531.4166666666665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360</v>
      </c>
      <c r="V28" s="75">
        <f t="shared" si="5"/>
        <v>15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61+756+3132+94</f>
        <v>4043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1*6+2</f>
        <v>8</v>
      </c>
      <c r="L37" s="62"/>
      <c r="M37" s="63">
        <v>5</v>
      </c>
      <c r="N37" s="64"/>
      <c r="O37" s="65">
        <v>3</v>
      </c>
      <c r="P37" s="66"/>
      <c r="Q37" s="66">
        <v>29</v>
      </c>
      <c r="R37" s="67"/>
      <c r="S37" s="62"/>
      <c r="T37" s="77">
        <f t="shared" si="0"/>
        <v>13</v>
      </c>
      <c r="U37" s="77">
        <f>C37*6+M37*6+O37*6+Q37*6+T37</f>
        <v>24493</v>
      </c>
      <c r="V37" s="77">
        <f>U37/6</f>
        <v>4082.1666666666665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126+58</f>
        <v>184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20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12</v>
      </c>
      <c r="P41" s="83"/>
      <c r="Q41" s="83">
        <v>12</v>
      </c>
      <c r="R41" s="84"/>
      <c r="S41" s="85"/>
      <c r="T41" s="88">
        <f t="shared" si="0"/>
        <v>0</v>
      </c>
      <c r="U41" s="88">
        <f>C41*12+M41*12+O41*12+Q41*12+T41</f>
        <v>1272</v>
      </c>
      <c r="V41" s="88">
        <f>U41/12</f>
        <v>106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12636+19764+10260</f>
        <v>42660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66</v>
      </c>
      <c r="N43" s="64"/>
      <c r="O43" s="65">
        <v>456</v>
      </c>
      <c r="P43" s="66"/>
      <c r="Q43" s="66">
        <v>428</v>
      </c>
      <c r="R43" s="67"/>
      <c r="S43" s="62"/>
      <c r="T43" s="77">
        <f t="shared" ref="T43" si="6">H43+I43+J43+K43+N43+P43+R43</f>
        <v>487</v>
      </c>
      <c r="U43" s="77">
        <f>C43*6+M43*6+O43*6+Q43*6+T43</f>
        <v>262147</v>
      </c>
      <c r="V43" s="77">
        <f>U43/6</f>
        <v>43691.166666666664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53798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88</v>
      </c>
      <c r="N58" s="5">
        <f t="shared" si="12"/>
        <v>0</v>
      </c>
      <c r="O58" s="5">
        <f t="shared" si="12"/>
        <v>524</v>
      </c>
      <c r="P58" s="5">
        <f t="shared" si="12"/>
        <v>22</v>
      </c>
      <c r="Q58" s="5">
        <f t="shared" si="12"/>
        <v>494</v>
      </c>
      <c r="R58" s="5">
        <f t="shared" si="12"/>
        <v>3</v>
      </c>
      <c r="S58" s="55"/>
      <c r="T58" s="4">
        <f>SUM(T7:T57)</f>
        <v>1773</v>
      </c>
      <c r="U58" s="90">
        <f>SUM(U7:U57)</f>
        <v>410547</v>
      </c>
      <c r="V58" s="4">
        <f>SUM(V7:V57)</f>
        <v>55041.5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6E3C-F544-4408-9EAE-90D99285A125}">
  <sheetPr>
    <pageSetUpPr fitToPage="1"/>
  </sheetPr>
  <dimension ref="A1:BB81"/>
  <sheetViews>
    <sheetView topLeftCell="A40"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32</f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1224+53+1080+8+1080+29</f>
        <v>3474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10</v>
      </c>
      <c r="P12" s="66">
        <v>5</v>
      </c>
      <c r="Q12" s="66">
        <v>16</v>
      </c>
      <c r="R12" s="67">
        <v>12</v>
      </c>
      <c r="S12" s="62"/>
      <c r="T12" s="69">
        <f t="shared" si="0"/>
        <v>17</v>
      </c>
      <c r="U12" s="69">
        <f>C12*24+M12*24+O12*24+Q12*24+T12</f>
        <v>84209</v>
      </c>
      <c r="V12" s="69">
        <f>U12/24</f>
        <v>3508.7083333333335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336</v>
      </c>
      <c r="V28" s="75">
        <f t="shared" si="5"/>
        <v>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144+55</f>
        <v>199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4874</v>
      </c>
      <c r="V34" s="75">
        <f t="shared" si="5"/>
        <v>203.08333333333334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30+648+3132+94</f>
        <v>3904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15</v>
      </c>
      <c r="N37" s="64"/>
      <c r="O37" s="65">
        <v>24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24325</v>
      </c>
      <c r="V37" s="77">
        <f>U37/6</f>
        <v>4054.1666666666665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2924</v>
      </c>
      <c r="V40" s="77">
        <f>U40/24</f>
        <v>121.83333333333333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984</v>
      </c>
      <c r="V41" s="88">
        <f>U41/12</f>
        <v>82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11610+19764+10260</f>
        <v>41634</v>
      </c>
      <c r="D43" s="65"/>
      <c r="E43" s="65"/>
      <c r="F43" s="65"/>
      <c r="G43" s="65"/>
      <c r="H43" s="65">
        <v>5</v>
      </c>
      <c r="I43" s="65">
        <v>12</v>
      </c>
      <c r="J43" s="66">
        <f>6*8</f>
        <v>48</v>
      </c>
      <c r="K43" s="67">
        <f>71*6+2</f>
        <v>428</v>
      </c>
      <c r="L43" s="62"/>
      <c r="M43" s="63">
        <v>336</v>
      </c>
      <c r="N43" s="64"/>
      <c r="O43" s="65">
        <v>412</v>
      </c>
      <c r="P43" s="66"/>
      <c r="Q43" s="66">
        <v>475</v>
      </c>
      <c r="R43" s="67"/>
      <c r="S43" s="62"/>
      <c r="T43" s="77">
        <f t="shared" ref="T43" si="6">H43+I43+J43+K43+N43+P43+R43</f>
        <v>493</v>
      </c>
      <c r="U43" s="77">
        <f>C43*6+M43*6+O43*6+Q43*6+T43</f>
        <v>257635</v>
      </c>
      <c r="V43" s="77">
        <f>U43/6</f>
        <v>42939.166666666664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52467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38</v>
      </c>
      <c r="J58" s="6">
        <f t="shared" si="11"/>
        <v>55</v>
      </c>
      <c r="K58" s="6">
        <f t="shared" si="11"/>
        <v>470</v>
      </c>
      <c r="M58" s="5">
        <f t="shared" ref="M58:R58" si="12">SUM(M7:M57)</f>
        <v>384</v>
      </c>
      <c r="N58" s="5">
        <f t="shared" si="12"/>
        <v>0</v>
      </c>
      <c r="O58" s="5">
        <f t="shared" si="12"/>
        <v>484</v>
      </c>
      <c r="P58" s="5">
        <f t="shared" si="12"/>
        <v>17</v>
      </c>
      <c r="Q58" s="5">
        <f t="shared" si="12"/>
        <v>646</v>
      </c>
      <c r="R58" s="5">
        <f t="shared" si="12"/>
        <v>15</v>
      </c>
      <c r="S58" s="55"/>
      <c r="T58" s="4">
        <f>SUM(T7:T57)</f>
        <v>1786</v>
      </c>
      <c r="U58" s="90">
        <f>SUM(U7:U57)</f>
        <v>402754</v>
      </c>
      <c r="V58" s="4">
        <f>SUM(V7:V57)</f>
        <v>54119.791666666664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CA8C6-0E34-4041-83EB-8BD8B22ACF90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1224+53+1008+23+1080+29</f>
        <v>3417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7</v>
      </c>
      <c r="O12" s="65">
        <v>6</v>
      </c>
      <c r="P12" s="66"/>
      <c r="Q12" s="66">
        <v>20</v>
      </c>
      <c r="R12" s="67">
        <v>7</v>
      </c>
      <c r="S12" s="62"/>
      <c r="T12" s="69">
        <f t="shared" si="0"/>
        <v>14</v>
      </c>
      <c r="U12" s="69">
        <f>C12*24+M12*24+O12*24+Q12*24+T12</f>
        <v>83102</v>
      </c>
      <c r="V12" s="69">
        <f>U12/24</f>
        <v>3462.5833333333335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288</v>
      </c>
      <c r="V28" s="75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101+324+3132+94</f>
        <v>3651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8</v>
      </c>
      <c r="N37" s="64"/>
      <c r="O37" s="65">
        <v>10</v>
      </c>
      <c r="P37" s="66"/>
      <c r="Q37" s="66">
        <v>94</v>
      </c>
      <c r="R37" s="67"/>
      <c r="S37" s="62"/>
      <c r="T37" s="77">
        <f t="shared" si="0"/>
        <v>13</v>
      </c>
      <c r="U37" s="77">
        <f>C37*6+M37*6+O37*6+Q37*6+T37</f>
        <v>22591</v>
      </c>
      <c r="V37" s="77">
        <f>U37/6</f>
        <v>3765.1666666666665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5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432</v>
      </c>
      <c r="V41" s="88">
        <f>U41/12</f>
        <v>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9828+19764+10260</f>
        <v>39852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444</v>
      </c>
      <c r="N43" s="64"/>
      <c r="O43" s="65">
        <v>199</v>
      </c>
      <c r="P43" s="66"/>
      <c r="Q43" s="66">
        <v>561</v>
      </c>
      <c r="R43" s="67"/>
      <c r="S43" s="62"/>
      <c r="T43" s="77">
        <f t="shared" ref="T43" si="6">H43+I43+J43+K43+N43+P43+R43</f>
        <v>526</v>
      </c>
      <c r="U43" s="77">
        <f>C43*6+M43*6+O43*6+Q43*6+T43</f>
        <v>246862</v>
      </c>
      <c r="V43" s="77">
        <f>U43/6</f>
        <v>41143.666666666664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50328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37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493</v>
      </c>
      <c r="N58" s="5">
        <f t="shared" si="12"/>
        <v>7</v>
      </c>
      <c r="O58" s="5">
        <f t="shared" si="12"/>
        <v>246</v>
      </c>
      <c r="P58" s="5">
        <f t="shared" si="12"/>
        <v>12</v>
      </c>
      <c r="Q58" s="5">
        <f t="shared" si="12"/>
        <v>722</v>
      </c>
      <c r="R58" s="5">
        <f t="shared" si="12"/>
        <v>10</v>
      </c>
      <c r="S58" s="55"/>
      <c r="T58" s="4">
        <f>SUM(T7:T57)</f>
        <v>1816</v>
      </c>
      <c r="U58" s="90">
        <f>SUM(U7:U57)</f>
        <v>388348</v>
      </c>
      <c r="V58" s="4">
        <f>SUM(V7:V57)</f>
        <v>51933.166666666664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CD48-36B7-4216-A88E-17673474B053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43+41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61+30</f>
        <v>91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1224+53+65+936+1080+29</f>
        <v>3387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9</v>
      </c>
      <c r="P12" s="66">
        <v>7</v>
      </c>
      <c r="Q12" s="66">
        <v>18</v>
      </c>
      <c r="R12" s="67">
        <v>4</v>
      </c>
      <c r="S12" s="62"/>
      <c r="T12" s="69">
        <f t="shared" si="0"/>
        <v>11</v>
      </c>
      <c r="U12" s="69">
        <f>C12*24+M12*24+O12*24+Q12*24+T12</f>
        <v>82259</v>
      </c>
      <c r="V12" s="69">
        <f>U12/24</f>
        <v>3427.4583333333335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120</v>
      </c>
      <c r="V28" s="75">
        <f t="shared" si="5"/>
        <v>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3132+94+71+108</f>
        <v>3405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20</v>
      </c>
      <c r="N37" s="64"/>
      <c r="O37" s="65">
        <v>18</v>
      </c>
      <c r="P37" s="66"/>
      <c r="Q37" s="66">
        <v>95</v>
      </c>
      <c r="R37" s="67"/>
      <c r="S37" s="62"/>
      <c r="T37" s="77">
        <f t="shared" si="0"/>
        <v>13</v>
      </c>
      <c r="U37" s="77">
        <f>C37*6+M37*6+O37*6+Q37*6+T37</f>
        <v>21241</v>
      </c>
      <c r="V37" s="77">
        <f>U37/6</f>
        <v>3540.1666666666665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3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72</v>
      </c>
      <c r="V41" s="88">
        <f>U41/12</f>
        <v>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8640+19764+10260</f>
        <v>38664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324</v>
      </c>
      <c r="N43" s="64"/>
      <c r="O43" s="65">
        <v>391</v>
      </c>
      <c r="P43" s="66"/>
      <c r="Q43" s="66">
        <v>509</v>
      </c>
      <c r="R43" s="67"/>
      <c r="S43" s="62"/>
      <c r="T43" s="77">
        <f t="shared" ref="T43" si="6">H43+I43+J43+K43+N43+P43+R43</f>
        <v>526</v>
      </c>
      <c r="U43" s="77">
        <f>C43*6+M43*6+O43*6+Q43*6+T43</f>
        <v>239854</v>
      </c>
      <c r="V43" s="77">
        <f>U43/6</f>
        <v>39975.666666666664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48858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38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376</v>
      </c>
      <c r="N58" s="5">
        <f t="shared" si="12"/>
        <v>0</v>
      </c>
      <c r="O58" s="5">
        <f t="shared" si="12"/>
        <v>445</v>
      </c>
      <c r="P58" s="5">
        <f t="shared" si="12"/>
        <v>19</v>
      </c>
      <c r="Q58" s="5">
        <f t="shared" si="12"/>
        <v>643</v>
      </c>
      <c r="R58" s="5">
        <f t="shared" si="12"/>
        <v>7</v>
      </c>
      <c r="S58" s="55"/>
      <c r="T58" s="4">
        <f>SUM(T7:T57)</f>
        <v>1813</v>
      </c>
      <c r="U58" s="90">
        <f>SUM(U7:U57)</f>
        <v>378571</v>
      </c>
      <c r="V58" s="4">
        <f>SUM(V7:V57)</f>
        <v>50466.041666666664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C1C8C-E747-496B-BE70-EA58545B1CAD}">
  <sheetPr>
    <pageSetUpPr fitToPage="1"/>
  </sheetPr>
  <dimension ref="A1:BB81"/>
  <sheetViews>
    <sheetView topLeftCell="A40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1224+53+936+33+1080+29</f>
        <v>3355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10</v>
      </c>
      <c r="O12" s="65">
        <v>10</v>
      </c>
      <c r="P12" s="66">
        <v>13</v>
      </c>
      <c r="Q12" s="66">
        <v>18</v>
      </c>
      <c r="R12" s="67">
        <v>1</v>
      </c>
      <c r="S12" s="62"/>
      <c r="T12" s="69">
        <f t="shared" si="0"/>
        <v>24</v>
      </c>
      <c r="U12" s="69">
        <f>C12*24+M12*24+O12*24+Q12*24+T12</f>
        <v>81432</v>
      </c>
      <c r="V12" s="69">
        <f>U12/24</f>
        <v>3393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5*24</f>
        <v>120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120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144+46</f>
        <v>190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108+3132+94</f>
        <v>3334</v>
      </c>
      <c r="D37" s="59"/>
      <c r="E37" s="59"/>
      <c r="F37" s="59"/>
      <c r="G37" s="59"/>
      <c r="H37" s="59">
        <v>1</v>
      </c>
      <c r="I37" s="59">
        <v>2</v>
      </c>
      <c r="J37" s="60">
        <v>2</v>
      </c>
      <c r="K37" s="61">
        <f>6+2</f>
        <v>8</v>
      </c>
      <c r="L37" s="62"/>
      <c r="M37" s="63">
        <v>20</v>
      </c>
      <c r="N37" s="64"/>
      <c r="O37" s="65">
        <v>36</v>
      </c>
      <c r="P37" s="66"/>
      <c r="Q37" s="66">
        <v>65</v>
      </c>
      <c r="R37" s="67"/>
      <c r="S37" s="62"/>
      <c r="T37" s="77">
        <f t="shared" si="0"/>
        <v>13</v>
      </c>
      <c r="U37" s="77">
        <f>C37*6+M37*6+O37*6+Q37*6+T37</f>
        <v>20743</v>
      </c>
      <c r="V37" s="77">
        <f>U37/6</f>
        <v>3457.1666666666665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24*5</f>
        <v>120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120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>
        <f>252*24</f>
        <v>6048</v>
      </c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3</v>
      </c>
      <c r="R40" s="67"/>
      <c r="S40" s="62"/>
      <c r="T40" s="77">
        <f t="shared" si="0"/>
        <v>6068</v>
      </c>
      <c r="U40" s="77">
        <f>C40*24+M40*24+O40*24+Q40*24+T40</f>
        <v>8900</v>
      </c>
      <c r="V40" s="77">
        <f>U40/24</f>
        <v>370.83333333333331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576*12</f>
        <v>6912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6912</v>
      </c>
      <c r="U41" s="88">
        <f>C41*12+M41*12+O41*12+Q41*12+T41</f>
        <v>6912</v>
      </c>
      <c r="V41" s="88">
        <f>U41/12</f>
        <v>576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49+7344+19764+10260+756</f>
        <v>38173</v>
      </c>
      <c r="D43" s="65"/>
      <c r="E43" s="65"/>
      <c r="F43" s="65"/>
      <c r="G43" s="65"/>
      <c r="H43" s="65">
        <v>13</v>
      </c>
      <c r="I43" s="65">
        <v>12</v>
      </c>
      <c r="J43" s="66">
        <f>17*6</f>
        <v>102</v>
      </c>
      <c r="K43" s="67">
        <f>71*6+2</f>
        <v>428</v>
      </c>
      <c r="L43" s="62"/>
      <c r="M43" s="63">
        <v>350</v>
      </c>
      <c r="N43" s="64"/>
      <c r="O43" s="65">
        <v>430</v>
      </c>
      <c r="P43" s="66"/>
      <c r="Q43" s="66">
        <v>522</v>
      </c>
      <c r="R43" s="67"/>
      <c r="S43" s="62"/>
      <c r="T43" s="77">
        <f t="shared" ref="T43" si="6">H43+I43+J43+K43+N43+P43+R43</f>
        <v>555</v>
      </c>
      <c r="U43" s="77">
        <f>C43*6+M43*6+O43*6+Q43*6+T43</f>
        <v>237405</v>
      </c>
      <c r="V43" s="77">
        <f>U43/6</f>
        <v>39567.5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5*24</f>
        <v>120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120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3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16179</v>
      </c>
      <c r="V47" s="77">
        <f>U47/6</f>
        <v>2696.5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f>6+1</f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48260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14518</v>
      </c>
      <c r="I58" s="6">
        <f t="shared" si="11"/>
        <v>43</v>
      </c>
      <c r="J58" s="6">
        <f t="shared" si="11"/>
        <v>105</v>
      </c>
      <c r="K58" s="6">
        <f t="shared" si="11"/>
        <v>470</v>
      </c>
      <c r="M58" s="5">
        <f t="shared" ref="M58:R58" si="12">SUM(M7:M57)</f>
        <v>385</v>
      </c>
      <c r="N58" s="5">
        <f t="shared" si="12"/>
        <v>10</v>
      </c>
      <c r="O58" s="5">
        <f t="shared" si="12"/>
        <v>501</v>
      </c>
      <c r="P58" s="5">
        <f t="shared" si="12"/>
        <v>25</v>
      </c>
      <c r="Q58" s="5">
        <f t="shared" si="12"/>
        <v>624</v>
      </c>
      <c r="R58" s="5">
        <f t="shared" si="12"/>
        <v>4</v>
      </c>
      <c r="S58" s="55"/>
      <c r="T58" s="4">
        <f>SUM(T7:T57)</f>
        <v>15175</v>
      </c>
      <c r="U58" s="90">
        <f>SUM(U7:U57)</f>
        <v>387793</v>
      </c>
      <c r="V58" s="4">
        <f>SUM(V7:V57)</f>
        <v>50762.416666666672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23284-EB4A-4612-964A-73C557E65C8C}">
  <sheetPr>
    <pageSetUpPr fitToPage="1"/>
  </sheetPr>
  <dimension ref="A1:BB81"/>
  <sheetViews>
    <sheetView topLeftCell="F1" zoomScale="145" zoomScaleNormal="145" zoomScaleSheetLayoutView="115" workbookViewId="0">
      <selection activeCell="K12" sqref="K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34+10</f>
        <v>44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1224+53+3+936+1080+29</f>
        <v>3325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10</v>
      </c>
      <c r="P12" s="66"/>
      <c r="Q12" s="66">
        <v>20</v>
      </c>
      <c r="R12" s="67">
        <v>13</v>
      </c>
      <c r="S12" s="62"/>
      <c r="T12" s="69">
        <f t="shared" si="0"/>
        <v>13</v>
      </c>
      <c r="U12" s="69">
        <f>C12*24+M12*24+O12*24+Q12*24+T12</f>
        <v>80773</v>
      </c>
      <c r="V12" s="69">
        <f>U12/24</f>
        <v>3365.5416666666665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1273</v>
      </c>
      <c r="V25" s="75">
        <f t="shared" si="5"/>
        <v>53.041666666666664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5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26</v>
      </c>
      <c r="D29" s="70"/>
      <c r="E29" s="70"/>
      <c r="F29" s="70"/>
      <c r="G29" s="70"/>
      <c r="H29" s="70"/>
      <c r="I29" s="70"/>
      <c r="J29" s="71">
        <v>5</v>
      </c>
      <c r="K29" s="72"/>
      <c r="L29" s="55">
        <v>1</v>
      </c>
      <c r="M29" s="73">
        <v>1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653</v>
      </c>
      <c r="V29" s="75">
        <f t="shared" si="5"/>
        <v>27.208333333333332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336</v>
      </c>
      <c r="V30" s="75">
        <f t="shared" si="5"/>
        <v>14</v>
      </c>
    </row>
    <row r="31" spans="1:54" x14ac:dyDescent="0.25">
      <c r="A31" s="27">
        <f t="shared" si="1"/>
        <v>28</v>
      </c>
      <c r="B31" s="26" t="s">
        <v>12</v>
      </c>
      <c r="C31" s="70">
        <v>1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45+144</f>
        <v>189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3132+62</f>
        <v>3194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20</v>
      </c>
      <c r="N37" s="64"/>
      <c r="O37" s="65">
        <v>26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20185</v>
      </c>
      <c r="V37" s="77">
        <f>U37/6</f>
        <v>3364.1666666666665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3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2</v>
      </c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50+315</f>
        <v>365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8852</v>
      </c>
      <c r="V40" s="77">
        <f>U40/24</f>
        <v>368.83333333333331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480+51</f>
        <v>531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10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6792</v>
      </c>
      <c r="V41" s="88">
        <f>U41/12</f>
        <v>566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50+6912+19764+10260</f>
        <v>36986</v>
      </c>
      <c r="D43" s="65"/>
      <c r="E43" s="65"/>
      <c r="F43" s="65"/>
      <c r="G43" s="65"/>
      <c r="H43" s="65">
        <v>1</v>
      </c>
      <c r="I43" s="65">
        <v>12</v>
      </c>
      <c r="J43" s="66">
        <f>18*6</f>
        <v>108</v>
      </c>
      <c r="K43" s="67">
        <f>71*6+2</f>
        <v>428</v>
      </c>
      <c r="L43" s="62"/>
      <c r="M43" s="63">
        <v>366</v>
      </c>
      <c r="N43" s="64"/>
      <c r="O43" s="65">
        <v>392</v>
      </c>
      <c r="P43" s="66"/>
      <c r="Q43" s="66">
        <v>446</v>
      </c>
      <c r="R43" s="67"/>
      <c r="S43" s="62"/>
      <c r="T43" s="77">
        <f t="shared" ref="T43" si="6">H43+I43+J43+K43+N43+P43+R43</f>
        <v>549</v>
      </c>
      <c r="U43" s="77">
        <f>C43*6+M43*6+O43*6+Q43*6+T43</f>
        <v>229689</v>
      </c>
      <c r="V43" s="77">
        <f>U43/6</f>
        <v>38281.5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4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104+648+324+88+540+103+324+432+106</f>
        <v>2669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10</v>
      </c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47679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38</v>
      </c>
      <c r="J58" s="6">
        <f t="shared" si="11"/>
        <v>119</v>
      </c>
      <c r="K58" s="6">
        <f t="shared" si="11"/>
        <v>470</v>
      </c>
      <c r="M58" s="5">
        <f t="shared" ref="M58:R58" si="12">SUM(M7:M57)</f>
        <v>406</v>
      </c>
      <c r="N58" s="5">
        <f t="shared" si="12"/>
        <v>0</v>
      </c>
      <c r="O58" s="5">
        <f t="shared" si="12"/>
        <v>463</v>
      </c>
      <c r="P58" s="5">
        <f t="shared" si="12"/>
        <v>12</v>
      </c>
      <c r="Q58" s="5">
        <f t="shared" si="12"/>
        <v>634</v>
      </c>
      <c r="R58" s="5">
        <f t="shared" si="12"/>
        <v>16</v>
      </c>
      <c r="S58" s="55"/>
      <c r="T58" s="4">
        <f>SUM(T7:T57)</f>
        <v>1844</v>
      </c>
      <c r="U58" s="90">
        <f>SUM(U7:U57)</f>
        <v>378470</v>
      </c>
      <c r="V58" s="4">
        <f>SUM(V7:V57)</f>
        <v>49330.958333333328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79C06-E62C-42C5-88C1-76D904E97AA1}">
  <sheetPr>
    <pageSetUpPr fitToPage="1"/>
  </sheetPr>
  <dimension ref="A1:BB81"/>
  <sheetViews>
    <sheetView tabSelected="1" topLeftCell="A33" zoomScale="130" zoomScaleNormal="130" zoomScaleSheetLayoutView="115" workbookViewId="0">
      <selection activeCell="K37" sqref="K3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33+10</f>
        <v>43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1056</v>
      </c>
      <c r="V10" s="58">
        <f t="shared" si="3"/>
        <v>44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1224+53+864+50+1080+29</f>
        <v>3300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11</v>
      </c>
      <c r="P12" s="66">
        <v>14</v>
      </c>
      <c r="Q12" s="66">
        <v>19</v>
      </c>
      <c r="R12" s="67">
        <v>11</v>
      </c>
      <c r="S12" s="62"/>
      <c r="T12" s="69">
        <f t="shared" si="0"/>
        <v>25</v>
      </c>
      <c r="U12" s="69">
        <f>C12*24+M12*24+O12*24+Q12*24+T12</f>
        <v>80113</v>
      </c>
      <c r="V12" s="69">
        <f>U12/24</f>
        <v>3338.0416666666665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47</v>
      </c>
      <c r="D25" s="70"/>
      <c r="E25" s="70"/>
      <c r="F25" s="70"/>
      <c r="G25" s="70"/>
      <c r="H25" s="70"/>
      <c r="I25" s="70"/>
      <c r="J25" s="71"/>
      <c r="K25" s="72">
        <v>1</v>
      </c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>
        <v>3</v>
      </c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25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>
        <v>1</v>
      </c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24</v>
      </c>
      <c r="V31" s="75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4562</v>
      </c>
      <c r="V34" s="75">
        <f t="shared" si="5"/>
        <v>190.08333333333334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3024+22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20</v>
      </c>
      <c r="N37" s="64"/>
      <c r="O37" s="65">
        <v>20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19261</v>
      </c>
      <c r="V37" s="77">
        <f>U37/6</f>
        <v>3210.1666666666665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>
        <v>3</v>
      </c>
      <c r="R38" s="72"/>
      <c r="S38" s="55"/>
      <c r="T38" s="75">
        <f t="shared" si="0"/>
        <v>0</v>
      </c>
      <c r="U38" s="75">
        <f>C38*24+M38*24+O38*24+Q38*24+T38</f>
        <v>96</v>
      </c>
      <c r="V38" s="75">
        <f>U38/24</f>
        <v>4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7532</v>
      </c>
      <c r="V40" s="77">
        <f>U40/24</f>
        <v>313.83333333333331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480+11</f>
        <v>491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10</v>
      </c>
      <c r="P41" s="83"/>
      <c r="Q41" s="83">
        <v>25</v>
      </c>
      <c r="R41" s="84"/>
      <c r="S41" s="85"/>
      <c r="T41" s="88">
        <f t="shared" si="0"/>
        <v>0</v>
      </c>
      <c r="U41" s="88">
        <f>C41*12+M41*12+O41*12+Q41*12+T41</f>
        <v>6432</v>
      </c>
      <c r="V41" s="88">
        <f>U41/12</f>
        <v>536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5832+19764+10260+29</f>
        <v>35885</v>
      </c>
      <c r="D43" s="65"/>
      <c r="E43" s="65"/>
      <c r="F43" s="65"/>
      <c r="G43" s="65"/>
      <c r="H43" s="65">
        <v>1</v>
      </c>
      <c r="I43" s="65">
        <v>12</v>
      </c>
      <c r="J43" s="66">
        <f>19*6</f>
        <v>114</v>
      </c>
      <c r="K43" s="67">
        <f>71*6+2</f>
        <v>428</v>
      </c>
      <c r="L43" s="62"/>
      <c r="M43" s="63">
        <v>364</v>
      </c>
      <c r="N43" s="64"/>
      <c r="O43" s="65">
        <v>371</v>
      </c>
      <c r="P43" s="66"/>
      <c r="Q43" s="66">
        <v>508</v>
      </c>
      <c r="R43" s="67"/>
      <c r="S43" s="62"/>
      <c r="T43" s="77">
        <f t="shared" ref="T43" si="6">H43+I43+J43+K43+N43+P43+R43</f>
        <v>555</v>
      </c>
      <c r="U43" s="77">
        <f>C43*6+M43*6+O43*6+Q43*6+T43</f>
        <v>223323</v>
      </c>
      <c r="V43" s="77">
        <f>U43/6</f>
        <v>37220.5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>
        <v>1</v>
      </c>
      <c r="P45" s="71"/>
      <c r="Q45" s="71">
        <v>3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46283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43</v>
      </c>
      <c r="J58" s="6">
        <f t="shared" si="11"/>
        <v>119</v>
      </c>
      <c r="K58" s="6">
        <f t="shared" si="11"/>
        <v>471</v>
      </c>
      <c r="M58" s="5">
        <f t="shared" ref="M58:R58" si="12">SUM(M7:M57)</f>
        <v>411</v>
      </c>
      <c r="N58" s="5">
        <f t="shared" si="12"/>
        <v>0</v>
      </c>
      <c r="O58" s="5">
        <f t="shared" si="12"/>
        <v>441</v>
      </c>
      <c r="P58" s="5">
        <f t="shared" si="12"/>
        <v>26</v>
      </c>
      <c r="Q58" s="5">
        <f t="shared" si="12"/>
        <v>693</v>
      </c>
      <c r="R58" s="5">
        <f t="shared" si="12"/>
        <v>14</v>
      </c>
      <c r="S58" s="55"/>
      <c r="T58" s="4">
        <f>SUM(T7:T57)</f>
        <v>1862</v>
      </c>
      <c r="U58" s="90">
        <f>SUM(U7:U57)</f>
        <v>368240</v>
      </c>
      <c r="V58" s="4">
        <f>SUM(V7:V57)</f>
        <v>47978.458333333336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46DA-E4EC-459B-9B45-F48443AEA5F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1345A-7049-41C1-9AF7-510409E4FE33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SAMPLE</vt:lpstr>
      <vt:lpstr>08-03-2026</vt:lpstr>
      <vt:lpstr>08-04-2026</vt:lpstr>
      <vt:lpstr>08-05-2026</vt:lpstr>
      <vt:lpstr>08-06-2026</vt:lpstr>
      <vt:lpstr>08-07-2026</vt:lpstr>
      <vt:lpstr>08-10-2026</vt:lpstr>
      <vt:lpstr>08-11-2026</vt:lpstr>
      <vt:lpstr>08-12-2026</vt:lpstr>
      <vt:lpstr>08-13-2026</vt:lpstr>
      <vt:lpstr>08-14-2026</vt:lpstr>
      <vt:lpstr>08-15-2026</vt:lpstr>
      <vt:lpstr>08-17-2026</vt:lpstr>
      <vt:lpstr>'08-03-2026'!Print_Area</vt:lpstr>
      <vt:lpstr>'08-04-2026'!Print_Area</vt:lpstr>
      <vt:lpstr>'08-05-2026'!Print_Area</vt:lpstr>
      <vt:lpstr>'08-06-2026'!Print_Area</vt:lpstr>
      <vt:lpstr>'08-07-2026'!Print_Area</vt:lpstr>
      <vt:lpstr>'08-10-2026'!Print_Area</vt:lpstr>
      <vt:lpstr>'08-11-2026'!Print_Area</vt:lpstr>
      <vt:lpstr>'08-12-2026'!Print_Area</vt:lpstr>
      <vt:lpstr>'08-13-2026'!Print_Area</vt:lpstr>
      <vt:lpstr>'08-14-2026'!Print_Area</vt:lpstr>
      <vt:lpstr>'08-15-2026'!Print_Area</vt:lpstr>
      <vt:lpstr>'08-17-2026'!Print_Area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2026-08-14T08:04:34Z</dcterms:modified>
</cp:coreProperties>
</file>