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100533F5-82D9-433F-984E-6A9AD0DA9CC6}" xr6:coauthVersionLast="45" xr6:coauthVersionMax="45" xr10:uidLastSave="{00000000-0000-0000-0000-000000000000}"/>
  <bookViews>
    <workbookView xWindow="-120" yWindow="-120" windowWidth="29040" windowHeight="15840" firstSheet="11" activeTab="20" xr2:uid="{D34C963E-9680-4B45-A4EE-B681FF0CEC08}"/>
  </bookViews>
  <sheets>
    <sheet name="SAMPLE" sheetId="32" r:id="rId1"/>
    <sheet name="08-03-2026" sheetId="69" r:id="rId2"/>
    <sheet name="08-04-2026" sheetId="70" r:id="rId3"/>
    <sheet name="08-05-2026" sheetId="71" r:id="rId4"/>
    <sheet name="08-06-2026" sheetId="72" r:id="rId5"/>
    <sheet name="08-07-2026" sheetId="73" r:id="rId6"/>
    <sheet name="08-10-2026" sheetId="76" r:id="rId7"/>
    <sheet name="08-11-2026" sheetId="74" r:id="rId8"/>
    <sheet name="08-12-2026" sheetId="75" r:id="rId9"/>
    <sheet name="08-13-2026" sheetId="77" r:id="rId10"/>
    <sheet name="08-14-2026" sheetId="78" r:id="rId11"/>
    <sheet name="08-15-2026" sheetId="79" r:id="rId12"/>
    <sheet name="08-17-2026" sheetId="80" r:id="rId13"/>
    <sheet name="08-18-2026" sheetId="81" r:id="rId14"/>
    <sheet name="08-19-2026" sheetId="82" r:id="rId15"/>
    <sheet name="08-20-2026" sheetId="83" r:id="rId16"/>
    <sheet name="08-21-2026" sheetId="84" r:id="rId17"/>
    <sheet name="08-24-2026" sheetId="85" r:id="rId18"/>
    <sheet name="08-25-2026" sheetId="86" r:id="rId19"/>
    <sheet name="08-26-2026" sheetId="87" r:id="rId20"/>
    <sheet name="08-27-2026" sheetId="88" r:id="rId21"/>
  </sheets>
  <definedNames>
    <definedName name="_xlnm.Print_Area" localSheetId="1">'08-03-2026'!$A$1:$W$59</definedName>
    <definedName name="_xlnm.Print_Area" localSheetId="2">'08-04-2026'!$A$1:$W$59</definedName>
    <definedName name="_xlnm.Print_Area" localSheetId="3">'08-05-2026'!$A$1:$W$59</definedName>
    <definedName name="_xlnm.Print_Area" localSheetId="4">'08-06-2026'!$A$1:$W$59</definedName>
    <definedName name="_xlnm.Print_Area" localSheetId="5">'08-07-2026'!$A$1:$W$59</definedName>
    <definedName name="_xlnm.Print_Area" localSheetId="6">'08-10-2026'!$A$1:$W$59</definedName>
    <definedName name="_xlnm.Print_Area" localSheetId="7">'08-11-2026'!$A$1:$W$59</definedName>
    <definedName name="_xlnm.Print_Area" localSheetId="8">'08-12-2026'!$A$1:$W$59</definedName>
    <definedName name="_xlnm.Print_Area" localSheetId="9">'08-13-2026'!$A$1:$W$59</definedName>
    <definedName name="_xlnm.Print_Area" localSheetId="10">'08-14-2026'!$A$1:$W$59</definedName>
    <definedName name="_xlnm.Print_Area" localSheetId="11">'08-15-2026'!$A$1:$W$59</definedName>
    <definedName name="_xlnm.Print_Area" localSheetId="12">'08-17-2026'!$A$1:$W$59</definedName>
    <definedName name="_xlnm.Print_Area" localSheetId="13">'08-18-2026'!$A$1:$W$59</definedName>
    <definedName name="_xlnm.Print_Area" localSheetId="14">'08-19-2026'!$A$1:$W$59</definedName>
    <definedName name="_xlnm.Print_Area" localSheetId="15">'08-20-2026'!$A$1:$W$59</definedName>
    <definedName name="_xlnm.Print_Area" localSheetId="16">'08-21-2026'!$A$1:$W$59</definedName>
    <definedName name="_xlnm.Print_Area" localSheetId="17">'08-24-2026'!$A$1:$W$59</definedName>
    <definedName name="_xlnm.Print_Area" localSheetId="18">'08-25-2026'!$A$1:$W$59</definedName>
    <definedName name="_xlnm.Print_Area" localSheetId="19">'08-26-2026'!$A$1:$W$59</definedName>
    <definedName name="_xlnm.Print_Area" localSheetId="20">'08-27-2026'!$A$1:$W$59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7" i="88" l="1"/>
  <c r="K43" i="88"/>
  <c r="J43" i="88"/>
  <c r="C43" i="88"/>
  <c r="C41" i="88"/>
  <c r="C40" i="88"/>
  <c r="K37" i="88"/>
  <c r="C37" i="88"/>
  <c r="C34" i="88"/>
  <c r="C28" i="88"/>
  <c r="C25" i="88"/>
  <c r="H24" i="88"/>
  <c r="T24" i="88" s="1"/>
  <c r="U24" i="88" s="1"/>
  <c r="V24" i="88" s="1"/>
  <c r="H23" i="88"/>
  <c r="T23" i="88" s="1"/>
  <c r="U23" i="88" s="1"/>
  <c r="V23" i="88" s="1"/>
  <c r="H21" i="88"/>
  <c r="T21" i="88" s="1"/>
  <c r="U21" i="88" s="1"/>
  <c r="V21" i="88" s="1"/>
  <c r="H19" i="88"/>
  <c r="T19" i="88" s="1"/>
  <c r="U19" i="88" s="1"/>
  <c r="V19" i="88" s="1"/>
  <c r="H17" i="88"/>
  <c r="C12" i="88"/>
  <c r="C9" i="88"/>
  <c r="C8" i="88"/>
  <c r="R58" i="88"/>
  <c r="Q58" i="88"/>
  <c r="P58" i="88"/>
  <c r="O58" i="88"/>
  <c r="N58" i="88"/>
  <c r="M58" i="88"/>
  <c r="I58" i="88"/>
  <c r="G58" i="88"/>
  <c r="F58" i="88"/>
  <c r="T54" i="88"/>
  <c r="U54" i="88" s="1"/>
  <c r="V54" i="88" s="1"/>
  <c r="T53" i="88"/>
  <c r="U53" i="88" s="1"/>
  <c r="V53" i="88" s="1"/>
  <c r="U52" i="88"/>
  <c r="V52" i="88" s="1"/>
  <c r="T52" i="88"/>
  <c r="T51" i="88"/>
  <c r="U51" i="88" s="1"/>
  <c r="V51" i="88" s="1"/>
  <c r="T50" i="88"/>
  <c r="U50" i="88" s="1"/>
  <c r="V50" i="88" s="1"/>
  <c r="T49" i="88"/>
  <c r="U49" i="88" s="1"/>
  <c r="V49" i="88" s="1"/>
  <c r="T48" i="88"/>
  <c r="U48" i="88" s="1"/>
  <c r="V48" i="88" s="1"/>
  <c r="T47" i="88"/>
  <c r="T46" i="88"/>
  <c r="U46" i="88" s="1"/>
  <c r="V46" i="88" s="1"/>
  <c r="U45" i="88"/>
  <c r="V45" i="88" s="1"/>
  <c r="T45" i="88"/>
  <c r="T41" i="88"/>
  <c r="T40" i="88"/>
  <c r="T39" i="88"/>
  <c r="U39" i="88" s="1"/>
  <c r="V39" i="88" s="1"/>
  <c r="T38" i="88"/>
  <c r="U38" i="88" s="1"/>
  <c r="V38" i="88" s="1"/>
  <c r="T36" i="88"/>
  <c r="U36" i="88" s="1"/>
  <c r="V36" i="88" s="1"/>
  <c r="T35" i="88"/>
  <c r="U35" i="88" s="1"/>
  <c r="V35" i="88" s="1"/>
  <c r="T34" i="88"/>
  <c r="T33" i="88"/>
  <c r="U33" i="88" s="1"/>
  <c r="V33" i="88" s="1"/>
  <c r="U32" i="88"/>
  <c r="V32" i="88" s="1"/>
  <c r="T32" i="88"/>
  <c r="T31" i="88"/>
  <c r="U31" i="88" s="1"/>
  <c r="V31" i="88" s="1"/>
  <c r="T30" i="88"/>
  <c r="U30" i="88" s="1"/>
  <c r="V30" i="88" s="1"/>
  <c r="T29" i="88"/>
  <c r="U29" i="88" s="1"/>
  <c r="V29" i="88" s="1"/>
  <c r="T28" i="88"/>
  <c r="T27" i="88"/>
  <c r="U27" i="88" s="1"/>
  <c r="V27" i="88" s="1"/>
  <c r="T26" i="88"/>
  <c r="U26" i="88" s="1"/>
  <c r="V26" i="88" s="1"/>
  <c r="AY25" i="88"/>
  <c r="T25" i="88"/>
  <c r="T22" i="88"/>
  <c r="U22" i="88" s="1"/>
  <c r="V22" i="88" s="1"/>
  <c r="A22" i="88"/>
  <c r="A23" i="88" s="1"/>
  <c r="A24" i="88" s="1"/>
  <c r="A25" i="88" s="1"/>
  <c r="A26" i="88" s="1"/>
  <c r="A27" i="88" s="1"/>
  <c r="A28" i="88" s="1"/>
  <c r="A29" i="88" s="1"/>
  <c r="A30" i="88" s="1"/>
  <c r="A31" i="88" s="1"/>
  <c r="A32" i="88" s="1"/>
  <c r="A33" i="88" s="1"/>
  <c r="A34" i="88" s="1"/>
  <c r="A35" i="88" s="1"/>
  <c r="A36" i="88" s="1"/>
  <c r="A37" i="88" s="1"/>
  <c r="A38" i="88" s="1"/>
  <c r="A39" i="88" s="1"/>
  <c r="A40" i="88" s="1"/>
  <c r="A41" i="88" s="1"/>
  <c r="A42" i="88" s="1"/>
  <c r="A43" i="88" s="1"/>
  <c r="A44" i="88" s="1"/>
  <c r="A45" i="88" s="1"/>
  <c r="A46" i="88" s="1"/>
  <c r="A47" i="88" s="1"/>
  <c r="A48" i="88" s="1"/>
  <c r="A49" i="88" s="1"/>
  <c r="A50" i="88" s="1"/>
  <c r="A51" i="88" s="1"/>
  <c r="A52" i="88" s="1"/>
  <c r="A53" i="88" s="1"/>
  <c r="A54" i="88" s="1"/>
  <c r="A55" i="88" s="1"/>
  <c r="A56" i="88" s="1"/>
  <c r="A57" i="88" s="1"/>
  <c r="A21" i="88"/>
  <c r="T20" i="88"/>
  <c r="U20" i="88" s="1"/>
  <c r="V20" i="88" s="1"/>
  <c r="A20" i="88"/>
  <c r="T18" i="88"/>
  <c r="U18" i="88" s="1"/>
  <c r="V18" i="88" s="1"/>
  <c r="T16" i="88"/>
  <c r="U16" i="88" s="1"/>
  <c r="V16" i="88" s="1"/>
  <c r="T15" i="88"/>
  <c r="U15" i="88" s="1"/>
  <c r="V15" i="88" s="1"/>
  <c r="A15" i="88"/>
  <c r="A16" i="88" s="1"/>
  <c r="A17" i="88" s="1"/>
  <c r="A18" i="88" s="1"/>
  <c r="T14" i="88"/>
  <c r="U14" i="88" s="1"/>
  <c r="V14" i="88" s="1"/>
  <c r="A14" i="88"/>
  <c r="T13" i="88"/>
  <c r="U13" i="88" s="1"/>
  <c r="V13" i="88" s="1"/>
  <c r="T12" i="88"/>
  <c r="T11" i="88"/>
  <c r="U11" i="88" s="1"/>
  <c r="V11" i="88" s="1"/>
  <c r="T10" i="88"/>
  <c r="U10" i="88" s="1"/>
  <c r="V10" i="88" s="1"/>
  <c r="A10" i="88"/>
  <c r="A11" i="88" s="1"/>
  <c r="T9" i="88"/>
  <c r="U9" i="88" s="1"/>
  <c r="V9" i="88" s="1"/>
  <c r="A9" i="88"/>
  <c r="T8" i="88"/>
  <c r="A8" i="88"/>
  <c r="T7" i="88"/>
  <c r="U47" i="88" l="1"/>
  <c r="V47" i="88" s="1"/>
  <c r="T43" i="88"/>
  <c r="K58" i="88"/>
  <c r="J58" i="88"/>
  <c r="U43" i="88"/>
  <c r="V43" i="88" s="1"/>
  <c r="U41" i="88"/>
  <c r="V41" i="88" s="1"/>
  <c r="U40" i="88"/>
  <c r="V40" i="88" s="1"/>
  <c r="T37" i="88"/>
  <c r="U37" i="88"/>
  <c r="V37" i="88" s="1"/>
  <c r="U34" i="88"/>
  <c r="V34" i="88" s="1"/>
  <c r="U28" i="88"/>
  <c r="V28" i="88" s="1"/>
  <c r="U25" i="88"/>
  <c r="V25" i="88" s="1"/>
  <c r="H58" i="88"/>
  <c r="T17" i="88"/>
  <c r="U17" i="88" s="1"/>
  <c r="V17" i="88" s="1"/>
  <c r="U12" i="88"/>
  <c r="V12" i="88" s="1"/>
  <c r="U8" i="88"/>
  <c r="V8" i="88" s="1"/>
  <c r="C58" i="88"/>
  <c r="U7" i="88"/>
  <c r="H23" i="87"/>
  <c r="C47" i="87"/>
  <c r="K43" i="87"/>
  <c r="K58" i="87" s="1"/>
  <c r="J43" i="87"/>
  <c r="C43" i="87"/>
  <c r="C41" i="87"/>
  <c r="U41" i="87" s="1"/>
  <c r="V41" i="87" s="1"/>
  <c r="C40" i="87"/>
  <c r="K37" i="87"/>
  <c r="C37" i="87"/>
  <c r="C34" i="87"/>
  <c r="C28" i="87"/>
  <c r="C25" i="87"/>
  <c r="U25" i="87" s="1"/>
  <c r="V25" i="87" s="1"/>
  <c r="H24" i="87"/>
  <c r="T24" i="87" s="1"/>
  <c r="U24" i="87" s="1"/>
  <c r="V24" i="87" s="1"/>
  <c r="T23" i="87"/>
  <c r="U23" i="87" s="1"/>
  <c r="V23" i="87" s="1"/>
  <c r="H21" i="87"/>
  <c r="H19" i="87"/>
  <c r="H17" i="87"/>
  <c r="C12" i="87"/>
  <c r="C9" i="87"/>
  <c r="C8" i="87"/>
  <c r="R58" i="87"/>
  <c r="Q58" i="87"/>
  <c r="P58" i="87"/>
  <c r="O58" i="87"/>
  <c r="N58" i="87"/>
  <c r="M58" i="87"/>
  <c r="J58" i="87"/>
  <c r="I58" i="87"/>
  <c r="G58" i="87"/>
  <c r="F58" i="87"/>
  <c r="U54" i="87"/>
  <c r="V54" i="87" s="1"/>
  <c r="T54" i="87"/>
  <c r="T53" i="87"/>
  <c r="U53" i="87" s="1"/>
  <c r="V53" i="87" s="1"/>
  <c r="T52" i="87"/>
  <c r="U52" i="87" s="1"/>
  <c r="V52" i="87" s="1"/>
  <c r="T51" i="87"/>
  <c r="U51" i="87" s="1"/>
  <c r="V51" i="87" s="1"/>
  <c r="T50" i="87"/>
  <c r="U50" i="87" s="1"/>
  <c r="V50" i="87" s="1"/>
  <c r="T49" i="87"/>
  <c r="U49" i="87" s="1"/>
  <c r="V49" i="87" s="1"/>
  <c r="T48" i="87"/>
  <c r="U48" i="87" s="1"/>
  <c r="V48" i="87" s="1"/>
  <c r="T47" i="87"/>
  <c r="T46" i="87"/>
  <c r="U46" i="87" s="1"/>
  <c r="V46" i="87" s="1"/>
  <c r="T45" i="87"/>
  <c r="U45" i="87" s="1"/>
  <c r="V45" i="87" s="1"/>
  <c r="T43" i="87"/>
  <c r="U43" i="87" s="1"/>
  <c r="V43" i="87" s="1"/>
  <c r="T41" i="87"/>
  <c r="T40" i="87"/>
  <c r="T39" i="87"/>
  <c r="U39" i="87" s="1"/>
  <c r="V39" i="87" s="1"/>
  <c r="T38" i="87"/>
  <c r="U38" i="87" s="1"/>
  <c r="V38" i="87" s="1"/>
  <c r="T36" i="87"/>
  <c r="U36" i="87" s="1"/>
  <c r="V36" i="87" s="1"/>
  <c r="T35" i="87"/>
  <c r="U35" i="87" s="1"/>
  <c r="V35" i="87" s="1"/>
  <c r="T34" i="87"/>
  <c r="T33" i="87"/>
  <c r="U33" i="87" s="1"/>
  <c r="V33" i="87" s="1"/>
  <c r="T32" i="87"/>
  <c r="U32" i="87" s="1"/>
  <c r="V32" i="87" s="1"/>
  <c r="T31" i="87"/>
  <c r="U31" i="87" s="1"/>
  <c r="V31" i="87" s="1"/>
  <c r="T30" i="87"/>
  <c r="U30" i="87" s="1"/>
  <c r="V30" i="87" s="1"/>
  <c r="T29" i="87"/>
  <c r="U29" i="87" s="1"/>
  <c r="V29" i="87" s="1"/>
  <c r="T28" i="87"/>
  <c r="T27" i="87"/>
  <c r="U27" i="87" s="1"/>
  <c r="V27" i="87" s="1"/>
  <c r="T26" i="87"/>
  <c r="U26" i="87" s="1"/>
  <c r="V26" i="87" s="1"/>
  <c r="AY25" i="87"/>
  <c r="T25" i="87"/>
  <c r="T22" i="87"/>
  <c r="U22" i="87" s="1"/>
  <c r="V22" i="87" s="1"/>
  <c r="A22" i="87"/>
  <c r="A23" i="87" s="1"/>
  <c r="A24" i="87" s="1"/>
  <c r="A25" i="87" s="1"/>
  <c r="A26" i="87" s="1"/>
  <c r="A27" i="87" s="1"/>
  <c r="A28" i="87" s="1"/>
  <c r="A29" i="87" s="1"/>
  <c r="A30" i="87" s="1"/>
  <c r="A31" i="87" s="1"/>
  <c r="A32" i="87" s="1"/>
  <c r="A33" i="87" s="1"/>
  <c r="A34" i="87" s="1"/>
  <c r="A35" i="87" s="1"/>
  <c r="A36" i="87" s="1"/>
  <c r="A37" i="87" s="1"/>
  <c r="A38" i="87" s="1"/>
  <c r="A39" i="87" s="1"/>
  <c r="A40" i="87" s="1"/>
  <c r="A41" i="87" s="1"/>
  <c r="A42" i="87" s="1"/>
  <c r="A43" i="87" s="1"/>
  <c r="A44" i="87" s="1"/>
  <c r="A45" i="87" s="1"/>
  <c r="A46" i="87" s="1"/>
  <c r="A47" i="87" s="1"/>
  <c r="A48" i="87" s="1"/>
  <c r="A49" i="87" s="1"/>
  <c r="A50" i="87" s="1"/>
  <c r="A51" i="87" s="1"/>
  <c r="A52" i="87" s="1"/>
  <c r="A53" i="87" s="1"/>
  <c r="A54" i="87" s="1"/>
  <c r="A55" i="87" s="1"/>
  <c r="A56" i="87" s="1"/>
  <c r="A57" i="87" s="1"/>
  <c r="T21" i="87"/>
  <c r="U21" i="87" s="1"/>
  <c r="V21" i="87" s="1"/>
  <c r="A21" i="87"/>
  <c r="T20" i="87"/>
  <c r="U20" i="87" s="1"/>
  <c r="V20" i="87" s="1"/>
  <c r="A20" i="87"/>
  <c r="T19" i="87"/>
  <c r="U19" i="87" s="1"/>
  <c r="V19" i="87" s="1"/>
  <c r="T18" i="87"/>
  <c r="U18" i="87" s="1"/>
  <c r="V18" i="87" s="1"/>
  <c r="T17" i="87"/>
  <c r="U17" i="87" s="1"/>
  <c r="V17" i="87" s="1"/>
  <c r="T16" i="87"/>
  <c r="U16" i="87" s="1"/>
  <c r="V16" i="87" s="1"/>
  <c r="T15" i="87"/>
  <c r="U15" i="87" s="1"/>
  <c r="V15" i="87" s="1"/>
  <c r="T14" i="87"/>
  <c r="U14" i="87" s="1"/>
  <c r="V14" i="87" s="1"/>
  <c r="A14" i="87"/>
  <c r="A15" i="87" s="1"/>
  <c r="A16" i="87" s="1"/>
  <c r="A17" i="87" s="1"/>
  <c r="A18" i="87" s="1"/>
  <c r="T13" i="87"/>
  <c r="U13" i="87" s="1"/>
  <c r="V13" i="87" s="1"/>
  <c r="T12" i="87"/>
  <c r="T11" i="87"/>
  <c r="T10" i="87"/>
  <c r="T9" i="87"/>
  <c r="T8" i="87"/>
  <c r="U8" i="87" s="1"/>
  <c r="V8" i="87" s="1"/>
  <c r="A8" i="87"/>
  <c r="A9" i="87" s="1"/>
  <c r="A10" i="87" s="1"/>
  <c r="A11" i="87" s="1"/>
  <c r="T7" i="87"/>
  <c r="U7" i="87" s="1"/>
  <c r="T58" i="88" l="1"/>
  <c r="U58" i="88"/>
  <c r="V7" i="88"/>
  <c r="V58" i="88" s="1"/>
  <c r="U47" i="87"/>
  <c r="V47" i="87" s="1"/>
  <c r="U40" i="87"/>
  <c r="V40" i="87" s="1"/>
  <c r="U34" i="87"/>
  <c r="V34" i="87" s="1"/>
  <c r="U28" i="87"/>
  <c r="V28" i="87" s="1"/>
  <c r="H58" i="87"/>
  <c r="U12" i="87"/>
  <c r="V12" i="87" s="1"/>
  <c r="C58" i="87"/>
  <c r="U9" i="87"/>
  <c r="V9" i="87" s="1"/>
  <c r="U11" i="87"/>
  <c r="V11" i="87" s="1"/>
  <c r="U10" i="87"/>
  <c r="V10" i="87" s="1"/>
  <c r="T37" i="87"/>
  <c r="T58" i="87" s="1"/>
  <c r="V7" i="87"/>
  <c r="C47" i="86"/>
  <c r="K43" i="86"/>
  <c r="J43" i="86"/>
  <c r="C43" i="86"/>
  <c r="C41" i="86"/>
  <c r="C40" i="86"/>
  <c r="U37" i="87" l="1"/>
  <c r="V37" i="87" s="1"/>
  <c r="V58" i="87" s="1"/>
  <c r="K37" i="86"/>
  <c r="K58" i="86" s="1"/>
  <c r="C37" i="86"/>
  <c r="C34" i="86"/>
  <c r="U34" i="86" s="1"/>
  <c r="V34" i="86" s="1"/>
  <c r="C28" i="86"/>
  <c r="C25" i="86"/>
  <c r="H24" i="86"/>
  <c r="T24" i="86" s="1"/>
  <c r="U24" i="86" s="1"/>
  <c r="V24" i="86" s="1"/>
  <c r="H23" i="86"/>
  <c r="T23" i="86" s="1"/>
  <c r="U23" i="86" s="1"/>
  <c r="V23" i="86" s="1"/>
  <c r="H21" i="86"/>
  <c r="T21" i="86" s="1"/>
  <c r="U21" i="86" s="1"/>
  <c r="V21" i="86" s="1"/>
  <c r="H19" i="86"/>
  <c r="T19" i="86" s="1"/>
  <c r="U19" i="86" s="1"/>
  <c r="V19" i="86" s="1"/>
  <c r="H17" i="86"/>
  <c r="C12" i="86"/>
  <c r="C10" i="86"/>
  <c r="C9" i="86"/>
  <c r="C8" i="86"/>
  <c r="R58" i="86"/>
  <c r="Q58" i="86"/>
  <c r="P58" i="86"/>
  <c r="O58" i="86"/>
  <c r="N58" i="86"/>
  <c r="M58" i="86"/>
  <c r="J58" i="86"/>
  <c r="I58" i="86"/>
  <c r="G58" i="86"/>
  <c r="F58" i="86"/>
  <c r="T54" i="86"/>
  <c r="U54" i="86" s="1"/>
  <c r="V54" i="86" s="1"/>
  <c r="T53" i="86"/>
  <c r="U53" i="86" s="1"/>
  <c r="V53" i="86" s="1"/>
  <c r="T52" i="86"/>
  <c r="U52" i="86" s="1"/>
  <c r="V52" i="86" s="1"/>
  <c r="U51" i="86"/>
  <c r="V51" i="86" s="1"/>
  <c r="T51" i="86"/>
  <c r="T50" i="86"/>
  <c r="U50" i="86" s="1"/>
  <c r="V50" i="86" s="1"/>
  <c r="T49" i="86"/>
  <c r="U49" i="86" s="1"/>
  <c r="V49" i="86" s="1"/>
  <c r="T48" i="86"/>
  <c r="U48" i="86" s="1"/>
  <c r="V48" i="86" s="1"/>
  <c r="T47" i="86"/>
  <c r="U47" i="86" s="1"/>
  <c r="V47" i="86" s="1"/>
  <c r="T46" i="86"/>
  <c r="U46" i="86" s="1"/>
  <c r="V46" i="86" s="1"/>
  <c r="T45" i="86"/>
  <c r="U45" i="86" s="1"/>
  <c r="V45" i="86" s="1"/>
  <c r="T43" i="86"/>
  <c r="U43" i="86" s="1"/>
  <c r="V43" i="86" s="1"/>
  <c r="T41" i="86"/>
  <c r="U41" i="86"/>
  <c r="V41" i="86" s="1"/>
  <c r="T40" i="86"/>
  <c r="U40" i="86" s="1"/>
  <c r="V40" i="86" s="1"/>
  <c r="U39" i="86"/>
  <c r="V39" i="86" s="1"/>
  <c r="T39" i="86"/>
  <c r="T38" i="86"/>
  <c r="U38" i="86" s="1"/>
  <c r="V38" i="86" s="1"/>
  <c r="T36" i="86"/>
  <c r="U36" i="86" s="1"/>
  <c r="V36" i="86" s="1"/>
  <c r="T35" i="86"/>
  <c r="U35" i="86" s="1"/>
  <c r="V35" i="86" s="1"/>
  <c r="T34" i="86"/>
  <c r="T33" i="86"/>
  <c r="U33" i="86" s="1"/>
  <c r="V33" i="86" s="1"/>
  <c r="T32" i="86"/>
  <c r="U32" i="86" s="1"/>
  <c r="V32" i="86" s="1"/>
  <c r="T31" i="86"/>
  <c r="U31" i="86" s="1"/>
  <c r="V31" i="86" s="1"/>
  <c r="T30" i="86"/>
  <c r="U30" i="86" s="1"/>
  <c r="V30" i="86" s="1"/>
  <c r="T29" i="86"/>
  <c r="U29" i="86" s="1"/>
  <c r="V29" i="86" s="1"/>
  <c r="T28" i="86"/>
  <c r="U28" i="86" s="1"/>
  <c r="V28" i="86" s="1"/>
  <c r="T27" i="86"/>
  <c r="U27" i="86" s="1"/>
  <c r="V27" i="86" s="1"/>
  <c r="T26" i="86"/>
  <c r="U26" i="86" s="1"/>
  <c r="V26" i="86" s="1"/>
  <c r="AY25" i="86"/>
  <c r="T25" i="86"/>
  <c r="T22" i="86"/>
  <c r="U22" i="86" s="1"/>
  <c r="V22" i="86" s="1"/>
  <c r="T20" i="86"/>
  <c r="U20" i="86" s="1"/>
  <c r="V20" i="86" s="1"/>
  <c r="A20" i="86"/>
  <c r="A21" i="86" s="1"/>
  <c r="A22" i="86" s="1"/>
  <c r="A23" i="86" s="1"/>
  <c r="A24" i="86" s="1"/>
  <c r="A25" i="86" s="1"/>
  <c r="A26" i="86" s="1"/>
  <c r="A27" i="86" s="1"/>
  <c r="A28" i="86" s="1"/>
  <c r="A29" i="86" s="1"/>
  <c r="A30" i="86" s="1"/>
  <c r="A31" i="86" s="1"/>
  <c r="A32" i="86" s="1"/>
  <c r="A33" i="86" s="1"/>
  <c r="A34" i="86" s="1"/>
  <c r="A35" i="86" s="1"/>
  <c r="A36" i="86" s="1"/>
  <c r="A37" i="86" s="1"/>
  <c r="A38" i="86" s="1"/>
  <c r="A39" i="86" s="1"/>
  <c r="A40" i="86" s="1"/>
  <c r="A41" i="86" s="1"/>
  <c r="A42" i="86" s="1"/>
  <c r="A43" i="86" s="1"/>
  <c r="A44" i="86" s="1"/>
  <c r="A45" i="86" s="1"/>
  <c r="A46" i="86" s="1"/>
  <c r="A47" i="86" s="1"/>
  <c r="A48" i="86" s="1"/>
  <c r="A49" i="86" s="1"/>
  <c r="A50" i="86" s="1"/>
  <c r="A51" i="86" s="1"/>
  <c r="A52" i="86" s="1"/>
  <c r="A53" i="86" s="1"/>
  <c r="A54" i="86" s="1"/>
  <c r="A55" i="86" s="1"/>
  <c r="A56" i="86" s="1"/>
  <c r="A57" i="86" s="1"/>
  <c r="T18" i="86"/>
  <c r="U18" i="86" s="1"/>
  <c r="V18" i="86" s="1"/>
  <c r="T17" i="86"/>
  <c r="U17" i="86" s="1"/>
  <c r="V17" i="86" s="1"/>
  <c r="T16" i="86"/>
  <c r="U16" i="86" s="1"/>
  <c r="V16" i="86" s="1"/>
  <c r="T15" i="86"/>
  <c r="U15" i="86" s="1"/>
  <c r="V15" i="86" s="1"/>
  <c r="A15" i="86"/>
  <c r="A16" i="86" s="1"/>
  <c r="A17" i="86" s="1"/>
  <c r="A18" i="86" s="1"/>
  <c r="T14" i="86"/>
  <c r="U14" i="86" s="1"/>
  <c r="V14" i="86" s="1"/>
  <c r="A14" i="86"/>
  <c r="T13" i="86"/>
  <c r="U13" i="86" s="1"/>
  <c r="V13" i="86" s="1"/>
  <c r="T12" i="86"/>
  <c r="T11" i="86"/>
  <c r="U11" i="86" s="1"/>
  <c r="V11" i="86" s="1"/>
  <c r="T10" i="86"/>
  <c r="U10" i="86" s="1"/>
  <c r="V10" i="86" s="1"/>
  <c r="T9" i="86"/>
  <c r="T8" i="86"/>
  <c r="A8" i="86"/>
  <c r="A9" i="86" s="1"/>
  <c r="A10" i="86" s="1"/>
  <c r="A11" i="86" s="1"/>
  <c r="T7" i="86"/>
  <c r="U58" i="87" l="1"/>
  <c r="U25" i="86"/>
  <c r="V25" i="86" s="1"/>
  <c r="H58" i="86"/>
  <c r="U12" i="86"/>
  <c r="V12" i="86" s="1"/>
  <c r="U9" i="86"/>
  <c r="V9" i="86" s="1"/>
  <c r="U8" i="86"/>
  <c r="V8" i="86" s="1"/>
  <c r="C58" i="86"/>
  <c r="U7" i="86"/>
  <c r="T37" i="86"/>
  <c r="U37" i="86" s="1"/>
  <c r="V37" i="86" s="1"/>
  <c r="C47" i="85"/>
  <c r="K43" i="85"/>
  <c r="J43" i="85"/>
  <c r="C43" i="85"/>
  <c r="C41" i="85"/>
  <c r="C40" i="85"/>
  <c r="K37" i="85"/>
  <c r="C37" i="85"/>
  <c r="C34" i="85"/>
  <c r="C25" i="85"/>
  <c r="H24" i="85"/>
  <c r="H23" i="85"/>
  <c r="H21" i="85"/>
  <c r="H19" i="85"/>
  <c r="H17" i="85"/>
  <c r="U58" i="86" l="1"/>
  <c r="V7" i="86"/>
  <c r="V58" i="86" s="1"/>
  <c r="T58" i="86"/>
  <c r="C12" i="85"/>
  <c r="U12" i="85" s="1"/>
  <c r="V12" i="85" s="1"/>
  <c r="C10" i="85"/>
  <c r="C9" i="85"/>
  <c r="U9" i="85" s="1"/>
  <c r="C8" i="85"/>
  <c r="R58" i="85"/>
  <c r="Q58" i="85"/>
  <c r="P58" i="85"/>
  <c r="O58" i="85"/>
  <c r="N58" i="85"/>
  <c r="M58" i="85"/>
  <c r="J58" i="85"/>
  <c r="I58" i="85"/>
  <c r="G58" i="85"/>
  <c r="F58" i="85"/>
  <c r="T54" i="85"/>
  <c r="U54" i="85" s="1"/>
  <c r="V54" i="85" s="1"/>
  <c r="T53" i="85"/>
  <c r="U53" i="85" s="1"/>
  <c r="V53" i="85" s="1"/>
  <c r="T52" i="85"/>
  <c r="U52" i="85" s="1"/>
  <c r="V52" i="85" s="1"/>
  <c r="T51" i="85"/>
  <c r="U51" i="85" s="1"/>
  <c r="V51" i="85" s="1"/>
  <c r="T50" i="85"/>
  <c r="U50" i="85" s="1"/>
  <c r="V50" i="85" s="1"/>
  <c r="T49" i="85"/>
  <c r="U49" i="85" s="1"/>
  <c r="V49" i="85" s="1"/>
  <c r="T48" i="85"/>
  <c r="U48" i="85" s="1"/>
  <c r="V48" i="85" s="1"/>
  <c r="T47" i="85"/>
  <c r="U47" i="85" s="1"/>
  <c r="V47" i="85" s="1"/>
  <c r="T46" i="85"/>
  <c r="U46" i="85" s="1"/>
  <c r="V46" i="85" s="1"/>
  <c r="T45" i="85"/>
  <c r="U45" i="85" s="1"/>
  <c r="V45" i="85" s="1"/>
  <c r="T43" i="85"/>
  <c r="U43" i="85" s="1"/>
  <c r="V43" i="85" s="1"/>
  <c r="T41" i="85"/>
  <c r="U41" i="85" s="1"/>
  <c r="V41" i="85" s="1"/>
  <c r="T40" i="85"/>
  <c r="U40" i="85" s="1"/>
  <c r="V40" i="85" s="1"/>
  <c r="T39" i="85"/>
  <c r="U39" i="85" s="1"/>
  <c r="V39" i="85" s="1"/>
  <c r="T38" i="85"/>
  <c r="U38" i="85" s="1"/>
  <c r="V38" i="85" s="1"/>
  <c r="T37" i="85"/>
  <c r="T36" i="85"/>
  <c r="U36" i="85" s="1"/>
  <c r="V36" i="85" s="1"/>
  <c r="T35" i="85"/>
  <c r="U35" i="85" s="1"/>
  <c r="V35" i="85" s="1"/>
  <c r="T34" i="85"/>
  <c r="U34" i="85" s="1"/>
  <c r="V34" i="85" s="1"/>
  <c r="T33" i="85"/>
  <c r="U33" i="85" s="1"/>
  <c r="V33" i="85" s="1"/>
  <c r="T32" i="85"/>
  <c r="U32" i="85" s="1"/>
  <c r="V32" i="85" s="1"/>
  <c r="T31" i="85"/>
  <c r="U31" i="85" s="1"/>
  <c r="V31" i="85" s="1"/>
  <c r="T30" i="85"/>
  <c r="U30" i="85" s="1"/>
  <c r="V30" i="85" s="1"/>
  <c r="T29" i="85"/>
  <c r="U29" i="85" s="1"/>
  <c r="V29" i="85" s="1"/>
  <c r="T28" i="85"/>
  <c r="U28" i="85" s="1"/>
  <c r="V28" i="85" s="1"/>
  <c r="T27" i="85"/>
  <c r="U27" i="85" s="1"/>
  <c r="V27" i="85" s="1"/>
  <c r="T26" i="85"/>
  <c r="U26" i="85" s="1"/>
  <c r="V26" i="85" s="1"/>
  <c r="AY25" i="85"/>
  <c r="T25" i="85"/>
  <c r="U25" i="85" s="1"/>
  <c r="V25" i="85" s="1"/>
  <c r="T24" i="85"/>
  <c r="U24" i="85" s="1"/>
  <c r="V24" i="85" s="1"/>
  <c r="T23" i="85"/>
  <c r="U23" i="85" s="1"/>
  <c r="V23" i="85" s="1"/>
  <c r="T22" i="85"/>
  <c r="U22" i="85" s="1"/>
  <c r="V22" i="85" s="1"/>
  <c r="T21" i="85"/>
  <c r="U21" i="85" s="1"/>
  <c r="V21" i="85" s="1"/>
  <c r="A21" i="85"/>
  <c r="A22" i="85" s="1"/>
  <c r="A23" i="85" s="1"/>
  <c r="A24" i="85" s="1"/>
  <c r="A25" i="85" s="1"/>
  <c r="A26" i="85" s="1"/>
  <c r="A27" i="85" s="1"/>
  <c r="A28" i="85" s="1"/>
  <c r="A29" i="85" s="1"/>
  <c r="A30" i="85" s="1"/>
  <c r="A31" i="85" s="1"/>
  <c r="A32" i="85" s="1"/>
  <c r="A33" i="85" s="1"/>
  <c r="A34" i="85" s="1"/>
  <c r="A35" i="85" s="1"/>
  <c r="A36" i="85" s="1"/>
  <c r="A37" i="85" s="1"/>
  <c r="A38" i="85" s="1"/>
  <c r="A39" i="85" s="1"/>
  <c r="A40" i="85" s="1"/>
  <c r="A41" i="85" s="1"/>
  <c r="A42" i="85" s="1"/>
  <c r="A43" i="85" s="1"/>
  <c r="A44" i="85" s="1"/>
  <c r="A45" i="85" s="1"/>
  <c r="A46" i="85" s="1"/>
  <c r="A47" i="85" s="1"/>
  <c r="A48" i="85" s="1"/>
  <c r="A49" i="85" s="1"/>
  <c r="A50" i="85" s="1"/>
  <c r="A51" i="85" s="1"/>
  <c r="A52" i="85" s="1"/>
  <c r="A53" i="85" s="1"/>
  <c r="A54" i="85" s="1"/>
  <c r="A55" i="85" s="1"/>
  <c r="A56" i="85" s="1"/>
  <c r="A57" i="85" s="1"/>
  <c r="T20" i="85"/>
  <c r="U20" i="85" s="1"/>
  <c r="V20" i="85" s="1"/>
  <c r="A20" i="85"/>
  <c r="T19" i="85"/>
  <c r="U19" i="85" s="1"/>
  <c r="V19" i="85" s="1"/>
  <c r="T18" i="85"/>
  <c r="U18" i="85" s="1"/>
  <c r="V18" i="85" s="1"/>
  <c r="T17" i="85"/>
  <c r="U17" i="85" s="1"/>
  <c r="V17" i="85" s="1"/>
  <c r="U16" i="85"/>
  <c r="V16" i="85" s="1"/>
  <c r="T16" i="85"/>
  <c r="T15" i="85"/>
  <c r="U15" i="85" s="1"/>
  <c r="V15" i="85" s="1"/>
  <c r="A15" i="85"/>
  <c r="A16" i="85" s="1"/>
  <c r="A17" i="85" s="1"/>
  <c r="A18" i="85" s="1"/>
  <c r="T14" i="85"/>
  <c r="U14" i="85" s="1"/>
  <c r="V14" i="85" s="1"/>
  <c r="A14" i="85"/>
  <c r="T13" i="85"/>
  <c r="U13" i="85" s="1"/>
  <c r="V13" i="85" s="1"/>
  <c r="T12" i="85"/>
  <c r="T11" i="85"/>
  <c r="U11" i="85" s="1"/>
  <c r="V11" i="85" s="1"/>
  <c r="T10" i="85"/>
  <c r="T9" i="85"/>
  <c r="T8" i="85"/>
  <c r="A8" i="85"/>
  <c r="A9" i="85" s="1"/>
  <c r="A10" i="85" s="1"/>
  <c r="A11" i="85" s="1"/>
  <c r="T7" i="85"/>
  <c r="U7" i="85" s="1"/>
  <c r="V7" i="85" s="1"/>
  <c r="U10" i="85" l="1"/>
  <c r="V10" i="85" s="1"/>
  <c r="U8" i="85"/>
  <c r="V8" i="85" s="1"/>
  <c r="T58" i="85"/>
  <c r="V9" i="85"/>
  <c r="U37" i="85"/>
  <c r="V37" i="85" s="1"/>
  <c r="C58" i="85"/>
  <c r="H58" i="85"/>
  <c r="K58" i="85"/>
  <c r="H24" i="84"/>
  <c r="C47" i="84"/>
  <c r="K43" i="84"/>
  <c r="K58" i="84" s="1"/>
  <c r="J43" i="84"/>
  <c r="C43" i="84"/>
  <c r="C41" i="84"/>
  <c r="C40" i="84"/>
  <c r="K37" i="84"/>
  <c r="C37" i="84"/>
  <c r="C34" i="84"/>
  <c r="C25" i="84"/>
  <c r="U25" i="84" s="1"/>
  <c r="V25" i="84" s="1"/>
  <c r="H23" i="84"/>
  <c r="T23" i="84" s="1"/>
  <c r="U23" i="84" s="1"/>
  <c r="V23" i="84" s="1"/>
  <c r="H21" i="84"/>
  <c r="T21" i="84" s="1"/>
  <c r="U21" i="84" s="1"/>
  <c r="V21" i="84" s="1"/>
  <c r="H19" i="84"/>
  <c r="T19" i="84" s="1"/>
  <c r="U19" i="84" s="1"/>
  <c r="V19" i="84" s="1"/>
  <c r="H17" i="84"/>
  <c r="T17" i="84" s="1"/>
  <c r="U17" i="84" s="1"/>
  <c r="V17" i="84" s="1"/>
  <c r="C12" i="84"/>
  <c r="C10" i="84"/>
  <c r="U10" i="84" s="1"/>
  <c r="V10" i="84" s="1"/>
  <c r="C9" i="84"/>
  <c r="C8" i="84"/>
  <c r="R58" i="84"/>
  <c r="Q58" i="84"/>
  <c r="P58" i="84"/>
  <c r="O58" i="84"/>
  <c r="N58" i="84"/>
  <c r="M58" i="84"/>
  <c r="I58" i="84"/>
  <c r="G58" i="84"/>
  <c r="F58" i="84"/>
  <c r="T54" i="84"/>
  <c r="U54" i="84" s="1"/>
  <c r="V54" i="84" s="1"/>
  <c r="T53" i="84"/>
  <c r="U53" i="84" s="1"/>
  <c r="V53" i="84" s="1"/>
  <c r="T52" i="84"/>
  <c r="U52" i="84" s="1"/>
  <c r="V52" i="84" s="1"/>
  <c r="T51" i="84"/>
  <c r="U51" i="84" s="1"/>
  <c r="V51" i="84" s="1"/>
  <c r="T50" i="84"/>
  <c r="U50" i="84" s="1"/>
  <c r="V50" i="84" s="1"/>
  <c r="T49" i="84"/>
  <c r="U49" i="84" s="1"/>
  <c r="V49" i="84" s="1"/>
  <c r="T48" i="84"/>
  <c r="U48" i="84" s="1"/>
  <c r="V48" i="84" s="1"/>
  <c r="T47" i="84"/>
  <c r="U47" i="84" s="1"/>
  <c r="V47" i="84" s="1"/>
  <c r="U46" i="84"/>
  <c r="V46" i="84" s="1"/>
  <c r="T46" i="84"/>
  <c r="T45" i="84"/>
  <c r="U45" i="84" s="1"/>
  <c r="V45" i="84" s="1"/>
  <c r="J58" i="84"/>
  <c r="T41" i="84"/>
  <c r="T40" i="84"/>
  <c r="T39" i="84"/>
  <c r="U39" i="84" s="1"/>
  <c r="V39" i="84" s="1"/>
  <c r="T38" i="84"/>
  <c r="U38" i="84" s="1"/>
  <c r="V38" i="84" s="1"/>
  <c r="T36" i="84"/>
  <c r="U36" i="84" s="1"/>
  <c r="V36" i="84" s="1"/>
  <c r="T35" i="84"/>
  <c r="U35" i="84" s="1"/>
  <c r="V35" i="84" s="1"/>
  <c r="T34" i="84"/>
  <c r="T33" i="84"/>
  <c r="U33" i="84" s="1"/>
  <c r="V33" i="84" s="1"/>
  <c r="T32" i="84"/>
  <c r="U32" i="84" s="1"/>
  <c r="V32" i="84" s="1"/>
  <c r="T31" i="84"/>
  <c r="U31" i="84" s="1"/>
  <c r="V31" i="84" s="1"/>
  <c r="T30" i="84"/>
  <c r="U30" i="84" s="1"/>
  <c r="V30" i="84" s="1"/>
  <c r="T29" i="84"/>
  <c r="U29" i="84" s="1"/>
  <c r="V29" i="84" s="1"/>
  <c r="T28" i="84"/>
  <c r="U28" i="84" s="1"/>
  <c r="V28" i="84" s="1"/>
  <c r="T27" i="84"/>
  <c r="U27" i="84" s="1"/>
  <c r="V27" i="84" s="1"/>
  <c r="T26" i="84"/>
  <c r="U26" i="84" s="1"/>
  <c r="V26" i="84" s="1"/>
  <c r="AY25" i="84"/>
  <c r="T25" i="84"/>
  <c r="T24" i="84"/>
  <c r="U24" i="84" s="1"/>
  <c r="V24" i="84" s="1"/>
  <c r="T22" i="84"/>
  <c r="U22" i="84" s="1"/>
  <c r="V22" i="84" s="1"/>
  <c r="A21" i="84"/>
  <c r="A22" i="84" s="1"/>
  <c r="A23" i="84" s="1"/>
  <c r="A24" i="84" s="1"/>
  <c r="A25" i="84" s="1"/>
  <c r="A26" i="84" s="1"/>
  <c r="A27" i="84" s="1"/>
  <c r="A28" i="84" s="1"/>
  <c r="A29" i="84" s="1"/>
  <c r="A30" i="84" s="1"/>
  <c r="A31" i="84" s="1"/>
  <c r="A32" i="84" s="1"/>
  <c r="A33" i="84" s="1"/>
  <c r="A34" i="84" s="1"/>
  <c r="A35" i="84" s="1"/>
  <c r="A36" i="84" s="1"/>
  <c r="A37" i="84" s="1"/>
  <c r="A38" i="84" s="1"/>
  <c r="A39" i="84" s="1"/>
  <c r="A40" i="84" s="1"/>
  <c r="A41" i="84" s="1"/>
  <c r="A42" i="84" s="1"/>
  <c r="A43" i="84" s="1"/>
  <c r="A44" i="84" s="1"/>
  <c r="A45" i="84" s="1"/>
  <c r="A46" i="84" s="1"/>
  <c r="A47" i="84" s="1"/>
  <c r="A48" i="84" s="1"/>
  <c r="A49" i="84" s="1"/>
  <c r="A50" i="84" s="1"/>
  <c r="A51" i="84" s="1"/>
  <c r="A52" i="84" s="1"/>
  <c r="A53" i="84" s="1"/>
  <c r="A54" i="84" s="1"/>
  <c r="A55" i="84" s="1"/>
  <c r="A56" i="84" s="1"/>
  <c r="A57" i="84" s="1"/>
  <c r="T20" i="84"/>
  <c r="U20" i="84" s="1"/>
  <c r="V20" i="84" s="1"/>
  <c r="A20" i="84"/>
  <c r="U18" i="84"/>
  <c r="V18" i="84" s="1"/>
  <c r="T18" i="84"/>
  <c r="T16" i="84"/>
  <c r="U16" i="84" s="1"/>
  <c r="V16" i="84" s="1"/>
  <c r="T15" i="84"/>
  <c r="U15" i="84" s="1"/>
  <c r="V15" i="84" s="1"/>
  <c r="A15" i="84"/>
  <c r="A16" i="84" s="1"/>
  <c r="A17" i="84" s="1"/>
  <c r="A18" i="84" s="1"/>
  <c r="T14" i="84"/>
  <c r="U14" i="84" s="1"/>
  <c r="V14" i="84" s="1"/>
  <c r="A14" i="84"/>
  <c r="T13" i="84"/>
  <c r="U13" i="84" s="1"/>
  <c r="V13" i="84" s="1"/>
  <c r="T12" i="84"/>
  <c r="T11" i="84"/>
  <c r="U11" i="84" s="1"/>
  <c r="V11" i="84" s="1"/>
  <c r="T10" i="84"/>
  <c r="T9" i="84"/>
  <c r="A9" i="84"/>
  <c r="A10" i="84" s="1"/>
  <c r="A11" i="84" s="1"/>
  <c r="T8" i="84"/>
  <c r="A8" i="84"/>
  <c r="T7" i="84"/>
  <c r="V58" i="85" l="1"/>
  <c r="U58" i="85"/>
  <c r="U41" i="84"/>
  <c r="V41" i="84" s="1"/>
  <c r="U40" i="84"/>
  <c r="V40" i="84" s="1"/>
  <c r="U34" i="84"/>
  <c r="V34" i="84" s="1"/>
  <c r="H58" i="84"/>
  <c r="U12" i="84"/>
  <c r="V12" i="84" s="1"/>
  <c r="U9" i="84"/>
  <c r="V9" i="84" s="1"/>
  <c r="U8" i="84"/>
  <c r="V8" i="84" s="1"/>
  <c r="T43" i="84"/>
  <c r="U43" i="84" s="1"/>
  <c r="V43" i="84" s="1"/>
  <c r="C58" i="84"/>
  <c r="T37" i="84"/>
  <c r="T58" i="84" s="1"/>
  <c r="U7" i="84"/>
  <c r="K37" i="83"/>
  <c r="C47" i="83"/>
  <c r="K43" i="83"/>
  <c r="J43" i="83"/>
  <c r="C43" i="83"/>
  <c r="C41" i="83"/>
  <c r="C40" i="83"/>
  <c r="C37" i="83"/>
  <c r="C34" i="83"/>
  <c r="C25" i="83"/>
  <c r="H24" i="83"/>
  <c r="H23" i="83"/>
  <c r="H21" i="83"/>
  <c r="H19" i="83"/>
  <c r="H17" i="83"/>
  <c r="C12" i="83"/>
  <c r="C10" i="83"/>
  <c r="C9" i="83"/>
  <c r="C8" i="83"/>
  <c r="V7" i="84" l="1"/>
  <c r="U37" i="84"/>
  <c r="V37" i="84" s="1"/>
  <c r="R58" i="83"/>
  <c r="Q58" i="83"/>
  <c r="P58" i="83"/>
  <c r="O58" i="83"/>
  <c r="N58" i="83"/>
  <c r="M58" i="83"/>
  <c r="J58" i="83"/>
  <c r="I58" i="83"/>
  <c r="H58" i="83"/>
  <c r="G58" i="83"/>
  <c r="F58" i="83"/>
  <c r="C58" i="83"/>
  <c r="U54" i="83"/>
  <c r="V54" i="83" s="1"/>
  <c r="T54" i="83"/>
  <c r="T53" i="83"/>
  <c r="U53" i="83" s="1"/>
  <c r="V53" i="83" s="1"/>
  <c r="T52" i="83"/>
  <c r="U52" i="83" s="1"/>
  <c r="V52" i="83" s="1"/>
  <c r="T51" i="83"/>
  <c r="U51" i="83" s="1"/>
  <c r="V51" i="83" s="1"/>
  <c r="U50" i="83"/>
  <c r="V50" i="83" s="1"/>
  <c r="T50" i="83"/>
  <c r="T49" i="83"/>
  <c r="U49" i="83" s="1"/>
  <c r="V49" i="83" s="1"/>
  <c r="T48" i="83"/>
  <c r="U48" i="83" s="1"/>
  <c r="V48" i="83" s="1"/>
  <c r="T47" i="83"/>
  <c r="U47" i="83" s="1"/>
  <c r="V47" i="83" s="1"/>
  <c r="T46" i="83"/>
  <c r="U46" i="83" s="1"/>
  <c r="V46" i="83" s="1"/>
  <c r="T45" i="83"/>
  <c r="U45" i="83" s="1"/>
  <c r="V45" i="83" s="1"/>
  <c r="T43" i="83"/>
  <c r="U43" i="83" s="1"/>
  <c r="V43" i="83" s="1"/>
  <c r="T41" i="83"/>
  <c r="U41" i="83"/>
  <c r="V41" i="83" s="1"/>
  <c r="T40" i="83"/>
  <c r="U40" i="83" s="1"/>
  <c r="V40" i="83" s="1"/>
  <c r="T39" i="83"/>
  <c r="U39" i="83" s="1"/>
  <c r="V39" i="83" s="1"/>
  <c r="U38" i="83"/>
  <c r="V38" i="83" s="1"/>
  <c r="T38" i="83"/>
  <c r="K58" i="83"/>
  <c r="T36" i="83"/>
  <c r="U36" i="83" s="1"/>
  <c r="V36" i="83" s="1"/>
  <c r="T35" i="83"/>
  <c r="U35" i="83" s="1"/>
  <c r="V35" i="83" s="1"/>
  <c r="T34" i="83"/>
  <c r="U34" i="83" s="1"/>
  <c r="V34" i="83" s="1"/>
  <c r="T33" i="83"/>
  <c r="U33" i="83" s="1"/>
  <c r="V33" i="83" s="1"/>
  <c r="T32" i="83"/>
  <c r="U32" i="83" s="1"/>
  <c r="V32" i="83" s="1"/>
  <c r="T31" i="83"/>
  <c r="U31" i="83" s="1"/>
  <c r="V31" i="83" s="1"/>
  <c r="T30" i="83"/>
  <c r="U30" i="83" s="1"/>
  <c r="V30" i="83" s="1"/>
  <c r="T29" i="83"/>
  <c r="U29" i="83" s="1"/>
  <c r="V29" i="83" s="1"/>
  <c r="T28" i="83"/>
  <c r="U28" i="83" s="1"/>
  <c r="V28" i="83" s="1"/>
  <c r="T27" i="83"/>
  <c r="U27" i="83" s="1"/>
  <c r="V27" i="83" s="1"/>
  <c r="T26" i="83"/>
  <c r="U26" i="83" s="1"/>
  <c r="V26" i="83" s="1"/>
  <c r="AY25" i="83"/>
  <c r="T25" i="83"/>
  <c r="U25" i="83" s="1"/>
  <c r="V25" i="83" s="1"/>
  <c r="T24" i="83"/>
  <c r="U24" i="83" s="1"/>
  <c r="V24" i="83" s="1"/>
  <c r="T23" i="83"/>
  <c r="U23" i="83" s="1"/>
  <c r="V23" i="83" s="1"/>
  <c r="T22" i="83"/>
  <c r="U22" i="83" s="1"/>
  <c r="V22" i="83" s="1"/>
  <c r="A22" i="83"/>
  <c r="A23" i="83" s="1"/>
  <c r="A24" i="83" s="1"/>
  <c r="A25" i="83" s="1"/>
  <c r="A26" i="83" s="1"/>
  <c r="A27" i="83" s="1"/>
  <c r="A28" i="83" s="1"/>
  <c r="A29" i="83" s="1"/>
  <c r="A30" i="83" s="1"/>
  <c r="A31" i="83" s="1"/>
  <c r="A32" i="83" s="1"/>
  <c r="A33" i="83" s="1"/>
  <c r="A34" i="83" s="1"/>
  <c r="A35" i="83" s="1"/>
  <c r="A36" i="83" s="1"/>
  <c r="A37" i="83" s="1"/>
  <c r="A38" i="83" s="1"/>
  <c r="A39" i="83" s="1"/>
  <c r="A40" i="83" s="1"/>
  <c r="A41" i="83" s="1"/>
  <c r="A42" i="83" s="1"/>
  <c r="A43" i="83" s="1"/>
  <c r="A44" i="83" s="1"/>
  <c r="A45" i="83" s="1"/>
  <c r="A46" i="83" s="1"/>
  <c r="A47" i="83" s="1"/>
  <c r="A48" i="83" s="1"/>
  <c r="A49" i="83" s="1"/>
  <c r="A50" i="83" s="1"/>
  <c r="A51" i="83" s="1"/>
  <c r="A52" i="83" s="1"/>
  <c r="A53" i="83" s="1"/>
  <c r="A54" i="83" s="1"/>
  <c r="A55" i="83" s="1"/>
  <c r="A56" i="83" s="1"/>
  <c r="A57" i="83" s="1"/>
  <c r="T21" i="83"/>
  <c r="U21" i="83" s="1"/>
  <c r="V21" i="83" s="1"/>
  <c r="A21" i="83"/>
  <c r="T20" i="83"/>
  <c r="U20" i="83" s="1"/>
  <c r="V20" i="83" s="1"/>
  <c r="A20" i="83"/>
  <c r="T19" i="83"/>
  <c r="U19" i="83" s="1"/>
  <c r="V19" i="83" s="1"/>
  <c r="T18" i="83"/>
  <c r="U18" i="83" s="1"/>
  <c r="V18" i="83" s="1"/>
  <c r="T17" i="83"/>
  <c r="U17" i="83" s="1"/>
  <c r="V17" i="83" s="1"/>
  <c r="U16" i="83"/>
  <c r="V16" i="83" s="1"/>
  <c r="T16" i="83"/>
  <c r="T15" i="83"/>
  <c r="U15" i="83" s="1"/>
  <c r="V15" i="83" s="1"/>
  <c r="T14" i="83"/>
  <c r="U14" i="83" s="1"/>
  <c r="V14" i="83" s="1"/>
  <c r="A14" i="83"/>
  <c r="A15" i="83" s="1"/>
  <c r="A16" i="83" s="1"/>
  <c r="A17" i="83" s="1"/>
  <c r="A18" i="83" s="1"/>
  <c r="T13" i="83"/>
  <c r="U13" i="83" s="1"/>
  <c r="V13" i="83" s="1"/>
  <c r="T12" i="83"/>
  <c r="U12" i="83" s="1"/>
  <c r="V12" i="83" s="1"/>
  <c r="T11" i="83"/>
  <c r="U11" i="83" s="1"/>
  <c r="V11" i="83" s="1"/>
  <c r="T10" i="83"/>
  <c r="U10" i="83" s="1"/>
  <c r="V10" i="83" s="1"/>
  <c r="A10" i="83"/>
  <c r="A11" i="83" s="1"/>
  <c r="T9" i="83"/>
  <c r="U9" i="83"/>
  <c r="V9" i="83" s="1"/>
  <c r="A9" i="83"/>
  <c r="T8" i="83"/>
  <c r="U8" i="83" s="1"/>
  <c r="V8" i="83" s="1"/>
  <c r="A8" i="83"/>
  <c r="T7" i="83"/>
  <c r="V58" i="84" l="1"/>
  <c r="U58" i="84"/>
  <c r="T37" i="83"/>
  <c r="T58" i="83" s="1"/>
  <c r="U7" i="83"/>
  <c r="K37" i="82"/>
  <c r="T37" i="82" s="1"/>
  <c r="C43" i="82"/>
  <c r="C47" i="82"/>
  <c r="K43" i="82"/>
  <c r="J43" i="82"/>
  <c r="C41" i="82"/>
  <c r="U41" i="82" s="1"/>
  <c r="V41" i="82" s="1"/>
  <c r="C40" i="82"/>
  <c r="C37" i="82"/>
  <c r="C34" i="82"/>
  <c r="H24" i="82"/>
  <c r="H23" i="82"/>
  <c r="H21" i="82"/>
  <c r="H19" i="82"/>
  <c r="H17" i="82"/>
  <c r="T17" i="82" s="1"/>
  <c r="U17" i="82" s="1"/>
  <c r="V17" i="82" s="1"/>
  <c r="C12" i="82"/>
  <c r="C10" i="82"/>
  <c r="C9" i="82"/>
  <c r="C8" i="82"/>
  <c r="R58" i="82"/>
  <c r="Q58" i="82"/>
  <c r="P58" i="82"/>
  <c r="O58" i="82"/>
  <c r="N58" i="82"/>
  <c r="M58" i="82"/>
  <c r="I58" i="82"/>
  <c r="G58" i="82"/>
  <c r="F58" i="82"/>
  <c r="U54" i="82"/>
  <c r="V54" i="82" s="1"/>
  <c r="T54" i="82"/>
  <c r="T53" i="82"/>
  <c r="U53" i="82" s="1"/>
  <c r="V53" i="82" s="1"/>
  <c r="T52" i="82"/>
  <c r="U52" i="82" s="1"/>
  <c r="V52" i="82" s="1"/>
  <c r="T51" i="82"/>
  <c r="U51" i="82" s="1"/>
  <c r="V51" i="82" s="1"/>
  <c r="T50" i="82"/>
  <c r="U50" i="82" s="1"/>
  <c r="V50" i="82" s="1"/>
  <c r="T49" i="82"/>
  <c r="U49" i="82" s="1"/>
  <c r="V49" i="82" s="1"/>
  <c r="T48" i="82"/>
  <c r="U48" i="82" s="1"/>
  <c r="V48" i="82" s="1"/>
  <c r="T47" i="82"/>
  <c r="T46" i="82"/>
  <c r="U46" i="82" s="1"/>
  <c r="V46" i="82" s="1"/>
  <c r="T45" i="82"/>
  <c r="U45" i="82" s="1"/>
  <c r="V45" i="82" s="1"/>
  <c r="T41" i="82"/>
  <c r="T40" i="82"/>
  <c r="U40" i="82" s="1"/>
  <c r="V40" i="82" s="1"/>
  <c r="T39" i="82"/>
  <c r="U39" i="82" s="1"/>
  <c r="V39" i="82" s="1"/>
  <c r="T38" i="82"/>
  <c r="U38" i="82" s="1"/>
  <c r="V38" i="82" s="1"/>
  <c r="T36" i="82"/>
  <c r="U36" i="82" s="1"/>
  <c r="V36" i="82" s="1"/>
  <c r="T35" i="82"/>
  <c r="U35" i="82" s="1"/>
  <c r="V35" i="82" s="1"/>
  <c r="T34" i="82"/>
  <c r="U34" i="82" s="1"/>
  <c r="V34" i="82" s="1"/>
  <c r="T33" i="82"/>
  <c r="U33" i="82" s="1"/>
  <c r="V33" i="82" s="1"/>
  <c r="T32" i="82"/>
  <c r="U32" i="82" s="1"/>
  <c r="V32" i="82" s="1"/>
  <c r="T31" i="82"/>
  <c r="U31" i="82" s="1"/>
  <c r="V31" i="82" s="1"/>
  <c r="T30" i="82"/>
  <c r="U30" i="82" s="1"/>
  <c r="V30" i="82" s="1"/>
  <c r="T29" i="82"/>
  <c r="U29" i="82" s="1"/>
  <c r="V29" i="82" s="1"/>
  <c r="U28" i="82"/>
  <c r="V28" i="82" s="1"/>
  <c r="T28" i="82"/>
  <c r="T27" i="82"/>
  <c r="U27" i="82" s="1"/>
  <c r="V27" i="82" s="1"/>
  <c r="T26" i="82"/>
  <c r="U26" i="82" s="1"/>
  <c r="V26" i="82" s="1"/>
  <c r="AY25" i="82"/>
  <c r="T25" i="82"/>
  <c r="U25" i="82" s="1"/>
  <c r="V25" i="82" s="1"/>
  <c r="T24" i="82"/>
  <c r="U24" i="82" s="1"/>
  <c r="V24" i="82" s="1"/>
  <c r="T23" i="82"/>
  <c r="U23" i="82" s="1"/>
  <c r="V23" i="82" s="1"/>
  <c r="T22" i="82"/>
  <c r="U22" i="82" s="1"/>
  <c r="V22" i="82" s="1"/>
  <c r="A22" i="82"/>
  <c r="A23" i="82" s="1"/>
  <c r="A24" i="82" s="1"/>
  <c r="A25" i="82" s="1"/>
  <c r="A26" i="82" s="1"/>
  <c r="A27" i="82" s="1"/>
  <c r="A28" i="82" s="1"/>
  <c r="A29" i="82" s="1"/>
  <c r="A30" i="82" s="1"/>
  <c r="A31" i="82" s="1"/>
  <c r="A32" i="82" s="1"/>
  <c r="A33" i="82" s="1"/>
  <c r="A34" i="82" s="1"/>
  <c r="A35" i="82" s="1"/>
  <c r="A36" i="82" s="1"/>
  <c r="A37" i="82" s="1"/>
  <c r="A38" i="82" s="1"/>
  <c r="A39" i="82" s="1"/>
  <c r="A40" i="82" s="1"/>
  <c r="A41" i="82" s="1"/>
  <c r="A42" i="82" s="1"/>
  <c r="A43" i="82" s="1"/>
  <c r="A44" i="82" s="1"/>
  <c r="A45" i="82" s="1"/>
  <c r="A46" i="82" s="1"/>
  <c r="A47" i="82" s="1"/>
  <c r="A48" i="82" s="1"/>
  <c r="A49" i="82" s="1"/>
  <c r="A50" i="82" s="1"/>
  <c r="A51" i="82" s="1"/>
  <c r="A52" i="82" s="1"/>
  <c r="A53" i="82" s="1"/>
  <c r="A54" i="82" s="1"/>
  <c r="A55" i="82" s="1"/>
  <c r="A56" i="82" s="1"/>
  <c r="A57" i="82" s="1"/>
  <c r="T21" i="82"/>
  <c r="U21" i="82" s="1"/>
  <c r="V21" i="82" s="1"/>
  <c r="A21" i="82"/>
  <c r="T20" i="82"/>
  <c r="U20" i="82" s="1"/>
  <c r="V20" i="82" s="1"/>
  <c r="A20" i="82"/>
  <c r="T19" i="82"/>
  <c r="U19" i="82" s="1"/>
  <c r="V19" i="82" s="1"/>
  <c r="T18" i="82"/>
  <c r="U18" i="82" s="1"/>
  <c r="V18" i="82" s="1"/>
  <c r="U16" i="82"/>
  <c r="V16" i="82" s="1"/>
  <c r="T16" i="82"/>
  <c r="T15" i="82"/>
  <c r="U15" i="82" s="1"/>
  <c r="V15" i="82" s="1"/>
  <c r="T14" i="82"/>
  <c r="U14" i="82" s="1"/>
  <c r="V14" i="82" s="1"/>
  <c r="A14" i="82"/>
  <c r="A15" i="82" s="1"/>
  <c r="A16" i="82" s="1"/>
  <c r="A17" i="82" s="1"/>
  <c r="A18" i="82" s="1"/>
  <c r="T13" i="82"/>
  <c r="U13" i="82" s="1"/>
  <c r="V13" i="82" s="1"/>
  <c r="T12" i="82"/>
  <c r="T11" i="82"/>
  <c r="U11" i="82" s="1"/>
  <c r="V11" i="82" s="1"/>
  <c r="T10" i="82"/>
  <c r="T9" i="82"/>
  <c r="U9" i="82" s="1"/>
  <c r="V9" i="82" s="1"/>
  <c r="T8" i="82"/>
  <c r="U8" i="82" s="1"/>
  <c r="V8" i="82" s="1"/>
  <c r="A8" i="82"/>
  <c r="A9" i="82" s="1"/>
  <c r="A10" i="82" s="1"/>
  <c r="A11" i="82" s="1"/>
  <c r="T7" i="82"/>
  <c r="V7" i="83" l="1"/>
  <c r="U37" i="83"/>
  <c r="V37" i="83" s="1"/>
  <c r="K58" i="82"/>
  <c r="U47" i="82"/>
  <c r="V47" i="82" s="1"/>
  <c r="T43" i="82"/>
  <c r="U43" i="82" s="1"/>
  <c r="V43" i="82" s="1"/>
  <c r="J58" i="82"/>
  <c r="U37" i="82"/>
  <c r="V37" i="82" s="1"/>
  <c r="U12" i="82"/>
  <c r="V12" i="82" s="1"/>
  <c r="C58" i="82"/>
  <c r="U10" i="82"/>
  <c r="V10" i="82" s="1"/>
  <c r="H58" i="82"/>
  <c r="U7" i="82"/>
  <c r="K37" i="81"/>
  <c r="T37" i="81" s="1"/>
  <c r="C37" i="81"/>
  <c r="C47" i="81"/>
  <c r="J43" i="81"/>
  <c r="K43" i="81"/>
  <c r="C43" i="81"/>
  <c r="C41" i="81"/>
  <c r="C40" i="81"/>
  <c r="C34" i="81"/>
  <c r="H24" i="81"/>
  <c r="H23" i="81"/>
  <c r="T23" i="81" s="1"/>
  <c r="U23" i="81" s="1"/>
  <c r="V23" i="81" s="1"/>
  <c r="H21" i="81"/>
  <c r="H19" i="81"/>
  <c r="T19" i="81" s="1"/>
  <c r="U19" i="81" s="1"/>
  <c r="V19" i="81" s="1"/>
  <c r="H17" i="81"/>
  <c r="C12" i="81"/>
  <c r="C10" i="81"/>
  <c r="C9" i="81"/>
  <c r="U9" i="81" s="1"/>
  <c r="V9" i="81" s="1"/>
  <c r="C8" i="81"/>
  <c r="R58" i="81"/>
  <c r="Q58" i="81"/>
  <c r="P58" i="81"/>
  <c r="O58" i="81"/>
  <c r="N58" i="81"/>
  <c r="M58" i="81"/>
  <c r="I58" i="81"/>
  <c r="G58" i="81"/>
  <c r="F58" i="81"/>
  <c r="T54" i="81"/>
  <c r="U54" i="81" s="1"/>
  <c r="V54" i="81" s="1"/>
  <c r="T53" i="81"/>
  <c r="U53" i="81" s="1"/>
  <c r="V53" i="81" s="1"/>
  <c r="T52" i="81"/>
  <c r="U52" i="81" s="1"/>
  <c r="V52" i="81" s="1"/>
  <c r="T51" i="81"/>
  <c r="U51" i="81" s="1"/>
  <c r="V51" i="81" s="1"/>
  <c r="T50" i="81"/>
  <c r="U50" i="81" s="1"/>
  <c r="V50" i="81" s="1"/>
  <c r="U49" i="81"/>
  <c r="V49" i="81" s="1"/>
  <c r="T49" i="81"/>
  <c r="T48" i="81"/>
  <c r="U48" i="81" s="1"/>
  <c r="V48" i="81" s="1"/>
  <c r="T47" i="81"/>
  <c r="T46" i="81"/>
  <c r="U46" i="81" s="1"/>
  <c r="V46" i="81" s="1"/>
  <c r="T45" i="81"/>
  <c r="U45" i="81" s="1"/>
  <c r="V45" i="81" s="1"/>
  <c r="J58" i="81"/>
  <c r="T41" i="81"/>
  <c r="U41" i="81" s="1"/>
  <c r="V41" i="81" s="1"/>
  <c r="T40" i="81"/>
  <c r="U40" i="81" s="1"/>
  <c r="V40" i="81" s="1"/>
  <c r="T39" i="81"/>
  <c r="U39" i="81" s="1"/>
  <c r="V39" i="81" s="1"/>
  <c r="T38" i="81"/>
  <c r="U38" i="81" s="1"/>
  <c r="V38" i="81" s="1"/>
  <c r="T36" i="81"/>
  <c r="U36" i="81" s="1"/>
  <c r="V36" i="81" s="1"/>
  <c r="T35" i="81"/>
  <c r="U35" i="81" s="1"/>
  <c r="V35" i="81" s="1"/>
  <c r="T34" i="81"/>
  <c r="U34" i="81" s="1"/>
  <c r="V34" i="81" s="1"/>
  <c r="T33" i="81"/>
  <c r="U33" i="81" s="1"/>
  <c r="V33" i="81" s="1"/>
  <c r="T32" i="81"/>
  <c r="U32" i="81" s="1"/>
  <c r="V32" i="81" s="1"/>
  <c r="T31" i="81"/>
  <c r="U31" i="81" s="1"/>
  <c r="V31" i="81" s="1"/>
  <c r="T30" i="81"/>
  <c r="U30" i="81" s="1"/>
  <c r="V30" i="81" s="1"/>
  <c r="T29" i="81"/>
  <c r="U29" i="81" s="1"/>
  <c r="V29" i="81" s="1"/>
  <c r="T28" i="81"/>
  <c r="U28" i="81" s="1"/>
  <c r="V28" i="81" s="1"/>
  <c r="T27" i="81"/>
  <c r="U27" i="81" s="1"/>
  <c r="V27" i="81" s="1"/>
  <c r="T26" i="81"/>
  <c r="U26" i="81" s="1"/>
  <c r="V26" i="81" s="1"/>
  <c r="AY25" i="81"/>
  <c r="T25" i="81"/>
  <c r="U25" i="81" s="1"/>
  <c r="V25" i="81" s="1"/>
  <c r="T24" i="81"/>
  <c r="U24" i="81" s="1"/>
  <c r="V24" i="81" s="1"/>
  <c r="U22" i="81"/>
  <c r="V22" i="81" s="1"/>
  <c r="T22" i="81"/>
  <c r="T21" i="81"/>
  <c r="U21" i="81" s="1"/>
  <c r="V21" i="81" s="1"/>
  <c r="T20" i="81"/>
  <c r="U20" i="81" s="1"/>
  <c r="V20" i="81" s="1"/>
  <c r="A20" i="81"/>
  <c r="A21" i="81" s="1"/>
  <c r="A22" i="81" s="1"/>
  <c r="A23" i="81" s="1"/>
  <c r="A24" i="81" s="1"/>
  <c r="A25" i="81" s="1"/>
  <c r="A26" i="81" s="1"/>
  <c r="A27" i="81" s="1"/>
  <c r="A28" i="81" s="1"/>
  <c r="A29" i="81" s="1"/>
  <c r="A30" i="81" s="1"/>
  <c r="A31" i="81" s="1"/>
  <c r="A32" i="81" s="1"/>
  <c r="A33" i="81" s="1"/>
  <c r="A34" i="81" s="1"/>
  <c r="A35" i="81" s="1"/>
  <c r="A36" i="81" s="1"/>
  <c r="A37" i="81" s="1"/>
  <c r="A38" i="81" s="1"/>
  <c r="A39" i="81" s="1"/>
  <c r="A40" i="81" s="1"/>
  <c r="A41" i="81" s="1"/>
  <c r="A42" i="81" s="1"/>
  <c r="A43" i="81" s="1"/>
  <c r="A44" i="81" s="1"/>
  <c r="A45" i="81" s="1"/>
  <c r="A46" i="81" s="1"/>
  <c r="A47" i="81" s="1"/>
  <c r="A48" i="81" s="1"/>
  <c r="A49" i="81" s="1"/>
  <c r="A50" i="81" s="1"/>
  <c r="A51" i="81" s="1"/>
  <c r="A52" i="81" s="1"/>
  <c r="A53" i="81" s="1"/>
  <c r="A54" i="81" s="1"/>
  <c r="A55" i="81" s="1"/>
  <c r="A56" i="81" s="1"/>
  <c r="A57" i="81" s="1"/>
  <c r="T18" i="81"/>
  <c r="U18" i="81" s="1"/>
  <c r="V18" i="81" s="1"/>
  <c r="T16" i="81"/>
  <c r="U16" i="81" s="1"/>
  <c r="V16" i="81" s="1"/>
  <c r="T15" i="81"/>
  <c r="U15" i="81" s="1"/>
  <c r="V15" i="81" s="1"/>
  <c r="T14" i="81"/>
  <c r="U14" i="81" s="1"/>
  <c r="V14" i="81" s="1"/>
  <c r="A14" i="81"/>
  <c r="A15" i="81" s="1"/>
  <c r="A16" i="81" s="1"/>
  <c r="A17" i="81" s="1"/>
  <c r="A18" i="81" s="1"/>
  <c r="T13" i="81"/>
  <c r="U13" i="81" s="1"/>
  <c r="V13" i="81" s="1"/>
  <c r="T12" i="81"/>
  <c r="T11" i="81"/>
  <c r="U11" i="81" s="1"/>
  <c r="V11" i="81" s="1"/>
  <c r="T10" i="81"/>
  <c r="T9" i="81"/>
  <c r="A9" i="81"/>
  <c r="A10" i="81" s="1"/>
  <c r="A11" i="81" s="1"/>
  <c r="T8" i="81"/>
  <c r="A8" i="81"/>
  <c r="T7" i="81"/>
  <c r="U7" i="81" s="1"/>
  <c r="V7" i="81" s="1"/>
  <c r="V58" i="83" l="1"/>
  <c r="U58" i="83"/>
  <c r="T58" i="82"/>
  <c r="U58" i="82"/>
  <c r="V7" i="82"/>
  <c r="V58" i="82" s="1"/>
  <c r="K58" i="81"/>
  <c r="U47" i="81"/>
  <c r="V47" i="81" s="1"/>
  <c r="C58" i="81"/>
  <c r="U37" i="81"/>
  <c r="V37" i="81" s="1"/>
  <c r="H58" i="81"/>
  <c r="U12" i="81"/>
  <c r="V12" i="81" s="1"/>
  <c r="U10" i="81"/>
  <c r="V10" i="81" s="1"/>
  <c r="T17" i="81"/>
  <c r="U17" i="81" s="1"/>
  <c r="V17" i="81" s="1"/>
  <c r="T43" i="81"/>
  <c r="U43" i="81" s="1"/>
  <c r="V43" i="81" s="1"/>
  <c r="U8" i="81"/>
  <c r="C8" i="80"/>
  <c r="K37" i="80"/>
  <c r="C37" i="80"/>
  <c r="C47" i="80"/>
  <c r="J43" i="80"/>
  <c r="K43" i="80"/>
  <c r="C43" i="80"/>
  <c r="C41" i="80"/>
  <c r="C40" i="80"/>
  <c r="C34" i="80"/>
  <c r="H24" i="80"/>
  <c r="H23" i="80"/>
  <c r="H21" i="80"/>
  <c r="H19" i="80"/>
  <c r="H17" i="80"/>
  <c r="C12" i="80"/>
  <c r="C10" i="80"/>
  <c r="C9" i="80"/>
  <c r="T58" i="81" l="1"/>
  <c r="U58" i="81"/>
  <c r="V8" i="81"/>
  <c r="V58" i="81" s="1"/>
  <c r="C8" i="79"/>
  <c r="K37" i="79"/>
  <c r="C47" i="79"/>
  <c r="J43" i="79"/>
  <c r="K43" i="79"/>
  <c r="C43" i="79"/>
  <c r="C41" i="79"/>
  <c r="C40" i="79"/>
  <c r="C37" i="79"/>
  <c r="C34" i="79"/>
  <c r="H24" i="79"/>
  <c r="H23" i="79"/>
  <c r="H21" i="79"/>
  <c r="H19" i="79"/>
  <c r="H17" i="79"/>
  <c r="H13" i="79"/>
  <c r="C12" i="79"/>
  <c r="C10" i="79" l="1"/>
  <c r="C9" i="79"/>
  <c r="K37" i="78" l="1"/>
  <c r="C47" i="78"/>
  <c r="C43" i="78"/>
  <c r="J43" i="78"/>
  <c r="K43" i="78"/>
  <c r="C41" i="78"/>
  <c r="C40" i="78"/>
  <c r="C37" i="78"/>
  <c r="C34" i="78"/>
  <c r="H24" i="78"/>
  <c r="H23" i="78"/>
  <c r="H21" i="78"/>
  <c r="H19" i="78"/>
  <c r="H17" i="78"/>
  <c r="C12" i="78"/>
  <c r="C10" i="78"/>
  <c r="C9" i="78"/>
  <c r="C8" i="78"/>
  <c r="C47" i="77" l="1"/>
  <c r="K43" i="77"/>
  <c r="J43" i="77"/>
  <c r="C43" i="77"/>
  <c r="C41" i="77"/>
  <c r="C40" i="77"/>
  <c r="K37" i="77"/>
  <c r="C37" i="77"/>
  <c r="C34" i="77"/>
  <c r="H24" i="77"/>
  <c r="H23" i="77"/>
  <c r="H21" i="77"/>
  <c r="H19" i="77"/>
  <c r="H17" i="77"/>
  <c r="C12" i="77"/>
  <c r="C10" i="77"/>
  <c r="C9" i="77"/>
  <c r="C8" i="77"/>
  <c r="C53" i="75" l="1"/>
  <c r="C47" i="75"/>
  <c r="H45" i="75"/>
  <c r="K43" i="75"/>
  <c r="J43" i="75"/>
  <c r="C43" i="75"/>
  <c r="H41" i="75"/>
  <c r="H40" i="75"/>
  <c r="C40" i="75"/>
  <c r="H38" i="75"/>
  <c r="K37" i="75"/>
  <c r="C37" i="75"/>
  <c r="C34" i="75"/>
  <c r="H26" i="75"/>
  <c r="H24" i="75"/>
  <c r="H23" i="75"/>
  <c r="H21" i="75"/>
  <c r="H19" i="75"/>
  <c r="H17" i="75"/>
  <c r="C12" i="75"/>
  <c r="C10" i="75"/>
  <c r="C9" i="75"/>
  <c r="C8" i="75"/>
  <c r="C47" i="74" l="1"/>
  <c r="K43" i="74"/>
  <c r="J43" i="74"/>
  <c r="C43" i="74"/>
  <c r="C40" i="74"/>
  <c r="C37" i="74"/>
  <c r="K37" i="74"/>
  <c r="C34" i="74"/>
  <c r="H23" i="74"/>
  <c r="H24" i="74"/>
  <c r="H21" i="74"/>
  <c r="H19" i="74"/>
  <c r="H17" i="74"/>
  <c r="C12" i="74"/>
  <c r="C10" i="74"/>
  <c r="C9" i="74"/>
  <c r="C8" i="74"/>
  <c r="R58" i="80"/>
  <c r="Q58" i="80"/>
  <c r="P58" i="80"/>
  <c r="O58" i="80"/>
  <c r="N58" i="80"/>
  <c r="M58" i="80"/>
  <c r="K58" i="80"/>
  <c r="J58" i="80"/>
  <c r="I58" i="80"/>
  <c r="H58" i="80"/>
  <c r="G58" i="80"/>
  <c r="F58" i="80"/>
  <c r="C58" i="80"/>
  <c r="T54" i="80"/>
  <c r="U54" i="80" s="1"/>
  <c r="V54" i="80" s="1"/>
  <c r="T53" i="80"/>
  <c r="U53" i="80" s="1"/>
  <c r="V53" i="80" s="1"/>
  <c r="T52" i="80"/>
  <c r="U52" i="80" s="1"/>
  <c r="V52" i="80" s="1"/>
  <c r="T51" i="80"/>
  <c r="U51" i="80" s="1"/>
  <c r="V51" i="80" s="1"/>
  <c r="T50" i="80"/>
  <c r="U50" i="80" s="1"/>
  <c r="V50" i="80" s="1"/>
  <c r="T49" i="80"/>
  <c r="U49" i="80" s="1"/>
  <c r="V49" i="80" s="1"/>
  <c r="T48" i="80"/>
  <c r="U48" i="80" s="1"/>
  <c r="V48" i="80" s="1"/>
  <c r="T47" i="80"/>
  <c r="U47" i="80" s="1"/>
  <c r="V47" i="80" s="1"/>
  <c r="T46" i="80"/>
  <c r="U46" i="80" s="1"/>
  <c r="V46" i="80" s="1"/>
  <c r="T45" i="80"/>
  <c r="U45" i="80" s="1"/>
  <c r="V45" i="80" s="1"/>
  <c r="T43" i="80"/>
  <c r="U43" i="80" s="1"/>
  <c r="V43" i="80" s="1"/>
  <c r="U41" i="80"/>
  <c r="V41" i="80" s="1"/>
  <c r="T41" i="80"/>
  <c r="T40" i="80"/>
  <c r="U40" i="80" s="1"/>
  <c r="V40" i="80" s="1"/>
  <c r="U39" i="80"/>
  <c r="V39" i="80" s="1"/>
  <c r="T39" i="80"/>
  <c r="T38" i="80"/>
  <c r="U38" i="80" s="1"/>
  <c r="V38" i="80" s="1"/>
  <c r="T37" i="80"/>
  <c r="U37" i="80" s="1"/>
  <c r="V37" i="80" s="1"/>
  <c r="U36" i="80"/>
  <c r="V36" i="80" s="1"/>
  <c r="T36" i="80"/>
  <c r="U35" i="80"/>
  <c r="V35" i="80" s="1"/>
  <c r="T35" i="80"/>
  <c r="T34" i="80"/>
  <c r="U34" i="80" s="1"/>
  <c r="V34" i="80" s="1"/>
  <c r="U33" i="80"/>
  <c r="V33" i="80" s="1"/>
  <c r="T33" i="80"/>
  <c r="U32" i="80"/>
  <c r="V32" i="80" s="1"/>
  <c r="T32" i="80"/>
  <c r="U31" i="80"/>
  <c r="V31" i="80" s="1"/>
  <c r="T31" i="80"/>
  <c r="T30" i="80"/>
  <c r="U30" i="80" s="1"/>
  <c r="V30" i="80" s="1"/>
  <c r="T29" i="80"/>
  <c r="U29" i="80" s="1"/>
  <c r="V29" i="80" s="1"/>
  <c r="U28" i="80"/>
  <c r="V28" i="80" s="1"/>
  <c r="T28" i="80"/>
  <c r="U27" i="80"/>
  <c r="V27" i="80" s="1"/>
  <c r="T27" i="80"/>
  <c r="T26" i="80"/>
  <c r="U26" i="80" s="1"/>
  <c r="V26" i="80" s="1"/>
  <c r="AY25" i="80"/>
  <c r="T25" i="80"/>
  <c r="U25" i="80" s="1"/>
  <c r="V25" i="80" s="1"/>
  <c r="T24" i="80"/>
  <c r="U24" i="80" s="1"/>
  <c r="V24" i="80" s="1"/>
  <c r="T23" i="80"/>
  <c r="U23" i="80" s="1"/>
  <c r="V23" i="80" s="1"/>
  <c r="T22" i="80"/>
  <c r="U22" i="80" s="1"/>
  <c r="V22" i="80" s="1"/>
  <c r="T21" i="80"/>
  <c r="U21" i="80" s="1"/>
  <c r="V21" i="80" s="1"/>
  <c r="T20" i="80"/>
  <c r="U20" i="80" s="1"/>
  <c r="V20" i="80" s="1"/>
  <c r="A20" i="80"/>
  <c r="A21" i="80" s="1"/>
  <c r="A22" i="80" s="1"/>
  <c r="A23" i="80" s="1"/>
  <c r="A24" i="80" s="1"/>
  <c r="A25" i="80" s="1"/>
  <c r="A26" i="80" s="1"/>
  <c r="A27" i="80" s="1"/>
  <c r="A28" i="80" s="1"/>
  <c r="A29" i="80" s="1"/>
  <c r="A30" i="80" s="1"/>
  <c r="A31" i="80" s="1"/>
  <c r="A32" i="80" s="1"/>
  <c r="A33" i="80" s="1"/>
  <c r="A34" i="80" s="1"/>
  <c r="A35" i="80" s="1"/>
  <c r="A36" i="80" s="1"/>
  <c r="A37" i="80" s="1"/>
  <c r="A38" i="80" s="1"/>
  <c r="A39" i="80" s="1"/>
  <c r="A40" i="80" s="1"/>
  <c r="A41" i="80" s="1"/>
  <c r="A42" i="80" s="1"/>
  <c r="A43" i="80" s="1"/>
  <c r="A44" i="80" s="1"/>
  <c r="A45" i="80" s="1"/>
  <c r="A46" i="80" s="1"/>
  <c r="A47" i="80" s="1"/>
  <c r="A48" i="80" s="1"/>
  <c r="A49" i="80" s="1"/>
  <c r="A50" i="80" s="1"/>
  <c r="A51" i="80" s="1"/>
  <c r="A52" i="80" s="1"/>
  <c r="A53" i="80" s="1"/>
  <c r="A54" i="80" s="1"/>
  <c r="A55" i="80" s="1"/>
  <c r="A56" i="80" s="1"/>
  <c r="A57" i="80" s="1"/>
  <c r="T19" i="80"/>
  <c r="U19" i="80" s="1"/>
  <c r="V19" i="80" s="1"/>
  <c r="T18" i="80"/>
  <c r="U18" i="80" s="1"/>
  <c r="V18" i="80" s="1"/>
  <c r="U17" i="80"/>
  <c r="V17" i="80" s="1"/>
  <c r="T17" i="80"/>
  <c r="U16" i="80"/>
  <c r="V16" i="80" s="1"/>
  <c r="T16" i="80"/>
  <c r="U15" i="80"/>
  <c r="V15" i="80" s="1"/>
  <c r="T15" i="80"/>
  <c r="T14" i="80"/>
  <c r="U14" i="80" s="1"/>
  <c r="V14" i="80" s="1"/>
  <c r="A14" i="80"/>
  <c r="A15" i="80" s="1"/>
  <c r="A16" i="80" s="1"/>
  <c r="A17" i="80" s="1"/>
  <c r="A18" i="80" s="1"/>
  <c r="T13" i="80"/>
  <c r="U13" i="80" s="1"/>
  <c r="V13" i="80" s="1"/>
  <c r="T12" i="80"/>
  <c r="U12" i="80" s="1"/>
  <c r="V12" i="80" s="1"/>
  <c r="T11" i="80"/>
  <c r="U11" i="80" s="1"/>
  <c r="V11" i="80" s="1"/>
  <c r="T10" i="80"/>
  <c r="U10" i="80" s="1"/>
  <c r="V10" i="80" s="1"/>
  <c r="T9" i="80"/>
  <c r="U9" i="80" s="1"/>
  <c r="V9" i="80" s="1"/>
  <c r="A9" i="80"/>
  <c r="A10" i="80" s="1"/>
  <c r="A11" i="80" s="1"/>
  <c r="T8" i="80"/>
  <c r="U8" i="80" s="1"/>
  <c r="V8" i="80" s="1"/>
  <c r="A8" i="80"/>
  <c r="T7" i="80"/>
  <c r="U7" i="80" s="1"/>
  <c r="R58" i="79"/>
  <c r="Q58" i="79"/>
  <c r="P58" i="79"/>
  <c r="O58" i="79"/>
  <c r="N58" i="79"/>
  <c r="M58" i="79"/>
  <c r="K58" i="79"/>
  <c r="J58" i="79"/>
  <c r="I58" i="79"/>
  <c r="H58" i="79"/>
  <c r="G58" i="79"/>
  <c r="F58" i="79"/>
  <c r="C58" i="79"/>
  <c r="T54" i="79"/>
  <c r="U54" i="79" s="1"/>
  <c r="V54" i="79" s="1"/>
  <c r="T53" i="79"/>
  <c r="U53" i="79" s="1"/>
  <c r="V53" i="79" s="1"/>
  <c r="T52" i="79"/>
  <c r="U52" i="79" s="1"/>
  <c r="V52" i="79" s="1"/>
  <c r="U51" i="79"/>
  <c r="V51" i="79" s="1"/>
  <c r="T51" i="79"/>
  <c r="T50" i="79"/>
  <c r="U50" i="79" s="1"/>
  <c r="V50" i="79" s="1"/>
  <c r="T49" i="79"/>
  <c r="U49" i="79" s="1"/>
  <c r="V49" i="79" s="1"/>
  <c r="T48" i="79"/>
  <c r="U48" i="79" s="1"/>
  <c r="V48" i="79" s="1"/>
  <c r="T47" i="79"/>
  <c r="U47" i="79" s="1"/>
  <c r="V47" i="79" s="1"/>
  <c r="T46" i="79"/>
  <c r="U46" i="79" s="1"/>
  <c r="V46" i="79" s="1"/>
  <c r="T45" i="79"/>
  <c r="U45" i="79" s="1"/>
  <c r="V45" i="79" s="1"/>
  <c r="T43" i="79"/>
  <c r="U43" i="79" s="1"/>
  <c r="V43" i="79" s="1"/>
  <c r="T41" i="79"/>
  <c r="U41" i="79" s="1"/>
  <c r="V41" i="79" s="1"/>
  <c r="T40" i="79"/>
  <c r="U40" i="79" s="1"/>
  <c r="V40" i="79" s="1"/>
  <c r="T39" i="79"/>
  <c r="U39" i="79" s="1"/>
  <c r="V39" i="79" s="1"/>
  <c r="T38" i="79"/>
  <c r="U38" i="79" s="1"/>
  <c r="V38" i="79" s="1"/>
  <c r="T37" i="79"/>
  <c r="U37" i="79" s="1"/>
  <c r="V37" i="79" s="1"/>
  <c r="V36" i="79"/>
  <c r="U36" i="79"/>
  <c r="T36" i="79"/>
  <c r="T35" i="79"/>
  <c r="U35" i="79" s="1"/>
  <c r="V35" i="79" s="1"/>
  <c r="T34" i="79"/>
  <c r="U34" i="79" s="1"/>
  <c r="V34" i="79" s="1"/>
  <c r="T33" i="79"/>
  <c r="U33" i="79" s="1"/>
  <c r="V33" i="79" s="1"/>
  <c r="V32" i="79"/>
  <c r="U32" i="79"/>
  <c r="T32" i="79"/>
  <c r="T31" i="79"/>
  <c r="U31" i="79" s="1"/>
  <c r="V31" i="79" s="1"/>
  <c r="T30" i="79"/>
  <c r="U30" i="79" s="1"/>
  <c r="V30" i="79" s="1"/>
  <c r="T29" i="79"/>
  <c r="U29" i="79" s="1"/>
  <c r="V29" i="79" s="1"/>
  <c r="V28" i="79"/>
  <c r="U28" i="79"/>
  <c r="T28" i="79"/>
  <c r="T27" i="79"/>
  <c r="U27" i="79" s="1"/>
  <c r="V27" i="79" s="1"/>
  <c r="T26" i="79"/>
  <c r="U26" i="79" s="1"/>
  <c r="V26" i="79" s="1"/>
  <c r="AY25" i="79"/>
  <c r="T25" i="79"/>
  <c r="U25" i="79" s="1"/>
  <c r="V25" i="79" s="1"/>
  <c r="T24" i="79"/>
  <c r="U24" i="79" s="1"/>
  <c r="V24" i="79" s="1"/>
  <c r="T23" i="79"/>
  <c r="U23" i="79" s="1"/>
  <c r="V23" i="79" s="1"/>
  <c r="T22" i="79"/>
  <c r="U22" i="79" s="1"/>
  <c r="V22" i="79" s="1"/>
  <c r="T21" i="79"/>
  <c r="U21" i="79" s="1"/>
  <c r="V21" i="79" s="1"/>
  <c r="T20" i="79"/>
  <c r="U20" i="79" s="1"/>
  <c r="V20" i="79" s="1"/>
  <c r="A20" i="79"/>
  <c r="A21" i="79" s="1"/>
  <c r="A22" i="79" s="1"/>
  <c r="A23" i="79" s="1"/>
  <c r="A24" i="79" s="1"/>
  <c r="A25" i="79" s="1"/>
  <c r="A26" i="79" s="1"/>
  <c r="A27" i="79" s="1"/>
  <c r="A28" i="79" s="1"/>
  <c r="A29" i="79" s="1"/>
  <c r="A30" i="79" s="1"/>
  <c r="A31" i="79" s="1"/>
  <c r="A32" i="79" s="1"/>
  <c r="A33" i="79" s="1"/>
  <c r="A34" i="79" s="1"/>
  <c r="A35" i="79" s="1"/>
  <c r="A36" i="79" s="1"/>
  <c r="A37" i="79" s="1"/>
  <c r="A38" i="79" s="1"/>
  <c r="A39" i="79" s="1"/>
  <c r="A40" i="79" s="1"/>
  <c r="A41" i="79" s="1"/>
  <c r="A42" i="79" s="1"/>
  <c r="A43" i="79" s="1"/>
  <c r="A44" i="79" s="1"/>
  <c r="A45" i="79" s="1"/>
  <c r="A46" i="79" s="1"/>
  <c r="A47" i="79" s="1"/>
  <c r="A48" i="79" s="1"/>
  <c r="A49" i="79" s="1"/>
  <c r="A50" i="79" s="1"/>
  <c r="A51" i="79" s="1"/>
  <c r="A52" i="79" s="1"/>
  <c r="A53" i="79" s="1"/>
  <c r="A54" i="79" s="1"/>
  <c r="A55" i="79" s="1"/>
  <c r="A56" i="79" s="1"/>
  <c r="A57" i="79" s="1"/>
  <c r="T19" i="79"/>
  <c r="U19" i="79" s="1"/>
  <c r="V19" i="79" s="1"/>
  <c r="T18" i="79"/>
  <c r="U18" i="79" s="1"/>
  <c r="V18" i="79" s="1"/>
  <c r="T17" i="79"/>
  <c r="U17" i="79" s="1"/>
  <c r="V17" i="79" s="1"/>
  <c r="V16" i="79"/>
  <c r="U16" i="79"/>
  <c r="T16" i="79"/>
  <c r="T15" i="79"/>
  <c r="U15" i="79" s="1"/>
  <c r="V15" i="79" s="1"/>
  <c r="T14" i="79"/>
  <c r="U14" i="79" s="1"/>
  <c r="V14" i="79" s="1"/>
  <c r="A14" i="79"/>
  <c r="A15" i="79" s="1"/>
  <c r="A16" i="79" s="1"/>
  <c r="A17" i="79" s="1"/>
  <c r="A18" i="79" s="1"/>
  <c r="T13" i="79"/>
  <c r="U13" i="79" s="1"/>
  <c r="V13" i="79" s="1"/>
  <c r="T12" i="79"/>
  <c r="U12" i="79" s="1"/>
  <c r="V12" i="79" s="1"/>
  <c r="T11" i="79"/>
  <c r="U11" i="79" s="1"/>
  <c r="V11" i="79" s="1"/>
  <c r="T10" i="79"/>
  <c r="U10" i="79" s="1"/>
  <c r="V10" i="79" s="1"/>
  <c r="U9" i="79"/>
  <c r="V9" i="79" s="1"/>
  <c r="T9" i="79"/>
  <c r="T8" i="79"/>
  <c r="U8" i="79" s="1"/>
  <c r="V8" i="79" s="1"/>
  <c r="A8" i="79"/>
  <c r="A9" i="79" s="1"/>
  <c r="A10" i="79" s="1"/>
  <c r="A11" i="79" s="1"/>
  <c r="T7" i="79"/>
  <c r="R58" i="78"/>
  <c r="Q58" i="78"/>
  <c r="P58" i="78"/>
  <c r="O58" i="78"/>
  <c r="N58" i="78"/>
  <c r="M58" i="78"/>
  <c r="K58" i="78"/>
  <c r="J58" i="78"/>
  <c r="I58" i="78"/>
  <c r="H58" i="78"/>
  <c r="G58" i="78"/>
  <c r="F58" i="78"/>
  <c r="C58" i="78"/>
  <c r="U54" i="78"/>
  <c r="V54" i="78" s="1"/>
  <c r="T54" i="78"/>
  <c r="U53" i="78"/>
  <c r="V53" i="78" s="1"/>
  <c r="T53" i="78"/>
  <c r="T52" i="78"/>
  <c r="U52" i="78" s="1"/>
  <c r="V52" i="78" s="1"/>
  <c r="U51" i="78"/>
  <c r="V51" i="78" s="1"/>
  <c r="T51" i="78"/>
  <c r="U50" i="78"/>
  <c r="V50" i="78" s="1"/>
  <c r="T50" i="78"/>
  <c r="T49" i="78"/>
  <c r="U49" i="78" s="1"/>
  <c r="V49" i="78" s="1"/>
  <c r="T48" i="78"/>
  <c r="U48" i="78" s="1"/>
  <c r="V48" i="78" s="1"/>
  <c r="T47" i="78"/>
  <c r="U47" i="78" s="1"/>
  <c r="V47" i="78" s="1"/>
  <c r="U46" i="78"/>
  <c r="V46" i="78" s="1"/>
  <c r="T46" i="78"/>
  <c r="T45" i="78"/>
  <c r="U45" i="78" s="1"/>
  <c r="V45" i="78" s="1"/>
  <c r="T43" i="78"/>
  <c r="U43" i="78" s="1"/>
  <c r="V43" i="78" s="1"/>
  <c r="T41" i="78"/>
  <c r="U41" i="78" s="1"/>
  <c r="V41" i="78" s="1"/>
  <c r="T40" i="78"/>
  <c r="U40" i="78" s="1"/>
  <c r="V40" i="78" s="1"/>
  <c r="U39" i="78"/>
  <c r="V39" i="78" s="1"/>
  <c r="T39" i="78"/>
  <c r="T38" i="78"/>
  <c r="U38" i="78" s="1"/>
  <c r="V38" i="78" s="1"/>
  <c r="T37" i="78"/>
  <c r="U37" i="78" s="1"/>
  <c r="V37" i="78" s="1"/>
  <c r="T36" i="78"/>
  <c r="U36" i="78" s="1"/>
  <c r="V36" i="78" s="1"/>
  <c r="U35" i="78"/>
  <c r="V35" i="78" s="1"/>
  <c r="T35" i="78"/>
  <c r="T34" i="78"/>
  <c r="U34" i="78" s="1"/>
  <c r="V34" i="78" s="1"/>
  <c r="T33" i="78"/>
  <c r="U33" i="78" s="1"/>
  <c r="V33" i="78" s="1"/>
  <c r="T32" i="78"/>
  <c r="U32" i="78" s="1"/>
  <c r="V32" i="78" s="1"/>
  <c r="U31" i="78"/>
  <c r="V31" i="78" s="1"/>
  <c r="T31" i="78"/>
  <c r="T30" i="78"/>
  <c r="U30" i="78" s="1"/>
  <c r="V30" i="78" s="1"/>
  <c r="T29" i="78"/>
  <c r="U29" i="78" s="1"/>
  <c r="V29" i="78" s="1"/>
  <c r="T28" i="78"/>
  <c r="U28" i="78" s="1"/>
  <c r="V28" i="78" s="1"/>
  <c r="U27" i="78"/>
  <c r="V27" i="78" s="1"/>
  <c r="T27" i="78"/>
  <c r="T26" i="78"/>
  <c r="U26" i="78" s="1"/>
  <c r="V26" i="78" s="1"/>
  <c r="AY25" i="78"/>
  <c r="T25" i="78"/>
  <c r="U25" i="78" s="1"/>
  <c r="V25" i="78" s="1"/>
  <c r="T24" i="78"/>
  <c r="U24" i="78" s="1"/>
  <c r="V24" i="78" s="1"/>
  <c r="T23" i="78"/>
  <c r="U23" i="78" s="1"/>
  <c r="V23" i="78" s="1"/>
  <c r="T22" i="78"/>
  <c r="U22" i="78" s="1"/>
  <c r="V22" i="78" s="1"/>
  <c r="T21" i="78"/>
  <c r="U21" i="78" s="1"/>
  <c r="V21" i="78" s="1"/>
  <c r="T20" i="78"/>
  <c r="U20" i="78" s="1"/>
  <c r="V20" i="78" s="1"/>
  <c r="A20" i="78"/>
  <c r="A21" i="78" s="1"/>
  <c r="A22" i="78" s="1"/>
  <c r="A23" i="78" s="1"/>
  <c r="A24" i="78" s="1"/>
  <c r="A25" i="78" s="1"/>
  <c r="A26" i="78" s="1"/>
  <c r="A27" i="78" s="1"/>
  <c r="A28" i="78" s="1"/>
  <c r="A29" i="78" s="1"/>
  <c r="A30" i="78" s="1"/>
  <c r="A31" i="78" s="1"/>
  <c r="A32" i="78" s="1"/>
  <c r="A33" i="78" s="1"/>
  <c r="A34" i="78" s="1"/>
  <c r="A35" i="78" s="1"/>
  <c r="A36" i="78" s="1"/>
  <c r="A37" i="78" s="1"/>
  <c r="A38" i="78" s="1"/>
  <c r="A39" i="78" s="1"/>
  <c r="A40" i="78" s="1"/>
  <c r="A41" i="78" s="1"/>
  <c r="A42" i="78" s="1"/>
  <c r="A43" i="78" s="1"/>
  <c r="A44" i="78" s="1"/>
  <c r="A45" i="78" s="1"/>
  <c r="A46" i="78" s="1"/>
  <c r="A47" i="78" s="1"/>
  <c r="A48" i="78" s="1"/>
  <c r="A49" i="78" s="1"/>
  <c r="A50" i="78" s="1"/>
  <c r="A51" i="78" s="1"/>
  <c r="A52" i="78" s="1"/>
  <c r="A53" i="78" s="1"/>
  <c r="A54" i="78" s="1"/>
  <c r="A55" i="78" s="1"/>
  <c r="A56" i="78" s="1"/>
  <c r="A57" i="78" s="1"/>
  <c r="T19" i="78"/>
  <c r="U19" i="78" s="1"/>
  <c r="V19" i="78" s="1"/>
  <c r="T18" i="78"/>
  <c r="U18" i="78" s="1"/>
  <c r="V18" i="78" s="1"/>
  <c r="T17" i="78"/>
  <c r="U17" i="78" s="1"/>
  <c r="V17" i="78" s="1"/>
  <c r="T16" i="78"/>
  <c r="U16" i="78" s="1"/>
  <c r="V16" i="78" s="1"/>
  <c r="U15" i="78"/>
  <c r="V15" i="78" s="1"/>
  <c r="T15" i="78"/>
  <c r="T14" i="78"/>
  <c r="U14" i="78" s="1"/>
  <c r="V14" i="78" s="1"/>
  <c r="A14" i="78"/>
  <c r="A15" i="78" s="1"/>
  <c r="A16" i="78" s="1"/>
  <c r="A17" i="78" s="1"/>
  <c r="A18" i="78" s="1"/>
  <c r="T13" i="78"/>
  <c r="U13" i="78" s="1"/>
  <c r="V13" i="78" s="1"/>
  <c r="T12" i="78"/>
  <c r="U12" i="78" s="1"/>
  <c r="V12" i="78" s="1"/>
  <c r="T11" i="78"/>
  <c r="U11" i="78" s="1"/>
  <c r="V11" i="78" s="1"/>
  <c r="T10" i="78"/>
  <c r="U10" i="78" s="1"/>
  <c r="V10" i="78" s="1"/>
  <c r="A10" i="78"/>
  <c r="A11" i="78" s="1"/>
  <c r="U9" i="78"/>
  <c r="V9" i="78" s="1"/>
  <c r="T9" i="78"/>
  <c r="A9" i="78"/>
  <c r="T8" i="78"/>
  <c r="U8" i="78" s="1"/>
  <c r="V8" i="78" s="1"/>
  <c r="A8" i="78"/>
  <c r="T7" i="78"/>
  <c r="R58" i="77"/>
  <c r="Q58" i="77"/>
  <c r="P58" i="77"/>
  <c r="O58" i="77"/>
  <c r="N58" i="77"/>
  <c r="M58" i="77"/>
  <c r="K58" i="77"/>
  <c r="J58" i="77"/>
  <c r="I58" i="77"/>
  <c r="H58" i="77"/>
  <c r="G58" i="77"/>
  <c r="F58" i="77"/>
  <c r="C58" i="77"/>
  <c r="T54" i="77"/>
  <c r="U54" i="77" s="1"/>
  <c r="V54" i="77" s="1"/>
  <c r="T53" i="77"/>
  <c r="U53" i="77" s="1"/>
  <c r="V53" i="77" s="1"/>
  <c r="T52" i="77"/>
  <c r="U52" i="77" s="1"/>
  <c r="V52" i="77" s="1"/>
  <c r="T51" i="77"/>
  <c r="U51" i="77" s="1"/>
  <c r="V51" i="77" s="1"/>
  <c r="T50" i="77"/>
  <c r="U50" i="77" s="1"/>
  <c r="V50" i="77" s="1"/>
  <c r="T49" i="77"/>
  <c r="U49" i="77" s="1"/>
  <c r="V49" i="77" s="1"/>
  <c r="T48" i="77"/>
  <c r="U48" i="77" s="1"/>
  <c r="V48" i="77" s="1"/>
  <c r="T47" i="77"/>
  <c r="U47" i="77" s="1"/>
  <c r="V47" i="77" s="1"/>
  <c r="T46" i="77"/>
  <c r="U46" i="77" s="1"/>
  <c r="V46" i="77" s="1"/>
  <c r="T45" i="77"/>
  <c r="U45" i="77" s="1"/>
  <c r="V45" i="77" s="1"/>
  <c r="T43" i="77"/>
  <c r="U43" i="77" s="1"/>
  <c r="V43" i="77" s="1"/>
  <c r="T41" i="77"/>
  <c r="U41" i="77" s="1"/>
  <c r="V41" i="77" s="1"/>
  <c r="T40" i="77"/>
  <c r="U40" i="77" s="1"/>
  <c r="V40" i="77" s="1"/>
  <c r="T39" i="77"/>
  <c r="U39" i="77" s="1"/>
  <c r="V39" i="77" s="1"/>
  <c r="T38" i="77"/>
  <c r="U38" i="77" s="1"/>
  <c r="V38" i="77" s="1"/>
  <c r="T37" i="77"/>
  <c r="U37" i="77" s="1"/>
  <c r="V37" i="77" s="1"/>
  <c r="T36" i="77"/>
  <c r="U36" i="77" s="1"/>
  <c r="V36" i="77" s="1"/>
  <c r="T35" i="77"/>
  <c r="U35" i="77" s="1"/>
  <c r="V35" i="77" s="1"/>
  <c r="T34" i="77"/>
  <c r="U34" i="77" s="1"/>
  <c r="V34" i="77" s="1"/>
  <c r="T33" i="77"/>
  <c r="U33" i="77" s="1"/>
  <c r="V33" i="77" s="1"/>
  <c r="T32" i="77"/>
  <c r="U32" i="77" s="1"/>
  <c r="V32" i="77" s="1"/>
  <c r="T31" i="77"/>
  <c r="U31" i="77" s="1"/>
  <c r="V31" i="77" s="1"/>
  <c r="T30" i="77"/>
  <c r="U30" i="77" s="1"/>
  <c r="V30" i="77" s="1"/>
  <c r="T29" i="77"/>
  <c r="U29" i="77" s="1"/>
  <c r="V29" i="77" s="1"/>
  <c r="T28" i="77"/>
  <c r="U28" i="77" s="1"/>
  <c r="V28" i="77" s="1"/>
  <c r="T27" i="77"/>
  <c r="U27" i="77" s="1"/>
  <c r="V27" i="77" s="1"/>
  <c r="T26" i="77"/>
  <c r="U26" i="77" s="1"/>
  <c r="V26" i="77" s="1"/>
  <c r="AY25" i="77"/>
  <c r="T25" i="77"/>
  <c r="U25" i="77" s="1"/>
  <c r="V25" i="77" s="1"/>
  <c r="T24" i="77"/>
  <c r="U24" i="77" s="1"/>
  <c r="V24" i="77" s="1"/>
  <c r="T23" i="77"/>
  <c r="U23" i="77" s="1"/>
  <c r="V23" i="77" s="1"/>
  <c r="T22" i="77"/>
  <c r="U22" i="77" s="1"/>
  <c r="V22" i="77" s="1"/>
  <c r="A22" i="77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T21" i="77"/>
  <c r="U21" i="77" s="1"/>
  <c r="V21" i="77" s="1"/>
  <c r="A21" i="77"/>
  <c r="U20" i="77"/>
  <c r="V20" i="77" s="1"/>
  <c r="T20" i="77"/>
  <c r="A20" i="77"/>
  <c r="T19" i="77"/>
  <c r="U19" i="77" s="1"/>
  <c r="V19" i="77" s="1"/>
  <c r="T18" i="77"/>
  <c r="U18" i="77" s="1"/>
  <c r="V18" i="77" s="1"/>
  <c r="T17" i="77"/>
  <c r="U17" i="77" s="1"/>
  <c r="V17" i="77" s="1"/>
  <c r="T16" i="77"/>
  <c r="U16" i="77" s="1"/>
  <c r="V16" i="77" s="1"/>
  <c r="T15" i="77"/>
  <c r="U15" i="77" s="1"/>
  <c r="V15" i="77" s="1"/>
  <c r="T14" i="77"/>
  <c r="U14" i="77" s="1"/>
  <c r="V14" i="77" s="1"/>
  <c r="A14" i="77"/>
  <c r="A15" i="77" s="1"/>
  <c r="A16" i="77" s="1"/>
  <c r="A17" i="77" s="1"/>
  <c r="A18" i="77" s="1"/>
  <c r="T13" i="77"/>
  <c r="U13" i="77" s="1"/>
  <c r="V13" i="77" s="1"/>
  <c r="U12" i="77"/>
  <c r="V12" i="77" s="1"/>
  <c r="T12" i="77"/>
  <c r="T11" i="77"/>
  <c r="U11" i="77" s="1"/>
  <c r="V11" i="77" s="1"/>
  <c r="T10" i="77"/>
  <c r="U10" i="77" s="1"/>
  <c r="V10" i="77" s="1"/>
  <c r="T9" i="77"/>
  <c r="U9" i="77" s="1"/>
  <c r="V9" i="77" s="1"/>
  <c r="T8" i="77"/>
  <c r="U8" i="77" s="1"/>
  <c r="V8" i="77" s="1"/>
  <c r="A8" i="77"/>
  <c r="A9" i="77" s="1"/>
  <c r="A10" i="77" s="1"/>
  <c r="A11" i="77" s="1"/>
  <c r="T7" i="77"/>
  <c r="T58" i="80" l="1"/>
  <c r="T58" i="79"/>
  <c r="T58" i="78"/>
  <c r="T58" i="77"/>
  <c r="U7" i="77"/>
  <c r="V7" i="77" s="1"/>
  <c r="V58" i="77" s="1"/>
  <c r="V7" i="80"/>
  <c r="V58" i="80" s="1"/>
  <c r="U58" i="80"/>
  <c r="U7" i="79"/>
  <c r="U7" i="78"/>
  <c r="C47" i="76"/>
  <c r="K43" i="76"/>
  <c r="J43" i="76"/>
  <c r="C43" i="76"/>
  <c r="C40" i="76"/>
  <c r="K37" i="76"/>
  <c r="C37" i="76"/>
  <c r="C34" i="76"/>
  <c r="C12" i="76"/>
  <c r="C10" i="76"/>
  <c r="C9" i="76"/>
  <c r="C8" i="76"/>
  <c r="U58" i="77" l="1"/>
  <c r="U58" i="79"/>
  <c r="V7" i="79"/>
  <c r="V58" i="79" s="1"/>
  <c r="U58" i="78"/>
  <c r="V7" i="78"/>
  <c r="V58" i="78" s="1"/>
  <c r="K37" i="73"/>
  <c r="C37" i="73"/>
  <c r="C47" i="73"/>
  <c r="K43" i="73"/>
  <c r="J43" i="73"/>
  <c r="C43" i="73"/>
  <c r="C40" i="73"/>
  <c r="C34" i="73"/>
  <c r="H24" i="73"/>
  <c r="H23" i="73"/>
  <c r="H21" i="73"/>
  <c r="H19" i="73"/>
  <c r="H17" i="73"/>
  <c r="C12" i="73"/>
  <c r="C10" i="73"/>
  <c r="C9" i="73"/>
  <c r="C8" i="73"/>
  <c r="C7" i="73"/>
  <c r="H21" i="72" l="1"/>
  <c r="C47" i="72"/>
  <c r="K43" i="72"/>
  <c r="J43" i="72"/>
  <c r="C43" i="72"/>
  <c r="C40" i="72"/>
  <c r="C37" i="72"/>
  <c r="K37" i="72"/>
  <c r="C34" i="72"/>
  <c r="H24" i="72"/>
  <c r="H23" i="72"/>
  <c r="H19" i="72"/>
  <c r="H17" i="72"/>
  <c r="C12" i="72"/>
  <c r="C10" i="72"/>
  <c r="C9" i="72"/>
  <c r="C8" i="72"/>
  <c r="R58" i="76"/>
  <c r="Q58" i="76"/>
  <c r="P58" i="76"/>
  <c r="O58" i="76"/>
  <c r="N58" i="76"/>
  <c r="M58" i="76"/>
  <c r="K58" i="76"/>
  <c r="J58" i="76"/>
  <c r="I58" i="76"/>
  <c r="H58" i="76"/>
  <c r="G58" i="76"/>
  <c r="F58" i="76"/>
  <c r="C58" i="76"/>
  <c r="T54" i="76"/>
  <c r="U54" i="76" s="1"/>
  <c r="V54" i="76" s="1"/>
  <c r="T53" i="76"/>
  <c r="U53" i="76" s="1"/>
  <c r="V53" i="76" s="1"/>
  <c r="T52" i="76"/>
  <c r="U52" i="76" s="1"/>
  <c r="V52" i="76" s="1"/>
  <c r="T51" i="76"/>
  <c r="U51" i="76" s="1"/>
  <c r="V51" i="76" s="1"/>
  <c r="T50" i="76"/>
  <c r="U50" i="76" s="1"/>
  <c r="V50" i="76" s="1"/>
  <c r="T49" i="76"/>
  <c r="U49" i="76" s="1"/>
  <c r="V49" i="76" s="1"/>
  <c r="T48" i="76"/>
  <c r="U48" i="76" s="1"/>
  <c r="V48" i="76" s="1"/>
  <c r="T47" i="76"/>
  <c r="U47" i="76" s="1"/>
  <c r="V47" i="76" s="1"/>
  <c r="T46" i="76"/>
  <c r="U46" i="76" s="1"/>
  <c r="V46" i="76" s="1"/>
  <c r="T45" i="76"/>
  <c r="U45" i="76" s="1"/>
  <c r="V45" i="76" s="1"/>
  <c r="T43" i="76"/>
  <c r="U43" i="76" s="1"/>
  <c r="V43" i="76" s="1"/>
  <c r="T41" i="76"/>
  <c r="U41" i="76" s="1"/>
  <c r="V41" i="76" s="1"/>
  <c r="T40" i="76"/>
  <c r="U40" i="76" s="1"/>
  <c r="V40" i="76" s="1"/>
  <c r="U39" i="76"/>
  <c r="V39" i="76" s="1"/>
  <c r="T39" i="76"/>
  <c r="T38" i="76"/>
  <c r="U38" i="76" s="1"/>
  <c r="V38" i="76" s="1"/>
  <c r="T37" i="76"/>
  <c r="U37" i="76" s="1"/>
  <c r="V37" i="76" s="1"/>
  <c r="T36" i="76"/>
  <c r="U36" i="76" s="1"/>
  <c r="V36" i="76" s="1"/>
  <c r="U35" i="76"/>
  <c r="V35" i="76" s="1"/>
  <c r="T35" i="76"/>
  <c r="T34" i="76"/>
  <c r="U34" i="76" s="1"/>
  <c r="V34" i="76" s="1"/>
  <c r="T33" i="76"/>
  <c r="U33" i="76" s="1"/>
  <c r="V33" i="76" s="1"/>
  <c r="T32" i="76"/>
  <c r="U32" i="76" s="1"/>
  <c r="V32" i="76" s="1"/>
  <c r="U31" i="76"/>
  <c r="V31" i="76" s="1"/>
  <c r="T31" i="76"/>
  <c r="T30" i="76"/>
  <c r="U30" i="76" s="1"/>
  <c r="V30" i="76" s="1"/>
  <c r="T29" i="76"/>
  <c r="U29" i="76" s="1"/>
  <c r="V29" i="76" s="1"/>
  <c r="T28" i="76"/>
  <c r="U28" i="76" s="1"/>
  <c r="V28" i="76" s="1"/>
  <c r="U27" i="76"/>
  <c r="V27" i="76" s="1"/>
  <c r="T27" i="76"/>
  <c r="T26" i="76"/>
  <c r="U26" i="76" s="1"/>
  <c r="V26" i="76" s="1"/>
  <c r="AY25" i="76"/>
  <c r="T25" i="76"/>
  <c r="U25" i="76" s="1"/>
  <c r="V25" i="76" s="1"/>
  <c r="T24" i="76"/>
  <c r="U24" i="76" s="1"/>
  <c r="V24" i="76" s="1"/>
  <c r="T23" i="76"/>
  <c r="U23" i="76" s="1"/>
  <c r="V23" i="76" s="1"/>
  <c r="T22" i="76"/>
  <c r="U22" i="76" s="1"/>
  <c r="V22" i="76" s="1"/>
  <c r="T21" i="76"/>
  <c r="U21" i="76" s="1"/>
  <c r="V21" i="76" s="1"/>
  <c r="T20" i="76"/>
  <c r="U20" i="76" s="1"/>
  <c r="V20" i="76" s="1"/>
  <c r="A20" i="76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T19" i="76"/>
  <c r="U19" i="76" s="1"/>
  <c r="V19" i="76" s="1"/>
  <c r="T18" i="76"/>
  <c r="U18" i="76" s="1"/>
  <c r="V18" i="76" s="1"/>
  <c r="T17" i="76"/>
  <c r="U17" i="76" s="1"/>
  <c r="V17" i="76" s="1"/>
  <c r="T16" i="76"/>
  <c r="U16" i="76" s="1"/>
  <c r="V16" i="76" s="1"/>
  <c r="U15" i="76"/>
  <c r="V15" i="76" s="1"/>
  <c r="T15" i="76"/>
  <c r="A15" i="76"/>
  <c r="A16" i="76" s="1"/>
  <c r="A17" i="76" s="1"/>
  <c r="A18" i="76" s="1"/>
  <c r="T14" i="76"/>
  <c r="U14" i="76" s="1"/>
  <c r="V14" i="76" s="1"/>
  <c r="A14" i="76"/>
  <c r="T13" i="76"/>
  <c r="U13" i="76" s="1"/>
  <c r="V13" i="76" s="1"/>
  <c r="T12" i="76"/>
  <c r="U12" i="76" s="1"/>
  <c r="V12" i="76" s="1"/>
  <c r="T11" i="76"/>
  <c r="U11" i="76" s="1"/>
  <c r="V11" i="76" s="1"/>
  <c r="T10" i="76"/>
  <c r="U10" i="76" s="1"/>
  <c r="V10" i="76" s="1"/>
  <c r="A10" i="76"/>
  <c r="A11" i="76" s="1"/>
  <c r="T9" i="76"/>
  <c r="U9" i="76" s="1"/>
  <c r="V9" i="76" s="1"/>
  <c r="A9" i="76"/>
  <c r="T8" i="76"/>
  <c r="U8" i="76" s="1"/>
  <c r="V8" i="76" s="1"/>
  <c r="A8" i="76"/>
  <c r="T7" i="76"/>
  <c r="R58" i="75"/>
  <c r="Q58" i="75"/>
  <c r="P58" i="75"/>
  <c r="O58" i="75"/>
  <c r="N58" i="75"/>
  <c r="M58" i="75"/>
  <c r="K58" i="75"/>
  <c r="J58" i="75"/>
  <c r="I58" i="75"/>
  <c r="H58" i="75"/>
  <c r="G58" i="75"/>
  <c r="F58" i="75"/>
  <c r="C58" i="75"/>
  <c r="T54" i="75"/>
  <c r="U54" i="75" s="1"/>
  <c r="V54" i="75" s="1"/>
  <c r="T53" i="75"/>
  <c r="U53" i="75" s="1"/>
  <c r="V53" i="75" s="1"/>
  <c r="T52" i="75"/>
  <c r="U52" i="75" s="1"/>
  <c r="V52" i="75" s="1"/>
  <c r="T51" i="75"/>
  <c r="U51" i="75" s="1"/>
  <c r="V51" i="75" s="1"/>
  <c r="T50" i="75"/>
  <c r="U50" i="75" s="1"/>
  <c r="V50" i="75" s="1"/>
  <c r="T49" i="75"/>
  <c r="U49" i="75" s="1"/>
  <c r="V49" i="75" s="1"/>
  <c r="T48" i="75"/>
  <c r="U48" i="75" s="1"/>
  <c r="V48" i="75" s="1"/>
  <c r="T47" i="75"/>
  <c r="U47" i="75" s="1"/>
  <c r="V47" i="75" s="1"/>
  <c r="T46" i="75"/>
  <c r="U46" i="75" s="1"/>
  <c r="V46" i="75" s="1"/>
  <c r="T45" i="75"/>
  <c r="U45" i="75" s="1"/>
  <c r="V45" i="75" s="1"/>
  <c r="T43" i="75"/>
  <c r="U43" i="75" s="1"/>
  <c r="V43" i="75" s="1"/>
  <c r="T41" i="75"/>
  <c r="U41" i="75" s="1"/>
  <c r="V41" i="75" s="1"/>
  <c r="T40" i="75"/>
  <c r="U40" i="75" s="1"/>
  <c r="V40" i="75" s="1"/>
  <c r="U39" i="75"/>
  <c r="V39" i="75" s="1"/>
  <c r="T39" i="75"/>
  <c r="T38" i="75"/>
  <c r="U38" i="75" s="1"/>
  <c r="V38" i="75" s="1"/>
  <c r="T37" i="75"/>
  <c r="U37" i="75" s="1"/>
  <c r="V37" i="75" s="1"/>
  <c r="T36" i="75"/>
  <c r="U36" i="75" s="1"/>
  <c r="V36" i="75" s="1"/>
  <c r="U35" i="75"/>
  <c r="V35" i="75" s="1"/>
  <c r="T35" i="75"/>
  <c r="T34" i="75"/>
  <c r="U34" i="75" s="1"/>
  <c r="V34" i="75" s="1"/>
  <c r="U33" i="75"/>
  <c r="V33" i="75" s="1"/>
  <c r="T33" i="75"/>
  <c r="T32" i="75"/>
  <c r="U32" i="75" s="1"/>
  <c r="V32" i="75" s="1"/>
  <c r="U31" i="75"/>
  <c r="V31" i="75" s="1"/>
  <c r="T31" i="75"/>
  <c r="T30" i="75"/>
  <c r="U30" i="75" s="1"/>
  <c r="V30" i="75" s="1"/>
  <c r="T29" i="75"/>
  <c r="U29" i="75" s="1"/>
  <c r="V29" i="75" s="1"/>
  <c r="T28" i="75"/>
  <c r="U28" i="75" s="1"/>
  <c r="V28" i="75" s="1"/>
  <c r="U27" i="75"/>
  <c r="V27" i="75" s="1"/>
  <c r="T27" i="75"/>
  <c r="T26" i="75"/>
  <c r="U26" i="75" s="1"/>
  <c r="V26" i="75" s="1"/>
  <c r="AY25" i="75"/>
  <c r="T25" i="75"/>
  <c r="U25" i="75" s="1"/>
  <c r="V25" i="75" s="1"/>
  <c r="T24" i="75"/>
  <c r="U24" i="75" s="1"/>
  <c r="V24" i="75" s="1"/>
  <c r="T23" i="75"/>
  <c r="U23" i="75" s="1"/>
  <c r="V23" i="75" s="1"/>
  <c r="T22" i="75"/>
  <c r="U22" i="75" s="1"/>
  <c r="V22" i="75" s="1"/>
  <c r="T21" i="75"/>
  <c r="U21" i="75" s="1"/>
  <c r="V21" i="75" s="1"/>
  <c r="A21" i="75"/>
  <c r="A22" i="75" s="1"/>
  <c r="A23" i="75" s="1"/>
  <c r="A24" i="75" s="1"/>
  <c r="A25" i="75" s="1"/>
  <c r="A26" i="75" s="1"/>
  <c r="A27" i="75" s="1"/>
  <c r="A28" i="75" s="1"/>
  <c r="A29" i="75" s="1"/>
  <c r="A30" i="75" s="1"/>
  <c r="A31" i="75" s="1"/>
  <c r="A32" i="75" s="1"/>
  <c r="A33" i="75" s="1"/>
  <c r="A34" i="75" s="1"/>
  <c r="A35" i="75" s="1"/>
  <c r="A36" i="75" s="1"/>
  <c r="A37" i="75" s="1"/>
  <c r="A38" i="75" s="1"/>
  <c r="A39" i="75" s="1"/>
  <c r="A40" i="75" s="1"/>
  <c r="A41" i="75" s="1"/>
  <c r="A42" i="75" s="1"/>
  <c r="A43" i="75" s="1"/>
  <c r="A44" i="75" s="1"/>
  <c r="A45" i="75" s="1"/>
  <c r="A46" i="75" s="1"/>
  <c r="A47" i="75" s="1"/>
  <c r="A48" i="75" s="1"/>
  <c r="A49" i="75" s="1"/>
  <c r="A50" i="75" s="1"/>
  <c r="A51" i="75" s="1"/>
  <c r="A52" i="75" s="1"/>
  <c r="A53" i="75" s="1"/>
  <c r="A54" i="75" s="1"/>
  <c r="A55" i="75" s="1"/>
  <c r="A56" i="75" s="1"/>
  <c r="A57" i="75" s="1"/>
  <c r="U20" i="75"/>
  <c r="V20" i="75" s="1"/>
  <c r="T20" i="75"/>
  <c r="A20" i="75"/>
  <c r="T19" i="75"/>
  <c r="U19" i="75" s="1"/>
  <c r="V19" i="75" s="1"/>
  <c r="T18" i="75"/>
  <c r="U18" i="75" s="1"/>
  <c r="V18" i="75" s="1"/>
  <c r="T17" i="75"/>
  <c r="U17" i="75" s="1"/>
  <c r="V17" i="75" s="1"/>
  <c r="T16" i="75"/>
  <c r="U16" i="75" s="1"/>
  <c r="V16" i="75" s="1"/>
  <c r="U15" i="75"/>
  <c r="V15" i="75" s="1"/>
  <c r="T15" i="75"/>
  <c r="A15" i="75"/>
  <c r="A16" i="75" s="1"/>
  <c r="A17" i="75" s="1"/>
  <c r="A18" i="75" s="1"/>
  <c r="T14" i="75"/>
  <c r="U14" i="75" s="1"/>
  <c r="V14" i="75" s="1"/>
  <c r="A14" i="75"/>
  <c r="T13" i="75"/>
  <c r="U13" i="75" s="1"/>
  <c r="V13" i="75" s="1"/>
  <c r="T12" i="75"/>
  <c r="U12" i="75" s="1"/>
  <c r="V12" i="75" s="1"/>
  <c r="T11" i="75"/>
  <c r="U11" i="75" s="1"/>
  <c r="V11" i="75" s="1"/>
  <c r="T10" i="75"/>
  <c r="U10" i="75" s="1"/>
  <c r="V10" i="75" s="1"/>
  <c r="T9" i="75"/>
  <c r="U9" i="75" s="1"/>
  <c r="V9" i="75" s="1"/>
  <c r="A9" i="75"/>
  <c r="A10" i="75" s="1"/>
  <c r="A11" i="75" s="1"/>
  <c r="T8" i="75"/>
  <c r="A8" i="75"/>
  <c r="T7" i="75"/>
  <c r="U7" i="75" s="1"/>
  <c r="R58" i="74"/>
  <c r="Q58" i="74"/>
  <c r="P58" i="74"/>
  <c r="O58" i="74"/>
  <c r="N58" i="74"/>
  <c r="M58" i="74"/>
  <c r="K58" i="74"/>
  <c r="J58" i="74"/>
  <c r="I58" i="74"/>
  <c r="H58" i="74"/>
  <c r="G58" i="74"/>
  <c r="F58" i="74"/>
  <c r="C58" i="74"/>
  <c r="T54" i="74"/>
  <c r="U54" i="74" s="1"/>
  <c r="V54" i="74" s="1"/>
  <c r="T53" i="74"/>
  <c r="U53" i="74" s="1"/>
  <c r="V53" i="74" s="1"/>
  <c r="T52" i="74"/>
  <c r="U52" i="74" s="1"/>
  <c r="V52" i="74" s="1"/>
  <c r="T51" i="74"/>
  <c r="U51" i="74" s="1"/>
  <c r="V51" i="74" s="1"/>
  <c r="T50" i="74"/>
  <c r="U50" i="74" s="1"/>
  <c r="V50" i="74" s="1"/>
  <c r="T49" i="74"/>
  <c r="U49" i="74" s="1"/>
  <c r="V49" i="74" s="1"/>
  <c r="T48" i="74"/>
  <c r="U48" i="74" s="1"/>
  <c r="V48" i="74" s="1"/>
  <c r="T47" i="74"/>
  <c r="U47" i="74" s="1"/>
  <c r="V47" i="74" s="1"/>
  <c r="T46" i="74"/>
  <c r="U46" i="74" s="1"/>
  <c r="V46" i="74" s="1"/>
  <c r="T45" i="74"/>
  <c r="U45" i="74" s="1"/>
  <c r="V45" i="74" s="1"/>
  <c r="T43" i="74"/>
  <c r="U43" i="74" s="1"/>
  <c r="V43" i="74" s="1"/>
  <c r="T41" i="74"/>
  <c r="U41" i="74" s="1"/>
  <c r="V41" i="74" s="1"/>
  <c r="T40" i="74"/>
  <c r="U40" i="74" s="1"/>
  <c r="V40" i="74" s="1"/>
  <c r="T39" i="74"/>
  <c r="U39" i="74" s="1"/>
  <c r="V39" i="74" s="1"/>
  <c r="T38" i="74"/>
  <c r="U38" i="74" s="1"/>
  <c r="V38" i="74" s="1"/>
  <c r="T37" i="74"/>
  <c r="U37" i="74" s="1"/>
  <c r="V37" i="74" s="1"/>
  <c r="T36" i="74"/>
  <c r="U36" i="74" s="1"/>
  <c r="V36" i="74" s="1"/>
  <c r="T35" i="74"/>
  <c r="U35" i="74" s="1"/>
  <c r="V35" i="74" s="1"/>
  <c r="T34" i="74"/>
  <c r="U34" i="74" s="1"/>
  <c r="V34" i="74" s="1"/>
  <c r="T33" i="74"/>
  <c r="U33" i="74" s="1"/>
  <c r="V33" i="74" s="1"/>
  <c r="T32" i="74"/>
  <c r="U32" i="74" s="1"/>
  <c r="V32" i="74" s="1"/>
  <c r="T31" i="74"/>
  <c r="U31" i="74" s="1"/>
  <c r="V31" i="74" s="1"/>
  <c r="T30" i="74"/>
  <c r="U30" i="74" s="1"/>
  <c r="V30" i="74" s="1"/>
  <c r="T29" i="74"/>
  <c r="U29" i="74" s="1"/>
  <c r="V29" i="74" s="1"/>
  <c r="T28" i="74"/>
  <c r="U28" i="74" s="1"/>
  <c r="V28" i="74" s="1"/>
  <c r="T27" i="74"/>
  <c r="U27" i="74" s="1"/>
  <c r="V27" i="74" s="1"/>
  <c r="T26" i="74"/>
  <c r="U26" i="74" s="1"/>
  <c r="V26" i="74" s="1"/>
  <c r="AY25" i="74"/>
  <c r="T25" i="74"/>
  <c r="U25" i="74" s="1"/>
  <c r="V25" i="74" s="1"/>
  <c r="T24" i="74"/>
  <c r="U24" i="74" s="1"/>
  <c r="V24" i="74" s="1"/>
  <c r="T23" i="74"/>
  <c r="U23" i="74" s="1"/>
  <c r="V23" i="74" s="1"/>
  <c r="T22" i="74"/>
  <c r="U22" i="74" s="1"/>
  <c r="V22" i="74" s="1"/>
  <c r="T21" i="74"/>
  <c r="U21" i="74" s="1"/>
  <c r="V21" i="74" s="1"/>
  <c r="U20" i="74"/>
  <c r="V20" i="74" s="1"/>
  <c r="T20" i="74"/>
  <c r="A20" i="74"/>
  <c r="A21" i="74" s="1"/>
  <c r="A22" i="74" s="1"/>
  <c r="A23" i="74" s="1"/>
  <c r="A24" i="74" s="1"/>
  <c r="A25" i="74" s="1"/>
  <c r="A26" i="74" s="1"/>
  <c r="A27" i="74" s="1"/>
  <c r="A28" i="74" s="1"/>
  <c r="A29" i="74" s="1"/>
  <c r="A30" i="74" s="1"/>
  <c r="A31" i="74" s="1"/>
  <c r="A32" i="74" s="1"/>
  <c r="A33" i="74" s="1"/>
  <c r="A34" i="74" s="1"/>
  <c r="A35" i="74" s="1"/>
  <c r="A36" i="74" s="1"/>
  <c r="A37" i="74" s="1"/>
  <c r="A38" i="74" s="1"/>
  <c r="A39" i="74" s="1"/>
  <c r="A40" i="74" s="1"/>
  <c r="A41" i="74" s="1"/>
  <c r="A42" i="74" s="1"/>
  <c r="A43" i="74" s="1"/>
  <c r="A44" i="74" s="1"/>
  <c r="A45" i="74" s="1"/>
  <c r="A46" i="74" s="1"/>
  <c r="A47" i="74" s="1"/>
  <c r="A48" i="74" s="1"/>
  <c r="A49" i="74" s="1"/>
  <c r="A50" i="74" s="1"/>
  <c r="A51" i="74" s="1"/>
  <c r="A52" i="74" s="1"/>
  <c r="A53" i="74" s="1"/>
  <c r="A54" i="74" s="1"/>
  <c r="A55" i="74" s="1"/>
  <c r="A56" i="74" s="1"/>
  <c r="A57" i="74" s="1"/>
  <c r="U19" i="74"/>
  <c r="V19" i="74" s="1"/>
  <c r="T19" i="74"/>
  <c r="T18" i="74"/>
  <c r="U18" i="74" s="1"/>
  <c r="V18" i="74" s="1"/>
  <c r="T17" i="74"/>
  <c r="U17" i="74" s="1"/>
  <c r="V17" i="74" s="1"/>
  <c r="T16" i="74"/>
  <c r="U16" i="74" s="1"/>
  <c r="V16" i="74" s="1"/>
  <c r="T15" i="74"/>
  <c r="U15" i="74" s="1"/>
  <c r="V15" i="74" s="1"/>
  <c r="A15" i="74"/>
  <c r="A16" i="74" s="1"/>
  <c r="A17" i="74" s="1"/>
  <c r="A18" i="74" s="1"/>
  <c r="T14" i="74"/>
  <c r="U14" i="74" s="1"/>
  <c r="V14" i="74" s="1"/>
  <c r="A14" i="74"/>
  <c r="T13" i="74"/>
  <c r="U13" i="74" s="1"/>
  <c r="V13" i="74" s="1"/>
  <c r="T12" i="74"/>
  <c r="U12" i="74" s="1"/>
  <c r="V12" i="74" s="1"/>
  <c r="T11" i="74"/>
  <c r="U11" i="74" s="1"/>
  <c r="V11" i="74" s="1"/>
  <c r="T10" i="74"/>
  <c r="T9" i="74"/>
  <c r="U9" i="74" s="1"/>
  <c r="V9" i="74" s="1"/>
  <c r="A9" i="74"/>
  <c r="A10" i="74" s="1"/>
  <c r="A11" i="74" s="1"/>
  <c r="T8" i="74"/>
  <c r="U8" i="74" s="1"/>
  <c r="V8" i="74" s="1"/>
  <c r="A8" i="74"/>
  <c r="T7" i="74"/>
  <c r="U7" i="74" s="1"/>
  <c r="R58" i="73"/>
  <c r="Q58" i="73"/>
  <c r="P58" i="73"/>
  <c r="O58" i="73"/>
  <c r="N58" i="73"/>
  <c r="M58" i="73"/>
  <c r="K58" i="73"/>
  <c r="J58" i="73"/>
  <c r="I58" i="73"/>
  <c r="H58" i="73"/>
  <c r="G58" i="73"/>
  <c r="F58" i="73"/>
  <c r="C58" i="73"/>
  <c r="T54" i="73"/>
  <c r="U54" i="73" s="1"/>
  <c r="V54" i="73" s="1"/>
  <c r="T53" i="73"/>
  <c r="U53" i="73" s="1"/>
  <c r="V53" i="73" s="1"/>
  <c r="U52" i="73"/>
  <c r="V52" i="73" s="1"/>
  <c r="T52" i="73"/>
  <c r="T51" i="73"/>
  <c r="U51" i="73" s="1"/>
  <c r="V51" i="73" s="1"/>
  <c r="T50" i="73"/>
  <c r="U50" i="73" s="1"/>
  <c r="V50" i="73" s="1"/>
  <c r="T49" i="73"/>
  <c r="U49" i="73" s="1"/>
  <c r="V49" i="73" s="1"/>
  <c r="T48" i="73"/>
  <c r="U48" i="73" s="1"/>
  <c r="V48" i="73" s="1"/>
  <c r="T47" i="73"/>
  <c r="U47" i="73" s="1"/>
  <c r="V47" i="73" s="1"/>
  <c r="T46" i="73"/>
  <c r="U46" i="73" s="1"/>
  <c r="V46" i="73" s="1"/>
  <c r="T45" i="73"/>
  <c r="U45" i="73" s="1"/>
  <c r="V45" i="73" s="1"/>
  <c r="T43" i="73"/>
  <c r="U43" i="73" s="1"/>
  <c r="V43" i="73" s="1"/>
  <c r="T41" i="73"/>
  <c r="U41" i="73" s="1"/>
  <c r="V41" i="73" s="1"/>
  <c r="T40" i="73"/>
  <c r="U40" i="73" s="1"/>
  <c r="V40" i="73" s="1"/>
  <c r="T39" i="73"/>
  <c r="U39" i="73" s="1"/>
  <c r="V39" i="73" s="1"/>
  <c r="T38" i="73"/>
  <c r="U38" i="73" s="1"/>
  <c r="V38" i="73" s="1"/>
  <c r="T37" i="73"/>
  <c r="U37" i="73" s="1"/>
  <c r="V37" i="73" s="1"/>
  <c r="T36" i="73"/>
  <c r="U36" i="73" s="1"/>
  <c r="V36" i="73" s="1"/>
  <c r="T35" i="73"/>
  <c r="U35" i="73" s="1"/>
  <c r="V35" i="73" s="1"/>
  <c r="T34" i="73"/>
  <c r="U34" i="73" s="1"/>
  <c r="V34" i="73" s="1"/>
  <c r="T33" i="73"/>
  <c r="U33" i="73" s="1"/>
  <c r="V33" i="73" s="1"/>
  <c r="T32" i="73"/>
  <c r="U32" i="73" s="1"/>
  <c r="V32" i="73" s="1"/>
  <c r="T31" i="73"/>
  <c r="U31" i="73" s="1"/>
  <c r="V31" i="73" s="1"/>
  <c r="T30" i="73"/>
  <c r="U30" i="73" s="1"/>
  <c r="V30" i="73" s="1"/>
  <c r="T29" i="73"/>
  <c r="U29" i="73" s="1"/>
  <c r="V29" i="73" s="1"/>
  <c r="T28" i="73"/>
  <c r="U28" i="73" s="1"/>
  <c r="V28" i="73" s="1"/>
  <c r="T27" i="73"/>
  <c r="U27" i="73" s="1"/>
  <c r="V27" i="73" s="1"/>
  <c r="T26" i="73"/>
  <c r="U26" i="73" s="1"/>
  <c r="V26" i="73" s="1"/>
  <c r="AY25" i="73"/>
  <c r="T25" i="73"/>
  <c r="U25" i="73" s="1"/>
  <c r="V25" i="73" s="1"/>
  <c r="T24" i="73"/>
  <c r="U24" i="73" s="1"/>
  <c r="V24" i="73" s="1"/>
  <c r="T23" i="73"/>
  <c r="U23" i="73" s="1"/>
  <c r="V23" i="73" s="1"/>
  <c r="T22" i="73"/>
  <c r="U22" i="73" s="1"/>
  <c r="V22" i="73" s="1"/>
  <c r="T21" i="73"/>
  <c r="U21" i="73" s="1"/>
  <c r="V21" i="73" s="1"/>
  <c r="T20" i="73"/>
  <c r="U20" i="73" s="1"/>
  <c r="V20" i="73" s="1"/>
  <c r="A20" i="73"/>
  <c r="A21" i="73" s="1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T19" i="73"/>
  <c r="U19" i="73" s="1"/>
  <c r="V19" i="73" s="1"/>
  <c r="T18" i="73"/>
  <c r="U18" i="73" s="1"/>
  <c r="V18" i="73" s="1"/>
  <c r="T17" i="73"/>
  <c r="U17" i="73" s="1"/>
  <c r="V17" i="73" s="1"/>
  <c r="T16" i="73"/>
  <c r="U16" i="73" s="1"/>
  <c r="V16" i="73" s="1"/>
  <c r="T15" i="73"/>
  <c r="U15" i="73" s="1"/>
  <c r="V15" i="73" s="1"/>
  <c r="A15" i="73"/>
  <c r="A16" i="73" s="1"/>
  <c r="A17" i="73" s="1"/>
  <c r="A18" i="73" s="1"/>
  <c r="T14" i="73"/>
  <c r="U14" i="73" s="1"/>
  <c r="V14" i="73" s="1"/>
  <c r="A14" i="73"/>
  <c r="T13" i="73"/>
  <c r="U13" i="73" s="1"/>
  <c r="V13" i="73" s="1"/>
  <c r="T12" i="73"/>
  <c r="U12" i="73" s="1"/>
  <c r="V12" i="73" s="1"/>
  <c r="T11" i="73"/>
  <c r="U11" i="73" s="1"/>
  <c r="V11" i="73" s="1"/>
  <c r="U10" i="73"/>
  <c r="V10" i="73" s="1"/>
  <c r="T10" i="73"/>
  <c r="T9" i="73"/>
  <c r="U9" i="73" s="1"/>
  <c r="V9" i="73" s="1"/>
  <c r="T8" i="73"/>
  <c r="U8" i="73" s="1"/>
  <c r="V8" i="73" s="1"/>
  <c r="A8" i="73"/>
  <c r="A9" i="73" s="1"/>
  <c r="A10" i="73" s="1"/>
  <c r="A11" i="73" s="1"/>
  <c r="T7" i="73"/>
  <c r="C47" i="71"/>
  <c r="C43" i="71"/>
  <c r="K43" i="71"/>
  <c r="J43" i="71"/>
  <c r="C40" i="71"/>
  <c r="K37" i="71"/>
  <c r="C37" i="71"/>
  <c r="C34" i="71"/>
  <c r="H24" i="71"/>
  <c r="H23" i="71"/>
  <c r="C22" i="71"/>
  <c r="H21" i="71"/>
  <c r="H19" i="71"/>
  <c r="H17" i="71"/>
  <c r="C12" i="71"/>
  <c r="C11" i="71"/>
  <c r="C10" i="71"/>
  <c r="C9" i="71"/>
  <c r="C8" i="71"/>
  <c r="T58" i="75" l="1"/>
  <c r="T58" i="74"/>
  <c r="T58" i="76"/>
  <c r="T58" i="73"/>
  <c r="U7" i="76"/>
  <c r="V7" i="75"/>
  <c r="U8" i="75"/>
  <c r="V8" i="75" s="1"/>
  <c r="V7" i="74"/>
  <c r="U10" i="74"/>
  <c r="V10" i="74" s="1"/>
  <c r="U7" i="73"/>
  <c r="C47" i="70"/>
  <c r="K43" i="70"/>
  <c r="J43" i="70"/>
  <c r="T43" i="70" s="1"/>
  <c r="C43" i="70"/>
  <c r="C40" i="70"/>
  <c r="C37" i="70"/>
  <c r="K37" i="70"/>
  <c r="T37" i="70" s="1"/>
  <c r="U37" i="70" s="1"/>
  <c r="V37" i="70" s="1"/>
  <c r="C34" i="70"/>
  <c r="H24" i="70"/>
  <c r="T24" i="70" s="1"/>
  <c r="U24" i="70" s="1"/>
  <c r="V24" i="70" s="1"/>
  <c r="H23" i="70"/>
  <c r="H21" i="70"/>
  <c r="H19" i="70"/>
  <c r="T19" i="70" s="1"/>
  <c r="U19" i="70" s="1"/>
  <c r="V19" i="70" s="1"/>
  <c r="H17" i="70"/>
  <c r="C12" i="70"/>
  <c r="C10" i="70"/>
  <c r="C9" i="70"/>
  <c r="C8" i="70"/>
  <c r="R58" i="72"/>
  <c r="Q58" i="72"/>
  <c r="P58" i="72"/>
  <c r="O58" i="72"/>
  <c r="N58" i="72"/>
  <c r="M58" i="72"/>
  <c r="K58" i="72"/>
  <c r="J58" i="72"/>
  <c r="I58" i="72"/>
  <c r="H58" i="72"/>
  <c r="G58" i="72"/>
  <c r="F58" i="72"/>
  <c r="C58" i="72"/>
  <c r="U54" i="72"/>
  <c r="V54" i="72" s="1"/>
  <c r="T54" i="72"/>
  <c r="U53" i="72"/>
  <c r="V53" i="72" s="1"/>
  <c r="T53" i="72"/>
  <c r="U52" i="72"/>
  <c r="V52" i="72" s="1"/>
  <c r="T52" i="72"/>
  <c r="T51" i="72"/>
  <c r="U51" i="72" s="1"/>
  <c r="V51" i="72" s="1"/>
  <c r="U50" i="72"/>
  <c r="V50" i="72" s="1"/>
  <c r="T50" i="72"/>
  <c r="V49" i="72"/>
  <c r="U49" i="72"/>
  <c r="T49" i="72"/>
  <c r="T48" i="72"/>
  <c r="U48" i="72" s="1"/>
  <c r="V48" i="72" s="1"/>
  <c r="T47" i="72"/>
  <c r="U47" i="72" s="1"/>
  <c r="V47" i="72" s="1"/>
  <c r="U46" i="72"/>
  <c r="V46" i="72" s="1"/>
  <c r="T46" i="72"/>
  <c r="V45" i="72"/>
  <c r="U45" i="72"/>
  <c r="T45" i="72"/>
  <c r="T43" i="72"/>
  <c r="U43" i="72" s="1"/>
  <c r="V43" i="72" s="1"/>
  <c r="T41" i="72"/>
  <c r="U41" i="72" s="1"/>
  <c r="V41" i="72" s="1"/>
  <c r="T40" i="72"/>
  <c r="U40" i="72" s="1"/>
  <c r="V40" i="72" s="1"/>
  <c r="T39" i="72"/>
  <c r="U39" i="72" s="1"/>
  <c r="V39" i="72" s="1"/>
  <c r="T38" i="72"/>
  <c r="U38" i="72" s="1"/>
  <c r="V38" i="72" s="1"/>
  <c r="T37" i="72"/>
  <c r="U37" i="72" s="1"/>
  <c r="V37" i="72" s="1"/>
  <c r="T36" i="72"/>
  <c r="U36" i="72" s="1"/>
  <c r="V36" i="72" s="1"/>
  <c r="T35" i="72"/>
  <c r="U35" i="72" s="1"/>
  <c r="V35" i="72" s="1"/>
  <c r="T34" i="72"/>
  <c r="U34" i="72" s="1"/>
  <c r="V34" i="72" s="1"/>
  <c r="T33" i="72"/>
  <c r="U33" i="72" s="1"/>
  <c r="V33" i="72" s="1"/>
  <c r="T32" i="72"/>
  <c r="U32" i="72" s="1"/>
  <c r="V32" i="72" s="1"/>
  <c r="T31" i="72"/>
  <c r="U31" i="72" s="1"/>
  <c r="V31" i="72" s="1"/>
  <c r="T30" i="72"/>
  <c r="U30" i="72" s="1"/>
  <c r="V30" i="72" s="1"/>
  <c r="T29" i="72"/>
  <c r="U29" i="72" s="1"/>
  <c r="V29" i="72" s="1"/>
  <c r="T28" i="72"/>
  <c r="U28" i="72" s="1"/>
  <c r="V28" i="72" s="1"/>
  <c r="T27" i="72"/>
  <c r="U27" i="72" s="1"/>
  <c r="V27" i="72" s="1"/>
  <c r="T26" i="72"/>
  <c r="U26" i="72" s="1"/>
  <c r="V26" i="72" s="1"/>
  <c r="AY25" i="72"/>
  <c r="T25" i="72"/>
  <c r="U25" i="72" s="1"/>
  <c r="V25" i="72" s="1"/>
  <c r="T24" i="72"/>
  <c r="U24" i="72" s="1"/>
  <c r="V24" i="72" s="1"/>
  <c r="T23" i="72"/>
  <c r="U23" i="72" s="1"/>
  <c r="V23" i="72" s="1"/>
  <c r="T22" i="72"/>
  <c r="U22" i="72" s="1"/>
  <c r="V22" i="72" s="1"/>
  <c r="T21" i="72"/>
  <c r="U21" i="72" s="1"/>
  <c r="V21" i="72" s="1"/>
  <c r="T20" i="72"/>
  <c r="U20" i="72" s="1"/>
  <c r="V20" i="72" s="1"/>
  <c r="A20" i="72"/>
  <c r="A21" i="72" s="1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T19" i="72"/>
  <c r="U19" i="72" s="1"/>
  <c r="V19" i="72" s="1"/>
  <c r="T18" i="72"/>
  <c r="U18" i="72" s="1"/>
  <c r="V18" i="72" s="1"/>
  <c r="T17" i="72"/>
  <c r="U17" i="72" s="1"/>
  <c r="V17" i="72" s="1"/>
  <c r="T16" i="72"/>
  <c r="U16" i="72" s="1"/>
  <c r="V16" i="72" s="1"/>
  <c r="T15" i="72"/>
  <c r="U15" i="72" s="1"/>
  <c r="V15" i="72" s="1"/>
  <c r="A15" i="72"/>
  <c r="A16" i="72" s="1"/>
  <c r="A17" i="72" s="1"/>
  <c r="A18" i="72" s="1"/>
  <c r="T14" i="72"/>
  <c r="U14" i="72" s="1"/>
  <c r="V14" i="72" s="1"/>
  <c r="A14" i="72"/>
  <c r="T13" i="72"/>
  <c r="U13" i="72" s="1"/>
  <c r="V13" i="72" s="1"/>
  <c r="T12" i="72"/>
  <c r="U12" i="72" s="1"/>
  <c r="V12" i="72" s="1"/>
  <c r="U11" i="72"/>
  <c r="V11" i="72" s="1"/>
  <c r="T11" i="72"/>
  <c r="U10" i="72"/>
  <c r="V10" i="72" s="1"/>
  <c r="T10" i="72"/>
  <c r="T9" i="72"/>
  <c r="U9" i="72" s="1"/>
  <c r="V9" i="72" s="1"/>
  <c r="T8" i="72"/>
  <c r="U8" i="72" s="1"/>
  <c r="V8" i="72" s="1"/>
  <c r="A8" i="72"/>
  <c r="A9" i="72" s="1"/>
  <c r="A10" i="72" s="1"/>
  <c r="A11" i="72" s="1"/>
  <c r="T7" i="72"/>
  <c r="H24" i="69"/>
  <c r="C47" i="69"/>
  <c r="C43" i="69"/>
  <c r="C41" i="69"/>
  <c r="I43" i="69"/>
  <c r="J43" i="69"/>
  <c r="K43" i="69"/>
  <c r="C40" i="69"/>
  <c r="K37" i="69"/>
  <c r="C37" i="69"/>
  <c r="C34" i="69"/>
  <c r="H23" i="69"/>
  <c r="H21" i="69"/>
  <c r="H19" i="69"/>
  <c r="H17" i="69"/>
  <c r="C12" i="69"/>
  <c r="C10" i="69"/>
  <c r="C9" i="69"/>
  <c r="C8" i="69"/>
  <c r="R58" i="71"/>
  <c r="Q58" i="71"/>
  <c r="P58" i="71"/>
  <c r="O58" i="71"/>
  <c r="N58" i="71"/>
  <c r="M58" i="71"/>
  <c r="K58" i="71"/>
  <c r="J58" i="71"/>
  <c r="I58" i="71"/>
  <c r="H58" i="71"/>
  <c r="G58" i="71"/>
  <c r="F58" i="71"/>
  <c r="C58" i="71"/>
  <c r="T54" i="71"/>
  <c r="U54" i="71" s="1"/>
  <c r="V54" i="71" s="1"/>
  <c r="T53" i="71"/>
  <c r="U53" i="71" s="1"/>
  <c r="V53" i="71" s="1"/>
  <c r="U52" i="71"/>
  <c r="V52" i="71" s="1"/>
  <c r="T52" i="71"/>
  <c r="T51" i="71"/>
  <c r="U51" i="71" s="1"/>
  <c r="V51" i="71" s="1"/>
  <c r="T50" i="71"/>
  <c r="U50" i="71" s="1"/>
  <c r="V50" i="71" s="1"/>
  <c r="T49" i="71"/>
  <c r="U49" i="71" s="1"/>
  <c r="V49" i="71" s="1"/>
  <c r="T48" i="71"/>
  <c r="U48" i="71" s="1"/>
  <c r="V48" i="71" s="1"/>
  <c r="T47" i="71"/>
  <c r="U47" i="71" s="1"/>
  <c r="V47" i="71" s="1"/>
  <c r="T46" i="71"/>
  <c r="U46" i="71" s="1"/>
  <c r="V46" i="71" s="1"/>
  <c r="T45" i="71"/>
  <c r="U45" i="71" s="1"/>
  <c r="V45" i="71" s="1"/>
  <c r="T43" i="71"/>
  <c r="U43" i="71" s="1"/>
  <c r="V43" i="71" s="1"/>
  <c r="T41" i="71"/>
  <c r="U41" i="71" s="1"/>
  <c r="V41" i="71" s="1"/>
  <c r="T40" i="71"/>
  <c r="U40" i="71" s="1"/>
  <c r="V40" i="71" s="1"/>
  <c r="T39" i="71"/>
  <c r="U39" i="71" s="1"/>
  <c r="V39" i="71" s="1"/>
  <c r="T38" i="71"/>
  <c r="U38" i="71" s="1"/>
  <c r="V38" i="71" s="1"/>
  <c r="T37" i="71"/>
  <c r="U37" i="71" s="1"/>
  <c r="V37" i="71" s="1"/>
  <c r="T36" i="71"/>
  <c r="U36" i="71" s="1"/>
  <c r="V36" i="71" s="1"/>
  <c r="T35" i="71"/>
  <c r="U35" i="71" s="1"/>
  <c r="V35" i="71" s="1"/>
  <c r="T34" i="71"/>
  <c r="U34" i="71" s="1"/>
  <c r="V34" i="71" s="1"/>
  <c r="T33" i="71"/>
  <c r="U33" i="71" s="1"/>
  <c r="V33" i="71" s="1"/>
  <c r="T32" i="71"/>
  <c r="U32" i="71" s="1"/>
  <c r="V32" i="71" s="1"/>
  <c r="T31" i="71"/>
  <c r="U31" i="71" s="1"/>
  <c r="V31" i="71" s="1"/>
  <c r="T30" i="71"/>
  <c r="U30" i="71" s="1"/>
  <c r="V30" i="71" s="1"/>
  <c r="T29" i="71"/>
  <c r="U29" i="71" s="1"/>
  <c r="V29" i="71" s="1"/>
  <c r="T28" i="71"/>
  <c r="U28" i="71" s="1"/>
  <c r="V28" i="71" s="1"/>
  <c r="T27" i="71"/>
  <c r="U27" i="71" s="1"/>
  <c r="V27" i="71" s="1"/>
  <c r="T26" i="71"/>
  <c r="U26" i="71" s="1"/>
  <c r="V26" i="71" s="1"/>
  <c r="AY25" i="71"/>
  <c r="T25" i="71"/>
  <c r="U25" i="71" s="1"/>
  <c r="V25" i="71" s="1"/>
  <c r="T24" i="71"/>
  <c r="U24" i="71" s="1"/>
  <c r="V24" i="71" s="1"/>
  <c r="T23" i="71"/>
  <c r="U23" i="71" s="1"/>
  <c r="V23" i="71" s="1"/>
  <c r="T22" i="71"/>
  <c r="U22" i="71" s="1"/>
  <c r="V22" i="71" s="1"/>
  <c r="T21" i="71"/>
  <c r="U21" i="71" s="1"/>
  <c r="V21" i="71" s="1"/>
  <c r="A21" i="7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U20" i="71"/>
  <c r="V20" i="71" s="1"/>
  <c r="T20" i="71"/>
  <c r="A20" i="71"/>
  <c r="T19" i="71"/>
  <c r="U19" i="71" s="1"/>
  <c r="V19" i="71" s="1"/>
  <c r="T18" i="71"/>
  <c r="U18" i="71" s="1"/>
  <c r="V18" i="71" s="1"/>
  <c r="T17" i="71"/>
  <c r="U17" i="71" s="1"/>
  <c r="V17" i="71" s="1"/>
  <c r="T16" i="71"/>
  <c r="U16" i="71" s="1"/>
  <c r="V16" i="71" s="1"/>
  <c r="T15" i="71"/>
  <c r="U15" i="71" s="1"/>
  <c r="V15" i="71" s="1"/>
  <c r="A15" i="71"/>
  <c r="A16" i="71" s="1"/>
  <c r="A17" i="71" s="1"/>
  <c r="A18" i="71" s="1"/>
  <c r="T14" i="71"/>
  <c r="U14" i="71" s="1"/>
  <c r="V14" i="71" s="1"/>
  <c r="A14" i="71"/>
  <c r="T13" i="71"/>
  <c r="U13" i="71" s="1"/>
  <c r="V13" i="71" s="1"/>
  <c r="T12" i="71"/>
  <c r="U12" i="71" s="1"/>
  <c r="V12" i="71" s="1"/>
  <c r="T11" i="71"/>
  <c r="U11" i="71" s="1"/>
  <c r="V11" i="71" s="1"/>
  <c r="U10" i="71"/>
  <c r="V10" i="71" s="1"/>
  <c r="T10" i="71"/>
  <c r="T9" i="71"/>
  <c r="U9" i="71" s="1"/>
  <c r="V9" i="71" s="1"/>
  <c r="T8" i="71"/>
  <c r="U8" i="71" s="1"/>
  <c r="V8" i="71" s="1"/>
  <c r="A8" i="71"/>
  <c r="A9" i="71" s="1"/>
  <c r="A10" i="71" s="1"/>
  <c r="A11" i="71" s="1"/>
  <c r="T7" i="71"/>
  <c r="R58" i="70"/>
  <c r="Q58" i="70"/>
  <c r="P58" i="70"/>
  <c r="O58" i="70"/>
  <c r="N58" i="70"/>
  <c r="M58" i="70"/>
  <c r="J58" i="70"/>
  <c r="I58" i="70"/>
  <c r="G58" i="70"/>
  <c r="F58" i="70"/>
  <c r="U54" i="70"/>
  <c r="V54" i="70" s="1"/>
  <c r="T54" i="70"/>
  <c r="T53" i="70"/>
  <c r="U53" i="70" s="1"/>
  <c r="V53" i="70" s="1"/>
  <c r="U52" i="70"/>
  <c r="V52" i="70" s="1"/>
  <c r="T52" i="70"/>
  <c r="U51" i="70"/>
  <c r="V51" i="70" s="1"/>
  <c r="T51" i="70"/>
  <c r="U50" i="70"/>
  <c r="V50" i="70" s="1"/>
  <c r="T50" i="70"/>
  <c r="T49" i="70"/>
  <c r="U49" i="70" s="1"/>
  <c r="V49" i="70" s="1"/>
  <c r="T48" i="70"/>
  <c r="U48" i="70" s="1"/>
  <c r="V48" i="70" s="1"/>
  <c r="T47" i="70"/>
  <c r="U47" i="70" s="1"/>
  <c r="V47" i="70" s="1"/>
  <c r="U46" i="70"/>
  <c r="V46" i="70" s="1"/>
  <c r="T46" i="70"/>
  <c r="T45" i="70"/>
  <c r="U45" i="70" s="1"/>
  <c r="V45" i="70" s="1"/>
  <c r="T41" i="70"/>
  <c r="U41" i="70" s="1"/>
  <c r="V41" i="70" s="1"/>
  <c r="T40" i="70"/>
  <c r="U40" i="70" s="1"/>
  <c r="V40" i="70" s="1"/>
  <c r="T39" i="70"/>
  <c r="U39" i="70" s="1"/>
  <c r="V39" i="70" s="1"/>
  <c r="T38" i="70"/>
  <c r="U38" i="70" s="1"/>
  <c r="V38" i="70" s="1"/>
  <c r="T36" i="70"/>
  <c r="U36" i="70" s="1"/>
  <c r="V36" i="70" s="1"/>
  <c r="T35" i="70"/>
  <c r="U35" i="70" s="1"/>
  <c r="V35" i="70" s="1"/>
  <c r="T34" i="70"/>
  <c r="T33" i="70"/>
  <c r="U33" i="70" s="1"/>
  <c r="V33" i="70" s="1"/>
  <c r="T32" i="70"/>
  <c r="U32" i="70" s="1"/>
  <c r="V32" i="70" s="1"/>
  <c r="T31" i="70"/>
  <c r="U31" i="70" s="1"/>
  <c r="V31" i="70" s="1"/>
  <c r="T30" i="70"/>
  <c r="U30" i="70" s="1"/>
  <c r="V30" i="70" s="1"/>
  <c r="T29" i="70"/>
  <c r="U29" i="70" s="1"/>
  <c r="V29" i="70" s="1"/>
  <c r="T28" i="70"/>
  <c r="U28" i="70" s="1"/>
  <c r="V28" i="70" s="1"/>
  <c r="T27" i="70"/>
  <c r="U27" i="70" s="1"/>
  <c r="V27" i="70" s="1"/>
  <c r="T26" i="70"/>
  <c r="U26" i="70" s="1"/>
  <c r="V26" i="70" s="1"/>
  <c r="AY25" i="70"/>
  <c r="T25" i="70"/>
  <c r="U25" i="70" s="1"/>
  <c r="V25" i="70" s="1"/>
  <c r="T23" i="70"/>
  <c r="U23" i="70" s="1"/>
  <c r="V23" i="70" s="1"/>
  <c r="T22" i="70"/>
  <c r="U22" i="70" s="1"/>
  <c r="V22" i="70" s="1"/>
  <c r="T21" i="70"/>
  <c r="U21" i="70" s="1"/>
  <c r="V21" i="70" s="1"/>
  <c r="T20" i="70"/>
  <c r="U20" i="70" s="1"/>
  <c r="V20" i="70" s="1"/>
  <c r="A20" i="70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T18" i="70"/>
  <c r="U18" i="70" s="1"/>
  <c r="V18" i="70" s="1"/>
  <c r="T17" i="70"/>
  <c r="U17" i="70" s="1"/>
  <c r="V17" i="70" s="1"/>
  <c r="T16" i="70"/>
  <c r="U16" i="70" s="1"/>
  <c r="V16" i="70" s="1"/>
  <c r="T15" i="70"/>
  <c r="U15" i="70" s="1"/>
  <c r="V15" i="70" s="1"/>
  <c r="T14" i="70"/>
  <c r="U14" i="70" s="1"/>
  <c r="V14" i="70" s="1"/>
  <c r="A14" i="70"/>
  <c r="A15" i="70" s="1"/>
  <c r="A16" i="70" s="1"/>
  <c r="A17" i="70" s="1"/>
  <c r="A18" i="70" s="1"/>
  <c r="T13" i="70"/>
  <c r="U13" i="70" s="1"/>
  <c r="V13" i="70" s="1"/>
  <c r="T12" i="70"/>
  <c r="U12" i="70" s="1"/>
  <c r="V12" i="70" s="1"/>
  <c r="T11" i="70"/>
  <c r="U11" i="70" s="1"/>
  <c r="V11" i="70" s="1"/>
  <c r="T10" i="70"/>
  <c r="U9" i="70"/>
  <c r="V9" i="70" s="1"/>
  <c r="T9" i="70"/>
  <c r="T8" i="70"/>
  <c r="U8" i="70" s="1"/>
  <c r="V8" i="70" s="1"/>
  <c r="A8" i="70"/>
  <c r="A9" i="70" s="1"/>
  <c r="A10" i="70" s="1"/>
  <c r="A11" i="70" s="1"/>
  <c r="T7" i="70"/>
  <c r="U58" i="75" l="1"/>
  <c r="T58" i="72"/>
  <c r="U7" i="72"/>
  <c r="U58" i="72" s="1"/>
  <c r="U58" i="76"/>
  <c r="V7" i="76"/>
  <c r="V58" i="76" s="1"/>
  <c r="V58" i="75"/>
  <c r="V58" i="74"/>
  <c r="U58" i="74"/>
  <c r="U58" i="73"/>
  <c r="V7" i="73"/>
  <c r="V58" i="73" s="1"/>
  <c r="T58" i="71"/>
  <c r="U43" i="70"/>
  <c r="V43" i="70" s="1"/>
  <c r="K58" i="70"/>
  <c r="U34" i="70"/>
  <c r="V34" i="70" s="1"/>
  <c r="H58" i="70"/>
  <c r="T58" i="70"/>
  <c r="C58" i="70"/>
  <c r="U10" i="70"/>
  <c r="V10" i="70" s="1"/>
  <c r="U7" i="71"/>
  <c r="U7" i="70"/>
  <c r="R58" i="69"/>
  <c r="Q58" i="69"/>
  <c r="P58" i="69"/>
  <c r="O58" i="69"/>
  <c r="N58" i="69"/>
  <c r="M58" i="69"/>
  <c r="K58" i="69"/>
  <c r="J58" i="69"/>
  <c r="I58" i="69"/>
  <c r="H58" i="69"/>
  <c r="G58" i="69"/>
  <c r="F58" i="69"/>
  <c r="C58" i="69"/>
  <c r="T54" i="69"/>
  <c r="U54" i="69" s="1"/>
  <c r="V54" i="69" s="1"/>
  <c r="U53" i="69"/>
  <c r="V53" i="69" s="1"/>
  <c r="T53" i="69"/>
  <c r="T52" i="69"/>
  <c r="U52" i="69" s="1"/>
  <c r="V52" i="69" s="1"/>
  <c r="T51" i="69"/>
  <c r="U51" i="69" s="1"/>
  <c r="V51" i="69" s="1"/>
  <c r="T50" i="69"/>
  <c r="U50" i="69" s="1"/>
  <c r="V50" i="69" s="1"/>
  <c r="U49" i="69"/>
  <c r="V49" i="69" s="1"/>
  <c r="T49" i="69"/>
  <c r="T48" i="69"/>
  <c r="U48" i="69" s="1"/>
  <c r="V48" i="69" s="1"/>
  <c r="T47" i="69"/>
  <c r="U47" i="69" s="1"/>
  <c r="V47" i="69" s="1"/>
  <c r="T46" i="69"/>
  <c r="U46" i="69" s="1"/>
  <c r="V46" i="69" s="1"/>
  <c r="U45" i="69"/>
  <c r="V45" i="69" s="1"/>
  <c r="T45" i="69"/>
  <c r="T43" i="69"/>
  <c r="U43" i="69" s="1"/>
  <c r="V43" i="69" s="1"/>
  <c r="U41" i="69"/>
  <c r="V41" i="69" s="1"/>
  <c r="T41" i="69"/>
  <c r="U40" i="69"/>
  <c r="V40" i="69" s="1"/>
  <c r="T40" i="69"/>
  <c r="T39" i="69"/>
  <c r="U39" i="69" s="1"/>
  <c r="V39" i="69" s="1"/>
  <c r="T38" i="69"/>
  <c r="U38" i="69" s="1"/>
  <c r="V38" i="69" s="1"/>
  <c r="T37" i="69"/>
  <c r="U37" i="69" s="1"/>
  <c r="V37" i="69" s="1"/>
  <c r="U36" i="69"/>
  <c r="V36" i="69" s="1"/>
  <c r="T36" i="69"/>
  <c r="T35" i="69"/>
  <c r="U35" i="69" s="1"/>
  <c r="V35" i="69" s="1"/>
  <c r="T34" i="69"/>
  <c r="U34" i="69" s="1"/>
  <c r="V34" i="69" s="1"/>
  <c r="U33" i="69"/>
  <c r="V33" i="69" s="1"/>
  <c r="T33" i="69"/>
  <c r="U32" i="69"/>
  <c r="V32" i="69" s="1"/>
  <c r="T32" i="69"/>
  <c r="T31" i="69"/>
  <c r="U31" i="69" s="1"/>
  <c r="V31" i="69" s="1"/>
  <c r="T30" i="69"/>
  <c r="U30" i="69" s="1"/>
  <c r="V30" i="69" s="1"/>
  <c r="T29" i="69"/>
  <c r="U29" i="69" s="1"/>
  <c r="V29" i="69" s="1"/>
  <c r="U28" i="69"/>
  <c r="V28" i="69" s="1"/>
  <c r="T28" i="69"/>
  <c r="T27" i="69"/>
  <c r="U27" i="69" s="1"/>
  <c r="V27" i="69" s="1"/>
  <c r="T26" i="69"/>
  <c r="U26" i="69" s="1"/>
  <c r="V26" i="69" s="1"/>
  <c r="AY25" i="69"/>
  <c r="T25" i="69"/>
  <c r="U25" i="69" s="1"/>
  <c r="V25" i="69" s="1"/>
  <c r="T24" i="69"/>
  <c r="U24" i="69" s="1"/>
  <c r="V24" i="69" s="1"/>
  <c r="T23" i="69"/>
  <c r="U23" i="69" s="1"/>
  <c r="V23" i="69" s="1"/>
  <c r="T22" i="69"/>
  <c r="U22" i="69" s="1"/>
  <c r="V22" i="69" s="1"/>
  <c r="A22" i="69"/>
  <c r="A23" i="69" s="1"/>
  <c r="A24" i="69" s="1"/>
  <c r="A25" i="69" s="1"/>
  <c r="A26" i="69" s="1"/>
  <c r="A27" i="69" s="1"/>
  <c r="A28" i="69" s="1"/>
  <c r="A29" i="69" s="1"/>
  <c r="A30" i="69" s="1"/>
  <c r="A31" i="69" s="1"/>
  <c r="A32" i="69" s="1"/>
  <c r="A33" i="69" s="1"/>
  <c r="A34" i="69" s="1"/>
  <c r="A35" i="69" s="1"/>
  <c r="A36" i="69" s="1"/>
  <c r="A37" i="69" s="1"/>
  <c r="A38" i="69" s="1"/>
  <c r="A39" i="69" s="1"/>
  <c r="A40" i="69" s="1"/>
  <c r="A41" i="69" s="1"/>
  <c r="A42" i="69" s="1"/>
  <c r="A43" i="69" s="1"/>
  <c r="A44" i="69" s="1"/>
  <c r="A45" i="69" s="1"/>
  <c r="A46" i="69" s="1"/>
  <c r="A47" i="69" s="1"/>
  <c r="A48" i="69" s="1"/>
  <c r="A49" i="69" s="1"/>
  <c r="A50" i="69" s="1"/>
  <c r="A51" i="69" s="1"/>
  <c r="A52" i="69" s="1"/>
  <c r="A53" i="69" s="1"/>
  <c r="A54" i="69" s="1"/>
  <c r="A55" i="69" s="1"/>
  <c r="A56" i="69" s="1"/>
  <c r="A57" i="69" s="1"/>
  <c r="T21" i="69"/>
  <c r="U21" i="69" s="1"/>
  <c r="V21" i="69" s="1"/>
  <c r="A21" i="69"/>
  <c r="T20" i="69"/>
  <c r="U20" i="69" s="1"/>
  <c r="V20" i="69" s="1"/>
  <c r="A20" i="69"/>
  <c r="T19" i="69"/>
  <c r="U19" i="69" s="1"/>
  <c r="V19" i="69" s="1"/>
  <c r="T18" i="69"/>
  <c r="U18" i="69" s="1"/>
  <c r="V18" i="69" s="1"/>
  <c r="T17" i="69"/>
  <c r="U17" i="69" s="1"/>
  <c r="V17" i="69" s="1"/>
  <c r="U16" i="69"/>
  <c r="V16" i="69" s="1"/>
  <c r="T16" i="69"/>
  <c r="T15" i="69"/>
  <c r="U15" i="69" s="1"/>
  <c r="V15" i="69" s="1"/>
  <c r="T14" i="69"/>
  <c r="U14" i="69" s="1"/>
  <c r="V14" i="69" s="1"/>
  <c r="A14" i="69"/>
  <c r="A15" i="69" s="1"/>
  <c r="A16" i="69" s="1"/>
  <c r="A17" i="69" s="1"/>
  <c r="A18" i="69" s="1"/>
  <c r="T13" i="69"/>
  <c r="U13" i="69" s="1"/>
  <c r="V13" i="69" s="1"/>
  <c r="T12" i="69"/>
  <c r="U12" i="69" s="1"/>
  <c r="V12" i="69" s="1"/>
  <c r="T11" i="69"/>
  <c r="U11" i="69" s="1"/>
  <c r="V11" i="69" s="1"/>
  <c r="T10" i="69"/>
  <c r="U10" i="69" s="1"/>
  <c r="V10" i="69" s="1"/>
  <c r="T9" i="69"/>
  <c r="A9" i="69"/>
  <c r="A10" i="69" s="1"/>
  <c r="A11" i="69" s="1"/>
  <c r="T8" i="69"/>
  <c r="U8" i="69" s="1"/>
  <c r="V8" i="69" s="1"/>
  <c r="A8" i="69"/>
  <c r="T7" i="69"/>
  <c r="U7" i="69" s="1"/>
  <c r="V7" i="72" l="1"/>
  <c r="V58" i="72" s="1"/>
  <c r="U58" i="71"/>
  <c r="V7" i="71"/>
  <c r="V58" i="71" s="1"/>
  <c r="U58" i="70"/>
  <c r="V7" i="70"/>
  <c r="V58" i="70" s="1"/>
  <c r="T58" i="69"/>
  <c r="V7" i="69"/>
  <c r="U9" i="69"/>
  <c r="V9" i="69" s="1"/>
  <c r="U58" i="69" l="1"/>
  <c r="V58" i="69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<sst xmlns="http://schemas.openxmlformats.org/spreadsheetml/2006/main" count="1764" uniqueCount="91">
  <si>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</si>
  <si>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</si>
  <si>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</si>
  <si>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</si>
  <si>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</si>
  <si>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</si>
  <si>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</si>
  <si>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</si>
  <si>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</si>
  <si>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</si>
  <si>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</si>
  <si>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</si>
  <si>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</si>
  <si>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</si>
  <si>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</si>
  <si>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</si>
  <si>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</si>
  <si>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</si>
  <si>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</si>
  <si>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</si>
  <si>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</si>
  <si>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</si>
  <si>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</si>
  <si>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</si>
  <si>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</si>
  <si>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</si>
  <si>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</si>
  <si>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</si>
  <si>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</si>
  <si>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</si>
  <si>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</si>
  <si>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</si>
  <si>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</si>
  <si>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</si>
  <si>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</si>
  <si>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</si>
  <si>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</si>
  <si>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</si>
  <si>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</si>
  <si>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</si>
  <si>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</si>
  <si>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</si>
  <si>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</si>
  <si>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</si>
  <si>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</si>
  <si>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</si>
  <si>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</si>
  <si>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</si>
  <si>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</si>
  <si>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</si>
  <si>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</si>
  <si>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</si>
  <si>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</si>
  <si>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</si>
  <si>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</si>
  <si>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</si>
  <si>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</si>
  <si>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</si>
  <si>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</si>
  <si>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</si>
  <si>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</si>
  <si>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</si>
  <si>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</si>
  <si>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</si>
  <si>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</si>
  <si>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</si>
  <si>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</si>
  <si>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</si>
  <si>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</si>
  <si>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</si>
  <si>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</si>
  <si>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08/03/2026</t>
  </si>
  <si>
    <t>DATE: 08/04/2026</t>
  </si>
  <si>
    <t>DATE: 08/05/2026</t>
  </si>
  <si>
    <t>DATE: 08/06/2026</t>
  </si>
  <si>
    <t>DATE: 08/07/2026</t>
  </si>
  <si>
    <t>DATE: 08/10/2026</t>
  </si>
  <si>
    <t>DATE: 08/11/2026</t>
  </si>
  <si>
    <t>DATE: 08/12/2026</t>
  </si>
  <si>
    <t>DATE: 08/13/2026</t>
  </si>
  <si>
    <t>DATE: 08/14/2026</t>
  </si>
  <si>
    <t>DATE: 08/15/2026</t>
  </si>
  <si>
    <t>DATE: 08/17/2026</t>
  </si>
  <si>
    <t>DATE: 08/20/2026</t>
  </si>
  <si>
    <t>DATE: 08/19/2026</t>
  </si>
  <si>
    <t>DATE: 08/18/2026</t>
  </si>
  <si>
    <t>DATE: 08/21/2026</t>
  </si>
  <si>
    <t>DATE: 08/24/2026</t>
  </si>
  <si>
    <t>DATE: 08/25/2026</t>
  </si>
  <si>
    <t>DATE: 08/26/2026</t>
  </si>
  <si>
    <t>DATE: 08/27/2026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</si>
</sst>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27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O9" sqref="O9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19" t="s">
        <v>68</v>
      </c>
      <c r="U4" s="121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10" t="s">
        <v>65</v>
      </c>
      <c r="K5" s="111"/>
      <c r="M5" s="37"/>
      <c r="N5" s="49"/>
      <c r="O5" s="40"/>
      <c r="P5" s="89"/>
      <c r="Q5" s="89"/>
      <c r="R5" s="38"/>
      <c r="S5" s="9"/>
      <c r="T5" s="120"/>
      <c r="U5" s="122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12" t="s">
        <v>41</v>
      </c>
      <c r="D62" s="113"/>
      <c r="E62" s="113"/>
      <c r="F62" s="113"/>
      <c r="G62" s="113"/>
      <c r="H62" s="113"/>
      <c r="I62" s="113"/>
      <c r="J62" s="113"/>
      <c r="K62" s="114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25570-961A-4F51-8ABE-D25E61E306DD}">
  <sheetPr>
    <pageSetUpPr fitToPage="1"/>
  </sheetPr>
  <dimension ref="A1:BB81"/>
  <sheetViews>
    <sheetView topLeftCell="A39" zoomScale="115" zoomScaleNormal="115" zoomScaleSheetLayoutView="115" workbookViewId="0">
      <selection activeCell="Q65" sqref="Q65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96"/>
      <c r="Q5" s="96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2124</v>
      </c>
      <c r="V8" s="69">
        <f>U8/24</f>
        <v>88.5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2256</v>
      </c>
      <c r="V9" s="76">
        <f t="shared" ref="V9:V11" si="3">U9/24</f>
        <v>94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/>
      <c r="R10" s="72"/>
      <c r="S10" s="55"/>
      <c r="T10" s="58">
        <f t="shared" si="0"/>
        <v>0</v>
      </c>
      <c r="U10" s="58">
        <f t="shared" si="2"/>
        <v>1200</v>
      </c>
      <c r="V10" s="58">
        <f t="shared" si="3"/>
        <v>50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1224+53+1080+29+1152+36</f>
        <v>3574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>
        <v>8</v>
      </c>
      <c r="O12" s="65">
        <v>16</v>
      </c>
      <c r="P12" s="66">
        <v>8</v>
      </c>
      <c r="Q12" s="66">
        <v>22</v>
      </c>
      <c r="R12" s="67">
        <v>8</v>
      </c>
      <c r="S12" s="62"/>
      <c r="T12" s="69">
        <f t="shared" si="0"/>
        <v>24</v>
      </c>
      <c r="U12" s="69">
        <f>C12*24+M12*24+O12*24+Q12*24+T12</f>
        <v>86952</v>
      </c>
      <c r="V12" s="69">
        <f>U12/24</f>
        <v>3623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1369</v>
      </c>
      <c r="V25" s="75">
        <f t="shared" si="5"/>
        <v>57.041666666666664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2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16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3</v>
      </c>
      <c r="N28" s="74"/>
      <c r="O28" s="70">
        <v>2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552</v>
      </c>
      <c r="V28" s="75">
        <f t="shared" si="5"/>
        <v>23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725</v>
      </c>
      <c r="V29" s="75">
        <f t="shared" si="5"/>
        <v>30.208333333333332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5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120</v>
      </c>
      <c r="V31" s="75">
        <f t="shared" si="5"/>
        <v>5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144+65</f>
        <v>209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/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5066</v>
      </c>
      <c r="V34" s="75">
        <f t="shared" si="5"/>
        <v>211.08333333333334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1080+82+3132+94</f>
        <v>4388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32</v>
      </c>
      <c r="N37" s="64"/>
      <c r="O37" s="65">
        <v>60</v>
      </c>
      <c r="P37" s="66"/>
      <c r="Q37" s="66">
        <v>90</v>
      </c>
      <c r="R37" s="67"/>
      <c r="S37" s="62"/>
      <c r="T37" s="77">
        <f t="shared" si="0"/>
        <v>13</v>
      </c>
      <c r="U37" s="77">
        <f>C37*6+M37*6+O37*6+Q37*6+T37</f>
        <v>27433</v>
      </c>
      <c r="V37" s="77">
        <f>U37/6</f>
        <v>4572.166666666667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58+126+22</f>
        <v>206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/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21+96</f>
        <v>117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9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1872</v>
      </c>
      <c r="V41" s="88">
        <f>U41/12</f>
        <v>156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15012+19764+10260</f>
        <v>45036</v>
      </c>
      <c r="D43" s="65"/>
      <c r="E43" s="65"/>
      <c r="F43" s="65"/>
      <c r="G43" s="65"/>
      <c r="H43" s="65"/>
      <c r="I43" s="65">
        <f>12</f>
        <v>12</v>
      </c>
      <c r="J43" s="66">
        <f>6*6+5</f>
        <v>41</v>
      </c>
      <c r="K43" s="67">
        <f>71*6+2</f>
        <v>428</v>
      </c>
      <c r="L43" s="62"/>
      <c r="M43" s="63">
        <v>369</v>
      </c>
      <c r="N43" s="64"/>
      <c r="O43" s="65">
        <v>401</v>
      </c>
      <c r="P43" s="66"/>
      <c r="Q43" s="66">
        <v>540</v>
      </c>
      <c r="R43" s="67"/>
      <c r="S43" s="62"/>
      <c r="T43" s="77">
        <f t="shared" ref="T43" si="6">H43+I43+J43+K43+N43+P43+R43</f>
        <v>481</v>
      </c>
      <c r="U43" s="77">
        <f>C43*6+M43*6+O43*6+Q43*6+T43</f>
        <v>278557</v>
      </c>
      <c r="V43" s="77">
        <f>U43/6</f>
        <v>46426.166666666664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2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48</v>
      </c>
      <c r="V45" s="75">
        <f>U45/24</f>
        <v>2</v>
      </c>
    </row>
    <row r="46" spans="1:23" x14ac:dyDescent="0.25">
      <c r="A46" s="27">
        <f t="shared" si="1"/>
        <v>43</v>
      </c>
      <c r="B46" s="26" t="s">
        <v>57</v>
      </c>
      <c r="C46" s="70">
        <v>2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48</v>
      </c>
      <c r="V46" s="75">
        <f t="shared" ref="V46:V54" si="9">U46/24</f>
        <v>2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56659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1186</v>
      </c>
      <c r="I58" s="6">
        <f t="shared" si="11"/>
        <v>38</v>
      </c>
      <c r="J58" s="6">
        <f t="shared" si="11"/>
        <v>48</v>
      </c>
      <c r="K58" s="6">
        <f t="shared" si="11"/>
        <v>470</v>
      </c>
      <c r="M58" s="5">
        <f t="shared" ref="M58:R58" si="12">SUM(M7:M57)</f>
        <v>438</v>
      </c>
      <c r="N58" s="5">
        <f t="shared" si="12"/>
        <v>8</v>
      </c>
      <c r="O58" s="5">
        <f t="shared" si="12"/>
        <v>511</v>
      </c>
      <c r="P58" s="5">
        <f t="shared" si="12"/>
        <v>20</v>
      </c>
      <c r="Q58" s="5">
        <f t="shared" si="12"/>
        <v>692</v>
      </c>
      <c r="R58" s="5">
        <f t="shared" si="12"/>
        <v>11</v>
      </c>
      <c r="S58" s="55"/>
      <c r="T58" s="4">
        <f>SUM(T7:T57)</f>
        <v>1781</v>
      </c>
      <c r="U58" s="90">
        <f>SUM(U7:U57)</f>
        <v>433391</v>
      </c>
      <c r="V58" s="4">
        <f>SUM(V7:V57)</f>
        <v>58437.083333333328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C493E-115E-4785-93A0-A3E4CC4BAE36}">
  <sheetPr>
    <pageSetUpPr fitToPage="1"/>
  </sheetPr>
  <dimension ref="A1:BB81"/>
  <sheetViews>
    <sheetView zoomScale="115" zoomScaleNormal="115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97"/>
      <c r="Q5" s="97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1176</v>
      </c>
      <c r="V10" s="58">
        <f t="shared" si="3"/>
        <v>49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1224+53+1080+71+1080+29</f>
        <v>3537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13</v>
      </c>
      <c r="P12" s="66"/>
      <c r="Q12" s="66">
        <v>20</v>
      </c>
      <c r="R12" s="67">
        <v>5</v>
      </c>
      <c r="S12" s="62"/>
      <c r="T12" s="69">
        <f t="shared" si="0"/>
        <v>5</v>
      </c>
      <c r="U12" s="69">
        <f>C12*24+M12*24+O12*24+Q12*24+T12</f>
        <v>85877</v>
      </c>
      <c r="V12" s="69">
        <f>U12/24</f>
        <v>3578.2083333333335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1369</v>
      </c>
      <c r="V25" s="75">
        <f t="shared" si="5"/>
        <v>57.041666666666664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480</v>
      </c>
      <c r="V28" s="75">
        <f t="shared" si="5"/>
        <v>20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>
        <v>5</v>
      </c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72</v>
      </c>
      <c r="V31" s="75">
        <f t="shared" si="5"/>
        <v>3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15+972+3132+94</f>
        <v>4213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/>
      <c r="N37" s="64"/>
      <c r="O37" s="65">
        <v>20</v>
      </c>
      <c r="P37" s="66"/>
      <c r="Q37" s="66">
        <v>56</v>
      </c>
      <c r="R37" s="67"/>
      <c r="S37" s="62"/>
      <c r="T37" s="77">
        <f t="shared" si="0"/>
        <v>13</v>
      </c>
      <c r="U37" s="77">
        <f>C37*6+M37*6+O37*6+Q37*6+T37</f>
        <v>25747</v>
      </c>
      <c r="V37" s="77">
        <f>U37/6</f>
        <v>4291.166666666667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21+126+58</f>
        <v>205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</v>
      </c>
      <c r="N41" s="87"/>
      <c r="O41" s="82">
        <v>12</v>
      </c>
      <c r="P41" s="83"/>
      <c r="Q41" s="83">
        <v>27</v>
      </c>
      <c r="R41" s="84"/>
      <c r="S41" s="85"/>
      <c r="T41" s="88">
        <f t="shared" si="0"/>
        <v>0</v>
      </c>
      <c r="U41" s="88">
        <f>C41*12+M41*12+O41*12+Q41*12+T41</f>
        <v>1524</v>
      </c>
      <c r="V41" s="88">
        <f>U41/12</f>
        <v>127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94+19764+10260+13824</f>
        <v>43942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86</v>
      </c>
      <c r="N43" s="64"/>
      <c r="O43" s="65">
        <v>467</v>
      </c>
      <c r="P43" s="66"/>
      <c r="Q43" s="66">
        <v>652</v>
      </c>
      <c r="R43" s="67"/>
      <c r="S43" s="62"/>
      <c r="T43" s="77">
        <f t="shared" ref="T43" si="6">H43+I43+J43+K43+N43+P43+R43</f>
        <v>487</v>
      </c>
      <c r="U43" s="77">
        <f>C43*6+M43*6+O43*6+Q43*6+T43</f>
        <v>271369</v>
      </c>
      <c r="V43" s="77">
        <f>U43/6</f>
        <v>45228.166666666664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1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24</v>
      </c>
      <c r="V46" s="75">
        <f t="shared" ref="V46:V54" si="9">U46/24</f>
        <v>1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55307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1195</v>
      </c>
      <c r="I58" s="6">
        <f t="shared" si="11"/>
        <v>38</v>
      </c>
      <c r="J58" s="6">
        <f t="shared" si="11"/>
        <v>45</v>
      </c>
      <c r="K58" s="6">
        <f t="shared" si="11"/>
        <v>470</v>
      </c>
      <c r="M58" s="5">
        <f t="shared" ref="M58:R58" si="12">SUM(M7:M57)</f>
        <v>110</v>
      </c>
      <c r="N58" s="5">
        <f t="shared" si="12"/>
        <v>0</v>
      </c>
      <c r="O58" s="5">
        <f t="shared" si="12"/>
        <v>538</v>
      </c>
      <c r="P58" s="5">
        <f t="shared" si="12"/>
        <v>12</v>
      </c>
      <c r="Q58" s="5">
        <f t="shared" si="12"/>
        <v>776</v>
      </c>
      <c r="R58" s="5">
        <f t="shared" si="12"/>
        <v>8</v>
      </c>
      <c r="S58" s="55"/>
      <c r="T58" s="4">
        <f>SUM(T7:T57)</f>
        <v>1768</v>
      </c>
      <c r="U58" s="90">
        <f>SUM(U7:U57)</f>
        <v>422710</v>
      </c>
      <c r="V58" s="4">
        <f>SUM(V7:V57)</f>
        <v>56868.291666666664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2D9E2-DA28-415F-A8A3-160088EA95B5}">
  <sheetPr>
    <pageSetUpPr fitToPage="1"/>
  </sheetPr>
  <dimension ref="A1:BB81"/>
  <sheetViews>
    <sheetView zoomScale="115" zoomScaleNormal="115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97"/>
      <c r="Q5" s="97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1176</v>
      </c>
      <c r="V10" s="58">
        <f t="shared" si="3"/>
        <v>49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f>9</f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1224+53+1080+61+1080+29</f>
        <v>3527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11</v>
      </c>
      <c r="P12" s="66">
        <v>20</v>
      </c>
      <c r="Q12" s="66">
        <v>3</v>
      </c>
      <c r="R12" s="67"/>
      <c r="S12" s="62"/>
      <c r="T12" s="69">
        <f t="shared" si="0"/>
        <v>20</v>
      </c>
      <c r="U12" s="69">
        <f>C12*24+M12*24+O12*24+Q12*24+T12</f>
        <v>85196</v>
      </c>
      <c r="V12" s="69">
        <f>U12/24</f>
        <v>3549.8333333333335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f>2</f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384</v>
      </c>
      <c r="V28" s="75">
        <f t="shared" si="5"/>
        <v>16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72</v>
      </c>
      <c r="V31" s="75">
        <f t="shared" si="5"/>
        <v>3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756+3132+89+94</f>
        <v>4071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118</v>
      </c>
      <c r="N37" s="64"/>
      <c r="O37" s="65">
        <v>24</v>
      </c>
      <c r="P37" s="66"/>
      <c r="Q37" s="66">
        <v>1</v>
      </c>
      <c r="R37" s="67"/>
      <c r="S37" s="62"/>
      <c r="T37" s="77">
        <f t="shared" si="0"/>
        <v>13</v>
      </c>
      <c r="U37" s="77">
        <f>C37*6+M37*6+O37*6+Q37*6+T37</f>
        <v>25297</v>
      </c>
      <c r="V37" s="77">
        <f>U37/6</f>
        <v>4216.166666666667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21+126+58</f>
        <v>205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69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17</v>
      </c>
      <c r="N41" s="87"/>
      <c r="O41" s="82">
        <v>12</v>
      </c>
      <c r="P41" s="83"/>
      <c r="Q41" s="83">
        <v>23</v>
      </c>
      <c r="R41" s="84"/>
      <c r="S41" s="85"/>
      <c r="T41" s="88">
        <f t="shared" si="0"/>
        <v>0</v>
      </c>
      <c r="U41" s="88">
        <f>C41*12+M41*12+O41*12+Q41*12+T41</f>
        <v>1452</v>
      </c>
      <c r="V41" s="88">
        <f>U41/12</f>
        <v>121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13284+19764+10260</f>
        <v>43308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302</v>
      </c>
      <c r="N43" s="64"/>
      <c r="O43" s="65">
        <v>454</v>
      </c>
      <c r="P43" s="66"/>
      <c r="Q43" s="66">
        <v>104</v>
      </c>
      <c r="R43" s="67"/>
      <c r="S43" s="62"/>
      <c r="T43" s="77">
        <f t="shared" ref="T43" si="6">H43+I43+J43+K43+N43+P43+R43</f>
        <v>487</v>
      </c>
      <c r="U43" s="77">
        <f>C43*6+M43*6+O43*6+Q43*6+T43</f>
        <v>265495</v>
      </c>
      <c r="V43" s="77">
        <f>U43/6</f>
        <v>44249.166666666664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1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24</v>
      </c>
      <c r="V46" s="75">
        <f t="shared" ref="V46:V54" si="9">U46/24</f>
        <v>1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54503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50</v>
      </c>
      <c r="K58" s="6">
        <f t="shared" si="11"/>
        <v>470</v>
      </c>
      <c r="M58" s="5">
        <f t="shared" ref="M58:R58" si="12">SUM(M7:M57)</f>
        <v>460</v>
      </c>
      <c r="N58" s="5">
        <f t="shared" si="12"/>
        <v>0</v>
      </c>
      <c r="O58" s="5">
        <f t="shared" si="12"/>
        <v>527</v>
      </c>
      <c r="P58" s="5">
        <f t="shared" si="12"/>
        <v>32</v>
      </c>
      <c r="Q58" s="5">
        <f t="shared" si="12"/>
        <v>146</v>
      </c>
      <c r="R58" s="5">
        <f t="shared" si="12"/>
        <v>3</v>
      </c>
      <c r="S58" s="55"/>
      <c r="T58" s="4">
        <f>SUM(T7:T57)</f>
        <v>1783</v>
      </c>
      <c r="U58" s="90">
        <f>SUM(U7:U57)</f>
        <v>415489</v>
      </c>
      <c r="V58" s="4">
        <f>SUM(V7:V57)</f>
        <v>55773.916666666664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80862-C168-499B-9B04-10F231C2E69B}">
  <sheetPr>
    <pageSetUpPr fitToPage="1"/>
  </sheetPr>
  <dimension ref="A1:BB81"/>
  <sheetViews>
    <sheetView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97"/>
      <c r="Q5" s="97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42+43</f>
        <v>85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37+10</f>
        <v>47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1128</v>
      </c>
      <c r="V10" s="58">
        <f t="shared" si="3"/>
        <v>47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1224+53+1080+41+1080+29</f>
        <v>3507</v>
      </c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>
        <v>11</v>
      </c>
      <c r="P12" s="66">
        <v>10</v>
      </c>
      <c r="Q12" s="66">
        <v>13</v>
      </c>
      <c r="R12" s="67"/>
      <c r="S12" s="62"/>
      <c r="T12" s="69">
        <f t="shared" si="0"/>
        <v>10</v>
      </c>
      <c r="U12" s="69">
        <f>C12*24+M12*24+O12*24+Q12*24+T12</f>
        <v>84754</v>
      </c>
      <c r="V12" s="69">
        <f>U12/24</f>
        <v>3531.4166666666665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360</v>
      </c>
      <c r="V28" s="75">
        <f t="shared" si="5"/>
        <v>15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15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61+756+3132+94</f>
        <v>4043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1*6+2</f>
        <v>8</v>
      </c>
      <c r="L37" s="62"/>
      <c r="M37" s="63">
        <v>5</v>
      </c>
      <c r="N37" s="64"/>
      <c r="O37" s="65">
        <v>3</v>
      </c>
      <c r="P37" s="66"/>
      <c r="Q37" s="66">
        <v>29</v>
      </c>
      <c r="R37" s="67"/>
      <c r="S37" s="62"/>
      <c r="T37" s="77">
        <f t="shared" si="0"/>
        <v>13</v>
      </c>
      <c r="U37" s="77">
        <f>C37*6+M37*6+O37*6+Q37*6+T37</f>
        <v>24493</v>
      </c>
      <c r="V37" s="77">
        <f>U37/6</f>
        <v>4082.1666666666665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126+58</f>
        <v>184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20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</v>
      </c>
      <c r="N41" s="87"/>
      <c r="O41" s="82">
        <v>12</v>
      </c>
      <c r="P41" s="83"/>
      <c r="Q41" s="83">
        <v>12</v>
      </c>
      <c r="R41" s="84"/>
      <c r="S41" s="85"/>
      <c r="T41" s="88">
        <f t="shared" si="0"/>
        <v>0</v>
      </c>
      <c r="U41" s="88">
        <f>C41*12+M41*12+O41*12+Q41*12+T41</f>
        <v>1272</v>
      </c>
      <c r="V41" s="88">
        <f>U41/12</f>
        <v>106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12636+19764+10260</f>
        <v>42660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66</v>
      </c>
      <c r="N43" s="64"/>
      <c r="O43" s="65">
        <v>456</v>
      </c>
      <c r="P43" s="66"/>
      <c r="Q43" s="66">
        <v>428</v>
      </c>
      <c r="R43" s="67"/>
      <c r="S43" s="62"/>
      <c r="T43" s="77">
        <f t="shared" ref="T43" si="6">H43+I43+J43+K43+N43+P43+R43</f>
        <v>487</v>
      </c>
      <c r="U43" s="77">
        <f>C43*6+M43*6+O43*6+Q43*6+T43</f>
        <v>262147</v>
      </c>
      <c r="V43" s="77">
        <f>U43/6</f>
        <v>43691.166666666664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53798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50</v>
      </c>
      <c r="K58" s="6">
        <f t="shared" si="11"/>
        <v>470</v>
      </c>
      <c r="M58" s="5">
        <f t="shared" ref="M58:R58" si="12">SUM(M7:M57)</f>
        <v>88</v>
      </c>
      <c r="N58" s="5">
        <f t="shared" si="12"/>
        <v>0</v>
      </c>
      <c r="O58" s="5">
        <f t="shared" si="12"/>
        <v>524</v>
      </c>
      <c r="P58" s="5">
        <f t="shared" si="12"/>
        <v>22</v>
      </c>
      <c r="Q58" s="5">
        <f t="shared" si="12"/>
        <v>494</v>
      </c>
      <c r="R58" s="5">
        <f t="shared" si="12"/>
        <v>3</v>
      </c>
      <c r="S58" s="55"/>
      <c r="T58" s="4">
        <f>SUM(T7:T57)</f>
        <v>1773</v>
      </c>
      <c r="U58" s="90">
        <f>SUM(U7:U57)</f>
        <v>410547</v>
      </c>
      <c r="V58" s="4">
        <f>SUM(V7:V57)</f>
        <v>55041.5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96E3C-F544-4408-9EAE-90D99285A125}">
  <sheetPr>
    <pageSetUpPr fitToPage="1"/>
  </sheetPr>
  <dimension ref="A1:BB81"/>
  <sheetViews>
    <sheetView topLeftCell="A40"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98"/>
      <c r="Q5" s="98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32</f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62+30</f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1128</v>
      </c>
      <c r="V10" s="58">
        <f t="shared" si="3"/>
        <v>47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1224+53+1080+8+1080+29</f>
        <v>3474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10</v>
      </c>
      <c r="P12" s="66">
        <v>5</v>
      </c>
      <c r="Q12" s="66">
        <v>16</v>
      </c>
      <c r="R12" s="67">
        <v>12</v>
      </c>
      <c r="S12" s="62"/>
      <c r="T12" s="69">
        <f t="shared" si="0"/>
        <v>17</v>
      </c>
      <c r="U12" s="69">
        <f>C12*24+M12*24+O12*24+Q12*24+T12</f>
        <v>84209</v>
      </c>
      <c r="V12" s="69">
        <f>U12/24</f>
        <v>3508.7083333333335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6</v>
      </c>
      <c r="R28" s="72"/>
      <c r="S28" s="55"/>
      <c r="T28" s="58">
        <f t="shared" si="0"/>
        <v>0</v>
      </c>
      <c r="U28" s="75">
        <f t="shared" si="4"/>
        <v>336</v>
      </c>
      <c r="V28" s="75">
        <f t="shared" si="5"/>
        <v>14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144+55</f>
        <v>199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4874</v>
      </c>
      <c r="V34" s="75">
        <f t="shared" si="5"/>
        <v>203.08333333333334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30+648+3132+94</f>
        <v>3904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15</v>
      </c>
      <c r="N37" s="64"/>
      <c r="O37" s="65">
        <v>24</v>
      </c>
      <c r="P37" s="66"/>
      <c r="Q37" s="66">
        <v>109</v>
      </c>
      <c r="R37" s="67"/>
      <c r="S37" s="62"/>
      <c r="T37" s="77">
        <f t="shared" si="0"/>
        <v>13</v>
      </c>
      <c r="U37" s="77">
        <f>C37*6+M37*6+O37*6+Q37*6+T37</f>
        <v>24325</v>
      </c>
      <c r="V37" s="77">
        <f>U37/6</f>
        <v>4054.1666666666665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4</v>
      </c>
      <c r="R40" s="67"/>
      <c r="S40" s="62"/>
      <c r="T40" s="77">
        <f t="shared" si="0"/>
        <v>20</v>
      </c>
      <c r="U40" s="77">
        <f>C40*24+M40*24+O40*24+Q40*24+T40</f>
        <v>2924</v>
      </c>
      <c r="V40" s="77">
        <f>U40/24</f>
        <v>121.83333333333333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40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12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984</v>
      </c>
      <c r="V41" s="88">
        <f>U41/12</f>
        <v>82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11610+19764+10260</f>
        <v>41634</v>
      </c>
      <c r="D43" s="65"/>
      <c r="E43" s="65"/>
      <c r="F43" s="65"/>
      <c r="G43" s="65"/>
      <c r="H43" s="65">
        <v>5</v>
      </c>
      <c r="I43" s="65">
        <v>12</v>
      </c>
      <c r="J43" s="66">
        <f>6*8</f>
        <v>48</v>
      </c>
      <c r="K43" s="67">
        <f>71*6+2</f>
        <v>428</v>
      </c>
      <c r="L43" s="62"/>
      <c r="M43" s="63">
        <v>336</v>
      </c>
      <c r="N43" s="64"/>
      <c r="O43" s="65">
        <v>412</v>
      </c>
      <c r="P43" s="66"/>
      <c r="Q43" s="66">
        <v>475</v>
      </c>
      <c r="R43" s="67"/>
      <c r="S43" s="62"/>
      <c r="T43" s="77">
        <f t="shared" ref="T43" si="6">H43+I43+J43+K43+N43+P43+R43</f>
        <v>493</v>
      </c>
      <c r="U43" s="77">
        <f>C43*6+M43*6+O43*6+Q43*6+T43</f>
        <v>257635</v>
      </c>
      <c r="V43" s="77">
        <f>U43/6</f>
        <v>42939.166666666664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52467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1191</v>
      </c>
      <c r="I58" s="6">
        <f t="shared" si="11"/>
        <v>38</v>
      </c>
      <c r="J58" s="6">
        <f t="shared" si="11"/>
        <v>55</v>
      </c>
      <c r="K58" s="6">
        <f t="shared" si="11"/>
        <v>470</v>
      </c>
      <c r="M58" s="5">
        <f t="shared" ref="M58:R58" si="12">SUM(M7:M57)</f>
        <v>384</v>
      </c>
      <c r="N58" s="5">
        <f t="shared" si="12"/>
        <v>0</v>
      </c>
      <c r="O58" s="5">
        <f t="shared" si="12"/>
        <v>484</v>
      </c>
      <c r="P58" s="5">
        <f t="shared" si="12"/>
        <v>17</v>
      </c>
      <c r="Q58" s="5">
        <f t="shared" si="12"/>
        <v>646</v>
      </c>
      <c r="R58" s="5">
        <f t="shared" si="12"/>
        <v>15</v>
      </c>
      <c r="S58" s="55"/>
      <c r="T58" s="4">
        <f>SUM(T7:T57)</f>
        <v>1786</v>
      </c>
      <c r="U58" s="90">
        <f>SUM(U7:U57)</f>
        <v>402754</v>
      </c>
      <c r="V58" s="4">
        <f>SUM(V7:V57)</f>
        <v>54119.791666666664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CA8C6-0E34-4041-83EB-8BD8B22ACF90}">
  <sheetPr>
    <pageSetUpPr fitToPage="1"/>
  </sheetPr>
  <dimension ref="A1:BB81"/>
  <sheetViews>
    <sheetView topLeftCell="A34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98"/>
      <c r="Q5" s="98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62+30</f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2208</v>
      </c>
      <c r="V9" s="76">
        <f t="shared" ref="V9:V11" si="3">U9/24</f>
        <v>92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1224+53+1008+23+1080+29</f>
        <v>3417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19</v>
      </c>
      <c r="N12" s="64">
        <v>7</v>
      </c>
      <c r="O12" s="65">
        <v>6</v>
      </c>
      <c r="P12" s="66"/>
      <c r="Q12" s="66">
        <v>20</v>
      </c>
      <c r="R12" s="67">
        <v>7</v>
      </c>
      <c r="S12" s="62"/>
      <c r="T12" s="69">
        <f t="shared" si="0"/>
        <v>14</v>
      </c>
      <c r="U12" s="69">
        <f>C12*24+M12*24+O12*24+Q12*24+T12</f>
        <v>83102</v>
      </c>
      <c r="V12" s="69">
        <f>U12/24</f>
        <v>3462.5833333333335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288</v>
      </c>
      <c r="V28" s="75">
        <f t="shared" si="5"/>
        <v>12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144+48</f>
        <v>192</v>
      </c>
      <c r="D34" s="70"/>
      <c r="E34" s="70"/>
      <c r="F34" s="70"/>
      <c r="G34" s="70"/>
      <c r="H34" s="70">
        <v>1</v>
      </c>
      <c r="I34" s="70"/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4754</v>
      </c>
      <c r="V34" s="75">
        <f t="shared" si="5"/>
        <v>198.08333333333334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101+324+3132+94</f>
        <v>3651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8</v>
      </c>
      <c r="N37" s="64"/>
      <c r="O37" s="65">
        <v>10</v>
      </c>
      <c r="P37" s="66"/>
      <c r="Q37" s="66">
        <v>94</v>
      </c>
      <c r="R37" s="67"/>
      <c r="S37" s="62"/>
      <c r="T37" s="77">
        <f t="shared" si="0"/>
        <v>13</v>
      </c>
      <c r="U37" s="77">
        <f>C37*6+M37*6+O37*6+Q37*6+T37</f>
        <v>22591</v>
      </c>
      <c r="V37" s="77">
        <f>U37/6</f>
        <v>3765.1666666666665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3</v>
      </c>
      <c r="R40" s="67"/>
      <c r="S40" s="62"/>
      <c r="T40" s="77">
        <f t="shared" si="0"/>
        <v>20</v>
      </c>
      <c r="U40" s="77">
        <f>C40*24+M40*24+O40*24+Q40*24+T40</f>
        <v>2900</v>
      </c>
      <c r="V40" s="77">
        <f>U40/24</f>
        <v>120.83333333333333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5</v>
      </c>
      <c r="N41" s="87"/>
      <c r="O41" s="82">
        <v>5</v>
      </c>
      <c r="P41" s="83"/>
      <c r="Q41" s="83">
        <v>26</v>
      </c>
      <c r="R41" s="84"/>
      <c r="S41" s="85"/>
      <c r="T41" s="88">
        <f t="shared" si="0"/>
        <v>0</v>
      </c>
      <c r="U41" s="88">
        <f>C41*12+M41*12+O41*12+Q41*12+T41</f>
        <v>432</v>
      </c>
      <c r="V41" s="88">
        <f>U41/12</f>
        <v>36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9828+19764+10260</f>
        <v>39852</v>
      </c>
      <c r="D43" s="65"/>
      <c r="E43" s="65"/>
      <c r="F43" s="65"/>
      <c r="G43" s="65"/>
      <c r="H43" s="65">
        <v>6</v>
      </c>
      <c r="I43" s="65">
        <v>12</v>
      </c>
      <c r="J43" s="66">
        <f>13*6+2</f>
        <v>80</v>
      </c>
      <c r="K43" s="67">
        <f>71*6+2</f>
        <v>428</v>
      </c>
      <c r="L43" s="62"/>
      <c r="M43" s="63">
        <v>444</v>
      </c>
      <c r="N43" s="64"/>
      <c r="O43" s="65">
        <v>199</v>
      </c>
      <c r="P43" s="66"/>
      <c r="Q43" s="66">
        <v>561</v>
      </c>
      <c r="R43" s="67"/>
      <c r="S43" s="62"/>
      <c r="T43" s="77">
        <f t="shared" ref="T43" si="6">H43+I43+J43+K43+N43+P43+R43</f>
        <v>526</v>
      </c>
      <c r="U43" s="77">
        <f>C43*6+M43*6+O43*6+Q43*6+T43</f>
        <v>246862</v>
      </c>
      <c r="V43" s="77">
        <f>U43/6</f>
        <v>41143.666666666664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50328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1193</v>
      </c>
      <c r="I58" s="6">
        <f t="shared" si="11"/>
        <v>37</v>
      </c>
      <c r="J58" s="6">
        <f t="shared" si="11"/>
        <v>87</v>
      </c>
      <c r="K58" s="6">
        <f t="shared" si="11"/>
        <v>470</v>
      </c>
      <c r="M58" s="5">
        <f t="shared" ref="M58:R58" si="12">SUM(M7:M57)</f>
        <v>493</v>
      </c>
      <c r="N58" s="5">
        <f t="shared" si="12"/>
        <v>7</v>
      </c>
      <c r="O58" s="5">
        <f t="shared" si="12"/>
        <v>246</v>
      </c>
      <c r="P58" s="5">
        <f t="shared" si="12"/>
        <v>12</v>
      </c>
      <c r="Q58" s="5">
        <f t="shared" si="12"/>
        <v>722</v>
      </c>
      <c r="R58" s="5">
        <f t="shared" si="12"/>
        <v>10</v>
      </c>
      <c r="S58" s="55"/>
      <c r="T58" s="4">
        <f>SUM(T7:T57)</f>
        <v>1816</v>
      </c>
      <c r="U58" s="90">
        <f>SUM(U7:U57)</f>
        <v>388348</v>
      </c>
      <c r="V58" s="4">
        <f>SUM(V7:V57)</f>
        <v>51933.166666666664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CD48-36B7-4216-A88E-17673474B053}">
  <sheetPr>
    <pageSetUpPr fitToPage="1"/>
  </sheetPr>
  <dimension ref="A1:BB81"/>
  <sheetViews>
    <sheetView topLeftCell="A34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98"/>
      <c r="Q5" s="98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43+41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61+30</f>
        <v>91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1224+53+65+936+1080+29</f>
        <v>3387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13</v>
      </c>
      <c r="N12" s="64"/>
      <c r="O12" s="65">
        <v>9</v>
      </c>
      <c r="P12" s="66">
        <v>7</v>
      </c>
      <c r="Q12" s="66">
        <v>18</v>
      </c>
      <c r="R12" s="67">
        <v>4</v>
      </c>
      <c r="S12" s="62"/>
      <c r="T12" s="69">
        <f t="shared" si="0"/>
        <v>11</v>
      </c>
      <c r="U12" s="69">
        <f>C12*24+M12*24+O12*24+Q12*24+T12</f>
        <v>82259</v>
      </c>
      <c r="V12" s="69">
        <f>U12/24</f>
        <v>3427.4583333333335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/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120</v>
      </c>
      <c r="V28" s="75">
        <f t="shared" si="5"/>
        <v>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677</v>
      </c>
      <c r="V29" s="75">
        <f t="shared" si="5"/>
        <v>28.208333333333332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144+48</f>
        <v>192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4754</v>
      </c>
      <c r="V34" s="75">
        <f t="shared" si="5"/>
        <v>198.08333333333334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3132+94+71+108</f>
        <v>3405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20</v>
      </c>
      <c r="N37" s="64"/>
      <c r="O37" s="65">
        <v>18</v>
      </c>
      <c r="P37" s="66"/>
      <c r="Q37" s="66">
        <v>95</v>
      </c>
      <c r="R37" s="67"/>
      <c r="S37" s="62"/>
      <c r="T37" s="77">
        <f t="shared" si="0"/>
        <v>13</v>
      </c>
      <c r="U37" s="77">
        <f>C37*6+M37*6+O37*6+Q37*6+T37</f>
        <v>21241</v>
      </c>
      <c r="V37" s="77">
        <f>U37/6</f>
        <v>3540.1666666666665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3</v>
      </c>
      <c r="R40" s="67"/>
      <c r="S40" s="62"/>
      <c r="T40" s="77">
        <f t="shared" si="0"/>
        <v>20</v>
      </c>
      <c r="U40" s="77">
        <f>C40*24+M40*24+O40*24+Q40*24+T40</f>
        <v>2900</v>
      </c>
      <c r="V40" s="77">
        <f>U40/24</f>
        <v>120.83333333333333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3</v>
      </c>
      <c r="N41" s="87"/>
      <c r="O41" s="82">
        <v>3</v>
      </c>
      <c r="P41" s="83"/>
      <c r="Q41" s="83"/>
      <c r="R41" s="84"/>
      <c r="S41" s="85"/>
      <c r="T41" s="88">
        <f t="shared" si="0"/>
        <v>0</v>
      </c>
      <c r="U41" s="88">
        <f>C41*12+M41*12+O41*12+Q41*12+T41</f>
        <v>72</v>
      </c>
      <c r="V41" s="88">
        <f>U41/12</f>
        <v>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8640+19764+10260</f>
        <v>38664</v>
      </c>
      <c r="D43" s="65"/>
      <c r="E43" s="65"/>
      <c r="F43" s="65"/>
      <c r="G43" s="65"/>
      <c r="H43" s="65">
        <v>6</v>
      </c>
      <c r="I43" s="65">
        <v>12</v>
      </c>
      <c r="J43" s="66">
        <f>13*6+2</f>
        <v>80</v>
      </c>
      <c r="K43" s="67">
        <f>71*6+2</f>
        <v>428</v>
      </c>
      <c r="L43" s="62"/>
      <c r="M43" s="63">
        <v>324</v>
      </c>
      <c r="N43" s="64"/>
      <c r="O43" s="65">
        <v>391</v>
      </c>
      <c r="P43" s="66"/>
      <c r="Q43" s="66">
        <v>509</v>
      </c>
      <c r="R43" s="67"/>
      <c r="S43" s="62"/>
      <c r="T43" s="77">
        <f t="shared" ref="T43" si="6">H43+I43+J43+K43+N43+P43+R43</f>
        <v>526</v>
      </c>
      <c r="U43" s="77">
        <f>C43*6+M43*6+O43*6+Q43*6+T43</f>
        <v>239854</v>
      </c>
      <c r="V43" s="77">
        <f>U43/6</f>
        <v>39975.666666666664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48858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38</v>
      </c>
      <c r="J58" s="6">
        <f t="shared" si="11"/>
        <v>87</v>
      </c>
      <c r="K58" s="6">
        <f t="shared" si="11"/>
        <v>470</v>
      </c>
      <c r="M58" s="5">
        <f t="shared" ref="M58:R58" si="12">SUM(M7:M57)</f>
        <v>376</v>
      </c>
      <c r="N58" s="5">
        <f t="shared" si="12"/>
        <v>0</v>
      </c>
      <c r="O58" s="5">
        <f t="shared" si="12"/>
        <v>445</v>
      </c>
      <c r="P58" s="5">
        <f t="shared" si="12"/>
        <v>19</v>
      </c>
      <c r="Q58" s="5">
        <f t="shared" si="12"/>
        <v>643</v>
      </c>
      <c r="R58" s="5">
        <f t="shared" si="12"/>
        <v>7</v>
      </c>
      <c r="S58" s="55"/>
      <c r="T58" s="4">
        <f>SUM(T7:T57)</f>
        <v>1813</v>
      </c>
      <c r="U58" s="90">
        <f>SUM(U7:U57)</f>
        <v>378571</v>
      </c>
      <c r="V58" s="4">
        <f>SUM(V7:V57)</f>
        <v>50466.041666666664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C1C8C-E747-496B-BE70-EA58545B1CAD}">
  <sheetPr>
    <pageSetUpPr fitToPage="1"/>
  </sheetPr>
  <dimension ref="A1:BB81"/>
  <sheetViews>
    <sheetView topLeftCell="A40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78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98"/>
      <c r="Q5" s="98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60+30</f>
        <v>90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1224+53+936+33+1080+29</f>
        <v>3355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10</v>
      </c>
      <c r="O12" s="65">
        <v>10</v>
      </c>
      <c r="P12" s="66">
        <v>13</v>
      </c>
      <c r="Q12" s="66">
        <v>18</v>
      </c>
      <c r="R12" s="67">
        <v>1</v>
      </c>
      <c r="S12" s="62"/>
      <c r="T12" s="69">
        <f t="shared" si="0"/>
        <v>24</v>
      </c>
      <c r="U12" s="69">
        <f>C12*24+M12*24+O12*24+Q12*24+T12</f>
        <v>81432</v>
      </c>
      <c r="V12" s="69">
        <f>U12/24</f>
        <v>3393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>
        <f>5*24</f>
        <v>120</v>
      </c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120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72</v>
      </c>
      <c r="V28" s="75">
        <f t="shared" si="5"/>
        <v>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677</v>
      </c>
      <c r="V29" s="75">
        <f t="shared" si="5"/>
        <v>28.208333333333332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144+46</f>
        <v>190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4658</v>
      </c>
      <c r="V34" s="75">
        <f t="shared" si="5"/>
        <v>194.08333333333334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108+3132+94</f>
        <v>3334</v>
      </c>
      <c r="D37" s="59"/>
      <c r="E37" s="59"/>
      <c r="F37" s="59"/>
      <c r="G37" s="59"/>
      <c r="H37" s="59">
        <v>1</v>
      </c>
      <c r="I37" s="59">
        <v>2</v>
      </c>
      <c r="J37" s="60">
        <v>2</v>
      </c>
      <c r="K37" s="61">
        <f>6+2</f>
        <v>8</v>
      </c>
      <c r="L37" s="62"/>
      <c r="M37" s="63">
        <v>20</v>
      </c>
      <c r="N37" s="64"/>
      <c r="O37" s="65">
        <v>36</v>
      </c>
      <c r="P37" s="66"/>
      <c r="Q37" s="66">
        <v>65</v>
      </c>
      <c r="R37" s="67"/>
      <c r="S37" s="62"/>
      <c r="T37" s="77">
        <f t="shared" si="0"/>
        <v>13</v>
      </c>
      <c r="U37" s="77">
        <f>C37*6+M37*6+O37*6+Q37*6+T37</f>
        <v>20743</v>
      </c>
      <c r="V37" s="77">
        <f>U37/6</f>
        <v>3457.1666666666665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>
        <f>24*5</f>
        <v>120</v>
      </c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120</v>
      </c>
      <c r="U38" s="75">
        <f>C38*24+M38*24+O38*24+Q38*24+T38</f>
        <v>120</v>
      </c>
      <c r="V38" s="75">
        <f>U38/24</f>
        <v>5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>
        <f>252*24</f>
        <v>6048</v>
      </c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3</v>
      </c>
      <c r="R40" s="67"/>
      <c r="S40" s="62"/>
      <c r="T40" s="77">
        <f t="shared" si="0"/>
        <v>6068</v>
      </c>
      <c r="U40" s="77">
        <f>C40*24+M40*24+O40*24+Q40*24+T40</f>
        <v>8900</v>
      </c>
      <c r="V40" s="77">
        <f>U40/24</f>
        <v>370.83333333333331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>
        <f>576*12</f>
        <v>6912</v>
      </c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6912</v>
      </c>
      <c r="U41" s="88">
        <f>C41*12+M41*12+O41*12+Q41*12+T41</f>
        <v>6912</v>
      </c>
      <c r="V41" s="88">
        <f>U41/12</f>
        <v>576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49+7344+19764+10260+756</f>
        <v>38173</v>
      </c>
      <c r="D43" s="65"/>
      <c r="E43" s="65"/>
      <c r="F43" s="65"/>
      <c r="G43" s="65"/>
      <c r="H43" s="65">
        <v>13</v>
      </c>
      <c r="I43" s="65">
        <v>12</v>
      </c>
      <c r="J43" s="66">
        <f>17*6</f>
        <v>102</v>
      </c>
      <c r="K43" s="67">
        <f>71*6+2</f>
        <v>428</v>
      </c>
      <c r="L43" s="62"/>
      <c r="M43" s="63">
        <v>350</v>
      </c>
      <c r="N43" s="64"/>
      <c r="O43" s="65">
        <v>430</v>
      </c>
      <c r="P43" s="66"/>
      <c r="Q43" s="66">
        <v>522</v>
      </c>
      <c r="R43" s="67"/>
      <c r="S43" s="62"/>
      <c r="T43" s="77">
        <f t="shared" ref="T43" si="6">H43+I43+J43+K43+N43+P43+R43</f>
        <v>555</v>
      </c>
      <c r="U43" s="77">
        <f>C43*6+M43*6+O43*6+Q43*6+T43</f>
        <v>237405</v>
      </c>
      <c r="V43" s="77">
        <f>U43/6</f>
        <v>39567.5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>
        <f>5*24</f>
        <v>120</v>
      </c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120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3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16179</v>
      </c>
      <c r="V47" s="77">
        <f>U47/6</f>
        <v>2696.5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f>6+1</f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48260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14518</v>
      </c>
      <c r="I58" s="6">
        <f t="shared" si="11"/>
        <v>43</v>
      </c>
      <c r="J58" s="6">
        <f t="shared" si="11"/>
        <v>105</v>
      </c>
      <c r="K58" s="6">
        <f t="shared" si="11"/>
        <v>470</v>
      </c>
      <c r="M58" s="5">
        <f t="shared" ref="M58:R58" si="12">SUM(M7:M57)</f>
        <v>385</v>
      </c>
      <c r="N58" s="5">
        <f t="shared" si="12"/>
        <v>10</v>
      </c>
      <c r="O58" s="5">
        <f t="shared" si="12"/>
        <v>501</v>
      </c>
      <c r="P58" s="5">
        <f t="shared" si="12"/>
        <v>25</v>
      </c>
      <c r="Q58" s="5">
        <f t="shared" si="12"/>
        <v>624</v>
      </c>
      <c r="R58" s="5">
        <f t="shared" si="12"/>
        <v>4</v>
      </c>
      <c r="S58" s="55"/>
      <c r="T58" s="4">
        <f>SUM(T7:T57)</f>
        <v>15175</v>
      </c>
      <c r="U58" s="90">
        <f>SUM(U7:U57)</f>
        <v>387793</v>
      </c>
      <c r="V58" s="4">
        <f>SUM(V7:V57)</f>
        <v>50762.416666666672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23284-EB4A-4612-964A-73C557E65C8C}">
  <sheetPr>
    <pageSetUpPr fitToPage="1"/>
  </sheetPr>
  <dimension ref="A1:BB81"/>
  <sheetViews>
    <sheetView topLeftCell="F1" zoomScale="145" zoomScaleNormal="145" zoomScaleSheetLayoutView="115" workbookViewId="0">
      <selection activeCell="K12" sqref="K1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79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99"/>
      <c r="Q5" s="99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60+30</f>
        <v>90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34+10</f>
        <v>44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2</v>
      </c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1224+53+3+936+1080+29</f>
        <v>3325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10</v>
      </c>
      <c r="P12" s="66"/>
      <c r="Q12" s="66">
        <v>20</v>
      </c>
      <c r="R12" s="67">
        <v>13</v>
      </c>
      <c r="S12" s="62"/>
      <c r="T12" s="69">
        <f t="shared" si="0"/>
        <v>13</v>
      </c>
      <c r="U12" s="69">
        <f>C12*24+M12*24+O12*24+Q12*24+T12</f>
        <v>80773</v>
      </c>
      <c r="V12" s="69">
        <f>U12/24</f>
        <v>3365.5416666666665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49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1273</v>
      </c>
      <c r="V25" s="75">
        <f t="shared" si="5"/>
        <v>53.041666666666664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5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26</v>
      </c>
      <c r="D29" s="70"/>
      <c r="E29" s="70"/>
      <c r="F29" s="70"/>
      <c r="G29" s="70"/>
      <c r="H29" s="70"/>
      <c r="I29" s="70"/>
      <c r="J29" s="71">
        <v>5</v>
      </c>
      <c r="K29" s="72"/>
      <c r="L29" s="55">
        <v>1</v>
      </c>
      <c r="M29" s="73">
        <v>1</v>
      </c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653</v>
      </c>
      <c r="V29" s="75">
        <f t="shared" si="5"/>
        <v>27.208333333333332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/>
      <c r="R30" s="72"/>
      <c r="S30" s="55"/>
      <c r="T30" s="58">
        <f t="shared" si="0"/>
        <v>0</v>
      </c>
      <c r="U30" s="75">
        <f t="shared" si="4"/>
        <v>336</v>
      </c>
      <c r="V30" s="75">
        <f t="shared" si="5"/>
        <v>14</v>
      </c>
    </row>
    <row r="31" spans="1:54" x14ac:dyDescent="0.25">
      <c r="A31" s="27">
        <f t="shared" si="1"/>
        <v>28</v>
      </c>
      <c r="B31" s="26" t="s">
        <v>12</v>
      </c>
      <c r="C31" s="70">
        <v>1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>
        <v>1</v>
      </c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45+144</f>
        <v>189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4658</v>
      </c>
      <c r="V34" s="75">
        <f t="shared" si="5"/>
        <v>194.08333333333334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3132+62</f>
        <v>3194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6+2</f>
        <v>8</v>
      </c>
      <c r="L37" s="62"/>
      <c r="M37" s="63">
        <v>20</v>
      </c>
      <c r="N37" s="64"/>
      <c r="O37" s="65">
        <v>26</v>
      </c>
      <c r="P37" s="66"/>
      <c r="Q37" s="66">
        <v>121</v>
      </c>
      <c r="R37" s="67"/>
      <c r="S37" s="62"/>
      <c r="T37" s="77">
        <f t="shared" si="0"/>
        <v>19</v>
      </c>
      <c r="U37" s="77">
        <f>C37*6+M37*6+O37*6+Q37*6+T37</f>
        <v>20185</v>
      </c>
      <c r="V37" s="77">
        <f>U37/6</f>
        <v>3364.1666666666665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3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>
        <v>2</v>
      </c>
      <c r="R38" s="72"/>
      <c r="S38" s="55"/>
      <c r="T38" s="75">
        <f t="shared" si="0"/>
        <v>0</v>
      </c>
      <c r="U38" s="75">
        <f>C38*24+M38*24+O38*24+Q38*24+T38</f>
        <v>120</v>
      </c>
      <c r="V38" s="75">
        <f>U38/24</f>
        <v>5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50+315</f>
        <v>365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1</v>
      </c>
      <c r="R40" s="67"/>
      <c r="S40" s="62"/>
      <c r="T40" s="77">
        <f t="shared" si="0"/>
        <v>20</v>
      </c>
      <c r="U40" s="77">
        <f>C40*24+M40*24+O40*24+Q40*24+T40</f>
        <v>8852</v>
      </c>
      <c r="V40" s="77">
        <f>U40/24</f>
        <v>368.83333333333331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480+51</f>
        <v>531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5</v>
      </c>
      <c r="N41" s="87"/>
      <c r="O41" s="82">
        <v>10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6792</v>
      </c>
      <c r="V41" s="88">
        <f>U41/12</f>
        <v>566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50+6912+19764+10260</f>
        <v>36986</v>
      </c>
      <c r="D43" s="65"/>
      <c r="E43" s="65"/>
      <c r="F43" s="65"/>
      <c r="G43" s="65"/>
      <c r="H43" s="65">
        <v>1</v>
      </c>
      <c r="I43" s="65">
        <v>12</v>
      </c>
      <c r="J43" s="66">
        <f>18*6</f>
        <v>108</v>
      </c>
      <c r="K43" s="67">
        <f>71*6+2</f>
        <v>428</v>
      </c>
      <c r="L43" s="62"/>
      <c r="M43" s="63">
        <v>366</v>
      </c>
      <c r="N43" s="64"/>
      <c r="O43" s="65">
        <v>392</v>
      </c>
      <c r="P43" s="66"/>
      <c r="Q43" s="66">
        <v>446</v>
      </c>
      <c r="R43" s="67"/>
      <c r="S43" s="62"/>
      <c r="T43" s="77">
        <f t="shared" ref="T43" si="6">H43+I43+J43+K43+N43+P43+R43</f>
        <v>549</v>
      </c>
      <c r="U43" s="77">
        <f>C43*6+M43*6+O43*6+Q43*6+T43</f>
        <v>229689</v>
      </c>
      <c r="V43" s="77">
        <f>U43/6</f>
        <v>38281.5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4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104+648+324+88+540+103+324+432+106</f>
        <v>2669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/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16149</v>
      </c>
      <c r="V47" s="77">
        <f>U47/6</f>
        <v>2691.5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10</v>
      </c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47679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38</v>
      </c>
      <c r="J58" s="6">
        <f t="shared" si="11"/>
        <v>119</v>
      </c>
      <c r="K58" s="6">
        <f t="shared" si="11"/>
        <v>470</v>
      </c>
      <c r="M58" s="5">
        <f t="shared" ref="M58:R58" si="12">SUM(M7:M57)</f>
        <v>406</v>
      </c>
      <c r="N58" s="5">
        <f t="shared" si="12"/>
        <v>0</v>
      </c>
      <c r="O58" s="5">
        <f t="shared" si="12"/>
        <v>463</v>
      </c>
      <c r="P58" s="5">
        <f t="shared" si="12"/>
        <v>12</v>
      </c>
      <c r="Q58" s="5">
        <f t="shared" si="12"/>
        <v>634</v>
      </c>
      <c r="R58" s="5">
        <f t="shared" si="12"/>
        <v>16</v>
      </c>
      <c r="S58" s="55"/>
      <c r="T58" s="4">
        <f>SUM(T7:T57)</f>
        <v>1844</v>
      </c>
      <c r="U58" s="90">
        <f>SUM(U7:U57)</f>
        <v>378470</v>
      </c>
      <c r="V58" s="4">
        <f>SUM(V7:V57)</f>
        <v>49330.958333333328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79C06-E62C-42C5-88C1-76D904E97AA1}">
  <sheetPr>
    <pageSetUpPr fitToPage="1"/>
  </sheetPr>
  <dimension ref="A1:BB81"/>
  <sheetViews>
    <sheetView topLeftCell="A33" zoomScale="130" zoomScaleNormal="130" zoomScaleSheetLayoutView="115" workbookViewId="0">
      <selection activeCell="K37" sqref="K3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80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99"/>
      <c r="Q5" s="99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59+30</f>
        <v>89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33+10</f>
        <v>43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1056</v>
      </c>
      <c r="V10" s="58">
        <f t="shared" si="3"/>
        <v>44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1224+53+864+50+1080+29</f>
        <v>3300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11</v>
      </c>
      <c r="P12" s="66">
        <v>14</v>
      </c>
      <c r="Q12" s="66">
        <v>19</v>
      </c>
      <c r="R12" s="67">
        <v>11</v>
      </c>
      <c r="S12" s="62"/>
      <c r="T12" s="69">
        <f t="shared" si="0"/>
        <v>25</v>
      </c>
      <c r="U12" s="69">
        <f>C12*24+M12*24+O12*24+Q12*24+T12</f>
        <v>80113</v>
      </c>
      <c r="V12" s="69">
        <f>U12/24</f>
        <v>3338.0416666666665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47</v>
      </c>
      <c r="D25" s="70"/>
      <c r="E25" s="70"/>
      <c r="F25" s="70"/>
      <c r="G25" s="70"/>
      <c r="H25" s="70"/>
      <c r="I25" s="70"/>
      <c r="J25" s="71"/>
      <c r="K25" s="72">
        <v>1</v>
      </c>
      <c r="L25" s="55"/>
      <c r="M25" s="73">
        <v>1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1177</v>
      </c>
      <c r="V25" s="75">
        <f t="shared" si="5"/>
        <v>49.041666666666664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1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>
        <v>3</v>
      </c>
      <c r="R26" s="72"/>
      <c r="S26" s="55"/>
      <c r="T26" s="58">
        <f t="shared" si="0"/>
        <v>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25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629</v>
      </c>
      <c r="V29" s="75">
        <f t="shared" si="5"/>
        <v>26.208333333333332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/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>
        <v>1</v>
      </c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24</v>
      </c>
      <c r="V31" s="75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42+144</f>
        <v>186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4562</v>
      </c>
      <c r="V34" s="75">
        <f t="shared" si="5"/>
        <v>190.08333333333334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3024+22</f>
        <v>3046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1*6+2</f>
        <v>8</v>
      </c>
      <c r="L37" s="62"/>
      <c r="M37" s="63">
        <v>20</v>
      </c>
      <c r="N37" s="64"/>
      <c r="O37" s="65">
        <v>20</v>
      </c>
      <c r="P37" s="66"/>
      <c r="Q37" s="66">
        <v>121</v>
      </c>
      <c r="R37" s="67"/>
      <c r="S37" s="62"/>
      <c r="T37" s="77">
        <f t="shared" si="0"/>
        <v>19</v>
      </c>
      <c r="U37" s="77">
        <f>C37*6+M37*6+O37*6+Q37*6+T37</f>
        <v>19261</v>
      </c>
      <c r="V37" s="77">
        <f>U37/6</f>
        <v>3210.1666666666665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>
        <v>3</v>
      </c>
      <c r="R38" s="72"/>
      <c r="S38" s="55"/>
      <c r="T38" s="75">
        <f t="shared" si="0"/>
        <v>0</v>
      </c>
      <c r="U38" s="75">
        <f>C38*24+M38*24+O38*24+Q38*24+T38</f>
        <v>96</v>
      </c>
      <c r="V38" s="75">
        <f>U38/24</f>
        <v>4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252+58</f>
        <v>310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1</v>
      </c>
      <c r="R40" s="67"/>
      <c r="S40" s="62"/>
      <c r="T40" s="77">
        <f t="shared" si="0"/>
        <v>20</v>
      </c>
      <c r="U40" s="77">
        <f>C40*24+M40*24+O40*24+Q40*24+T40</f>
        <v>7532</v>
      </c>
      <c r="V40" s="77">
        <f>U40/24</f>
        <v>313.83333333333331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480+11</f>
        <v>491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10</v>
      </c>
      <c r="P41" s="83"/>
      <c r="Q41" s="83">
        <v>25</v>
      </c>
      <c r="R41" s="84"/>
      <c r="S41" s="85"/>
      <c r="T41" s="88">
        <f t="shared" si="0"/>
        <v>0</v>
      </c>
      <c r="U41" s="88">
        <f>C41*12+M41*12+O41*12+Q41*12+T41</f>
        <v>6432</v>
      </c>
      <c r="V41" s="88">
        <f>U41/12</f>
        <v>536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5832+19764+10260+29</f>
        <v>35885</v>
      </c>
      <c r="D43" s="65"/>
      <c r="E43" s="65"/>
      <c r="F43" s="65"/>
      <c r="G43" s="65"/>
      <c r="H43" s="65">
        <v>1</v>
      </c>
      <c r="I43" s="65">
        <v>12</v>
      </c>
      <c r="J43" s="66">
        <f>19*6</f>
        <v>114</v>
      </c>
      <c r="K43" s="67">
        <f>71*6+2</f>
        <v>428</v>
      </c>
      <c r="L43" s="62"/>
      <c r="M43" s="63">
        <v>364</v>
      </c>
      <c r="N43" s="64"/>
      <c r="O43" s="65">
        <v>371</v>
      </c>
      <c r="P43" s="66"/>
      <c r="Q43" s="66">
        <v>508</v>
      </c>
      <c r="R43" s="67"/>
      <c r="S43" s="62"/>
      <c r="T43" s="77">
        <f t="shared" ref="T43" si="6">H43+I43+J43+K43+N43+P43+R43</f>
        <v>555</v>
      </c>
      <c r="U43" s="77">
        <f>C43*6+M43*6+O43*6+Q43*6+T43</f>
        <v>223323</v>
      </c>
      <c r="V43" s="77">
        <f>U43/6</f>
        <v>37220.5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>
        <v>1</v>
      </c>
      <c r="N45" s="74"/>
      <c r="O45" s="70">
        <v>1</v>
      </c>
      <c r="P45" s="71"/>
      <c r="Q45" s="71">
        <v>3</v>
      </c>
      <c r="R45" s="72"/>
      <c r="S45" s="55"/>
      <c r="T45" s="75">
        <f t="shared" ref="T45:T54" si="7">H45+I45+J45+K45+N45+P45+R45</f>
        <v>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99+648+324+88+540+103+324+432+106</f>
        <v>2664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5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16149</v>
      </c>
      <c r="V47" s="77">
        <f>U47/6</f>
        <v>2691.5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46283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43</v>
      </c>
      <c r="J58" s="6">
        <f t="shared" si="11"/>
        <v>119</v>
      </c>
      <c r="K58" s="6">
        <f t="shared" si="11"/>
        <v>471</v>
      </c>
      <c r="M58" s="5">
        <f t="shared" ref="M58:R58" si="12">SUM(M7:M57)</f>
        <v>411</v>
      </c>
      <c r="N58" s="5">
        <f t="shared" si="12"/>
        <v>0</v>
      </c>
      <c r="O58" s="5">
        <f t="shared" si="12"/>
        <v>441</v>
      </c>
      <c r="P58" s="5">
        <f t="shared" si="12"/>
        <v>26</v>
      </c>
      <c r="Q58" s="5">
        <f t="shared" si="12"/>
        <v>693</v>
      </c>
      <c r="R58" s="5">
        <f t="shared" si="12"/>
        <v>14</v>
      </c>
      <c r="S58" s="55"/>
      <c r="T58" s="4">
        <f>SUM(T7:T57)</f>
        <v>1862</v>
      </c>
      <c r="U58" s="90">
        <f>SUM(U7:U57)</f>
        <v>368240</v>
      </c>
      <c r="V58" s="4">
        <f>SUM(V7:V57)</f>
        <v>47978.458333333336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246DA-E4EC-459B-9B45-F48443AEA5FB}">
  <sheetPr>
    <pageSetUpPr fitToPage="1"/>
  </sheetPr>
  <dimension ref="A1:BB81"/>
  <sheetViews>
    <sheetView zoomScale="98" zoomScaleNormal="98" zoomScaleSheetLayoutView="115" workbookViewId="0">
      <selection activeCell="Y41" sqref="Y4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81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99"/>
      <c r="Q5" s="99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2076</v>
      </c>
      <c r="V8" s="69">
        <f>U8/24</f>
        <v>86.5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59+30</f>
        <v>89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31+10</f>
        <v>41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984</v>
      </c>
      <c r="V10" s="58">
        <f t="shared" si="3"/>
        <v>41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1224+53+1080+29+864+26</f>
        <v>3276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9</v>
      </c>
      <c r="O12" s="65">
        <v>2</v>
      </c>
      <c r="P12" s="66">
        <v>12</v>
      </c>
      <c r="Q12" s="66">
        <v>26</v>
      </c>
      <c r="R12" s="67">
        <v>6</v>
      </c>
      <c r="S12" s="62"/>
      <c r="T12" s="69">
        <f t="shared" si="0"/>
        <v>27</v>
      </c>
      <c r="U12" s="69">
        <f>C12*24+M12*24+O12*24+Q12*24+T12</f>
        <v>79419</v>
      </c>
      <c r="V12" s="69">
        <f>U12/24</f>
        <v>3309.125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f>16</f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5</v>
      </c>
      <c r="R25" s="72"/>
      <c r="S25" s="55"/>
      <c r="T25" s="58">
        <f t="shared" si="0"/>
        <v>1</v>
      </c>
      <c r="U25" s="75">
        <f t="shared" si="4"/>
        <v>1177</v>
      </c>
      <c r="V25" s="75">
        <f t="shared" si="5"/>
        <v>49.041666666666664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1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23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629</v>
      </c>
      <c r="V29" s="75">
        <f t="shared" si="5"/>
        <v>26.208333333333332</v>
      </c>
    </row>
    <row r="30" spans="1:54" x14ac:dyDescent="0.25">
      <c r="A30" s="27">
        <f t="shared" si="1"/>
        <v>27</v>
      </c>
      <c r="B30" s="26" t="s">
        <v>15</v>
      </c>
      <c r="C30" s="70">
        <v>9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42+144</f>
        <v>186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1</v>
      </c>
      <c r="R34" s="72"/>
      <c r="S34" s="55"/>
      <c r="T34" s="58">
        <f t="shared" si="0"/>
        <v>2</v>
      </c>
      <c r="U34" s="75">
        <f t="shared" si="4"/>
        <v>4538</v>
      </c>
      <c r="V34" s="75">
        <f t="shared" si="5"/>
        <v>189.08333333333334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22+3024</f>
        <v>3046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6+2</f>
        <v>8</v>
      </c>
      <c r="L37" s="62"/>
      <c r="M37" s="63">
        <v>6</v>
      </c>
      <c r="N37" s="64"/>
      <c r="O37" s="65">
        <v>10</v>
      </c>
      <c r="P37" s="66"/>
      <c r="Q37" s="66">
        <v>41</v>
      </c>
      <c r="R37" s="67"/>
      <c r="S37" s="62"/>
      <c r="T37" s="77">
        <f t="shared" si="0"/>
        <v>19</v>
      </c>
      <c r="U37" s="77">
        <f>C37*6+M37*6+O37*6+Q37*6+T37</f>
        <v>18637</v>
      </c>
      <c r="V37" s="77">
        <f>U37/6</f>
        <v>3106.1666666666665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252+58</f>
        <v>310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7508</v>
      </c>
      <c r="V40" s="77">
        <f>U40/24</f>
        <v>312.83333333333331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384+59</f>
        <v>443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8</v>
      </c>
      <c r="P41" s="83"/>
      <c r="Q41" s="83">
        <v>48</v>
      </c>
      <c r="R41" s="84"/>
      <c r="S41" s="85"/>
      <c r="T41" s="88">
        <f t="shared" si="0"/>
        <v>0</v>
      </c>
      <c r="U41" s="88">
        <f>C41*12+M41*12+O41*12+Q41*12+T41</f>
        <v>5988</v>
      </c>
      <c r="V41" s="88">
        <f>U41/12</f>
        <v>499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29+5076+19764+10260</f>
        <v>35129</v>
      </c>
      <c r="D43" s="65"/>
      <c r="E43" s="65"/>
      <c r="F43" s="65"/>
      <c r="G43" s="65"/>
      <c r="H43" s="65">
        <v>7</v>
      </c>
      <c r="I43" s="65">
        <v>12</v>
      </c>
      <c r="J43" s="66">
        <f>20*6</f>
        <v>120</v>
      </c>
      <c r="K43" s="67">
        <f>71*6+2</f>
        <v>428</v>
      </c>
      <c r="L43" s="62"/>
      <c r="M43" s="63">
        <v>59</v>
      </c>
      <c r="N43" s="64"/>
      <c r="O43" s="65">
        <v>83</v>
      </c>
      <c r="P43" s="66"/>
      <c r="Q43" s="66">
        <v>649</v>
      </c>
      <c r="R43" s="67"/>
      <c r="S43" s="62"/>
      <c r="T43" s="77">
        <f t="shared" ref="T43" si="6">H43+I43+J43+K43+N43+P43+R43</f>
        <v>567</v>
      </c>
      <c r="U43" s="77">
        <f>C43*6+M43*6+O43*6+Q43*6+T43</f>
        <v>216087</v>
      </c>
      <c r="V43" s="77">
        <f>U43/6</f>
        <v>36014.5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99+648+324+88+540+103+324+432+106</f>
        <v>2664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/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16119</v>
      </c>
      <c r="V47" s="77">
        <f>U47/6</f>
        <v>2686.5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45444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1195</v>
      </c>
      <c r="I58" s="6">
        <f t="shared" si="11"/>
        <v>44</v>
      </c>
      <c r="J58" s="6">
        <f t="shared" si="11"/>
        <v>125</v>
      </c>
      <c r="K58" s="6">
        <f t="shared" si="11"/>
        <v>470</v>
      </c>
      <c r="M58" s="5">
        <f t="shared" ref="M58:R58" si="12">SUM(M7:M57)</f>
        <v>71</v>
      </c>
      <c r="N58" s="5">
        <f t="shared" si="12"/>
        <v>9</v>
      </c>
      <c r="O58" s="5">
        <f t="shared" si="12"/>
        <v>132</v>
      </c>
      <c r="P58" s="5">
        <f t="shared" si="12"/>
        <v>24</v>
      </c>
      <c r="Q58" s="5">
        <f t="shared" si="12"/>
        <v>781</v>
      </c>
      <c r="R58" s="5">
        <f t="shared" si="12"/>
        <v>9</v>
      </c>
      <c r="S58" s="55"/>
      <c r="T58" s="4">
        <f>SUM(T7:T57)</f>
        <v>1876</v>
      </c>
      <c r="U58" s="90">
        <f>SUM(U7:U57)</f>
        <v>358804</v>
      </c>
      <c r="V58" s="4">
        <f>SUM(V7:V57)</f>
        <v>46580.541666666664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1345A-7049-41C1-9AF7-510409E4FE33}">
  <sheetPr>
    <pageSetUpPr fitToPage="1"/>
  </sheetPr>
  <dimension ref="A1:BB81"/>
  <sheetViews>
    <sheetView zoomScale="91" zoomScaleNormal="91" zoomScaleSheetLayoutView="115" workbookViewId="0">
      <selection activeCell="A12" sqref="A1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82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99"/>
      <c r="Q5" s="99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2076</v>
      </c>
      <c r="V8" s="69">
        <f>U8/24</f>
        <v>86.5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59+30</f>
        <v>89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31+10</f>
        <v>41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984</v>
      </c>
      <c r="V10" s="58">
        <f t="shared" si="3"/>
        <v>41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1224+53+1080+29+864+26</f>
        <v>3276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9</v>
      </c>
      <c r="O12" s="65">
        <v>2</v>
      </c>
      <c r="P12" s="66">
        <v>12</v>
      </c>
      <c r="Q12" s="66">
        <v>26</v>
      </c>
      <c r="R12" s="67">
        <v>6</v>
      </c>
      <c r="S12" s="62"/>
      <c r="T12" s="69">
        <f t="shared" si="0"/>
        <v>27</v>
      </c>
      <c r="U12" s="69">
        <f>C12*24+M12*24+O12*24+Q12*24+T12</f>
        <v>79419</v>
      </c>
      <c r="V12" s="69">
        <f>U12/24</f>
        <v>3309.125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5</v>
      </c>
      <c r="R25" s="72"/>
      <c r="S25" s="55"/>
      <c r="T25" s="58">
        <f t="shared" si="0"/>
        <v>1</v>
      </c>
      <c r="U25" s="75">
        <f t="shared" si="4"/>
        <v>1177</v>
      </c>
      <c r="V25" s="75">
        <f t="shared" si="5"/>
        <v>49.041666666666664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1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23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629</v>
      </c>
      <c r="V29" s="75">
        <f t="shared" si="5"/>
        <v>26.208333333333332</v>
      </c>
    </row>
    <row r="30" spans="1:54" x14ac:dyDescent="0.25">
      <c r="A30" s="27">
        <f t="shared" si="1"/>
        <v>27</v>
      </c>
      <c r="B30" s="26" t="s">
        <v>15</v>
      </c>
      <c r="C30" s="70">
        <v>9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42+144</f>
        <v>186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1</v>
      </c>
      <c r="R34" s="72"/>
      <c r="S34" s="55"/>
      <c r="T34" s="58">
        <f t="shared" si="0"/>
        <v>2</v>
      </c>
      <c r="U34" s="75">
        <f t="shared" si="4"/>
        <v>4538</v>
      </c>
      <c r="V34" s="75">
        <f t="shared" si="5"/>
        <v>189.08333333333334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22+3024</f>
        <v>3046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6+2</f>
        <v>8</v>
      </c>
      <c r="L37" s="62"/>
      <c r="M37" s="63">
        <v>6</v>
      </c>
      <c r="N37" s="64"/>
      <c r="O37" s="65">
        <v>10</v>
      </c>
      <c r="P37" s="66"/>
      <c r="Q37" s="66">
        <v>41</v>
      </c>
      <c r="R37" s="67"/>
      <c r="S37" s="62"/>
      <c r="T37" s="77">
        <f t="shared" si="0"/>
        <v>19</v>
      </c>
      <c r="U37" s="77">
        <f>C37*6+M37*6+O37*6+Q37*6+T37</f>
        <v>18637</v>
      </c>
      <c r="V37" s="77">
        <f>U37/6</f>
        <v>3106.1666666666665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252+58</f>
        <v>310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7508</v>
      </c>
      <c r="V40" s="77">
        <f>U40/24</f>
        <v>312.83333333333331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384+59</f>
        <v>443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8</v>
      </c>
      <c r="P41" s="83"/>
      <c r="Q41" s="83">
        <v>48</v>
      </c>
      <c r="R41" s="84"/>
      <c r="S41" s="85"/>
      <c r="T41" s="88">
        <f t="shared" si="0"/>
        <v>0</v>
      </c>
      <c r="U41" s="88">
        <f>C41*12+M41*12+O41*12+Q41*12+T41</f>
        <v>5988</v>
      </c>
      <c r="V41" s="88">
        <f>U41/12</f>
        <v>499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29+5076+19764+10260</f>
        <v>35129</v>
      </c>
      <c r="D43" s="65"/>
      <c r="E43" s="65"/>
      <c r="F43" s="65"/>
      <c r="G43" s="65"/>
      <c r="H43" s="65">
        <v>7</v>
      </c>
      <c r="I43" s="65">
        <v>12</v>
      </c>
      <c r="J43" s="66">
        <f>20*6</f>
        <v>120</v>
      </c>
      <c r="K43" s="67">
        <f>71*6+2</f>
        <v>428</v>
      </c>
      <c r="L43" s="62"/>
      <c r="M43" s="63">
        <v>59</v>
      </c>
      <c r="N43" s="64"/>
      <c r="O43" s="65">
        <v>83</v>
      </c>
      <c r="P43" s="66"/>
      <c r="Q43" s="66">
        <v>649</v>
      </c>
      <c r="R43" s="67"/>
      <c r="S43" s="62"/>
      <c r="T43" s="77">
        <f t="shared" ref="T43" si="6">H43+I43+J43+K43+N43+P43+R43</f>
        <v>567</v>
      </c>
      <c r="U43" s="77">
        <f>C43*6+M43*6+O43*6+Q43*6+T43</f>
        <v>216087</v>
      </c>
      <c r="V43" s="77">
        <f>U43/6</f>
        <v>36014.5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99+648+324+88+540+103+324+432+106</f>
        <v>2664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/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16119</v>
      </c>
      <c r="V47" s="77">
        <f>U47/6</f>
        <v>2686.5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45444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1195</v>
      </c>
      <c r="I58" s="6">
        <f t="shared" si="11"/>
        <v>44</v>
      </c>
      <c r="J58" s="6">
        <f t="shared" si="11"/>
        <v>125</v>
      </c>
      <c r="K58" s="6">
        <f t="shared" si="11"/>
        <v>470</v>
      </c>
      <c r="M58" s="5">
        <f t="shared" ref="M58:R58" si="12">SUM(M7:M57)</f>
        <v>71</v>
      </c>
      <c r="N58" s="5">
        <f t="shared" si="12"/>
        <v>9</v>
      </c>
      <c r="O58" s="5">
        <f t="shared" si="12"/>
        <v>132</v>
      </c>
      <c r="P58" s="5">
        <f t="shared" si="12"/>
        <v>24</v>
      </c>
      <c r="Q58" s="5">
        <f t="shared" si="12"/>
        <v>781</v>
      </c>
      <c r="R58" s="5">
        <f t="shared" si="12"/>
        <v>9</v>
      </c>
      <c r="S58" s="55"/>
      <c r="T58" s="4">
        <f>SUM(T7:T57)</f>
        <v>1876</v>
      </c>
      <c r="U58" s="90">
        <f>SUM(U7:U57)</f>
        <v>358804</v>
      </c>
      <c r="V58" s="4">
        <f>SUM(V7:V57)</f>
        <v>46580.541666666664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04419-184F-4CE3-BF04-EDA1B752AE66}">
  <sheetPr>
    <pageSetUpPr fitToPage="1"/>
  </sheetPr>
  <dimension ref="A1:BB81"/>
  <sheetViews>
    <sheetView zoomScale="91" zoomScaleNormal="91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85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100"/>
      <c r="Q5" s="100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40+37</f>
        <v>77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1932</v>
      </c>
      <c r="V8" s="69">
        <f>U8/24</f>
        <v>80.5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57+30</f>
        <v>87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2112</v>
      </c>
      <c r="V9" s="76">
        <f t="shared" ref="V9:V11" si="3">U9/24</f>
        <v>88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26+10</f>
        <v>36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912</v>
      </c>
      <c r="V10" s="58">
        <f t="shared" si="3"/>
        <v>38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1224+53+792+7+1080+29</f>
        <v>3185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25</v>
      </c>
      <c r="N12" s="64">
        <v>4</v>
      </c>
      <c r="O12" s="65">
        <v>10</v>
      </c>
      <c r="P12" s="66">
        <v>18</v>
      </c>
      <c r="Q12" s="66">
        <v>24</v>
      </c>
      <c r="R12" s="67">
        <v>5</v>
      </c>
      <c r="S12" s="62"/>
      <c r="T12" s="69">
        <f t="shared" si="0"/>
        <v>27</v>
      </c>
      <c r="U12" s="69">
        <f>C12*24+M12*24+O12*24+Q12*24+T12</f>
        <v>77883</v>
      </c>
      <c r="V12" s="69">
        <f>U12/24</f>
        <v>3245.125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1033</v>
      </c>
      <c r="V25" s="75">
        <f t="shared" si="5"/>
        <v>43.041666666666664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>
        <v>1</v>
      </c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557</v>
      </c>
      <c r="V29" s="75">
        <f t="shared" si="5"/>
        <v>23.208333333333332</v>
      </c>
    </row>
    <row r="30" spans="1:54" x14ac:dyDescent="0.25">
      <c r="A30" s="27">
        <f t="shared" si="1"/>
        <v>27</v>
      </c>
      <c r="B30" s="26" t="s">
        <v>15</v>
      </c>
      <c r="C30" s="70">
        <v>9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264</v>
      </c>
      <c r="V30" s="75">
        <f t="shared" si="5"/>
        <v>11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24</v>
      </c>
      <c r="V33" s="75">
        <f t="shared" si="5"/>
        <v>1</v>
      </c>
    </row>
    <row r="34" spans="1:23" x14ac:dyDescent="0.25">
      <c r="A34" s="27">
        <f t="shared" si="1"/>
        <v>31</v>
      </c>
      <c r="B34" s="26" t="s">
        <v>17</v>
      </c>
      <c r="C34" s="70">
        <f>144+36</f>
        <v>180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/>
      <c r="R34" s="72"/>
      <c r="S34" s="55"/>
      <c r="T34" s="58">
        <f t="shared" si="0"/>
        <v>2</v>
      </c>
      <c r="U34" s="75">
        <f t="shared" si="4"/>
        <v>4370</v>
      </c>
      <c r="V34" s="75">
        <f t="shared" si="5"/>
        <v>182.08333333333334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2592+79</f>
        <v>2671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1*6+2</f>
        <v>8</v>
      </c>
      <c r="L37" s="62"/>
      <c r="M37" s="63">
        <v>40</v>
      </c>
      <c r="N37" s="64"/>
      <c r="O37" s="65">
        <v>29</v>
      </c>
      <c r="P37" s="66"/>
      <c r="Q37" s="66">
        <v>101</v>
      </c>
      <c r="R37" s="67"/>
      <c r="S37" s="62"/>
      <c r="T37" s="77">
        <f t="shared" si="0"/>
        <v>19</v>
      </c>
      <c r="U37" s="77">
        <f>C37*6+M37*6+O37*6+Q37*6+T37</f>
        <v>17065</v>
      </c>
      <c r="V37" s="77">
        <f>U37/6</f>
        <v>2844.1666666666665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252+53</f>
        <v>305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7388</v>
      </c>
      <c r="V40" s="77">
        <f>U40/24</f>
        <v>307.83333333333331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384+27</f>
        <v>411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7</v>
      </c>
      <c r="N41" s="87"/>
      <c r="O41" s="82">
        <v>8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5352</v>
      </c>
      <c r="V41" s="88">
        <f>U41/12</f>
        <v>446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5832+19764+10260</f>
        <v>35856</v>
      </c>
      <c r="D43" s="65"/>
      <c r="E43" s="65"/>
      <c r="F43" s="65"/>
      <c r="G43" s="65"/>
      <c r="H43" s="65">
        <v>10</v>
      </c>
      <c r="I43" s="65">
        <v>12</v>
      </c>
      <c r="J43" s="66">
        <f>22*6+3</f>
        <v>135</v>
      </c>
      <c r="K43" s="67">
        <f>71*6+2</f>
        <v>428</v>
      </c>
      <c r="L43" s="62"/>
      <c r="M43" s="63">
        <v>759</v>
      </c>
      <c r="N43" s="64"/>
      <c r="O43" s="65">
        <v>444</v>
      </c>
      <c r="P43" s="66"/>
      <c r="Q43" s="66">
        <v>506</v>
      </c>
      <c r="R43" s="67"/>
      <c r="S43" s="62"/>
      <c r="T43" s="77">
        <f t="shared" ref="T43" si="6">H43+I43+J43+K43+N43+P43+R43</f>
        <v>585</v>
      </c>
      <c r="U43" s="77">
        <f>C43*6+M43*6+O43*6+Q43*6+T43</f>
        <v>225975</v>
      </c>
      <c r="V43" s="77">
        <f>U43/6</f>
        <v>37662.5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94+648+324+88+540+103+324+432+106</f>
        <v>2659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5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16119</v>
      </c>
      <c r="V47" s="77">
        <f>U47/6</f>
        <v>2686.5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45638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1198</v>
      </c>
      <c r="I58" s="6">
        <f t="shared" si="11"/>
        <v>44</v>
      </c>
      <c r="J58" s="6">
        <f t="shared" si="11"/>
        <v>140</v>
      </c>
      <c r="K58" s="6">
        <f t="shared" si="11"/>
        <v>470</v>
      </c>
      <c r="M58" s="5">
        <f t="shared" ref="M58:R58" si="12">SUM(M7:M57)</f>
        <v>838</v>
      </c>
      <c r="N58" s="5">
        <f t="shared" si="12"/>
        <v>4</v>
      </c>
      <c r="O58" s="5">
        <f t="shared" si="12"/>
        <v>518</v>
      </c>
      <c r="P58" s="5">
        <f t="shared" si="12"/>
        <v>30</v>
      </c>
      <c r="Q58" s="5">
        <f t="shared" si="12"/>
        <v>662</v>
      </c>
      <c r="R58" s="5">
        <f t="shared" si="12"/>
        <v>8</v>
      </c>
      <c r="S58" s="55"/>
      <c r="T58" s="4">
        <f>SUM(T7:T57)</f>
        <v>1894</v>
      </c>
      <c r="U58" s="90">
        <f>SUM(U7:U57)</f>
        <v>364036</v>
      </c>
      <c r="V58" s="4">
        <f>SUM(V7:V57)</f>
        <v>47811.541666666664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5A562-FC08-4F6D-8F24-EB56A0E8599E}">
  <sheetPr>
    <pageSetUpPr fitToPage="1"/>
  </sheetPr>
  <dimension ref="A1:BB81"/>
  <sheetViews>
    <sheetView zoomScale="91" zoomScaleNormal="91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84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101"/>
      <c r="Q5" s="101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1"/>
      <c r="K6" s="38"/>
      <c r="M6" s="37"/>
      <c r="N6" s="49"/>
      <c r="O6" s="40"/>
      <c r="P6" s="101"/>
      <c r="Q6" s="10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31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777</v>
      </c>
      <c r="V7" s="58">
        <f>U7/24</f>
        <v>32.375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40+37</f>
        <v>77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1932</v>
      </c>
      <c r="V8" s="69">
        <f>U8/24</f>
        <v>80.5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56+30</f>
        <v>86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2088</v>
      </c>
      <c r="V9" s="76">
        <f t="shared" ref="V9:V11" si="3">U9/24</f>
        <v>87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25+10</f>
        <v>35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864</v>
      </c>
      <c r="V10" s="58">
        <f t="shared" si="3"/>
        <v>36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1224+53+720+69+1080+29</f>
        <v>3175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15</v>
      </c>
      <c r="N12" s="64"/>
      <c r="O12" s="65">
        <v>12</v>
      </c>
      <c r="P12" s="66">
        <v>21</v>
      </c>
      <c r="Q12" s="66">
        <v>15</v>
      </c>
      <c r="R12" s="67">
        <v>5</v>
      </c>
      <c r="S12" s="62"/>
      <c r="T12" s="69">
        <f t="shared" si="0"/>
        <v>26</v>
      </c>
      <c r="U12" s="69">
        <f>C12*24+M12*24+O12*24+Q12*24+T12</f>
        <v>77234</v>
      </c>
      <c r="V12" s="69">
        <f>U12/24</f>
        <v>3218.0833333333335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39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1033</v>
      </c>
      <c r="V25" s="75">
        <f t="shared" si="5"/>
        <v>43.041666666666664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557</v>
      </c>
      <c r="V29" s="75">
        <f t="shared" si="5"/>
        <v>23.208333333333332</v>
      </c>
    </row>
    <row r="30" spans="1:54" x14ac:dyDescent="0.25">
      <c r="A30" s="27">
        <f t="shared" si="1"/>
        <v>27</v>
      </c>
      <c r="B30" s="26" t="s">
        <v>15</v>
      </c>
      <c r="C30" s="70">
        <v>9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240</v>
      </c>
      <c r="V30" s="75">
        <f t="shared" si="5"/>
        <v>10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24</v>
      </c>
      <c r="V33" s="75">
        <f t="shared" si="5"/>
        <v>1</v>
      </c>
    </row>
    <row r="34" spans="1:23" x14ac:dyDescent="0.25">
      <c r="A34" s="27">
        <f t="shared" si="1"/>
        <v>31</v>
      </c>
      <c r="B34" s="26" t="s">
        <v>17</v>
      </c>
      <c r="C34" s="70">
        <f>144+34</f>
        <v>178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4370</v>
      </c>
      <c r="V34" s="75">
        <f t="shared" si="5"/>
        <v>182.08333333333334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2592+60</f>
        <v>2652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1*6+2</f>
        <v>8</v>
      </c>
      <c r="L37" s="62"/>
      <c r="M37" s="63">
        <v>50</v>
      </c>
      <c r="N37" s="64"/>
      <c r="O37" s="65">
        <v>15</v>
      </c>
      <c r="P37" s="66"/>
      <c r="Q37" s="66">
        <v>66</v>
      </c>
      <c r="R37" s="67"/>
      <c r="S37" s="62"/>
      <c r="T37" s="77">
        <f t="shared" si="0"/>
        <v>19</v>
      </c>
      <c r="U37" s="77">
        <f>C37*6+M37*6+O37*6+Q37*6+T37</f>
        <v>16717</v>
      </c>
      <c r="V37" s="77">
        <f>U37/6</f>
        <v>2786.1666666666665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51+252</f>
        <v>303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7388</v>
      </c>
      <c r="V40" s="77">
        <f>U40/24</f>
        <v>307.83333333333331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384+9</f>
        <v>393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8</v>
      </c>
      <c r="P41" s="83"/>
      <c r="Q41" s="83">
        <v>19</v>
      </c>
      <c r="R41" s="84"/>
      <c r="S41" s="85"/>
      <c r="T41" s="88">
        <f t="shared" si="0"/>
        <v>0</v>
      </c>
      <c r="U41" s="88">
        <f>C41*12+M41*12+O41*12+Q41*12+T41</f>
        <v>5160</v>
      </c>
      <c r="V41" s="88">
        <f>U41/12</f>
        <v>430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6971+19764+10260</f>
        <v>36995</v>
      </c>
      <c r="D43" s="65"/>
      <c r="E43" s="65"/>
      <c r="F43" s="65"/>
      <c r="G43" s="65"/>
      <c r="H43" s="65">
        <v>8</v>
      </c>
      <c r="I43" s="65">
        <v>12</v>
      </c>
      <c r="J43" s="66">
        <f>22*6+5</f>
        <v>137</v>
      </c>
      <c r="K43" s="67">
        <f>69*6+1</f>
        <v>415</v>
      </c>
      <c r="L43" s="62"/>
      <c r="M43" s="63">
        <v>302</v>
      </c>
      <c r="N43" s="64"/>
      <c r="O43" s="65">
        <v>450</v>
      </c>
      <c r="P43" s="66"/>
      <c r="Q43" s="66">
        <v>448</v>
      </c>
      <c r="R43" s="67"/>
      <c r="S43" s="62"/>
      <c r="T43" s="77">
        <f t="shared" ref="T43" si="6">H43+I43+J43+K43+N43+P43+R43</f>
        <v>572</v>
      </c>
      <c r="U43" s="77">
        <f>C43*6+M43*6+O43*6+Q43*6+T43</f>
        <v>229742</v>
      </c>
      <c r="V43" s="77">
        <f>U43/6</f>
        <v>38290.333333333336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94+648+324+88+540+103+324+432+106</f>
        <v>2659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/>
      <c r="N47" s="64"/>
      <c r="O47" s="65">
        <v>15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16083</v>
      </c>
      <c r="V47" s="77">
        <f>U47/6</f>
        <v>2680.5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46721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1196</v>
      </c>
      <c r="I58" s="6">
        <f t="shared" si="11"/>
        <v>44</v>
      </c>
      <c r="J58" s="6">
        <f t="shared" si="11"/>
        <v>142</v>
      </c>
      <c r="K58" s="6">
        <f t="shared" si="11"/>
        <v>457</v>
      </c>
      <c r="M58" s="5">
        <f t="shared" ref="M58:R58" si="12">SUM(M7:M57)</f>
        <v>381</v>
      </c>
      <c r="N58" s="5">
        <f t="shared" si="12"/>
        <v>0</v>
      </c>
      <c r="O58" s="5">
        <f t="shared" si="12"/>
        <v>508</v>
      </c>
      <c r="P58" s="5">
        <f t="shared" si="12"/>
        <v>33</v>
      </c>
      <c r="Q58" s="5">
        <f t="shared" si="12"/>
        <v>563</v>
      </c>
      <c r="R58" s="5">
        <f t="shared" si="12"/>
        <v>8</v>
      </c>
      <c r="S58" s="55"/>
      <c r="T58" s="4">
        <f>SUM(T7:T57)</f>
        <v>1880</v>
      </c>
      <c r="U58" s="90">
        <f>SUM(U7:U57)</f>
        <v>366434</v>
      </c>
      <c r="V58" s="4">
        <f>SUM(V7:V57)</f>
        <v>48326.333333333336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3ACD1-5C40-4744-844F-FD1ECB768037}">
  <sheetPr>
    <pageSetUpPr fitToPage="1"/>
  </sheetPr>
  <dimension ref="A1:BB81"/>
  <sheetViews>
    <sheetView topLeftCell="A28" zoomScale="91" zoomScaleNormal="91" zoomScaleSheetLayoutView="115" workbookViewId="0">
      <selection activeCell="AB56" sqref="AB56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83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102"/>
      <c r="Q5" s="102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2"/>
      <c r="K6" s="38"/>
      <c r="M6" s="37"/>
      <c r="N6" s="49"/>
      <c r="O6" s="40"/>
      <c r="P6" s="102"/>
      <c r="Q6" s="10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31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777</v>
      </c>
      <c r="V7" s="58">
        <f>U7/24</f>
        <v>32.375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35+38</f>
        <v>73</v>
      </c>
      <c r="D8" s="59"/>
      <c r="E8" s="59"/>
      <c r="F8" s="59"/>
      <c r="G8" s="59"/>
      <c r="H8" s="59"/>
      <c r="I8" s="59"/>
      <c r="J8" s="60"/>
      <c r="K8" s="61"/>
      <c r="L8" s="62"/>
      <c r="M8" s="63">
        <v>4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1908</v>
      </c>
      <c r="V8" s="69">
        <f>U8/24</f>
        <v>79.5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30+41</f>
        <v>71</v>
      </c>
      <c r="D9" s="70"/>
      <c r="E9" s="70"/>
      <c r="F9" s="70"/>
      <c r="G9" s="70"/>
      <c r="H9" s="70"/>
      <c r="I9" s="70"/>
      <c r="J9" s="71"/>
      <c r="K9" s="72"/>
      <c r="L9" s="55"/>
      <c r="M9" s="73">
        <v>10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1944</v>
      </c>
      <c r="V9" s="76">
        <f t="shared" ref="V9:V11" si="3">U9/24</f>
        <v>81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10+10</f>
        <v>20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10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720</v>
      </c>
      <c r="V10" s="58">
        <f t="shared" si="3"/>
        <v>30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>
        <v>9</v>
      </c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1224+53+720+43+1080+29</f>
        <v>3149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12</v>
      </c>
      <c r="N12" s="64">
        <v>20</v>
      </c>
      <c r="O12" s="65">
        <v>11</v>
      </c>
      <c r="P12" s="66">
        <v>18</v>
      </c>
      <c r="Q12" s="66">
        <v>21</v>
      </c>
      <c r="R12" s="67"/>
      <c r="S12" s="62"/>
      <c r="T12" s="69">
        <f t="shared" si="0"/>
        <v>38</v>
      </c>
      <c r="U12" s="69">
        <f>C12*24+M12*24+O12*24+Q12*24+T12</f>
        <v>76670</v>
      </c>
      <c r="V12" s="69">
        <f>U12/24</f>
        <v>3194.5833333333335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1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>
        <v>1</v>
      </c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>
        <v>1</v>
      </c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35+126</f>
        <v>161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3985</v>
      </c>
      <c r="V25" s="75">
        <f t="shared" si="5"/>
        <v>166.04166666666666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>
        <v>1</v>
      </c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11</v>
      </c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4</v>
      </c>
      <c r="D30" s="70"/>
      <c r="E30" s="70"/>
      <c r="F30" s="70"/>
      <c r="G30" s="70"/>
      <c r="H30" s="70"/>
      <c r="I30" s="70"/>
      <c r="J30" s="71"/>
      <c r="K30" s="72"/>
      <c r="L30" s="55"/>
      <c r="M30" s="73">
        <v>3</v>
      </c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192</v>
      </c>
      <c r="V30" s="75">
        <f t="shared" si="5"/>
        <v>8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144+23</f>
        <v>167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11</v>
      </c>
      <c r="N34" s="74"/>
      <c r="O34" s="70">
        <v>2</v>
      </c>
      <c r="P34" s="71"/>
      <c r="Q34" s="71">
        <v>1</v>
      </c>
      <c r="R34" s="72"/>
      <c r="S34" s="55"/>
      <c r="T34" s="58">
        <f t="shared" si="0"/>
        <v>2</v>
      </c>
      <c r="U34" s="75">
        <f t="shared" si="4"/>
        <v>4346</v>
      </c>
      <c r="V34" s="75">
        <f t="shared" si="5"/>
        <v>181.08333333333334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64+864+2376</f>
        <v>3304</v>
      </c>
      <c r="D37" s="59"/>
      <c r="E37" s="59"/>
      <c r="F37" s="59"/>
      <c r="G37" s="59"/>
      <c r="H37" s="59">
        <v>3</v>
      </c>
      <c r="I37" s="59">
        <v>2</v>
      </c>
      <c r="J37" s="60">
        <v>6</v>
      </c>
      <c r="K37" s="61">
        <f>6+2</f>
        <v>8</v>
      </c>
      <c r="L37" s="62"/>
      <c r="M37" s="63">
        <v>35</v>
      </c>
      <c r="N37" s="64"/>
      <c r="O37" s="65">
        <v>25</v>
      </c>
      <c r="P37" s="66"/>
      <c r="Q37" s="66">
        <v>157</v>
      </c>
      <c r="R37" s="67"/>
      <c r="S37" s="62"/>
      <c r="T37" s="77">
        <f t="shared" si="0"/>
        <v>19</v>
      </c>
      <c r="U37" s="77">
        <f>C37*6+M37*6+O37*6+Q37*6+T37</f>
        <v>21145</v>
      </c>
      <c r="V37" s="77">
        <f>U37/6</f>
        <v>3524.1666666666665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189+66</f>
        <v>255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6260</v>
      </c>
      <c r="V40" s="77">
        <f>U40/24</f>
        <v>260.83333333333331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288+39</f>
        <v>327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25</v>
      </c>
      <c r="N41" s="87"/>
      <c r="O41" s="82">
        <v>9</v>
      </c>
      <c r="P41" s="83"/>
      <c r="Q41" s="83">
        <v>44</v>
      </c>
      <c r="R41" s="84"/>
      <c r="S41" s="85"/>
      <c r="T41" s="88">
        <f t="shared" si="0"/>
        <v>0</v>
      </c>
      <c r="U41" s="88">
        <f>C41*12+M41*12+O41*12+Q41*12+T41</f>
        <v>4860</v>
      </c>
      <c r="V41" s="88">
        <f>U41/12</f>
        <v>405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8856+9720+19764</f>
        <v>38340</v>
      </c>
      <c r="D43" s="65"/>
      <c r="E43" s="65"/>
      <c r="F43" s="65"/>
      <c r="G43" s="65"/>
      <c r="H43" s="65">
        <v>9</v>
      </c>
      <c r="I43" s="65">
        <v>12</v>
      </c>
      <c r="J43" s="66">
        <f>26*6+4</f>
        <v>160</v>
      </c>
      <c r="K43" s="67">
        <f>69*6+1</f>
        <v>415</v>
      </c>
      <c r="L43" s="62"/>
      <c r="M43" s="63">
        <v>422</v>
      </c>
      <c r="N43" s="64"/>
      <c r="O43" s="65">
        <v>443</v>
      </c>
      <c r="P43" s="66"/>
      <c r="Q43" s="66">
        <v>563</v>
      </c>
      <c r="R43" s="67"/>
      <c r="S43" s="62"/>
      <c r="T43" s="77">
        <f t="shared" ref="T43" si="6">H43+I43+J43+K43+N43+P43+R43</f>
        <v>596</v>
      </c>
      <c r="U43" s="77">
        <f>C43*6+M43*6+O43*6+Q43*6+T43</f>
        <v>239204</v>
      </c>
      <c r="V43" s="77">
        <f>U43/6</f>
        <v>39867.333333333336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89+648+324+88+432+98+103+324+432+106</f>
        <v>2644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15</v>
      </c>
      <c r="N47" s="64"/>
      <c r="O47" s="65">
        <v>15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16083</v>
      </c>
      <c r="V47" s="77">
        <f>U47/6</f>
        <v>2680.5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48611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1196</v>
      </c>
      <c r="I58" s="6">
        <f t="shared" si="11"/>
        <v>44</v>
      </c>
      <c r="J58" s="6">
        <f t="shared" si="11"/>
        <v>166</v>
      </c>
      <c r="K58" s="6">
        <f t="shared" si="11"/>
        <v>457</v>
      </c>
      <c r="M58" s="5">
        <f t="shared" ref="M58:R58" si="12">SUM(M7:M57)</f>
        <v>573</v>
      </c>
      <c r="N58" s="5">
        <f t="shared" si="12"/>
        <v>20</v>
      </c>
      <c r="O58" s="5">
        <f t="shared" si="12"/>
        <v>511</v>
      </c>
      <c r="P58" s="5">
        <f t="shared" si="12"/>
        <v>30</v>
      </c>
      <c r="Q58" s="5">
        <f t="shared" si="12"/>
        <v>798</v>
      </c>
      <c r="R58" s="5">
        <f t="shared" si="12"/>
        <v>3</v>
      </c>
      <c r="S58" s="55"/>
      <c r="T58" s="4">
        <f>SUM(T7:T57)</f>
        <v>1916</v>
      </c>
      <c r="U58" s="90">
        <f>SUM(U7:U57)</f>
        <v>380852</v>
      </c>
      <c r="V58" s="4">
        <f>SUM(V7:V57)</f>
        <v>50650.833333333336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7594-9AC5-434F-A2F7-C87D7699469D}">
  <sheetPr>
    <pageSetUpPr fitToPage="1"/>
  </sheetPr>
  <dimension ref="A1:BB81"/>
  <sheetViews>
    <sheetView topLeftCell="A34" zoomScale="91" zoomScaleNormal="91" zoomScaleSheetLayoutView="115" workbookViewId="0">
      <selection activeCell="AB61" sqref="AB6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86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103"/>
      <c r="Q5" s="103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777</v>
      </c>
      <c r="V7" s="58">
        <f>U7/24</f>
        <v>32.375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38+30</f>
        <v>68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6</v>
      </c>
      <c r="R8" s="67"/>
      <c r="S8" s="62"/>
      <c r="T8" s="68">
        <f t="shared" ref="T8:T41" si="0">H8+I8+J8+K8+N8+P8+R8</f>
        <v>12</v>
      </c>
      <c r="U8" s="69">
        <f>C8*24+M8*24+O8*24+Q8*24+T8</f>
        <v>1836</v>
      </c>
      <c r="V8" s="69">
        <f>U8/24</f>
        <v>76.5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26+30</f>
        <v>56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15</v>
      </c>
      <c r="R9" s="72"/>
      <c r="S9" s="55"/>
      <c r="T9" s="75">
        <f t="shared" si="0"/>
        <v>0</v>
      </c>
      <c r="U9" s="76">
        <f t="shared" ref="U9:U11" si="2">C9*24+M9*24+O9*24+Q9*24+T9</f>
        <v>1704</v>
      </c>
      <c r="V9" s="76">
        <f t="shared" ref="V9:V11" si="3">U9/24</f>
        <v>71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5+10</f>
        <v>15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5</v>
      </c>
      <c r="R10" s="72"/>
      <c r="S10" s="55"/>
      <c r="T10" s="58">
        <f t="shared" si="0"/>
        <v>0</v>
      </c>
      <c r="U10" s="58">
        <f t="shared" si="2"/>
        <v>480</v>
      </c>
      <c r="V10" s="58">
        <f t="shared" si="3"/>
        <v>20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</v>
      </c>
      <c r="V11" s="58">
        <f t="shared" si="3"/>
        <v>8.3333333333333329E-2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1224+53+720+38+1080+29</f>
        <v>3144</v>
      </c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>
        <v>10</v>
      </c>
      <c r="O12" s="65">
        <v>13</v>
      </c>
      <c r="P12" s="66">
        <v>12</v>
      </c>
      <c r="Q12" s="66">
        <v>2</v>
      </c>
      <c r="R12" s="67"/>
      <c r="S12" s="62"/>
      <c r="T12" s="69">
        <f t="shared" si="0"/>
        <v>22</v>
      </c>
      <c r="U12" s="69">
        <f>C12*24+M12*24+O12*24+Q12*24+T12</f>
        <v>75838</v>
      </c>
      <c r="V12" s="69">
        <f>U12/24</f>
        <v>3159.9166666666665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1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68</v>
      </c>
      <c r="V19" s="75">
        <f t="shared" si="5"/>
        <v>2.8333333333333335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126+25</f>
        <v>151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/>
      <c r="N25" s="74"/>
      <c r="O25" s="70">
        <v>1</v>
      </c>
      <c r="P25" s="71"/>
      <c r="Q25" s="71">
        <v>10</v>
      </c>
      <c r="R25" s="72"/>
      <c r="S25" s="55"/>
      <c r="T25" s="58">
        <f t="shared" si="0"/>
        <v>1</v>
      </c>
      <c r="U25" s="75">
        <f t="shared" si="4"/>
        <v>3889</v>
      </c>
      <c r="V25" s="75">
        <f t="shared" si="5"/>
        <v>162.04166666666666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1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>
        <v>1</v>
      </c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8</v>
      </c>
      <c r="R29" s="72"/>
      <c r="S29" s="55"/>
      <c r="T29" s="58">
        <f t="shared" si="0"/>
        <v>5</v>
      </c>
      <c r="U29" s="75">
        <f t="shared" si="4"/>
        <v>197</v>
      </c>
      <c r="V29" s="75">
        <f t="shared" si="5"/>
        <v>8.2083333333333339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68+72</f>
        <v>140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5</v>
      </c>
      <c r="P34" s="71"/>
      <c r="Q34" s="71">
        <v>23</v>
      </c>
      <c r="R34" s="72"/>
      <c r="S34" s="55"/>
      <c r="T34" s="58">
        <f t="shared" si="0"/>
        <v>2</v>
      </c>
      <c r="U34" s="75">
        <f t="shared" si="4"/>
        <v>4034</v>
      </c>
      <c r="V34" s="75">
        <f t="shared" si="5"/>
        <v>168.08333333333334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864+2376+16</f>
        <v>3256</v>
      </c>
      <c r="D37" s="59"/>
      <c r="E37" s="59"/>
      <c r="F37" s="59"/>
      <c r="G37" s="59"/>
      <c r="H37" s="59">
        <v>3</v>
      </c>
      <c r="I37" s="59">
        <v>2</v>
      </c>
      <c r="J37" s="60">
        <v>6</v>
      </c>
      <c r="K37" s="61">
        <f>2+6</f>
        <v>8</v>
      </c>
      <c r="L37" s="62"/>
      <c r="M37" s="63"/>
      <c r="N37" s="64"/>
      <c r="O37" s="65">
        <v>32</v>
      </c>
      <c r="P37" s="66"/>
      <c r="Q37" s="66">
        <v>54</v>
      </c>
      <c r="R37" s="67"/>
      <c r="S37" s="62"/>
      <c r="T37" s="77">
        <f t="shared" si="0"/>
        <v>19</v>
      </c>
      <c r="U37" s="77">
        <f>C37*6+M37*6+O37*6+Q37*6+T37</f>
        <v>20071</v>
      </c>
      <c r="V37" s="77">
        <f>U37/6</f>
        <v>3345.1666666666665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51+189</f>
        <v>240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15</v>
      </c>
      <c r="R40" s="67"/>
      <c r="S40" s="62"/>
      <c r="T40" s="77">
        <f t="shared" si="0"/>
        <v>20</v>
      </c>
      <c r="U40" s="77">
        <f>C40*24+M40*24+O40*24+Q40*24+T40</f>
        <v>6188</v>
      </c>
      <c r="V40" s="77">
        <f>U40/24</f>
        <v>257.83333333333331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192+91</f>
        <v>283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10</v>
      </c>
      <c r="P41" s="83"/>
      <c r="Q41" s="83">
        <v>35</v>
      </c>
      <c r="R41" s="84"/>
      <c r="S41" s="85"/>
      <c r="T41" s="88">
        <f t="shared" si="0"/>
        <v>0</v>
      </c>
      <c r="U41" s="88">
        <f>C41*12+M41*12+O41*12+Q41*12+T41</f>
        <v>3936</v>
      </c>
      <c r="V41" s="88">
        <f>U41/12</f>
        <v>328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8856+19764+9033</f>
        <v>37653</v>
      </c>
      <c r="D43" s="65"/>
      <c r="E43" s="65"/>
      <c r="F43" s="65"/>
      <c r="G43" s="65"/>
      <c r="H43" s="65">
        <v>3</v>
      </c>
      <c r="I43" s="65">
        <v>12</v>
      </c>
      <c r="J43" s="66">
        <f>26*6+4</f>
        <v>160</v>
      </c>
      <c r="K43" s="67">
        <f>69*6+1</f>
        <v>415</v>
      </c>
      <c r="L43" s="62"/>
      <c r="M43" s="63">
        <v>43</v>
      </c>
      <c r="N43" s="64"/>
      <c r="O43" s="65">
        <v>470</v>
      </c>
      <c r="P43" s="66"/>
      <c r="Q43" s="66">
        <v>364</v>
      </c>
      <c r="R43" s="67"/>
      <c r="S43" s="62"/>
      <c r="T43" s="77">
        <f t="shared" ref="T43" si="6">H43+I43+J43+K43+N43+P43+R43</f>
        <v>590</v>
      </c>
      <c r="U43" s="77">
        <f>C43*6+M43*6+O43*6+Q43*6+T43</f>
        <v>231770</v>
      </c>
      <c r="V43" s="77">
        <f>U43/6</f>
        <v>38628.333333333336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89+648+324+88+432+83+103+324+432+106</f>
        <v>2629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2</v>
      </c>
      <c r="N47" s="64"/>
      <c r="O47" s="65">
        <v>15</v>
      </c>
      <c r="P47" s="66"/>
      <c r="Q47" s="66">
        <v>20</v>
      </c>
      <c r="R47" s="67">
        <v>3</v>
      </c>
      <c r="S47" s="62"/>
      <c r="T47" s="77">
        <f t="shared" si="7"/>
        <v>9</v>
      </c>
      <c r="U47" s="77">
        <f>C47*6+M47*6+O47*6+Q47*6+T47</f>
        <v>16005</v>
      </c>
      <c r="V47" s="77">
        <f>U47/6</f>
        <v>2667.5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47722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44</v>
      </c>
      <c r="J58" s="6">
        <f t="shared" si="11"/>
        <v>166</v>
      </c>
      <c r="K58" s="6">
        <f t="shared" si="11"/>
        <v>457</v>
      </c>
      <c r="M58" s="5">
        <f t="shared" ref="M58:R58" si="12">SUM(M7:M57)</f>
        <v>46</v>
      </c>
      <c r="N58" s="5">
        <f t="shared" si="12"/>
        <v>10</v>
      </c>
      <c r="O58" s="5">
        <f t="shared" si="12"/>
        <v>550</v>
      </c>
      <c r="P58" s="5">
        <f t="shared" si="12"/>
        <v>24</v>
      </c>
      <c r="Q58" s="5">
        <f t="shared" si="12"/>
        <v>561</v>
      </c>
      <c r="R58" s="5">
        <f t="shared" si="12"/>
        <v>3</v>
      </c>
      <c r="S58" s="55"/>
      <c r="T58" s="4">
        <f>SUM(T7:T57)</f>
        <v>1894</v>
      </c>
      <c r="U58" s="90">
        <f>SUM(U7:U57)</f>
        <v>368758</v>
      </c>
      <c r="V58" s="4">
        <f>SUM(V7:V57)</f>
        <v>49035.166666666672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35CE8-2A84-40FE-B7B5-D26F7437D5B3}">
  <sheetPr>
    <pageSetUpPr fitToPage="1"/>
  </sheetPr>
  <dimension ref="A1:BB81"/>
  <sheetViews>
    <sheetView topLeftCell="A7" zoomScale="91" zoomScaleNormal="91" zoomScaleSheetLayoutView="115" workbookViewId="0">
      <selection activeCell="AA24" sqref="AA24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87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104"/>
      <c r="Q5" s="104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753</v>
      </c>
      <c r="V7" s="58">
        <f>U7/24</f>
        <v>31.375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37+30</f>
        <v>67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1716</v>
      </c>
      <c r="V8" s="69">
        <f>U8/24</f>
        <v>71.5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26+30</f>
        <v>56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1344</v>
      </c>
      <c r="V9" s="76">
        <f t="shared" ref="V9:V11" si="3">U9/24</f>
        <v>56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5+10</f>
        <v>15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360</v>
      </c>
      <c r="V10" s="58">
        <f t="shared" si="3"/>
        <v>15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</v>
      </c>
      <c r="V11" s="58">
        <f t="shared" si="3"/>
        <v>8.3333333333333329E-2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1224+53+648+61+1080+29</f>
        <v>3095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25</v>
      </c>
      <c r="N12" s="64">
        <v>10</v>
      </c>
      <c r="O12" s="65">
        <v>6</v>
      </c>
      <c r="P12" s="66">
        <v>12</v>
      </c>
      <c r="Q12" s="66">
        <v>22</v>
      </c>
      <c r="R12" s="67"/>
      <c r="S12" s="62"/>
      <c r="T12" s="69">
        <f t="shared" si="0"/>
        <v>22</v>
      </c>
      <c r="U12" s="69">
        <f>C12*24+M12*24+O12*24+Q12*24+T12</f>
        <v>75574</v>
      </c>
      <c r="V12" s="69">
        <f>U12/24</f>
        <v>3148.9166666666665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1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68</v>
      </c>
      <c r="V19" s="75">
        <f t="shared" si="5"/>
        <v>2.8333333333333335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126+24</f>
        <v>150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/>
      <c r="N25" s="74"/>
      <c r="O25" s="70">
        <v>1</v>
      </c>
      <c r="P25" s="71"/>
      <c r="Q25" s="71">
        <v>1</v>
      </c>
      <c r="R25" s="72"/>
      <c r="S25" s="55"/>
      <c r="T25" s="58">
        <f t="shared" si="0"/>
        <v>1</v>
      </c>
      <c r="U25" s="75">
        <f t="shared" si="4"/>
        <v>3649</v>
      </c>
      <c r="V25" s="75">
        <f t="shared" si="5"/>
        <v>152.04166666666666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1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24</v>
      </c>
      <c r="V27" s="75">
        <f t="shared" si="5"/>
        <v>1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</v>
      </c>
      <c r="V29" s="75">
        <f t="shared" si="5"/>
        <v>0.20833333333333334</v>
      </c>
    </row>
    <row r="30" spans="1:54" x14ac:dyDescent="0.25">
      <c r="A30" s="27">
        <f t="shared" si="1"/>
        <v>27</v>
      </c>
      <c r="B30" s="26" t="s">
        <v>15</v>
      </c>
      <c r="C30" s="70">
        <v>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48</v>
      </c>
      <c r="V30" s="75">
        <f t="shared" si="5"/>
        <v>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68+72</f>
        <v>140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/>
      <c r="P34" s="71"/>
      <c r="Q34" s="71">
        <v>3</v>
      </c>
      <c r="R34" s="72"/>
      <c r="S34" s="55"/>
      <c r="T34" s="58">
        <f t="shared" si="0"/>
        <v>2</v>
      </c>
      <c r="U34" s="75">
        <f t="shared" si="4"/>
        <v>3434</v>
      </c>
      <c r="V34" s="75">
        <f t="shared" si="5"/>
        <v>143.08333333333334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864+2160+78</f>
        <v>3102</v>
      </c>
      <c r="D37" s="59"/>
      <c r="E37" s="59"/>
      <c r="F37" s="59"/>
      <c r="G37" s="59"/>
      <c r="H37" s="59">
        <v>3</v>
      </c>
      <c r="I37" s="59">
        <v>2</v>
      </c>
      <c r="J37" s="60">
        <v>6</v>
      </c>
      <c r="K37" s="61">
        <f>6+2</f>
        <v>8</v>
      </c>
      <c r="L37" s="62"/>
      <c r="M37" s="63">
        <v>30</v>
      </c>
      <c r="N37" s="64"/>
      <c r="O37" s="65"/>
      <c r="P37" s="66"/>
      <c r="Q37" s="66">
        <v>109</v>
      </c>
      <c r="R37" s="67"/>
      <c r="S37" s="62"/>
      <c r="T37" s="77">
        <f t="shared" si="0"/>
        <v>19</v>
      </c>
      <c r="U37" s="77">
        <f>C37*6+M37*6+O37*6+Q37*6+T37</f>
        <v>19465</v>
      </c>
      <c r="V37" s="77">
        <f>U37/6</f>
        <v>3244.1666666666665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189+49</f>
        <v>238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5804</v>
      </c>
      <c r="V40" s="77">
        <f>U40/24</f>
        <v>241.83333333333334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192+38</f>
        <v>230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5</v>
      </c>
      <c r="N41" s="87"/>
      <c r="O41" s="82">
        <v>10</v>
      </c>
      <c r="P41" s="83"/>
      <c r="Q41" s="83">
        <v>48</v>
      </c>
      <c r="R41" s="84"/>
      <c r="S41" s="85"/>
      <c r="T41" s="88">
        <f t="shared" si="0"/>
        <v>0</v>
      </c>
      <c r="U41" s="88">
        <f>C41*12+M41*12+O41*12+Q41*12+T41</f>
        <v>3516</v>
      </c>
      <c r="V41" s="88">
        <f>U41/12</f>
        <v>293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8856+19764+7452+19</f>
        <v>36091</v>
      </c>
      <c r="D43" s="65"/>
      <c r="E43" s="65"/>
      <c r="F43" s="65"/>
      <c r="G43" s="65"/>
      <c r="H43" s="65">
        <v>3</v>
      </c>
      <c r="I43" s="65">
        <v>12</v>
      </c>
      <c r="J43" s="66">
        <f>27*6+4</f>
        <v>166</v>
      </c>
      <c r="K43" s="67">
        <f>69*6+1</f>
        <v>415</v>
      </c>
      <c r="L43" s="62"/>
      <c r="M43" s="63">
        <v>799</v>
      </c>
      <c r="N43" s="64"/>
      <c r="O43" s="65">
        <v>331</v>
      </c>
      <c r="P43" s="66"/>
      <c r="Q43" s="66">
        <v>550</v>
      </c>
      <c r="R43" s="67"/>
      <c r="S43" s="62"/>
      <c r="T43" s="77">
        <f t="shared" ref="T43" si="6">H43+I43+J43+K43+N43+P43+R43</f>
        <v>596</v>
      </c>
      <c r="U43" s="77">
        <f>C43*6+M43*6+O43*6+Q43*6+T43</f>
        <v>227222</v>
      </c>
      <c r="V43" s="77">
        <f>U43/6</f>
        <v>37870.333333333336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89+648+324+88+432+83+103+324+432+106</f>
        <v>2629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2</v>
      </c>
      <c r="N47" s="64"/>
      <c r="O47" s="65">
        <v>15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15915</v>
      </c>
      <c r="V47" s="77">
        <f>U47/6</f>
        <v>2652.5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45899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44</v>
      </c>
      <c r="J58" s="6">
        <f t="shared" si="11"/>
        <v>172</v>
      </c>
      <c r="K58" s="6">
        <f t="shared" si="11"/>
        <v>457</v>
      </c>
      <c r="M58" s="5">
        <f t="shared" ref="M58:R58" si="12">SUM(M7:M57)</f>
        <v>862</v>
      </c>
      <c r="N58" s="5">
        <f t="shared" si="12"/>
        <v>10</v>
      </c>
      <c r="O58" s="5">
        <f t="shared" si="12"/>
        <v>366</v>
      </c>
      <c r="P58" s="5">
        <f t="shared" si="12"/>
        <v>24</v>
      </c>
      <c r="Q58" s="5">
        <f t="shared" si="12"/>
        <v>743</v>
      </c>
      <c r="R58" s="5">
        <f t="shared" si="12"/>
        <v>3</v>
      </c>
      <c r="S58" s="55"/>
      <c r="T58" s="4">
        <f>SUM(T7:T57)</f>
        <v>1900</v>
      </c>
      <c r="U58" s="90">
        <f>SUM(U7:U57)</f>
        <v>360718</v>
      </c>
      <c r="V58" s="4">
        <f>SUM(V7:V57)</f>
        <v>48027.166666666672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02C5D-37D6-4617-B02F-10237C64E9FC}">
  <sheetPr>
    <pageSetUpPr fitToPage="1"/>
  </sheetPr>
  <dimension ref="A1:BB81"/>
  <sheetViews>
    <sheetView topLeftCell="A28" zoomScale="91" zoomScaleNormal="91" zoomScaleSheetLayoutView="115" workbookViewId="0">
      <selection activeCell="AB52" sqref="AB5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88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105"/>
      <c r="Q5" s="105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5"/>
      <c r="K6" s="38"/>
      <c r="M6" s="37"/>
      <c r="N6" s="49"/>
      <c r="O6" s="40"/>
      <c r="P6" s="105"/>
      <c r="Q6" s="105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753</v>
      </c>
      <c r="V7" s="58">
        <f>U7/24</f>
        <v>31.375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37+30</f>
        <v>67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1716</v>
      </c>
      <c r="V8" s="69">
        <f>U8/24</f>
        <v>71.5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24+30</f>
        <v>54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1320</v>
      </c>
      <c r="V9" s="76">
        <f t="shared" ref="V9:V11" si="3">U9/24</f>
        <v>55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3+10</f>
        <v>13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/>
      <c r="R10" s="72"/>
      <c r="S10" s="55"/>
      <c r="T10" s="58">
        <f t="shared" si="0"/>
        <v>0</v>
      </c>
      <c r="U10" s="58">
        <f t="shared" si="2"/>
        <v>336</v>
      </c>
      <c r="V10" s="58">
        <f t="shared" si="3"/>
        <v>14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</v>
      </c>
      <c r="V11" s="58">
        <f t="shared" si="3"/>
        <v>8.3333333333333329E-2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1224+53+576+41+1080+29</f>
        <v>3003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31</v>
      </c>
      <c r="N12" s="64">
        <v>10</v>
      </c>
      <c r="O12" s="65">
        <v>15</v>
      </c>
      <c r="P12" s="66">
        <v>17</v>
      </c>
      <c r="Q12" s="66">
        <v>39</v>
      </c>
      <c r="R12" s="67">
        <v>13</v>
      </c>
      <c r="S12" s="62"/>
      <c r="T12" s="69">
        <f t="shared" si="0"/>
        <v>40</v>
      </c>
      <c r="U12" s="69">
        <f>C12*24+M12*24+O12*24+Q12*24+T12</f>
        <v>74152</v>
      </c>
      <c r="V12" s="69">
        <f>U12/24</f>
        <v>3089.6666666666665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1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68</v>
      </c>
      <c r="V19" s="75">
        <f t="shared" si="5"/>
        <v>2.8333333333333335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9+126</f>
        <v>135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/>
      <c r="N25" s="74"/>
      <c r="O25" s="70">
        <v>1</v>
      </c>
      <c r="P25" s="71"/>
      <c r="Q25" s="71">
        <v>16</v>
      </c>
      <c r="R25" s="72"/>
      <c r="S25" s="55"/>
      <c r="T25" s="58">
        <f t="shared" si="0"/>
        <v>1</v>
      </c>
      <c r="U25" s="75">
        <f t="shared" si="4"/>
        <v>3649</v>
      </c>
      <c r="V25" s="75">
        <f t="shared" si="5"/>
        <v>152.04166666666666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1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24</v>
      </c>
      <c r="V27" s="75">
        <f t="shared" si="5"/>
        <v>1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1+252+46</f>
        <v>299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>
        <v>17</v>
      </c>
      <c r="R28" s="72"/>
      <c r="S28" s="55"/>
      <c r="T28" s="58">
        <f t="shared" si="0"/>
        <v>0</v>
      </c>
      <c r="U28" s="75">
        <f t="shared" si="4"/>
        <v>7584</v>
      </c>
      <c r="V28" s="75">
        <f t="shared" si="5"/>
        <v>316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</v>
      </c>
      <c r="V29" s="75">
        <f t="shared" si="5"/>
        <v>0.20833333333333334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24</v>
      </c>
      <c r="V30" s="75">
        <f t="shared" si="5"/>
        <v>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72+58</f>
        <v>130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/>
      <c r="P34" s="71"/>
      <c r="Q34" s="71">
        <v>10</v>
      </c>
      <c r="R34" s="72"/>
      <c r="S34" s="55"/>
      <c r="T34" s="58">
        <f t="shared" si="0"/>
        <v>2</v>
      </c>
      <c r="U34" s="75">
        <f t="shared" si="4"/>
        <v>3362</v>
      </c>
      <c r="V34" s="75">
        <f t="shared" si="5"/>
        <v>140.08333333333334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864+1944+89</f>
        <v>2897</v>
      </c>
      <c r="D37" s="59"/>
      <c r="E37" s="59"/>
      <c r="F37" s="59"/>
      <c r="G37" s="59"/>
      <c r="H37" s="59">
        <v>3</v>
      </c>
      <c r="I37" s="59">
        <v>2</v>
      </c>
      <c r="J37" s="60"/>
      <c r="K37" s="61">
        <f>2*6+2</f>
        <v>14</v>
      </c>
      <c r="L37" s="62"/>
      <c r="M37" s="63">
        <v>19</v>
      </c>
      <c r="N37" s="64"/>
      <c r="O37" s="65">
        <v>136</v>
      </c>
      <c r="P37" s="66"/>
      <c r="Q37" s="66">
        <v>38</v>
      </c>
      <c r="R37" s="67"/>
      <c r="S37" s="62"/>
      <c r="T37" s="77">
        <f t="shared" si="0"/>
        <v>19</v>
      </c>
      <c r="U37" s="77">
        <f>C37*6+M37*6+O37*6+Q37*6+T37</f>
        <v>18559</v>
      </c>
      <c r="V37" s="77">
        <f>U37/6</f>
        <v>3093.1666666666665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189+47</f>
        <v>236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4</v>
      </c>
      <c r="R40" s="67"/>
      <c r="S40" s="62"/>
      <c r="T40" s="77">
        <f t="shared" si="0"/>
        <v>20</v>
      </c>
      <c r="U40" s="77">
        <f>C40*24+M40*24+O40*24+Q40*24+T40</f>
        <v>5804</v>
      </c>
      <c r="V40" s="77">
        <f>U40/24</f>
        <v>241.83333333333334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192+18</f>
        <v>210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4</v>
      </c>
      <c r="N41" s="87"/>
      <c r="O41" s="82">
        <v>10</v>
      </c>
      <c r="P41" s="83"/>
      <c r="Q41" s="83">
        <v>33</v>
      </c>
      <c r="R41" s="84"/>
      <c r="S41" s="85"/>
      <c r="T41" s="88">
        <f t="shared" si="0"/>
        <v>0</v>
      </c>
      <c r="U41" s="88">
        <f>C41*12+M41*12+O41*12+Q41*12+T41</f>
        <v>3084</v>
      </c>
      <c r="V41" s="88">
        <f>U41/12</f>
        <v>257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11988+19764+5129</f>
        <v>36881</v>
      </c>
      <c r="D43" s="65"/>
      <c r="E43" s="65"/>
      <c r="F43" s="65"/>
      <c r="G43" s="65"/>
      <c r="H43" s="65">
        <v>5</v>
      </c>
      <c r="I43" s="65">
        <v>12</v>
      </c>
      <c r="J43" s="66">
        <f>3*6+2</f>
        <v>20</v>
      </c>
      <c r="K43" s="67">
        <f>95*6+1</f>
        <v>571</v>
      </c>
      <c r="L43" s="62"/>
      <c r="M43" s="63">
        <v>1020</v>
      </c>
      <c r="N43" s="64"/>
      <c r="O43" s="65">
        <v>434</v>
      </c>
      <c r="P43" s="66"/>
      <c r="Q43" s="66">
        <v>757</v>
      </c>
      <c r="R43" s="67"/>
      <c r="S43" s="62"/>
      <c r="T43" s="77">
        <f t="shared" ref="T43" si="6">H43+I43+J43+K43+N43+P43+R43</f>
        <v>608</v>
      </c>
      <c r="U43" s="77">
        <f>C43*6+M43*6+O43*6+Q43*6+T43</f>
        <v>235160</v>
      </c>
      <c r="V43" s="77">
        <f>U43/6</f>
        <v>39193.333333333336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89+648+324+88+432+83+103+324+432+106</f>
        <v>2629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2</v>
      </c>
      <c r="N47" s="64"/>
      <c r="O47" s="65">
        <v>15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15915</v>
      </c>
      <c r="V47" s="77">
        <f>U47/6</f>
        <v>2652.5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46639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38</v>
      </c>
      <c r="J58" s="6">
        <f t="shared" si="11"/>
        <v>26</v>
      </c>
      <c r="K58" s="6">
        <f t="shared" si="11"/>
        <v>619</v>
      </c>
      <c r="M58" s="5">
        <f t="shared" ref="M58:R58" si="12">SUM(M7:M57)</f>
        <v>1077</v>
      </c>
      <c r="N58" s="5">
        <f t="shared" si="12"/>
        <v>10</v>
      </c>
      <c r="O58" s="5">
        <f t="shared" si="12"/>
        <v>616</v>
      </c>
      <c r="P58" s="5">
        <f t="shared" si="12"/>
        <v>29</v>
      </c>
      <c r="Q58" s="5">
        <f t="shared" si="12"/>
        <v>922</v>
      </c>
      <c r="R58" s="5">
        <f t="shared" si="12"/>
        <v>16</v>
      </c>
      <c r="S58" s="55"/>
      <c r="T58" s="4">
        <f>SUM(T7:T57)</f>
        <v>1930</v>
      </c>
      <c r="U58" s="90">
        <f>SUM(U7:U57)</f>
        <v>373336</v>
      </c>
      <c r="V58" s="4">
        <f>SUM(V7:V57)</f>
        <v>49413.916666666672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7E47D-FEA8-487E-A2AF-D4BE6C09E59A}">
  <sheetPr>
    <pageSetUpPr fitToPage="1"/>
  </sheetPr>
  <dimension ref="A1:BB81"/>
  <sheetViews>
    <sheetView topLeftCell="A23" zoomScale="91" zoomScaleNormal="91" zoomScaleSheetLayoutView="115" workbookViewId="0">
      <selection activeCell="F54" sqref="F54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89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106"/>
      <c r="Q5" s="106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6"/>
      <c r="K6" s="38"/>
      <c r="M6" s="37"/>
      <c r="N6" s="49"/>
      <c r="O6" s="40"/>
      <c r="P6" s="106"/>
      <c r="Q6" s="10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753</v>
      </c>
      <c r="V7" s="58">
        <f>U7/24</f>
        <v>31.375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36+30</f>
        <v>66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1668</v>
      </c>
      <c r="V8" s="69">
        <f>U8/24</f>
        <v>69.5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23+30</f>
        <v>53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1296</v>
      </c>
      <c r="V9" s="76">
        <f t="shared" ref="V9:V11" si="3">U9/24</f>
        <v>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>
        <v>3</v>
      </c>
      <c r="R10" s="72"/>
      <c r="S10" s="55"/>
      <c r="T10" s="58">
        <f t="shared" si="0"/>
        <v>0</v>
      </c>
      <c r="U10" s="58">
        <f t="shared" si="2"/>
        <v>312</v>
      </c>
      <c r="V10" s="58">
        <f t="shared" si="3"/>
        <v>13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</v>
      </c>
      <c r="V11" s="58">
        <f t="shared" si="3"/>
        <v>8.3333333333333329E-2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70">
        <f>1224+53+504+62+1080+29+4</f>
        <v>2956</v>
      </c>
      <c r="D12" s="70"/>
      <c r="E12" s="70"/>
      <c r="F12" s="70"/>
      <c r="G12" s="70"/>
      <c r="H12" s="70"/>
      <c r="I12" s="70"/>
      <c r="J12" s="71"/>
      <c r="K12" s="72"/>
      <c r="L12" s="55"/>
      <c r="M12" s="73">
        <v>16</v>
      </c>
      <c r="N12" s="74">
        <v>10</v>
      </c>
      <c r="O12" s="70">
        <v>11</v>
      </c>
      <c r="P12" s="71">
        <v>7</v>
      </c>
      <c r="Q12" s="71">
        <v>25</v>
      </c>
      <c r="R12" s="72">
        <v>7</v>
      </c>
      <c r="S12" s="62"/>
      <c r="T12" s="69">
        <f t="shared" si="0"/>
        <v>24</v>
      </c>
      <c r="U12" s="69">
        <f>C12*24+M12*24+O12*24+Q12*24+T12</f>
        <v>72216</v>
      </c>
      <c r="V12" s="69">
        <f>U12/24</f>
        <v>3009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1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68</v>
      </c>
      <c r="V19" s="75">
        <f t="shared" si="5"/>
        <v>2.8333333333333335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7+126</f>
        <v>133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/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3265</v>
      </c>
      <c r="V25" s="75">
        <f t="shared" si="5"/>
        <v>136.04166666666666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5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1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24</v>
      </c>
      <c r="V27" s="75">
        <f t="shared" si="5"/>
        <v>1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252+40</f>
        <v>292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2</v>
      </c>
      <c r="P28" s="71"/>
      <c r="Q28" s="71">
        <v>5</v>
      </c>
      <c r="R28" s="72"/>
      <c r="S28" s="55"/>
      <c r="T28" s="58">
        <f t="shared" si="0"/>
        <v>0</v>
      </c>
      <c r="U28" s="75">
        <f t="shared" si="4"/>
        <v>7176</v>
      </c>
      <c r="V28" s="75">
        <f t="shared" si="5"/>
        <v>299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</v>
      </c>
      <c r="V29" s="75">
        <f t="shared" si="5"/>
        <v>0.20833333333333334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52+72</f>
        <v>124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6</v>
      </c>
      <c r="R34" s="72"/>
      <c r="S34" s="55"/>
      <c r="T34" s="58">
        <f t="shared" si="0"/>
        <v>2</v>
      </c>
      <c r="U34" s="75">
        <f t="shared" si="4"/>
        <v>3170</v>
      </c>
      <c r="V34" s="75">
        <f t="shared" si="5"/>
        <v>132.08333333333334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864+1836</f>
        <v>2700</v>
      </c>
      <c r="D37" s="59"/>
      <c r="E37" s="59"/>
      <c r="F37" s="59"/>
      <c r="G37" s="59"/>
      <c r="H37" s="59">
        <v>3</v>
      </c>
      <c r="I37" s="59">
        <v>2</v>
      </c>
      <c r="J37" s="60"/>
      <c r="K37" s="61">
        <f>2*6+2</f>
        <v>14</v>
      </c>
      <c r="L37" s="62"/>
      <c r="M37" s="63">
        <v>87</v>
      </c>
      <c r="N37" s="64"/>
      <c r="O37" s="65">
        <v>32</v>
      </c>
      <c r="P37" s="66"/>
      <c r="Q37" s="66">
        <v>77</v>
      </c>
      <c r="R37" s="67"/>
      <c r="S37" s="62"/>
      <c r="T37" s="77">
        <f t="shared" si="0"/>
        <v>19</v>
      </c>
      <c r="U37" s="77">
        <f>C37*6+M37*6+O37*6+Q37*6+T37</f>
        <v>17395</v>
      </c>
      <c r="V37" s="77">
        <f>U37/6</f>
        <v>2899.1666666666665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5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120</v>
      </c>
      <c r="V38" s="75">
        <f>U38/24</f>
        <v>5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252+48</f>
        <v>300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4</v>
      </c>
      <c r="R40" s="67"/>
      <c r="S40" s="62"/>
      <c r="T40" s="77">
        <f t="shared" si="0"/>
        <v>20</v>
      </c>
      <c r="U40" s="77">
        <f>C40*24+M40*24+O40*24+Q40*24+T40</f>
        <v>7340</v>
      </c>
      <c r="V40" s="77">
        <f>U40/24</f>
        <v>305.83333333333331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768+18</f>
        <v>786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4</v>
      </c>
      <c r="N41" s="87"/>
      <c r="O41" s="82">
        <v>10</v>
      </c>
      <c r="P41" s="83"/>
      <c r="Q41" s="83">
        <v>27</v>
      </c>
      <c r="R41" s="84"/>
      <c r="S41" s="85"/>
      <c r="T41" s="88">
        <f t="shared" si="0"/>
        <v>0</v>
      </c>
      <c r="U41" s="88">
        <f>C41*12+M41*12+O41*12+Q41*12+T41</f>
        <v>9924</v>
      </c>
      <c r="V41" s="88">
        <f>U41/12</f>
        <v>827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1835+13068+19764+3348</f>
        <v>38015</v>
      </c>
      <c r="D43" s="65"/>
      <c r="E43" s="65"/>
      <c r="F43" s="65"/>
      <c r="G43" s="65"/>
      <c r="H43" s="65">
        <v>9</v>
      </c>
      <c r="I43" s="65">
        <v>12</v>
      </c>
      <c r="J43" s="66">
        <f>4*6+4</f>
        <v>28</v>
      </c>
      <c r="K43" s="67">
        <f>95*6+1</f>
        <v>571</v>
      </c>
      <c r="L43" s="62"/>
      <c r="M43" s="63">
        <v>565</v>
      </c>
      <c r="N43" s="64"/>
      <c r="O43" s="65">
        <v>483</v>
      </c>
      <c r="P43" s="66"/>
      <c r="Q43" s="66">
        <v>650</v>
      </c>
      <c r="R43" s="67"/>
      <c r="S43" s="62"/>
      <c r="T43" s="77">
        <f t="shared" ref="T43" si="6">H43+I43+J43+K43+N43+P43+R43</f>
        <v>620</v>
      </c>
      <c r="U43" s="77">
        <f>C43*6+M43*6+O43*6+Q43*6+T43</f>
        <v>238898</v>
      </c>
      <c r="V43" s="77">
        <f>U43/6</f>
        <v>39816.333333333336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5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89+648+324+88+432+83+103+324+432+106</f>
        <v>2629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2</v>
      </c>
      <c r="N47" s="64"/>
      <c r="O47" s="65">
        <v>15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15915</v>
      </c>
      <c r="V47" s="77">
        <f>U47/6</f>
        <v>2652.5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48162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1196</v>
      </c>
      <c r="I58" s="6">
        <f t="shared" si="11"/>
        <v>38</v>
      </c>
      <c r="J58" s="6">
        <f t="shared" si="11"/>
        <v>34</v>
      </c>
      <c r="K58" s="6">
        <f t="shared" si="11"/>
        <v>619</v>
      </c>
      <c r="M58" s="5">
        <f t="shared" ref="M58:R58" si="12">SUM(M7:M57)</f>
        <v>675</v>
      </c>
      <c r="N58" s="5">
        <f t="shared" si="12"/>
        <v>10</v>
      </c>
      <c r="O58" s="5">
        <f t="shared" si="12"/>
        <v>561</v>
      </c>
      <c r="P58" s="5">
        <f t="shared" si="12"/>
        <v>19</v>
      </c>
      <c r="Q58" s="5">
        <f t="shared" si="12"/>
        <v>806</v>
      </c>
      <c r="R58" s="5">
        <f t="shared" si="12"/>
        <v>10</v>
      </c>
      <c r="S58" s="55"/>
      <c r="T58" s="4">
        <f>SUM(T7:T57)</f>
        <v>1926</v>
      </c>
      <c r="U58" s="90">
        <f>SUM(U7:U57)</f>
        <v>381606</v>
      </c>
      <c r="V58" s="4">
        <f>SUM(V7:V57)</f>
        <v>50365.25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CFFCE-B26C-46FA-A032-A5304F4677C5}">
  <sheetPr>
    <pageSetUpPr fitToPage="1"/>
  </sheetPr>
  <dimension ref="A1:BB81"/>
  <sheetViews>
    <sheetView tabSelected="1" topLeftCell="A28" zoomScale="91" zoomScaleNormal="91" zoomScaleSheetLayoutView="115" workbookViewId="0">
      <selection activeCell="AC43" sqref="AC4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90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107"/>
      <c r="Q5" s="107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7"/>
      <c r="K6" s="38"/>
      <c r="M6" s="37"/>
      <c r="N6" s="49"/>
      <c r="O6" s="40"/>
      <c r="P6" s="107"/>
      <c r="Q6" s="10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753</v>
      </c>
      <c r="V7" s="58">
        <f>U7/24</f>
        <v>31.375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36+30</f>
        <v>66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1668</v>
      </c>
      <c r="V8" s="69">
        <f>U8/24</f>
        <v>69.5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23+30</f>
        <v>53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1272</v>
      </c>
      <c r="V9" s="76">
        <f t="shared" ref="V9:V11" si="3">U9/24</f>
        <v>53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/>
      <c r="R10" s="72"/>
      <c r="S10" s="55"/>
      <c r="T10" s="58">
        <f t="shared" si="0"/>
        <v>0</v>
      </c>
      <c r="U10" s="58">
        <f t="shared" si="2"/>
        <v>240</v>
      </c>
      <c r="V10" s="58">
        <f t="shared" si="3"/>
        <v>10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</v>
      </c>
      <c r="V11" s="58">
        <f t="shared" si="3"/>
        <v>8.3333333333333329E-2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70">
        <f>1224+53+4+504+24+1080+29</f>
        <v>2918</v>
      </c>
      <c r="D12" s="70"/>
      <c r="E12" s="70"/>
      <c r="F12" s="70"/>
      <c r="G12" s="70"/>
      <c r="H12" s="70"/>
      <c r="I12" s="70"/>
      <c r="J12" s="71"/>
      <c r="K12" s="72"/>
      <c r="L12" s="55"/>
      <c r="M12" s="73">
        <v>20</v>
      </c>
      <c r="N12" s="74">
        <v>2</v>
      </c>
      <c r="O12" s="70">
        <v>12</v>
      </c>
      <c r="P12" s="71">
        <v>18</v>
      </c>
      <c r="Q12" s="71">
        <v>22</v>
      </c>
      <c r="R12" s="72">
        <v>3</v>
      </c>
      <c r="S12" s="62"/>
      <c r="T12" s="69">
        <f t="shared" si="0"/>
        <v>23</v>
      </c>
      <c r="U12" s="69">
        <f>C12*24+M12*24+O12*24+Q12*24+T12</f>
        <v>71351</v>
      </c>
      <c r="V12" s="69">
        <f>U12/24</f>
        <v>2972.9583333333335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1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68</v>
      </c>
      <c r="V19" s="75">
        <f t="shared" si="5"/>
        <v>2.8333333333333335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7+126</f>
        <v>133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/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3265</v>
      </c>
      <c r="V25" s="75">
        <f t="shared" si="5"/>
        <v>136.04166666666666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3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>
        <v>2</v>
      </c>
      <c r="R26" s="72"/>
      <c r="S26" s="55"/>
      <c r="T26" s="58">
        <f t="shared" si="0"/>
        <v>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1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24</v>
      </c>
      <c r="V27" s="75">
        <f t="shared" si="5"/>
        <v>1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34+252</f>
        <v>286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7008</v>
      </c>
      <c r="V28" s="75">
        <f t="shared" si="5"/>
        <v>292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</v>
      </c>
      <c r="V29" s="75">
        <f t="shared" si="5"/>
        <v>0.20833333333333334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72+52</f>
        <v>124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3074</v>
      </c>
      <c r="V34" s="75">
        <f t="shared" si="5"/>
        <v>128.08333333333334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864+1620+52</f>
        <v>2536</v>
      </c>
      <c r="D37" s="59"/>
      <c r="E37" s="59"/>
      <c r="F37" s="59"/>
      <c r="G37" s="59"/>
      <c r="H37" s="59">
        <v>3</v>
      </c>
      <c r="I37" s="59">
        <v>2</v>
      </c>
      <c r="J37" s="60"/>
      <c r="K37" s="61">
        <f>2*6+2</f>
        <v>14</v>
      </c>
      <c r="L37" s="62"/>
      <c r="M37" s="63">
        <v>151</v>
      </c>
      <c r="N37" s="64"/>
      <c r="O37" s="65">
        <v>38</v>
      </c>
      <c r="P37" s="66"/>
      <c r="Q37" s="66">
        <v>55</v>
      </c>
      <c r="R37" s="67"/>
      <c r="S37" s="62"/>
      <c r="T37" s="77">
        <f t="shared" si="0"/>
        <v>19</v>
      </c>
      <c r="U37" s="77">
        <f>C37*6+M37*6+O37*6+Q37*6+T37</f>
        <v>16699</v>
      </c>
      <c r="V37" s="77">
        <f>U37/6</f>
        <v>2783.1666666666665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3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>
        <v>2</v>
      </c>
      <c r="R38" s="72"/>
      <c r="S38" s="55"/>
      <c r="T38" s="75">
        <f t="shared" si="0"/>
        <v>0</v>
      </c>
      <c r="U38" s="75">
        <f>C38*24+M38*24+O38*24+Q38*24+T38</f>
        <v>120</v>
      </c>
      <c r="V38" s="75">
        <f>U38/24</f>
        <v>5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252+46</f>
        <v>298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3</v>
      </c>
      <c r="R40" s="67"/>
      <c r="S40" s="62"/>
      <c r="T40" s="77">
        <f t="shared" si="0"/>
        <v>20</v>
      </c>
      <c r="U40" s="77">
        <f>C40*24+M40*24+O40*24+Q40*24+T40</f>
        <v>7268</v>
      </c>
      <c r="V40" s="77">
        <f>U40/24</f>
        <v>302.83333333333331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768+13</f>
        <v>781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8</v>
      </c>
      <c r="P41" s="83"/>
      <c r="Q41" s="83">
        <v>16</v>
      </c>
      <c r="R41" s="84"/>
      <c r="S41" s="85"/>
      <c r="T41" s="88">
        <f t="shared" si="0"/>
        <v>0</v>
      </c>
      <c r="U41" s="88">
        <f>C41*12+M41*12+O41*12+Q41*12+T41</f>
        <v>9660</v>
      </c>
      <c r="V41" s="88">
        <f>U41/12</f>
        <v>805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13932+19764+5144</f>
        <v>38840</v>
      </c>
      <c r="D43" s="65"/>
      <c r="E43" s="65"/>
      <c r="F43" s="65"/>
      <c r="G43" s="65"/>
      <c r="H43" s="65">
        <v>5</v>
      </c>
      <c r="I43" s="65">
        <v>12</v>
      </c>
      <c r="J43" s="66">
        <f>6*6+2</f>
        <v>38</v>
      </c>
      <c r="K43" s="67">
        <f>95*6+1</f>
        <v>571</v>
      </c>
      <c r="L43" s="62"/>
      <c r="M43" s="63">
        <v>260</v>
      </c>
      <c r="N43" s="64"/>
      <c r="O43" s="65">
        <v>466</v>
      </c>
      <c r="P43" s="66"/>
      <c r="Q43" s="66">
        <v>541</v>
      </c>
      <c r="R43" s="67"/>
      <c r="S43" s="62"/>
      <c r="T43" s="77">
        <f t="shared" ref="T43" si="6">H43+I43+J43+K43+N43+P43+R43</f>
        <v>626</v>
      </c>
      <c r="U43" s="77">
        <f>C43*6+M43*6+O43*6+Q43*6+T43</f>
        <v>241268</v>
      </c>
      <c r="V43" s="77">
        <f>U43/6</f>
        <v>40211.333333333336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5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89+648+324+88+432+83+103+324+432+106</f>
        <v>2629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2</v>
      </c>
      <c r="N47" s="64"/>
      <c r="O47" s="65">
        <v>15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15915</v>
      </c>
      <c r="V47" s="77">
        <f>U47/6</f>
        <v>2652.5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48768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44</v>
      </c>
      <c r="J58" s="6">
        <f t="shared" si="11"/>
        <v>38</v>
      </c>
      <c r="K58" s="6">
        <f t="shared" si="11"/>
        <v>619</v>
      </c>
      <c r="M58" s="5">
        <f t="shared" ref="M58:R58" si="12">SUM(M7:M57)</f>
        <v>434</v>
      </c>
      <c r="N58" s="5">
        <f t="shared" si="12"/>
        <v>2</v>
      </c>
      <c r="O58" s="5">
        <f t="shared" si="12"/>
        <v>549</v>
      </c>
      <c r="P58" s="5">
        <f t="shared" si="12"/>
        <v>30</v>
      </c>
      <c r="Q58" s="5">
        <f t="shared" si="12"/>
        <v>655</v>
      </c>
      <c r="R58" s="5">
        <f t="shared" si="12"/>
        <v>6</v>
      </c>
      <c r="S58" s="55"/>
      <c r="T58" s="4">
        <f>SUM(T7:T57)</f>
        <v>1931</v>
      </c>
      <c r="U58" s="90">
        <f>SUM(U7:U57)</f>
        <v>381719</v>
      </c>
      <c r="V58" s="4">
        <f>SUM(V7:V57)</f>
        <v>50568.208333333336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21</vt:i4>
      </vt:variant>
    </vt:vector>
  </HeadingPairs>
  <TitlesOfParts>
    <vt:vector size="42" baseType="lpstr">
      <vt:lpstr>SAMPLE</vt:lpstr>
      <vt:lpstr>08-03-2026</vt:lpstr>
      <vt:lpstr>08-04-2026</vt:lpstr>
      <vt:lpstr>08-05-2026</vt:lpstr>
      <vt:lpstr>08-06-2026</vt:lpstr>
      <vt:lpstr>08-07-2026</vt:lpstr>
      <vt:lpstr>08-10-2026</vt:lpstr>
      <vt:lpstr>08-11-2026</vt:lpstr>
      <vt:lpstr>08-12-2026</vt:lpstr>
      <vt:lpstr>08-13-2026</vt:lpstr>
      <vt:lpstr>08-14-2026</vt:lpstr>
      <vt:lpstr>08-15-2026</vt:lpstr>
      <vt:lpstr>08-17-2026</vt:lpstr>
      <vt:lpstr>08-18-2026</vt:lpstr>
      <vt:lpstr>08-19-2026</vt:lpstr>
      <vt:lpstr>08-20-2026</vt:lpstr>
      <vt:lpstr>08-21-2026</vt:lpstr>
      <vt:lpstr>08-24-2026</vt:lpstr>
      <vt:lpstr>08-25-2026</vt:lpstr>
      <vt:lpstr>08-26-2026</vt:lpstr>
      <vt:lpstr>08-27-2026</vt:lpstr>
      <vt:lpstr>'08-03-2026'!Print_Area</vt:lpstr>
      <vt:lpstr>'08-04-2026'!Print_Area</vt:lpstr>
      <vt:lpstr>'08-05-2026'!Print_Area</vt:lpstr>
      <vt:lpstr>'08-06-2026'!Print_Area</vt:lpstr>
      <vt:lpstr>'08-07-2026'!Print_Area</vt:lpstr>
      <vt:lpstr>'08-10-2026'!Print_Area</vt:lpstr>
      <vt:lpstr>'08-11-2026'!Print_Area</vt:lpstr>
      <vt:lpstr>'08-12-2026'!Print_Area</vt:lpstr>
      <vt:lpstr>'08-13-2026'!Print_Area</vt:lpstr>
      <vt:lpstr>'08-14-2026'!Print_Area</vt:lpstr>
      <vt:lpstr>'08-15-2026'!Print_Area</vt:lpstr>
      <vt:lpstr>'08-17-2026'!Print_Area</vt:lpstr>
      <vt:lpstr>'08-18-2026'!Print_Area</vt:lpstr>
      <vt:lpstr>'08-19-2026'!Print_Area</vt:lpstr>
      <vt:lpstr>'08-20-2026'!Print_Area</vt:lpstr>
      <vt:lpstr>'08-21-2026'!Print_Area</vt:lpstr>
      <vt:lpstr>'08-24-2026'!Print_Area</vt:lpstr>
      <vt:lpstr>'08-25-2026'!Print_Area</vt:lpstr>
      <vt:lpstr>'08-26-2026'!Print_Area</vt:lpstr>
      <vt:lpstr>'08-27-2026'!Print_Area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2026-08-24T01:20:38Z</cp:lastPrinted>
  <dcterms:created xsi:type="dcterms:W3CDTF">2024-08-17T00:07:58Z</dcterms:created>
  <dcterms:modified xsi:type="dcterms:W3CDTF">2026-08-27T02:34:39Z</dcterms:modified>
</cp:coreProperties>
</file>