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worksheets/sheet10.xml" ContentType="application/vnd.openxmlformats-officedocument.spreadsheetml.worksheet+xml"/>
  <Override PartName="/xl/worksheets/sheet11.xml" ContentType="application/vnd.openxmlformats-officedocument.spreadsheetml.worksheet+xml"/>
  <Override PartName="/xl/worksheets/sheet12.xml" ContentType="application/vnd.openxmlformats-officedocument.spreadsheetml.worksheet+xml"/>
  <Override PartName="/xl/worksheets/sheet13.xml" ContentType="application/vnd.openxmlformats-officedocument.spreadsheetml.worksheet+xml"/>
  <Override PartName="/xl/worksheets/sheet14.xml" ContentType="application/vnd.openxmlformats-officedocument.spreadsheetml.worksheet+xml"/>
  <Override PartName="/xl/worksheets/sheet15.xml" ContentType="application/vnd.openxmlformats-officedocument.spreadsheetml.worksheet+xml"/>
  <Override PartName="/xl/worksheets/sheet16.xml" ContentType="application/vnd.openxmlformats-officedocument.spreadsheetml.worksheet+xml"/>
  <Override PartName="/xl/worksheets/sheet17.xml" ContentType="application/vnd.openxmlformats-officedocument.spreadsheetml.worksheet+xml"/>
  <Override PartName="/xl/worksheets/sheet18.xml" ContentType="application/vnd.openxmlformats-officedocument.spreadsheetml.worksheet+xml"/>
  <Override PartName="/xl/worksheets/sheet19.xml" ContentType="application/vnd.openxmlformats-officedocument.spreadsheetml.worksheet+xml"/>
  <Override PartName="/xl/worksheets/sheet20.xml" ContentType="application/vnd.openxmlformats-officedocument.spreadsheetml.worksheet+xml"/>
  <Override PartName="/xl/worksheets/sheet21.xml" ContentType="application/vnd.openxmlformats-officedocument.spreadsheetml.worksheet+xml"/>
  <Override PartName="/xl/worksheets/sheet22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2527"/>
  <workbookPr defaultThemeVersion="166925"/>
  <mc:AlternateContent xmlns:mc="http://schemas.openxmlformats.org/markup-compatibility/2006">
    <mc:Choice Requires="x15">
      <x15ac:absPath xmlns:x15ac="http://schemas.microsoft.com/office/spreadsheetml/2010/11/ac" url="C:\Users\User\Desktop\GBDS AUGUST FILES 2026\"/>
    </mc:Choice>
  </mc:AlternateContent>
  <xr:revisionPtr revIDLastSave="0" documentId="13_ncr:1_{9ABA0F3D-8DBF-4E45-B47C-5C3724BD110E}" xr6:coauthVersionLast="45" xr6:coauthVersionMax="45" xr10:uidLastSave="{00000000-0000-0000-0000-000000000000}"/>
  <bookViews>
    <workbookView xWindow="-120" yWindow="-120" windowWidth="29040" windowHeight="15840" firstSheet="12" activeTab="21" xr2:uid="{D34C963E-9680-4B45-A4EE-B681FF0CEC08}"/>
  </bookViews>
  <sheets>
    <sheet name="SAMPLE" sheetId="32" r:id="rId1"/>
    <sheet name="08-03-2026" sheetId="69" r:id="rId2"/>
    <sheet name="08-04-2026" sheetId="70" r:id="rId3"/>
    <sheet name="08-05-2026" sheetId="71" r:id="rId4"/>
    <sheet name="08-06-2026" sheetId="72" r:id="rId5"/>
    <sheet name="08-07-2026" sheetId="73" r:id="rId6"/>
    <sheet name="08-10-2026" sheetId="76" r:id="rId7"/>
    <sheet name="08-11-2026" sheetId="74" r:id="rId8"/>
    <sheet name="08-12-2026" sheetId="75" r:id="rId9"/>
    <sheet name="08-13-2026" sheetId="77" r:id="rId10"/>
    <sheet name="08-14-2026" sheetId="78" r:id="rId11"/>
    <sheet name="08-15-2026" sheetId="79" r:id="rId12"/>
    <sheet name="08-17-2026" sheetId="80" r:id="rId13"/>
    <sheet name="08-18-2026" sheetId="81" r:id="rId14"/>
    <sheet name="08-19-2026" sheetId="82" r:id="rId15"/>
    <sheet name="08-20-2026" sheetId="83" r:id="rId16"/>
    <sheet name="08-21-2026" sheetId="84" r:id="rId17"/>
    <sheet name="08-24-2026" sheetId="85" r:id="rId18"/>
    <sheet name="08-25-2026" sheetId="86" r:id="rId19"/>
    <sheet name="08-26-2026" sheetId="87" r:id="rId20"/>
    <sheet name="08-27-2026" sheetId="88" r:id="rId21"/>
    <sheet name="08-28-2026" sheetId="89" r:id="rId22"/>
  </sheets>
  <definedNames>
    <definedName name="_xlnm.Print_Area" localSheetId="1">'08-03-2026'!$A$1:$W$59</definedName>
    <definedName name="_xlnm.Print_Area" localSheetId="2">'08-04-2026'!$A$1:$W$59</definedName>
    <definedName name="_xlnm.Print_Area" localSheetId="3">'08-05-2026'!$A$1:$W$59</definedName>
    <definedName name="_xlnm.Print_Area" localSheetId="4">'08-06-2026'!$A$1:$W$59</definedName>
    <definedName name="_xlnm.Print_Area" localSheetId="5">'08-07-2026'!$A$1:$W$59</definedName>
    <definedName name="_xlnm.Print_Area" localSheetId="6">'08-10-2026'!$A$1:$W$59</definedName>
    <definedName name="_xlnm.Print_Area" localSheetId="7">'08-11-2026'!$A$1:$W$59</definedName>
    <definedName name="_xlnm.Print_Area" localSheetId="8">'08-12-2026'!$A$1:$W$59</definedName>
    <definedName name="_xlnm.Print_Area" localSheetId="9">'08-13-2026'!$A$1:$W$59</definedName>
    <definedName name="_xlnm.Print_Area" localSheetId="10">'08-14-2026'!$A$1:$W$59</definedName>
    <definedName name="_xlnm.Print_Area" localSheetId="11">'08-15-2026'!$A$1:$W$59</definedName>
    <definedName name="_xlnm.Print_Area" localSheetId="12">'08-17-2026'!$A$1:$W$59</definedName>
    <definedName name="_xlnm.Print_Area" localSheetId="13">'08-18-2026'!$A$1:$W$59</definedName>
    <definedName name="_xlnm.Print_Area" localSheetId="14">'08-19-2026'!$A$1:$W$59</definedName>
    <definedName name="_xlnm.Print_Area" localSheetId="15">'08-20-2026'!$A$1:$W$59</definedName>
    <definedName name="_xlnm.Print_Area" localSheetId="16">'08-21-2026'!$A$1:$W$59</definedName>
    <definedName name="_xlnm.Print_Area" localSheetId="17">'08-24-2026'!$A$1:$W$59</definedName>
    <definedName name="_xlnm.Print_Area" localSheetId="18">'08-25-2026'!$A$1:$W$59</definedName>
    <definedName name="_xlnm.Print_Area" localSheetId="19">'08-26-2026'!$A$1:$W$59</definedName>
    <definedName name="_xlnm.Print_Area" localSheetId="20">'08-27-2026'!$A$1:$W$59</definedName>
    <definedName name="_xlnm.Print_Area" localSheetId="21">'08-28-2026'!$A$1:$W$59</definedName>
    <definedName name="_xlnm.Print_Area" localSheetId="0">SAMPLE!$A$1:$W$85</definedName>
  </definedNames>
  <calcPr calcId="191029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FV"/>
      </xcalcf:calcFeatures>
    </ext>
  </extLst>
</workbook>
</file>

<file path=xl/calcChain.xml><?xml version="1.0" encoding="utf-8"?>
<calcChain xmlns="http://schemas.openxmlformats.org/spreadsheetml/2006/main">
  <c r="J43" i="89" l="1"/>
  <c r="C43" i="89"/>
  <c r="K43" i="89"/>
  <c r="T43" i="89" s="1"/>
  <c r="C41" i="89"/>
  <c r="K37" i="89"/>
  <c r="T37" i="89" s="1"/>
  <c r="C37" i="89"/>
  <c r="C34" i="89"/>
  <c r="U34" i="89" s="1"/>
  <c r="V34" i="89" s="1"/>
  <c r="C28" i="89"/>
  <c r="C25" i="89"/>
  <c r="H24" i="89"/>
  <c r="T24" i="89" s="1"/>
  <c r="U24" i="89" s="1"/>
  <c r="V24" i="89" s="1"/>
  <c r="H23" i="89"/>
  <c r="T23" i="89" s="1"/>
  <c r="U23" i="89" s="1"/>
  <c r="V23" i="89" s="1"/>
  <c r="H21" i="89"/>
  <c r="H19" i="89"/>
  <c r="T19" i="89" s="1"/>
  <c r="U19" i="89" s="1"/>
  <c r="V19" i="89" s="1"/>
  <c r="H17" i="89"/>
  <c r="T17" i="89" s="1"/>
  <c r="U17" i="89" s="1"/>
  <c r="V17" i="89" s="1"/>
  <c r="C12" i="89"/>
  <c r="C9" i="89"/>
  <c r="C8" i="89"/>
  <c r="R58" i="89"/>
  <c r="Q58" i="89"/>
  <c r="P58" i="89"/>
  <c r="O58" i="89"/>
  <c r="N58" i="89"/>
  <c r="M58" i="89"/>
  <c r="I58" i="89"/>
  <c r="G58" i="89"/>
  <c r="F58" i="89"/>
  <c r="U54" i="89"/>
  <c r="V54" i="89" s="1"/>
  <c r="T54" i="89"/>
  <c r="T53" i="89"/>
  <c r="U53" i="89" s="1"/>
  <c r="V53" i="89" s="1"/>
  <c r="T52" i="89"/>
  <c r="U52" i="89" s="1"/>
  <c r="V52" i="89" s="1"/>
  <c r="T51" i="89"/>
  <c r="U51" i="89" s="1"/>
  <c r="V51" i="89" s="1"/>
  <c r="U50" i="89"/>
  <c r="V50" i="89" s="1"/>
  <c r="T50" i="89"/>
  <c r="U49" i="89"/>
  <c r="V49" i="89" s="1"/>
  <c r="T49" i="89"/>
  <c r="T48" i="89"/>
  <c r="U48" i="89" s="1"/>
  <c r="V48" i="89" s="1"/>
  <c r="T47" i="89"/>
  <c r="U47" i="89" s="1"/>
  <c r="V47" i="89" s="1"/>
  <c r="T46" i="89"/>
  <c r="U46" i="89" s="1"/>
  <c r="V46" i="89" s="1"/>
  <c r="U45" i="89"/>
  <c r="V45" i="89" s="1"/>
  <c r="T45" i="89"/>
  <c r="K58" i="89"/>
  <c r="J58" i="89"/>
  <c r="T41" i="89"/>
  <c r="U41" i="89"/>
  <c r="V41" i="89" s="1"/>
  <c r="T40" i="89"/>
  <c r="U40" i="89" s="1"/>
  <c r="V40" i="89" s="1"/>
  <c r="T39" i="89"/>
  <c r="U39" i="89" s="1"/>
  <c r="V39" i="89" s="1"/>
  <c r="T38" i="89"/>
  <c r="U38" i="89" s="1"/>
  <c r="V38" i="89" s="1"/>
  <c r="T36" i="89"/>
  <c r="U36" i="89" s="1"/>
  <c r="V36" i="89" s="1"/>
  <c r="T35" i="89"/>
  <c r="U35" i="89" s="1"/>
  <c r="V35" i="89" s="1"/>
  <c r="T34" i="89"/>
  <c r="T33" i="89"/>
  <c r="U33" i="89" s="1"/>
  <c r="V33" i="89" s="1"/>
  <c r="T32" i="89"/>
  <c r="U32" i="89" s="1"/>
  <c r="V32" i="89" s="1"/>
  <c r="T31" i="89"/>
  <c r="U31" i="89" s="1"/>
  <c r="V31" i="89" s="1"/>
  <c r="T30" i="89"/>
  <c r="U30" i="89" s="1"/>
  <c r="V30" i="89" s="1"/>
  <c r="T29" i="89"/>
  <c r="U29" i="89" s="1"/>
  <c r="V29" i="89" s="1"/>
  <c r="T28" i="89"/>
  <c r="U28" i="89" s="1"/>
  <c r="V28" i="89" s="1"/>
  <c r="T27" i="89"/>
  <c r="U27" i="89" s="1"/>
  <c r="V27" i="89" s="1"/>
  <c r="T26" i="89"/>
  <c r="U26" i="89" s="1"/>
  <c r="V26" i="89" s="1"/>
  <c r="AY25" i="89"/>
  <c r="T25" i="89"/>
  <c r="U25" i="89" s="1"/>
  <c r="V25" i="89" s="1"/>
  <c r="T22" i="89"/>
  <c r="U22" i="89" s="1"/>
  <c r="V22" i="89" s="1"/>
  <c r="T21" i="89"/>
  <c r="U21" i="89" s="1"/>
  <c r="V21" i="89" s="1"/>
  <c r="T20" i="89"/>
  <c r="U20" i="89" s="1"/>
  <c r="V20" i="89" s="1"/>
  <c r="A20" i="89"/>
  <c r="A21" i="89" s="1"/>
  <c r="A22" i="89" s="1"/>
  <c r="A23" i="89" s="1"/>
  <c r="A24" i="89" s="1"/>
  <c r="A25" i="89" s="1"/>
  <c r="A26" i="89" s="1"/>
  <c r="A27" i="89" s="1"/>
  <c r="A28" i="89" s="1"/>
  <c r="A29" i="89" s="1"/>
  <c r="A30" i="89" s="1"/>
  <c r="A31" i="89" s="1"/>
  <c r="A32" i="89" s="1"/>
  <c r="A33" i="89" s="1"/>
  <c r="A34" i="89" s="1"/>
  <c r="A35" i="89" s="1"/>
  <c r="A36" i="89" s="1"/>
  <c r="A37" i="89" s="1"/>
  <c r="A38" i="89" s="1"/>
  <c r="A39" i="89" s="1"/>
  <c r="A40" i="89" s="1"/>
  <c r="A41" i="89" s="1"/>
  <c r="A42" i="89" s="1"/>
  <c r="A43" i="89" s="1"/>
  <c r="A44" i="89" s="1"/>
  <c r="A45" i="89" s="1"/>
  <c r="A46" i="89" s="1"/>
  <c r="A47" i="89" s="1"/>
  <c r="A48" i="89" s="1"/>
  <c r="A49" i="89" s="1"/>
  <c r="A50" i="89" s="1"/>
  <c r="A51" i="89" s="1"/>
  <c r="A52" i="89" s="1"/>
  <c r="A53" i="89" s="1"/>
  <c r="A54" i="89" s="1"/>
  <c r="A55" i="89" s="1"/>
  <c r="A56" i="89" s="1"/>
  <c r="A57" i="89" s="1"/>
  <c r="T18" i="89"/>
  <c r="U18" i="89" s="1"/>
  <c r="V18" i="89" s="1"/>
  <c r="T16" i="89"/>
  <c r="U16" i="89" s="1"/>
  <c r="V16" i="89" s="1"/>
  <c r="U15" i="89"/>
  <c r="V15" i="89" s="1"/>
  <c r="T15" i="89"/>
  <c r="T14" i="89"/>
  <c r="U14" i="89" s="1"/>
  <c r="V14" i="89" s="1"/>
  <c r="A14" i="89"/>
  <c r="A15" i="89" s="1"/>
  <c r="A16" i="89" s="1"/>
  <c r="A17" i="89" s="1"/>
  <c r="A18" i="89" s="1"/>
  <c r="T13" i="89"/>
  <c r="U13" i="89" s="1"/>
  <c r="V13" i="89" s="1"/>
  <c r="T12" i="89"/>
  <c r="U12" i="89" s="1"/>
  <c r="V12" i="89" s="1"/>
  <c r="T11" i="89"/>
  <c r="U11" i="89" s="1"/>
  <c r="V11" i="89" s="1"/>
  <c r="T10" i="89"/>
  <c r="U10" i="89"/>
  <c r="V10" i="89" s="1"/>
  <c r="A10" i="89"/>
  <c r="A11" i="89" s="1"/>
  <c r="T9" i="89"/>
  <c r="U9" i="89" s="1"/>
  <c r="V9" i="89" s="1"/>
  <c r="A9" i="89"/>
  <c r="T8" i="89"/>
  <c r="U8" i="89"/>
  <c r="V8" i="89" s="1"/>
  <c r="A8" i="89"/>
  <c r="T7" i="89"/>
  <c r="U43" i="89" l="1"/>
  <c r="V43" i="89" s="1"/>
  <c r="U37" i="89"/>
  <c r="V37" i="89" s="1"/>
  <c r="C58" i="89"/>
  <c r="T58" i="89"/>
  <c r="U7" i="89"/>
  <c r="H58" i="89"/>
  <c r="C47" i="88"/>
  <c r="K43" i="88"/>
  <c r="J43" i="88"/>
  <c r="C43" i="88"/>
  <c r="C41" i="88"/>
  <c r="C40" i="88"/>
  <c r="K37" i="88"/>
  <c r="C37" i="88"/>
  <c r="C34" i="88"/>
  <c r="C28" i="88"/>
  <c r="C25" i="88"/>
  <c r="H24" i="88"/>
  <c r="T24" i="88" s="1"/>
  <c r="U24" i="88" s="1"/>
  <c r="V24" i="88" s="1"/>
  <c r="H23" i="88"/>
  <c r="T23" i="88" s="1"/>
  <c r="U23" i="88" s="1"/>
  <c r="V23" i="88" s="1"/>
  <c r="H21" i="88"/>
  <c r="T21" i="88" s="1"/>
  <c r="U21" i="88" s="1"/>
  <c r="V21" i="88" s="1"/>
  <c r="H19" i="88"/>
  <c r="T19" i="88" s="1"/>
  <c r="U19" i="88" s="1"/>
  <c r="V19" i="88" s="1"/>
  <c r="H17" i="88"/>
  <c r="C12" i="88"/>
  <c r="C9" i="88"/>
  <c r="C8" i="88"/>
  <c r="R58" i="88"/>
  <c r="Q58" i="88"/>
  <c r="P58" i="88"/>
  <c r="O58" i="88"/>
  <c r="N58" i="88"/>
  <c r="M58" i="88"/>
  <c r="I58" i="88"/>
  <c r="G58" i="88"/>
  <c r="F58" i="88"/>
  <c r="T54" i="88"/>
  <c r="U54" i="88" s="1"/>
  <c r="V54" i="88" s="1"/>
  <c r="T53" i="88"/>
  <c r="U53" i="88" s="1"/>
  <c r="V53" i="88" s="1"/>
  <c r="U52" i="88"/>
  <c r="V52" i="88" s="1"/>
  <c r="T52" i="88"/>
  <c r="T51" i="88"/>
  <c r="U51" i="88" s="1"/>
  <c r="V51" i="88" s="1"/>
  <c r="T50" i="88"/>
  <c r="U50" i="88" s="1"/>
  <c r="V50" i="88" s="1"/>
  <c r="T49" i="88"/>
  <c r="U49" i="88" s="1"/>
  <c r="V49" i="88" s="1"/>
  <c r="T48" i="88"/>
  <c r="U48" i="88" s="1"/>
  <c r="V48" i="88" s="1"/>
  <c r="T47" i="88"/>
  <c r="T46" i="88"/>
  <c r="U46" i="88" s="1"/>
  <c r="V46" i="88" s="1"/>
  <c r="U45" i="88"/>
  <c r="V45" i="88" s="1"/>
  <c r="T45" i="88"/>
  <c r="T41" i="88"/>
  <c r="T40" i="88"/>
  <c r="T39" i="88"/>
  <c r="U39" i="88" s="1"/>
  <c r="V39" i="88" s="1"/>
  <c r="T38" i="88"/>
  <c r="U38" i="88" s="1"/>
  <c r="V38" i="88" s="1"/>
  <c r="T36" i="88"/>
  <c r="U36" i="88" s="1"/>
  <c r="V36" i="88" s="1"/>
  <c r="T35" i="88"/>
  <c r="U35" i="88" s="1"/>
  <c r="V35" i="88" s="1"/>
  <c r="T34" i="88"/>
  <c r="T33" i="88"/>
  <c r="U33" i="88" s="1"/>
  <c r="V33" i="88" s="1"/>
  <c r="U32" i="88"/>
  <c r="V32" i="88" s="1"/>
  <c r="T32" i="88"/>
  <c r="T31" i="88"/>
  <c r="U31" i="88" s="1"/>
  <c r="V31" i="88" s="1"/>
  <c r="T30" i="88"/>
  <c r="U30" i="88" s="1"/>
  <c r="V30" i="88" s="1"/>
  <c r="T29" i="88"/>
  <c r="U29" i="88" s="1"/>
  <c r="V29" i="88" s="1"/>
  <c r="T28" i="88"/>
  <c r="T27" i="88"/>
  <c r="U27" i="88" s="1"/>
  <c r="V27" i="88" s="1"/>
  <c r="T26" i="88"/>
  <c r="U26" i="88" s="1"/>
  <c r="V26" i="88" s="1"/>
  <c r="AY25" i="88"/>
  <c r="T25" i="88"/>
  <c r="T22" i="88"/>
  <c r="U22" i="88" s="1"/>
  <c r="V22" i="88" s="1"/>
  <c r="A22" i="88"/>
  <c r="A23" i="88" s="1"/>
  <c r="A24" i="88" s="1"/>
  <c r="A25" i="88" s="1"/>
  <c r="A26" i="88" s="1"/>
  <c r="A27" i="88" s="1"/>
  <c r="A28" i="88" s="1"/>
  <c r="A29" i="88" s="1"/>
  <c r="A30" i="88" s="1"/>
  <c r="A31" i="88" s="1"/>
  <c r="A32" i="88" s="1"/>
  <c r="A33" i="88" s="1"/>
  <c r="A34" i="88" s="1"/>
  <c r="A35" i="88" s="1"/>
  <c r="A36" i="88" s="1"/>
  <c r="A37" i="88" s="1"/>
  <c r="A38" i="88" s="1"/>
  <c r="A39" i="88" s="1"/>
  <c r="A40" i="88" s="1"/>
  <c r="A41" i="88" s="1"/>
  <c r="A42" i="88" s="1"/>
  <c r="A43" i="88" s="1"/>
  <c r="A44" i="88" s="1"/>
  <c r="A45" i="88" s="1"/>
  <c r="A46" i="88" s="1"/>
  <c r="A47" i="88" s="1"/>
  <c r="A48" i="88" s="1"/>
  <c r="A49" i="88" s="1"/>
  <c r="A50" i="88" s="1"/>
  <c r="A51" i="88" s="1"/>
  <c r="A52" i="88" s="1"/>
  <c r="A53" i="88" s="1"/>
  <c r="A54" i="88" s="1"/>
  <c r="A55" i="88" s="1"/>
  <c r="A56" i="88" s="1"/>
  <c r="A57" i="88" s="1"/>
  <c r="A21" i="88"/>
  <c r="T20" i="88"/>
  <c r="U20" i="88" s="1"/>
  <c r="V20" i="88" s="1"/>
  <c r="A20" i="88"/>
  <c r="T18" i="88"/>
  <c r="U18" i="88" s="1"/>
  <c r="V18" i="88" s="1"/>
  <c r="T16" i="88"/>
  <c r="U16" i="88" s="1"/>
  <c r="V16" i="88" s="1"/>
  <c r="T15" i="88"/>
  <c r="U15" i="88" s="1"/>
  <c r="V15" i="88" s="1"/>
  <c r="A15" i="88"/>
  <c r="A16" i="88" s="1"/>
  <c r="A17" i="88" s="1"/>
  <c r="A18" i="88" s="1"/>
  <c r="T14" i="88"/>
  <c r="U14" i="88" s="1"/>
  <c r="V14" i="88" s="1"/>
  <c r="A14" i="88"/>
  <c r="T13" i="88"/>
  <c r="U13" i="88" s="1"/>
  <c r="V13" i="88" s="1"/>
  <c r="T12" i="88"/>
  <c r="T11" i="88"/>
  <c r="U11" i="88" s="1"/>
  <c r="V11" i="88" s="1"/>
  <c r="T10" i="88"/>
  <c r="U10" i="88" s="1"/>
  <c r="V10" i="88" s="1"/>
  <c r="A10" i="88"/>
  <c r="A11" i="88" s="1"/>
  <c r="T9" i="88"/>
  <c r="U9" i="88" s="1"/>
  <c r="V9" i="88" s="1"/>
  <c r="A9" i="88"/>
  <c r="T8" i="88"/>
  <c r="A8" i="88"/>
  <c r="T7" i="88"/>
  <c r="U58" i="89" l="1"/>
  <c r="V7" i="89"/>
  <c r="V58" i="89" s="1"/>
  <c r="U47" i="88"/>
  <c r="V47" i="88" s="1"/>
  <c r="T43" i="88"/>
  <c r="K58" i="88"/>
  <c r="J58" i="88"/>
  <c r="U43" i="88"/>
  <c r="V43" i="88" s="1"/>
  <c r="U41" i="88"/>
  <c r="V41" i="88" s="1"/>
  <c r="U40" i="88"/>
  <c r="V40" i="88" s="1"/>
  <c r="T37" i="88"/>
  <c r="U37" i="88"/>
  <c r="V37" i="88" s="1"/>
  <c r="U34" i="88"/>
  <c r="V34" i="88" s="1"/>
  <c r="U28" i="88"/>
  <c r="V28" i="88" s="1"/>
  <c r="U25" i="88"/>
  <c r="V25" i="88" s="1"/>
  <c r="H58" i="88"/>
  <c r="T17" i="88"/>
  <c r="U17" i="88" s="1"/>
  <c r="V17" i="88" s="1"/>
  <c r="U12" i="88"/>
  <c r="V12" i="88" s="1"/>
  <c r="U8" i="88"/>
  <c r="V8" i="88" s="1"/>
  <c r="C58" i="88"/>
  <c r="U7" i="88"/>
  <c r="H23" i="87"/>
  <c r="C47" i="87"/>
  <c r="K43" i="87"/>
  <c r="K58" i="87" s="1"/>
  <c r="J43" i="87"/>
  <c r="C43" i="87"/>
  <c r="C41" i="87"/>
  <c r="U41" i="87" s="1"/>
  <c r="V41" i="87" s="1"/>
  <c r="C40" i="87"/>
  <c r="K37" i="87"/>
  <c r="C37" i="87"/>
  <c r="C34" i="87"/>
  <c r="C28" i="87"/>
  <c r="C25" i="87"/>
  <c r="U25" i="87" s="1"/>
  <c r="V25" i="87" s="1"/>
  <c r="H24" i="87"/>
  <c r="T24" i="87" s="1"/>
  <c r="U24" i="87" s="1"/>
  <c r="V24" i="87" s="1"/>
  <c r="T23" i="87"/>
  <c r="U23" i="87" s="1"/>
  <c r="V23" i="87" s="1"/>
  <c r="H21" i="87"/>
  <c r="H19" i="87"/>
  <c r="H17" i="87"/>
  <c r="C12" i="87"/>
  <c r="C9" i="87"/>
  <c r="C8" i="87"/>
  <c r="R58" i="87"/>
  <c r="Q58" i="87"/>
  <c r="P58" i="87"/>
  <c r="O58" i="87"/>
  <c r="N58" i="87"/>
  <c r="M58" i="87"/>
  <c r="J58" i="87"/>
  <c r="I58" i="87"/>
  <c r="G58" i="87"/>
  <c r="F58" i="87"/>
  <c r="U54" i="87"/>
  <c r="V54" i="87" s="1"/>
  <c r="T54" i="87"/>
  <c r="T53" i="87"/>
  <c r="U53" i="87" s="1"/>
  <c r="V53" i="87" s="1"/>
  <c r="T52" i="87"/>
  <c r="U52" i="87" s="1"/>
  <c r="V52" i="87" s="1"/>
  <c r="T51" i="87"/>
  <c r="U51" i="87" s="1"/>
  <c r="V51" i="87" s="1"/>
  <c r="T50" i="87"/>
  <c r="U50" i="87" s="1"/>
  <c r="V50" i="87" s="1"/>
  <c r="T49" i="87"/>
  <c r="U49" i="87" s="1"/>
  <c r="V49" i="87" s="1"/>
  <c r="T48" i="87"/>
  <c r="U48" i="87" s="1"/>
  <c r="V48" i="87" s="1"/>
  <c r="T47" i="87"/>
  <c r="T46" i="87"/>
  <c r="U46" i="87" s="1"/>
  <c r="V46" i="87" s="1"/>
  <c r="T45" i="87"/>
  <c r="U45" i="87" s="1"/>
  <c r="V45" i="87" s="1"/>
  <c r="T43" i="87"/>
  <c r="U43" i="87" s="1"/>
  <c r="V43" i="87" s="1"/>
  <c r="T41" i="87"/>
  <c r="T40" i="87"/>
  <c r="T39" i="87"/>
  <c r="U39" i="87" s="1"/>
  <c r="V39" i="87" s="1"/>
  <c r="T38" i="87"/>
  <c r="U38" i="87" s="1"/>
  <c r="V38" i="87" s="1"/>
  <c r="T36" i="87"/>
  <c r="U36" i="87" s="1"/>
  <c r="V36" i="87" s="1"/>
  <c r="T35" i="87"/>
  <c r="U35" i="87" s="1"/>
  <c r="V35" i="87" s="1"/>
  <c r="T34" i="87"/>
  <c r="T33" i="87"/>
  <c r="U33" i="87" s="1"/>
  <c r="V33" i="87" s="1"/>
  <c r="T32" i="87"/>
  <c r="U32" i="87" s="1"/>
  <c r="V32" i="87" s="1"/>
  <c r="T31" i="87"/>
  <c r="U31" i="87" s="1"/>
  <c r="V31" i="87" s="1"/>
  <c r="T30" i="87"/>
  <c r="U30" i="87" s="1"/>
  <c r="V30" i="87" s="1"/>
  <c r="T29" i="87"/>
  <c r="U29" i="87" s="1"/>
  <c r="V29" i="87" s="1"/>
  <c r="T28" i="87"/>
  <c r="T27" i="87"/>
  <c r="U27" i="87" s="1"/>
  <c r="V27" i="87" s="1"/>
  <c r="T26" i="87"/>
  <c r="U26" i="87" s="1"/>
  <c r="V26" i="87" s="1"/>
  <c r="AY25" i="87"/>
  <c r="T25" i="87"/>
  <c r="T22" i="87"/>
  <c r="U22" i="87" s="1"/>
  <c r="V22" i="87" s="1"/>
  <c r="A22" i="87"/>
  <c r="A23" i="87" s="1"/>
  <c r="A24" i="87" s="1"/>
  <c r="A25" i="87" s="1"/>
  <c r="A26" i="87" s="1"/>
  <c r="A27" i="87" s="1"/>
  <c r="A28" i="87" s="1"/>
  <c r="A29" i="87" s="1"/>
  <c r="A30" i="87" s="1"/>
  <c r="A31" i="87" s="1"/>
  <c r="A32" i="87" s="1"/>
  <c r="A33" i="87" s="1"/>
  <c r="A34" i="87" s="1"/>
  <c r="A35" i="87" s="1"/>
  <c r="A36" i="87" s="1"/>
  <c r="A37" i="87" s="1"/>
  <c r="A38" i="87" s="1"/>
  <c r="A39" i="87" s="1"/>
  <c r="A40" i="87" s="1"/>
  <c r="A41" i="87" s="1"/>
  <c r="A42" i="87" s="1"/>
  <c r="A43" i="87" s="1"/>
  <c r="A44" i="87" s="1"/>
  <c r="A45" i="87" s="1"/>
  <c r="A46" i="87" s="1"/>
  <c r="A47" i="87" s="1"/>
  <c r="A48" i="87" s="1"/>
  <c r="A49" i="87" s="1"/>
  <c r="A50" i="87" s="1"/>
  <c r="A51" i="87" s="1"/>
  <c r="A52" i="87" s="1"/>
  <c r="A53" i="87" s="1"/>
  <c r="A54" i="87" s="1"/>
  <c r="A55" i="87" s="1"/>
  <c r="A56" i="87" s="1"/>
  <c r="A57" i="87" s="1"/>
  <c r="T21" i="87"/>
  <c r="U21" i="87" s="1"/>
  <c r="V21" i="87" s="1"/>
  <c r="A21" i="87"/>
  <c r="T20" i="87"/>
  <c r="U20" i="87" s="1"/>
  <c r="V20" i="87" s="1"/>
  <c r="A20" i="87"/>
  <c r="T19" i="87"/>
  <c r="U19" i="87" s="1"/>
  <c r="V19" i="87" s="1"/>
  <c r="T18" i="87"/>
  <c r="U18" i="87" s="1"/>
  <c r="V18" i="87" s="1"/>
  <c r="T17" i="87"/>
  <c r="U17" i="87" s="1"/>
  <c r="V17" i="87" s="1"/>
  <c r="T16" i="87"/>
  <c r="U16" i="87" s="1"/>
  <c r="V16" i="87" s="1"/>
  <c r="T15" i="87"/>
  <c r="U15" i="87" s="1"/>
  <c r="V15" i="87" s="1"/>
  <c r="T14" i="87"/>
  <c r="U14" i="87" s="1"/>
  <c r="V14" i="87" s="1"/>
  <c r="A14" i="87"/>
  <c r="A15" i="87" s="1"/>
  <c r="A16" i="87" s="1"/>
  <c r="A17" i="87" s="1"/>
  <c r="A18" i="87" s="1"/>
  <c r="T13" i="87"/>
  <c r="U13" i="87" s="1"/>
  <c r="V13" i="87" s="1"/>
  <c r="T12" i="87"/>
  <c r="T11" i="87"/>
  <c r="T10" i="87"/>
  <c r="T9" i="87"/>
  <c r="T8" i="87"/>
  <c r="U8" i="87" s="1"/>
  <c r="V8" i="87" s="1"/>
  <c r="A8" i="87"/>
  <c r="A9" i="87" s="1"/>
  <c r="A10" i="87" s="1"/>
  <c r="A11" i="87" s="1"/>
  <c r="T7" i="87"/>
  <c r="U7" i="87" s="1"/>
  <c r="T58" i="88" l="1"/>
  <c r="U58" i="88"/>
  <c r="V7" i="88"/>
  <c r="V58" i="88" s="1"/>
  <c r="U47" i="87"/>
  <c r="V47" i="87" s="1"/>
  <c r="U40" i="87"/>
  <c r="V40" i="87" s="1"/>
  <c r="U34" i="87"/>
  <c r="V34" i="87" s="1"/>
  <c r="U28" i="87"/>
  <c r="V28" i="87" s="1"/>
  <c r="H58" i="87"/>
  <c r="U12" i="87"/>
  <c r="V12" i="87" s="1"/>
  <c r="C58" i="87"/>
  <c r="U9" i="87"/>
  <c r="V9" i="87" s="1"/>
  <c r="U11" i="87"/>
  <c r="V11" i="87" s="1"/>
  <c r="U10" i="87"/>
  <c r="V10" i="87" s="1"/>
  <c r="T37" i="87"/>
  <c r="T58" i="87" s="1"/>
  <c r="V7" i="87"/>
  <c r="C47" i="86"/>
  <c r="K43" i="86"/>
  <c r="J43" i="86"/>
  <c r="C43" i="86"/>
  <c r="C41" i="86"/>
  <c r="C40" i="86"/>
  <c r="U37" i="87" l="1"/>
  <c r="V37" i="87" s="1"/>
  <c r="V58" i="87" s="1"/>
  <c r="K37" i="86"/>
  <c r="K58" i="86" s="1"/>
  <c r="C37" i="86"/>
  <c r="C34" i="86"/>
  <c r="U34" i="86" s="1"/>
  <c r="V34" i="86" s="1"/>
  <c r="C28" i="86"/>
  <c r="C25" i="86"/>
  <c r="H24" i="86"/>
  <c r="T24" i="86" s="1"/>
  <c r="U24" i="86" s="1"/>
  <c r="V24" i="86" s="1"/>
  <c r="H23" i="86"/>
  <c r="T23" i="86" s="1"/>
  <c r="U23" i="86" s="1"/>
  <c r="V23" i="86" s="1"/>
  <c r="H21" i="86"/>
  <c r="T21" i="86" s="1"/>
  <c r="U21" i="86" s="1"/>
  <c r="V21" i="86" s="1"/>
  <c r="H19" i="86"/>
  <c r="T19" i="86" s="1"/>
  <c r="U19" i="86" s="1"/>
  <c r="V19" i="86" s="1"/>
  <c r="H17" i="86"/>
  <c r="C12" i="86"/>
  <c r="C10" i="86"/>
  <c r="C9" i="86"/>
  <c r="C8" i="86"/>
  <c r="R58" i="86"/>
  <c r="Q58" i="86"/>
  <c r="P58" i="86"/>
  <c r="O58" i="86"/>
  <c r="N58" i="86"/>
  <c r="M58" i="86"/>
  <c r="J58" i="86"/>
  <c r="I58" i="86"/>
  <c r="G58" i="86"/>
  <c r="F58" i="86"/>
  <c r="T54" i="86"/>
  <c r="U54" i="86" s="1"/>
  <c r="V54" i="86" s="1"/>
  <c r="T53" i="86"/>
  <c r="U53" i="86" s="1"/>
  <c r="V53" i="86" s="1"/>
  <c r="T52" i="86"/>
  <c r="U52" i="86" s="1"/>
  <c r="V52" i="86" s="1"/>
  <c r="U51" i="86"/>
  <c r="V51" i="86" s="1"/>
  <c r="T51" i="86"/>
  <c r="T50" i="86"/>
  <c r="U50" i="86" s="1"/>
  <c r="V50" i="86" s="1"/>
  <c r="T49" i="86"/>
  <c r="U49" i="86" s="1"/>
  <c r="V49" i="86" s="1"/>
  <c r="T48" i="86"/>
  <c r="U48" i="86" s="1"/>
  <c r="V48" i="86" s="1"/>
  <c r="T47" i="86"/>
  <c r="U47" i="86" s="1"/>
  <c r="V47" i="86" s="1"/>
  <c r="T46" i="86"/>
  <c r="U46" i="86" s="1"/>
  <c r="V46" i="86" s="1"/>
  <c r="T45" i="86"/>
  <c r="U45" i="86" s="1"/>
  <c r="V45" i="86" s="1"/>
  <c r="T43" i="86"/>
  <c r="U43" i="86" s="1"/>
  <c r="V43" i="86" s="1"/>
  <c r="T41" i="86"/>
  <c r="U41" i="86"/>
  <c r="V41" i="86" s="1"/>
  <c r="T40" i="86"/>
  <c r="U40" i="86" s="1"/>
  <c r="V40" i="86" s="1"/>
  <c r="U39" i="86"/>
  <c r="V39" i="86" s="1"/>
  <c r="T39" i="86"/>
  <c r="T38" i="86"/>
  <c r="U38" i="86" s="1"/>
  <c r="V38" i="86" s="1"/>
  <c r="T36" i="86"/>
  <c r="U36" i="86" s="1"/>
  <c r="V36" i="86" s="1"/>
  <c r="T35" i="86"/>
  <c r="U35" i="86" s="1"/>
  <c r="V35" i="86" s="1"/>
  <c r="T34" i="86"/>
  <c r="T33" i="86"/>
  <c r="U33" i="86" s="1"/>
  <c r="V33" i="86" s="1"/>
  <c r="T32" i="86"/>
  <c r="U32" i="86" s="1"/>
  <c r="V32" i="86" s="1"/>
  <c r="T31" i="86"/>
  <c r="U31" i="86" s="1"/>
  <c r="V31" i="86" s="1"/>
  <c r="T30" i="86"/>
  <c r="U30" i="86" s="1"/>
  <c r="V30" i="86" s="1"/>
  <c r="T29" i="86"/>
  <c r="U29" i="86" s="1"/>
  <c r="V29" i="86" s="1"/>
  <c r="T28" i="86"/>
  <c r="U28" i="86" s="1"/>
  <c r="V28" i="86" s="1"/>
  <c r="T27" i="86"/>
  <c r="U27" i="86" s="1"/>
  <c r="V27" i="86" s="1"/>
  <c r="T26" i="86"/>
  <c r="U26" i="86" s="1"/>
  <c r="V26" i="86" s="1"/>
  <c r="AY25" i="86"/>
  <c r="T25" i="86"/>
  <c r="T22" i="86"/>
  <c r="U22" i="86" s="1"/>
  <c r="V22" i="86" s="1"/>
  <c r="T20" i="86"/>
  <c r="U20" i="86" s="1"/>
  <c r="V20" i="86" s="1"/>
  <c r="A20" i="86"/>
  <c r="A21" i="86" s="1"/>
  <c r="A22" i="86" s="1"/>
  <c r="A23" i="86" s="1"/>
  <c r="A24" i="86" s="1"/>
  <c r="A25" i="86" s="1"/>
  <c r="A26" i="86" s="1"/>
  <c r="A27" i="86" s="1"/>
  <c r="A28" i="86" s="1"/>
  <c r="A29" i="86" s="1"/>
  <c r="A30" i="86" s="1"/>
  <c r="A31" i="86" s="1"/>
  <c r="A32" i="86" s="1"/>
  <c r="A33" i="86" s="1"/>
  <c r="A34" i="86" s="1"/>
  <c r="A35" i="86" s="1"/>
  <c r="A36" i="86" s="1"/>
  <c r="A37" i="86" s="1"/>
  <c r="A38" i="86" s="1"/>
  <c r="A39" i="86" s="1"/>
  <c r="A40" i="86" s="1"/>
  <c r="A41" i="86" s="1"/>
  <c r="A42" i="86" s="1"/>
  <c r="A43" i="86" s="1"/>
  <c r="A44" i="86" s="1"/>
  <c r="A45" i="86" s="1"/>
  <c r="A46" i="86" s="1"/>
  <c r="A47" i="86" s="1"/>
  <c r="A48" i="86" s="1"/>
  <c r="A49" i="86" s="1"/>
  <c r="A50" i="86" s="1"/>
  <c r="A51" i="86" s="1"/>
  <c r="A52" i="86" s="1"/>
  <c r="A53" i="86" s="1"/>
  <c r="A54" i="86" s="1"/>
  <c r="A55" i="86" s="1"/>
  <c r="A56" i="86" s="1"/>
  <c r="A57" i="86" s="1"/>
  <c r="T18" i="86"/>
  <c r="U18" i="86" s="1"/>
  <c r="V18" i="86" s="1"/>
  <c r="T17" i="86"/>
  <c r="U17" i="86" s="1"/>
  <c r="V17" i="86" s="1"/>
  <c r="T16" i="86"/>
  <c r="U16" i="86" s="1"/>
  <c r="V16" i="86" s="1"/>
  <c r="T15" i="86"/>
  <c r="U15" i="86" s="1"/>
  <c r="V15" i="86" s="1"/>
  <c r="A15" i="86"/>
  <c r="A16" i="86" s="1"/>
  <c r="A17" i="86" s="1"/>
  <c r="A18" i="86" s="1"/>
  <c r="T14" i="86"/>
  <c r="U14" i="86" s="1"/>
  <c r="V14" i="86" s="1"/>
  <c r="A14" i="86"/>
  <c r="T13" i="86"/>
  <c r="U13" i="86" s="1"/>
  <c r="V13" i="86" s="1"/>
  <c r="T12" i="86"/>
  <c r="T11" i="86"/>
  <c r="U11" i="86" s="1"/>
  <c r="V11" i="86" s="1"/>
  <c r="T10" i="86"/>
  <c r="U10" i="86" s="1"/>
  <c r="V10" i="86" s="1"/>
  <c r="T9" i="86"/>
  <c r="T8" i="86"/>
  <c r="A8" i="86"/>
  <c r="A9" i="86" s="1"/>
  <c r="A10" i="86" s="1"/>
  <c r="A11" i="86" s="1"/>
  <c r="T7" i="86"/>
  <c r="U58" i="87" l="1"/>
  <c r="U25" i="86"/>
  <c r="V25" i="86" s="1"/>
  <c r="H58" i="86"/>
  <c r="U12" i="86"/>
  <c r="V12" i="86" s="1"/>
  <c r="U9" i="86"/>
  <c r="V9" i="86" s="1"/>
  <c r="U8" i="86"/>
  <c r="V8" i="86" s="1"/>
  <c r="C58" i="86"/>
  <c r="U7" i="86"/>
  <c r="T37" i="86"/>
  <c r="U37" i="86" s="1"/>
  <c r="V37" i="86" s="1"/>
  <c r="C47" i="85"/>
  <c r="K43" i="85"/>
  <c r="J43" i="85"/>
  <c r="C43" i="85"/>
  <c r="C41" i="85"/>
  <c r="C40" i="85"/>
  <c r="K37" i="85"/>
  <c r="C37" i="85"/>
  <c r="C34" i="85"/>
  <c r="C25" i="85"/>
  <c r="H24" i="85"/>
  <c r="H23" i="85"/>
  <c r="H21" i="85"/>
  <c r="H19" i="85"/>
  <c r="H17" i="85"/>
  <c r="U58" i="86" l="1"/>
  <c r="V7" i="86"/>
  <c r="V58" i="86" s="1"/>
  <c r="T58" i="86"/>
  <c r="C12" i="85"/>
  <c r="U12" i="85" s="1"/>
  <c r="V12" i="85" s="1"/>
  <c r="C10" i="85"/>
  <c r="C9" i="85"/>
  <c r="U9" i="85" s="1"/>
  <c r="C8" i="85"/>
  <c r="R58" i="85"/>
  <c r="Q58" i="85"/>
  <c r="P58" i="85"/>
  <c r="O58" i="85"/>
  <c r="N58" i="85"/>
  <c r="M58" i="85"/>
  <c r="J58" i="85"/>
  <c r="I58" i="85"/>
  <c r="G58" i="85"/>
  <c r="F58" i="85"/>
  <c r="T54" i="85"/>
  <c r="U54" i="85" s="1"/>
  <c r="V54" i="85" s="1"/>
  <c r="T53" i="85"/>
  <c r="U53" i="85" s="1"/>
  <c r="V53" i="85" s="1"/>
  <c r="T52" i="85"/>
  <c r="U52" i="85" s="1"/>
  <c r="V52" i="85" s="1"/>
  <c r="T51" i="85"/>
  <c r="U51" i="85" s="1"/>
  <c r="V51" i="85" s="1"/>
  <c r="T50" i="85"/>
  <c r="U50" i="85" s="1"/>
  <c r="V50" i="85" s="1"/>
  <c r="T49" i="85"/>
  <c r="U49" i="85" s="1"/>
  <c r="V49" i="85" s="1"/>
  <c r="T48" i="85"/>
  <c r="U48" i="85" s="1"/>
  <c r="V48" i="85" s="1"/>
  <c r="T47" i="85"/>
  <c r="U47" i="85" s="1"/>
  <c r="V47" i="85" s="1"/>
  <c r="T46" i="85"/>
  <c r="U46" i="85" s="1"/>
  <c r="V46" i="85" s="1"/>
  <c r="T45" i="85"/>
  <c r="U45" i="85" s="1"/>
  <c r="V45" i="85" s="1"/>
  <c r="T43" i="85"/>
  <c r="U43" i="85" s="1"/>
  <c r="V43" i="85" s="1"/>
  <c r="T41" i="85"/>
  <c r="U41" i="85" s="1"/>
  <c r="V41" i="85" s="1"/>
  <c r="T40" i="85"/>
  <c r="U40" i="85" s="1"/>
  <c r="V40" i="85" s="1"/>
  <c r="T39" i="85"/>
  <c r="U39" i="85" s="1"/>
  <c r="V39" i="85" s="1"/>
  <c r="T38" i="85"/>
  <c r="U38" i="85" s="1"/>
  <c r="V38" i="85" s="1"/>
  <c r="T37" i="85"/>
  <c r="T36" i="85"/>
  <c r="U36" i="85" s="1"/>
  <c r="V36" i="85" s="1"/>
  <c r="T35" i="85"/>
  <c r="U35" i="85" s="1"/>
  <c r="V35" i="85" s="1"/>
  <c r="T34" i="85"/>
  <c r="U34" i="85" s="1"/>
  <c r="V34" i="85" s="1"/>
  <c r="T33" i="85"/>
  <c r="U33" i="85" s="1"/>
  <c r="V33" i="85" s="1"/>
  <c r="T32" i="85"/>
  <c r="U32" i="85" s="1"/>
  <c r="V32" i="85" s="1"/>
  <c r="T31" i="85"/>
  <c r="U31" i="85" s="1"/>
  <c r="V31" i="85" s="1"/>
  <c r="T30" i="85"/>
  <c r="U30" i="85" s="1"/>
  <c r="V30" i="85" s="1"/>
  <c r="T29" i="85"/>
  <c r="U29" i="85" s="1"/>
  <c r="V29" i="85" s="1"/>
  <c r="T28" i="85"/>
  <c r="U28" i="85" s="1"/>
  <c r="V28" i="85" s="1"/>
  <c r="T27" i="85"/>
  <c r="U27" i="85" s="1"/>
  <c r="V27" i="85" s="1"/>
  <c r="T26" i="85"/>
  <c r="U26" i="85" s="1"/>
  <c r="V26" i="85" s="1"/>
  <c r="AY25" i="85"/>
  <c r="T25" i="85"/>
  <c r="U25" i="85" s="1"/>
  <c r="V25" i="85" s="1"/>
  <c r="T24" i="85"/>
  <c r="U24" i="85" s="1"/>
  <c r="V24" i="85" s="1"/>
  <c r="T23" i="85"/>
  <c r="U23" i="85" s="1"/>
  <c r="V23" i="85" s="1"/>
  <c r="T22" i="85"/>
  <c r="U22" i="85" s="1"/>
  <c r="V22" i="85" s="1"/>
  <c r="T21" i="85"/>
  <c r="U21" i="85" s="1"/>
  <c r="V21" i="85" s="1"/>
  <c r="A21" i="85"/>
  <c r="A22" i="85" s="1"/>
  <c r="A23" i="85" s="1"/>
  <c r="A24" i="85" s="1"/>
  <c r="A25" i="85" s="1"/>
  <c r="A26" i="85" s="1"/>
  <c r="A27" i="85" s="1"/>
  <c r="A28" i="85" s="1"/>
  <c r="A29" i="85" s="1"/>
  <c r="A30" i="85" s="1"/>
  <c r="A31" i="85" s="1"/>
  <c r="A32" i="85" s="1"/>
  <c r="A33" i="85" s="1"/>
  <c r="A34" i="85" s="1"/>
  <c r="A35" i="85" s="1"/>
  <c r="A36" i="85" s="1"/>
  <c r="A37" i="85" s="1"/>
  <c r="A38" i="85" s="1"/>
  <c r="A39" i="85" s="1"/>
  <c r="A40" i="85" s="1"/>
  <c r="A41" i="85" s="1"/>
  <c r="A42" i="85" s="1"/>
  <c r="A43" i="85" s="1"/>
  <c r="A44" i="85" s="1"/>
  <c r="A45" i="85" s="1"/>
  <c r="A46" i="85" s="1"/>
  <c r="A47" i="85" s="1"/>
  <c r="A48" i="85" s="1"/>
  <c r="A49" i="85" s="1"/>
  <c r="A50" i="85" s="1"/>
  <c r="A51" i="85" s="1"/>
  <c r="A52" i="85" s="1"/>
  <c r="A53" i="85" s="1"/>
  <c r="A54" i="85" s="1"/>
  <c r="A55" i="85" s="1"/>
  <c r="A56" i="85" s="1"/>
  <c r="A57" i="85" s="1"/>
  <c r="T20" i="85"/>
  <c r="U20" i="85" s="1"/>
  <c r="V20" i="85" s="1"/>
  <c r="A20" i="85"/>
  <c r="T19" i="85"/>
  <c r="U19" i="85" s="1"/>
  <c r="V19" i="85" s="1"/>
  <c r="T18" i="85"/>
  <c r="U18" i="85" s="1"/>
  <c r="V18" i="85" s="1"/>
  <c r="T17" i="85"/>
  <c r="U17" i="85" s="1"/>
  <c r="V17" i="85" s="1"/>
  <c r="U16" i="85"/>
  <c r="V16" i="85" s="1"/>
  <c r="T16" i="85"/>
  <c r="T15" i="85"/>
  <c r="U15" i="85" s="1"/>
  <c r="V15" i="85" s="1"/>
  <c r="A15" i="85"/>
  <c r="A16" i="85" s="1"/>
  <c r="A17" i="85" s="1"/>
  <c r="A18" i="85" s="1"/>
  <c r="T14" i="85"/>
  <c r="U14" i="85" s="1"/>
  <c r="V14" i="85" s="1"/>
  <c r="A14" i="85"/>
  <c r="T13" i="85"/>
  <c r="U13" i="85" s="1"/>
  <c r="V13" i="85" s="1"/>
  <c r="T12" i="85"/>
  <c r="T11" i="85"/>
  <c r="U11" i="85" s="1"/>
  <c r="V11" i="85" s="1"/>
  <c r="T10" i="85"/>
  <c r="T9" i="85"/>
  <c r="T8" i="85"/>
  <c r="A8" i="85"/>
  <c r="A9" i="85" s="1"/>
  <c r="A10" i="85" s="1"/>
  <c r="A11" i="85" s="1"/>
  <c r="T7" i="85"/>
  <c r="U7" i="85" s="1"/>
  <c r="V7" i="85" s="1"/>
  <c r="U10" i="85" l="1"/>
  <c r="V10" i="85" s="1"/>
  <c r="U8" i="85"/>
  <c r="V8" i="85" s="1"/>
  <c r="T58" i="85"/>
  <c r="V9" i="85"/>
  <c r="U37" i="85"/>
  <c r="V37" i="85" s="1"/>
  <c r="C58" i="85"/>
  <c r="H58" i="85"/>
  <c r="K58" i="85"/>
  <c r="H24" i="84"/>
  <c r="C47" i="84"/>
  <c r="K43" i="84"/>
  <c r="K58" i="84" s="1"/>
  <c r="J43" i="84"/>
  <c r="C43" i="84"/>
  <c r="C41" i="84"/>
  <c r="C40" i="84"/>
  <c r="K37" i="84"/>
  <c r="C37" i="84"/>
  <c r="C34" i="84"/>
  <c r="C25" i="84"/>
  <c r="U25" i="84" s="1"/>
  <c r="V25" i="84" s="1"/>
  <c r="H23" i="84"/>
  <c r="T23" i="84" s="1"/>
  <c r="U23" i="84" s="1"/>
  <c r="V23" i="84" s="1"/>
  <c r="H21" i="84"/>
  <c r="T21" i="84" s="1"/>
  <c r="U21" i="84" s="1"/>
  <c r="V21" i="84" s="1"/>
  <c r="H19" i="84"/>
  <c r="T19" i="84" s="1"/>
  <c r="U19" i="84" s="1"/>
  <c r="V19" i="84" s="1"/>
  <c r="H17" i="84"/>
  <c r="T17" i="84" s="1"/>
  <c r="U17" i="84" s="1"/>
  <c r="V17" i="84" s="1"/>
  <c r="C12" i="84"/>
  <c r="C10" i="84"/>
  <c r="U10" i="84" s="1"/>
  <c r="V10" i="84" s="1"/>
  <c r="C9" i="84"/>
  <c r="C8" i="84"/>
  <c r="R58" i="84"/>
  <c r="Q58" i="84"/>
  <c r="P58" i="84"/>
  <c r="O58" i="84"/>
  <c r="N58" i="84"/>
  <c r="M58" i="84"/>
  <c r="I58" i="84"/>
  <c r="G58" i="84"/>
  <c r="F58" i="84"/>
  <c r="T54" i="84"/>
  <c r="U54" i="84" s="1"/>
  <c r="V54" i="84" s="1"/>
  <c r="T53" i="84"/>
  <c r="U53" i="84" s="1"/>
  <c r="V53" i="84" s="1"/>
  <c r="T52" i="84"/>
  <c r="U52" i="84" s="1"/>
  <c r="V52" i="84" s="1"/>
  <c r="T51" i="84"/>
  <c r="U51" i="84" s="1"/>
  <c r="V51" i="84" s="1"/>
  <c r="T50" i="84"/>
  <c r="U50" i="84" s="1"/>
  <c r="V50" i="84" s="1"/>
  <c r="T49" i="84"/>
  <c r="U49" i="84" s="1"/>
  <c r="V49" i="84" s="1"/>
  <c r="T48" i="84"/>
  <c r="U48" i="84" s="1"/>
  <c r="V48" i="84" s="1"/>
  <c r="T47" i="84"/>
  <c r="U47" i="84" s="1"/>
  <c r="V47" i="84" s="1"/>
  <c r="U46" i="84"/>
  <c r="V46" i="84" s="1"/>
  <c r="T46" i="84"/>
  <c r="T45" i="84"/>
  <c r="U45" i="84" s="1"/>
  <c r="V45" i="84" s="1"/>
  <c r="J58" i="84"/>
  <c r="T41" i="84"/>
  <c r="T40" i="84"/>
  <c r="T39" i="84"/>
  <c r="U39" i="84" s="1"/>
  <c r="V39" i="84" s="1"/>
  <c r="T38" i="84"/>
  <c r="U38" i="84" s="1"/>
  <c r="V38" i="84" s="1"/>
  <c r="T36" i="84"/>
  <c r="U36" i="84" s="1"/>
  <c r="V36" i="84" s="1"/>
  <c r="T35" i="84"/>
  <c r="U35" i="84" s="1"/>
  <c r="V35" i="84" s="1"/>
  <c r="T34" i="84"/>
  <c r="T33" i="84"/>
  <c r="U33" i="84" s="1"/>
  <c r="V33" i="84" s="1"/>
  <c r="T32" i="84"/>
  <c r="U32" i="84" s="1"/>
  <c r="V32" i="84" s="1"/>
  <c r="T31" i="84"/>
  <c r="U31" i="84" s="1"/>
  <c r="V31" i="84" s="1"/>
  <c r="T30" i="84"/>
  <c r="U30" i="84" s="1"/>
  <c r="V30" i="84" s="1"/>
  <c r="T29" i="84"/>
  <c r="U29" i="84" s="1"/>
  <c r="V29" i="84" s="1"/>
  <c r="T28" i="84"/>
  <c r="U28" i="84" s="1"/>
  <c r="V28" i="84" s="1"/>
  <c r="T27" i="84"/>
  <c r="U27" i="84" s="1"/>
  <c r="V27" i="84" s="1"/>
  <c r="T26" i="84"/>
  <c r="U26" i="84" s="1"/>
  <c r="V26" i="84" s="1"/>
  <c r="AY25" i="84"/>
  <c r="T25" i="84"/>
  <c r="T24" i="84"/>
  <c r="U24" i="84" s="1"/>
  <c r="V24" i="84" s="1"/>
  <c r="T22" i="84"/>
  <c r="U22" i="84" s="1"/>
  <c r="V22" i="84" s="1"/>
  <c r="A21" i="84"/>
  <c r="A22" i="84" s="1"/>
  <c r="A23" i="84" s="1"/>
  <c r="A24" i="84" s="1"/>
  <c r="A25" i="84" s="1"/>
  <c r="A26" i="84" s="1"/>
  <c r="A27" i="84" s="1"/>
  <c r="A28" i="84" s="1"/>
  <c r="A29" i="84" s="1"/>
  <c r="A30" i="84" s="1"/>
  <c r="A31" i="84" s="1"/>
  <c r="A32" i="84" s="1"/>
  <c r="A33" i="84" s="1"/>
  <c r="A34" i="84" s="1"/>
  <c r="A35" i="84" s="1"/>
  <c r="A36" i="84" s="1"/>
  <c r="A37" i="84" s="1"/>
  <c r="A38" i="84" s="1"/>
  <c r="A39" i="84" s="1"/>
  <c r="A40" i="84" s="1"/>
  <c r="A41" i="84" s="1"/>
  <c r="A42" i="84" s="1"/>
  <c r="A43" i="84" s="1"/>
  <c r="A44" i="84" s="1"/>
  <c r="A45" i="84" s="1"/>
  <c r="A46" i="84" s="1"/>
  <c r="A47" i="84" s="1"/>
  <c r="A48" i="84" s="1"/>
  <c r="A49" i="84" s="1"/>
  <c r="A50" i="84" s="1"/>
  <c r="A51" i="84" s="1"/>
  <c r="A52" i="84" s="1"/>
  <c r="A53" i="84" s="1"/>
  <c r="A54" i="84" s="1"/>
  <c r="A55" i="84" s="1"/>
  <c r="A56" i="84" s="1"/>
  <c r="A57" i="84" s="1"/>
  <c r="T20" i="84"/>
  <c r="U20" i="84" s="1"/>
  <c r="V20" i="84" s="1"/>
  <c r="A20" i="84"/>
  <c r="U18" i="84"/>
  <c r="V18" i="84" s="1"/>
  <c r="T18" i="84"/>
  <c r="T16" i="84"/>
  <c r="U16" i="84" s="1"/>
  <c r="V16" i="84" s="1"/>
  <c r="T15" i="84"/>
  <c r="U15" i="84" s="1"/>
  <c r="V15" i="84" s="1"/>
  <c r="A15" i="84"/>
  <c r="A16" i="84" s="1"/>
  <c r="A17" i="84" s="1"/>
  <c r="A18" i="84" s="1"/>
  <c r="T14" i="84"/>
  <c r="U14" i="84" s="1"/>
  <c r="V14" i="84" s="1"/>
  <c r="A14" i="84"/>
  <c r="T13" i="84"/>
  <c r="U13" i="84" s="1"/>
  <c r="V13" i="84" s="1"/>
  <c r="T12" i="84"/>
  <c r="T11" i="84"/>
  <c r="U11" i="84" s="1"/>
  <c r="V11" i="84" s="1"/>
  <c r="T10" i="84"/>
  <c r="T9" i="84"/>
  <c r="A9" i="84"/>
  <c r="A10" i="84" s="1"/>
  <c r="A11" i="84" s="1"/>
  <c r="T8" i="84"/>
  <c r="A8" i="84"/>
  <c r="T7" i="84"/>
  <c r="V58" i="85" l="1"/>
  <c r="U58" i="85"/>
  <c r="U41" i="84"/>
  <c r="V41" i="84" s="1"/>
  <c r="U40" i="84"/>
  <c r="V40" i="84" s="1"/>
  <c r="U34" i="84"/>
  <c r="V34" i="84" s="1"/>
  <c r="H58" i="84"/>
  <c r="U12" i="84"/>
  <c r="V12" i="84" s="1"/>
  <c r="U9" i="84"/>
  <c r="V9" i="84" s="1"/>
  <c r="U8" i="84"/>
  <c r="V8" i="84" s="1"/>
  <c r="T43" i="84"/>
  <c r="U43" i="84" s="1"/>
  <c r="V43" i="84" s="1"/>
  <c r="C58" i="84"/>
  <c r="T37" i="84"/>
  <c r="T58" i="84" s="1"/>
  <c r="U7" i="84"/>
  <c r="K37" i="83"/>
  <c r="C47" i="83"/>
  <c r="K43" i="83"/>
  <c r="J43" i="83"/>
  <c r="C43" i="83"/>
  <c r="C41" i="83"/>
  <c r="C40" i="83"/>
  <c r="C37" i="83"/>
  <c r="C34" i="83"/>
  <c r="C25" i="83"/>
  <c r="H24" i="83"/>
  <c r="H23" i="83"/>
  <c r="H21" i="83"/>
  <c r="H19" i="83"/>
  <c r="H17" i="83"/>
  <c r="C12" i="83"/>
  <c r="C10" i="83"/>
  <c r="C9" i="83"/>
  <c r="C8" i="83"/>
  <c r="V7" i="84" l="1"/>
  <c r="U37" i="84"/>
  <c r="V37" i="84" s="1"/>
  <c r="R58" i="83"/>
  <c r="Q58" i="83"/>
  <c r="P58" i="83"/>
  <c r="O58" i="83"/>
  <c r="N58" i="83"/>
  <c r="M58" i="83"/>
  <c r="J58" i="83"/>
  <c r="I58" i="83"/>
  <c r="H58" i="83"/>
  <c r="G58" i="83"/>
  <c r="F58" i="83"/>
  <c r="C58" i="83"/>
  <c r="U54" i="83"/>
  <c r="V54" i="83" s="1"/>
  <c r="T54" i="83"/>
  <c r="T53" i="83"/>
  <c r="U53" i="83" s="1"/>
  <c r="V53" i="83" s="1"/>
  <c r="T52" i="83"/>
  <c r="U52" i="83" s="1"/>
  <c r="V52" i="83" s="1"/>
  <c r="T51" i="83"/>
  <c r="U51" i="83" s="1"/>
  <c r="V51" i="83" s="1"/>
  <c r="U50" i="83"/>
  <c r="V50" i="83" s="1"/>
  <c r="T50" i="83"/>
  <c r="T49" i="83"/>
  <c r="U49" i="83" s="1"/>
  <c r="V49" i="83" s="1"/>
  <c r="T48" i="83"/>
  <c r="U48" i="83" s="1"/>
  <c r="V48" i="83" s="1"/>
  <c r="T47" i="83"/>
  <c r="U47" i="83" s="1"/>
  <c r="V47" i="83" s="1"/>
  <c r="T46" i="83"/>
  <c r="U46" i="83" s="1"/>
  <c r="V46" i="83" s="1"/>
  <c r="T45" i="83"/>
  <c r="U45" i="83" s="1"/>
  <c r="V45" i="83" s="1"/>
  <c r="T43" i="83"/>
  <c r="U43" i="83" s="1"/>
  <c r="V43" i="83" s="1"/>
  <c r="T41" i="83"/>
  <c r="U41" i="83"/>
  <c r="V41" i="83" s="1"/>
  <c r="T40" i="83"/>
  <c r="U40" i="83" s="1"/>
  <c r="V40" i="83" s="1"/>
  <c r="T39" i="83"/>
  <c r="U39" i="83" s="1"/>
  <c r="V39" i="83" s="1"/>
  <c r="U38" i="83"/>
  <c r="V38" i="83" s="1"/>
  <c r="T38" i="83"/>
  <c r="K58" i="83"/>
  <c r="T36" i="83"/>
  <c r="U36" i="83" s="1"/>
  <c r="V36" i="83" s="1"/>
  <c r="T35" i="83"/>
  <c r="U35" i="83" s="1"/>
  <c r="V35" i="83" s="1"/>
  <c r="T34" i="83"/>
  <c r="U34" i="83" s="1"/>
  <c r="V34" i="83" s="1"/>
  <c r="T33" i="83"/>
  <c r="U33" i="83" s="1"/>
  <c r="V33" i="83" s="1"/>
  <c r="T32" i="83"/>
  <c r="U32" i="83" s="1"/>
  <c r="V32" i="83" s="1"/>
  <c r="T31" i="83"/>
  <c r="U31" i="83" s="1"/>
  <c r="V31" i="83" s="1"/>
  <c r="T30" i="83"/>
  <c r="U30" i="83" s="1"/>
  <c r="V30" i="83" s="1"/>
  <c r="T29" i="83"/>
  <c r="U29" i="83" s="1"/>
  <c r="V29" i="83" s="1"/>
  <c r="T28" i="83"/>
  <c r="U28" i="83" s="1"/>
  <c r="V28" i="83" s="1"/>
  <c r="T27" i="83"/>
  <c r="U27" i="83" s="1"/>
  <c r="V27" i="83" s="1"/>
  <c r="T26" i="83"/>
  <c r="U26" i="83" s="1"/>
  <c r="V26" i="83" s="1"/>
  <c r="AY25" i="83"/>
  <c r="T25" i="83"/>
  <c r="U25" i="83" s="1"/>
  <c r="V25" i="83" s="1"/>
  <c r="T24" i="83"/>
  <c r="U24" i="83" s="1"/>
  <c r="V24" i="83" s="1"/>
  <c r="T23" i="83"/>
  <c r="U23" i="83" s="1"/>
  <c r="V23" i="83" s="1"/>
  <c r="T22" i="83"/>
  <c r="U22" i="83" s="1"/>
  <c r="V22" i="83" s="1"/>
  <c r="A22" i="83"/>
  <c r="A23" i="83" s="1"/>
  <c r="A24" i="83" s="1"/>
  <c r="A25" i="83" s="1"/>
  <c r="A26" i="83" s="1"/>
  <c r="A27" i="83" s="1"/>
  <c r="A28" i="83" s="1"/>
  <c r="A29" i="83" s="1"/>
  <c r="A30" i="83" s="1"/>
  <c r="A31" i="83" s="1"/>
  <c r="A32" i="83" s="1"/>
  <c r="A33" i="83" s="1"/>
  <c r="A34" i="83" s="1"/>
  <c r="A35" i="83" s="1"/>
  <c r="A36" i="83" s="1"/>
  <c r="A37" i="83" s="1"/>
  <c r="A38" i="83" s="1"/>
  <c r="A39" i="83" s="1"/>
  <c r="A40" i="83" s="1"/>
  <c r="A41" i="83" s="1"/>
  <c r="A42" i="83" s="1"/>
  <c r="A43" i="83" s="1"/>
  <c r="A44" i="83" s="1"/>
  <c r="A45" i="83" s="1"/>
  <c r="A46" i="83" s="1"/>
  <c r="A47" i="83" s="1"/>
  <c r="A48" i="83" s="1"/>
  <c r="A49" i="83" s="1"/>
  <c r="A50" i="83" s="1"/>
  <c r="A51" i="83" s="1"/>
  <c r="A52" i="83" s="1"/>
  <c r="A53" i="83" s="1"/>
  <c r="A54" i="83" s="1"/>
  <c r="A55" i="83" s="1"/>
  <c r="A56" i="83" s="1"/>
  <c r="A57" i="83" s="1"/>
  <c r="T21" i="83"/>
  <c r="U21" i="83" s="1"/>
  <c r="V21" i="83" s="1"/>
  <c r="A21" i="83"/>
  <c r="T20" i="83"/>
  <c r="U20" i="83" s="1"/>
  <c r="V20" i="83" s="1"/>
  <c r="A20" i="83"/>
  <c r="T19" i="83"/>
  <c r="U19" i="83" s="1"/>
  <c r="V19" i="83" s="1"/>
  <c r="T18" i="83"/>
  <c r="U18" i="83" s="1"/>
  <c r="V18" i="83" s="1"/>
  <c r="T17" i="83"/>
  <c r="U17" i="83" s="1"/>
  <c r="V17" i="83" s="1"/>
  <c r="U16" i="83"/>
  <c r="V16" i="83" s="1"/>
  <c r="T16" i="83"/>
  <c r="T15" i="83"/>
  <c r="U15" i="83" s="1"/>
  <c r="V15" i="83" s="1"/>
  <c r="T14" i="83"/>
  <c r="U14" i="83" s="1"/>
  <c r="V14" i="83" s="1"/>
  <c r="A14" i="83"/>
  <c r="A15" i="83" s="1"/>
  <c r="A16" i="83" s="1"/>
  <c r="A17" i="83" s="1"/>
  <c r="A18" i="83" s="1"/>
  <c r="T13" i="83"/>
  <c r="U13" i="83" s="1"/>
  <c r="V13" i="83" s="1"/>
  <c r="T12" i="83"/>
  <c r="U12" i="83" s="1"/>
  <c r="V12" i="83" s="1"/>
  <c r="T11" i="83"/>
  <c r="U11" i="83" s="1"/>
  <c r="V11" i="83" s="1"/>
  <c r="T10" i="83"/>
  <c r="U10" i="83" s="1"/>
  <c r="V10" i="83" s="1"/>
  <c r="A10" i="83"/>
  <c r="A11" i="83" s="1"/>
  <c r="T9" i="83"/>
  <c r="U9" i="83"/>
  <c r="V9" i="83" s="1"/>
  <c r="A9" i="83"/>
  <c r="T8" i="83"/>
  <c r="U8" i="83" s="1"/>
  <c r="V8" i="83" s="1"/>
  <c r="A8" i="83"/>
  <c r="T7" i="83"/>
  <c r="V58" i="84" l="1"/>
  <c r="U58" i="84"/>
  <c r="T37" i="83"/>
  <c r="T58" i="83" s="1"/>
  <c r="U7" i="83"/>
  <c r="K37" i="82"/>
  <c r="T37" i="82" s="1"/>
  <c r="C43" i="82"/>
  <c r="C47" i="82"/>
  <c r="K43" i="82"/>
  <c r="J43" i="82"/>
  <c r="C41" i="82"/>
  <c r="U41" i="82" s="1"/>
  <c r="V41" i="82" s="1"/>
  <c r="C40" i="82"/>
  <c r="C37" i="82"/>
  <c r="C34" i="82"/>
  <c r="H24" i="82"/>
  <c r="H23" i="82"/>
  <c r="H21" i="82"/>
  <c r="H19" i="82"/>
  <c r="H17" i="82"/>
  <c r="T17" i="82" s="1"/>
  <c r="U17" i="82" s="1"/>
  <c r="V17" i="82" s="1"/>
  <c r="C12" i="82"/>
  <c r="C10" i="82"/>
  <c r="C9" i="82"/>
  <c r="C8" i="82"/>
  <c r="R58" i="82"/>
  <c r="Q58" i="82"/>
  <c r="P58" i="82"/>
  <c r="O58" i="82"/>
  <c r="N58" i="82"/>
  <c r="M58" i="82"/>
  <c r="I58" i="82"/>
  <c r="G58" i="82"/>
  <c r="F58" i="82"/>
  <c r="U54" i="82"/>
  <c r="V54" i="82" s="1"/>
  <c r="T54" i="82"/>
  <c r="T53" i="82"/>
  <c r="U53" i="82" s="1"/>
  <c r="V53" i="82" s="1"/>
  <c r="T52" i="82"/>
  <c r="U52" i="82" s="1"/>
  <c r="V52" i="82" s="1"/>
  <c r="T51" i="82"/>
  <c r="U51" i="82" s="1"/>
  <c r="V51" i="82" s="1"/>
  <c r="T50" i="82"/>
  <c r="U50" i="82" s="1"/>
  <c r="V50" i="82" s="1"/>
  <c r="T49" i="82"/>
  <c r="U49" i="82" s="1"/>
  <c r="V49" i="82" s="1"/>
  <c r="T48" i="82"/>
  <c r="U48" i="82" s="1"/>
  <c r="V48" i="82" s="1"/>
  <c r="T47" i="82"/>
  <c r="T46" i="82"/>
  <c r="U46" i="82" s="1"/>
  <c r="V46" i="82" s="1"/>
  <c r="T45" i="82"/>
  <c r="U45" i="82" s="1"/>
  <c r="V45" i="82" s="1"/>
  <c r="T41" i="82"/>
  <c r="T40" i="82"/>
  <c r="U40" i="82" s="1"/>
  <c r="V40" i="82" s="1"/>
  <c r="T39" i="82"/>
  <c r="U39" i="82" s="1"/>
  <c r="V39" i="82" s="1"/>
  <c r="T38" i="82"/>
  <c r="U38" i="82" s="1"/>
  <c r="V38" i="82" s="1"/>
  <c r="T36" i="82"/>
  <c r="U36" i="82" s="1"/>
  <c r="V36" i="82" s="1"/>
  <c r="T35" i="82"/>
  <c r="U35" i="82" s="1"/>
  <c r="V35" i="82" s="1"/>
  <c r="T34" i="82"/>
  <c r="U34" i="82" s="1"/>
  <c r="V34" i="82" s="1"/>
  <c r="T33" i="82"/>
  <c r="U33" i="82" s="1"/>
  <c r="V33" i="82" s="1"/>
  <c r="T32" i="82"/>
  <c r="U32" i="82" s="1"/>
  <c r="V32" i="82" s="1"/>
  <c r="T31" i="82"/>
  <c r="U31" i="82" s="1"/>
  <c r="V31" i="82" s="1"/>
  <c r="T30" i="82"/>
  <c r="U30" i="82" s="1"/>
  <c r="V30" i="82" s="1"/>
  <c r="T29" i="82"/>
  <c r="U29" i="82" s="1"/>
  <c r="V29" i="82" s="1"/>
  <c r="U28" i="82"/>
  <c r="V28" i="82" s="1"/>
  <c r="T28" i="82"/>
  <c r="T27" i="82"/>
  <c r="U27" i="82" s="1"/>
  <c r="V27" i="82" s="1"/>
  <c r="T26" i="82"/>
  <c r="U26" i="82" s="1"/>
  <c r="V26" i="82" s="1"/>
  <c r="AY25" i="82"/>
  <c r="T25" i="82"/>
  <c r="U25" i="82" s="1"/>
  <c r="V25" i="82" s="1"/>
  <c r="T24" i="82"/>
  <c r="U24" i="82" s="1"/>
  <c r="V24" i="82" s="1"/>
  <c r="T23" i="82"/>
  <c r="U23" i="82" s="1"/>
  <c r="V23" i="82" s="1"/>
  <c r="T22" i="82"/>
  <c r="U22" i="82" s="1"/>
  <c r="V22" i="82" s="1"/>
  <c r="A22" i="82"/>
  <c r="A23" i="82" s="1"/>
  <c r="A24" i="82" s="1"/>
  <c r="A25" i="82" s="1"/>
  <c r="A26" i="82" s="1"/>
  <c r="A27" i="82" s="1"/>
  <c r="A28" i="82" s="1"/>
  <c r="A29" i="82" s="1"/>
  <c r="A30" i="82" s="1"/>
  <c r="A31" i="82" s="1"/>
  <c r="A32" i="82" s="1"/>
  <c r="A33" i="82" s="1"/>
  <c r="A34" i="82" s="1"/>
  <c r="A35" i="82" s="1"/>
  <c r="A36" i="82" s="1"/>
  <c r="A37" i="82" s="1"/>
  <c r="A38" i="82" s="1"/>
  <c r="A39" i="82" s="1"/>
  <c r="A40" i="82" s="1"/>
  <c r="A41" i="82" s="1"/>
  <c r="A42" i="82" s="1"/>
  <c r="A43" i="82" s="1"/>
  <c r="A44" i="82" s="1"/>
  <c r="A45" i="82" s="1"/>
  <c r="A46" i="82" s="1"/>
  <c r="A47" i="82" s="1"/>
  <c r="A48" i="82" s="1"/>
  <c r="A49" i="82" s="1"/>
  <c r="A50" i="82" s="1"/>
  <c r="A51" i="82" s="1"/>
  <c r="A52" i="82" s="1"/>
  <c r="A53" i="82" s="1"/>
  <c r="A54" i="82" s="1"/>
  <c r="A55" i="82" s="1"/>
  <c r="A56" i="82" s="1"/>
  <c r="A57" i="82" s="1"/>
  <c r="T21" i="82"/>
  <c r="U21" i="82" s="1"/>
  <c r="V21" i="82" s="1"/>
  <c r="A21" i="82"/>
  <c r="T20" i="82"/>
  <c r="U20" i="82" s="1"/>
  <c r="V20" i="82" s="1"/>
  <c r="A20" i="82"/>
  <c r="T19" i="82"/>
  <c r="U19" i="82" s="1"/>
  <c r="V19" i="82" s="1"/>
  <c r="T18" i="82"/>
  <c r="U18" i="82" s="1"/>
  <c r="V18" i="82" s="1"/>
  <c r="U16" i="82"/>
  <c r="V16" i="82" s="1"/>
  <c r="T16" i="82"/>
  <c r="T15" i="82"/>
  <c r="U15" i="82" s="1"/>
  <c r="V15" i="82" s="1"/>
  <c r="T14" i="82"/>
  <c r="U14" i="82" s="1"/>
  <c r="V14" i="82" s="1"/>
  <c r="A14" i="82"/>
  <c r="A15" i="82" s="1"/>
  <c r="A16" i="82" s="1"/>
  <c r="A17" i="82" s="1"/>
  <c r="A18" i="82" s="1"/>
  <c r="T13" i="82"/>
  <c r="U13" i="82" s="1"/>
  <c r="V13" i="82" s="1"/>
  <c r="T12" i="82"/>
  <c r="T11" i="82"/>
  <c r="U11" i="82" s="1"/>
  <c r="V11" i="82" s="1"/>
  <c r="T10" i="82"/>
  <c r="T9" i="82"/>
  <c r="U9" i="82" s="1"/>
  <c r="V9" i="82" s="1"/>
  <c r="T8" i="82"/>
  <c r="U8" i="82" s="1"/>
  <c r="V8" i="82" s="1"/>
  <c r="A8" i="82"/>
  <c r="A9" i="82" s="1"/>
  <c r="A10" i="82" s="1"/>
  <c r="A11" i="82" s="1"/>
  <c r="T7" i="82"/>
  <c r="V7" i="83" l="1"/>
  <c r="U37" i="83"/>
  <c r="V37" i="83" s="1"/>
  <c r="K58" i="82"/>
  <c r="U47" i="82"/>
  <c r="V47" i="82" s="1"/>
  <c r="T43" i="82"/>
  <c r="U43" i="82" s="1"/>
  <c r="V43" i="82" s="1"/>
  <c r="J58" i="82"/>
  <c r="U37" i="82"/>
  <c r="V37" i="82" s="1"/>
  <c r="U12" i="82"/>
  <c r="V12" i="82" s="1"/>
  <c r="C58" i="82"/>
  <c r="U10" i="82"/>
  <c r="V10" i="82" s="1"/>
  <c r="H58" i="82"/>
  <c r="U7" i="82"/>
  <c r="K37" i="81"/>
  <c r="T37" i="81" s="1"/>
  <c r="C37" i="81"/>
  <c r="C47" i="81"/>
  <c r="J43" i="81"/>
  <c r="K43" i="81"/>
  <c r="C43" i="81"/>
  <c r="C41" i="81"/>
  <c r="C40" i="81"/>
  <c r="C34" i="81"/>
  <c r="H24" i="81"/>
  <c r="H23" i="81"/>
  <c r="T23" i="81" s="1"/>
  <c r="U23" i="81" s="1"/>
  <c r="V23" i="81" s="1"/>
  <c r="H21" i="81"/>
  <c r="H19" i="81"/>
  <c r="T19" i="81" s="1"/>
  <c r="U19" i="81" s="1"/>
  <c r="V19" i="81" s="1"/>
  <c r="H17" i="81"/>
  <c r="C12" i="81"/>
  <c r="C10" i="81"/>
  <c r="C9" i="81"/>
  <c r="U9" i="81" s="1"/>
  <c r="V9" i="81" s="1"/>
  <c r="C8" i="81"/>
  <c r="R58" i="81"/>
  <c r="Q58" i="81"/>
  <c r="P58" i="81"/>
  <c r="O58" i="81"/>
  <c r="N58" i="81"/>
  <c r="M58" i="81"/>
  <c r="I58" i="81"/>
  <c r="G58" i="81"/>
  <c r="F58" i="81"/>
  <c r="T54" i="81"/>
  <c r="U54" i="81" s="1"/>
  <c r="V54" i="81" s="1"/>
  <c r="T53" i="81"/>
  <c r="U53" i="81" s="1"/>
  <c r="V53" i="81" s="1"/>
  <c r="T52" i="81"/>
  <c r="U52" i="81" s="1"/>
  <c r="V52" i="81" s="1"/>
  <c r="T51" i="81"/>
  <c r="U51" i="81" s="1"/>
  <c r="V51" i="81" s="1"/>
  <c r="T50" i="81"/>
  <c r="U50" i="81" s="1"/>
  <c r="V50" i="81" s="1"/>
  <c r="U49" i="81"/>
  <c r="V49" i="81" s="1"/>
  <c r="T49" i="81"/>
  <c r="T48" i="81"/>
  <c r="U48" i="81" s="1"/>
  <c r="V48" i="81" s="1"/>
  <c r="T47" i="81"/>
  <c r="T46" i="81"/>
  <c r="U46" i="81" s="1"/>
  <c r="V46" i="81" s="1"/>
  <c r="T45" i="81"/>
  <c r="U45" i="81" s="1"/>
  <c r="V45" i="81" s="1"/>
  <c r="J58" i="81"/>
  <c r="T41" i="81"/>
  <c r="U41" i="81" s="1"/>
  <c r="V41" i="81" s="1"/>
  <c r="T40" i="81"/>
  <c r="U40" i="81" s="1"/>
  <c r="V40" i="81" s="1"/>
  <c r="T39" i="81"/>
  <c r="U39" i="81" s="1"/>
  <c r="V39" i="81" s="1"/>
  <c r="T38" i="81"/>
  <c r="U38" i="81" s="1"/>
  <c r="V38" i="81" s="1"/>
  <c r="T36" i="81"/>
  <c r="U36" i="81" s="1"/>
  <c r="V36" i="81" s="1"/>
  <c r="T35" i="81"/>
  <c r="U35" i="81" s="1"/>
  <c r="V35" i="81" s="1"/>
  <c r="T34" i="81"/>
  <c r="U34" i="81" s="1"/>
  <c r="V34" i="81" s="1"/>
  <c r="T33" i="81"/>
  <c r="U33" i="81" s="1"/>
  <c r="V33" i="81" s="1"/>
  <c r="T32" i="81"/>
  <c r="U32" i="81" s="1"/>
  <c r="V32" i="81" s="1"/>
  <c r="T31" i="81"/>
  <c r="U31" i="81" s="1"/>
  <c r="V31" i="81" s="1"/>
  <c r="T30" i="81"/>
  <c r="U30" i="81" s="1"/>
  <c r="V30" i="81" s="1"/>
  <c r="T29" i="81"/>
  <c r="U29" i="81" s="1"/>
  <c r="V29" i="81" s="1"/>
  <c r="T28" i="81"/>
  <c r="U28" i="81" s="1"/>
  <c r="V28" i="81" s="1"/>
  <c r="T27" i="81"/>
  <c r="U27" i="81" s="1"/>
  <c r="V27" i="81" s="1"/>
  <c r="T26" i="81"/>
  <c r="U26" i="81" s="1"/>
  <c r="V26" i="81" s="1"/>
  <c r="AY25" i="81"/>
  <c r="T25" i="81"/>
  <c r="U25" i="81" s="1"/>
  <c r="V25" i="81" s="1"/>
  <c r="T24" i="81"/>
  <c r="U24" i="81" s="1"/>
  <c r="V24" i="81" s="1"/>
  <c r="U22" i="81"/>
  <c r="V22" i="81" s="1"/>
  <c r="T22" i="81"/>
  <c r="T21" i="81"/>
  <c r="U21" i="81" s="1"/>
  <c r="V21" i="81" s="1"/>
  <c r="T20" i="81"/>
  <c r="U20" i="81" s="1"/>
  <c r="V20" i="81" s="1"/>
  <c r="A20" i="81"/>
  <c r="A21" i="81" s="1"/>
  <c r="A22" i="81" s="1"/>
  <c r="A23" i="81" s="1"/>
  <c r="A24" i="81" s="1"/>
  <c r="A25" i="81" s="1"/>
  <c r="A26" i="81" s="1"/>
  <c r="A27" i="81" s="1"/>
  <c r="A28" i="81" s="1"/>
  <c r="A29" i="81" s="1"/>
  <c r="A30" i="81" s="1"/>
  <c r="A31" i="81" s="1"/>
  <c r="A32" i="81" s="1"/>
  <c r="A33" i="81" s="1"/>
  <c r="A34" i="81" s="1"/>
  <c r="A35" i="81" s="1"/>
  <c r="A36" i="81" s="1"/>
  <c r="A37" i="81" s="1"/>
  <c r="A38" i="81" s="1"/>
  <c r="A39" i="81" s="1"/>
  <c r="A40" i="81" s="1"/>
  <c r="A41" i="81" s="1"/>
  <c r="A42" i="81" s="1"/>
  <c r="A43" i="81" s="1"/>
  <c r="A44" i="81" s="1"/>
  <c r="A45" i="81" s="1"/>
  <c r="A46" i="81" s="1"/>
  <c r="A47" i="81" s="1"/>
  <c r="A48" i="81" s="1"/>
  <c r="A49" i="81" s="1"/>
  <c r="A50" i="81" s="1"/>
  <c r="A51" i="81" s="1"/>
  <c r="A52" i="81" s="1"/>
  <c r="A53" i="81" s="1"/>
  <c r="A54" i="81" s="1"/>
  <c r="A55" i="81" s="1"/>
  <c r="A56" i="81" s="1"/>
  <c r="A57" i="81" s="1"/>
  <c r="T18" i="81"/>
  <c r="U18" i="81" s="1"/>
  <c r="V18" i="81" s="1"/>
  <c r="T16" i="81"/>
  <c r="U16" i="81" s="1"/>
  <c r="V16" i="81" s="1"/>
  <c r="T15" i="81"/>
  <c r="U15" i="81" s="1"/>
  <c r="V15" i="81" s="1"/>
  <c r="T14" i="81"/>
  <c r="U14" i="81" s="1"/>
  <c r="V14" i="81" s="1"/>
  <c r="A14" i="81"/>
  <c r="A15" i="81" s="1"/>
  <c r="A16" i="81" s="1"/>
  <c r="A17" i="81" s="1"/>
  <c r="A18" i="81" s="1"/>
  <c r="T13" i="81"/>
  <c r="U13" i="81" s="1"/>
  <c r="V13" i="81" s="1"/>
  <c r="T12" i="81"/>
  <c r="T11" i="81"/>
  <c r="U11" i="81" s="1"/>
  <c r="V11" i="81" s="1"/>
  <c r="T10" i="81"/>
  <c r="T9" i="81"/>
  <c r="A9" i="81"/>
  <c r="A10" i="81" s="1"/>
  <c r="A11" i="81" s="1"/>
  <c r="T8" i="81"/>
  <c r="A8" i="81"/>
  <c r="T7" i="81"/>
  <c r="U7" i="81" s="1"/>
  <c r="V7" i="81" s="1"/>
  <c r="V58" i="83" l="1"/>
  <c r="U58" i="83"/>
  <c r="T58" i="82"/>
  <c r="U58" i="82"/>
  <c r="V7" i="82"/>
  <c r="V58" i="82" s="1"/>
  <c r="K58" i="81"/>
  <c r="U47" i="81"/>
  <c r="V47" i="81" s="1"/>
  <c r="C58" i="81"/>
  <c r="U37" i="81"/>
  <c r="V37" i="81" s="1"/>
  <c r="H58" i="81"/>
  <c r="U12" i="81"/>
  <c r="V12" i="81" s="1"/>
  <c r="U10" i="81"/>
  <c r="V10" i="81" s="1"/>
  <c r="T17" i="81"/>
  <c r="U17" i="81" s="1"/>
  <c r="V17" i="81" s="1"/>
  <c r="T43" i="81"/>
  <c r="U43" i="81" s="1"/>
  <c r="V43" i="81" s="1"/>
  <c r="U8" i="81"/>
  <c r="C8" i="80"/>
  <c r="K37" i="80"/>
  <c r="C37" i="80"/>
  <c r="C47" i="80"/>
  <c r="J43" i="80"/>
  <c r="K43" i="80"/>
  <c r="C43" i="80"/>
  <c r="C41" i="80"/>
  <c r="C40" i="80"/>
  <c r="C34" i="80"/>
  <c r="H24" i="80"/>
  <c r="H23" i="80"/>
  <c r="H21" i="80"/>
  <c r="H19" i="80"/>
  <c r="H17" i="80"/>
  <c r="C12" i="80"/>
  <c r="C10" i="80"/>
  <c r="C9" i="80"/>
  <c r="T58" i="81" l="1"/>
  <c r="U58" i="81"/>
  <c r="V8" i="81"/>
  <c r="V58" i="81" s="1"/>
  <c r="C8" i="79"/>
  <c r="K37" i="79"/>
  <c r="C47" i="79"/>
  <c r="J43" i="79"/>
  <c r="K43" i="79"/>
  <c r="C43" i="79"/>
  <c r="C41" i="79"/>
  <c r="C40" i="79"/>
  <c r="C37" i="79"/>
  <c r="C34" i="79"/>
  <c r="H24" i="79"/>
  <c r="H23" i="79"/>
  <c r="H21" i="79"/>
  <c r="H19" i="79"/>
  <c r="H17" i="79"/>
  <c r="H13" i="79"/>
  <c r="C12" i="79"/>
  <c r="C10" i="79" l="1"/>
  <c r="C9" i="79"/>
  <c r="K37" i="78" l="1"/>
  <c r="C47" i="78"/>
  <c r="C43" i="78"/>
  <c r="J43" i="78"/>
  <c r="K43" i="78"/>
  <c r="C41" i="78"/>
  <c r="C40" i="78"/>
  <c r="C37" i="78"/>
  <c r="C34" i="78"/>
  <c r="H24" i="78"/>
  <c r="H23" i="78"/>
  <c r="H21" i="78"/>
  <c r="H19" i="78"/>
  <c r="H17" i="78"/>
  <c r="C12" i="78"/>
  <c r="C10" i="78"/>
  <c r="C9" i="78"/>
  <c r="C8" i="78"/>
  <c r="C47" i="77" l="1"/>
  <c r="K43" i="77"/>
  <c r="J43" i="77"/>
  <c r="C43" i="77"/>
  <c r="C41" i="77"/>
  <c r="C40" i="77"/>
  <c r="K37" i="77"/>
  <c r="C37" i="77"/>
  <c r="C34" i="77"/>
  <c r="H24" i="77"/>
  <c r="H23" i="77"/>
  <c r="H21" i="77"/>
  <c r="H19" i="77"/>
  <c r="H17" i="77"/>
  <c r="C12" i="77"/>
  <c r="C10" i="77"/>
  <c r="C9" i="77"/>
  <c r="C8" i="77"/>
  <c r="C53" i="75" l="1"/>
  <c r="C47" i="75"/>
  <c r="H45" i="75"/>
  <c r="K43" i="75"/>
  <c r="J43" i="75"/>
  <c r="C43" i="75"/>
  <c r="H41" i="75"/>
  <c r="H40" i="75"/>
  <c r="C40" i="75"/>
  <c r="H38" i="75"/>
  <c r="K37" i="75"/>
  <c r="C37" i="75"/>
  <c r="C34" i="75"/>
  <c r="H26" i="75"/>
  <c r="H24" i="75"/>
  <c r="H23" i="75"/>
  <c r="H21" i="75"/>
  <c r="H19" i="75"/>
  <c r="H17" i="75"/>
  <c r="C12" i="75"/>
  <c r="C10" i="75"/>
  <c r="C9" i="75"/>
  <c r="C8" i="75"/>
  <c r="C47" i="74" l="1"/>
  <c r="K43" i="74"/>
  <c r="J43" i="74"/>
  <c r="C43" i="74"/>
  <c r="C40" i="74"/>
  <c r="C37" i="74"/>
  <c r="K37" i="74"/>
  <c r="C34" i="74"/>
  <c r="H23" i="74"/>
  <c r="H24" i="74"/>
  <c r="H21" i="74"/>
  <c r="H19" i="74"/>
  <c r="H17" i="74"/>
  <c r="C12" i="74"/>
  <c r="C10" i="74"/>
  <c r="C9" i="74"/>
  <c r="C8" i="74"/>
  <c r="R58" i="80"/>
  <c r="Q58" i="80"/>
  <c r="P58" i="80"/>
  <c r="O58" i="80"/>
  <c r="N58" i="80"/>
  <c r="M58" i="80"/>
  <c r="K58" i="80"/>
  <c r="J58" i="80"/>
  <c r="I58" i="80"/>
  <c r="H58" i="80"/>
  <c r="G58" i="80"/>
  <c r="F58" i="80"/>
  <c r="C58" i="80"/>
  <c r="T54" i="80"/>
  <c r="U54" i="80" s="1"/>
  <c r="V54" i="80" s="1"/>
  <c r="T53" i="80"/>
  <c r="U53" i="80" s="1"/>
  <c r="V53" i="80" s="1"/>
  <c r="T52" i="80"/>
  <c r="U52" i="80" s="1"/>
  <c r="V52" i="80" s="1"/>
  <c r="T51" i="80"/>
  <c r="U51" i="80" s="1"/>
  <c r="V51" i="80" s="1"/>
  <c r="T50" i="80"/>
  <c r="U50" i="80" s="1"/>
  <c r="V50" i="80" s="1"/>
  <c r="T49" i="80"/>
  <c r="U49" i="80" s="1"/>
  <c r="V49" i="80" s="1"/>
  <c r="T48" i="80"/>
  <c r="U48" i="80" s="1"/>
  <c r="V48" i="80" s="1"/>
  <c r="T47" i="80"/>
  <c r="U47" i="80" s="1"/>
  <c r="V47" i="80" s="1"/>
  <c r="T46" i="80"/>
  <c r="U46" i="80" s="1"/>
  <c r="V46" i="80" s="1"/>
  <c r="T45" i="80"/>
  <c r="U45" i="80" s="1"/>
  <c r="V45" i="80" s="1"/>
  <c r="T43" i="80"/>
  <c r="U43" i="80" s="1"/>
  <c r="V43" i="80" s="1"/>
  <c r="U41" i="80"/>
  <c r="V41" i="80" s="1"/>
  <c r="T41" i="80"/>
  <c r="T40" i="80"/>
  <c r="U40" i="80" s="1"/>
  <c r="V40" i="80" s="1"/>
  <c r="U39" i="80"/>
  <c r="V39" i="80" s="1"/>
  <c r="T39" i="80"/>
  <c r="T38" i="80"/>
  <c r="U38" i="80" s="1"/>
  <c r="V38" i="80" s="1"/>
  <c r="T37" i="80"/>
  <c r="U37" i="80" s="1"/>
  <c r="V37" i="80" s="1"/>
  <c r="U36" i="80"/>
  <c r="V36" i="80" s="1"/>
  <c r="T36" i="80"/>
  <c r="U35" i="80"/>
  <c r="V35" i="80" s="1"/>
  <c r="T35" i="80"/>
  <c r="T34" i="80"/>
  <c r="U34" i="80" s="1"/>
  <c r="V34" i="80" s="1"/>
  <c r="U33" i="80"/>
  <c r="V33" i="80" s="1"/>
  <c r="T33" i="80"/>
  <c r="U32" i="80"/>
  <c r="V32" i="80" s="1"/>
  <c r="T32" i="80"/>
  <c r="U31" i="80"/>
  <c r="V31" i="80" s="1"/>
  <c r="T31" i="80"/>
  <c r="T30" i="80"/>
  <c r="U30" i="80" s="1"/>
  <c r="V30" i="80" s="1"/>
  <c r="T29" i="80"/>
  <c r="U29" i="80" s="1"/>
  <c r="V29" i="80" s="1"/>
  <c r="U28" i="80"/>
  <c r="V28" i="80" s="1"/>
  <c r="T28" i="80"/>
  <c r="U27" i="80"/>
  <c r="V27" i="80" s="1"/>
  <c r="T27" i="80"/>
  <c r="T26" i="80"/>
  <c r="U26" i="80" s="1"/>
  <c r="V26" i="80" s="1"/>
  <c r="AY25" i="80"/>
  <c r="T25" i="80"/>
  <c r="U25" i="80" s="1"/>
  <c r="V25" i="80" s="1"/>
  <c r="T24" i="80"/>
  <c r="U24" i="80" s="1"/>
  <c r="V24" i="80" s="1"/>
  <c r="T23" i="80"/>
  <c r="U23" i="80" s="1"/>
  <c r="V23" i="80" s="1"/>
  <c r="T22" i="80"/>
  <c r="U22" i="80" s="1"/>
  <c r="V22" i="80" s="1"/>
  <c r="T21" i="80"/>
  <c r="U21" i="80" s="1"/>
  <c r="V21" i="80" s="1"/>
  <c r="T20" i="80"/>
  <c r="U20" i="80" s="1"/>
  <c r="V20" i="80" s="1"/>
  <c r="A20" i="80"/>
  <c r="A21" i="80" s="1"/>
  <c r="A22" i="80" s="1"/>
  <c r="A23" i="80" s="1"/>
  <c r="A24" i="80" s="1"/>
  <c r="A25" i="80" s="1"/>
  <c r="A26" i="80" s="1"/>
  <c r="A27" i="80" s="1"/>
  <c r="A28" i="80" s="1"/>
  <c r="A29" i="80" s="1"/>
  <c r="A30" i="80" s="1"/>
  <c r="A31" i="80" s="1"/>
  <c r="A32" i="80" s="1"/>
  <c r="A33" i="80" s="1"/>
  <c r="A34" i="80" s="1"/>
  <c r="A35" i="80" s="1"/>
  <c r="A36" i="80" s="1"/>
  <c r="A37" i="80" s="1"/>
  <c r="A38" i="80" s="1"/>
  <c r="A39" i="80" s="1"/>
  <c r="A40" i="80" s="1"/>
  <c r="A41" i="80" s="1"/>
  <c r="A42" i="80" s="1"/>
  <c r="A43" i="80" s="1"/>
  <c r="A44" i="80" s="1"/>
  <c r="A45" i="80" s="1"/>
  <c r="A46" i="80" s="1"/>
  <c r="A47" i="80" s="1"/>
  <c r="A48" i="80" s="1"/>
  <c r="A49" i="80" s="1"/>
  <c r="A50" i="80" s="1"/>
  <c r="A51" i="80" s="1"/>
  <c r="A52" i="80" s="1"/>
  <c r="A53" i="80" s="1"/>
  <c r="A54" i="80" s="1"/>
  <c r="A55" i="80" s="1"/>
  <c r="A56" i="80" s="1"/>
  <c r="A57" i="80" s="1"/>
  <c r="T19" i="80"/>
  <c r="U19" i="80" s="1"/>
  <c r="V19" i="80" s="1"/>
  <c r="T18" i="80"/>
  <c r="U18" i="80" s="1"/>
  <c r="V18" i="80" s="1"/>
  <c r="U17" i="80"/>
  <c r="V17" i="80" s="1"/>
  <c r="T17" i="80"/>
  <c r="U16" i="80"/>
  <c r="V16" i="80" s="1"/>
  <c r="T16" i="80"/>
  <c r="U15" i="80"/>
  <c r="V15" i="80" s="1"/>
  <c r="T15" i="80"/>
  <c r="T14" i="80"/>
  <c r="U14" i="80" s="1"/>
  <c r="V14" i="80" s="1"/>
  <c r="A14" i="80"/>
  <c r="A15" i="80" s="1"/>
  <c r="A16" i="80" s="1"/>
  <c r="A17" i="80" s="1"/>
  <c r="A18" i="80" s="1"/>
  <c r="T13" i="80"/>
  <c r="U13" i="80" s="1"/>
  <c r="V13" i="80" s="1"/>
  <c r="T12" i="80"/>
  <c r="U12" i="80" s="1"/>
  <c r="V12" i="80" s="1"/>
  <c r="T11" i="80"/>
  <c r="U11" i="80" s="1"/>
  <c r="V11" i="80" s="1"/>
  <c r="T10" i="80"/>
  <c r="U10" i="80" s="1"/>
  <c r="V10" i="80" s="1"/>
  <c r="T9" i="80"/>
  <c r="U9" i="80" s="1"/>
  <c r="V9" i="80" s="1"/>
  <c r="A9" i="80"/>
  <c r="A10" i="80" s="1"/>
  <c r="A11" i="80" s="1"/>
  <c r="T8" i="80"/>
  <c r="U8" i="80" s="1"/>
  <c r="V8" i="80" s="1"/>
  <c r="A8" i="80"/>
  <c r="T7" i="80"/>
  <c r="U7" i="80" s="1"/>
  <c r="R58" i="79"/>
  <c r="Q58" i="79"/>
  <c r="P58" i="79"/>
  <c r="O58" i="79"/>
  <c r="N58" i="79"/>
  <c r="M58" i="79"/>
  <c r="K58" i="79"/>
  <c r="J58" i="79"/>
  <c r="I58" i="79"/>
  <c r="H58" i="79"/>
  <c r="G58" i="79"/>
  <c r="F58" i="79"/>
  <c r="C58" i="79"/>
  <c r="T54" i="79"/>
  <c r="U54" i="79" s="1"/>
  <c r="V54" i="79" s="1"/>
  <c r="T53" i="79"/>
  <c r="U53" i="79" s="1"/>
  <c r="V53" i="79" s="1"/>
  <c r="T52" i="79"/>
  <c r="U52" i="79" s="1"/>
  <c r="V52" i="79" s="1"/>
  <c r="U51" i="79"/>
  <c r="V51" i="79" s="1"/>
  <c r="T51" i="79"/>
  <c r="T50" i="79"/>
  <c r="U50" i="79" s="1"/>
  <c r="V50" i="79" s="1"/>
  <c r="T49" i="79"/>
  <c r="U49" i="79" s="1"/>
  <c r="V49" i="79" s="1"/>
  <c r="T48" i="79"/>
  <c r="U48" i="79" s="1"/>
  <c r="V48" i="79" s="1"/>
  <c r="T47" i="79"/>
  <c r="U47" i="79" s="1"/>
  <c r="V47" i="79" s="1"/>
  <c r="T46" i="79"/>
  <c r="U46" i="79" s="1"/>
  <c r="V46" i="79" s="1"/>
  <c r="T45" i="79"/>
  <c r="U45" i="79" s="1"/>
  <c r="V45" i="79" s="1"/>
  <c r="T43" i="79"/>
  <c r="U43" i="79" s="1"/>
  <c r="V43" i="79" s="1"/>
  <c r="T41" i="79"/>
  <c r="U41" i="79" s="1"/>
  <c r="V41" i="79" s="1"/>
  <c r="T40" i="79"/>
  <c r="U40" i="79" s="1"/>
  <c r="V40" i="79" s="1"/>
  <c r="T39" i="79"/>
  <c r="U39" i="79" s="1"/>
  <c r="V39" i="79" s="1"/>
  <c r="T38" i="79"/>
  <c r="U38" i="79" s="1"/>
  <c r="V38" i="79" s="1"/>
  <c r="T37" i="79"/>
  <c r="U37" i="79" s="1"/>
  <c r="V37" i="79" s="1"/>
  <c r="V36" i="79"/>
  <c r="U36" i="79"/>
  <c r="T36" i="79"/>
  <c r="T35" i="79"/>
  <c r="U35" i="79" s="1"/>
  <c r="V35" i="79" s="1"/>
  <c r="T34" i="79"/>
  <c r="U34" i="79" s="1"/>
  <c r="V34" i="79" s="1"/>
  <c r="T33" i="79"/>
  <c r="U33" i="79" s="1"/>
  <c r="V33" i="79" s="1"/>
  <c r="V32" i="79"/>
  <c r="U32" i="79"/>
  <c r="T32" i="79"/>
  <c r="T31" i="79"/>
  <c r="U31" i="79" s="1"/>
  <c r="V31" i="79" s="1"/>
  <c r="T30" i="79"/>
  <c r="U30" i="79" s="1"/>
  <c r="V30" i="79" s="1"/>
  <c r="T29" i="79"/>
  <c r="U29" i="79" s="1"/>
  <c r="V29" i="79" s="1"/>
  <c r="V28" i="79"/>
  <c r="U28" i="79"/>
  <c r="T28" i="79"/>
  <c r="T27" i="79"/>
  <c r="U27" i="79" s="1"/>
  <c r="V27" i="79" s="1"/>
  <c r="T26" i="79"/>
  <c r="U26" i="79" s="1"/>
  <c r="V26" i="79" s="1"/>
  <c r="AY25" i="79"/>
  <c r="T25" i="79"/>
  <c r="U25" i="79" s="1"/>
  <c r="V25" i="79" s="1"/>
  <c r="T24" i="79"/>
  <c r="U24" i="79" s="1"/>
  <c r="V24" i="79" s="1"/>
  <c r="T23" i="79"/>
  <c r="U23" i="79" s="1"/>
  <c r="V23" i="79" s="1"/>
  <c r="T22" i="79"/>
  <c r="U22" i="79" s="1"/>
  <c r="V22" i="79" s="1"/>
  <c r="T21" i="79"/>
  <c r="U21" i="79" s="1"/>
  <c r="V21" i="79" s="1"/>
  <c r="T20" i="79"/>
  <c r="U20" i="79" s="1"/>
  <c r="V20" i="79" s="1"/>
  <c r="A20" i="79"/>
  <c r="A21" i="79" s="1"/>
  <c r="A22" i="79" s="1"/>
  <c r="A23" i="79" s="1"/>
  <c r="A24" i="79" s="1"/>
  <c r="A25" i="79" s="1"/>
  <c r="A26" i="79" s="1"/>
  <c r="A27" i="79" s="1"/>
  <c r="A28" i="79" s="1"/>
  <c r="A29" i="79" s="1"/>
  <c r="A30" i="79" s="1"/>
  <c r="A31" i="79" s="1"/>
  <c r="A32" i="79" s="1"/>
  <c r="A33" i="79" s="1"/>
  <c r="A34" i="79" s="1"/>
  <c r="A35" i="79" s="1"/>
  <c r="A36" i="79" s="1"/>
  <c r="A37" i="79" s="1"/>
  <c r="A38" i="79" s="1"/>
  <c r="A39" i="79" s="1"/>
  <c r="A40" i="79" s="1"/>
  <c r="A41" i="79" s="1"/>
  <c r="A42" i="79" s="1"/>
  <c r="A43" i="79" s="1"/>
  <c r="A44" i="79" s="1"/>
  <c r="A45" i="79" s="1"/>
  <c r="A46" i="79" s="1"/>
  <c r="A47" i="79" s="1"/>
  <c r="A48" i="79" s="1"/>
  <c r="A49" i="79" s="1"/>
  <c r="A50" i="79" s="1"/>
  <c r="A51" i="79" s="1"/>
  <c r="A52" i="79" s="1"/>
  <c r="A53" i="79" s="1"/>
  <c r="A54" i="79" s="1"/>
  <c r="A55" i="79" s="1"/>
  <c r="A56" i="79" s="1"/>
  <c r="A57" i="79" s="1"/>
  <c r="T19" i="79"/>
  <c r="U19" i="79" s="1"/>
  <c r="V19" i="79" s="1"/>
  <c r="T18" i="79"/>
  <c r="U18" i="79" s="1"/>
  <c r="V18" i="79" s="1"/>
  <c r="T17" i="79"/>
  <c r="U17" i="79" s="1"/>
  <c r="V17" i="79" s="1"/>
  <c r="V16" i="79"/>
  <c r="U16" i="79"/>
  <c r="T16" i="79"/>
  <c r="T15" i="79"/>
  <c r="U15" i="79" s="1"/>
  <c r="V15" i="79" s="1"/>
  <c r="T14" i="79"/>
  <c r="U14" i="79" s="1"/>
  <c r="V14" i="79" s="1"/>
  <c r="A14" i="79"/>
  <c r="A15" i="79" s="1"/>
  <c r="A16" i="79" s="1"/>
  <c r="A17" i="79" s="1"/>
  <c r="A18" i="79" s="1"/>
  <c r="T13" i="79"/>
  <c r="U13" i="79" s="1"/>
  <c r="V13" i="79" s="1"/>
  <c r="T12" i="79"/>
  <c r="U12" i="79" s="1"/>
  <c r="V12" i="79" s="1"/>
  <c r="T11" i="79"/>
  <c r="U11" i="79" s="1"/>
  <c r="V11" i="79" s="1"/>
  <c r="T10" i="79"/>
  <c r="U10" i="79" s="1"/>
  <c r="V10" i="79" s="1"/>
  <c r="U9" i="79"/>
  <c r="V9" i="79" s="1"/>
  <c r="T9" i="79"/>
  <c r="T8" i="79"/>
  <c r="U8" i="79" s="1"/>
  <c r="V8" i="79" s="1"/>
  <c r="A8" i="79"/>
  <c r="A9" i="79" s="1"/>
  <c r="A10" i="79" s="1"/>
  <c r="A11" i="79" s="1"/>
  <c r="T7" i="79"/>
  <c r="R58" i="78"/>
  <c r="Q58" i="78"/>
  <c r="P58" i="78"/>
  <c r="O58" i="78"/>
  <c r="N58" i="78"/>
  <c r="M58" i="78"/>
  <c r="K58" i="78"/>
  <c r="J58" i="78"/>
  <c r="I58" i="78"/>
  <c r="H58" i="78"/>
  <c r="G58" i="78"/>
  <c r="F58" i="78"/>
  <c r="C58" i="78"/>
  <c r="U54" i="78"/>
  <c r="V54" i="78" s="1"/>
  <c r="T54" i="78"/>
  <c r="U53" i="78"/>
  <c r="V53" i="78" s="1"/>
  <c r="T53" i="78"/>
  <c r="T52" i="78"/>
  <c r="U52" i="78" s="1"/>
  <c r="V52" i="78" s="1"/>
  <c r="U51" i="78"/>
  <c r="V51" i="78" s="1"/>
  <c r="T51" i="78"/>
  <c r="U50" i="78"/>
  <c r="V50" i="78" s="1"/>
  <c r="T50" i="78"/>
  <c r="T49" i="78"/>
  <c r="U49" i="78" s="1"/>
  <c r="V49" i="78" s="1"/>
  <c r="T48" i="78"/>
  <c r="U48" i="78" s="1"/>
  <c r="V48" i="78" s="1"/>
  <c r="T47" i="78"/>
  <c r="U47" i="78" s="1"/>
  <c r="V47" i="78" s="1"/>
  <c r="U46" i="78"/>
  <c r="V46" i="78" s="1"/>
  <c r="T46" i="78"/>
  <c r="T45" i="78"/>
  <c r="U45" i="78" s="1"/>
  <c r="V45" i="78" s="1"/>
  <c r="T43" i="78"/>
  <c r="U43" i="78" s="1"/>
  <c r="V43" i="78" s="1"/>
  <c r="T41" i="78"/>
  <c r="U41" i="78" s="1"/>
  <c r="V41" i="78" s="1"/>
  <c r="T40" i="78"/>
  <c r="U40" i="78" s="1"/>
  <c r="V40" i="78" s="1"/>
  <c r="U39" i="78"/>
  <c r="V39" i="78" s="1"/>
  <c r="T39" i="78"/>
  <c r="T38" i="78"/>
  <c r="U38" i="78" s="1"/>
  <c r="V38" i="78" s="1"/>
  <c r="T37" i="78"/>
  <c r="U37" i="78" s="1"/>
  <c r="V37" i="78" s="1"/>
  <c r="T36" i="78"/>
  <c r="U36" i="78" s="1"/>
  <c r="V36" i="78" s="1"/>
  <c r="U35" i="78"/>
  <c r="V35" i="78" s="1"/>
  <c r="T35" i="78"/>
  <c r="T34" i="78"/>
  <c r="U34" i="78" s="1"/>
  <c r="V34" i="78" s="1"/>
  <c r="T33" i="78"/>
  <c r="U33" i="78" s="1"/>
  <c r="V33" i="78" s="1"/>
  <c r="T32" i="78"/>
  <c r="U32" i="78" s="1"/>
  <c r="V32" i="78" s="1"/>
  <c r="U31" i="78"/>
  <c r="V31" i="78" s="1"/>
  <c r="T31" i="78"/>
  <c r="T30" i="78"/>
  <c r="U30" i="78" s="1"/>
  <c r="V30" i="78" s="1"/>
  <c r="T29" i="78"/>
  <c r="U29" i="78" s="1"/>
  <c r="V29" i="78" s="1"/>
  <c r="T28" i="78"/>
  <c r="U28" i="78" s="1"/>
  <c r="V28" i="78" s="1"/>
  <c r="U27" i="78"/>
  <c r="V27" i="78" s="1"/>
  <c r="T27" i="78"/>
  <c r="T26" i="78"/>
  <c r="U26" i="78" s="1"/>
  <c r="V26" i="78" s="1"/>
  <c r="AY25" i="78"/>
  <c r="T25" i="78"/>
  <c r="U25" i="78" s="1"/>
  <c r="V25" i="78" s="1"/>
  <c r="T24" i="78"/>
  <c r="U24" i="78" s="1"/>
  <c r="V24" i="78" s="1"/>
  <c r="T23" i="78"/>
  <c r="U23" i="78" s="1"/>
  <c r="V23" i="78" s="1"/>
  <c r="T22" i="78"/>
  <c r="U22" i="78" s="1"/>
  <c r="V22" i="78" s="1"/>
  <c r="T21" i="78"/>
  <c r="U21" i="78" s="1"/>
  <c r="V21" i="78" s="1"/>
  <c r="T20" i="78"/>
  <c r="U20" i="78" s="1"/>
  <c r="V20" i="78" s="1"/>
  <c r="A20" i="78"/>
  <c r="A21" i="78" s="1"/>
  <c r="A22" i="78" s="1"/>
  <c r="A23" i="78" s="1"/>
  <c r="A24" i="78" s="1"/>
  <c r="A25" i="78" s="1"/>
  <c r="A26" i="78" s="1"/>
  <c r="A27" i="78" s="1"/>
  <c r="A28" i="78" s="1"/>
  <c r="A29" i="78" s="1"/>
  <c r="A30" i="78" s="1"/>
  <c r="A31" i="78" s="1"/>
  <c r="A32" i="78" s="1"/>
  <c r="A33" i="78" s="1"/>
  <c r="A34" i="78" s="1"/>
  <c r="A35" i="78" s="1"/>
  <c r="A36" i="78" s="1"/>
  <c r="A37" i="78" s="1"/>
  <c r="A38" i="78" s="1"/>
  <c r="A39" i="78" s="1"/>
  <c r="A40" i="78" s="1"/>
  <c r="A41" i="78" s="1"/>
  <c r="A42" i="78" s="1"/>
  <c r="A43" i="78" s="1"/>
  <c r="A44" i="78" s="1"/>
  <c r="A45" i="78" s="1"/>
  <c r="A46" i="78" s="1"/>
  <c r="A47" i="78" s="1"/>
  <c r="A48" i="78" s="1"/>
  <c r="A49" i="78" s="1"/>
  <c r="A50" i="78" s="1"/>
  <c r="A51" i="78" s="1"/>
  <c r="A52" i="78" s="1"/>
  <c r="A53" i="78" s="1"/>
  <c r="A54" i="78" s="1"/>
  <c r="A55" i="78" s="1"/>
  <c r="A56" i="78" s="1"/>
  <c r="A57" i="78" s="1"/>
  <c r="T19" i="78"/>
  <c r="U19" i="78" s="1"/>
  <c r="V19" i="78" s="1"/>
  <c r="T18" i="78"/>
  <c r="U18" i="78" s="1"/>
  <c r="V18" i="78" s="1"/>
  <c r="T17" i="78"/>
  <c r="U17" i="78" s="1"/>
  <c r="V17" i="78" s="1"/>
  <c r="T16" i="78"/>
  <c r="U16" i="78" s="1"/>
  <c r="V16" i="78" s="1"/>
  <c r="U15" i="78"/>
  <c r="V15" i="78" s="1"/>
  <c r="T15" i="78"/>
  <c r="T14" i="78"/>
  <c r="U14" i="78" s="1"/>
  <c r="V14" i="78" s="1"/>
  <c r="A14" i="78"/>
  <c r="A15" i="78" s="1"/>
  <c r="A16" i="78" s="1"/>
  <c r="A17" i="78" s="1"/>
  <c r="A18" i="78" s="1"/>
  <c r="T13" i="78"/>
  <c r="U13" i="78" s="1"/>
  <c r="V13" i="78" s="1"/>
  <c r="T12" i="78"/>
  <c r="U12" i="78" s="1"/>
  <c r="V12" i="78" s="1"/>
  <c r="T11" i="78"/>
  <c r="U11" i="78" s="1"/>
  <c r="V11" i="78" s="1"/>
  <c r="T10" i="78"/>
  <c r="U10" i="78" s="1"/>
  <c r="V10" i="78" s="1"/>
  <c r="A10" i="78"/>
  <c r="A11" i="78" s="1"/>
  <c r="U9" i="78"/>
  <c r="V9" i="78" s="1"/>
  <c r="T9" i="78"/>
  <c r="A9" i="78"/>
  <c r="T8" i="78"/>
  <c r="U8" i="78" s="1"/>
  <c r="V8" i="78" s="1"/>
  <c r="A8" i="78"/>
  <c r="T7" i="78"/>
  <c r="R58" i="77"/>
  <c r="Q58" i="77"/>
  <c r="P58" i="77"/>
  <c r="O58" i="77"/>
  <c r="N58" i="77"/>
  <c r="M58" i="77"/>
  <c r="K58" i="77"/>
  <c r="J58" i="77"/>
  <c r="I58" i="77"/>
  <c r="H58" i="77"/>
  <c r="G58" i="77"/>
  <c r="F58" i="77"/>
  <c r="C58" i="77"/>
  <c r="T54" i="77"/>
  <c r="U54" i="77" s="1"/>
  <c r="V54" i="77" s="1"/>
  <c r="T53" i="77"/>
  <c r="U53" i="77" s="1"/>
  <c r="V53" i="77" s="1"/>
  <c r="T52" i="77"/>
  <c r="U52" i="77" s="1"/>
  <c r="V52" i="77" s="1"/>
  <c r="T51" i="77"/>
  <c r="U51" i="77" s="1"/>
  <c r="V51" i="77" s="1"/>
  <c r="T50" i="77"/>
  <c r="U50" i="77" s="1"/>
  <c r="V50" i="77" s="1"/>
  <c r="T49" i="77"/>
  <c r="U49" i="77" s="1"/>
  <c r="V49" i="77" s="1"/>
  <c r="T48" i="77"/>
  <c r="U48" i="77" s="1"/>
  <c r="V48" i="77" s="1"/>
  <c r="T47" i="77"/>
  <c r="U47" i="77" s="1"/>
  <c r="V47" i="77" s="1"/>
  <c r="T46" i="77"/>
  <c r="U46" i="77" s="1"/>
  <c r="V46" i="77" s="1"/>
  <c r="T45" i="77"/>
  <c r="U45" i="77" s="1"/>
  <c r="V45" i="77" s="1"/>
  <c r="T43" i="77"/>
  <c r="U43" i="77" s="1"/>
  <c r="V43" i="77" s="1"/>
  <c r="T41" i="77"/>
  <c r="U41" i="77" s="1"/>
  <c r="V41" i="77" s="1"/>
  <c r="T40" i="77"/>
  <c r="U40" i="77" s="1"/>
  <c r="V40" i="77" s="1"/>
  <c r="T39" i="77"/>
  <c r="U39" i="77" s="1"/>
  <c r="V39" i="77" s="1"/>
  <c r="T38" i="77"/>
  <c r="U38" i="77" s="1"/>
  <c r="V38" i="77" s="1"/>
  <c r="T37" i="77"/>
  <c r="U37" i="77" s="1"/>
  <c r="V37" i="77" s="1"/>
  <c r="T36" i="77"/>
  <c r="U36" i="77" s="1"/>
  <c r="V36" i="77" s="1"/>
  <c r="T35" i="77"/>
  <c r="U35" i="77" s="1"/>
  <c r="V35" i="77" s="1"/>
  <c r="T34" i="77"/>
  <c r="U34" i="77" s="1"/>
  <c r="V34" i="77" s="1"/>
  <c r="T33" i="77"/>
  <c r="U33" i="77" s="1"/>
  <c r="V33" i="77" s="1"/>
  <c r="T32" i="77"/>
  <c r="U32" i="77" s="1"/>
  <c r="V32" i="77" s="1"/>
  <c r="T31" i="77"/>
  <c r="U31" i="77" s="1"/>
  <c r="V31" i="77" s="1"/>
  <c r="T30" i="77"/>
  <c r="U30" i="77" s="1"/>
  <c r="V30" i="77" s="1"/>
  <c r="T29" i="77"/>
  <c r="U29" i="77" s="1"/>
  <c r="V29" i="77" s="1"/>
  <c r="T28" i="77"/>
  <c r="U28" i="77" s="1"/>
  <c r="V28" i="77" s="1"/>
  <c r="T27" i="77"/>
  <c r="U27" i="77" s="1"/>
  <c r="V27" i="77" s="1"/>
  <c r="T26" i="77"/>
  <c r="U26" i="77" s="1"/>
  <c r="V26" i="77" s="1"/>
  <c r="AY25" i="77"/>
  <c r="T25" i="77"/>
  <c r="U25" i="77" s="1"/>
  <c r="V25" i="77" s="1"/>
  <c r="T24" i="77"/>
  <c r="U24" i="77" s="1"/>
  <c r="V24" i="77" s="1"/>
  <c r="T23" i="77"/>
  <c r="U23" i="77" s="1"/>
  <c r="V23" i="77" s="1"/>
  <c r="T22" i="77"/>
  <c r="U22" i="77" s="1"/>
  <c r="V22" i="77" s="1"/>
  <c r="A22" i="77"/>
  <c r="A23" i="77" s="1"/>
  <c r="A24" i="77" s="1"/>
  <c r="A25" i="77" s="1"/>
  <c r="A26" i="77" s="1"/>
  <c r="A27" i="77" s="1"/>
  <c r="A28" i="77" s="1"/>
  <c r="A29" i="77" s="1"/>
  <c r="A30" i="77" s="1"/>
  <c r="A31" i="77" s="1"/>
  <c r="A32" i="77" s="1"/>
  <c r="A33" i="77" s="1"/>
  <c r="A34" i="77" s="1"/>
  <c r="A35" i="77" s="1"/>
  <c r="A36" i="77" s="1"/>
  <c r="A37" i="77" s="1"/>
  <c r="A38" i="77" s="1"/>
  <c r="A39" i="77" s="1"/>
  <c r="A40" i="77" s="1"/>
  <c r="A41" i="77" s="1"/>
  <c r="A42" i="77" s="1"/>
  <c r="A43" i="77" s="1"/>
  <c r="A44" i="77" s="1"/>
  <c r="A45" i="77" s="1"/>
  <c r="A46" i="77" s="1"/>
  <c r="A47" i="77" s="1"/>
  <c r="A48" i="77" s="1"/>
  <c r="A49" i="77" s="1"/>
  <c r="A50" i="77" s="1"/>
  <c r="A51" i="77" s="1"/>
  <c r="A52" i="77" s="1"/>
  <c r="A53" i="77" s="1"/>
  <c r="A54" i="77" s="1"/>
  <c r="A55" i="77" s="1"/>
  <c r="A56" i="77" s="1"/>
  <c r="A57" i="77" s="1"/>
  <c r="T21" i="77"/>
  <c r="U21" i="77" s="1"/>
  <c r="V21" i="77" s="1"/>
  <c r="A21" i="77"/>
  <c r="U20" i="77"/>
  <c r="V20" i="77" s="1"/>
  <c r="T20" i="77"/>
  <c r="A20" i="77"/>
  <c r="T19" i="77"/>
  <c r="U19" i="77" s="1"/>
  <c r="V19" i="77" s="1"/>
  <c r="T18" i="77"/>
  <c r="U18" i="77" s="1"/>
  <c r="V18" i="77" s="1"/>
  <c r="T17" i="77"/>
  <c r="U17" i="77" s="1"/>
  <c r="V17" i="77" s="1"/>
  <c r="T16" i="77"/>
  <c r="U16" i="77" s="1"/>
  <c r="V16" i="77" s="1"/>
  <c r="T15" i="77"/>
  <c r="U15" i="77" s="1"/>
  <c r="V15" i="77" s="1"/>
  <c r="T14" i="77"/>
  <c r="U14" i="77" s="1"/>
  <c r="V14" i="77" s="1"/>
  <c r="A14" i="77"/>
  <c r="A15" i="77" s="1"/>
  <c r="A16" i="77" s="1"/>
  <c r="A17" i="77" s="1"/>
  <c r="A18" i="77" s="1"/>
  <c r="T13" i="77"/>
  <c r="U13" i="77" s="1"/>
  <c r="V13" i="77" s="1"/>
  <c r="U12" i="77"/>
  <c r="V12" i="77" s="1"/>
  <c r="T12" i="77"/>
  <c r="T11" i="77"/>
  <c r="U11" i="77" s="1"/>
  <c r="V11" i="77" s="1"/>
  <c r="T10" i="77"/>
  <c r="U10" i="77" s="1"/>
  <c r="V10" i="77" s="1"/>
  <c r="T9" i="77"/>
  <c r="U9" i="77" s="1"/>
  <c r="V9" i="77" s="1"/>
  <c r="T8" i="77"/>
  <c r="U8" i="77" s="1"/>
  <c r="V8" i="77" s="1"/>
  <c r="A8" i="77"/>
  <c r="A9" i="77" s="1"/>
  <c r="A10" i="77" s="1"/>
  <c r="A11" i="77" s="1"/>
  <c r="T7" i="77"/>
  <c r="T58" i="80" l="1"/>
  <c r="T58" i="79"/>
  <c r="T58" i="78"/>
  <c r="T58" i="77"/>
  <c r="U7" i="77"/>
  <c r="V7" i="77" s="1"/>
  <c r="V58" i="77" s="1"/>
  <c r="V7" i="80"/>
  <c r="V58" i="80" s="1"/>
  <c r="U58" i="80"/>
  <c r="U7" i="79"/>
  <c r="U7" i="78"/>
  <c r="C47" i="76"/>
  <c r="K43" i="76"/>
  <c r="J43" i="76"/>
  <c r="C43" i="76"/>
  <c r="C40" i="76"/>
  <c r="K37" i="76"/>
  <c r="C37" i="76"/>
  <c r="C34" i="76"/>
  <c r="C12" i="76"/>
  <c r="C10" i="76"/>
  <c r="C9" i="76"/>
  <c r="C8" i="76"/>
  <c r="U58" i="77" l="1"/>
  <c r="U58" i="79"/>
  <c r="V7" i="79"/>
  <c r="V58" i="79" s="1"/>
  <c r="U58" i="78"/>
  <c r="V7" i="78"/>
  <c r="V58" i="78" s="1"/>
  <c r="K37" i="73"/>
  <c r="C37" i="73"/>
  <c r="C47" i="73"/>
  <c r="K43" i="73"/>
  <c r="J43" i="73"/>
  <c r="C43" i="73"/>
  <c r="C40" i="73"/>
  <c r="C34" i="73"/>
  <c r="H24" i="73"/>
  <c r="H23" i="73"/>
  <c r="H21" i="73"/>
  <c r="H19" i="73"/>
  <c r="H17" i="73"/>
  <c r="C12" i="73"/>
  <c r="C10" i="73"/>
  <c r="C9" i="73"/>
  <c r="C8" i="73"/>
  <c r="C7" i="73"/>
  <c r="H21" i="72" l="1"/>
  <c r="C47" i="72"/>
  <c r="K43" i="72"/>
  <c r="J43" i="72"/>
  <c r="C43" i="72"/>
  <c r="C40" i="72"/>
  <c r="C37" i="72"/>
  <c r="K37" i="72"/>
  <c r="C34" i="72"/>
  <c r="H24" i="72"/>
  <c r="H23" i="72"/>
  <c r="H19" i="72"/>
  <c r="H17" i="72"/>
  <c r="C12" i="72"/>
  <c r="C10" i="72"/>
  <c r="C9" i="72"/>
  <c r="C8" i="72"/>
  <c r="R58" i="76"/>
  <c r="Q58" i="76"/>
  <c r="P58" i="76"/>
  <c r="O58" i="76"/>
  <c r="N58" i="76"/>
  <c r="M58" i="76"/>
  <c r="K58" i="76"/>
  <c r="J58" i="76"/>
  <c r="I58" i="76"/>
  <c r="H58" i="76"/>
  <c r="G58" i="76"/>
  <c r="F58" i="76"/>
  <c r="C58" i="76"/>
  <c r="T54" i="76"/>
  <c r="U54" i="76" s="1"/>
  <c r="V54" i="76" s="1"/>
  <c r="T53" i="76"/>
  <c r="U53" i="76" s="1"/>
  <c r="V53" i="76" s="1"/>
  <c r="T52" i="76"/>
  <c r="U52" i="76" s="1"/>
  <c r="V52" i="76" s="1"/>
  <c r="T51" i="76"/>
  <c r="U51" i="76" s="1"/>
  <c r="V51" i="76" s="1"/>
  <c r="T50" i="76"/>
  <c r="U50" i="76" s="1"/>
  <c r="V50" i="76" s="1"/>
  <c r="T49" i="76"/>
  <c r="U49" i="76" s="1"/>
  <c r="V49" i="76" s="1"/>
  <c r="T48" i="76"/>
  <c r="U48" i="76" s="1"/>
  <c r="V48" i="76" s="1"/>
  <c r="T47" i="76"/>
  <c r="U47" i="76" s="1"/>
  <c r="V47" i="76" s="1"/>
  <c r="T46" i="76"/>
  <c r="U46" i="76" s="1"/>
  <c r="V46" i="76" s="1"/>
  <c r="T45" i="76"/>
  <c r="U45" i="76" s="1"/>
  <c r="V45" i="76" s="1"/>
  <c r="T43" i="76"/>
  <c r="U43" i="76" s="1"/>
  <c r="V43" i="76" s="1"/>
  <c r="T41" i="76"/>
  <c r="U41" i="76" s="1"/>
  <c r="V41" i="76" s="1"/>
  <c r="T40" i="76"/>
  <c r="U40" i="76" s="1"/>
  <c r="V40" i="76" s="1"/>
  <c r="U39" i="76"/>
  <c r="V39" i="76" s="1"/>
  <c r="T39" i="76"/>
  <c r="T38" i="76"/>
  <c r="U38" i="76" s="1"/>
  <c r="V38" i="76" s="1"/>
  <c r="T37" i="76"/>
  <c r="U37" i="76" s="1"/>
  <c r="V37" i="76" s="1"/>
  <c r="T36" i="76"/>
  <c r="U36" i="76" s="1"/>
  <c r="V36" i="76" s="1"/>
  <c r="U35" i="76"/>
  <c r="V35" i="76" s="1"/>
  <c r="T35" i="76"/>
  <c r="T34" i="76"/>
  <c r="U34" i="76" s="1"/>
  <c r="V34" i="76" s="1"/>
  <c r="T33" i="76"/>
  <c r="U33" i="76" s="1"/>
  <c r="V33" i="76" s="1"/>
  <c r="T32" i="76"/>
  <c r="U32" i="76" s="1"/>
  <c r="V32" i="76" s="1"/>
  <c r="U31" i="76"/>
  <c r="V31" i="76" s="1"/>
  <c r="T31" i="76"/>
  <c r="T30" i="76"/>
  <c r="U30" i="76" s="1"/>
  <c r="V30" i="76" s="1"/>
  <c r="T29" i="76"/>
  <c r="U29" i="76" s="1"/>
  <c r="V29" i="76" s="1"/>
  <c r="T28" i="76"/>
  <c r="U28" i="76" s="1"/>
  <c r="V28" i="76" s="1"/>
  <c r="U27" i="76"/>
  <c r="V27" i="76" s="1"/>
  <c r="T27" i="76"/>
  <c r="T26" i="76"/>
  <c r="U26" i="76" s="1"/>
  <c r="V26" i="76" s="1"/>
  <c r="AY25" i="76"/>
  <c r="T25" i="76"/>
  <c r="U25" i="76" s="1"/>
  <c r="V25" i="76" s="1"/>
  <c r="T24" i="76"/>
  <c r="U24" i="76" s="1"/>
  <c r="V24" i="76" s="1"/>
  <c r="T23" i="76"/>
  <c r="U23" i="76" s="1"/>
  <c r="V23" i="76" s="1"/>
  <c r="T22" i="76"/>
  <c r="U22" i="76" s="1"/>
  <c r="V22" i="76" s="1"/>
  <c r="T21" i="76"/>
  <c r="U21" i="76" s="1"/>
  <c r="V21" i="76" s="1"/>
  <c r="T20" i="76"/>
  <c r="U20" i="76" s="1"/>
  <c r="V20" i="76" s="1"/>
  <c r="A20" i="76"/>
  <c r="A21" i="76" s="1"/>
  <c r="A22" i="76" s="1"/>
  <c r="A23" i="76" s="1"/>
  <c r="A24" i="76" s="1"/>
  <c r="A25" i="76" s="1"/>
  <c r="A26" i="76" s="1"/>
  <c r="A27" i="76" s="1"/>
  <c r="A28" i="76" s="1"/>
  <c r="A29" i="76" s="1"/>
  <c r="A30" i="76" s="1"/>
  <c r="A31" i="76" s="1"/>
  <c r="A32" i="76" s="1"/>
  <c r="A33" i="76" s="1"/>
  <c r="A34" i="76" s="1"/>
  <c r="A35" i="76" s="1"/>
  <c r="A36" i="76" s="1"/>
  <c r="A37" i="76" s="1"/>
  <c r="A38" i="76" s="1"/>
  <c r="A39" i="76" s="1"/>
  <c r="A40" i="76" s="1"/>
  <c r="A41" i="76" s="1"/>
  <c r="A42" i="76" s="1"/>
  <c r="A43" i="76" s="1"/>
  <c r="A44" i="76" s="1"/>
  <c r="A45" i="76" s="1"/>
  <c r="A46" i="76" s="1"/>
  <c r="A47" i="76" s="1"/>
  <c r="A48" i="76" s="1"/>
  <c r="A49" i="76" s="1"/>
  <c r="A50" i="76" s="1"/>
  <c r="A51" i="76" s="1"/>
  <c r="A52" i="76" s="1"/>
  <c r="A53" i="76" s="1"/>
  <c r="A54" i="76" s="1"/>
  <c r="A55" i="76" s="1"/>
  <c r="A56" i="76" s="1"/>
  <c r="A57" i="76" s="1"/>
  <c r="T19" i="76"/>
  <c r="U19" i="76" s="1"/>
  <c r="V19" i="76" s="1"/>
  <c r="T18" i="76"/>
  <c r="U18" i="76" s="1"/>
  <c r="V18" i="76" s="1"/>
  <c r="T17" i="76"/>
  <c r="U17" i="76" s="1"/>
  <c r="V17" i="76" s="1"/>
  <c r="T16" i="76"/>
  <c r="U16" i="76" s="1"/>
  <c r="V16" i="76" s="1"/>
  <c r="U15" i="76"/>
  <c r="V15" i="76" s="1"/>
  <c r="T15" i="76"/>
  <c r="A15" i="76"/>
  <c r="A16" i="76" s="1"/>
  <c r="A17" i="76" s="1"/>
  <c r="A18" i="76" s="1"/>
  <c r="T14" i="76"/>
  <c r="U14" i="76" s="1"/>
  <c r="V14" i="76" s="1"/>
  <c r="A14" i="76"/>
  <c r="T13" i="76"/>
  <c r="U13" i="76" s="1"/>
  <c r="V13" i="76" s="1"/>
  <c r="T12" i="76"/>
  <c r="U12" i="76" s="1"/>
  <c r="V12" i="76" s="1"/>
  <c r="T11" i="76"/>
  <c r="U11" i="76" s="1"/>
  <c r="V11" i="76" s="1"/>
  <c r="T10" i="76"/>
  <c r="U10" i="76" s="1"/>
  <c r="V10" i="76" s="1"/>
  <c r="A10" i="76"/>
  <c r="A11" i="76" s="1"/>
  <c r="T9" i="76"/>
  <c r="U9" i="76" s="1"/>
  <c r="V9" i="76" s="1"/>
  <c r="A9" i="76"/>
  <c r="T8" i="76"/>
  <c r="U8" i="76" s="1"/>
  <c r="V8" i="76" s="1"/>
  <c r="A8" i="76"/>
  <c r="T7" i="76"/>
  <c r="R58" i="75"/>
  <c r="Q58" i="75"/>
  <c r="P58" i="75"/>
  <c r="O58" i="75"/>
  <c r="N58" i="75"/>
  <c r="M58" i="75"/>
  <c r="K58" i="75"/>
  <c r="J58" i="75"/>
  <c r="I58" i="75"/>
  <c r="H58" i="75"/>
  <c r="G58" i="75"/>
  <c r="F58" i="75"/>
  <c r="C58" i="75"/>
  <c r="T54" i="75"/>
  <c r="U54" i="75" s="1"/>
  <c r="V54" i="75" s="1"/>
  <c r="T53" i="75"/>
  <c r="U53" i="75" s="1"/>
  <c r="V53" i="75" s="1"/>
  <c r="T52" i="75"/>
  <c r="U52" i="75" s="1"/>
  <c r="V52" i="75" s="1"/>
  <c r="T51" i="75"/>
  <c r="U51" i="75" s="1"/>
  <c r="V51" i="75" s="1"/>
  <c r="T50" i="75"/>
  <c r="U50" i="75" s="1"/>
  <c r="V50" i="75" s="1"/>
  <c r="T49" i="75"/>
  <c r="U49" i="75" s="1"/>
  <c r="V49" i="75" s="1"/>
  <c r="T48" i="75"/>
  <c r="U48" i="75" s="1"/>
  <c r="V48" i="75" s="1"/>
  <c r="T47" i="75"/>
  <c r="U47" i="75" s="1"/>
  <c r="V47" i="75" s="1"/>
  <c r="T46" i="75"/>
  <c r="U46" i="75" s="1"/>
  <c r="V46" i="75" s="1"/>
  <c r="T45" i="75"/>
  <c r="U45" i="75" s="1"/>
  <c r="V45" i="75" s="1"/>
  <c r="T43" i="75"/>
  <c r="U43" i="75" s="1"/>
  <c r="V43" i="75" s="1"/>
  <c r="T41" i="75"/>
  <c r="U41" i="75" s="1"/>
  <c r="V41" i="75" s="1"/>
  <c r="T40" i="75"/>
  <c r="U40" i="75" s="1"/>
  <c r="V40" i="75" s="1"/>
  <c r="U39" i="75"/>
  <c r="V39" i="75" s="1"/>
  <c r="T39" i="75"/>
  <c r="T38" i="75"/>
  <c r="U38" i="75" s="1"/>
  <c r="V38" i="75" s="1"/>
  <c r="T37" i="75"/>
  <c r="U37" i="75" s="1"/>
  <c r="V37" i="75" s="1"/>
  <c r="T36" i="75"/>
  <c r="U36" i="75" s="1"/>
  <c r="V36" i="75" s="1"/>
  <c r="U35" i="75"/>
  <c r="V35" i="75" s="1"/>
  <c r="T35" i="75"/>
  <c r="T34" i="75"/>
  <c r="U34" i="75" s="1"/>
  <c r="V34" i="75" s="1"/>
  <c r="U33" i="75"/>
  <c r="V33" i="75" s="1"/>
  <c r="T33" i="75"/>
  <c r="T32" i="75"/>
  <c r="U32" i="75" s="1"/>
  <c r="V32" i="75" s="1"/>
  <c r="U31" i="75"/>
  <c r="V31" i="75" s="1"/>
  <c r="T31" i="75"/>
  <c r="T30" i="75"/>
  <c r="U30" i="75" s="1"/>
  <c r="V30" i="75" s="1"/>
  <c r="T29" i="75"/>
  <c r="U29" i="75" s="1"/>
  <c r="V29" i="75" s="1"/>
  <c r="T28" i="75"/>
  <c r="U28" i="75" s="1"/>
  <c r="V28" i="75" s="1"/>
  <c r="U27" i="75"/>
  <c r="V27" i="75" s="1"/>
  <c r="T27" i="75"/>
  <c r="T26" i="75"/>
  <c r="U26" i="75" s="1"/>
  <c r="V26" i="75" s="1"/>
  <c r="AY25" i="75"/>
  <c r="T25" i="75"/>
  <c r="U25" i="75" s="1"/>
  <c r="V25" i="75" s="1"/>
  <c r="T24" i="75"/>
  <c r="U24" i="75" s="1"/>
  <c r="V24" i="75" s="1"/>
  <c r="T23" i="75"/>
  <c r="U23" i="75" s="1"/>
  <c r="V23" i="75" s="1"/>
  <c r="T22" i="75"/>
  <c r="U22" i="75" s="1"/>
  <c r="V22" i="75" s="1"/>
  <c r="T21" i="75"/>
  <c r="U21" i="75" s="1"/>
  <c r="V21" i="75" s="1"/>
  <c r="A21" i="75"/>
  <c r="A22" i="75" s="1"/>
  <c r="A23" i="75" s="1"/>
  <c r="A24" i="75" s="1"/>
  <c r="A25" i="75" s="1"/>
  <c r="A26" i="75" s="1"/>
  <c r="A27" i="75" s="1"/>
  <c r="A28" i="75" s="1"/>
  <c r="A29" i="75" s="1"/>
  <c r="A30" i="75" s="1"/>
  <c r="A31" i="75" s="1"/>
  <c r="A32" i="75" s="1"/>
  <c r="A33" i="75" s="1"/>
  <c r="A34" i="75" s="1"/>
  <c r="A35" i="75" s="1"/>
  <c r="A36" i="75" s="1"/>
  <c r="A37" i="75" s="1"/>
  <c r="A38" i="75" s="1"/>
  <c r="A39" i="75" s="1"/>
  <c r="A40" i="75" s="1"/>
  <c r="A41" i="75" s="1"/>
  <c r="A42" i="75" s="1"/>
  <c r="A43" i="75" s="1"/>
  <c r="A44" i="75" s="1"/>
  <c r="A45" i="75" s="1"/>
  <c r="A46" i="75" s="1"/>
  <c r="A47" i="75" s="1"/>
  <c r="A48" i="75" s="1"/>
  <c r="A49" i="75" s="1"/>
  <c r="A50" i="75" s="1"/>
  <c r="A51" i="75" s="1"/>
  <c r="A52" i="75" s="1"/>
  <c r="A53" i="75" s="1"/>
  <c r="A54" i="75" s="1"/>
  <c r="A55" i="75" s="1"/>
  <c r="A56" i="75" s="1"/>
  <c r="A57" i="75" s="1"/>
  <c r="U20" i="75"/>
  <c r="V20" i="75" s="1"/>
  <c r="T20" i="75"/>
  <c r="A20" i="75"/>
  <c r="T19" i="75"/>
  <c r="U19" i="75" s="1"/>
  <c r="V19" i="75" s="1"/>
  <c r="T18" i="75"/>
  <c r="U18" i="75" s="1"/>
  <c r="V18" i="75" s="1"/>
  <c r="T17" i="75"/>
  <c r="U17" i="75" s="1"/>
  <c r="V17" i="75" s="1"/>
  <c r="T16" i="75"/>
  <c r="U16" i="75" s="1"/>
  <c r="V16" i="75" s="1"/>
  <c r="U15" i="75"/>
  <c r="V15" i="75" s="1"/>
  <c r="T15" i="75"/>
  <c r="A15" i="75"/>
  <c r="A16" i="75" s="1"/>
  <c r="A17" i="75" s="1"/>
  <c r="A18" i="75" s="1"/>
  <c r="T14" i="75"/>
  <c r="U14" i="75" s="1"/>
  <c r="V14" i="75" s="1"/>
  <c r="A14" i="75"/>
  <c r="T13" i="75"/>
  <c r="U13" i="75" s="1"/>
  <c r="V13" i="75" s="1"/>
  <c r="T12" i="75"/>
  <c r="U12" i="75" s="1"/>
  <c r="V12" i="75" s="1"/>
  <c r="T11" i="75"/>
  <c r="U11" i="75" s="1"/>
  <c r="V11" i="75" s="1"/>
  <c r="T10" i="75"/>
  <c r="U10" i="75" s="1"/>
  <c r="V10" i="75" s="1"/>
  <c r="T9" i="75"/>
  <c r="U9" i="75" s="1"/>
  <c r="V9" i="75" s="1"/>
  <c r="A9" i="75"/>
  <c r="A10" i="75" s="1"/>
  <c r="A11" i="75" s="1"/>
  <c r="T8" i="75"/>
  <c r="A8" i="75"/>
  <c r="T7" i="75"/>
  <c r="U7" i="75" s="1"/>
  <c r="R58" i="74"/>
  <c r="Q58" i="74"/>
  <c r="P58" i="74"/>
  <c r="O58" i="74"/>
  <c r="N58" i="74"/>
  <c r="M58" i="74"/>
  <c r="K58" i="74"/>
  <c r="J58" i="74"/>
  <c r="I58" i="74"/>
  <c r="H58" i="74"/>
  <c r="G58" i="74"/>
  <c r="F58" i="74"/>
  <c r="C58" i="74"/>
  <c r="T54" i="74"/>
  <c r="U54" i="74" s="1"/>
  <c r="V54" i="74" s="1"/>
  <c r="T53" i="74"/>
  <c r="U53" i="74" s="1"/>
  <c r="V53" i="74" s="1"/>
  <c r="T52" i="74"/>
  <c r="U52" i="74" s="1"/>
  <c r="V52" i="74" s="1"/>
  <c r="T51" i="74"/>
  <c r="U51" i="74" s="1"/>
  <c r="V51" i="74" s="1"/>
  <c r="T50" i="74"/>
  <c r="U50" i="74" s="1"/>
  <c r="V50" i="74" s="1"/>
  <c r="T49" i="74"/>
  <c r="U49" i="74" s="1"/>
  <c r="V49" i="74" s="1"/>
  <c r="T48" i="74"/>
  <c r="U48" i="74" s="1"/>
  <c r="V48" i="74" s="1"/>
  <c r="T47" i="74"/>
  <c r="U47" i="74" s="1"/>
  <c r="V47" i="74" s="1"/>
  <c r="T46" i="74"/>
  <c r="U46" i="74" s="1"/>
  <c r="V46" i="74" s="1"/>
  <c r="T45" i="74"/>
  <c r="U45" i="74" s="1"/>
  <c r="V45" i="74" s="1"/>
  <c r="T43" i="74"/>
  <c r="U43" i="74" s="1"/>
  <c r="V43" i="74" s="1"/>
  <c r="T41" i="74"/>
  <c r="U41" i="74" s="1"/>
  <c r="V41" i="74" s="1"/>
  <c r="T40" i="74"/>
  <c r="U40" i="74" s="1"/>
  <c r="V40" i="74" s="1"/>
  <c r="T39" i="74"/>
  <c r="U39" i="74" s="1"/>
  <c r="V39" i="74" s="1"/>
  <c r="T38" i="74"/>
  <c r="U38" i="74" s="1"/>
  <c r="V38" i="74" s="1"/>
  <c r="T37" i="74"/>
  <c r="U37" i="74" s="1"/>
  <c r="V37" i="74" s="1"/>
  <c r="T36" i="74"/>
  <c r="U36" i="74" s="1"/>
  <c r="V36" i="74" s="1"/>
  <c r="T35" i="74"/>
  <c r="U35" i="74" s="1"/>
  <c r="V35" i="74" s="1"/>
  <c r="T34" i="74"/>
  <c r="U34" i="74" s="1"/>
  <c r="V34" i="74" s="1"/>
  <c r="T33" i="74"/>
  <c r="U33" i="74" s="1"/>
  <c r="V33" i="74" s="1"/>
  <c r="T32" i="74"/>
  <c r="U32" i="74" s="1"/>
  <c r="V32" i="74" s="1"/>
  <c r="T31" i="74"/>
  <c r="U31" i="74" s="1"/>
  <c r="V31" i="74" s="1"/>
  <c r="T30" i="74"/>
  <c r="U30" i="74" s="1"/>
  <c r="V30" i="74" s="1"/>
  <c r="T29" i="74"/>
  <c r="U29" i="74" s="1"/>
  <c r="V29" i="74" s="1"/>
  <c r="T28" i="74"/>
  <c r="U28" i="74" s="1"/>
  <c r="V28" i="74" s="1"/>
  <c r="T27" i="74"/>
  <c r="U27" i="74" s="1"/>
  <c r="V27" i="74" s="1"/>
  <c r="T26" i="74"/>
  <c r="U26" i="74" s="1"/>
  <c r="V26" i="74" s="1"/>
  <c r="AY25" i="74"/>
  <c r="T25" i="74"/>
  <c r="U25" i="74" s="1"/>
  <c r="V25" i="74" s="1"/>
  <c r="T24" i="74"/>
  <c r="U24" i="74" s="1"/>
  <c r="V24" i="74" s="1"/>
  <c r="T23" i="74"/>
  <c r="U23" i="74" s="1"/>
  <c r="V23" i="74" s="1"/>
  <c r="T22" i="74"/>
  <c r="U22" i="74" s="1"/>
  <c r="V22" i="74" s="1"/>
  <c r="T21" i="74"/>
  <c r="U21" i="74" s="1"/>
  <c r="V21" i="74" s="1"/>
  <c r="U20" i="74"/>
  <c r="V20" i="74" s="1"/>
  <c r="T20" i="74"/>
  <c r="A20" i="74"/>
  <c r="A21" i="74" s="1"/>
  <c r="A22" i="74" s="1"/>
  <c r="A23" i="74" s="1"/>
  <c r="A24" i="74" s="1"/>
  <c r="A25" i="74" s="1"/>
  <c r="A26" i="74" s="1"/>
  <c r="A27" i="74" s="1"/>
  <c r="A28" i="74" s="1"/>
  <c r="A29" i="74" s="1"/>
  <c r="A30" i="74" s="1"/>
  <c r="A31" i="74" s="1"/>
  <c r="A32" i="74" s="1"/>
  <c r="A33" i="74" s="1"/>
  <c r="A34" i="74" s="1"/>
  <c r="A35" i="74" s="1"/>
  <c r="A36" i="74" s="1"/>
  <c r="A37" i="74" s="1"/>
  <c r="A38" i="74" s="1"/>
  <c r="A39" i="74" s="1"/>
  <c r="A40" i="74" s="1"/>
  <c r="A41" i="74" s="1"/>
  <c r="A42" i="74" s="1"/>
  <c r="A43" i="74" s="1"/>
  <c r="A44" i="74" s="1"/>
  <c r="A45" i="74" s="1"/>
  <c r="A46" i="74" s="1"/>
  <c r="A47" i="74" s="1"/>
  <c r="A48" i="74" s="1"/>
  <c r="A49" i="74" s="1"/>
  <c r="A50" i="74" s="1"/>
  <c r="A51" i="74" s="1"/>
  <c r="A52" i="74" s="1"/>
  <c r="A53" i="74" s="1"/>
  <c r="A54" i="74" s="1"/>
  <c r="A55" i="74" s="1"/>
  <c r="A56" i="74" s="1"/>
  <c r="A57" i="74" s="1"/>
  <c r="U19" i="74"/>
  <c r="V19" i="74" s="1"/>
  <c r="T19" i="74"/>
  <c r="T18" i="74"/>
  <c r="U18" i="74" s="1"/>
  <c r="V18" i="74" s="1"/>
  <c r="T17" i="74"/>
  <c r="U17" i="74" s="1"/>
  <c r="V17" i="74" s="1"/>
  <c r="T16" i="74"/>
  <c r="U16" i="74" s="1"/>
  <c r="V16" i="74" s="1"/>
  <c r="T15" i="74"/>
  <c r="U15" i="74" s="1"/>
  <c r="V15" i="74" s="1"/>
  <c r="A15" i="74"/>
  <c r="A16" i="74" s="1"/>
  <c r="A17" i="74" s="1"/>
  <c r="A18" i="74" s="1"/>
  <c r="T14" i="74"/>
  <c r="U14" i="74" s="1"/>
  <c r="V14" i="74" s="1"/>
  <c r="A14" i="74"/>
  <c r="T13" i="74"/>
  <c r="U13" i="74" s="1"/>
  <c r="V13" i="74" s="1"/>
  <c r="T12" i="74"/>
  <c r="U12" i="74" s="1"/>
  <c r="V12" i="74" s="1"/>
  <c r="T11" i="74"/>
  <c r="U11" i="74" s="1"/>
  <c r="V11" i="74" s="1"/>
  <c r="T10" i="74"/>
  <c r="T9" i="74"/>
  <c r="U9" i="74" s="1"/>
  <c r="V9" i="74" s="1"/>
  <c r="A9" i="74"/>
  <c r="A10" i="74" s="1"/>
  <c r="A11" i="74" s="1"/>
  <c r="T8" i="74"/>
  <c r="U8" i="74" s="1"/>
  <c r="V8" i="74" s="1"/>
  <c r="A8" i="74"/>
  <c r="T7" i="74"/>
  <c r="U7" i="74" s="1"/>
  <c r="R58" i="73"/>
  <c r="Q58" i="73"/>
  <c r="P58" i="73"/>
  <c r="O58" i="73"/>
  <c r="N58" i="73"/>
  <c r="M58" i="73"/>
  <c r="K58" i="73"/>
  <c r="J58" i="73"/>
  <c r="I58" i="73"/>
  <c r="H58" i="73"/>
  <c r="G58" i="73"/>
  <c r="F58" i="73"/>
  <c r="C58" i="73"/>
  <c r="T54" i="73"/>
  <c r="U54" i="73" s="1"/>
  <c r="V54" i="73" s="1"/>
  <c r="T53" i="73"/>
  <c r="U53" i="73" s="1"/>
  <c r="V53" i="73" s="1"/>
  <c r="U52" i="73"/>
  <c r="V52" i="73" s="1"/>
  <c r="T52" i="73"/>
  <c r="T51" i="73"/>
  <c r="U51" i="73" s="1"/>
  <c r="V51" i="73" s="1"/>
  <c r="T50" i="73"/>
  <c r="U50" i="73" s="1"/>
  <c r="V50" i="73" s="1"/>
  <c r="T49" i="73"/>
  <c r="U49" i="73" s="1"/>
  <c r="V49" i="73" s="1"/>
  <c r="T48" i="73"/>
  <c r="U48" i="73" s="1"/>
  <c r="V48" i="73" s="1"/>
  <c r="T47" i="73"/>
  <c r="U47" i="73" s="1"/>
  <c r="V47" i="73" s="1"/>
  <c r="T46" i="73"/>
  <c r="U46" i="73" s="1"/>
  <c r="V46" i="73" s="1"/>
  <c r="T45" i="73"/>
  <c r="U45" i="73" s="1"/>
  <c r="V45" i="73" s="1"/>
  <c r="T43" i="73"/>
  <c r="U43" i="73" s="1"/>
  <c r="V43" i="73" s="1"/>
  <c r="T41" i="73"/>
  <c r="U41" i="73" s="1"/>
  <c r="V41" i="73" s="1"/>
  <c r="T40" i="73"/>
  <c r="U40" i="73" s="1"/>
  <c r="V40" i="73" s="1"/>
  <c r="T39" i="73"/>
  <c r="U39" i="73" s="1"/>
  <c r="V39" i="73" s="1"/>
  <c r="T38" i="73"/>
  <c r="U38" i="73" s="1"/>
  <c r="V38" i="73" s="1"/>
  <c r="T37" i="73"/>
  <c r="U37" i="73" s="1"/>
  <c r="V37" i="73" s="1"/>
  <c r="T36" i="73"/>
  <c r="U36" i="73" s="1"/>
  <c r="V36" i="73" s="1"/>
  <c r="T35" i="73"/>
  <c r="U35" i="73" s="1"/>
  <c r="V35" i="73" s="1"/>
  <c r="T34" i="73"/>
  <c r="U34" i="73" s="1"/>
  <c r="V34" i="73" s="1"/>
  <c r="T33" i="73"/>
  <c r="U33" i="73" s="1"/>
  <c r="V33" i="73" s="1"/>
  <c r="T32" i="73"/>
  <c r="U32" i="73" s="1"/>
  <c r="V32" i="73" s="1"/>
  <c r="T31" i="73"/>
  <c r="U31" i="73" s="1"/>
  <c r="V31" i="73" s="1"/>
  <c r="T30" i="73"/>
  <c r="U30" i="73" s="1"/>
  <c r="V30" i="73" s="1"/>
  <c r="T29" i="73"/>
  <c r="U29" i="73" s="1"/>
  <c r="V29" i="73" s="1"/>
  <c r="T28" i="73"/>
  <c r="U28" i="73" s="1"/>
  <c r="V28" i="73" s="1"/>
  <c r="T27" i="73"/>
  <c r="U27" i="73" s="1"/>
  <c r="V27" i="73" s="1"/>
  <c r="T26" i="73"/>
  <c r="U26" i="73" s="1"/>
  <c r="V26" i="73" s="1"/>
  <c r="AY25" i="73"/>
  <c r="T25" i="73"/>
  <c r="U25" i="73" s="1"/>
  <c r="V25" i="73" s="1"/>
  <c r="T24" i="73"/>
  <c r="U24" i="73" s="1"/>
  <c r="V24" i="73" s="1"/>
  <c r="T23" i="73"/>
  <c r="U23" i="73" s="1"/>
  <c r="V23" i="73" s="1"/>
  <c r="T22" i="73"/>
  <c r="U22" i="73" s="1"/>
  <c r="V22" i="73" s="1"/>
  <c r="T21" i="73"/>
  <c r="U21" i="73" s="1"/>
  <c r="V21" i="73" s="1"/>
  <c r="T20" i="73"/>
  <c r="U20" i="73" s="1"/>
  <c r="V20" i="73" s="1"/>
  <c r="A20" i="73"/>
  <c r="A21" i="73" s="1"/>
  <c r="A22" i="73" s="1"/>
  <c r="A23" i="73" s="1"/>
  <c r="A24" i="73" s="1"/>
  <c r="A25" i="73" s="1"/>
  <c r="A26" i="73" s="1"/>
  <c r="A27" i="73" s="1"/>
  <c r="A28" i="73" s="1"/>
  <c r="A29" i="73" s="1"/>
  <c r="A30" i="73" s="1"/>
  <c r="A31" i="73" s="1"/>
  <c r="A32" i="73" s="1"/>
  <c r="A33" i="73" s="1"/>
  <c r="A34" i="73" s="1"/>
  <c r="A35" i="73" s="1"/>
  <c r="A36" i="73" s="1"/>
  <c r="A37" i="73" s="1"/>
  <c r="A38" i="73" s="1"/>
  <c r="A39" i="73" s="1"/>
  <c r="A40" i="73" s="1"/>
  <c r="A41" i="73" s="1"/>
  <c r="A42" i="73" s="1"/>
  <c r="A43" i="73" s="1"/>
  <c r="A44" i="73" s="1"/>
  <c r="A45" i="73" s="1"/>
  <c r="A46" i="73" s="1"/>
  <c r="A47" i="73" s="1"/>
  <c r="A48" i="73" s="1"/>
  <c r="A49" i="73" s="1"/>
  <c r="A50" i="73" s="1"/>
  <c r="A51" i="73" s="1"/>
  <c r="A52" i="73" s="1"/>
  <c r="A53" i="73" s="1"/>
  <c r="A54" i="73" s="1"/>
  <c r="A55" i="73" s="1"/>
  <c r="A56" i="73" s="1"/>
  <c r="A57" i="73" s="1"/>
  <c r="T19" i="73"/>
  <c r="U19" i="73" s="1"/>
  <c r="V19" i="73" s="1"/>
  <c r="T18" i="73"/>
  <c r="U18" i="73" s="1"/>
  <c r="V18" i="73" s="1"/>
  <c r="T17" i="73"/>
  <c r="U17" i="73" s="1"/>
  <c r="V17" i="73" s="1"/>
  <c r="T16" i="73"/>
  <c r="U16" i="73" s="1"/>
  <c r="V16" i="73" s="1"/>
  <c r="T15" i="73"/>
  <c r="U15" i="73" s="1"/>
  <c r="V15" i="73" s="1"/>
  <c r="A15" i="73"/>
  <c r="A16" i="73" s="1"/>
  <c r="A17" i="73" s="1"/>
  <c r="A18" i="73" s="1"/>
  <c r="T14" i="73"/>
  <c r="U14" i="73" s="1"/>
  <c r="V14" i="73" s="1"/>
  <c r="A14" i="73"/>
  <c r="T13" i="73"/>
  <c r="U13" i="73" s="1"/>
  <c r="V13" i="73" s="1"/>
  <c r="T12" i="73"/>
  <c r="U12" i="73" s="1"/>
  <c r="V12" i="73" s="1"/>
  <c r="T11" i="73"/>
  <c r="U11" i="73" s="1"/>
  <c r="V11" i="73" s="1"/>
  <c r="U10" i="73"/>
  <c r="V10" i="73" s="1"/>
  <c r="T10" i="73"/>
  <c r="T9" i="73"/>
  <c r="U9" i="73" s="1"/>
  <c r="V9" i="73" s="1"/>
  <c r="T8" i="73"/>
  <c r="U8" i="73" s="1"/>
  <c r="V8" i="73" s="1"/>
  <c r="A8" i="73"/>
  <c r="A9" i="73" s="1"/>
  <c r="A10" i="73" s="1"/>
  <c r="A11" i="73" s="1"/>
  <c r="T7" i="73"/>
  <c r="C47" i="71"/>
  <c r="C43" i="71"/>
  <c r="K43" i="71"/>
  <c r="J43" i="71"/>
  <c r="C40" i="71"/>
  <c r="K37" i="71"/>
  <c r="C37" i="71"/>
  <c r="C34" i="71"/>
  <c r="H24" i="71"/>
  <c r="H23" i="71"/>
  <c r="C22" i="71"/>
  <c r="H21" i="71"/>
  <c r="H19" i="71"/>
  <c r="H17" i="71"/>
  <c r="C12" i="71"/>
  <c r="C11" i="71"/>
  <c r="C10" i="71"/>
  <c r="C9" i="71"/>
  <c r="C8" i="71"/>
  <c r="T58" i="75" l="1"/>
  <c r="T58" i="74"/>
  <c r="T58" i="76"/>
  <c r="T58" i="73"/>
  <c r="U7" i="76"/>
  <c r="V7" i="75"/>
  <c r="U8" i="75"/>
  <c r="V8" i="75" s="1"/>
  <c r="V7" i="74"/>
  <c r="U10" i="74"/>
  <c r="V10" i="74" s="1"/>
  <c r="U7" i="73"/>
  <c r="C47" i="70"/>
  <c r="K43" i="70"/>
  <c r="J43" i="70"/>
  <c r="T43" i="70" s="1"/>
  <c r="C43" i="70"/>
  <c r="C40" i="70"/>
  <c r="C37" i="70"/>
  <c r="K37" i="70"/>
  <c r="T37" i="70" s="1"/>
  <c r="U37" i="70" s="1"/>
  <c r="V37" i="70" s="1"/>
  <c r="C34" i="70"/>
  <c r="H24" i="70"/>
  <c r="T24" i="70" s="1"/>
  <c r="U24" i="70" s="1"/>
  <c r="V24" i="70" s="1"/>
  <c r="H23" i="70"/>
  <c r="H21" i="70"/>
  <c r="H19" i="70"/>
  <c r="T19" i="70" s="1"/>
  <c r="U19" i="70" s="1"/>
  <c r="V19" i="70" s="1"/>
  <c r="H17" i="70"/>
  <c r="C12" i="70"/>
  <c r="C10" i="70"/>
  <c r="C9" i="70"/>
  <c r="C8" i="70"/>
  <c r="R58" i="72"/>
  <c r="Q58" i="72"/>
  <c r="P58" i="72"/>
  <c r="O58" i="72"/>
  <c r="N58" i="72"/>
  <c r="M58" i="72"/>
  <c r="K58" i="72"/>
  <c r="J58" i="72"/>
  <c r="I58" i="72"/>
  <c r="H58" i="72"/>
  <c r="G58" i="72"/>
  <c r="F58" i="72"/>
  <c r="C58" i="72"/>
  <c r="U54" i="72"/>
  <c r="V54" i="72" s="1"/>
  <c r="T54" i="72"/>
  <c r="U53" i="72"/>
  <c r="V53" i="72" s="1"/>
  <c r="T53" i="72"/>
  <c r="U52" i="72"/>
  <c r="V52" i="72" s="1"/>
  <c r="T52" i="72"/>
  <c r="T51" i="72"/>
  <c r="U51" i="72" s="1"/>
  <c r="V51" i="72" s="1"/>
  <c r="U50" i="72"/>
  <c r="V50" i="72" s="1"/>
  <c r="T50" i="72"/>
  <c r="V49" i="72"/>
  <c r="U49" i="72"/>
  <c r="T49" i="72"/>
  <c r="T48" i="72"/>
  <c r="U48" i="72" s="1"/>
  <c r="V48" i="72" s="1"/>
  <c r="T47" i="72"/>
  <c r="U47" i="72" s="1"/>
  <c r="V47" i="72" s="1"/>
  <c r="U46" i="72"/>
  <c r="V46" i="72" s="1"/>
  <c r="T46" i="72"/>
  <c r="V45" i="72"/>
  <c r="U45" i="72"/>
  <c r="T45" i="72"/>
  <c r="T43" i="72"/>
  <c r="U43" i="72" s="1"/>
  <c r="V43" i="72" s="1"/>
  <c r="T41" i="72"/>
  <c r="U41" i="72" s="1"/>
  <c r="V41" i="72" s="1"/>
  <c r="T40" i="72"/>
  <c r="U40" i="72" s="1"/>
  <c r="V40" i="72" s="1"/>
  <c r="T39" i="72"/>
  <c r="U39" i="72" s="1"/>
  <c r="V39" i="72" s="1"/>
  <c r="T38" i="72"/>
  <c r="U38" i="72" s="1"/>
  <c r="V38" i="72" s="1"/>
  <c r="T37" i="72"/>
  <c r="U37" i="72" s="1"/>
  <c r="V37" i="72" s="1"/>
  <c r="T36" i="72"/>
  <c r="U36" i="72" s="1"/>
  <c r="V36" i="72" s="1"/>
  <c r="T35" i="72"/>
  <c r="U35" i="72" s="1"/>
  <c r="V35" i="72" s="1"/>
  <c r="T34" i="72"/>
  <c r="U34" i="72" s="1"/>
  <c r="V34" i="72" s="1"/>
  <c r="T33" i="72"/>
  <c r="U33" i="72" s="1"/>
  <c r="V33" i="72" s="1"/>
  <c r="T32" i="72"/>
  <c r="U32" i="72" s="1"/>
  <c r="V32" i="72" s="1"/>
  <c r="T31" i="72"/>
  <c r="U31" i="72" s="1"/>
  <c r="V31" i="72" s="1"/>
  <c r="T30" i="72"/>
  <c r="U30" i="72" s="1"/>
  <c r="V30" i="72" s="1"/>
  <c r="T29" i="72"/>
  <c r="U29" i="72" s="1"/>
  <c r="V29" i="72" s="1"/>
  <c r="T28" i="72"/>
  <c r="U28" i="72" s="1"/>
  <c r="V28" i="72" s="1"/>
  <c r="T27" i="72"/>
  <c r="U27" i="72" s="1"/>
  <c r="V27" i="72" s="1"/>
  <c r="T26" i="72"/>
  <c r="U26" i="72" s="1"/>
  <c r="V26" i="72" s="1"/>
  <c r="AY25" i="72"/>
  <c r="T25" i="72"/>
  <c r="U25" i="72" s="1"/>
  <c r="V25" i="72" s="1"/>
  <c r="T24" i="72"/>
  <c r="U24" i="72" s="1"/>
  <c r="V24" i="72" s="1"/>
  <c r="T23" i="72"/>
  <c r="U23" i="72" s="1"/>
  <c r="V23" i="72" s="1"/>
  <c r="T22" i="72"/>
  <c r="U22" i="72" s="1"/>
  <c r="V22" i="72" s="1"/>
  <c r="T21" i="72"/>
  <c r="U21" i="72" s="1"/>
  <c r="V21" i="72" s="1"/>
  <c r="T20" i="72"/>
  <c r="U20" i="72" s="1"/>
  <c r="V20" i="72" s="1"/>
  <c r="A20" i="72"/>
  <c r="A21" i="72" s="1"/>
  <c r="A22" i="72" s="1"/>
  <c r="A23" i="72" s="1"/>
  <c r="A24" i="72" s="1"/>
  <c r="A25" i="72" s="1"/>
  <c r="A26" i="72" s="1"/>
  <c r="A27" i="72" s="1"/>
  <c r="A28" i="72" s="1"/>
  <c r="A29" i="72" s="1"/>
  <c r="A30" i="72" s="1"/>
  <c r="A31" i="72" s="1"/>
  <c r="A32" i="72" s="1"/>
  <c r="A33" i="72" s="1"/>
  <c r="A34" i="72" s="1"/>
  <c r="A35" i="72" s="1"/>
  <c r="A36" i="72" s="1"/>
  <c r="A37" i="72" s="1"/>
  <c r="A38" i="72" s="1"/>
  <c r="A39" i="72" s="1"/>
  <c r="A40" i="72" s="1"/>
  <c r="A41" i="72" s="1"/>
  <c r="A42" i="72" s="1"/>
  <c r="A43" i="72" s="1"/>
  <c r="A44" i="72" s="1"/>
  <c r="A45" i="72" s="1"/>
  <c r="A46" i="72" s="1"/>
  <c r="A47" i="72" s="1"/>
  <c r="A48" i="72" s="1"/>
  <c r="A49" i="72" s="1"/>
  <c r="A50" i="72" s="1"/>
  <c r="A51" i="72" s="1"/>
  <c r="A52" i="72" s="1"/>
  <c r="A53" i="72" s="1"/>
  <c r="A54" i="72" s="1"/>
  <c r="A55" i="72" s="1"/>
  <c r="A56" i="72" s="1"/>
  <c r="A57" i="72" s="1"/>
  <c r="T19" i="72"/>
  <c r="U19" i="72" s="1"/>
  <c r="V19" i="72" s="1"/>
  <c r="T18" i="72"/>
  <c r="U18" i="72" s="1"/>
  <c r="V18" i="72" s="1"/>
  <c r="T17" i="72"/>
  <c r="U17" i="72" s="1"/>
  <c r="V17" i="72" s="1"/>
  <c r="T16" i="72"/>
  <c r="U16" i="72" s="1"/>
  <c r="V16" i="72" s="1"/>
  <c r="T15" i="72"/>
  <c r="U15" i="72" s="1"/>
  <c r="V15" i="72" s="1"/>
  <c r="A15" i="72"/>
  <c r="A16" i="72" s="1"/>
  <c r="A17" i="72" s="1"/>
  <c r="A18" i="72" s="1"/>
  <c r="T14" i="72"/>
  <c r="U14" i="72" s="1"/>
  <c r="V14" i="72" s="1"/>
  <c r="A14" i="72"/>
  <c r="T13" i="72"/>
  <c r="U13" i="72" s="1"/>
  <c r="V13" i="72" s="1"/>
  <c r="T12" i="72"/>
  <c r="U12" i="72" s="1"/>
  <c r="V12" i="72" s="1"/>
  <c r="U11" i="72"/>
  <c r="V11" i="72" s="1"/>
  <c r="T11" i="72"/>
  <c r="U10" i="72"/>
  <c r="V10" i="72" s="1"/>
  <c r="T10" i="72"/>
  <c r="T9" i="72"/>
  <c r="U9" i="72" s="1"/>
  <c r="V9" i="72" s="1"/>
  <c r="T8" i="72"/>
  <c r="U8" i="72" s="1"/>
  <c r="V8" i="72" s="1"/>
  <c r="A8" i="72"/>
  <c r="A9" i="72" s="1"/>
  <c r="A10" i="72" s="1"/>
  <c r="A11" i="72" s="1"/>
  <c r="T7" i="72"/>
  <c r="H24" i="69"/>
  <c r="C47" i="69"/>
  <c r="C43" i="69"/>
  <c r="C41" i="69"/>
  <c r="I43" i="69"/>
  <c r="J43" i="69"/>
  <c r="K43" i="69"/>
  <c r="C40" i="69"/>
  <c r="K37" i="69"/>
  <c r="C37" i="69"/>
  <c r="C34" i="69"/>
  <c r="H23" i="69"/>
  <c r="H21" i="69"/>
  <c r="H19" i="69"/>
  <c r="H17" i="69"/>
  <c r="C12" i="69"/>
  <c r="C10" i="69"/>
  <c r="C9" i="69"/>
  <c r="C8" i="69"/>
  <c r="R58" i="71"/>
  <c r="Q58" i="71"/>
  <c r="P58" i="71"/>
  <c r="O58" i="71"/>
  <c r="N58" i="71"/>
  <c r="M58" i="71"/>
  <c r="K58" i="71"/>
  <c r="J58" i="71"/>
  <c r="I58" i="71"/>
  <c r="H58" i="71"/>
  <c r="G58" i="71"/>
  <c r="F58" i="71"/>
  <c r="C58" i="71"/>
  <c r="T54" i="71"/>
  <c r="U54" i="71" s="1"/>
  <c r="V54" i="71" s="1"/>
  <c r="T53" i="71"/>
  <c r="U53" i="71" s="1"/>
  <c r="V53" i="71" s="1"/>
  <c r="U52" i="71"/>
  <c r="V52" i="71" s="1"/>
  <c r="T52" i="71"/>
  <c r="T51" i="71"/>
  <c r="U51" i="71" s="1"/>
  <c r="V51" i="71" s="1"/>
  <c r="T50" i="71"/>
  <c r="U50" i="71" s="1"/>
  <c r="V50" i="71" s="1"/>
  <c r="T49" i="71"/>
  <c r="U49" i="71" s="1"/>
  <c r="V49" i="71" s="1"/>
  <c r="T48" i="71"/>
  <c r="U48" i="71" s="1"/>
  <c r="V48" i="71" s="1"/>
  <c r="T47" i="71"/>
  <c r="U47" i="71" s="1"/>
  <c r="V47" i="71" s="1"/>
  <c r="T46" i="71"/>
  <c r="U46" i="71" s="1"/>
  <c r="V46" i="71" s="1"/>
  <c r="T45" i="71"/>
  <c r="U45" i="71" s="1"/>
  <c r="V45" i="71" s="1"/>
  <c r="T43" i="71"/>
  <c r="U43" i="71" s="1"/>
  <c r="V43" i="71" s="1"/>
  <c r="T41" i="71"/>
  <c r="U41" i="71" s="1"/>
  <c r="V41" i="71" s="1"/>
  <c r="T40" i="71"/>
  <c r="U40" i="71" s="1"/>
  <c r="V40" i="71" s="1"/>
  <c r="T39" i="71"/>
  <c r="U39" i="71" s="1"/>
  <c r="V39" i="71" s="1"/>
  <c r="T38" i="71"/>
  <c r="U38" i="71" s="1"/>
  <c r="V38" i="71" s="1"/>
  <c r="T37" i="71"/>
  <c r="U37" i="71" s="1"/>
  <c r="V37" i="71" s="1"/>
  <c r="T36" i="71"/>
  <c r="U36" i="71" s="1"/>
  <c r="V36" i="71" s="1"/>
  <c r="T35" i="71"/>
  <c r="U35" i="71" s="1"/>
  <c r="V35" i="71" s="1"/>
  <c r="T34" i="71"/>
  <c r="U34" i="71" s="1"/>
  <c r="V34" i="71" s="1"/>
  <c r="T33" i="71"/>
  <c r="U33" i="71" s="1"/>
  <c r="V33" i="71" s="1"/>
  <c r="T32" i="71"/>
  <c r="U32" i="71" s="1"/>
  <c r="V32" i="71" s="1"/>
  <c r="T31" i="71"/>
  <c r="U31" i="71" s="1"/>
  <c r="V31" i="71" s="1"/>
  <c r="T30" i="71"/>
  <c r="U30" i="71" s="1"/>
  <c r="V30" i="71" s="1"/>
  <c r="T29" i="71"/>
  <c r="U29" i="71" s="1"/>
  <c r="V29" i="71" s="1"/>
  <c r="T28" i="71"/>
  <c r="U28" i="71" s="1"/>
  <c r="V28" i="71" s="1"/>
  <c r="T27" i="71"/>
  <c r="U27" i="71" s="1"/>
  <c r="V27" i="71" s="1"/>
  <c r="T26" i="71"/>
  <c r="U26" i="71" s="1"/>
  <c r="V26" i="71" s="1"/>
  <c r="AY25" i="71"/>
  <c r="T25" i="71"/>
  <c r="U25" i="71" s="1"/>
  <c r="V25" i="71" s="1"/>
  <c r="T24" i="71"/>
  <c r="U24" i="71" s="1"/>
  <c r="V24" i="71" s="1"/>
  <c r="T23" i="71"/>
  <c r="U23" i="71" s="1"/>
  <c r="V23" i="71" s="1"/>
  <c r="T22" i="71"/>
  <c r="U22" i="71" s="1"/>
  <c r="V22" i="71" s="1"/>
  <c r="T21" i="71"/>
  <c r="U21" i="71" s="1"/>
  <c r="V21" i="71" s="1"/>
  <c r="A21" i="71"/>
  <c r="A22" i="71" s="1"/>
  <c r="A23" i="71" s="1"/>
  <c r="A24" i="71" s="1"/>
  <c r="A25" i="71" s="1"/>
  <c r="A26" i="71" s="1"/>
  <c r="A27" i="71" s="1"/>
  <c r="A28" i="71" s="1"/>
  <c r="A29" i="71" s="1"/>
  <c r="A30" i="71" s="1"/>
  <c r="A31" i="71" s="1"/>
  <c r="A32" i="71" s="1"/>
  <c r="A33" i="71" s="1"/>
  <c r="A34" i="71" s="1"/>
  <c r="A35" i="71" s="1"/>
  <c r="A36" i="71" s="1"/>
  <c r="A37" i="71" s="1"/>
  <c r="A38" i="71" s="1"/>
  <c r="A39" i="71" s="1"/>
  <c r="A40" i="71" s="1"/>
  <c r="A41" i="71" s="1"/>
  <c r="A42" i="71" s="1"/>
  <c r="A43" i="71" s="1"/>
  <c r="A44" i="71" s="1"/>
  <c r="A45" i="71" s="1"/>
  <c r="A46" i="71" s="1"/>
  <c r="A47" i="71" s="1"/>
  <c r="A48" i="71" s="1"/>
  <c r="A49" i="71" s="1"/>
  <c r="A50" i="71" s="1"/>
  <c r="A51" i="71" s="1"/>
  <c r="A52" i="71" s="1"/>
  <c r="A53" i="71" s="1"/>
  <c r="A54" i="71" s="1"/>
  <c r="A55" i="71" s="1"/>
  <c r="A56" i="71" s="1"/>
  <c r="A57" i="71" s="1"/>
  <c r="U20" i="71"/>
  <c r="V20" i="71" s="1"/>
  <c r="T20" i="71"/>
  <c r="A20" i="71"/>
  <c r="T19" i="71"/>
  <c r="U19" i="71" s="1"/>
  <c r="V19" i="71" s="1"/>
  <c r="T18" i="71"/>
  <c r="U18" i="71" s="1"/>
  <c r="V18" i="71" s="1"/>
  <c r="T17" i="71"/>
  <c r="U17" i="71" s="1"/>
  <c r="V17" i="71" s="1"/>
  <c r="T16" i="71"/>
  <c r="U16" i="71" s="1"/>
  <c r="V16" i="71" s="1"/>
  <c r="T15" i="71"/>
  <c r="U15" i="71" s="1"/>
  <c r="V15" i="71" s="1"/>
  <c r="A15" i="71"/>
  <c r="A16" i="71" s="1"/>
  <c r="A17" i="71" s="1"/>
  <c r="A18" i="71" s="1"/>
  <c r="T14" i="71"/>
  <c r="U14" i="71" s="1"/>
  <c r="V14" i="71" s="1"/>
  <c r="A14" i="71"/>
  <c r="T13" i="71"/>
  <c r="U13" i="71" s="1"/>
  <c r="V13" i="71" s="1"/>
  <c r="T12" i="71"/>
  <c r="U12" i="71" s="1"/>
  <c r="V12" i="71" s="1"/>
  <c r="T11" i="71"/>
  <c r="U11" i="71" s="1"/>
  <c r="V11" i="71" s="1"/>
  <c r="U10" i="71"/>
  <c r="V10" i="71" s="1"/>
  <c r="T10" i="71"/>
  <c r="T9" i="71"/>
  <c r="U9" i="71" s="1"/>
  <c r="V9" i="71" s="1"/>
  <c r="T8" i="71"/>
  <c r="U8" i="71" s="1"/>
  <c r="V8" i="71" s="1"/>
  <c r="A8" i="71"/>
  <c r="A9" i="71" s="1"/>
  <c r="A10" i="71" s="1"/>
  <c r="A11" i="71" s="1"/>
  <c r="T7" i="71"/>
  <c r="R58" i="70"/>
  <c r="Q58" i="70"/>
  <c r="P58" i="70"/>
  <c r="O58" i="70"/>
  <c r="N58" i="70"/>
  <c r="M58" i="70"/>
  <c r="J58" i="70"/>
  <c r="I58" i="70"/>
  <c r="G58" i="70"/>
  <c r="F58" i="70"/>
  <c r="U54" i="70"/>
  <c r="V54" i="70" s="1"/>
  <c r="T54" i="70"/>
  <c r="T53" i="70"/>
  <c r="U53" i="70" s="1"/>
  <c r="V53" i="70" s="1"/>
  <c r="U52" i="70"/>
  <c r="V52" i="70" s="1"/>
  <c r="T52" i="70"/>
  <c r="U51" i="70"/>
  <c r="V51" i="70" s="1"/>
  <c r="T51" i="70"/>
  <c r="U50" i="70"/>
  <c r="V50" i="70" s="1"/>
  <c r="T50" i="70"/>
  <c r="T49" i="70"/>
  <c r="U49" i="70" s="1"/>
  <c r="V49" i="70" s="1"/>
  <c r="T48" i="70"/>
  <c r="U48" i="70" s="1"/>
  <c r="V48" i="70" s="1"/>
  <c r="T47" i="70"/>
  <c r="U47" i="70" s="1"/>
  <c r="V47" i="70" s="1"/>
  <c r="U46" i="70"/>
  <c r="V46" i="70" s="1"/>
  <c r="T46" i="70"/>
  <c r="T45" i="70"/>
  <c r="U45" i="70" s="1"/>
  <c r="V45" i="70" s="1"/>
  <c r="T41" i="70"/>
  <c r="U41" i="70" s="1"/>
  <c r="V41" i="70" s="1"/>
  <c r="T40" i="70"/>
  <c r="U40" i="70" s="1"/>
  <c r="V40" i="70" s="1"/>
  <c r="T39" i="70"/>
  <c r="U39" i="70" s="1"/>
  <c r="V39" i="70" s="1"/>
  <c r="T38" i="70"/>
  <c r="U38" i="70" s="1"/>
  <c r="V38" i="70" s="1"/>
  <c r="T36" i="70"/>
  <c r="U36" i="70" s="1"/>
  <c r="V36" i="70" s="1"/>
  <c r="T35" i="70"/>
  <c r="U35" i="70" s="1"/>
  <c r="V35" i="70" s="1"/>
  <c r="T34" i="70"/>
  <c r="T33" i="70"/>
  <c r="U33" i="70" s="1"/>
  <c r="V33" i="70" s="1"/>
  <c r="T32" i="70"/>
  <c r="U32" i="70" s="1"/>
  <c r="V32" i="70" s="1"/>
  <c r="T31" i="70"/>
  <c r="U31" i="70" s="1"/>
  <c r="V31" i="70" s="1"/>
  <c r="T30" i="70"/>
  <c r="U30" i="70" s="1"/>
  <c r="V30" i="70" s="1"/>
  <c r="T29" i="70"/>
  <c r="U29" i="70" s="1"/>
  <c r="V29" i="70" s="1"/>
  <c r="T28" i="70"/>
  <c r="U28" i="70" s="1"/>
  <c r="V28" i="70" s="1"/>
  <c r="T27" i="70"/>
  <c r="U27" i="70" s="1"/>
  <c r="V27" i="70" s="1"/>
  <c r="T26" i="70"/>
  <c r="U26" i="70" s="1"/>
  <c r="V26" i="70" s="1"/>
  <c r="AY25" i="70"/>
  <c r="T25" i="70"/>
  <c r="U25" i="70" s="1"/>
  <c r="V25" i="70" s="1"/>
  <c r="T23" i="70"/>
  <c r="U23" i="70" s="1"/>
  <c r="V23" i="70" s="1"/>
  <c r="T22" i="70"/>
  <c r="U22" i="70" s="1"/>
  <c r="V22" i="70" s="1"/>
  <c r="T21" i="70"/>
  <c r="U21" i="70" s="1"/>
  <c r="V21" i="70" s="1"/>
  <c r="T20" i="70"/>
  <c r="U20" i="70" s="1"/>
  <c r="V20" i="70" s="1"/>
  <c r="A20" i="70"/>
  <c r="A21" i="70" s="1"/>
  <c r="A22" i="70" s="1"/>
  <c r="A23" i="70" s="1"/>
  <c r="A24" i="70" s="1"/>
  <c r="A25" i="70" s="1"/>
  <c r="A26" i="70" s="1"/>
  <c r="A27" i="70" s="1"/>
  <c r="A28" i="70" s="1"/>
  <c r="A29" i="70" s="1"/>
  <c r="A30" i="70" s="1"/>
  <c r="A31" i="70" s="1"/>
  <c r="A32" i="70" s="1"/>
  <c r="A33" i="70" s="1"/>
  <c r="A34" i="70" s="1"/>
  <c r="A35" i="70" s="1"/>
  <c r="A36" i="70" s="1"/>
  <c r="A37" i="70" s="1"/>
  <c r="A38" i="70" s="1"/>
  <c r="A39" i="70" s="1"/>
  <c r="A40" i="70" s="1"/>
  <c r="A41" i="70" s="1"/>
  <c r="A42" i="70" s="1"/>
  <c r="A43" i="70" s="1"/>
  <c r="A44" i="70" s="1"/>
  <c r="A45" i="70" s="1"/>
  <c r="A46" i="70" s="1"/>
  <c r="A47" i="70" s="1"/>
  <c r="A48" i="70" s="1"/>
  <c r="A49" i="70" s="1"/>
  <c r="A50" i="70" s="1"/>
  <c r="A51" i="70" s="1"/>
  <c r="A52" i="70" s="1"/>
  <c r="A53" i="70" s="1"/>
  <c r="A54" i="70" s="1"/>
  <c r="A55" i="70" s="1"/>
  <c r="A56" i="70" s="1"/>
  <c r="A57" i="70" s="1"/>
  <c r="T18" i="70"/>
  <c r="U18" i="70" s="1"/>
  <c r="V18" i="70" s="1"/>
  <c r="T17" i="70"/>
  <c r="U17" i="70" s="1"/>
  <c r="V17" i="70" s="1"/>
  <c r="T16" i="70"/>
  <c r="U16" i="70" s="1"/>
  <c r="V16" i="70" s="1"/>
  <c r="T15" i="70"/>
  <c r="U15" i="70" s="1"/>
  <c r="V15" i="70" s="1"/>
  <c r="T14" i="70"/>
  <c r="U14" i="70" s="1"/>
  <c r="V14" i="70" s="1"/>
  <c r="A14" i="70"/>
  <c r="A15" i="70" s="1"/>
  <c r="A16" i="70" s="1"/>
  <c r="A17" i="70" s="1"/>
  <c r="A18" i="70" s="1"/>
  <c r="T13" i="70"/>
  <c r="U13" i="70" s="1"/>
  <c r="V13" i="70" s="1"/>
  <c r="T12" i="70"/>
  <c r="U12" i="70" s="1"/>
  <c r="V12" i="70" s="1"/>
  <c r="T11" i="70"/>
  <c r="U11" i="70" s="1"/>
  <c r="V11" i="70" s="1"/>
  <c r="T10" i="70"/>
  <c r="U9" i="70"/>
  <c r="V9" i="70" s="1"/>
  <c r="T9" i="70"/>
  <c r="T8" i="70"/>
  <c r="U8" i="70" s="1"/>
  <c r="V8" i="70" s="1"/>
  <c r="A8" i="70"/>
  <c r="A9" i="70" s="1"/>
  <c r="A10" i="70" s="1"/>
  <c r="A11" i="70" s="1"/>
  <c r="T7" i="70"/>
  <c r="U58" i="75" l="1"/>
  <c r="T58" i="72"/>
  <c r="U7" i="72"/>
  <c r="U58" i="72" s="1"/>
  <c r="U58" i="76"/>
  <c r="V7" i="76"/>
  <c r="V58" i="76" s="1"/>
  <c r="V58" i="75"/>
  <c r="V58" i="74"/>
  <c r="U58" i="74"/>
  <c r="U58" i="73"/>
  <c r="V7" i="73"/>
  <c r="V58" i="73" s="1"/>
  <c r="T58" i="71"/>
  <c r="U43" i="70"/>
  <c r="V43" i="70" s="1"/>
  <c r="K58" i="70"/>
  <c r="U34" i="70"/>
  <c r="V34" i="70" s="1"/>
  <c r="H58" i="70"/>
  <c r="T58" i="70"/>
  <c r="C58" i="70"/>
  <c r="U10" i="70"/>
  <c r="V10" i="70" s="1"/>
  <c r="U7" i="71"/>
  <c r="U7" i="70"/>
  <c r="R58" i="69"/>
  <c r="Q58" i="69"/>
  <c r="P58" i="69"/>
  <c r="O58" i="69"/>
  <c r="N58" i="69"/>
  <c r="M58" i="69"/>
  <c r="K58" i="69"/>
  <c r="J58" i="69"/>
  <c r="I58" i="69"/>
  <c r="H58" i="69"/>
  <c r="G58" i="69"/>
  <c r="F58" i="69"/>
  <c r="C58" i="69"/>
  <c r="T54" i="69"/>
  <c r="U54" i="69" s="1"/>
  <c r="V54" i="69" s="1"/>
  <c r="U53" i="69"/>
  <c r="V53" i="69" s="1"/>
  <c r="T53" i="69"/>
  <c r="T52" i="69"/>
  <c r="U52" i="69" s="1"/>
  <c r="V52" i="69" s="1"/>
  <c r="T51" i="69"/>
  <c r="U51" i="69" s="1"/>
  <c r="V51" i="69" s="1"/>
  <c r="T50" i="69"/>
  <c r="U50" i="69" s="1"/>
  <c r="V50" i="69" s="1"/>
  <c r="U49" i="69"/>
  <c r="V49" i="69" s="1"/>
  <c r="T49" i="69"/>
  <c r="T48" i="69"/>
  <c r="U48" i="69" s="1"/>
  <c r="V48" i="69" s="1"/>
  <c r="T47" i="69"/>
  <c r="U47" i="69" s="1"/>
  <c r="V47" i="69" s="1"/>
  <c r="T46" i="69"/>
  <c r="U46" i="69" s="1"/>
  <c r="V46" i="69" s="1"/>
  <c r="U45" i="69"/>
  <c r="V45" i="69" s="1"/>
  <c r="T45" i="69"/>
  <c r="T43" i="69"/>
  <c r="U43" i="69" s="1"/>
  <c r="V43" i="69" s="1"/>
  <c r="U41" i="69"/>
  <c r="V41" i="69" s="1"/>
  <c r="T41" i="69"/>
  <c r="U40" i="69"/>
  <c r="V40" i="69" s="1"/>
  <c r="T40" i="69"/>
  <c r="T39" i="69"/>
  <c r="U39" i="69" s="1"/>
  <c r="V39" i="69" s="1"/>
  <c r="T38" i="69"/>
  <c r="U38" i="69" s="1"/>
  <c r="V38" i="69" s="1"/>
  <c r="T37" i="69"/>
  <c r="U37" i="69" s="1"/>
  <c r="V37" i="69" s="1"/>
  <c r="U36" i="69"/>
  <c r="V36" i="69" s="1"/>
  <c r="T36" i="69"/>
  <c r="T35" i="69"/>
  <c r="U35" i="69" s="1"/>
  <c r="V35" i="69" s="1"/>
  <c r="T34" i="69"/>
  <c r="U34" i="69" s="1"/>
  <c r="V34" i="69" s="1"/>
  <c r="U33" i="69"/>
  <c r="V33" i="69" s="1"/>
  <c r="T33" i="69"/>
  <c r="U32" i="69"/>
  <c r="V32" i="69" s="1"/>
  <c r="T32" i="69"/>
  <c r="T31" i="69"/>
  <c r="U31" i="69" s="1"/>
  <c r="V31" i="69" s="1"/>
  <c r="T30" i="69"/>
  <c r="U30" i="69" s="1"/>
  <c r="V30" i="69" s="1"/>
  <c r="T29" i="69"/>
  <c r="U29" i="69" s="1"/>
  <c r="V29" i="69" s="1"/>
  <c r="U28" i="69"/>
  <c r="V28" i="69" s="1"/>
  <c r="T28" i="69"/>
  <c r="T27" i="69"/>
  <c r="U27" i="69" s="1"/>
  <c r="V27" i="69" s="1"/>
  <c r="T26" i="69"/>
  <c r="U26" i="69" s="1"/>
  <c r="V26" i="69" s="1"/>
  <c r="AY25" i="69"/>
  <c r="T25" i="69"/>
  <c r="U25" i="69" s="1"/>
  <c r="V25" i="69" s="1"/>
  <c r="T24" i="69"/>
  <c r="U24" i="69" s="1"/>
  <c r="V24" i="69" s="1"/>
  <c r="T23" i="69"/>
  <c r="U23" i="69" s="1"/>
  <c r="V23" i="69" s="1"/>
  <c r="T22" i="69"/>
  <c r="U22" i="69" s="1"/>
  <c r="V22" i="69" s="1"/>
  <c r="A22" i="69"/>
  <c r="A23" i="69" s="1"/>
  <c r="A24" i="69" s="1"/>
  <c r="A25" i="69" s="1"/>
  <c r="A26" i="69" s="1"/>
  <c r="A27" i="69" s="1"/>
  <c r="A28" i="69" s="1"/>
  <c r="A29" i="69" s="1"/>
  <c r="A30" i="69" s="1"/>
  <c r="A31" i="69" s="1"/>
  <c r="A32" i="69" s="1"/>
  <c r="A33" i="69" s="1"/>
  <c r="A34" i="69" s="1"/>
  <c r="A35" i="69" s="1"/>
  <c r="A36" i="69" s="1"/>
  <c r="A37" i="69" s="1"/>
  <c r="A38" i="69" s="1"/>
  <c r="A39" i="69" s="1"/>
  <c r="A40" i="69" s="1"/>
  <c r="A41" i="69" s="1"/>
  <c r="A42" i="69" s="1"/>
  <c r="A43" i="69" s="1"/>
  <c r="A44" i="69" s="1"/>
  <c r="A45" i="69" s="1"/>
  <c r="A46" i="69" s="1"/>
  <c r="A47" i="69" s="1"/>
  <c r="A48" i="69" s="1"/>
  <c r="A49" i="69" s="1"/>
  <c r="A50" i="69" s="1"/>
  <c r="A51" i="69" s="1"/>
  <c r="A52" i="69" s="1"/>
  <c r="A53" i="69" s="1"/>
  <c r="A54" i="69" s="1"/>
  <c r="A55" i="69" s="1"/>
  <c r="A56" i="69" s="1"/>
  <c r="A57" i="69" s="1"/>
  <c r="T21" i="69"/>
  <c r="U21" i="69" s="1"/>
  <c r="V21" i="69" s="1"/>
  <c r="A21" i="69"/>
  <c r="T20" i="69"/>
  <c r="U20" i="69" s="1"/>
  <c r="V20" i="69" s="1"/>
  <c r="A20" i="69"/>
  <c r="T19" i="69"/>
  <c r="U19" i="69" s="1"/>
  <c r="V19" i="69" s="1"/>
  <c r="T18" i="69"/>
  <c r="U18" i="69" s="1"/>
  <c r="V18" i="69" s="1"/>
  <c r="T17" i="69"/>
  <c r="U17" i="69" s="1"/>
  <c r="V17" i="69" s="1"/>
  <c r="U16" i="69"/>
  <c r="V16" i="69" s="1"/>
  <c r="T16" i="69"/>
  <c r="T15" i="69"/>
  <c r="U15" i="69" s="1"/>
  <c r="V15" i="69" s="1"/>
  <c r="T14" i="69"/>
  <c r="U14" i="69" s="1"/>
  <c r="V14" i="69" s="1"/>
  <c r="A14" i="69"/>
  <c r="A15" i="69" s="1"/>
  <c r="A16" i="69" s="1"/>
  <c r="A17" i="69" s="1"/>
  <c r="A18" i="69" s="1"/>
  <c r="T13" i="69"/>
  <c r="U13" i="69" s="1"/>
  <c r="V13" i="69" s="1"/>
  <c r="T12" i="69"/>
  <c r="U12" i="69" s="1"/>
  <c r="V12" i="69" s="1"/>
  <c r="T11" i="69"/>
  <c r="U11" i="69" s="1"/>
  <c r="V11" i="69" s="1"/>
  <c r="T10" i="69"/>
  <c r="U10" i="69" s="1"/>
  <c r="V10" i="69" s="1"/>
  <c r="T9" i="69"/>
  <c r="A9" i="69"/>
  <c r="A10" i="69" s="1"/>
  <c r="A11" i="69" s="1"/>
  <c r="T8" i="69"/>
  <c r="U8" i="69" s="1"/>
  <c r="V8" i="69" s="1"/>
  <c r="A8" i="69"/>
  <c r="T7" i="69"/>
  <c r="U7" i="69" s="1"/>
  <c r="V7" i="72" l="1"/>
  <c r="V58" i="72" s="1"/>
  <c r="U58" i="71"/>
  <c r="V7" i="71"/>
  <c r="V58" i="71" s="1"/>
  <c r="U58" i="70"/>
  <c r="V7" i="70"/>
  <c r="V58" i="70" s="1"/>
  <c r="T58" i="69"/>
  <c r="V7" i="69"/>
  <c r="U9" i="69"/>
  <c r="V9" i="69" s="1"/>
  <c r="U58" i="69" l="1"/>
  <c r="V58" i="69"/>
  <c r="R58" i="32" l="1"/>
  <c r="Q58" i="32"/>
  <c r="P58" i="32"/>
  <c r="O58" i="32"/>
  <c r="N58" i="32"/>
  <c r="M58" i="32"/>
  <c r="K58" i="32"/>
  <c r="J58" i="32"/>
  <c r="I58" i="32"/>
  <c r="H58" i="32"/>
  <c r="G58" i="32"/>
  <c r="F58" i="32"/>
  <c r="C58" i="32"/>
  <c r="T54" i="32"/>
  <c r="U54" i="32" s="1"/>
  <c r="V54" i="32" s="1"/>
  <c r="T53" i="32"/>
  <c r="U53" i="32" s="1"/>
  <c r="V53" i="32" s="1"/>
  <c r="T52" i="32"/>
  <c r="U52" i="32" s="1"/>
  <c r="V52" i="32" s="1"/>
  <c r="T51" i="32"/>
  <c r="U51" i="32" s="1"/>
  <c r="V51" i="32" s="1"/>
  <c r="T50" i="32"/>
  <c r="U50" i="32" s="1"/>
  <c r="V50" i="32" s="1"/>
  <c r="T49" i="32"/>
  <c r="U49" i="32" s="1"/>
  <c r="V49" i="32" s="1"/>
  <c r="T48" i="32"/>
  <c r="U48" i="32" s="1"/>
  <c r="V48" i="32" s="1"/>
  <c r="T47" i="32"/>
  <c r="U47" i="32" s="1"/>
  <c r="V47" i="32" s="1"/>
  <c r="T46" i="32"/>
  <c r="U46" i="32" s="1"/>
  <c r="V46" i="32" s="1"/>
  <c r="T45" i="32"/>
  <c r="U45" i="32" s="1"/>
  <c r="V45" i="32" s="1"/>
  <c r="T43" i="32"/>
  <c r="U43" i="32" s="1"/>
  <c r="V43" i="32" s="1"/>
  <c r="T41" i="32"/>
  <c r="U41" i="32" s="1"/>
  <c r="V41" i="32" s="1"/>
  <c r="T40" i="32"/>
  <c r="U40" i="32"/>
  <c r="V40" i="32" s="1"/>
  <c r="T38" i="32"/>
  <c r="U38" i="32"/>
  <c r="V38" i="32" s="1"/>
  <c r="T37" i="32"/>
  <c r="U37" i="32" s="1"/>
  <c r="V37" i="32" s="1"/>
  <c r="T36" i="32"/>
  <c r="U36" i="32" s="1"/>
  <c r="V36" i="32" s="1"/>
  <c r="T35" i="32"/>
  <c r="U35" i="32" s="1"/>
  <c r="V35" i="32" s="1"/>
  <c r="T34" i="32"/>
  <c r="U34" i="32" s="1"/>
  <c r="V34" i="32" s="1"/>
  <c r="T33" i="32"/>
  <c r="U33" i="32" s="1"/>
  <c r="V33" i="32" s="1"/>
  <c r="T32" i="32"/>
  <c r="U32" i="32" s="1"/>
  <c r="V32" i="32" s="1"/>
  <c r="T31" i="32"/>
  <c r="U31" i="32" s="1"/>
  <c r="V31" i="32" s="1"/>
  <c r="T30" i="32"/>
  <c r="U30" i="32" s="1"/>
  <c r="V30" i="32" s="1"/>
  <c r="T29" i="32"/>
  <c r="U29" i="32" s="1"/>
  <c r="V29" i="32" s="1"/>
  <c r="T28" i="32"/>
  <c r="U28" i="32" s="1"/>
  <c r="V28" i="32" s="1"/>
  <c r="T26" i="32"/>
  <c r="U26" i="32" s="1"/>
  <c r="V26" i="32" s="1"/>
  <c r="AY25" i="32"/>
  <c r="T25" i="32"/>
  <c r="U25" i="32" s="1"/>
  <c r="V25" i="32" s="1"/>
  <c r="T24" i="32"/>
  <c r="U24" i="32" s="1"/>
  <c r="V24" i="32" s="1"/>
  <c r="T23" i="32"/>
  <c r="U23" i="32" s="1"/>
  <c r="V23" i="32" s="1"/>
  <c r="T22" i="32"/>
  <c r="U22" i="32" s="1"/>
  <c r="V22" i="32" s="1"/>
  <c r="T21" i="32"/>
  <c r="U21" i="32" s="1"/>
  <c r="V21" i="32" s="1"/>
  <c r="T20" i="32"/>
  <c r="U20" i="32" s="1"/>
  <c r="V20" i="32" s="1"/>
  <c r="A20" i="32"/>
  <c r="A21" i="32" s="1"/>
  <c r="A22" i="32" s="1"/>
  <c r="A23" i="32" s="1"/>
  <c r="A24" i="32" s="1"/>
  <c r="A25" i="32" s="1"/>
  <c r="A26" i="32" s="1"/>
  <c r="A27" i="32" s="1"/>
  <c r="A28" i="32" s="1"/>
  <c r="A29" i="32" s="1"/>
  <c r="A30" i="32" s="1"/>
  <c r="A31" i="32" s="1"/>
  <c r="A32" i="32" s="1"/>
  <c r="A33" i="32" s="1"/>
  <c r="A34" i="32" s="1"/>
  <c r="A35" i="32" s="1"/>
  <c r="A36" i="32" s="1"/>
  <c r="A37" i="32" s="1"/>
  <c r="A38" i="32" s="1"/>
  <c r="A39" i="32" s="1"/>
  <c r="A40" i="32" s="1"/>
  <c r="A41" i="32" s="1"/>
  <c r="A42" i="32" s="1"/>
  <c r="A43" i="32" s="1"/>
  <c r="A44" i="32" s="1"/>
  <c r="A45" i="32" s="1"/>
  <c r="A46" i="32" s="1"/>
  <c r="A47" i="32" s="1"/>
  <c r="A48" i="32" s="1"/>
  <c r="A49" i="32" s="1"/>
  <c r="A50" i="32" s="1"/>
  <c r="A51" i="32" s="1"/>
  <c r="A52" i="32" s="1"/>
  <c r="A53" i="32" s="1"/>
  <c r="A54" i="32" s="1"/>
  <c r="A55" i="32" s="1"/>
  <c r="A56" i="32" s="1"/>
  <c r="A57" i="32" s="1"/>
  <c r="T19" i="32"/>
  <c r="U19" i="32" s="1"/>
  <c r="V19" i="32" s="1"/>
  <c r="T18" i="32"/>
  <c r="U18" i="32" s="1"/>
  <c r="V18" i="32" s="1"/>
  <c r="T17" i="32"/>
  <c r="U17" i="32" s="1"/>
  <c r="V17" i="32" s="1"/>
  <c r="T16" i="32"/>
  <c r="U16" i="32" s="1"/>
  <c r="V16" i="32" s="1"/>
  <c r="T15" i="32"/>
  <c r="U15" i="32" s="1"/>
  <c r="V15" i="32" s="1"/>
  <c r="T14" i="32"/>
  <c r="U14" i="32" s="1"/>
  <c r="V14" i="32" s="1"/>
  <c r="A14" i="32"/>
  <c r="A15" i="32" s="1"/>
  <c r="A16" i="32" s="1"/>
  <c r="A17" i="32" s="1"/>
  <c r="A18" i="32" s="1"/>
  <c r="T13" i="32"/>
  <c r="U13" i="32" s="1"/>
  <c r="V13" i="32" s="1"/>
  <c r="T12" i="32"/>
  <c r="U12" i="32" s="1"/>
  <c r="V12" i="32" s="1"/>
  <c r="T11" i="32"/>
  <c r="U11" i="32" s="1"/>
  <c r="V11" i="32" s="1"/>
  <c r="T10" i="32"/>
  <c r="U10" i="32" s="1"/>
  <c r="V10" i="32" s="1"/>
  <c r="T9" i="32"/>
  <c r="U9" i="32" s="1"/>
  <c r="V9" i="32" s="1"/>
  <c r="A9" i="32"/>
  <c r="A10" i="32" s="1"/>
  <c r="A11" i="32" s="1"/>
  <c r="T8" i="32"/>
  <c r="U8" i="32"/>
  <c r="V8" i="32" s="1"/>
  <c r="A8" i="32"/>
  <c r="T7" i="32"/>
  <c r="T58" i="32" l="1"/>
  <c r="U7" i="32"/>
  <c r="U58" i="32" l="1"/>
  <c r="V7" i="32"/>
  <c r="V58" i="32" s="1"/>
</calcChain>
</file>

<file path=xl/sharedStrings.xml><?xml version="1.0" encoding="utf-8"?>
<sst xmlns="http://schemas.openxmlformats.org/spreadsheetml/2006/main" count="1848" uniqueCount="92">
  <si>
    <t>ROUTE 1</t>
  </si>
  <si>
    <t>PAMB</t>
  </si>
  <si>
    <t>PAMC</t>
  </si>
  <si>
    <t>KRB</t>
  </si>
  <si>
    <t>KRC</t>
  </si>
  <si>
    <t>CBC</t>
  </si>
  <si>
    <t>SDB</t>
  </si>
  <si>
    <t>SDC</t>
  </si>
  <si>
    <t>SMLB</t>
  </si>
  <si>
    <t>SMLL</t>
  </si>
  <si>
    <t>SMLC</t>
  </si>
  <si>
    <t>FBA</t>
  </si>
  <si>
    <t>FBAC</t>
  </si>
  <si>
    <t>FBL</t>
  </si>
  <si>
    <t>FBLC</t>
  </si>
  <si>
    <t>FBLY</t>
  </si>
  <si>
    <t>FBLYC</t>
  </si>
  <si>
    <t>PP</t>
  </si>
  <si>
    <t>PPG</t>
  </si>
  <si>
    <t>PL</t>
  </si>
  <si>
    <t>PPC</t>
  </si>
  <si>
    <t>RHS</t>
  </si>
  <si>
    <t>RHP</t>
  </si>
  <si>
    <t>RHL</t>
  </si>
  <si>
    <t>RHC</t>
  </si>
  <si>
    <t>RHSL</t>
  </si>
  <si>
    <t>SMFC</t>
  </si>
  <si>
    <t>GEK</t>
  </si>
  <si>
    <t>HSC</t>
  </si>
  <si>
    <t>HTL</t>
  </si>
  <si>
    <t>HTA</t>
  </si>
  <si>
    <t>HTS</t>
  </si>
  <si>
    <t>CB</t>
  </si>
  <si>
    <t>CC</t>
  </si>
  <si>
    <t>C10C</t>
  </si>
  <si>
    <t>CIB</t>
  </si>
  <si>
    <t>CIC</t>
  </si>
  <si>
    <t>EMPTIES</t>
  </si>
  <si>
    <t>RH5</t>
  </si>
  <si>
    <t>ROUTE 2</t>
  </si>
  <si>
    <t>ROUTE 3</t>
  </si>
  <si>
    <t>FLOOR STOCKS</t>
  </si>
  <si>
    <t>INVENTORY COUNT SHEET</t>
  </si>
  <si>
    <t>GUILLERMO BEVERAGE DISTRIBUTION SERVICES</t>
  </si>
  <si>
    <t>BOT</t>
  </si>
  <si>
    <t>SHL</t>
  </si>
  <si>
    <t>PL/RHL/GEK</t>
  </si>
  <si>
    <t>FB/SML/RHS</t>
  </si>
  <si>
    <t>HT</t>
  </si>
  <si>
    <t>PALLETS</t>
  </si>
  <si>
    <t>TOTAL</t>
  </si>
  <si>
    <t>TOTAL EMPTIES</t>
  </si>
  <si>
    <t>FULLS
 SKU</t>
  </si>
  <si>
    <t>CBB</t>
  </si>
  <si>
    <t>CNB</t>
  </si>
  <si>
    <t>CLC</t>
  </si>
  <si>
    <t>SMZB</t>
  </si>
  <si>
    <t>RH500C</t>
  </si>
  <si>
    <t>SMFB</t>
  </si>
  <si>
    <t>GE320</t>
  </si>
  <si>
    <t>M</t>
  </si>
  <si>
    <t>bot</t>
  </si>
  <si>
    <t>PP500C</t>
  </si>
  <si>
    <t>MGYZ</t>
  </si>
  <si>
    <t>WB</t>
  </si>
  <si>
    <t>WB BO LIL</t>
  </si>
  <si>
    <t>TOTAL INVENTORY PER CASE</t>
  </si>
  <si>
    <t>TOTAL INVENTORY BOTTLE PER CASE</t>
  </si>
  <si>
    <t>WAREHOUSE,  MISSING, BO, LILOY</t>
  </si>
  <si>
    <t>SML500C</t>
  </si>
  <si>
    <t xml:space="preserve">DATE: </t>
  </si>
  <si>
    <t>DATE: 08/03/2026</t>
  </si>
  <si>
    <t>DATE: 08/04/2026</t>
  </si>
  <si>
    <t>DATE: 08/05/2026</t>
  </si>
  <si>
    <t>DATE: 08/06/2026</t>
  </si>
  <si>
    <t>DATE: 08/07/2026</t>
  </si>
  <si>
    <t>DATE: 08/10/2026</t>
  </si>
  <si>
    <t>DATE: 08/11/2026</t>
  </si>
  <si>
    <t>DATE: 08/12/2026</t>
  </si>
  <si>
    <t>DATE: 08/13/2026</t>
  </si>
  <si>
    <t>DATE: 08/14/2026</t>
  </si>
  <si>
    <t>DATE: 08/15/2026</t>
  </si>
  <si>
    <t>DATE: 08/17/2026</t>
  </si>
  <si>
    <t>DATE: 08/20/2026</t>
  </si>
  <si>
    <t>DATE: 08/19/2026</t>
  </si>
  <si>
    <t>DATE: 08/18/2026</t>
  </si>
  <si>
    <t>DATE: 08/21/2026</t>
  </si>
  <si>
    <t>DATE: 08/24/2026</t>
  </si>
  <si>
    <t>DATE: 08/25/2026</t>
  </si>
  <si>
    <t>DATE: 08/26/2026</t>
  </si>
  <si>
    <t>DATE: 08/27/2026</t>
  </si>
  <si>
    <t>DATE: 08/28/2026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</si>
</sst>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3">
    <numFmt numFmtId="164" formatCode="_(* #,##0.00_);_(* \(#,##0.00\);_(* &quot;-&quot;??_);_(@_)"/>
    <numFmt numFmtId="165" formatCode="[$-F800]dddd\,\ mmmm\ dd\,\ yyyy"/>
    <numFmt numFmtId="166" formatCode="_(* #,##0_);_(* \(#,##0\);_(* &quot;-&quot;??_);_(@_)"/>
  </numFmts>
  <fonts count="16" x14ac:knownFonts="1">
    <font>
      <sz val="11"/>
      <color theme="1"/>
      <name val="Calibri"/>
      <family val="2"/>
      <scheme val="minor"/>
    </font>
    <font>
      <b/>
      <sz val="10"/>
      <name val="Calibri"/>
      <family val="2"/>
      <scheme val="minor"/>
    </font>
    <font>
      <sz val="10"/>
      <name val="Calibri"/>
      <family val="2"/>
      <scheme val="minor"/>
    </font>
    <font>
      <sz val="11"/>
      <color indexed="8"/>
      <name val="Calibri"/>
      <family val="2"/>
    </font>
    <font>
      <b/>
      <sz val="8"/>
      <name val="Calibri"/>
      <family val="2"/>
      <scheme val="minor"/>
    </font>
    <font>
      <sz val="10"/>
      <name val="Arial"/>
      <family val="2"/>
    </font>
    <font>
      <b/>
      <sz val="11"/>
      <name val="Calibri"/>
      <family val="2"/>
      <scheme val="minor"/>
    </font>
    <font>
      <b/>
      <sz val="12"/>
      <name val="Calibri"/>
      <family val="2"/>
      <scheme val="minor"/>
    </font>
    <font>
      <sz val="10"/>
      <color theme="0"/>
      <name val="Calibri"/>
      <family val="2"/>
      <scheme val="minor"/>
    </font>
    <font>
      <b/>
      <sz val="14"/>
      <color rgb="FFFF0000"/>
      <name val="Calibri"/>
      <family val="2"/>
      <scheme val="minor"/>
    </font>
    <font>
      <b/>
      <sz val="9"/>
      <name val="Calibri"/>
      <family val="2"/>
      <scheme val="minor"/>
    </font>
    <font>
      <b/>
      <sz val="14"/>
      <name val="Calibri"/>
      <family val="2"/>
      <scheme val="minor"/>
    </font>
    <font>
      <sz val="14"/>
      <name val="Calibri"/>
      <family val="2"/>
      <scheme val="minor"/>
    </font>
    <font>
      <sz val="12"/>
      <name val="Calibri"/>
      <family val="2"/>
      <scheme val="minor"/>
    </font>
    <font>
      <b/>
      <sz val="9"/>
      <color rgb="FFFF0000"/>
      <name val="Calibri"/>
      <family val="2"/>
      <scheme val="minor"/>
    </font>
    <font>
      <b/>
      <sz val="12"/>
      <color rgb="FFFF0000"/>
      <name val="Calibri"/>
      <family val="2"/>
      <scheme val="minor"/>
    </font>
  </fonts>
  <fills count="3">
    <fill>
      <patternFill patternType="none"/>
    </fill>
    <fill>
      <patternFill patternType="gray125"/>
    </fill>
    <fill>
      <patternFill patternType="solid">
        <fgColor rgb="FF92D050"/>
        <bgColor indexed="64"/>
      </patternFill>
    </fill>
  </fills>
  <borders count="64">
    <border>
      <left/>
      <right/>
      <top/>
      <bottom/>
      <diagonal/>
    </border>
    <border>
      <left style="medium">
        <color indexed="64"/>
      </left>
      <right style="thin">
        <color auto="1"/>
      </right>
      <top style="medium">
        <color auto="1"/>
      </top>
      <bottom style="medium">
        <color indexed="64"/>
      </bottom>
      <diagonal/>
    </border>
    <border>
      <left style="thin">
        <color auto="1"/>
      </left>
      <right style="thin">
        <color auto="1"/>
      </right>
      <top style="medium">
        <color auto="1"/>
      </top>
      <bottom style="medium">
        <color indexed="64"/>
      </bottom>
      <diagonal/>
    </border>
    <border>
      <left style="medium">
        <color indexed="64"/>
      </left>
      <right style="medium">
        <color indexed="64"/>
      </right>
      <top style="medium">
        <color indexed="64"/>
      </top>
      <bottom style="medium">
        <color indexed="64"/>
      </bottom>
      <diagonal/>
    </border>
    <border>
      <left/>
      <right style="medium">
        <color auto="1"/>
      </right>
      <top style="medium">
        <color auto="1"/>
      </top>
      <bottom style="medium">
        <color auto="1"/>
      </bottom>
      <diagonal/>
    </border>
    <border>
      <left style="medium">
        <color auto="1"/>
      </left>
      <right style="thin">
        <color auto="1"/>
      </right>
      <top style="thin">
        <color auto="1"/>
      </top>
      <bottom style="thin">
        <color auto="1"/>
      </bottom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  <border>
      <left style="medium">
        <color auto="1"/>
      </left>
      <right style="medium">
        <color auto="1"/>
      </right>
      <top/>
      <bottom style="medium">
        <color auto="1"/>
      </bottom>
      <diagonal/>
    </border>
    <border>
      <left style="medium">
        <color indexed="64"/>
      </left>
      <right style="medium">
        <color indexed="64"/>
      </right>
      <top/>
      <bottom/>
      <diagonal/>
    </border>
    <border>
      <left style="medium">
        <color auto="1"/>
      </left>
      <right style="medium">
        <color auto="1"/>
      </right>
      <top style="medium">
        <color auto="1"/>
      </top>
      <bottom/>
      <diagonal/>
    </border>
    <border>
      <left/>
      <right/>
      <top style="medium">
        <color indexed="64"/>
      </top>
      <bottom style="medium">
        <color indexed="64"/>
      </bottom>
      <diagonal/>
    </border>
    <border>
      <left style="thin">
        <color auto="1"/>
      </left>
      <right style="medium">
        <color auto="1"/>
      </right>
      <top style="medium">
        <color auto="1"/>
      </top>
      <bottom style="medium">
        <color indexed="64"/>
      </bottom>
      <diagonal/>
    </border>
    <border>
      <left style="medium">
        <color indexed="64"/>
      </left>
      <right style="thin">
        <color auto="1"/>
      </right>
      <top style="medium">
        <color indexed="64"/>
      </top>
      <bottom style="thin">
        <color auto="1"/>
      </bottom>
      <diagonal/>
    </border>
    <border>
      <left style="thin">
        <color auto="1"/>
      </left>
      <right style="thin">
        <color auto="1"/>
      </right>
      <top style="medium">
        <color indexed="64"/>
      </top>
      <bottom style="thin">
        <color auto="1"/>
      </bottom>
      <diagonal/>
    </border>
    <border>
      <left style="thin">
        <color auto="1"/>
      </left>
      <right style="medium">
        <color indexed="64"/>
      </right>
      <top style="medium">
        <color indexed="64"/>
      </top>
      <bottom style="thin">
        <color auto="1"/>
      </bottom>
      <diagonal/>
    </border>
    <border>
      <left style="thin">
        <color auto="1"/>
      </left>
      <right style="medium">
        <color indexed="64"/>
      </right>
      <top style="thin">
        <color auto="1"/>
      </top>
      <bottom style="thin">
        <color auto="1"/>
      </bottom>
      <diagonal/>
    </border>
    <border>
      <left style="medium">
        <color auto="1"/>
      </left>
      <right style="thin">
        <color auto="1"/>
      </right>
      <top/>
      <bottom style="thin">
        <color auto="1"/>
      </bottom>
      <diagonal/>
    </border>
    <border>
      <left style="thin">
        <color auto="1"/>
      </left>
      <right style="thin">
        <color auto="1"/>
      </right>
      <top/>
      <bottom style="thin">
        <color auto="1"/>
      </bottom>
      <diagonal/>
    </border>
    <border>
      <left style="thin">
        <color auto="1"/>
      </left>
      <right style="medium">
        <color auto="1"/>
      </right>
      <top/>
      <bottom style="thin">
        <color auto="1"/>
      </bottom>
      <diagonal/>
    </border>
    <border>
      <left style="medium">
        <color auto="1"/>
      </left>
      <right style="thin">
        <color auto="1"/>
      </right>
      <top style="thin">
        <color auto="1"/>
      </top>
      <bottom style="medium">
        <color auto="1"/>
      </bottom>
      <diagonal/>
    </border>
    <border>
      <left style="thin">
        <color auto="1"/>
      </left>
      <right style="thin">
        <color auto="1"/>
      </right>
      <top style="thin">
        <color auto="1"/>
      </top>
      <bottom style="medium">
        <color auto="1"/>
      </bottom>
      <diagonal/>
    </border>
    <border>
      <left style="thin">
        <color auto="1"/>
      </left>
      <right style="medium">
        <color auto="1"/>
      </right>
      <top style="thin">
        <color auto="1"/>
      </top>
      <bottom style="medium">
        <color auto="1"/>
      </bottom>
      <diagonal/>
    </border>
    <border>
      <left style="thin">
        <color auto="1"/>
      </left>
      <right/>
      <top style="medium">
        <color auto="1"/>
      </top>
      <bottom style="medium">
        <color indexed="64"/>
      </bottom>
      <diagonal/>
    </border>
    <border>
      <left style="medium">
        <color indexed="64"/>
      </left>
      <right style="medium">
        <color indexed="64"/>
      </right>
      <top/>
      <bottom style="thin">
        <color auto="1"/>
      </bottom>
      <diagonal/>
    </border>
    <border>
      <left style="medium">
        <color indexed="64"/>
      </left>
      <right style="medium">
        <color indexed="64"/>
      </right>
      <top style="thin">
        <color auto="1"/>
      </top>
      <bottom style="medium">
        <color indexed="64"/>
      </bottom>
      <diagonal/>
    </border>
    <border>
      <left style="medium">
        <color indexed="64"/>
      </left>
      <right style="medium">
        <color indexed="64"/>
      </right>
      <top style="medium">
        <color indexed="64"/>
      </top>
      <bottom style="thin">
        <color auto="1"/>
      </bottom>
      <diagonal/>
    </border>
    <border>
      <left style="medium">
        <color indexed="64"/>
      </left>
      <right style="thin">
        <color auto="1"/>
      </right>
      <top style="medium">
        <color auto="1"/>
      </top>
      <bottom/>
      <diagonal/>
    </border>
    <border>
      <left style="thin">
        <color auto="1"/>
      </left>
      <right style="thin">
        <color auto="1"/>
      </right>
      <top style="medium">
        <color auto="1"/>
      </top>
      <bottom/>
      <diagonal/>
    </border>
    <border>
      <left style="thin">
        <color auto="1"/>
      </left>
      <right style="medium">
        <color auto="1"/>
      </right>
      <top style="medium">
        <color auto="1"/>
      </top>
      <bottom/>
      <diagonal/>
    </border>
    <border>
      <left style="medium">
        <color indexed="64"/>
      </left>
      <right style="medium">
        <color indexed="64"/>
      </right>
      <top style="thin">
        <color auto="1"/>
      </top>
      <bottom style="thin">
        <color auto="1"/>
      </bottom>
      <diagonal/>
    </border>
    <border>
      <left style="medium">
        <color auto="1"/>
      </left>
      <right style="thin">
        <color auto="1"/>
      </right>
      <top style="thin">
        <color auto="1"/>
      </top>
      <bottom style="medium">
        <color rgb="FFFF0000"/>
      </bottom>
      <diagonal/>
    </border>
    <border>
      <left style="thin">
        <color auto="1"/>
      </left>
      <right style="thin">
        <color auto="1"/>
      </right>
      <top style="thin">
        <color auto="1"/>
      </top>
      <bottom style="medium">
        <color rgb="FFFF0000"/>
      </bottom>
      <diagonal/>
    </border>
    <border>
      <left style="thin">
        <color auto="1"/>
      </left>
      <right style="medium">
        <color indexed="64"/>
      </right>
      <top style="thin">
        <color auto="1"/>
      </top>
      <bottom style="medium">
        <color rgb="FFFF0000"/>
      </bottom>
      <diagonal/>
    </border>
    <border>
      <left style="thin">
        <color auto="1"/>
      </left>
      <right style="thin">
        <color auto="1"/>
      </right>
      <top/>
      <bottom style="medium">
        <color rgb="FFFF0000"/>
      </bottom>
      <diagonal/>
    </border>
    <border>
      <left style="thin">
        <color auto="1"/>
      </left>
      <right style="medium">
        <color auto="1"/>
      </right>
      <top/>
      <bottom style="medium">
        <color rgb="FFFF0000"/>
      </bottom>
      <diagonal/>
    </border>
    <border>
      <left style="medium">
        <color auto="1"/>
      </left>
      <right style="thin">
        <color auto="1"/>
      </right>
      <top style="medium">
        <color rgb="FFFF0000"/>
      </top>
      <bottom style="medium">
        <color rgb="FFFF0000"/>
      </bottom>
      <diagonal/>
    </border>
    <border>
      <left style="thin">
        <color auto="1"/>
      </left>
      <right style="thin">
        <color auto="1"/>
      </right>
      <top style="medium">
        <color rgb="FFFF0000"/>
      </top>
      <bottom style="medium">
        <color rgb="FFFF0000"/>
      </bottom>
      <diagonal/>
    </border>
    <border>
      <left style="thin">
        <color auto="1"/>
      </left>
      <right style="medium">
        <color auto="1"/>
      </right>
      <top style="medium">
        <color rgb="FFFF0000"/>
      </top>
      <bottom style="medium">
        <color rgb="FFFF0000"/>
      </bottom>
      <diagonal/>
    </border>
    <border>
      <left/>
      <right/>
      <top/>
      <bottom style="medium">
        <color rgb="FFFF0000"/>
      </bottom>
      <diagonal/>
    </border>
    <border>
      <left style="medium">
        <color auto="1"/>
      </left>
      <right style="thin">
        <color auto="1"/>
      </right>
      <top/>
      <bottom style="medium">
        <color rgb="FFFF0000"/>
      </bottom>
      <diagonal/>
    </border>
    <border>
      <left style="medium">
        <color indexed="64"/>
      </left>
      <right style="medium">
        <color indexed="64"/>
      </right>
      <top/>
      <bottom style="medium">
        <color rgb="FFFF0000"/>
      </bottom>
      <diagonal/>
    </border>
    <border>
      <left/>
      <right/>
      <top style="medium">
        <color rgb="FFFF0000"/>
      </top>
      <bottom style="medium">
        <color rgb="FFFF0000"/>
      </bottom>
      <diagonal/>
    </border>
    <border>
      <left style="medium">
        <color indexed="64"/>
      </left>
      <right style="medium">
        <color indexed="64"/>
      </right>
      <top style="medium">
        <color rgb="FFFF0000"/>
      </top>
      <bottom style="medium">
        <color rgb="FFFF0000"/>
      </bottom>
      <diagonal/>
    </border>
    <border>
      <left style="thin">
        <color auto="1"/>
      </left>
      <right/>
      <top style="thin">
        <color auto="1"/>
      </top>
      <bottom style="medium">
        <color auto="1"/>
      </bottom>
      <diagonal/>
    </border>
    <border>
      <left style="thin">
        <color auto="1"/>
      </left>
      <right/>
      <top style="medium">
        <color indexed="64"/>
      </top>
      <bottom style="thin">
        <color auto="1"/>
      </bottom>
      <diagonal/>
    </border>
    <border>
      <left style="thin">
        <color auto="1"/>
      </left>
      <right/>
      <top style="thin">
        <color auto="1"/>
      </top>
      <bottom style="thin">
        <color auto="1"/>
      </bottom>
      <diagonal/>
    </border>
    <border>
      <left style="thin">
        <color auto="1"/>
      </left>
      <right/>
      <top style="thin">
        <color auto="1"/>
      </top>
      <bottom style="medium">
        <color rgb="FFFF0000"/>
      </bottom>
      <diagonal/>
    </border>
    <border>
      <left style="thin">
        <color auto="1"/>
      </left>
      <right/>
      <top/>
      <bottom style="thin">
        <color auto="1"/>
      </bottom>
      <diagonal/>
    </border>
    <border>
      <left style="thin">
        <color auto="1"/>
      </left>
      <right/>
      <top style="medium">
        <color rgb="FFFF0000"/>
      </top>
      <bottom style="medium">
        <color rgb="FFFF0000"/>
      </bottom>
      <diagonal/>
    </border>
    <border>
      <left style="thin">
        <color auto="1"/>
      </left>
      <right/>
      <top/>
      <bottom style="medium">
        <color rgb="FFFF0000"/>
      </bottom>
      <diagonal/>
    </border>
    <border>
      <left/>
      <right style="thin">
        <color auto="1"/>
      </right>
      <top style="medium">
        <color auto="1"/>
      </top>
      <bottom/>
      <diagonal/>
    </border>
    <border>
      <left/>
      <right style="thin">
        <color auto="1"/>
      </right>
      <top style="thin">
        <color auto="1"/>
      </top>
      <bottom style="thin">
        <color auto="1"/>
      </bottom>
      <diagonal/>
    </border>
    <border>
      <left/>
      <right style="thin">
        <color auto="1"/>
      </right>
      <top/>
      <bottom style="medium">
        <color rgb="FFFF0000"/>
      </bottom>
      <diagonal/>
    </border>
    <border>
      <left/>
      <right style="thin">
        <color auto="1"/>
      </right>
      <top/>
      <bottom style="thin">
        <color auto="1"/>
      </bottom>
      <diagonal/>
    </border>
    <border>
      <left/>
      <right style="thin">
        <color auto="1"/>
      </right>
      <top style="medium">
        <color rgb="FFFF0000"/>
      </top>
      <bottom style="medium">
        <color rgb="FFFF0000"/>
      </bottom>
      <diagonal/>
    </border>
    <border>
      <left/>
      <right style="medium">
        <color indexed="64"/>
      </right>
      <top style="thin">
        <color auto="1"/>
      </top>
      <bottom style="thin">
        <color auto="1"/>
      </bottom>
      <diagonal/>
    </border>
    <border>
      <left style="medium">
        <color indexed="64"/>
      </left>
      <right style="medium">
        <color indexed="64"/>
      </right>
      <top style="medium">
        <color rgb="FFFF0000"/>
      </top>
      <bottom style="thin">
        <color auto="1"/>
      </bottom>
      <diagonal/>
    </border>
    <border>
      <left style="medium">
        <color indexed="64"/>
      </left>
      <right style="medium">
        <color indexed="64"/>
      </right>
      <top style="thin">
        <color auto="1"/>
      </top>
      <bottom/>
      <diagonal/>
    </border>
    <border>
      <left style="medium">
        <color indexed="64"/>
      </left>
      <right style="medium">
        <color indexed="64"/>
      </right>
      <top style="thin">
        <color auto="1"/>
      </top>
      <bottom style="medium">
        <color rgb="FFFF0000"/>
      </bottom>
      <diagonal/>
    </border>
    <border>
      <left style="medium">
        <color auto="1"/>
      </left>
      <right style="thin">
        <color auto="1"/>
      </right>
      <top/>
      <bottom/>
      <diagonal/>
    </border>
    <border>
      <left style="thin">
        <color auto="1"/>
      </left>
      <right style="thin">
        <color auto="1"/>
      </right>
      <top/>
      <bottom/>
      <diagonal/>
    </border>
    <border>
      <left style="thin">
        <color auto="1"/>
      </left>
      <right/>
      <top/>
      <bottom/>
      <diagonal/>
    </border>
    <border>
      <left style="thin">
        <color auto="1"/>
      </left>
      <right style="medium">
        <color auto="1"/>
      </right>
      <top/>
      <bottom/>
      <diagonal/>
    </border>
    <border>
      <left/>
      <right/>
      <top/>
      <bottom style="thin">
        <color indexed="64"/>
      </bottom>
      <diagonal/>
    </border>
  </borders>
  <cellStyleXfs count="4">
    <xf numFmtId="0" fontId="0" fillId="0" borderId="0"/>
    <xf numFmtId="164" fontId="3" fillId="0" borderId="0" applyFont="0" applyFill="0" applyBorder="0" applyAlignment="0" applyProtection="0"/>
    <xf numFmtId="0" fontId="5" fillId="0" borderId="0"/>
    <xf numFmtId="164" fontId="5" fillId="0" borderId="0" applyFont="0" applyFill="0" applyBorder="0" applyAlignment="0" applyProtection="0"/>
  </cellStyleXfs>
  <cellXfs count="128">
    <xf numFmtId="0" fontId="0" fillId="0" borderId="0" xfId="0"/>
    <xf numFmtId="166" fontId="2" fillId="0" borderId="6" xfId="3" applyNumberFormat="1" applyFont="1" applyFill="1" applyBorder="1" applyAlignment="1">
      <alignment vertical="center"/>
    </xf>
    <xf numFmtId="166" fontId="7" fillId="0" borderId="20" xfId="2" applyNumberFormat="1" applyFont="1" applyFill="1" applyBorder="1" applyAlignment="1">
      <alignment vertical="center"/>
    </xf>
    <xf numFmtId="166" fontId="2" fillId="0" borderId="23" xfId="3" applyNumberFormat="1" applyFont="1" applyFill="1" applyBorder="1" applyAlignment="1">
      <alignment vertical="center"/>
    </xf>
    <xf numFmtId="166" fontId="7" fillId="0" borderId="24" xfId="2" applyNumberFormat="1" applyFont="1" applyFill="1" applyBorder="1" applyAlignment="1">
      <alignment vertical="center"/>
    </xf>
    <xf numFmtId="166" fontId="7" fillId="0" borderId="19" xfId="2" applyNumberFormat="1" applyFont="1" applyFill="1" applyBorder="1" applyAlignment="1">
      <alignment vertical="center"/>
    </xf>
    <xf numFmtId="166" fontId="7" fillId="0" borderId="21" xfId="2" applyNumberFormat="1" applyFont="1" applyFill="1" applyBorder="1" applyAlignment="1">
      <alignment vertical="center"/>
    </xf>
    <xf numFmtId="166" fontId="2" fillId="0" borderId="25" xfId="3" applyNumberFormat="1" applyFont="1" applyFill="1" applyBorder="1" applyAlignment="1">
      <alignment vertical="center"/>
    </xf>
    <xf numFmtId="166" fontId="2" fillId="0" borderId="7" xfId="3" applyNumberFormat="1" applyFont="1" applyFill="1" applyBorder="1" applyAlignment="1">
      <alignment vertical="center"/>
    </xf>
    <xf numFmtId="0" fontId="2" fillId="0" borderId="0" xfId="2" applyFont="1" applyFill="1" applyAlignment="1">
      <alignment vertical="center"/>
    </xf>
    <xf numFmtId="0" fontId="7" fillId="0" borderId="0" xfId="2" applyFont="1" applyFill="1" applyAlignment="1">
      <alignment horizontal="center" vertical="center"/>
    </xf>
    <xf numFmtId="165" fontId="7" fillId="0" borderId="0" xfId="2" applyNumberFormat="1" applyFont="1" applyFill="1" applyAlignment="1">
      <alignment horizontal="center" vertical="center"/>
    </xf>
    <xf numFmtId="165" fontId="1" fillId="0" borderId="0" xfId="2" applyNumberFormat="1" applyFont="1" applyFill="1" applyAlignment="1">
      <alignment vertical="center"/>
    </xf>
    <xf numFmtId="0" fontId="1" fillId="0" borderId="0" xfId="2" applyFont="1" applyFill="1" applyAlignment="1">
      <alignment vertical="center"/>
    </xf>
    <xf numFmtId="166" fontId="8" fillId="0" borderId="0" xfId="2" applyNumberFormat="1" applyFont="1" applyFill="1" applyAlignment="1">
      <alignment vertical="center"/>
    </xf>
    <xf numFmtId="0" fontId="7" fillId="0" borderId="0" xfId="2" applyFont="1" applyFill="1" applyAlignment="1">
      <alignment vertical="center"/>
    </xf>
    <xf numFmtId="166" fontId="2" fillId="0" borderId="3" xfId="3" applyNumberFormat="1" applyFont="1" applyFill="1" applyBorder="1" applyAlignment="1">
      <alignment vertical="center"/>
    </xf>
    <xf numFmtId="166" fontId="2" fillId="0" borderId="2" xfId="3" applyNumberFormat="1" applyFont="1" applyFill="1" applyBorder="1" applyAlignment="1">
      <alignment vertical="center"/>
    </xf>
    <xf numFmtId="166" fontId="2" fillId="0" borderId="11" xfId="3" applyNumberFormat="1" applyFont="1" applyFill="1" applyBorder="1" applyAlignment="1">
      <alignment vertical="center"/>
    </xf>
    <xf numFmtId="166" fontId="2" fillId="0" borderId="13" xfId="3" applyNumberFormat="1" applyFont="1" applyFill="1" applyBorder="1" applyAlignment="1">
      <alignment vertical="center"/>
    </xf>
    <xf numFmtId="166" fontId="2" fillId="0" borderId="14" xfId="3" applyNumberFormat="1" applyFont="1" applyFill="1" applyBorder="1" applyAlignment="1">
      <alignment vertical="center"/>
    </xf>
    <xf numFmtId="166" fontId="2" fillId="0" borderId="15" xfId="3" applyNumberFormat="1" applyFont="1" applyFill="1" applyBorder="1" applyAlignment="1">
      <alignment vertical="center"/>
    </xf>
    <xf numFmtId="166" fontId="2" fillId="0" borderId="20" xfId="3" applyNumberFormat="1" applyFont="1" applyFill="1" applyBorder="1" applyAlignment="1">
      <alignment vertical="center"/>
    </xf>
    <xf numFmtId="166" fontId="2" fillId="0" borderId="21" xfId="3" applyNumberFormat="1" applyFont="1" applyFill="1" applyBorder="1" applyAlignment="1">
      <alignment vertical="center"/>
    </xf>
    <xf numFmtId="0" fontId="6" fillId="0" borderId="3" xfId="2" applyFont="1" applyFill="1" applyBorder="1" applyAlignment="1">
      <alignment horizontal="center" vertical="center"/>
    </xf>
    <xf numFmtId="0" fontId="11" fillId="0" borderId="16" xfId="2" applyFont="1" applyFill="1" applyBorder="1" applyAlignment="1">
      <alignment vertical="center"/>
    </xf>
    <xf numFmtId="0" fontId="11" fillId="0" borderId="5" xfId="2" applyFont="1" applyFill="1" applyBorder="1" applyAlignment="1">
      <alignment vertical="center"/>
    </xf>
    <xf numFmtId="0" fontId="11" fillId="0" borderId="0" xfId="2" applyFont="1" applyFill="1" applyAlignment="1">
      <alignment vertical="center"/>
    </xf>
    <xf numFmtId="0" fontId="12" fillId="0" borderId="0" xfId="2" applyFont="1" applyFill="1" applyAlignment="1">
      <alignment vertical="center"/>
    </xf>
    <xf numFmtId="0" fontId="11" fillId="0" borderId="19" xfId="2" applyFont="1" applyFill="1" applyBorder="1" applyAlignment="1">
      <alignment vertical="center" wrapText="1"/>
    </xf>
    <xf numFmtId="0" fontId="11" fillId="0" borderId="1" xfId="2" applyFont="1" applyFill="1" applyBorder="1" applyAlignment="1">
      <alignment vertical="center"/>
    </xf>
    <xf numFmtId="0" fontId="11" fillId="0" borderId="12" xfId="2" applyFont="1" applyFill="1" applyBorder="1" applyAlignment="1">
      <alignment vertical="center"/>
    </xf>
    <xf numFmtId="0" fontId="12" fillId="0" borderId="5" xfId="2" applyFont="1" applyFill="1" applyBorder="1" applyAlignment="1">
      <alignment vertical="center"/>
    </xf>
    <xf numFmtId="0" fontId="12" fillId="0" borderId="19" xfId="2" applyFont="1" applyFill="1" applyBorder="1" applyAlignment="1">
      <alignment vertical="center"/>
    </xf>
    <xf numFmtId="0" fontId="7" fillId="0" borderId="26" xfId="2" applyFont="1" applyFill="1" applyBorder="1" applyAlignment="1">
      <alignment horizontal="center" vertical="center"/>
    </xf>
    <xf numFmtId="0" fontId="7" fillId="0" borderId="27" xfId="2" applyFont="1" applyFill="1" applyBorder="1" applyAlignment="1">
      <alignment horizontal="center" vertical="center"/>
    </xf>
    <xf numFmtId="0" fontId="7" fillId="0" borderId="28" xfId="2" applyFont="1" applyFill="1" applyBorder="1" applyAlignment="1">
      <alignment horizontal="center" vertical="center"/>
    </xf>
    <xf numFmtId="0" fontId="7" fillId="0" borderId="5" xfId="2" applyFont="1" applyFill="1" applyBorder="1" applyAlignment="1">
      <alignment horizontal="center" vertical="center"/>
    </xf>
    <xf numFmtId="0" fontId="7" fillId="0" borderId="15" xfId="2" applyFont="1" applyFill="1" applyBorder="1" applyAlignment="1">
      <alignment horizontal="center" vertical="center"/>
    </xf>
    <xf numFmtId="0" fontId="10" fillId="0" borderId="29" xfId="2" applyFont="1" applyFill="1" applyBorder="1" applyAlignment="1">
      <alignment horizontal="center" vertical="center"/>
    </xf>
    <xf numFmtId="0" fontId="7" fillId="0" borderId="6" xfId="2" applyFont="1" applyFill="1" applyBorder="1" applyAlignment="1">
      <alignment horizontal="center" vertical="center"/>
    </xf>
    <xf numFmtId="0" fontId="7" fillId="0" borderId="12" xfId="2" applyFont="1" applyFill="1" applyBorder="1" applyAlignment="1">
      <alignment horizontal="center" vertical="center"/>
    </xf>
    <xf numFmtId="0" fontId="11" fillId="0" borderId="30" xfId="2" applyFont="1" applyFill="1" applyBorder="1" applyAlignment="1">
      <alignment vertical="center"/>
    </xf>
    <xf numFmtId="0" fontId="11" fillId="0" borderId="35" xfId="2" applyFont="1" applyFill="1" applyBorder="1" applyAlignment="1">
      <alignment vertical="center"/>
    </xf>
    <xf numFmtId="166" fontId="2" fillId="0" borderId="45" xfId="3" applyNumberFormat="1" applyFont="1" applyFill="1" applyBorder="1" applyAlignment="1">
      <alignment vertical="center"/>
    </xf>
    <xf numFmtId="166" fontId="2" fillId="0" borderId="44" xfId="3" applyNumberFormat="1" applyFont="1" applyFill="1" applyBorder="1" applyAlignment="1">
      <alignment vertical="center"/>
    </xf>
    <xf numFmtId="166" fontId="2" fillId="0" borderId="43" xfId="3" applyNumberFormat="1" applyFont="1" applyFill="1" applyBorder="1" applyAlignment="1">
      <alignment vertical="center"/>
    </xf>
    <xf numFmtId="166" fontId="2" fillId="0" borderId="22" xfId="3" applyNumberFormat="1" applyFont="1" applyFill="1" applyBorder="1" applyAlignment="1">
      <alignment vertical="center"/>
    </xf>
    <xf numFmtId="0" fontId="7" fillId="0" borderId="50" xfId="2" applyFont="1" applyFill="1" applyBorder="1" applyAlignment="1">
      <alignment horizontal="center" vertical="center"/>
    </xf>
    <xf numFmtId="0" fontId="7" fillId="0" borderId="51" xfId="2" applyFont="1" applyFill="1" applyBorder="1" applyAlignment="1">
      <alignment horizontal="center" vertical="center"/>
    </xf>
    <xf numFmtId="166" fontId="2" fillId="0" borderId="0" xfId="2" applyNumberFormat="1" applyFont="1" applyFill="1" applyAlignment="1">
      <alignment vertical="center"/>
    </xf>
    <xf numFmtId="0" fontId="11" fillId="0" borderId="59" xfId="2" applyFont="1" applyFill="1" applyBorder="1" applyAlignment="1">
      <alignment vertical="center"/>
    </xf>
    <xf numFmtId="166" fontId="13" fillId="0" borderId="6" xfId="3" applyNumberFormat="1" applyFont="1" applyFill="1" applyBorder="1" applyAlignment="1">
      <alignment vertical="center"/>
    </xf>
    <xf numFmtId="166" fontId="13" fillId="0" borderId="45" xfId="3" applyNumberFormat="1" applyFont="1" applyFill="1" applyBorder="1" applyAlignment="1">
      <alignment vertical="center"/>
    </xf>
    <xf numFmtId="166" fontId="13" fillId="0" borderId="15" xfId="3" applyNumberFormat="1" applyFont="1" applyFill="1" applyBorder="1" applyAlignment="1">
      <alignment vertical="center"/>
    </xf>
    <xf numFmtId="0" fontId="13" fillId="0" borderId="0" xfId="2" applyFont="1" applyFill="1" applyAlignment="1">
      <alignment vertical="center"/>
    </xf>
    <xf numFmtId="166" fontId="13" fillId="0" borderId="5" xfId="3" applyNumberFormat="1" applyFont="1" applyFill="1" applyBorder="1" applyAlignment="1">
      <alignment vertical="center"/>
    </xf>
    <xf numFmtId="166" fontId="13" fillId="0" borderId="51" xfId="3" applyNumberFormat="1" applyFont="1" applyFill="1" applyBorder="1" applyAlignment="1">
      <alignment vertical="center"/>
    </xf>
    <xf numFmtId="166" fontId="13" fillId="0" borderId="29" xfId="3" applyNumberFormat="1" applyFont="1" applyFill="1" applyBorder="1" applyAlignment="1">
      <alignment vertical="center"/>
    </xf>
    <xf numFmtId="166" fontId="13" fillId="0" borderId="31" xfId="3" applyNumberFormat="1" applyFont="1" applyFill="1" applyBorder="1" applyAlignment="1">
      <alignment vertical="center"/>
    </xf>
    <xf numFmtId="166" fontId="13" fillId="0" borderId="46" xfId="3" applyNumberFormat="1" applyFont="1" applyFill="1" applyBorder="1" applyAlignment="1">
      <alignment vertical="center"/>
    </xf>
    <xf numFmtId="166" fontId="13" fillId="0" borderId="32" xfId="3" applyNumberFormat="1" applyFont="1" applyFill="1" applyBorder="1" applyAlignment="1">
      <alignment vertical="center"/>
    </xf>
    <xf numFmtId="0" fontId="13" fillId="0" borderId="38" xfId="2" applyFont="1" applyFill="1" applyBorder="1" applyAlignment="1">
      <alignment vertical="center"/>
    </xf>
    <xf numFmtId="166" fontId="13" fillId="0" borderId="39" xfId="3" applyNumberFormat="1" applyFont="1" applyFill="1" applyBorder="1" applyAlignment="1">
      <alignment vertical="center"/>
    </xf>
    <xf numFmtId="166" fontId="13" fillId="0" borderId="52" xfId="3" applyNumberFormat="1" applyFont="1" applyFill="1" applyBorder="1" applyAlignment="1">
      <alignment vertical="center"/>
    </xf>
    <xf numFmtId="166" fontId="13" fillId="0" borderId="33" xfId="3" applyNumberFormat="1" applyFont="1" applyFill="1" applyBorder="1" applyAlignment="1">
      <alignment vertical="center"/>
    </xf>
    <xf numFmtId="166" fontId="13" fillId="0" borderId="49" xfId="3" applyNumberFormat="1" applyFont="1" applyFill="1" applyBorder="1" applyAlignment="1">
      <alignment vertical="center"/>
    </xf>
    <xf numFmtId="166" fontId="13" fillId="0" borderId="34" xfId="3" applyNumberFormat="1" applyFont="1" applyFill="1" applyBorder="1" applyAlignment="1">
      <alignment vertical="center"/>
    </xf>
    <xf numFmtId="166" fontId="13" fillId="0" borderId="58" xfId="3" applyNumberFormat="1" applyFont="1" applyFill="1" applyBorder="1" applyAlignment="1">
      <alignment vertical="center"/>
    </xf>
    <xf numFmtId="166" fontId="13" fillId="0" borderId="57" xfId="3" applyNumberFormat="1" applyFont="1" applyFill="1" applyBorder="1" applyAlignment="1">
      <alignment vertical="center"/>
    </xf>
    <xf numFmtId="166" fontId="13" fillId="0" borderId="17" xfId="3" applyNumberFormat="1" applyFont="1" applyFill="1" applyBorder="1" applyAlignment="1">
      <alignment vertical="center"/>
    </xf>
    <xf numFmtId="166" fontId="13" fillId="0" borderId="47" xfId="3" applyNumberFormat="1" applyFont="1" applyFill="1" applyBorder="1" applyAlignment="1">
      <alignment vertical="center"/>
    </xf>
    <xf numFmtId="166" fontId="13" fillId="0" borderId="18" xfId="3" applyNumberFormat="1" applyFont="1" applyFill="1" applyBorder="1" applyAlignment="1">
      <alignment vertical="center"/>
    </xf>
    <xf numFmtId="166" fontId="13" fillId="0" borderId="16" xfId="3" applyNumberFormat="1" applyFont="1" applyFill="1" applyBorder="1" applyAlignment="1">
      <alignment vertical="center"/>
    </xf>
    <xf numFmtId="166" fontId="13" fillId="0" borderId="53" xfId="3" applyNumberFormat="1" applyFont="1" applyFill="1" applyBorder="1" applyAlignment="1">
      <alignment vertical="center"/>
    </xf>
    <xf numFmtId="166" fontId="13" fillId="0" borderId="23" xfId="3" applyNumberFormat="1" applyFont="1" applyFill="1" applyBorder="1" applyAlignment="1">
      <alignment vertical="center"/>
    </xf>
    <xf numFmtId="166" fontId="13" fillId="0" borderId="56" xfId="3" applyNumberFormat="1" applyFont="1" applyFill="1" applyBorder="1" applyAlignment="1">
      <alignment vertical="center"/>
    </xf>
    <xf numFmtId="166" fontId="13" fillId="0" borderId="40" xfId="3" applyNumberFormat="1" applyFont="1" applyFill="1" applyBorder="1" applyAlignment="1">
      <alignment vertical="center"/>
    </xf>
    <xf numFmtId="166" fontId="13" fillId="0" borderId="60" xfId="3" applyNumberFormat="1" applyFont="1" applyFill="1" applyBorder="1" applyAlignment="1">
      <alignment vertical="center"/>
    </xf>
    <xf numFmtId="166" fontId="13" fillId="0" borderId="61" xfId="3" applyNumberFormat="1" applyFont="1" applyFill="1" applyBorder="1" applyAlignment="1">
      <alignment vertical="center"/>
    </xf>
    <xf numFmtId="166" fontId="13" fillId="0" borderId="62" xfId="3" applyNumberFormat="1" applyFont="1" applyFill="1" applyBorder="1" applyAlignment="1">
      <alignment vertical="center"/>
    </xf>
    <xf numFmtId="166" fontId="13" fillId="0" borderId="8" xfId="3" applyNumberFormat="1" applyFont="1" applyFill="1" applyBorder="1" applyAlignment="1">
      <alignment vertical="center"/>
    </xf>
    <xf numFmtId="166" fontId="13" fillId="0" borderId="36" xfId="3" applyNumberFormat="1" applyFont="1" applyFill="1" applyBorder="1" applyAlignment="1">
      <alignment vertical="center"/>
    </xf>
    <xf numFmtId="166" fontId="13" fillId="0" borderId="48" xfId="3" applyNumberFormat="1" applyFont="1" applyFill="1" applyBorder="1" applyAlignment="1">
      <alignment vertical="center"/>
    </xf>
    <xf numFmtId="166" fontId="13" fillId="0" borderId="37" xfId="3" applyNumberFormat="1" applyFont="1" applyFill="1" applyBorder="1" applyAlignment="1">
      <alignment vertical="center"/>
    </xf>
    <xf numFmtId="0" fontId="13" fillId="0" borderId="41" xfId="2" applyFont="1" applyFill="1" applyBorder="1" applyAlignment="1">
      <alignment vertical="center"/>
    </xf>
    <xf numFmtId="166" fontId="13" fillId="0" borderId="35" xfId="3" applyNumberFormat="1" applyFont="1" applyFill="1" applyBorder="1" applyAlignment="1">
      <alignment vertical="center"/>
    </xf>
    <xf numFmtId="166" fontId="13" fillId="0" borderId="54" xfId="3" applyNumberFormat="1" applyFont="1" applyFill="1" applyBorder="1" applyAlignment="1">
      <alignment vertical="center"/>
    </xf>
    <xf numFmtId="166" fontId="13" fillId="0" borderId="42" xfId="3" applyNumberFormat="1" applyFont="1" applyFill="1" applyBorder="1" applyAlignment="1">
      <alignment vertical="center"/>
    </xf>
    <xf numFmtId="0" fontId="7" fillId="0" borderId="45" xfId="2" applyFont="1" applyFill="1" applyBorder="1" applyAlignment="1">
      <alignment horizontal="center" vertical="center"/>
    </xf>
    <xf numFmtId="166" fontId="7" fillId="2" borderId="24" xfId="2" applyNumberFormat="1" applyFont="1" applyFill="1" applyBorder="1" applyAlignment="1">
      <alignment vertical="center"/>
    </xf>
    <xf numFmtId="0" fontId="11" fillId="0" borderId="0" xfId="2" applyFont="1" applyFill="1" applyBorder="1" applyAlignment="1">
      <alignment vertical="center" wrapText="1"/>
    </xf>
    <xf numFmtId="166" fontId="7" fillId="0" borderId="0" xfId="2" applyNumberFormat="1" applyFont="1" applyFill="1" applyBorder="1" applyAlignment="1">
      <alignment vertical="center"/>
    </xf>
    <xf numFmtId="0" fontId="15" fillId="0" borderId="6" xfId="2" applyFont="1" applyFill="1" applyBorder="1" applyAlignment="1">
      <alignment horizontal="center" vertical="center"/>
    </xf>
    <xf numFmtId="0" fontId="15" fillId="0" borderId="50" xfId="2" applyFont="1" applyFill="1" applyBorder="1" applyAlignment="1">
      <alignment horizontal="center" vertical="center"/>
    </xf>
    <xf numFmtId="0" fontId="13" fillId="0" borderId="63" xfId="2" applyFont="1" applyFill="1" applyBorder="1" applyAlignment="1">
      <alignment vertical="center"/>
    </xf>
    <xf numFmtId="0" fontId="7" fillId="0" borderId="45" xfId="2" applyFont="1" applyFill="1" applyBorder="1" applyAlignment="1">
      <alignment horizontal="center" vertical="center"/>
    </xf>
    <xf numFmtId="0" fontId="7" fillId="0" borderId="45" xfId="2" applyFont="1" applyFill="1" applyBorder="1" applyAlignment="1">
      <alignment horizontal="center" vertical="center"/>
    </xf>
    <xf numFmtId="0" fontId="7" fillId="0" borderId="45" xfId="2" applyFont="1" applyFill="1" applyBorder="1" applyAlignment="1">
      <alignment horizontal="center" vertical="center"/>
    </xf>
    <xf numFmtId="0" fontId="7" fillId="0" borderId="45" xfId="2" applyFont="1" applyFill="1" applyBorder="1" applyAlignment="1">
      <alignment horizontal="center" vertical="center"/>
    </xf>
    <xf numFmtId="0" fontId="7" fillId="0" borderId="45" xfId="2" applyFont="1" applyFill="1" applyBorder="1" applyAlignment="1">
      <alignment horizontal="center" vertical="center"/>
    </xf>
    <xf numFmtId="0" fontId="7" fillId="0" borderId="45" xfId="2" applyFont="1" applyFill="1" applyBorder="1" applyAlignment="1">
      <alignment horizontal="center" vertical="center"/>
    </xf>
    <xf numFmtId="0" fontId="7" fillId="0" borderId="45" xfId="2" applyFont="1" applyFill="1" applyBorder="1" applyAlignment="1">
      <alignment horizontal="center" vertical="center"/>
    </xf>
    <xf numFmtId="0" fontId="7" fillId="0" borderId="45" xfId="2" applyFont="1" applyFill="1" applyBorder="1" applyAlignment="1">
      <alignment horizontal="center" vertical="center"/>
    </xf>
    <xf numFmtId="0" fontId="7" fillId="0" borderId="45" xfId="2" applyFont="1" applyFill="1" applyBorder="1" applyAlignment="1">
      <alignment horizontal="center" vertical="center"/>
    </xf>
    <xf numFmtId="0" fontId="7" fillId="0" borderId="45" xfId="2" applyFont="1" applyFill="1" applyBorder="1" applyAlignment="1">
      <alignment horizontal="center" vertical="center"/>
    </xf>
    <xf numFmtId="0" fontId="7" fillId="0" borderId="45" xfId="2" applyFont="1" applyFill="1" applyBorder="1" applyAlignment="1">
      <alignment horizontal="center" vertical="center"/>
    </xf>
    <xf numFmtId="0" fontId="7" fillId="0" borderId="45" xfId="2" applyFont="1" applyFill="1" applyBorder="1" applyAlignment="1">
      <alignment horizontal="center" vertical="center"/>
    </xf>
    <xf numFmtId="0" fontId="7" fillId="0" borderId="45" xfId="2" applyFont="1" applyFill="1" applyBorder="1" applyAlignment="1">
      <alignment horizontal="center" vertical="center"/>
    </xf>
    <xf numFmtId="0" fontId="7" fillId="0" borderId="9" xfId="2" applyFont="1" applyFill="1" applyBorder="1" applyAlignment="1">
      <alignment horizontal="center" vertical="center" wrapText="1"/>
    </xf>
    <xf numFmtId="0" fontId="7" fillId="0" borderId="23" xfId="2" applyFont="1" applyFill="1" applyBorder="1" applyAlignment="1">
      <alignment horizontal="center" vertical="center" wrapText="1"/>
    </xf>
    <xf numFmtId="0" fontId="15" fillId="0" borderId="45" xfId="2" applyFont="1" applyFill="1" applyBorder="1" applyAlignment="1">
      <alignment horizontal="center" vertical="center"/>
    </xf>
    <xf numFmtId="0" fontId="15" fillId="0" borderId="55" xfId="2" applyFont="1" applyFill="1" applyBorder="1" applyAlignment="1">
      <alignment horizontal="center" vertical="center"/>
    </xf>
    <xf numFmtId="0" fontId="7" fillId="0" borderId="22" xfId="2" applyFont="1" applyFill="1" applyBorder="1" applyAlignment="1">
      <alignment horizontal="center" vertical="center"/>
    </xf>
    <xf numFmtId="0" fontId="7" fillId="0" borderId="10" xfId="2" applyFont="1" applyFill="1" applyBorder="1" applyAlignment="1">
      <alignment horizontal="center" vertical="center"/>
    </xf>
    <xf numFmtId="0" fontId="7" fillId="0" borderId="4" xfId="2" applyFont="1" applyFill="1" applyBorder="1" applyAlignment="1">
      <alignment horizontal="center" vertical="center"/>
    </xf>
    <xf numFmtId="0" fontId="9" fillId="0" borderId="0" xfId="2" applyFont="1" applyFill="1" applyAlignment="1">
      <alignment horizontal="right" vertical="center"/>
    </xf>
    <xf numFmtId="0" fontId="7" fillId="0" borderId="13" xfId="2" applyFont="1" applyFill="1" applyBorder="1" applyAlignment="1">
      <alignment horizontal="center" vertical="center"/>
    </xf>
    <xf numFmtId="0" fontId="7" fillId="0" borderId="44" xfId="2" applyFont="1" applyFill="1" applyBorder="1" applyAlignment="1">
      <alignment horizontal="center" vertical="center"/>
    </xf>
    <xf numFmtId="0" fontId="7" fillId="0" borderId="14" xfId="2" applyFont="1" applyFill="1" applyBorder="1" applyAlignment="1">
      <alignment horizontal="center" vertical="center"/>
    </xf>
    <xf numFmtId="0" fontId="4" fillId="0" borderId="9" xfId="2" applyFont="1" applyFill="1" applyBorder="1" applyAlignment="1">
      <alignment horizontal="center" vertical="center" wrapText="1"/>
    </xf>
    <xf numFmtId="0" fontId="4" fillId="0" borderId="23" xfId="2" applyFont="1" applyFill="1" applyBorder="1" applyAlignment="1">
      <alignment horizontal="center" vertical="center" wrapText="1"/>
    </xf>
    <xf numFmtId="0" fontId="14" fillId="0" borderId="9" xfId="2" applyFont="1" applyFill="1" applyBorder="1" applyAlignment="1">
      <alignment horizontal="center" vertical="center" wrapText="1"/>
    </xf>
    <xf numFmtId="0" fontId="14" fillId="0" borderId="23" xfId="2" applyFont="1" applyFill="1" applyBorder="1" applyAlignment="1">
      <alignment horizontal="center" vertical="center" wrapText="1"/>
    </xf>
    <xf numFmtId="0" fontId="7" fillId="0" borderId="45" xfId="2" applyFont="1" applyFill="1" applyBorder="1" applyAlignment="1">
      <alignment horizontal="center" vertical="center"/>
    </xf>
    <xf numFmtId="0" fontId="7" fillId="0" borderId="55" xfId="2" applyFont="1" applyFill="1" applyBorder="1" applyAlignment="1">
      <alignment horizontal="center" vertical="center"/>
    </xf>
    <xf numFmtId="0" fontId="10" fillId="0" borderId="9" xfId="2" applyFont="1" applyFill="1" applyBorder="1" applyAlignment="1">
      <alignment horizontal="center" vertical="center" wrapText="1"/>
    </xf>
    <xf numFmtId="0" fontId="10" fillId="0" borderId="23" xfId="2" applyFont="1" applyFill="1" applyBorder="1" applyAlignment="1">
      <alignment horizontal="center" vertical="center" wrapText="1"/>
    </xf>
  </cellXfs>
  <cellStyles count="4">
    <cellStyle name="Comma 2" xfId="1" xr:uid="{7E3C6B93-9232-4BE3-88EC-0E92E18B612E}"/>
    <cellStyle name="Comma 3" xfId="3" xr:uid="{B13EF1CC-7615-4728-8423-930D2E0A2DD0}"/>
    <cellStyle name="Normal" xfId="0" builtinId="0"/>
    <cellStyle name="Normal 2" xfId="2" xr:uid="{673CC06A-9352-4BA0-8197-2C6B88CEA130}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worksheet" Target="worksheets/sheet8.xml"/><Relationship Id="rId13" Type="http://schemas.openxmlformats.org/officeDocument/2006/relationships/worksheet" Target="worksheets/sheet13.xml"/><Relationship Id="rId18" Type="http://schemas.openxmlformats.org/officeDocument/2006/relationships/worksheet" Target="worksheets/sheet18.xml"/><Relationship Id="rId26" Type="http://schemas.openxmlformats.org/officeDocument/2006/relationships/calcChain" Target="calcChain.xml"/><Relationship Id="rId3" Type="http://schemas.openxmlformats.org/officeDocument/2006/relationships/worksheet" Target="worksheets/sheet3.xml"/><Relationship Id="rId21" Type="http://schemas.openxmlformats.org/officeDocument/2006/relationships/worksheet" Target="worksheets/sheet21.xml"/><Relationship Id="rId7" Type="http://schemas.openxmlformats.org/officeDocument/2006/relationships/worksheet" Target="worksheets/sheet7.xml"/><Relationship Id="rId12" Type="http://schemas.openxmlformats.org/officeDocument/2006/relationships/worksheet" Target="worksheets/sheet12.xml"/><Relationship Id="rId17" Type="http://schemas.openxmlformats.org/officeDocument/2006/relationships/worksheet" Target="worksheets/sheet17.xml"/><Relationship Id="rId25" Type="http://schemas.openxmlformats.org/officeDocument/2006/relationships/sharedStrings" Target="sharedStrings.xml"/><Relationship Id="rId2" Type="http://schemas.openxmlformats.org/officeDocument/2006/relationships/worksheet" Target="worksheets/sheet2.xml"/><Relationship Id="rId16" Type="http://schemas.openxmlformats.org/officeDocument/2006/relationships/worksheet" Target="worksheets/sheet16.xml"/><Relationship Id="rId20" Type="http://schemas.openxmlformats.org/officeDocument/2006/relationships/worksheet" Target="worksheets/sheet20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11" Type="http://schemas.openxmlformats.org/officeDocument/2006/relationships/worksheet" Target="worksheets/sheet11.xml"/><Relationship Id="rId24" Type="http://schemas.openxmlformats.org/officeDocument/2006/relationships/styles" Target="styles.xml"/><Relationship Id="rId5" Type="http://schemas.openxmlformats.org/officeDocument/2006/relationships/worksheet" Target="worksheets/sheet5.xml"/><Relationship Id="rId15" Type="http://schemas.openxmlformats.org/officeDocument/2006/relationships/worksheet" Target="worksheets/sheet15.xml"/><Relationship Id="rId23" Type="http://schemas.openxmlformats.org/officeDocument/2006/relationships/theme" Target="theme/theme1.xml"/><Relationship Id="rId10" Type="http://schemas.openxmlformats.org/officeDocument/2006/relationships/worksheet" Target="worksheets/sheet10.xml"/><Relationship Id="rId19" Type="http://schemas.openxmlformats.org/officeDocument/2006/relationships/worksheet" Target="worksheets/sheet19.xml"/><Relationship Id="rId4" Type="http://schemas.openxmlformats.org/officeDocument/2006/relationships/worksheet" Target="worksheets/sheet4.xml"/><Relationship Id="rId9" Type="http://schemas.openxmlformats.org/officeDocument/2006/relationships/worksheet" Target="worksheets/sheet9.xml"/><Relationship Id="rId14" Type="http://schemas.openxmlformats.org/officeDocument/2006/relationships/worksheet" Target="worksheets/sheet14.xml"/><Relationship Id="rId22" Type="http://schemas.openxmlformats.org/officeDocument/2006/relationships/worksheet" Target="worksheets/sheet22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4472C4"/>
      </a:accent1>
      <a:accent2>
        <a:srgbClr val="ED7D31"/>
      </a:accent2>
      <a:accent3>
        <a:srgbClr val="A5A5A5"/>
      </a:accent3>
      <a:accent4>
        <a:srgbClr val="FFC000"/>
      </a:accent4>
      <a:accent5>
        <a:srgbClr val="5B9BD5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_rels/sheet1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.bin"/></Relationships>
</file>

<file path=xl/worksheets/_rels/sheet2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2.bin"/></Relationships>
</file>

<file path=xl/worksheets/_rels/sheet3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3.bin"/></Relationships>
</file>

<file path=xl/worksheets/_rels/sheet4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4.bin"/></Relationships>
</file>

<file path=xl/worksheets/_rels/sheet5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5.bin"/></Relationships>
</file>

<file path=xl/worksheets/_rels/sheet6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6.bin"/></Relationships>
</file>

<file path=xl/worksheets/_rels/sheet7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7.bin"/></Relationships>
</file>

<file path=xl/worksheets/_rels/sheet8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8.bin"/></Relationships>
</file>

<file path=xl/worksheets/_rels/sheet9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9.bin"/></Relationships>
</file>

<file path=xl/worksheets/_rels/sheet10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0.bin"/></Relationships>
</file>

<file path=xl/worksheets/_rels/sheet11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1.bin"/></Relationships>
</file>

<file path=xl/worksheets/_rels/sheet12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2.bin"/></Relationships>
</file>

<file path=xl/worksheets/_rels/sheet13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3.bin"/></Relationships>
</file>

<file path=xl/worksheets/_rels/sheet14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4.bin"/></Relationships>
</file>

<file path=xl/worksheets/_rels/sheet15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5.bin"/></Relationships>
</file>

<file path=xl/worksheets/_rels/sheet16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6.bin"/></Relationships>
</file>

<file path=xl/worksheets/_rels/sheet17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7.bin"/></Relationships>
</file>

<file path=xl/worksheets/_rels/sheet18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8.bin"/></Relationships>
</file>

<file path=xl/worksheets/_rels/sheet19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9.bin"/></Relationships>
</file>

<file path=xl/worksheets/_rels/sheet20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20.bin"/></Relationships>
</file>

<file path=xl/worksheets/_rels/sheet21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21.bin"/></Relationships>
</file>

<file path=xl/worksheets/_rels/sheet22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22.bin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34AAD0B5-9BBE-4B8F-9457-EBD483EDFB0D}">
  <sheetPr>
    <pageSetUpPr fitToPage="1"/>
  </sheetPr>
  <dimension ref="A1:BB83"/>
  <sheetViews>
    <sheetView view="pageBreakPreview" zoomScale="55" zoomScaleNormal="100" zoomScaleSheetLayoutView="55" workbookViewId="0">
      <selection activeCell="O9" sqref="O9"/>
    </sheetView>
  </sheetViews>
  <sheetFormatPr defaultColWidth="9.140625" defaultRowHeight="18.75" x14ac:dyDescent="0.25"/>
  <cols>
    <col min="1" max="1" width="4.140625" style="9" bestFit="1" customWidth="1"/>
    <col min="2" max="2" width="12.28515625" style="28" customWidth="1"/>
    <col min="3" max="6" width="10" style="9" customWidth="1"/>
    <col min="7" max="7" width="6.85546875" style="9" customWidth="1"/>
    <col min="8" max="8" width="6.7109375" style="9" customWidth="1"/>
    <col min="9" max="9" width="6.7109375" style="9" bestFit="1" customWidth="1"/>
    <col min="10" max="10" width="6.85546875" style="9" customWidth="1"/>
    <col min="11" max="11" width="6.7109375" style="9" bestFit="1" customWidth="1"/>
    <col min="12" max="12" width="1.42578125" style="9" customWidth="1"/>
    <col min="13" max="13" width="10" style="9" customWidth="1"/>
    <col min="14" max="14" width="6.7109375" style="9" bestFit="1" customWidth="1"/>
    <col min="15" max="15" width="10" style="9" customWidth="1"/>
    <col min="16" max="16" width="5.5703125" style="9" customWidth="1"/>
    <col min="17" max="17" width="10" style="9" customWidth="1"/>
    <col min="18" max="18" width="6.7109375" style="9" bestFit="1" customWidth="1"/>
    <col min="19" max="19" width="1.42578125" style="9" customWidth="1"/>
    <col min="20" max="20" width="12.7109375" style="9" bestFit="1" customWidth="1"/>
    <col min="21" max="21" width="14.28515625" style="9" customWidth="1"/>
    <col min="22" max="22" width="19.5703125" style="9" bestFit="1" customWidth="1"/>
    <col min="23" max="49" width="7.28515625" style="9" customWidth="1"/>
    <col min="50" max="50" width="1.5703125" style="9" customWidth="1"/>
    <col min="51" max="51" width="9.42578125" style="9" customWidth="1"/>
    <col min="52" max="52" width="1.28515625" style="9" customWidth="1"/>
    <col min="53" max="53" width="12.7109375" style="9" bestFit="1" customWidth="1"/>
    <col min="54" max="54" width="10.28515625" style="9" bestFit="1" customWidth="1"/>
    <col min="55" max="16384" width="9.140625" style="9"/>
  </cols>
  <sheetData>
    <row r="1" spans="1:54" ht="15" customHeight="1" x14ac:dyDescent="0.25">
      <c r="B1" s="27" t="s">
        <v>42</v>
      </c>
      <c r="I1" s="116" t="s">
        <v>43</v>
      </c>
      <c r="J1" s="116"/>
      <c r="K1" s="116"/>
      <c r="L1" s="116"/>
      <c r="M1" s="116"/>
      <c r="N1" s="116"/>
      <c r="O1" s="116"/>
      <c r="P1" s="116"/>
      <c r="Q1" s="116"/>
      <c r="R1" s="116"/>
      <c r="S1" s="116"/>
      <c r="T1" s="116"/>
      <c r="U1" s="116"/>
    </row>
    <row r="2" spans="1:54" x14ac:dyDescent="0.25">
      <c r="B2" s="28" t="s">
        <v>70</v>
      </c>
    </row>
    <row r="3" spans="1:54" ht="19.5" thickBot="1" x14ac:dyDescent="0.3"/>
    <row r="4" spans="1:54" s="10" customFormat="1" ht="15.75" x14ac:dyDescent="0.25">
      <c r="B4" s="41" t="s">
        <v>52</v>
      </c>
      <c r="C4" s="117" t="s">
        <v>41</v>
      </c>
      <c r="D4" s="117"/>
      <c r="E4" s="117"/>
      <c r="F4" s="117"/>
      <c r="G4" s="117"/>
      <c r="H4" s="117"/>
      <c r="I4" s="117"/>
      <c r="J4" s="118"/>
      <c r="K4" s="119"/>
      <c r="M4" s="34" t="s">
        <v>0</v>
      </c>
      <c r="N4" s="94" t="s">
        <v>61</v>
      </c>
      <c r="O4" s="35" t="s">
        <v>39</v>
      </c>
      <c r="P4" s="94" t="s">
        <v>61</v>
      </c>
      <c r="Q4" s="36" t="s">
        <v>40</v>
      </c>
      <c r="R4" s="94" t="s">
        <v>61</v>
      </c>
      <c r="S4" s="9"/>
      <c r="T4" s="120" t="s">
        <v>68</v>
      </c>
      <c r="U4" s="122" t="s">
        <v>67</v>
      </c>
      <c r="V4" s="109" t="s">
        <v>66</v>
      </c>
      <c r="AF4" s="11"/>
      <c r="AG4" s="11"/>
      <c r="AH4" s="11"/>
      <c r="AI4" s="11"/>
      <c r="AJ4" s="11"/>
      <c r="AK4" s="11"/>
      <c r="AL4" s="11"/>
      <c r="AM4" s="11"/>
      <c r="AN4" s="11"/>
      <c r="AO4" s="11"/>
      <c r="AP4" s="11"/>
      <c r="AQ4" s="11"/>
      <c r="AR4" s="11"/>
      <c r="AS4" s="11"/>
      <c r="AT4" s="11"/>
      <c r="AU4" s="11"/>
      <c r="AV4" s="11"/>
      <c r="AW4" s="11"/>
      <c r="AX4" s="11"/>
      <c r="AY4" s="11"/>
      <c r="AZ4" s="11"/>
      <c r="BA4" s="11"/>
      <c r="BB4" s="11"/>
    </row>
    <row r="5" spans="1:54" s="10" customFormat="1" ht="15.75" x14ac:dyDescent="0.25">
      <c r="B5" s="37"/>
      <c r="C5" s="40"/>
      <c r="D5" s="40"/>
      <c r="E5" s="40"/>
      <c r="F5" s="40"/>
      <c r="G5" s="40"/>
      <c r="H5" s="93" t="s">
        <v>64</v>
      </c>
      <c r="I5" s="93" t="s">
        <v>60</v>
      </c>
      <c r="J5" s="111" t="s">
        <v>65</v>
      </c>
      <c r="K5" s="112"/>
      <c r="M5" s="37"/>
      <c r="N5" s="49"/>
      <c r="O5" s="40"/>
      <c r="P5" s="89"/>
      <c r="Q5" s="89"/>
      <c r="R5" s="38"/>
      <c r="S5" s="9"/>
      <c r="T5" s="121"/>
      <c r="U5" s="123"/>
      <c r="V5" s="110"/>
      <c r="AF5" s="11"/>
      <c r="AG5" s="11"/>
      <c r="AH5" s="11"/>
      <c r="AI5" s="11"/>
      <c r="AJ5" s="11"/>
      <c r="AK5" s="11"/>
      <c r="AL5" s="11"/>
      <c r="AM5" s="11"/>
      <c r="AN5" s="11"/>
      <c r="AO5" s="11"/>
      <c r="AP5" s="11"/>
      <c r="AQ5" s="11"/>
      <c r="AR5" s="11"/>
      <c r="AS5" s="11"/>
      <c r="AT5" s="11"/>
      <c r="AU5" s="11"/>
      <c r="AV5" s="11"/>
      <c r="AW5" s="11"/>
      <c r="AX5" s="11"/>
      <c r="AY5" s="11"/>
      <c r="AZ5" s="11"/>
      <c r="BA5" s="11"/>
      <c r="BB5" s="11"/>
    </row>
    <row r="6" spans="1:54" s="10" customFormat="1" ht="15.75" x14ac:dyDescent="0.25">
      <c r="B6" s="37"/>
      <c r="C6" s="40"/>
      <c r="D6" s="40"/>
      <c r="E6" s="40"/>
      <c r="F6" s="40"/>
      <c r="G6" s="40"/>
      <c r="H6" s="40"/>
      <c r="I6" s="40"/>
      <c r="J6" s="89"/>
      <c r="K6" s="38"/>
      <c r="M6" s="37"/>
      <c r="N6" s="49"/>
      <c r="O6" s="40"/>
      <c r="P6" s="89"/>
      <c r="Q6" s="89"/>
      <c r="R6" s="38"/>
      <c r="S6" s="9"/>
      <c r="T6" s="39"/>
      <c r="U6" s="39"/>
      <c r="V6" s="39"/>
      <c r="AF6" s="11"/>
      <c r="AG6" s="11"/>
      <c r="AH6" s="11"/>
      <c r="AI6" s="11"/>
      <c r="AJ6" s="11"/>
      <c r="AK6" s="11"/>
      <c r="AL6" s="11"/>
      <c r="AM6" s="11"/>
      <c r="AN6" s="11"/>
      <c r="AO6" s="11"/>
      <c r="AP6" s="11"/>
      <c r="AQ6" s="11"/>
      <c r="AR6" s="11"/>
      <c r="AS6" s="11"/>
      <c r="AT6" s="11"/>
      <c r="AU6" s="11"/>
      <c r="AV6" s="11"/>
      <c r="AW6" s="11"/>
      <c r="AX6" s="11"/>
      <c r="AY6" s="11"/>
      <c r="AZ6" s="11"/>
      <c r="BA6" s="11"/>
      <c r="BB6" s="11"/>
    </row>
    <row r="7" spans="1:54" x14ac:dyDescent="0.25">
      <c r="A7" s="27">
        <v>1</v>
      </c>
      <c r="B7" s="26" t="s">
        <v>32</v>
      </c>
      <c r="C7" s="52"/>
      <c r="D7" s="52"/>
      <c r="E7" s="52"/>
      <c r="F7" s="52"/>
      <c r="G7" s="52"/>
      <c r="H7" s="52"/>
      <c r="I7" s="52"/>
      <c r="J7" s="53"/>
      <c r="K7" s="54"/>
      <c r="L7" s="55"/>
      <c r="M7" s="56"/>
      <c r="N7" s="57"/>
      <c r="O7" s="52"/>
      <c r="P7" s="53"/>
      <c r="Q7" s="53"/>
      <c r="R7" s="54"/>
      <c r="S7" s="55"/>
      <c r="T7" s="58">
        <f>H7+I7+J7+K7+N7+P7+R7</f>
        <v>0</v>
      </c>
      <c r="U7" s="58">
        <f>C7*24+M7*24+O7*24+Q7*24+T7</f>
        <v>0</v>
      </c>
      <c r="V7" s="58">
        <f>U7/24</f>
        <v>0</v>
      </c>
      <c r="W7" s="50"/>
      <c r="AF7" s="12"/>
      <c r="AG7" s="12"/>
      <c r="AH7" s="12"/>
      <c r="AI7" s="12"/>
      <c r="AJ7" s="12"/>
      <c r="AK7" s="12"/>
      <c r="AL7" s="12"/>
      <c r="AM7" s="12"/>
      <c r="AN7" s="12"/>
      <c r="AO7" s="12"/>
      <c r="AP7" s="12"/>
      <c r="AQ7" s="12"/>
      <c r="AR7" s="12"/>
      <c r="AS7" s="12"/>
      <c r="AT7" s="12"/>
      <c r="AU7" s="12"/>
      <c r="AV7" s="12"/>
      <c r="AW7" s="12"/>
      <c r="AX7" s="12"/>
      <c r="AY7" s="12"/>
      <c r="AZ7" s="12"/>
      <c r="BA7" s="12"/>
      <c r="BB7" s="12"/>
    </row>
    <row r="8" spans="1:54" ht="19.5" thickBot="1" x14ac:dyDescent="0.3">
      <c r="A8" s="27">
        <f>A7+1</f>
        <v>2</v>
      </c>
      <c r="B8" s="42" t="s">
        <v>35</v>
      </c>
      <c r="C8" s="59"/>
      <c r="D8" s="59"/>
      <c r="E8" s="59"/>
      <c r="F8" s="59"/>
      <c r="G8" s="59"/>
      <c r="H8" s="59"/>
      <c r="I8" s="59"/>
      <c r="J8" s="60"/>
      <c r="K8" s="61"/>
      <c r="L8" s="62"/>
      <c r="M8" s="63"/>
      <c r="N8" s="64"/>
      <c r="O8" s="65"/>
      <c r="P8" s="66"/>
      <c r="Q8" s="66"/>
      <c r="R8" s="67"/>
      <c r="S8" s="62"/>
      <c r="T8" s="68">
        <f t="shared" ref="T8:T41" si="0">H8+I8+J8+K8+N8+P8+R8</f>
        <v>0</v>
      </c>
      <c r="U8" s="69">
        <f>C8*24+M8*24+O8*24+Q8*24+T8</f>
        <v>0</v>
      </c>
      <c r="V8" s="69">
        <f>U8/24</f>
        <v>0</v>
      </c>
      <c r="W8" s="50"/>
      <c r="AF8" s="12"/>
      <c r="AG8" s="12"/>
      <c r="AH8" s="12"/>
      <c r="AI8" s="12"/>
      <c r="AJ8" s="12"/>
      <c r="AK8" s="12"/>
      <c r="AL8" s="12"/>
      <c r="AM8" s="12"/>
      <c r="AN8" s="12"/>
      <c r="AO8" s="12"/>
      <c r="AP8" s="12"/>
      <c r="AQ8" s="12"/>
      <c r="AR8" s="12"/>
      <c r="AS8" s="12"/>
      <c r="AT8" s="12"/>
      <c r="AU8" s="12"/>
      <c r="AV8" s="12"/>
      <c r="AW8" s="12"/>
      <c r="AX8" s="12"/>
      <c r="AY8" s="12"/>
      <c r="AZ8" s="12"/>
      <c r="BA8" s="12"/>
      <c r="BB8" s="12"/>
    </row>
    <row r="9" spans="1:54" x14ac:dyDescent="0.25">
      <c r="A9" s="27">
        <f t="shared" ref="A9:A57" si="1">A8+1</f>
        <v>3</v>
      </c>
      <c r="B9" s="25" t="s">
        <v>33</v>
      </c>
      <c r="C9" s="70"/>
      <c r="D9" s="70"/>
      <c r="E9" s="70"/>
      <c r="F9" s="70"/>
      <c r="G9" s="70"/>
      <c r="H9" s="70"/>
      <c r="I9" s="70"/>
      <c r="J9" s="71"/>
      <c r="K9" s="72"/>
      <c r="L9" s="55"/>
      <c r="M9" s="73"/>
      <c r="N9" s="74"/>
      <c r="O9" s="70"/>
      <c r="P9" s="71"/>
      <c r="Q9" s="71"/>
      <c r="R9" s="72"/>
      <c r="S9" s="55"/>
      <c r="T9" s="75">
        <f t="shared" si="0"/>
        <v>0</v>
      </c>
      <c r="U9" s="76">
        <f t="shared" ref="U9:U11" si="2">C9*24+M9*24+O9*24+Q9*24+T9</f>
        <v>0</v>
      </c>
      <c r="V9" s="76">
        <f t="shared" ref="V9:V11" si="3">U9/24</f>
        <v>0</v>
      </c>
      <c r="W9" s="50"/>
      <c r="AF9" s="12"/>
      <c r="AG9" s="12"/>
      <c r="AH9" s="12"/>
      <c r="AI9" s="12"/>
      <c r="AJ9" s="12"/>
      <c r="AK9" s="12"/>
      <c r="AL9" s="12"/>
      <c r="AM9" s="12"/>
      <c r="AN9" s="12"/>
      <c r="AO9" s="12"/>
      <c r="AP9" s="12"/>
      <c r="AQ9" s="12"/>
      <c r="AR9" s="12"/>
      <c r="AS9" s="12"/>
      <c r="AT9" s="12"/>
      <c r="AU9" s="12"/>
      <c r="AV9" s="12"/>
      <c r="AW9" s="12"/>
      <c r="AX9" s="12"/>
      <c r="AY9" s="12"/>
      <c r="AZ9" s="12"/>
      <c r="BA9" s="12"/>
      <c r="BB9" s="12"/>
    </row>
    <row r="10" spans="1:54" x14ac:dyDescent="0.25">
      <c r="A10" s="27">
        <f t="shared" si="1"/>
        <v>4</v>
      </c>
      <c r="B10" s="26" t="s">
        <v>36</v>
      </c>
      <c r="C10" s="70"/>
      <c r="D10" s="70"/>
      <c r="E10" s="70"/>
      <c r="F10" s="70"/>
      <c r="G10" s="70"/>
      <c r="H10" s="70"/>
      <c r="I10" s="70"/>
      <c r="J10" s="71"/>
      <c r="K10" s="72"/>
      <c r="L10" s="55"/>
      <c r="M10" s="73"/>
      <c r="N10" s="74"/>
      <c r="O10" s="70"/>
      <c r="P10" s="71"/>
      <c r="Q10" s="71"/>
      <c r="R10" s="72"/>
      <c r="S10" s="55"/>
      <c r="T10" s="58">
        <f t="shared" si="0"/>
        <v>0</v>
      </c>
      <c r="U10" s="58">
        <f t="shared" si="2"/>
        <v>0</v>
      </c>
      <c r="V10" s="58">
        <f t="shared" si="3"/>
        <v>0</v>
      </c>
      <c r="W10" s="50"/>
      <c r="AF10" s="12"/>
      <c r="AG10" s="12"/>
      <c r="AH10" s="12"/>
      <c r="AI10" s="12"/>
      <c r="AJ10" s="12"/>
      <c r="AK10" s="12"/>
      <c r="AL10" s="12"/>
      <c r="AM10" s="12"/>
      <c r="AN10" s="12"/>
      <c r="AO10" s="12"/>
      <c r="AP10" s="12"/>
      <c r="AQ10" s="12"/>
      <c r="AR10" s="12"/>
      <c r="AS10" s="12"/>
      <c r="AT10" s="12"/>
      <c r="AU10" s="12"/>
      <c r="AV10" s="12"/>
      <c r="AW10" s="12"/>
      <c r="AX10" s="12"/>
      <c r="AY10" s="12"/>
      <c r="AZ10" s="12"/>
      <c r="BA10" s="12"/>
      <c r="BB10" s="12"/>
    </row>
    <row r="11" spans="1:54" x14ac:dyDescent="0.25">
      <c r="A11" s="27">
        <f t="shared" si="1"/>
        <v>5</v>
      </c>
      <c r="B11" s="26" t="s">
        <v>34</v>
      </c>
      <c r="C11" s="70"/>
      <c r="D11" s="70"/>
      <c r="E11" s="70"/>
      <c r="F11" s="70"/>
      <c r="G11" s="70"/>
      <c r="H11" s="70"/>
      <c r="I11" s="70"/>
      <c r="J11" s="71"/>
      <c r="K11" s="72"/>
      <c r="L11" s="55"/>
      <c r="M11" s="73"/>
      <c r="N11" s="74"/>
      <c r="O11" s="70"/>
      <c r="P11" s="71"/>
      <c r="Q11" s="71"/>
      <c r="R11" s="72"/>
      <c r="S11" s="55"/>
      <c r="T11" s="58">
        <f t="shared" si="0"/>
        <v>0</v>
      </c>
      <c r="U11" s="58">
        <f t="shared" si="2"/>
        <v>0</v>
      </c>
      <c r="V11" s="58">
        <f t="shared" si="3"/>
        <v>0</v>
      </c>
      <c r="AF11" s="12"/>
      <c r="AG11" s="12"/>
      <c r="AH11" s="12"/>
      <c r="AI11" s="12"/>
      <c r="AJ11" s="12"/>
      <c r="AK11" s="12"/>
      <c r="AL11" s="12"/>
      <c r="AM11" s="12"/>
      <c r="AN11" s="12"/>
      <c r="AO11" s="12"/>
      <c r="AP11" s="12"/>
      <c r="AQ11" s="12"/>
      <c r="AR11" s="12"/>
      <c r="AS11" s="12"/>
      <c r="AT11" s="12"/>
      <c r="AU11" s="12"/>
      <c r="AV11" s="12"/>
      <c r="AW11" s="12"/>
      <c r="AX11" s="12"/>
      <c r="AY11" s="12"/>
      <c r="AZ11" s="12"/>
      <c r="BA11" s="12"/>
      <c r="BB11" s="12"/>
    </row>
    <row r="12" spans="1:54" s="13" customFormat="1" ht="19.5" thickBot="1" x14ac:dyDescent="0.3">
      <c r="A12" s="27">
        <v>7</v>
      </c>
      <c r="B12" s="42" t="s">
        <v>30</v>
      </c>
      <c r="C12" s="59"/>
      <c r="D12" s="59"/>
      <c r="E12" s="59"/>
      <c r="F12" s="59"/>
      <c r="G12" s="59"/>
      <c r="H12" s="59"/>
      <c r="I12" s="59"/>
      <c r="J12" s="60"/>
      <c r="K12" s="61"/>
      <c r="L12" s="62"/>
      <c r="M12" s="63"/>
      <c r="N12" s="64"/>
      <c r="O12" s="65"/>
      <c r="P12" s="66"/>
      <c r="Q12" s="66"/>
      <c r="R12" s="67"/>
      <c r="S12" s="62"/>
      <c r="T12" s="58">
        <f t="shared" si="0"/>
        <v>0</v>
      </c>
      <c r="U12" s="69">
        <f>C12*24+M12*24+O12*24+Q12*24+T12</f>
        <v>0</v>
      </c>
      <c r="V12" s="69">
        <f>U12/24</f>
        <v>0</v>
      </c>
      <c r="W12" s="9"/>
      <c r="X12" s="9"/>
      <c r="Y12" s="9"/>
      <c r="Z12" s="9"/>
      <c r="AA12" s="9"/>
      <c r="AB12" s="9"/>
      <c r="AC12" s="9"/>
      <c r="AD12" s="9"/>
      <c r="AE12" s="9"/>
      <c r="AF12" s="12"/>
      <c r="AG12" s="12"/>
      <c r="AH12" s="12"/>
      <c r="AI12" s="12"/>
      <c r="AJ12" s="12"/>
      <c r="AK12" s="12"/>
      <c r="AL12" s="12"/>
      <c r="AM12" s="12"/>
      <c r="AN12" s="12"/>
      <c r="AO12" s="12"/>
      <c r="AP12" s="12"/>
      <c r="AQ12" s="12"/>
      <c r="AR12" s="12"/>
      <c r="AS12" s="12"/>
      <c r="AT12" s="12"/>
      <c r="AU12" s="12"/>
      <c r="AV12" s="12"/>
      <c r="AW12" s="12"/>
      <c r="AX12" s="12"/>
      <c r="AY12" s="12"/>
      <c r="AZ12" s="12"/>
      <c r="BA12" s="12"/>
      <c r="BB12" s="12"/>
    </row>
    <row r="13" spans="1:54" x14ac:dyDescent="0.25">
      <c r="A13" s="27">
        <v>11</v>
      </c>
      <c r="B13" s="25" t="s">
        <v>1</v>
      </c>
      <c r="C13" s="70"/>
      <c r="D13" s="70"/>
      <c r="E13" s="70"/>
      <c r="F13" s="70"/>
      <c r="G13" s="70"/>
      <c r="H13" s="70"/>
      <c r="I13" s="70"/>
      <c r="J13" s="71"/>
      <c r="K13" s="72"/>
      <c r="L13" s="55"/>
      <c r="M13" s="73"/>
      <c r="N13" s="74"/>
      <c r="O13" s="70"/>
      <c r="P13" s="71"/>
      <c r="Q13" s="71"/>
      <c r="R13" s="72"/>
      <c r="S13" s="55"/>
      <c r="T13" s="58">
        <f t="shared" si="0"/>
        <v>0</v>
      </c>
      <c r="U13" s="76">
        <f>C13*24+M13*24+O13*24+Q13*24+T13</f>
        <v>0</v>
      </c>
      <c r="V13" s="76">
        <f>U13/24</f>
        <v>0</v>
      </c>
      <c r="AF13" s="12"/>
      <c r="AG13" s="12"/>
      <c r="AH13" s="12"/>
      <c r="AI13" s="12"/>
      <c r="AJ13" s="12"/>
      <c r="AK13" s="12"/>
      <c r="AL13" s="12"/>
      <c r="AM13" s="12"/>
      <c r="AN13" s="12"/>
      <c r="AO13" s="12"/>
      <c r="AP13" s="12"/>
      <c r="AQ13" s="12"/>
      <c r="AR13" s="12"/>
      <c r="AS13" s="12"/>
      <c r="AT13" s="12"/>
      <c r="AU13" s="12"/>
      <c r="AV13" s="12"/>
      <c r="AW13" s="12"/>
      <c r="AX13" s="12"/>
      <c r="AY13" s="12"/>
      <c r="AZ13" s="12"/>
      <c r="BA13" s="12"/>
      <c r="BB13" s="12"/>
    </row>
    <row r="14" spans="1:54" x14ac:dyDescent="0.25">
      <c r="A14" s="27">
        <f t="shared" si="1"/>
        <v>12</v>
      </c>
      <c r="B14" s="26" t="s">
        <v>2</v>
      </c>
      <c r="C14" s="70"/>
      <c r="D14" s="70"/>
      <c r="E14" s="70"/>
      <c r="F14" s="70"/>
      <c r="G14" s="70"/>
      <c r="H14" s="70"/>
      <c r="I14" s="70"/>
      <c r="J14" s="71"/>
      <c r="K14" s="72"/>
      <c r="L14" s="55"/>
      <c r="M14" s="73"/>
      <c r="N14" s="74"/>
      <c r="O14" s="70"/>
      <c r="P14" s="71"/>
      <c r="Q14" s="71"/>
      <c r="R14" s="72"/>
      <c r="S14" s="55"/>
      <c r="T14" s="58">
        <f t="shared" si="0"/>
        <v>0</v>
      </c>
      <c r="U14" s="75">
        <f t="shared" ref="U14:U36" si="4">C14*24+M14*24+O14*24+Q14*24+T14</f>
        <v>0</v>
      </c>
      <c r="V14" s="75">
        <f t="shared" ref="V14:V36" si="5">U14/24</f>
        <v>0</v>
      </c>
      <c r="AF14" s="12"/>
      <c r="AG14" s="12"/>
      <c r="AH14" s="12"/>
      <c r="AI14" s="12"/>
      <c r="AJ14" s="12"/>
      <c r="AK14" s="12"/>
      <c r="AL14" s="12"/>
      <c r="AM14" s="12"/>
      <c r="AN14" s="12"/>
      <c r="AO14" s="12"/>
      <c r="AP14" s="12"/>
      <c r="AQ14" s="12"/>
      <c r="AR14" s="12"/>
      <c r="AS14" s="12"/>
      <c r="AT14" s="12"/>
      <c r="AU14" s="12"/>
      <c r="AV14" s="12"/>
      <c r="AW14" s="12"/>
      <c r="AX14" s="12"/>
      <c r="AY14" s="12"/>
      <c r="AZ14" s="12"/>
      <c r="BA14" s="12"/>
      <c r="BB14" s="12"/>
    </row>
    <row r="15" spans="1:54" x14ac:dyDescent="0.25">
      <c r="A15" s="27">
        <f t="shared" si="1"/>
        <v>13</v>
      </c>
      <c r="B15" s="26" t="s">
        <v>3</v>
      </c>
      <c r="C15" s="70"/>
      <c r="D15" s="70"/>
      <c r="E15" s="70"/>
      <c r="F15" s="70"/>
      <c r="G15" s="70"/>
      <c r="H15" s="70"/>
      <c r="I15" s="70"/>
      <c r="J15" s="71"/>
      <c r="K15" s="72"/>
      <c r="L15" s="55"/>
      <c r="M15" s="73"/>
      <c r="N15" s="74"/>
      <c r="O15" s="70"/>
      <c r="P15" s="71"/>
      <c r="Q15" s="71"/>
      <c r="R15" s="72"/>
      <c r="S15" s="55"/>
      <c r="T15" s="58">
        <f t="shared" si="0"/>
        <v>0</v>
      </c>
      <c r="U15" s="75">
        <f t="shared" si="4"/>
        <v>0</v>
      </c>
      <c r="V15" s="75">
        <f t="shared" si="5"/>
        <v>0</v>
      </c>
      <c r="AF15" s="12"/>
      <c r="AG15" s="12"/>
      <c r="AH15" s="12"/>
      <c r="AI15" s="12"/>
      <c r="AJ15" s="12"/>
      <c r="AK15" s="12"/>
      <c r="AL15" s="12"/>
      <c r="AM15" s="12"/>
      <c r="AN15" s="12"/>
      <c r="AO15" s="12"/>
      <c r="AP15" s="12"/>
      <c r="AQ15" s="12"/>
      <c r="AR15" s="12"/>
      <c r="AS15" s="12"/>
      <c r="AT15" s="12"/>
      <c r="AU15" s="12"/>
      <c r="AV15" s="12"/>
      <c r="AW15" s="12"/>
      <c r="AX15" s="12"/>
      <c r="AY15" s="12"/>
      <c r="AZ15" s="12"/>
      <c r="BA15" s="12"/>
      <c r="BB15" s="12"/>
    </row>
    <row r="16" spans="1:54" x14ac:dyDescent="0.25">
      <c r="A16" s="27">
        <f t="shared" si="1"/>
        <v>14</v>
      </c>
      <c r="B16" s="26" t="s">
        <v>4</v>
      </c>
      <c r="C16" s="70"/>
      <c r="D16" s="70"/>
      <c r="E16" s="70"/>
      <c r="F16" s="70"/>
      <c r="G16" s="70"/>
      <c r="H16" s="70"/>
      <c r="I16" s="70"/>
      <c r="J16" s="71"/>
      <c r="K16" s="72"/>
      <c r="L16" s="55"/>
      <c r="M16" s="73"/>
      <c r="N16" s="74"/>
      <c r="O16" s="70"/>
      <c r="P16" s="71"/>
      <c r="Q16" s="71"/>
      <c r="R16" s="72"/>
      <c r="S16" s="55"/>
      <c r="T16" s="58">
        <f t="shared" si="0"/>
        <v>0</v>
      </c>
      <c r="U16" s="75">
        <f t="shared" si="4"/>
        <v>0</v>
      </c>
      <c r="V16" s="75">
        <f t="shared" si="5"/>
        <v>0</v>
      </c>
      <c r="AF16" s="12"/>
      <c r="AG16" s="12"/>
      <c r="AH16" s="12"/>
      <c r="AI16" s="12"/>
      <c r="AJ16" s="12"/>
      <c r="AK16" s="12"/>
      <c r="AL16" s="12"/>
      <c r="AM16" s="12"/>
      <c r="AN16" s="12"/>
      <c r="AO16" s="12"/>
      <c r="AP16" s="12"/>
      <c r="AQ16" s="12"/>
      <c r="AR16" s="12"/>
      <c r="AS16" s="12"/>
      <c r="AT16" s="12"/>
      <c r="AU16" s="12"/>
      <c r="AV16" s="12"/>
      <c r="AW16" s="12"/>
      <c r="AX16" s="12"/>
      <c r="AY16" s="12"/>
      <c r="AZ16" s="12"/>
      <c r="BA16" s="12"/>
      <c r="BB16" s="12"/>
    </row>
    <row r="17" spans="1:54" x14ac:dyDescent="0.25">
      <c r="A17" s="27">
        <f t="shared" si="1"/>
        <v>15</v>
      </c>
      <c r="B17" s="26" t="s">
        <v>5</v>
      </c>
      <c r="C17" s="70"/>
      <c r="D17" s="70"/>
      <c r="E17" s="70"/>
      <c r="F17" s="70"/>
      <c r="G17" s="70"/>
      <c r="H17" s="70"/>
      <c r="I17" s="70"/>
      <c r="J17" s="71"/>
      <c r="K17" s="72"/>
      <c r="L17" s="55"/>
      <c r="M17" s="73"/>
      <c r="N17" s="74"/>
      <c r="O17" s="70"/>
      <c r="P17" s="71"/>
      <c r="Q17" s="71"/>
      <c r="R17" s="72"/>
      <c r="S17" s="55"/>
      <c r="T17" s="58">
        <f t="shared" si="0"/>
        <v>0</v>
      </c>
      <c r="U17" s="75">
        <f t="shared" si="4"/>
        <v>0</v>
      </c>
      <c r="V17" s="75">
        <f t="shared" si="5"/>
        <v>0</v>
      </c>
      <c r="AF17" s="12"/>
      <c r="AG17" s="12"/>
      <c r="AH17" s="12"/>
      <c r="AI17" s="12"/>
      <c r="AJ17" s="12"/>
      <c r="AK17" s="12"/>
      <c r="AL17" s="12"/>
      <c r="AM17" s="12"/>
      <c r="AN17" s="12"/>
      <c r="AO17" s="12"/>
      <c r="AP17" s="12"/>
      <c r="AQ17" s="12"/>
      <c r="AR17" s="12"/>
      <c r="AS17" s="12"/>
      <c r="AT17" s="12"/>
      <c r="AU17" s="12"/>
      <c r="AV17" s="12"/>
      <c r="AW17" s="12"/>
      <c r="AX17" s="12"/>
      <c r="AY17" s="12"/>
      <c r="AZ17" s="12"/>
      <c r="BA17" s="12"/>
      <c r="BB17" s="12"/>
    </row>
    <row r="18" spans="1:54" hidden="1" x14ac:dyDescent="0.25">
      <c r="A18" s="27">
        <f t="shared" si="1"/>
        <v>16</v>
      </c>
      <c r="B18" s="26" t="s">
        <v>9</v>
      </c>
      <c r="C18" s="70"/>
      <c r="D18" s="70"/>
      <c r="E18" s="70"/>
      <c r="F18" s="70"/>
      <c r="G18" s="70"/>
      <c r="H18" s="70"/>
      <c r="I18" s="70"/>
      <c r="J18" s="71"/>
      <c r="K18" s="72"/>
      <c r="L18" s="55"/>
      <c r="M18" s="73"/>
      <c r="N18" s="74"/>
      <c r="O18" s="70"/>
      <c r="P18" s="71"/>
      <c r="Q18" s="71"/>
      <c r="R18" s="72"/>
      <c r="S18" s="55"/>
      <c r="T18" s="58">
        <f t="shared" si="0"/>
        <v>0</v>
      </c>
      <c r="U18" s="75">
        <f t="shared" si="4"/>
        <v>0</v>
      </c>
      <c r="V18" s="75">
        <f t="shared" si="5"/>
        <v>0</v>
      </c>
      <c r="AF18" s="12"/>
      <c r="AG18" s="12"/>
      <c r="AH18" s="12"/>
      <c r="AI18" s="12"/>
      <c r="AJ18" s="12"/>
      <c r="AK18" s="12"/>
      <c r="AL18" s="12"/>
      <c r="AM18" s="12"/>
      <c r="AN18" s="12"/>
      <c r="AO18" s="12"/>
      <c r="AP18" s="12"/>
      <c r="AQ18" s="12"/>
      <c r="AR18" s="12"/>
      <c r="AS18" s="12"/>
      <c r="AT18" s="12"/>
      <c r="AU18" s="12"/>
      <c r="AV18" s="12"/>
      <c r="AW18" s="12"/>
      <c r="AX18" s="12"/>
      <c r="AY18" s="12"/>
      <c r="AZ18" s="12"/>
      <c r="BA18" s="12"/>
      <c r="BB18" s="12"/>
    </row>
    <row r="19" spans="1:54" x14ac:dyDescent="0.25">
      <c r="A19" s="27">
        <v>16</v>
      </c>
      <c r="B19" s="26" t="s">
        <v>53</v>
      </c>
      <c r="C19" s="70"/>
      <c r="D19" s="70"/>
      <c r="E19" s="70"/>
      <c r="F19" s="70"/>
      <c r="G19" s="70"/>
      <c r="H19" s="70"/>
      <c r="I19" s="70"/>
      <c r="J19" s="71"/>
      <c r="K19" s="72"/>
      <c r="L19" s="55"/>
      <c r="M19" s="73"/>
      <c r="N19" s="74"/>
      <c r="O19" s="70"/>
      <c r="P19" s="71"/>
      <c r="Q19" s="71"/>
      <c r="R19" s="72"/>
      <c r="S19" s="55"/>
      <c r="T19" s="58">
        <f t="shared" si="0"/>
        <v>0</v>
      </c>
      <c r="U19" s="75">
        <f t="shared" si="4"/>
        <v>0</v>
      </c>
      <c r="V19" s="75">
        <f t="shared" si="5"/>
        <v>0</v>
      </c>
      <c r="AF19" s="12"/>
      <c r="AG19" s="12"/>
      <c r="AH19" s="12"/>
      <c r="AI19" s="12"/>
      <c r="AJ19" s="12"/>
      <c r="AK19" s="12"/>
      <c r="AL19" s="12"/>
      <c r="AM19" s="12"/>
      <c r="AN19" s="12"/>
      <c r="AO19" s="12"/>
      <c r="AP19" s="12"/>
      <c r="AQ19" s="12"/>
      <c r="AR19" s="12"/>
      <c r="AS19" s="12"/>
      <c r="AT19" s="12"/>
      <c r="AU19" s="12"/>
      <c r="AV19" s="12"/>
      <c r="AW19" s="12"/>
      <c r="AX19" s="12"/>
      <c r="AY19" s="12"/>
      <c r="AZ19" s="12"/>
      <c r="BA19" s="12"/>
      <c r="BB19" s="12"/>
    </row>
    <row r="20" spans="1:54" x14ac:dyDescent="0.25">
      <c r="A20" s="27">
        <f t="shared" si="1"/>
        <v>17</v>
      </c>
      <c r="B20" s="26" t="s">
        <v>6</v>
      </c>
      <c r="C20" s="70"/>
      <c r="D20" s="70"/>
      <c r="E20" s="70"/>
      <c r="F20" s="70"/>
      <c r="G20" s="70"/>
      <c r="H20" s="70"/>
      <c r="I20" s="70"/>
      <c r="J20" s="71"/>
      <c r="K20" s="72"/>
      <c r="L20" s="55"/>
      <c r="M20" s="73"/>
      <c r="N20" s="74"/>
      <c r="O20" s="70"/>
      <c r="P20" s="71"/>
      <c r="Q20" s="71"/>
      <c r="R20" s="72"/>
      <c r="S20" s="55"/>
      <c r="T20" s="58">
        <f t="shared" si="0"/>
        <v>0</v>
      </c>
      <c r="U20" s="75">
        <f t="shared" si="4"/>
        <v>0</v>
      </c>
      <c r="V20" s="75">
        <f t="shared" si="5"/>
        <v>0</v>
      </c>
      <c r="AF20" s="12"/>
      <c r="AG20" s="12"/>
      <c r="AH20" s="12"/>
      <c r="AI20" s="12"/>
      <c r="AJ20" s="12"/>
      <c r="AK20" s="12"/>
      <c r="AL20" s="12"/>
      <c r="AM20" s="12"/>
      <c r="AN20" s="12"/>
      <c r="AO20" s="12"/>
      <c r="AP20" s="12"/>
      <c r="AQ20" s="12"/>
      <c r="AR20" s="12"/>
      <c r="AS20" s="12"/>
      <c r="AT20" s="12"/>
      <c r="AU20" s="12"/>
      <c r="AV20" s="12"/>
      <c r="AW20" s="12"/>
      <c r="AX20" s="12"/>
      <c r="AY20" s="12"/>
      <c r="AZ20" s="12"/>
      <c r="BA20" s="12"/>
      <c r="BB20" s="12"/>
    </row>
    <row r="21" spans="1:54" x14ac:dyDescent="0.25">
      <c r="A21" s="27">
        <f t="shared" si="1"/>
        <v>18</v>
      </c>
      <c r="B21" s="26" t="s">
        <v>7</v>
      </c>
      <c r="C21" s="70"/>
      <c r="D21" s="70"/>
      <c r="E21" s="70"/>
      <c r="F21" s="70"/>
      <c r="G21" s="70"/>
      <c r="H21" s="70"/>
      <c r="I21" s="70"/>
      <c r="J21" s="71"/>
      <c r="K21" s="72"/>
      <c r="L21" s="55"/>
      <c r="M21" s="73"/>
      <c r="N21" s="74"/>
      <c r="O21" s="70"/>
      <c r="P21" s="71"/>
      <c r="Q21" s="71"/>
      <c r="R21" s="72"/>
      <c r="S21" s="55"/>
      <c r="T21" s="58">
        <f t="shared" si="0"/>
        <v>0</v>
      </c>
      <c r="U21" s="75">
        <f t="shared" si="4"/>
        <v>0</v>
      </c>
      <c r="V21" s="75">
        <f t="shared" si="5"/>
        <v>0</v>
      </c>
      <c r="AF21" s="12"/>
      <c r="AG21" s="12"/>
      <c r="AH21" s="12"/>
      <c r="AI21" s="12"/>
      <c r="AJ21" s="12"/>
      <c r="AK21" s="12"/>
      <c r="AL21" s="12"/>
      <c r="AM21" s="12"/>
      <c r="AN21" s="12"/>
      <c r="AO21" s="12"/>
      <c r="AP21" s="12"/>
      <c r="AQ21" s="12"/>
      <c r="AR21" s="12"/>
      <c r="AS21" s="12"/>
      <c r="AT21" s="12"/>
      <c r="AU21" s="12"/>
      <c r="AV21" s="12"/>
      <c r="AW21" s="12"/>
      <c r="AX21" s="12"/>
      <c r="AY21" s="12"/>
      <c r="AZ21" s="12"/>
      <c r="BA21" s="12"/>
      <c r="BB21" s="12"/>
    </row>
    <row r="22" spans="1:54" s="13" customFormat="1" x14ac:dyDescent="0.25">
      <c r="A22" s="27">
        <f t="shared" si="1"/>
        <v>19</v>
      </c>
      <c r="B22" s="26" t="s">
        <v>54</v>
      </c>
      <c r="C22" s="70"/>
      <c r="D22" s="70"/>
      <c r="E22" s="70"/>
      <c r="F22" s="70"/>
      <c r="G22" s="70"/>
      <c r="H22" s="70"/>
      <c r="I22" s="70"/>
      <c r="J22" s="71"/>
      <c r="K22" s="72"/>
      <c r="L22" s="55"/>
      <c r="M22" s="73"/>
      <c r="N22" s="74"/>
      <c r="O22" s="70"/>
      <c r="P22" s="71"/>
      <c r="Q22" s="71"/>
      <c r="R22" s="72"/>
      <c r="S22" s="55"/>
      <c r="T22" s="58">
        <f t="shared" si="0"/>
        <v>0</v>
      </c>
      <c r="U22" s="75">
        <f t="shared" si="4"/>
        <v>0</v>
      </c>
      <c r="V22" s="75">
        <f t="shared" si="5"/>
        <v>0</v>
      </c>
      <c r="W22" s="9"/>
      <c r="X22" s="9"/>
      <c r="Y22" s="9"/>
      <c r="Z22" s="9"/>
      <c r="AA22" s="9"/>
      <c r="AB22" s="9"/>
      <c r="AC22" s="9"/>
      <c r="AD22" s="9"/>
      <c r="AE22" s="9"/>
      <c r="AF22" s="12"/>
      <c r="AG22" s="12"/>
      <c r="AH22" s="12"/>
      <c r="AI22" s="12"/>
      <c r="AJ22" s="12"/>
      <c r="AK22" s="12"/>
      <c r="AL22" s="12"/>
      <c r="AM22" s="12"/>
      <c r="AN22" s="12"/>
      <c r="AO22" s="12"/>
      <c r="AP22" s="12"/>
      <c r="AQ22" s="12"/>
      <c r="AR22" s="12"/>
      <c r="AS22" s="12"/>
      <c r="AT22" s="12"/>
      <c r="AU22" s="12"/>
      <c r="AV22" s="12"/>
      <c r="AW22" s="12"/>
      <c r="AX22" s="12"/>
      <c r="AY22" s="12"/>
      <c r="AZ22" s="12"/>
      <c r="BA22" s="12"/>
      <c r="BB22" s="12"/>
    </row>
    <row r="23" spans="1:54" s="13" customFormat="1" x14ac:dyDescent="0.25">
      <c r="A23" s="27">
        <f t="shared" si="1"/>
        <v>20</v>
      </c>
      <c r="B23" s="26" t="s">
        <v>55</v>
      </c>
      <c r="C23" s="70"/>
      <c r="D23" s="70"/>
      <c r="E23" s="70"/>
      <c r="F23" s="70"/>
      <c r="G23" s="70"/>
      <c r="H23" s="70"/>
      <c r="I23" s="70"/>
      <c r="J23" s="71"/>
      <c r="K23" s="72"/>
      <c r="L23" s="55"/>
      <c r="M23" s="73"/>
      <c r="N23" s="74"/>
      <c r="O23" s="70"/>
      <c r="P23" s="71"/>
      <c r="Q23" s="71"/>
      <c r="R23" s="72"/>
      <c r="S23" s="55"/>
      <c r="T23" s="58">
        <f t="shared" si="0"/>
        <v>0</v>
      </c>
      <c r="U23" s="75">
        <f t="shared" si="4"/>
        <v>0</v>
      </c>
      <c r="V23" s="75">
        <f t="shared" si="5"/>
        <v>0</v>
      </c>
      <c r="W23" s="9"/>
      <c r="X23" s="9"/>
      <c r="Y23" s="9"/>
      <c r="Z23" s="9"/>
      <c r="AA23" s="9"/>
      <c r="AB23" s="9"/>
      <c r="AC23" s="9"/>
      <c r="AD23" s="9"/>
      <c r="AE23" s="9"/>
      <c r="AF23" s="12"/>
      <c r="AG23" s="12"/>
      <c r="AH23" s="12"/>
      <c r="AI23" s="12"/>
      <c r="AJ23" s="12"/>
      <c r="AK23" s="12"/>
      <c r="AL23" s="12"/>
      <c r="AM23" s="12"/>
      <c r="AN23" s="12"/>
      <c r="AO23" s="12"/>
      <c r="AP23" s="12"/>
      <c r="AQ23" s="12"/>
      <c r="AR23" s="12"/>
      <c r="AS23" s="12"/>
      <c r="AT23" s="12"/>
      <c r="AU23" s="12"/>
      <c r="AV23" s="12"/>
      <c r="AW23" s="12"/>
      <c r="AX23" s="12"/>
      <c r="AY23" s="12"/>
      <c r="AZ23" s="12"/>
      <c r="BA23" s="12"/>
      <c r="BB23" s="12"/>
    </row>
    <row r="24" spans="1:54" x14ac:dyDescent="0.25">
      <c r="A24" s="27">
        <f t="shared" si="1"/>
        <v>21</v>
      </c>
      <c r="B24" s="26" t="s">
        <v>56</v>
      </c>
      <c r="C24" s="70"/>
      <c r="D24" s="70"/>
      <c r="E24" s="70"/>
      <c r="F24" s="70"/>
      <c r="G24" s="70"/>
      <c r="H24" s="70"/>
      <c r="I24" s="70"/>
      <c r="J24" s="71"/>
      <c r="K24" s="72"/>
      <c r="L24" s="55"/>
      <c r="M24" s="73"/>
      <c r="N24" s="74"/>
      <c r="O24" s="70"/>
      <c r="P24" s="71"/>
      <c r="Q24" s="71"/>
      <c r="R24" s="72"/>
      <c r="S24" s="55"/>
      <c r="T24" s="58">
        <f t="shared" si="0"/>
        <v>0</v>
      </c>
      <c r="U24" s="75">
        <f t="shared" si="4"/>
        <v>0</v>
      </c>
      <c r="V24" s="75">
        <f t="shared" si="5"/>
        <v>0</v>
      </c>
      <c r="AF24" s="12"/>
      <c r="AG24" s="12"/>
      <c r="AH24" s="12"/>
      <c r="AI24" s="12"/>
      <c r="AJ24" s="12"/>
      <c r="AK24" s="12"/>
      <c r="AL24" s="12"/>
      <c r="AM24" s="12"/>
      <c r="AN24" s="12"/>
      <c r="AO24" s="12"/>
      <c r="AP24" s="12"/>
      <c r="AQ24" s="12"/>
      <c r="AR24" s="12"/>
      <c r="AS24" s="12"/>
      <c r="AT24" s="12"/>
      <c r="AU24" s="12"/>
      <c r="AV24" s="12"/>
      <c r="AW24" s="12"/>
      <c r="AX24" s="12"/>
      <c r="AY24" s="12"/>
      <c r="AZ24" s="12"/>
      <c r="BA24" s="12"/>
      <c r="BB24" s="12"/>
    </row>
    <row r="25" spans="1:54" x14ac:dyDescent="0.25">
      <c r="A25" s="27">
        <f t="shared" si="1"/>
        <v>22</v>
      </c>
      <c r="B25" s="26" t="s">
        <v>8</v>
      </c>
      <c r="C25" s="70"/>
      <c r="D25" s="70"/>
      <c r="E25" s="70"/>
      <c r="F25" s="70"/>
      <c r="G25" s="70"/>
      <c r="H25" s="70"/>
      <c r="I25" s="70"/>
      <c r="J25" s="71"/>
      <c r="K25" s="72"/>
      <c r="L25" s="55"/>
      <c r="M25" s="73"/>
      <c r="N25" s="74"/>
      <c r="O25" s="70"/>
      <c r="P25" s="71"/>
      <c r="Q25" s="71"/>
      <c r="R25" s="72"/>
      <c r="S25" s="55"/>
      <c r="T25" s="58">
        <f t="shared" si="0"/>
        <v>0</v>
      </c>
      <c r="U25" s="75">
        <f t="shared" si="4"/>
        <v>0</v>
      </c>
      <c r="V25" s="75">
        <f t="shared" si="5"/>
        <v>0</v>
      </c>
      <c r="AY25" s="14" t="e">
        <f>#REF!-AY24</f>
        <v>#REF!</v>
      </c>
    </row>
    <row r="26" spans="1:54" s="13" customFormat="1" x14ac:dyDescent="0.25">
      <c r="A26" s="27">
        <f t="shared" si="1"/>
        <v>23</v>
      </c>
      <c r="B26" s="26" t="s">
        <v>10</v>
      </c>
      <c r="C26" s="70"/>
      <c r="D26" s="70"/>
      <c r="E26" s="70"/>
      <c r="F26" s="70"/>
      <c r="G26" s="70"/>
      <c r="H26" s="70"/>
      <c r="I26" s="70"/>
      <c r="J26" s="71"/>
      <c r="K26" s="72"/>
      <c r="L26" s="55"/>
      <c r="M26" s="73"/>
      <c r="N26" s="74"/>
      <c r="O26" s="70"/>
      <c r="P26" s="71"/>
      <c r="Q26" s="71"/>
      <c r="R26" s="72"/>
      <c r="S26" s="55"/>
      <c r="T26" s="58">
        <f t="shared" si="0"/>
        <v>0</v>
      </c>
      <c r="U26" s="75">
        <f t="shared" si="4"/>
        <v>0</v>
      </c>
      <c r="V26" s="75">
        <f t="shared" si="5"/>
        <v>0</v>
      </c>
      <c r="W26" s="9"/>
      <c r="X26" s="9"/>
      <c r="Y26" s="9"/>
      <c r="Z26" s="9"/>
      <c r="AA26" s="9"/>
      <c r="AB26" s="9"/>
      <c r="AC26" s="9"/>
      <c r="AD26" s="9"/>
      <c r="AE26" s="9"/>
    </row>
    <row r="27" spans="1:54" s="13" customFormat="1" x14ac:dyDescent="0.25">
      <c r="A27" s="27">
        <f t="shared" si="1"/>
        <v>24</v>
      </c>
      <c r="B27" s="26" t="s">
        <v>69</v>
      </c>
      <c r="C27" s="70"/>
      <c r="D27" s="70"/>
      <c r="E27" s="70"/>
      <c r="F27" s="70"/>
      <c r="G27" s="70"/>
      <c r="H27" s="70"/>
      <c r="I27" s="70"/>
      <c r="J27" s="71"/>
      <c r="K27" s="72"/>
      <c r="L27" s="55"/>
      <c r="M27" s="73"/>
      <c r="N27" s="74"/>
      <c r="O27" s="70"/>
      <c r="P27" s="71"/>
      <c r="Q27" s="71"/>
      <c r="R27" s="72"/>
      <c r="S27" s="55"/>
      <c r="T27" s="58"/>
      <c r="U27" s="75"/>
      <c r="V27" s="75"/>
      <c r="W27" s="9"/>
      <c r="X27" s="9"/>
      <c r="Y27" s="9"/>
      <c r="Z27" s="9"/>
      <c r="AA27" s="9"/>
      <c r="AB27" s="9"/>
      <c r="AC27" s="9"/>
      <c r="AD27" s="9"/>
      <c r="AE27" s="9"/>
    </row>
    <row r="28" spans="1:54" s="13" customFormat="1" x14ac:dyDescent="0.25">
      <c r="A28" s="27">
        <f t="shared" si="1"/>
        <v>25</v>
      </c>
      <c r="B28" s="26" t="s">
        <v>11</v>
      </c>
      <c r="C28" s="70"/>
      <c r="D28" s="70"/>
      <c r="E28" s="70"/>
      <c r="F28" s="70"/>
      <c r="G28" s="70"/>
      <c r="H28" s="70"/>
      <c r="I28" s="70"/>
      <c r="J28" s="71"/>
      <c r="K28" s="72"/>
      <c r="L28" s="55"/>
      <c r="M28" s="73"/>
      <c r="N28" s="74"/>
      <c r="O28" s="70"/>
      <c r="P28" s="71"/>
      <c r="Q28" s="71"/>
      <c r="R28" s="72"/>
      <c r="S28" s="55"/>
      <c r="T28" s="58">
        <f t="shared" si="0"/>
        <v>0</v>
      </c>
      <c r="U28" s="75">
        <f t="shared" si="4"/>
        <v>0</v>
      </c>
      <c r="V28" s="75">
        <f t="shared" si="5"/>
        <v>0</v>
      </c>
      <c r="W28" s="9"/>
      <c r="X28" s="9"/>
      <c r="Y28" s="9"/>
      <c r="Z28" s="9"/>
      <c r="AA28" s="9"/>
      <c r="AB28" s="9"/>
      <c r="AC28" s="9"/>
      <c r="AD28" s="9"/>
      <c r="AE28" s="9"/>
    </row>
    <row r="29" spans="1:54" x14ac:dyDescent="0.25">
      <c r="A29" s="27">
        <f t="shared" si="1"/>
        <v>26</v>
      </c>
      <c r="B29" s="26" t="s">
        <v>13</v>
      </c>
      <c r="C29" s="70"/>
      <c r="D29" s="70"/>
      <c r="E29" s="70"/>
      <c r="F29" s="70"/>
      <c r="G29" s="70"/>
      <c r="H29" s="70"/>
      <c r="I29" s="70"/>
      <c r="J29" s="71"/>
      <c r="K29" s="72"/>
      <c r="L29" s="55"/>
      <c r="M29" s="73"/>
      <c r="N29" s="74"/>
      <c r="O29" s="70"/>
      <c r="P29" s="71"/>
      <c r="Q29" s="71"/>
      <c r="R29" s="72"/>
      <c r="S29" s="55"/>
      <c r="T29" s="58">
        <f t="shared" si="0"/>
        <v>0</v>
      </c>
      <c r="U29" s="75">
        <f t="shared" si="4"/>
        <v>0</v>
      </c>
      <c r="V29" s="75">
        <f t="shared" si="5"/>
        <v>0</v>
      </c>
    </row>
    <row r="30" spans="1:54" x14ac:dyDescent="0.25">
      <c r="A30" s="27">
        <f t="shared" si="1"/>
        <v>27</v>
      </c>
      <c r="B30" s="26" t="s">
        <v>15</v>
      </c>
      <c r="C30" s="70"/>
      <c r="D30" s="70"/>
      <c r="E30" s="70"/>
      <c r="F30" s="70"/>
      <c r="G30" s="70"/>
      <c r="H30" s="70"/>
      <c r="I30" s="70"/>
      <c r="J30" s="71"/>
      <c r="K30" s="72"/>
      <c r="L30" s="55"/>
      <c r="M30" s="73"/>
      <c r="N30" s="74"/>
      <c r="O30" s="70"/>
      <c r="P30" s="71"/>
      <c r="Q30" s="71"/>
      <c r="R30" s="72"/>
      <c r="S30" s="55"/>
      <c r="T30" s="58">
        <f t="shared" si="0"/>
        <v>0</v>
      </c>
      <c r="U30" s="75">
        <f t="shared" si="4"/>
        <v>0</v>
      </c>
      <c r="V30" s="75">
        <f t="shared" si="5"/>
        <v>0</v>
      </c>
    </row>
    <row r="31" spans="1:54" x14ac:dyDescent="0.25">
      <c r="A31" s="27">
        <f t="shared" si="1"/>
        <v>28</v>
      </c>
      <c r="B31" s="26" t="s">
        <v>12</v>
      </c>
      <c r="C31" s="70"/>
      <c r="D31" s="70"/>
      <c r="E31" s="70"/>
      <c r="F31" s="70"/>
      <c r="G31" s="70"/>
      <c r="H31" s="70"/>
      <c r="I31" s="70"/>
      <c r="J31" s="71"/>
      <c r="K31" s="72"/>
      <c r="L31" s="55"/>
      <c r="M31" s="73"/>
      <c r="N31" s="74"/>
      <c r="O31" s="70"/>
      <c r="P31" s="71"/>
      <c r="Q31" s="71"/>
      <c r="R31" s="72"/>
      <c r="S31" s="55"/>
      <c r="T31" s="58">
        <f t="shared" si="0"/>
        <v>0</v>
      </c>
      <c r="U31" s="75">
        <f t="shared" si="4"/>
        <v>0</v>
      </c>
      <c r="V31" s="75">
        <f t="shared" si="5"/>
        <v>0</v>
      </c>
    </row>
    <row r="32" spans="1:54" x14ac:dyDescent="0.25">
      <c r="A32" s="27">
        <f t="shared" si="1"/>
        <v>29</v>
      </c>
      <c r="B32" s="26" t="s">
        <v>14</v>
      </c>
      <c r="C32" s="70"/>
      <c r="D32" s="70"/>
      <c r="E32" s="70"/>
      <c r="F32" s="70"/>
      <c r="G32" s="70"/>
      <c r="H32" s="70"/>
      <c r="I32" s="70"/>
      <c r="J32" s="71"/>
      <c r="K32" s="72"/>
      <c r="L32" s="55"/>
      <c r="M32" s="73"/>
      <c r="N32" s="74"/>
      <c r="O32" s="70"/>
      <c r="P32" s="71"/>
      <c r="Q32" s="71"/>
      <c r="R32" s="72"/>
      <c r="S32" s="55"/>
      <c r="T32" s="58">
        <f t="shared" si="0"/>
        <v>0</v>
      </c>
      <c r="U32" s="75">
        <f t="shared" si="4"/>
        <v>0</v>
      </c>
      <c r="V32" s="75">
        <f t="shared" si="5"/>
        <v>0</v>
      </c>
    </row>
    <row r="33" spans="1:23" x14ac:dyDescent="0.25">
      <c r="A33" s="27">
        <f t="shared" si="1"/>
        <v>30</v>
      </c>
      <c r="B33" s="26" t="s">
        <v>16</v>
      </c>
      <c r="C33" s="70"/>
      <c r="D33" s="70"/>
      <c r="E33" s="70"/>
      <c r="F33" s="70"/>
      <c r="G33" s="70"/>
      <c r="H33" s="70"/>
      <c r="I33" s="70"/>
      <c r="J33" s="71"/>
      <c r="K33" s="72"/>
      <c r="L33" s="55"/>
      <c r="M33" s="73"/>
      <c r="N33" s="74"/>
      <c r="O33" s="70"/>
      <c r="P33" s="71"/>
      <c r="Q33" s="71"/>
      <c r="R33" s="72"/>
      <c r="S33" s="55"/>
      <c r="T33" s="58">
        <f t="shared" si="0"/>
        <v>0</v>
      </c>
      <c r="U33" s="75">
        <f t="shared" si="4"/>
        <v>0</v>
      </c>
      <c r="V33" s="75">
        <f t="shared" si="5"/>
        <v>0</v>
      </c>
    </row>
    <row r="34" spans="1:23" x14ac:dyDescent="0.25">
      <c r="A34" s="27">
        <f t="shared" si="1"/>
        <v>31</v>
      </c>
      <c r="B34" s="26" t="s">
        <v>17</v>
      </c>
      <c r="C34" s="70"/>
      <c r="D34" s="70"/>
      <c r="E34" s="70"/>
      <c r="F34" s="70"/>
      <c r="G34" s="70"/>
      <c r="H34" s="70"/>
      <c r="I34" s="70"/>
      <c r="J34" s="71"/>
      <c r="K34" s="72"/>
      <c r="L34" s="55"/>
      <c r="M34" s="73"/>
      <c r="N34" s="74"/>
      <c r="O34" s="70"/>
      <c r="P34" s="71"/>
      <c r="Q34" s="71"/>
      <c r="R34" s="72"/>
      <c r="S34" s="55"/>
      <c r="T34" s="58">
        <f t="shared" si="0"/>
        <v>0</v>
      </c>
      <c r="U34" s="75">
        <f t="shared" si="4"/>
        <v>0</v>
      </c>
      <c r="V34" s="75">
        <f t="shared" si="5"/>
        <v>0</v>
      </c>
    </row>
    <row r="35" spans="1:23" hidden="1" x14ac:dyDescent="0.25">
      <c r="A35" s="27">
        <f t="shared" si="1"/>
        <v>32</v>
      </c>
      <c r="B35" s="26" t="s">
        <v>25</v>
      </c>
      <c r="C35" s="70"/>
      <c r="D35" s="70"/>
      <c r="E35" s="70"/>
      <c r="F35" s="70"/>
      <c r="G35" s="70"/>
      <c r="H35" s="70"/>
      <c r="I35" s="70"/>
      <c r="J35" s="71"/>
      <c r="K35" s="72"/>
      <c r="L35" s="55"/>
      <c r="M35" s="73"/>
      <c r="N35" s="74"/>
      <c r="O35" s="70"/>
      <c r="P35" s="71"/>
      <c r="Q35" s="71"/>
      <c r="R35" s="72"/>
      <c r="S35" s="55"/>
      <c r="T35" s="58">
        <f t="shared" si="0"/>
        <v>0</v>
      </c>
      <c r="U35" s="75">
        <f t="shared" si="4"/>
        <v>0</v>
      </c>
      <c r="V35" s="75">
        <f t="shared" si="5"/>
        <v>0</v>
      </c>
    </row>
    <row r="36" spans="1:23" x14ac:dyDescent="0.25">
      <c r="A36" s="27">
        <f t="shared" si="1"/>
        <v>33</v>
      </c>
      <c r="B36" s="26" t="s">
        <v>18</v>
      </c>
      <c r="C36" s="70"/>
      <c r="D36" s="70"/>
      <c r="E36" s="70"/>
      <c r="F36" s="70"/>
      <c r="G36" s="70"/>
      <c r="H36" s="70"/>
      <c r="I36" s="70"/>
      <c r="J36" s="71"/>
      <c r="K36" s="72"/>
      <c r="L36" s="55"/>
      <c r="M36" s="73"/>
      <c r="N36" s="74"/>
      <c r="O36" s="70"/>
      <c r="P36" s="71"/>
      <c r="Q36" s="71"/>
      <c r="R36" s="72"/>
      <c r="S36" s="55"/>
      <c r="T36" s="58">
        <f t="shared" si="0"/>
        <v>0</v>
      </c>
      <c r="U36" s="75">
        <f t="shared" si="4"/>
        <v>0</v>
      </c>
      <c r="V36" s="75">
        <f t="shared" si="5"/>
        <v>0</v>
      </c>
    </row>
    <row r="37" spans="1:23" ht="19.5" thickBot="1" x14ac:dyDescent="0.3">
      <c r="A37" s="27">
        <f t="shared" si="1"/>
        <v>34</v>
      </c>
      <c r="B37" s="42" t="s">
        <v>19</v>
      </c>
      <c r="C37" s="59"/>
      <c r="D37" s="59"/>
      <c r="E37" s="59"/>
      <c r="F37" s="59"/>
      <c r="G37" s="59"/>
      <c r="H37" s="59"/>
      <c r="I37" s="59"/>
      <c r="J37" s="60"/>
      <c r="K37" s="61"/>
      <c r="L37" s="62"/>
      <c r="M37" s="63"/>
      <c r="N37" s="64"/>
      <c r="O37" s="65"/>
      <c r="P37" s="66"/>
      <c r="Q37" s="66"/>
      <c r="R37" s="67"/>
      <c r="S37" s="62"/>
      <c r="T37" s="77">
        <f t="shared" si="0"/>
        <v>0</v>
      </c>
      <c r="U37" s="77">
        <f>C37*6+M37*6+O37*6+Q37*6+T37</f>
        <v>0</v>
      </c>
      <c r="V37" s="77">
        <f>U37/6</f>
        <v>0</v>
      </c>
      <c r="W37" s="50"/>
    </row>
    <row r="38" spans="1:23" x14ac:dyDescent="0.25">
      <c r="A38" s="27">
        <f t="shared" si="1"/>
        <v>35</v>
      </c>
      <c r="B38" s="25" t="s">
        <v>20</v>
      </c>
      <c r="C38" s="70"/>
      <c r="D38" s="70"/>
      <c r="E38" s="70"/>
      <c r="F38" s="70"/>
      <c r="G38" s="70"/>
      <c r="H38" s="70"/>
      <c r="I38" s="70"/>
      <c r="J38" s="71"/>
      <c r="K38" s="72"/>
      <c r="L38" s="55"/>
      <c r="M38" s="73"/>
      <c r="N38" s="74"/>
      <c r="O38" s="70"/>
      <c r="P38" s="71"/>
      <c r="Q38" s="71"/>
      <c r="R38" s="72"/>
      <c r="S38" s="55"/>
      <c r="T38" s="75">
        <f t="shared" si="0"/>
        <v>0</v>
      </c>
      <c r="U38" s="75">
        <f>C38*24+M38*24+O38*24+Q38*24+T38</f>
        <v>0</v>
      </c>
      <c r="V38" s="75">
        <f>U38/24</f>
        <v>0</v>
      </c>
    </row>
    <row r="39" spans="1:23" x14ac:dyDescent="0.25">
      <c r="A39" s="27">
        <f t="shared" si="1"/>
        <v>36</v>
      </c>
      <c r="B39" s="51" t="s">
        <v>62</v>
      </c>
      <c r="C39" s="78"/>
      <c r="D39" s="78"/>
      <c r="E39" s="78"/>
      <c r="F39" s="78"/>
      <c r="G39" s="78"/>
      <c r="H39" s="78"/>
      <c r="I39" s="78"/>
      <c r="J39" s="79"/>
      <c r="K39" s="80"/>
      <c r="L39" s="55"/>
      <c r="M39" s="56"/>
      <c r="N39" s="57"/>
      <c r="O39" s="52"/>
      <c r="P39" s="53"/>
      <c r="Q39" s="52"/>
      <c r="R39" s="80"/>
      <c r="S39" s="55"/>
      <c r="T39" s="81"/>
      <c r="U39" s="81"/>
      <c r="V39" s="81"/>
    </row>
    <row r="40" spans="1:23" ht="19.5" thickBot="1" x14ac:dyDescent="0.3">
      <c r="A40" s="27">
        <f t="shared" si="1"/>
        <v>37</v>
      </c>
      <c r="B40" s="42" t="s">
        <v>21</v>
      </c>
      <c r="C40" s="59"/>
      <c r="D40" s="59"/>
      <c r="E40" s="59"/>
      <c r="F40" s="59"/>
      <c r="G40" s="59"/>
      <c r="H40" s="59"/>
      <c r="I40" s="59"/>
      <c r="J40" s="60"/>
      <c r="K40" s="61"/>
      <c r="L40" s="62"/>
      <c r="M40" s="63"/>
      <c r="N40" s="64"/>
      <c r="O40" s="65"/>
      <c r="P40" s="66"/>
      <c r="Q40" s="66"/>
      <c r="R40" s="67"/>
      <c r="S40" s="62"/>
      <c r="T40" s="77">
        <f t="shared" si="0"/>
        <v>0</v>
      </c>
      <c r="U40" s="77">
        <f>C40*24+M40*24+O40*24+Q40*24+T40</f>
        <v>0</v>
      </c>
      <c r="V40" s="77">
        <f>U40/24</f>
        <v>0</v>
      </c>
    </row>
    <row r="41" spans="1:23" ht="19.5" thickBot="1" x14ac:dyDescent="0.3">
      <c r="A41" s="27">
        <f t="shared" si="1"/>
        <v>38</v>
      </c>
      <c r="B41" s="43" t="s">
        <v>22</v>
      </c>
      <c r="C41" s="82"/>
      <c r="D41" s="82"/>
      <c r="E41" s="82"/>
      <c r="F41" s="82"/>
      <c r="G41" s="82"/>
      <c r="H41" s="82"/>
      <c r="I41" s="82"/>
      <c r="J41" s="83"/>
      <c r="K41" s="84"/>
      <c r="L41" s="85"/>
      <c r="M41" s="86"/>
      <c r="N41" s="87"/>
      <c r="O41" s="82"/>
      <c r="P41" s="83"/>
      <c r="Q41" s="83"/>
      <c r="R41" s="84"/>
      <c r="S41" s="85"/>
      <c r="T41" s="88">
        <f t="shared" si="0"/>
        <v>0</v>
      </c>
      <c r="U41" s="88">
        <f>C41*12+M41*12+O41*12+Q41*12+T41</f>
        <v>0</v>
      </c>
      <c r="V41" s="88">
        <f>U41/12</f>
        <v>0</v>
      </c>
    </row>
    <row r="42" spans="1:23" hidden="1" x14ac:dyDescent="0.25">
      <c r="A42" s="27">
        <f t="shared" si="1"/>
        <v>39</v>
      </c>
      <c r="B42" s="25" t="s">
        <v>29</v>
      </c>
      <c r="C42" s="70"/>
      <c r="D42" s="70"/>
      <c r="E42" s="70"/>
      <c r="F42" s="70"/>
      <c r="G42" s="70"/>
      <c r="H42" s="70"/>
      <c r="I42" s="70"/>
      <c r="J42" s="71"/>
      <c r="K42" s="72"/>
      <c r="L42" s="55"/>
      <c r="M42" s="73"/>
      <c r="N42" s="74"/>
      <c r="O42" s="70"/>
      <c r="P42" s="71"/>
      <c r="Q42" s="71"/>
      <c r="R42" s="72"/>
      <c r="S42" s="55"/>
      <c r="T42" s="75"/>
      <c r="U42" s="75"/>
      <c r="V42" s="75"/>
    </row>
    <row r="43" spans="1:23" ht="19.5" thickBot="1" x14ac:dyDescent="0.3">
      <c r="A43" s="27">
        <f t="shared" si="1"/>
        <v>40</v>
      </c>
      <c r="B43" s="42" t="s">
        <v>23</v>
      </c>
      <c r="C43" s="65"/>
      <c r="D43" s="65"/>
      <c r="E43" s="65"/>
      <c r="F43" s="65"/>
      <c r="G43" s="65"/>
      <c r="H43" s="65"/>
      <c r="I43" s="65"/>
      <c r="J43" s="66"/>
      <c r="K43" s="67"/>
      <c r="L43" s="62"/>
      <c r="M43" s="63"/>
      <c r="N43" s="64"/>
      <c r="O43" s="65"/>
      <c r="P43" s="66"/>
      <c r="Q43" s="66"/>
      <c r="R43" s="67"/>
      <c r="S43" s="62"/>
      <c r="T43" s="77">
        <f t="shared" ref="T43" si="6">H43+I43+J43+K43+N43+P43+R43</f>
        <v>0</v>
      </c>
      <c r="U43" s="77">
        <f>C43*6+M43*6+O43*6+Q43*6+T43</f>
        <v>0</v>
      </c>
      <c r="V43" s="77">
        <f>U43/6</f>
        <v>0</v>
      </c>
    </row>
    <row r="44" spans="1:23" hidden="1" x14ac:dyDescent="0.25">
      <c r="A44" s="27">
        <f t="shared" si="1"/>
        <v>41</v>
      </c>
      <c r="B44" s="25" t="s">
        <v>31</v>
      </c>
      <c r="C44" s="70"/>
      <c r="D44" s="70"/>
      <c r="E44" s="70"/>
      <c r="F44" s="70"/>
      <c r="G44" s="70"/>
      <c r="H44" s="70"/>
      <c r="I44" s="70"/>
      <c r="J44" s="71"/>
      <c r="K44" s="72"/>
      <c r="L44" s="55"/>
      <c r="M44" s="73"/>
      <c r="N44" s="74"/>
      <c r="O44" s="70"/>
      <c r="P44" s="71"/>
      <c r="Q44" s="71"/>
      <c r="R44" s="72"/>
      <c r="S44" s="55"/>
      <c r="T44" s="75"/>
      <c r="U44" s="75"/>
      <c r="V44" s="75"/>
    </row>
    <row r="45" spans="1:23" x14ac:dyDescent="0.25">
      <c r="A45" s="27">
        <f t="shared" si="1"/>
        <v>42</v>
      </c>
      <c r="B45" s="26" t="s">
        <v>24</v>
      </c>
      <c r="C45" s="70"/>
      <c r="D45" s="70"/>
      <c r="E45" s="70"/>
      <c r="F45" s="70"/>
      <c r="G45" s="70"/>
      <c r="H45" s="70"/>
      <c r="I45" s="70"/>
      <c r="J45" s="71"/>
      <c r="K45" s="72"/>
      <c r="L45" s="55"/>
      <c r="M45" s="73"/>
      <c r="N45" s="74"/>
      <c r="O45" s="70"/>
      <c r="P45" s="71"/>
      <c r="Q45" s="71"/>
      <c r="R45" s="72"/>
      <c r="S45" s="55"/>
      <c r="T45" s="75">
        <f t="shared" ref="T45:T54" si="7">H45+I45+J45+K45+N45+P45+R45</f>
        <v>0</v>
      </c>
      <c r="U45" s="75">
        <f>C45*24+M45*24+O45*24+Q45*24+T45</f>
        <v>0</v>
      </c>
      <c r="V45" s="75">
        <f>U45/24</f>
        <v>0</v>
      </c>
    </row>
    <row r="46" spans="1:23" x14ac:dyDescent="0.25">
      <c r="A46" s="27">
        <f t="shared" si="1"/>
        <v>43</v>
      </c>
      <c r="B46" s="26" t="s">
        <v>57</v>
      </c>
      <c r="C46" s="70"/>
      <c r="D46" s="70"/>
      <c r="E46" s="70"/>
      <c r="F46" s="70"/>
      <c r="G46" s="70"/>
      <c r="H46" s="70"/>
      <c r="I46" s="70"/>
      <c r="J46" s="71"/>
      <c r="K46" s="72"/>
      <c r="L46" s="55"/>
      <c r="M46" s="73"/>
      <c r="N46" s="74"/>
      <c r="O46" s="70"/>
      <c r="P46" s="71"/>
      <c r="Q46" s="71"/>
      <c r="R46" s="72"/>
      <c r="S46" s="55"/>
      <c r="T46" s="75">
        <f t="shared" si="7"/>
        <v>0</v>
      </c>
      <c r="U46" s="75">
        <f t="shared" ref="U46:U50" si="8">C46*24+M46*24+O46*24+Q46*24+T46</f>
        <v>0</v>
      </c>
      <c r="V46" s="75">
        <f t="shared" ref="V46:V54" si="9">U46/24</f>
        <v>0</v>
      </c>
    </row>
    <row r="47" spans="1:23" ht="19.5" thickBot="1" x14ac:dyDescent="0.3">
      <c r="A47" s="27">
        <f t="shared" si="1"/>
        <v>44</v>
      </c>
      <c r="B47" s="42" t="s">
        <v>25</v>
      </c>
      <c r="C47" s="65"/>
      <c r="D47" s="65"/>
      <c r="E47" s="65"/>
      <c r="F47" s="65"/>
      <c r="G47" s="65"/>
      <c r="H47" s="65"/>
      <c r="I47" s="65"/>
      <c r="J47" s="66"/>
      <c r="K47" s="67"/>
      <c r="L47" s="62"/>
      <c r="M47" s="63"/>
      <c r="N47" s="64"/>
      <c r="O47" s="65"/>
      <c r="P47" s="66"/>
      <c r="Q47" s="66"/>
      <c r="R47" s="67"/>
      <c r="S47" s="62"/>
      <c r="T47" s="77">
        <f t="shared" si="7"/>
        <v>0</v>
      </c>
      <c r="U47" s="77">
        <f>C47*6+M47*6+O47*6+Q47*6+T47</f>
        <v>0</v>
      </c>
      <c r="V47" s="77">
        <f>U47/6</f>
        <v>0</v>
      </c>
    </row>
    <row r="48" spans="1:23" x14ac:dyDescent="0.25">
      <c r="A48" s="27">
        <f t="shared" si="1"/>
        <v>45</v>
      </c>
      <c r="B48" s="25" t="s">
        <v>58</v>
      </c>
      <c r="C48" s="70"/>
      <c r="D48" s="70"/>
      <c r="E48" s="70"/>
      <c r="F48" s="70"/>
      <c r="G48" s="70"/>
      <c r="H48" s="70"/>
      <c r="I48" s="70"/>
      <c r="J48" s="71"/>
      <c r="K48" s="72"/>
      <c r="L48" s="55"/>
      <c r="M48" s="73"/>
      <c r="N48" s="74"/>
      <c r="O48" s="70"/>
      <c r="P48" s="71"/>
      <c r="Q48" s="71"/>
      <c r="R48" s="72"/>
      <c r="S48" s="55"/>
      <c r="T48" s="75">
        <f t="shared" si="7"/>
        <v>0</v>
      </c>
      <c r="U48" s="75">
        <f t="shared" si="8"/>
        <v>0</v>
      </c>
      <c r="V48" s="75">
        <f t="shared" si="9"/>
        <v>0</v>
      </c>
    </row>
    <row r="49" spans="1:22" x14ac:dyDescent="0.25">
      <c r="A49" s="27">
        <f t="shared" si="1"/>
        <v>46</v>
      </c>
      <c r="B49" s="26" t="s">
        <v>26</v>
      </c>
      <c r="C49" s="70"/>
      <c r="D49" s="70"/>
      <c r="E49" s="70"/>
      <c r="F49" s="70"/>
      <c r="G49" s="70"/>
      <c r="H49" s="70"/>
      <c r="I49" s="70"/>
      <c r="J49" s="71"/>
      <c r="K49" s="72"/>
      <c r="L49" s="55"/>
      <c r="M49" s="73"/>
      <c r="N49" s="74"/>
      <c r="O49" s="70"/>
      <c r="P49" s="71"/>
      <c r="Q49" s="71"/>
      <c r="R49" s="72"/>
      <c r="S49" s="55"/>
      <c r="T49" s="75">
        <f t="shared" si="7"/>
        <v>0</v>
      </c>
      <c r="U49" s="75">
        <f t="shared" si="8"/>
        <v>0</v>
      </c>
      <c r="V49" s="75">
        <f t="shared" si="9"/>
        <v>0</v>
      </c>
    </row>
    <row r="50" spans="1:22" x14ac:dyDescent="0.25">
      <c r="A50" s="27">
        <f t="shared" si="1"/>
        <v>47</v>
      </c>
      <c r="B50" s="26" t="s">
        <v>59</v>
      </c>
      <c r="C50" s="70"/>
      <c r="D50" s="70"/>
      <c r="E50" s="70"/>
      <c r="F50" s="70"/>
      <c r="G50" s="70"/>
      <c r="H50" s="70"/>
      <c r="I50" s="70"/>
      <c r="J50" s="71"/>
      <c r="K50" s="72"/>
      <c r="L50" s="55"/>
      <c r="M50" s="73"/>
      <c r="N50" s="74"/>
      <c r="O50" s="70"/>
      <c r="P50" s="71"/>
      <c r="Q50" s="71"/>
      <c r="R50" s="72"/>
      <c r="S50" s="55"/>
      <c r="T50" s="75">
        <f t="shared" si="7"/>
        <v>0</v>
      </c>
      <c r="U50" s="75">
        <f t="shared" si="8"/>
        <v>0</v>
      </c>
      <c r="V50" s="75">
        <f t="shared" si="9"/>
        <v>0</v>
      </c>
    </row>
    <row r="51" spans="1:22" ht="19.5" thickBot="1" x14ac:dyDescent="0.3">
      <c r="A51" s="27">
        <f t="shared" si="1"/>
        <v>48</v>
      </c>
      <c r="B51" s="42" t="s">
        <v>27</v>
      </c>
      <c r="C51" s="65"/>
      <c r="D51" s="65"/>
      <c r="E51" s="65"/>
      <c r="F51" s="65"/>
      <c r="G51" s="65"/>
      <c r="H51" s="65"/>
      <c r="I51" s="65"/>
      <c r="J51" s="66"/>
      <c r="K51" s="67"/>
      <c r="L51" s="62"/>
      <c r="M51" s="63"/>
      <c r="N51" s="64"/>
      <c r="O51" s="65"/>
      <c r="P51" s="66"/>
      <c r="Q51" s="66"/>
      <c r="R51" s="67"/>
      <c r="S51" s="62"/>
      <c r="T51" s="77">
        <f t="shared" si="7"/>
        <v>0</v>
      </c>
      <c r="U51" s="77">
        <f>C51*6+M51*6+O51*6+Q51*6+T51</f>
        <v>0</v>
      </c>
      <c r="V51" s="77">
        <f>U51/6</f>
        <v>0</v>
      </c>
    </row>
    <row r="52" spans="1:22" x14ac:dyDescent="0.25">
      <c r="A52" s="27">
        <f t="shared" si="1"/>
        <v>49</v>
      </c>
      <c r="B52" s="25" t="s">
        <v>28</v>
      </c>
      <c r="C52" s="70"/>
      <c r="D52" s="70"/>
      <c r="E52" s="70"/>
      <c r="F52" s="70"/>
      <c r="G52" s="70"/>
      <c r="H52" s="70"/>
      <c r="I52" s="70"/>
      <c r="J52" s="71"/>
      <c r="K52" s="72"/>
      <c r="L52" s="55"/>
      <c r="M52" s="73"/>
      <c r="N52" s="74"/>
      <c r="O52" s="70"/>
      <c r="P52" s="71"/>
      <c r="Q52" s="71"/>
      <c r="R52" s="72"/>
      <c r="S52" s="55"/>
      <c r="T52" s="75">
        <f t="shared" si="7"/>
        <v>0</v>
      </c>
      <c r="U52" s="75">
        <f t="shared" ref="U52:U54" si="10">C52*24+M52*24+O52*24+Q52*24+T52</f>
        <v>0</v>
      </c>
      <c r="V52" s="75">
        <f t="shared" si="9"/>
        <v>0</v>
      </c>
    </row>
    <row r="53" spans="1:22" x14ac:dyDescent="0.25">
      <c r="A53" s="27">
        <f t="shared" si="1"/>
        <v>50</v>
      </c>
      <c r="B53" s="26" t="s">
        <v>63</v>
      </c>
      <c r="C53" s="70"/>
      <c r="D53" s="70"/>
      <c r="E53" s="70"/>
      <c r="F53" s="70"/>
      <c r="G53" s="70"/>
      <c r="H53" s="70"/>
      <c r="I53" s="70"/>
      <c r="J53" s="71"/>
      <c r="K53" s="72"/>
      <c r="L53" s="55"/>
      <c r="M53" s="73"/>
      <c r="N53" s="74"/>
      <c r="O53" s="70"/>
      <c r="P53" s="71"/>
      <c r="Q53" s="71"/>
      <c r="R53" s="72"/>
      <c r="S53" s="55"/>
      <c r="T53" s="75">
        <f t="shared" si="7"/>
        <v>0</v>
      </c>
      <c r="U53" s="75">
        <f t="shared" si="10"/>
        <v>0</v>
      </c>
      <c r="V53" s="75">
        <f t="shared" si="9"/>
        <v>0</v>
      </c>
    </row>
    <row r="54" spans="1:22" x14ac:dyDescent="0.25">
      <c r="A54" s="27">
        <f t="shared" si="1"/>
        <v>51</v>
      </c>
      <c r="B54" s="26"/>
      <c r="C54" s="70"/>
      <c r="D54" s="70"/>
      <c r="E54" s="70"/>
      <c r="F54" s="70"/>
      <c r="G54" s="70"/>
      <c r="H54" s="70"/>
      <c r="I54" s="70"/>
      <c r="J54" s="71"/>
      <c r="K54" s="72"/>
      <c r="L54" s="55"/>
      <c r="M54" s="73"/>
      <c r="N54" s="74"/>
      <c r="O54" s="70"/>
      <c r="P54" s="71"/>
      <c r="Q54" s="71"/>
      <c r="R54" s="72"/>
      <c r="S54" s="55"/>
      <c r="T54" s="75">
        <f t="shared" si="7"/>
        <v>0</v>
      </c>
      <c r="U54" s="75">
        <f t="shared" si="10"/>
        <v>0</v>
      </c>
      <c r="V54" s="75">
        <f t="shared" si="9"/>
        <v>0</v>
      </c>
    </row>
    <row r="55" spans="1:22" x14ac:dyDescent="0.25">
      <c r="A55" s="27">
        <f t="shared" si="1"/>
        <v>52</v>
      </c>
      <c r="B55" s="26"/>
      <c r="C55" s="70"/>
      <c r="D55" s="70"/>
      <c r="E55" s="70"/>
      <c r="F55" s="70"/>
      <c r="G55" s="70"/>
      <c r="H55" s="70"/>
      <c r="I55" s="70"/>
      <c r="J55" s="71"/>
      <c r="K55" s="72"/>
      <c r="L55" s="55"/>
      <c r="M55" s="73"/>
      <c r="N55" s="74"/>
      <c r="O55" s="70"/>
      <c r="P55" s="71"/>
      <c r="Q55" s="71"/>
      <c r="R55" s="72"/>
      <c r="S55" s="55"/>
      <c r="T55" s="75"/>
      <c r="U55" s="75"/>
      <c r="V55" s="75"/>
    </row>
    <row r="56" spans="1:22" x14ac:dyDescent="0.25">
      <c r="A56" s="27">
        <f t="shared" si="1"/>
        <v>53</v>
      </c>
      <c r="B56" s="26"/>
      <c r="C56" s="70"/>
      <c r="D56" s="70"/>
      <c r="E56" s="70"/>
      <c r="F56" s="70"/>
      <c r="G56" s="70"/>
      <c r="H56" s="70"/>
      <c r="I56" s="70"/>
      <c r="J56" s="71"/>
      <c r="K56" s="72"/>
      <c r="L56" s="55"/>
      <c r="M56" s="73"/>
      <c r="N56" s="74"/>
      <c r="O56" s="70"/>
      <c r="P56" s="71"/>
      <c r="Q56" s="71"/>
      <c r="R56" s="72"/>
      <c r="S56" s="55"/>
      <c r="T56" s="75"/>
      <c r="U56" s="75"/>
      <c r="V56" s="75"/>
    </row>
    <row r="57" spans="1:22" x14ac:dyDescent="0.25">
      <c r="A57" s="27">
        <f t="shared" si="1"/>
        <v>54</v>
      </c>
      <c r="B57" s="26"/>
      <c r="C57" s="70"/>
      <c r="D57" s="70"/>
      <c r="E57" s="70"/>
      <c r="F57" s="70"/>
      <c r="G57" s="70"/>
      <c r="H57" s="70"/>
      <c r="I57" s="70"/>
      <c r="J57" s="71"/>
      <c r="K57" s="72"/>
      <c r="L57" s="55"/>
      <c r="M57" s="73"/>
      <c r="N57" s="74"/>
      <c r="O57" s="70"/>
      <c r="P57" s="71"/>
      <c r="Q57" s="71"/>
      <c r="R57" s="72"/>
      <c r="S57" s="55"/>
      <c r="T57" s="75"/>
      <c r="U57" s="75"/>
      <c r="V57" s="75"/>
    </row>
    <row r="58" spans="1:22" s="15" customFormat="1" ht="19.5" thickBot="1" x14ac:dyDescent="0.3">
      <c r="B58" s="29" t="s">
        <v>50</v>
      </c>
      <c r="C58" s="2">
        <f>SUM(C7:C57)</f>
        <v>0</v>
      </c>
      <c r="D58" s="2"/>
      <c r="E58" s="2"/>
      <c r="F58" s="2">
        <f t="shared" ref="F58:K58" si="11">SUM(F7:F57)</f>
        <v>0</v>
      </c>
      <c r="G58" s="2">
        <f t="shared" si="11"/>
        <v>0</v>
      </c>
      <c r="H58" s="2">
        <f t="shared" si="11"/>
        <v>0</v>
      </c>
      <c r="I58" s="6">
        <f t="shared" si="11"/>
        <v>0</v>
      </c>
      <c r="J58" s="6">
        <f t="shared" si="11"/>
        <v>0</v>
      </c>
      <c r="K58" s="6">
        <f t="shared" si="11"/>
        <v>0</v>
      </c>
      <c r="M58" s="5">
        <f t="shared" ref="M58:R58" si="12">SUM(M7:M57)</f>
        <v>0</v>
      </c>
      <c r="N58" s="5">
        <f t="shared" si="12"/>
        <v>0</v>
      </c>
      <c r="O58" s="5">
        <f t="shared" si="12"/>
        <v>0</v>
      </c>
      <c r="P58" s="5">
        <f t="shared" si="12"/>
        <v>0</v>
      </c>
      <c r="Q58" s="5">
        <f t="shared" si="12"/>
        <v>0</v>
      </c>
      <c r="R58" s="5">
        <f t="shared" si="12"/>
        <v>0</v>
      </c>
      <c r="S58" s="55"/>
      <c r="T58" s="4">
        <f>SUM(T7:T57)</f>
        <v>0</v>
      </c>
      <c r="U58" s="4">
        <f>SUM(U7:U57)</f>
        <v>0</v>
      </c>
      <c r="V58" s="4">
        <f>SUM(V7:V57)</f>
        <v>0</v>
      </c>
    </row>
    <row r="59" spans="1:22" s="15" customFormat="1" x14ac:dyDescent="0.25">
      <c r="B59" s="91"/>
      <c r="C59" s="92"/>
      <c r="D59" s="92"/>
      <c r="E59" s="92"/>
      <c r="F59" s="92"/>
      <c r="G59" s="92"/>
      <c r="H59" s="92"/>
      <c r="I59" s="92"/>
      <c r="J59" s="92"/>
      <c r="K59" s="92"/>
      <c r="M59" s="92"/>
      <c r="N59" s="92"/>
      <c r="O59" s="92"/>
      <c r="P59" s="92"/>
      <c r="Q59" s="92"/>
      <c r="R59" s="92"/>
      <c r="S59" s="55"/>
      <c r="T59" s="92"/>
      <c r="U59" s="92"/>
      <c r="V59" s="92"/>
    </row>
    <row r="60" spans="1:22" s="15" customFormat="1" x14ac:dyDescent="0.25">
      <c r="B60" s="91"/>
      <c r="C60" s="92"/>
      <c r="D60" s="92"/>
      <c r="E60" s="92"/>
      <c r="F60" s="92"/>
      <c r="G60" s="92"/>
      <c r="H60" s="92"/>
      <c r="I60" s="92"/>
      <c r="J60" s="92"/>
      <c r="K60" s="92"/>
      <c r="M60" s="92"/>
      <c r="N60" s="92"/>
      <c r="O60" s="92"/>
      <c r="P60" s="92"/>
      <c r="Q60" s="92"/>
      <c r="R60" s="92"/>
      <c r="S60" s="55"/>
      <c r="T60" s="92"/>
      <c r="U60" s="92"/>
      <c r="V60" s="92"/>
    </row>
    <row r="61" spans="1:22" ht="20.25" customHeight="1" thickBot="1" x14ac:dyDescent="0.3"/>
    <row r="62" spans="1:22" ht="19.5" thickBot="1" x14ac:dyDescent="0.3">
      <c r="B62" s="30" t="s">
        <v>37</v>
      </c>
      <c r="C62" s="113" t="s">
        <v>41</v>
      </c>
      <c r="D62" s="114"/>
      <c r="E62" s="114"/>
      <c r="F62" s="114"/>
      <c r="G62" s="114"/>
      <c r="H62" s="114"/>
      <c r="I62" s="114"/>
      <c r="J62" s="114"/>
      <c r="K62" s="115"/>
      <c r="U62" s="24" t="s">
        <v>51</v>
      </c>
    </row>
    <row r="63" spans="1:22" x14ac:dyDescent="0.25">
      <c r="B63" s="31" t="s">
        <v>17</v>
      </c>
      <c r="C63" s="19"/>
      <c r="D63" s="19"/>
      <c r="E63" s="19"/>
      <c r="F63" s="19"/>
      <c r="G63" s="19"/>
      <c r="H63" s="19"/>
      <c r="I63" s="19"/>
      <c r="J63" s="45"/>
      <c r="K63" s="20"/>
      <c r="U63" s="7"/>
    </row>
    <row r="64" spans="1:22" x14ac:dyDescent="0.25">
      <c r="B64" s="32" t="s">
        <v>45</v>
      </c>
      <c r="C64" s="1"/>
      <c r="D64" s="1"/>
      <c r="E64" s="1"/>
      <c r="F64" s="1"/>
      <c r="G64" s="1"/>
      <c r="H64" s="1"/>
      <c r="I64" s="1"/>
      <c r="J64" s="44"/>
      <c r="K64" s="21"/>
      <c r="U64" s="3"/>
    </row>
    <row r="65" spans="2:21" ht="19.5" thickBot="1" x14ac:dyDescent="0.3">
      <c r="B65" s="33" t="s">
        <v>44</v>
      </c>
      <c r="C65" s="22"/>
      <c r="D65" s="22"/>
      <c r="E65" s="22"/>
      <c r="F65" s="22"/>
      <c r="G65" s="22"/>
      <c r="H65" s="22"/>
      <c r="I65" s="22"/>
      <c r="J65" s="46"/>
      <c r="K65" s="23"/>
      <c r="U65" s="8"/>
    </row>
    <row r="66" spans="2:21" ht="7.5" customHeight="1" thickBot="1" x14ac:dyDescent="0.3"/>
    <row r="67" spans="2:21" x14ac:dyDescent="0.25">
      <c r="B67" s="31" t="s">
        <v>46</v>
      </c>
      <c r="C67" s="19"/>
      <c r="D67" s="19"/>
      <c r="E67" s="19"/>
      <c r="F67" s="19"/>
      <c r="G67" s="19"/>
      <c r="H67" s="19"/>
      <c r="I67" s="19"/>
      <c r="J67" s="45"/>
      <c r="K67" s="20"/>
      <c r="U67" s="7"/>
    </row>
    <row r="68" spans="2:21" x14ac:dyDescent="0.25">
      <c r="B68" s="32" t="s">
        <v>45</v>
      </c>
      <c r="C68" s="1"/>
      <c r="D68" s="1"/>
      <c r="E68" s="1"/>
      <c r="F68" s="1"/>
      <c r="G68" s="1"/>
      <c r="H68" s="1"/>
      <c r="I68" s="1"/>
      <c r="J68" s="44"/>
      <c r="K68" s="21"/>
      <c r="U68" s="3"/>
    </row>
    <row r="69" spans="2:21" ht="19.5" thickBot="1" x14ac:dyDescent="0.3">
      <c r="B69" s="33" t="s">
        <v>44</v>
      </c>
      <c r="C69" s="22"/>
      <c r="D69" s="22"/>
      <c r="E69" s="22"/>
      <c r="F69" s="22"/>
      <c r="G69" s="22"/>
      <c r="H69" s="22"/>
      <c r="I69" s="22"/>
      <c r="J69" s="46"/>
      <c r="K69" s="23"/>
      <c r="U69" s="8"/>
    </row>
    <row r="70" spans="2:21" ht="7.5" customHeight="1" thickBot="1" x14ac:dyDescent="0.3"/>
    <row r="71" spans="2:21" x14ac:dyDescent="0.25">
      <c r="B71" s="31" t="s">
        <v>38</v>
      </c>
      <c r="C71" s="19"/>
      <c r="D71" s="19"/>
      <c r="E71" s="19"/>
      <c r="F71" s="19"/>
      <c r="G71" s="19"/>
      <c r="H71" s="19"/>
      <c r="I71" s="19"/>
      <c r="J71" s="45"/>
      <c r="K71" s="20"/>
      <c r="U71" s="7"/>
    </row>
    <row r="72" spans="2:21" x14ac:dyDescent="0.25">
      <c r="B72" s="32" t="s">
        <v>45</v>
      </c>
      <c r="C72" s="1"/>
      <c r="D72" s="1"/>
      <c r="E72" s="1"/>
      <c r="F72" s="1"/>
      <c r="G72" s="1"/>
      <c r="H72" s="1"/>
      <c r="I72" s="1"/>
      <c r="J72" s="44"/>
      <c r="K72" s="21"/>
      <c r="U72" s="3"/>
    </row>
    <row r="73" spans="2:21" ht="19.5" thickBot="1" x14ac:dyDescent="0.3">
      <c r="B73" s="33" t="s">
        <v>44</v>
      </c>
      <c r="C73" s="22"/>
      <c r="D73" s="22"/>
      <c r="E73" s="22"/>
      <c r="F73" s="22"/>
      <c r="G73" s="22"/>
      <c r="H73" s="22"/>
      <c r="I73" s="22"/>
      <c r="J73" s="46"/>
      <c r="K73" s="23"/>
      <c r="U73" s="8"/>
    </row>
    <row r="74" spans="2:21" ht="7.5" customHeight="1" thickBot="1" x14ac:dyDescent="0.3"/>
    <row r="75" spans="2:21" x14ac:dyDescent="0.25">
      <c r="B75" s="31" t="s">
        <v>47</v>
      </c>
      <c r="C75" s="19"/>
      <c r="D75" s="19"/>
      <c r="E75" s="19"/>
      <c r="F75" s="19"/>
      <c r="G75" s="19"/>
      <c r="H75" s="19"/>
      <c r="I75" s="19"/>
      <c r="J75" s="45"/>
      <c r="K75" s="20"/>
      <c r="U75" s="7"/>
    </row>
    <row r="76" spans="2:21" x14ac:dyDescent="0.25">
      <c r="B76" s="32" t="s">
        <v>45</v>
      </c>
      <c r="C76" s="1"/>
      <c r="D76" s="1"/>
      <c r="E76" s="1"/>
      <c r="F76" s="1"/>
      <c r="G76" s="1"/>
      <c r="H76" s="1"/>
      <c r="I76" s="1"/>
      <c r="J76" s="44"/>
      <c r="K76" s="21"/>
      <c r="U76" s="3"/>
    </row>
    <row r="77" spans="2:21" ht="19.5" thickBot="1" x14ac:dyDescent="0.3">
      <c r="B77" s="33" t="s">
        <v>44</v>
      </c>
      <c r="C77" s="22"/>
      <c r="D77" s="22"/>
      <c r="E77" s="22"/>
      <c r="F77" s="22"/>
      <c r="G77" s="22"/>
      <c r="H77" s="22"/>
      <c r="I77" s="22"/>
      <c r="J77" s="46"/>
      <c r="K77" s="23"/>
      <c r="U77" s="8"/>
    </row>
    <row r="78" spans="2:21" ht="7.5" customHeight="1" thickBot="1" x14ac:dyDescent="0.3"/>
    <row r="79" spans="2:21" x14ac:dyDescent="0.25">
      <c r="B79" s="31" t="s">
        <v>48</v>
      </c>
      <c r="C79" s="19"/>
      <c r="D79" s="19"/>
      <c r="E79" s="19"/>
      <c r="F79" s="19"/>
      <c r="G79" s="19"/>
      <c r="H79" s="19"/>
      <c r="I79" s="19"/>
      <c r="J79" s="45"/>
      <c r="K79" s="20"/>
      <c r="U79" s="7"/>
    </row>
    <row r="80" spans="2:21" x14ac:dyDescent="0.25">
      <c r="B80" s="32" t="s">
        <v>45</v>
      </c>
      <c r="C80" s="1"/>
      <c r="D80" s="1"/>
      <c r="E80" s="1"/>
      <c r="F80" s="1"/>
      <c r="G80" s="1"/>
      <c r="H80" s="1"/>
      <c r="I80" s="1"/>
      <c r="J80" s="44"/>
      <c r="K80" s="21"/>
      <c r="U80" s="3"/>
    </row>
    <row r="81" spans="2:21" ht="19.5" thickBot="1" x14ac:dyDescent="0.3">
      <c r="B81" s="33" t="s">
        <v>44</v>
      </c>
      <c r="C81" s="22"/>
      <c r="D81" s="22"/>
      <c r="E81" s="22"/>
      <c r="F81" s="22"/>
      <c r="G81" s="22"/>
      <c r="H81" s="22"/>
      <c r="I81" s="22"/>
      <c r="J81" s="46"/>
      <c r="K81" s="23"/>
      <c r="U81" s="8"/>
    </row>
    <row r="82" spans="2:21" ht="7.5" customHeight="1" thickBot="1" x14ac:dyDescent="0.3"/>
    <row r="83" spans="2:21" ht="19.5" thickBot="1" x14ac:dyDescent="0.3">
      <c r="B83" s="30" t="s">
        <v>49</v>
      </c>
      <c r="C83" s="17"/>
      <c r="D83" s="17"/>
      <c r="E83" s="17"/>
      <c r="F83" s="17"/>
      <c r="G83" s="17"/>
      <c r="H83" s="17"/>
      <c r="I83" s="17"/>
      <c r="J83" s="47"/>
      <c r="K83" s="18"/>
      <c r="U83" s="16"/>
    </row>
  </sheetData>
  <mergeCells count="7">
    <mergeCell ref="V4:V5"/>
    <mergeCell ref="J5:K5"/>
    <mergeCell ref="C62:K62"/>
    <mergeCell ref="I1:U1"/>
    <mergeCell ref="C4:K4"/>
    <mergeCell ref="T4:T5"/>
    <mergeCell ref="U4:U5"/>
  </mergeCells>
  <printOptions horizontalCentered="1" verticalCentered="1"/>
  <pageMargins left="0.19685039370078741" right="0.19685039370078741" top="0.19685039370078741" bottom="0.19685039370078741" header="0.19685039370078741" footer="0.19685039370078741"/>
  <pageSetup paperSize="14" scale="53" orientation="portrait" horizontalDpi="360" verticalDpi="360" r:id="rId1"/>
  <colBreaks count="1" manualBreakCount="1">
    <brk id="24" max="80" man="1"/>
  </colBreaks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E5F25570-961A-4F51-8ABE-D25E61E306DD}">
  <sheetPr>
    <pageSetUpPr fitToPage="1"/>
  </sheetPr>
  <dimension ref="A1:BB81"/>
  <sheetViews>
    <sheetView topLeftCell="A39" zoomScale="115" zoomScaleNormal="115" zoomScaleSheetLayoutView="115" workbookViewId="0">
      <selection activeCell="Q65" sqref="Q65"/>
    </sheetView>
  </sheetViews>
  <sheetFormatPr defaultColWidth="9.140625" defaultRowHeight="18.75" x14ac:dyDescent="0.25"/>
  <cols>
    <col min="1" max="1" width="4.140625" style="9" bestFit="1" customWidth="1"/>
    <col min="2" max="2" width="12.28515625" style="28" customWidth="1"/>
    <col min="3" max="6" width="10" style="9" customWidth="1"/>
    <col min="7" max="7" width="6.85546875" style="9" customWidth="1"/>
    <col min="8" max="8" width="7.5703125" style="9" bestFit="1" customWidth="1"/>
    <col min="9" max="9" width="6.7109375" style="9" bestFit="1" customWidth="1"/>
    <col min="10" max="10" width="6.85546875" style="9" customWidth="1"/>
    <col min="11" max="11" width="7.5703125" style="9" bestFit="1" customWidth="1"/>
    <col min="12" max="12" width="1.42578125" style="9" customWidth="1"/>
    <col min="13" max="13" width="10" style="9" customWidth="1"/>
    <col min="14" max="14" width="6.7109375" style="9" bestFit="1" customWidth="1"/>
    <col min="15" max="15" width="10" style="9" customWidth="1"/>
    <col min="16" max="16" width="5.5703125" style="9" customWidth="1"/>
    <col min="17" max="17" width="10" style="9" customWidth="1"/>
    <col min="18" max="18" width="6.7109375" style="9" bestFit="1" customWidth="1"/>
    <col min="19" max="19" width="1.42578125" style="9" customWidth="1"/>
    <col min="20" max="20" width="12.7109375" style="9" bestFit="1" customWidth="1"/>
    <col min="21" max="21" width="14.28515625" style="9" customWidth="1"/>
    <col min="22" max="22" width="19.5703125" style="9" bestFit="1" customWidth="1"/>
    <col min="23" max="49" width="7.28515625" style="9" customWidth="1"/>
    <col min="50" max="50" width="1.5703125" style="9" customWidth="1"/>
    <col min="51" max="51" width="9.42578125" style="9" customWidth="1"/>
    <col min="52" max="52" width="1.28515625" style="9" customWidth="1"/>
    <col min="53" max="53" width="12.7109375" style="9" bestFit="1" customWidth="1"/>
    <col min="54" max="54" width="10.28515625" style="9" bestFit="1" customWidth="1"/>
    <col min="55" max="16384" width="9.140625" style="9"/>
  </cols>
  <sheetData>
    <row r="1" spans="1:54" ht="15" customHeight="1" x14ac:dyDescent="0.25">
      <c r="B1" s="27" t="s">
        <v>42</v>
      </c>
      <c r="I1" s="116" t="s">
        <v>43</v>
      </c>
      <c r="J1" s="116"/>
      <c r="K1" s="116"/>
      <c r="L1" s="116"/>
      <c r="M1" s="116"/>
      <c r="N1" s="116"/>
      <c r="O1" s="116"/>
      <c r="P1" s="116"/>
      <c r="Q1" s="116"/>
      <c r="R1" s="116"/>
      <c r="S1" s="116"/>
      <c r="T1" s="116"/>
      <c r="U1" s="116"/>
    </row>
    <row r="2" spans="1:54" x14ac:dyDescent="0.25">
      <c r="B2" s="28" t="s">
        <v>71</v>
      </c>
    </row>
    <row r="3" spans="1:54" ht="19.5" thickBot="1" x14ac:dyDescent="0.3"/>
    <row r="4" spans="1:54" s="10" customFormat="1" ht="15.75" x14ac:dyDescent="0.25">
      <c r="B4" s="41" t="s">
        <v>52</v>
      </c>
      <c r="C4" s="117" t="s">
        <v>41</v>
      </c>
      <c r="D4" s="117"/>
      <c r="E4" s="117"/>
      <c r="F4" s="117"/>
      <c r="G4" s="117"/>
      <c r="H4" s="117"/>
      <c r="I4" s="117"/>
      <c r="J4" s="118"/>
      <c r="K4" s="119"/>
      <c r="M4" s="34" t="s">
        <v>0</v>
      </c>
      <c r="N4" s="48" t="s">
        <v>61</v>
      </c>
      <c r="O4" s="35" t="s">
        <v>39</v>
      </c>
      <c r="P4" s="48" t="s">
        <v>61</v>
      </c>
      <c r="Q4" s="36" t="s">
        <v>40</v>
      </c>
      <c r="R4" s="48" t="s">
        <v>61</v>
      </c>
      <c r="S4" s="9"/>
      <c r="T4" s="120" t="s">
        <v>68</v>
      </c>
      <c r="U4" s="126" t="s">
        <v>67</v>
      </c>
      <c r="V4" s="109" t="s">
        <v>66</v>
      </c>
      <c r="AF4" s="11"/>
      <c r="AG4" s="11"/>
      <c r="AH4" s="11"/>
      <c r="AI4" s="11"/>
      <c r="AJ4" s="11"/>
      <c r="AK4" s="11"/>
      <c r="AL4" s="11"/>
      <c r="AM4" s="11"/>
      <c r="AN4" s="11"/>
      <c r="AO4" s="11"/>
      <c r="AP4" s="11"/>
      <c r="AQ4" s="11"/>
      <c r="AR4" s="11"/>
      <c r="AS4" s="11"/>
      <c r="AT4" s="11"/>
      <c r="AU4" s="11"/>
      <c r="AV4" s="11"/>
      <c r="AW4" s="11"/>
      <c r="AX4" s="11"/>
      <c r="AY4" s="11"/>
      <c r="AZ4" s="11"/>
      <c r="BA4" s="11"/>
      <c r="BB4" s="11"/>
    </row>
    <row r="5" spans="1:54" s="10" customFormat="1" ht="15.75" x14ac:dyDescent="0.25">
      <c r="B5" s="37"/>
      <c r="C5" s="40"/>
      <c r="D5" s="40"/>
      <c r="E5" s="40"/>
      <c r="F5" s="40"/>
      <c r="G5" s="40"/>
      <c r="H5" s="40" t="s">
        <v>64</v>
      </c>
      <c r="I5" s="40" t="s">
        <v>60</v>
      </c>
      <c r="J5" s="124" t="s">
        <v>65</v>
      </c>
      <c r="K5" s="125"/>
      <c r="M5" s="37"/>
      <c r="N5" s="49"/>
      <c r="O5" s="40"/>
      <c r="P5" s="96"/>
      <c r="Q5" s="96"/>
      <c r="R5" s="38"/>
      <c r="S5" s="9"/>
      <c r="T5" s="121"/>
      <c r="U5" s="127"/>
      <c r="V5" s="110"/>
      <c r="AF5" s="11"/>
      <c r="AG5" s="11"/>
      <c r="AH5" s="11"/>
      <c r="AI5" s="11"/>
      <c r="AJ5" s="11"/>
      <c r="AK5" s="11"/>
      <c r="AL5" s="11"/>
      <c r="AM5" s="11"/>
      <c r="AN5" s="11"/>
      <c r="AO5" s="11"/>
      <c r="AP5" s="11"/>
      <c r="AQ5" s="11"/>
      <c r="AR5" s="11"/>
      <c r="AS5" s="11"/>
      <c r="AT5" s="11"/>
      <c r="AU5" s="11"/>
      <c r="AV5" s="11"/>
      <c r="AW5" s="11"/>
      <c r="AX5" s="11"/>
      <c r="AY5" s="11"/>
      <c r="AZ5" s="11"/>
      <c r="BA5" s="11"/>
      <c r="BB5" s="11"/>
    </row>
    <row r="6" spans="1:54" s="10" customFormat="1" ht="15.75" x14ac:dyDescent="0.25">
      <c r="B6" s="37"/>
      <c r="C6" s="40"/>
      <c r="D6" s="40"/>
      <c r="E6" s="40"/>
      <c r="F6" s="40"/>
      <c r="G6" s="40"/>
      <c r="H6" s="40"/>
      <c r="I6" s="40"/>
      <c r="J6" s="96"/>
      <c r="K6" s="38"/>
      <c r="M6" s="37"/>
      <c r="N6" s="49"/>
      <c r="O6" s="40"/>
      <c r="P6" s="96"/>
      <c r="Q6" s="96"/>
      <c r="R6" s="38"/>
      <c r="S6" s="9"/>
      <c r="T6" s="39"/>
      <c r="U6" s="39"/>
      <c r="V6" s="39"/>
      <c r="AF6" s="11"/>
      <c r="AG6" s="11"/>
      <c r="AH6" s="11"/>
      <c r="AI6" s="11"/>
      <c r="AJ6" s="11"/>
      <c r="AK6" s="11"/>
      <c r="AL6" s="11"/>
      <c r="AM6" s="11"/>
      <c r="AN6" s="11"/>
      <c r="AO6" s="11"/>
      <c r="AP6" s="11"/>
      <c r="AQ6" s="11"/>
      <c r="AR6" s="11"/>
      <c r="AS6" s="11"/>
      <c r="AT6" s="11"/>
      <c r="AU6" s="11"/>
      <c r="AV6" s="11"/>
      <c r="AW6" s="11"/>
      <c r="AX6" s="11"/>
      <c r="AY6" s="11"/>
      <c r="AZ6" s="11"/>
      <c r="BA6" s="11"/>
      <c r="BB6" s="11"/>
    </row>
    <row r="7" spans="1:54" x14ac:dyDescent="0.25">
      <c r="A7" s="27">
        <v>1</v>
      </c>
      <c r="B7" s="26" t="s">
        <v>32</v>
      </c>
      <c r="C7" s="52">
        <v>32</v>
      </c>
      <c r="D7" s="52"/>
      <c r="E7" s="52"/>
      <c r="F7" s="52"/>
      <c r="G7" s="52"/>
      <c r="H7" s="52"/>
      <c r="I7" s="52">
        <v>3</v>
      </c>
      <c r="J7" s="53"/>
      <c r="K7" s="54">
        <v>6</v>
      </c>
      <c r="L7" s="55"/>
      <c r="M7" s="56"/>
      <c r="N7" s="57"/>
      <c r="O7" s="52">
        <v>2</v>
      </c>
      <c r="P7" s="53"/>
      <c r="Q7" s="53">
        <v>1</v>
      </c>
      <c r="R7" s="54"/>
      <c r="S7" s="55"/>
      <c r="T7" s="58">
        <f>H7+I7+J7+K7+N7+P7+R7</f>
        <v>9</v>
      </c>
      <c r="U7" s="58">
        <f>C7*24+M7*24+O7*24+Q7*24+T7</f>
        <v>849</v>
      </c>
      <c r="V7" s="58">
        <f>U7/24</f>
        <v>35.375</v>
      </c>
      <c r="W7" s="50"/>
      <c r="AF7" s="12"/>
      <c r="AG7" s="12"/>
      <c r="AH7" s="12"/>
      <c r="AI7" s="12"/>
      <c r="AJ7" s="12"/>
      <c r="AK7" s="12"/>
      <c r="AL7" s="12"/>
      <c r="AM7" s="12"/>
      <c r="AN7" s="12"/>
      <c r="AO7" s="12"/>
      <c r="AP7" s="12"/>
      <c r="AQ7" s="12"/>
      <c r="AR7" s="12"/>
      <c r="AS7" s="12"/>
      <c r="AT7" s="12"/>
      <c r="AU7" s="12"/>
      <c r="AV7" s="12"/>
      <c r="AW7" s="12"/>
      <c r="AX7" s="12"/>
      <c r="AY7" s="12"/>
      <c r="AZ7" s="12"/>
      <c r="BA7" s="12"/>
      <c r="BB7" s="12"/>
    </row>
    <row r="8" spans="1:54" ht="19.5" thickBot="1" x14ac:dyDescent="0.3">
      <c r="A8" s="27">
        <f>A7+1</f>
        <v>2</v>
      </c>
      <c r="B8" s="42" t="s">
        <v>35</v>
      </c>
      <c r="C8" s="59">
        <f>41+43</f>
        <v>84</v>
      </c>
      <c r="D8" s="59"/>
      <c r="E8" s="59"/>
      <c r="F8" s="59"/>
      <c r="G8" s="59"/>
      <c r="H8" s="59"/>
      <c r="I8" s="59"/>
      <c r="J8" s="60"/>
      <c r="K8" s="61"/>
      <c r="L8" s="62"/>
      <c r="M8" s="63">
        <v>2</v>
      </c>
      <c r="N8" s="64"/>
      <c r="O8" s="65"/>
      <c r="P8" s="66">
        <v>12</v>
      </c>
      <c r="Q8" s="66">
        <v>2</v>
      </c>
      <c r="R8" s="67"/>
      <c r="S8" s="62"/>
      <c r="T8" s="68">
        <f t="shared" ref="T8:T41" si="0">H8+I8+J8+K8+N8+P8+R8</f>
        <v>12</v>
      </c>
      <c r="U8" s="69">
        <f>C8*24+M8*24+O8*24+Q8*24+T8</f>
        <v>2124</v>
      </c>
      <c r="V8" s="69">
        <f>U8/24</f>
        <v>88.5</v>
      </c>
      <c r="W8" s="50"/>
      <c r="AF8" s="12"/>
      <c r="AG8" s="12"/>
      <c r="AH8" s="12"/>
      <c r="AI8" s="12"/>
      <c r="AJ8" s="12"/>
      <c r="AK8" s="12"/>
      <c r="AL8" s="12"/>
      <c r="AM8" s="12"/>
      <c r="AN8" s="12"/>
      <c r="AO8" s="12"/>
      <c r="AP8" s="12"/>
      <c r="AQ8" s="12"/>
      <c r="AR8" s="12"/>
      <c r="AS8" s="12"/>
      <c r="AT8" s="12"/>
      <c r="AU8" s="12"/>
      <c r="AV8" s="12"/>
      <c r="AW8" s="12"/>
      <c r="AX8" s="12"/>
      <c r="AY8" s="12"/>
      <c r="AZ8" s="12"/>
      <c r="BA8" s="12"/>
      <c r="BB8" s="12"/>
    </row>
    <row r="9" spans="1:54" x14ac:dyDescent="0.25">
      <c r="A9" s="27">
        <f t="shared" ref="A9:A57" si="1">A8+1</f>
        <v>3</v>
      </c>
      <c r="B9" s="25" t="s">
        <v>33</v>
      </c>
      <c r="C9" s="70">
        <f>63+30</f>
        <v>93</v>
      </c>
      <c r="D9" s="70"/>
      <c r="E9" s="70"/>
      <c r="F9" s="70"/>
      <c r="G9" s="70"/>
      <c r="H9" s="70"/>
      <c r="I9" s="70"/>
      <c r="J9" s="71"/>
      <c r="K9" s="72"/>
      <c r="L9" s="55"/>
      <c r="M9" s="73"/>
      <c r="N9" s="74"/>
      <c r="O9" s="70">
        <v>1</v>
      </c>
      <c r="P9" s="71"/>
      <c r="Q9" s="71"/>
      <c r="R9" s="72"/>
      <c r="S9" s="55"/>
      <c r="T9" s="75">
        <f t="shared" si="0"/>
        <v>0</v>
      </c>
      <c r="U9" s="76">
        <f t="shared" ref="U9:U11" si="2">C9*24+M9*24+O9*24+Q9*24+T9</f>
        <v>2256</v>
      </c>
      <c r="V9" s="76">
        <f t="shared" ref="V9:V11" si="3">U9/24</f>
        <v>94</v>
      </c>
      <c r="W9" s="50"/>
      <c r="AF9" s="12"/>
      <c r="AG9" s="12"/>
      <c r="AH9" s="12"/>
      <c r="AI9" s="12"/>
      <c r="AJ9" s="12"/>
      <c r="AK9" s="12"/>
      <c r="AL9" s="12"/>
      <c r="AM9" s="12"/>
      <c r="AN9" s="12"/>
      <c r="AO9" s="12"/>
      <c r="AP9" s="12"/>
      <c r="AQ9" s="12"/>
      <c r="AR9" s="12"/>
      <c r="AS9" s="12"/>
      <c r="AT9" s="12"/>
      <c r="AU9" s="12"/>
      <c r="AV9" s="12"/>
      <c r="AW9" s="12"/>
      <c r="AX9" s="12"/>
      <c r="AY9" s="12"/>
      <c r="AZ9" s="12"/>
      <c r="BA9" s="12"/>
      <c r="BB9" s="12"/>
    </row>
    <row r="10" spans="1:54" x14ac:dyDescent="0.25">
      <c r="A10" s="27">
        <f t="shared" si="1"/>
        <v>4</v>
      </c>
      <c r="B10" s="26" t="s">
        <v>36</v>
      </c>
      <c r="C10" s="70">
        <f>39+10</f>
        <v>49</v>
      </c>
      <c r="D10" s="70"/>
      <c r="E10" s="70"/>
      <c r="F10" s="70"/>
      <c r="G10" s="70"/>
      <c r="H10" s="70"/>
      <c r="I10" s="70"/>
      <c r="J10" s="71"/>
      <c r="K10" s="72"/>
      <c r="L10" s="55"/>
      <c r="M10" s="73"/>
      <c r="N10" s="74"/>
      <c r="O10" s="70">
        <v>1</v>
      </c>
      <c r="P10" s="71"/>
      <c r="Q10" s="71"/>
      <c r="R10" s="72"/>
      <c r="S10" s="55"/>
      <c r="T10" s="58">
        <f t="shared" si="0"/>
        <v>0</v>
      </c>
      <c r="U10" s="58">
        <f t="shared" si="2"/>
        <v>1200</v>
      </c>
      <c r="V10" s="58">
        <f t="shared" si="3"/>
        <v>50</v>
      </c>
      <c r="W10" s="50"/>
      <c r="AF10" s="12"/>
      <c r="AG10" s="12"/>
      <c r="AH10" s="12"/>
      <c r="AI10" s="12"/>
      <c r="AJ10" s="12"/>
      <c r="AK10" s="12"/>
      <c r="AL10" s="12"/>
      <c r="AM10" s="12"/>
      <c r="AN10" s="12"/>
      <c r="AO10" s="12"/>
      <c r="AP10" s="12"/>
      <c r="AQ10" s="12"/>
      <c r="AR10" s="12"/>
      <c r="AS10" s="12"/>
      <c r="AT10" s="12"/>
      <c r="AU10" s="12"/>
      <c r="AV10" s="12"/>
      <c r="AW10" s="12"/>
      <c r="AX10" s="12"/>
      <c r="AY10" s="12"/>
      <c r="AZ10" s="12"/>
      <c r="BA10" s="12"/>
      <c r="BB10" s="12"/>
    </row>
    <row r="11" spans="1:54" x14ac:dyDescent="0.25">
      <c r="A11" s="27">
        <f t="shared" si="1"/>
        <v>5</v>
      </c>
      <c r="B11" s="26" t="s">
        <v>34</v>
      </c>
      <c r="C11" s="70">
        <v>9</v>
      </c>
      <c r="D11" s="70"/>
      <c r="E11" s="70"/>
      <c r="F11" s="70"/>
      <c r="G11" s="70"/>
      <c r="H11" s="70"/>
      <c r="I11" s="70"/>
      <c r="J11" s="71"/>
      <c r="K11" s="72">
        <v>2</v>
      </c>
      <c r="L11" s="55"/>
      <c r="M11" s="73"/>
      <c r="N11" s="74"/>
      <c r="O11" s="70"/>
      <c r="P11" s="71"/>
      <c r="Q11" s="71"/>
      <c r="R11" s="72"/>
      <c r="S11" s="55"/>
      <c r="T11" s="58">
        <f t="shared" si="0"/>
        <v>2</v>
      </c>
      <c r="U11" s="58">
        <f t="shared" si="2"/>
        <v>218</v>
      </c>
      <c r="V11" s="58">
        <f t="shared" si="3"/>
        <v>9.0833333333333339</v>
      </c>
      <c r="AF11" s="12"/>
      <c r="AG11" s="12"/>
      <c r="AH11" s="12"/>
      <c r="AI11" s="12"/>
      <c r="AJ11" s="12"/>
      <c r="AK11" s="12"/>
      <c r="AL11" s="12"/>
      <c r="AM11" s="12"/>
      <c r="AN11" s="12"/>
      <c r="AO11" s="12"/>
      <c r="AP11" s="12"/>
      <c r="AQ11" s="12"/>
      <c r="AR11" s="12"/>
      <c r="AS11" s="12"/>
      <c r="AT11" s="12"/>
      <c r="AU11" s="12"/>
      <c r="AV11" s="12"/>
      <c r="AW11" s="12"/>
      <c r="AX11" s="12"/>
      <c r="AY11" s="12"/>
      <c r="AZ11" s="12"/>
      <c r="BA11" s="12"/>
      <c r="BB11" s="12"/>
    </row>
    <row r="12" spans="1:54" s="13" customFormat="1" ht="19.5" thickBot="1" x14ac:dyDescent="0.3">
      <c r="A12" s="27">
        <v>7</v>
      </c>
      <c r="B12" s="42" t="s">
        <v>30</v>
      </c>
      <c r="C12" s="59">
        <f>1224+53+1080+29+1152+36</f>
        <v>3574</v>
      </c>
      <c r="D12" s="59"/>
      <c r="E12" s="59"/>
      <c r="F12" s="59"/>
      <c r="G12" s="59"/>
      <c r="H12" s="59"/>
      <c r="I12" s="59"/>
      <c r="J12" s="60"/>
      <c r="K12" s="61"/>
      <c r="L12" s="62"/>
      <c r="M12" s="63">
        <v>10</v>
      </c>
      <c r="N12" s="64">
        <v>8</v>
      </c>
      <c r="O12" s="65">
        <v>16</v>
      </c>
      <c r="P12" s="66">
        <v>8</v>
      </c>
      <c r="Q12" s="66">
        <v>22</v>
      </c>
      <c r="R12" s="67">
        <v>8</v>
      </c>
      <c r="S12" s="62"/>
      <c r="T12" s="69">
        <f t="shared" si="0"/>
        <v>24</v>
      </c>
      <c r="U12" s="69">
        <f>C12*24+M12*24+O12*24+Q12*24+T12</f>
        <v>86952</v>
      </c>
      <c r="V12" s="69">
        <f>U12/24</f>
        <v>3623</v>
      </c>
      <c r="W12" s="9"/>
      <c r="X12" s="9"/>
      <c r="Y12" s="9"/>
      <c r="Z12" s="9"/>
      <c r="AA12" s="9"/>
      <c r="AB12" s="9"/>
      <c r="AC12" s="9"/>
      <c r="AD12" s="9"/>
      <c r="AE12" s="9"/>
      <c r="AF12" s="12"/>
      <c r="AG12" s="12"/>
      <c r="AH12" s="12"/>
      <c r="AI12" s="12"/>
      <c r="AJ12" s="12"/>
      <c r="AK12" s="12"/>
      <c r="AL12" s="12"/>
      <c r="AM12" s="12"/>
      <c r="AN12" s="12"/>
      <c r="AO12" s="12"/>
      <c r="AP12" s="12"/>
      <c r="AQ12" s="12"/>
      <c r="AR12" s="12"/>
      <c r="AS12" s="12"/>
      <c r="AT12" s="12"/>
      <c r="AU12" s="12"/>
      <c r="AV12" s="12"/>
      <c r="AW12" s="12"/>
      <c r="AX12" s="12"/>
      <c r="AY12" s="12"/>
      <c r="AZ12" s="12"/>
      <c r="BA12" s="12"/>
      <c r="BB12" s="12"/>
    </row>
    <row r="13" spans="1:54" x14ac:dyDescent="0.25">
      <c r="A13" s="27">
        <v>11</v>
      </c>
      <c r="B13" s="25" t="s">
        <v>1</v>
      </c>
      <c r="C13" s="70">
        <v>2</v>
      </c>
      <c r="D13" s="70"/>
      <c r="E13" s="70"/>
      <c r="F13" s="70"/>
      <c r="G13" s="70"/>
      <c r="H13" s="70">
        <v>16</v>
      </c>
      <c r="I13" s="70"/>
      <c r="J13" s="71"/>
      <c r="K13" s="72"/>
      <c r="L13" s="55"/>
      <c r="M13" s="73"/>
      <c r="N13" s="74"/>
      <c r="O13" s="70"/>
      <c r="P13" s="71"/>
      <c r="Q13" s="71"/>
      <c r="R13" s="72"/>
      <c r="S13" s="55"/>
      <c r="T13" s="76">
        <f t="shared" si="0"/>
        <v>16</v>
      </c>
      <c r="U13" s="76">
        <f>C13*24+M13*24+O13*24+Q13*24+T13</f>
        <v>64</v>
      </c>
      <c r="V13" s="76">
        <f>U13/24</f>
        <v>2.6666666666666665</v>
      </c>
      <c r="AF13" s="12"/>
      <c r="AG13" s="12"/>
      <c r="AH13" s="12"/>
      <c r="AI13" s="12"/>
      <c r="AJ13" s="12"/>
      <c r="AK13" s="12"/>
      <c r="AL13" s="12"/>
      <c r="AM13" s="12"/>
      <c r="AN13" s="12"/>
      <c r="AO13" s="12"/>
      <c r="AP13" s="12"/>
      <c r="AQ13" s="12"/>
      <c r="AR13" s="12"/>
      <c r="AS13" s="12"/>
      <c r="AT13" s="12"/>
      <c r="AU13" s="12"/>
      <c r="AV13" s="12"/>
      <c r="AW13" s="12"/>
      <c r="AX13" s="12"/>
      <c r="AY13" s="12"/>
      <c r="AZ13" s="12"/>
      <c r="BA13" s="12"/>
      <c r="BB13" s="12"/>
    </row>
    <row r="14" spans="1:54" x14ac:dyDescent="0.25">
      <c r="A14" s="27">
        <f t="shared" si="1"/>
        <v>12</v>
      </c>
      <c r="B14" s="26" t="s">
        <v>2</v>
      </c>
      <c r="C14" s="70">
        <v>2</v>
      </c>
      <c r="D14" s="70"/>
      <c r="E14" s="70"/>
      <c r="F14" s="70"/>
      <c r="G14" s="70"/>
      <c r="H14" s="70"/>
      <c r="I14" s="70"/>
      <c r="J14" s="71"/>
      <c r="K14" s="72"/>
      <c r="L14" s="55"/>
      <c r="M14" s="73"/>
      <c r="N14" s="74"/>
      <c r="O14" s="70"/>
      <c r="P14" s="71"/>
      <c r="Q14" s="71"/>
      <c r="R14" s="72"/>
      <c r="S14" s="55"/>
      <c r="T14" s="58">
        <f t="shared" si="0"/>
        <v>0</v>
      </c>
      <c r="U14" s="75">
        <f t="shared" ref="U14:U36" si="4">C14*24+M14*24+O14*24+Q14*24+T14</f>
        <v>48</v>
      </c>
      <c r="V14" s="75">
        <f t="shared" ref="V14:V36" si="5">U14/24</f>
        <v>2</v>
      </c>
      <c r="AF14" s="12"/>
      <c r="AG14" s="12"/>
      <c r="AH14" s="12"/>
      <c r="AI14" s="12"/>
      <c r="AJ14" s="12"/>
      <c r="AK14" s="12"/>
      <c r="AL14" s="12"/>
      <c r="AM14" s="12"/>
      <c r="AN14" s="12"/>
      <c r="AO14" s="12"/>
      <c r="AP14" s="12"/>
      <c r="AQ14" s="12"/>
      <c r="AR14" s="12"/>
      <c r="AS14" s="12"/>
      <c r="AT14" s="12"/>
      <c r="AU14" s="12"/>
      <c r="AV14" s="12"/>
      <c r="AW14" s="12"/>
      <c r="AX14" s="12"/>
      <c r="AY14" s="12"/>
      <c r="AZ14" s="12"/>
      <c r="BA14" s="12"/>
      <c r="BB14" s="12"/>
    </row>
    <row r="15" spans="1:54" x14ac:dyDescent="0.25">
      <c r="A15" s="27">
        <f t="shared" si="1"/>
        <v>13</v>
      </c>
      <c r="B15" s="26" t="s">
        <v>3</v>
      </c>
      <c r="C15" s="70"/>
      <c r="D15" s="70"/>
      <c r="E15" s="70"/>
      <c r="F15" s="70"/>
      <c r="G15" s="70"/>
      <c r="H15" s="70"/>
      <c r="I15" s="70"/>
      <c r="J15" s="71"/>
      <c r="K15" s="72"/>
      <c r="L15" s="55"/>
      <c r="M15" s="73"/>
      <c r="N15" s="74"/>
      <c r="O15" s="70"/>
      <c r="P15" s="71"/>
      <c r="Q15" s="71"/>
      <c r="R15" s="72"/>
      <c r="S15" s="55"/>
      <c r="T15" s="58">
        <f t="shared" si="0"/>
        <v>0</v>
      </c>
      <c r="U15" s="75">
        <f t="shared" si="4"/>
        <v>0</v>
      </c>
      <c r="V15" s="75">
        <f t="shared" si="5"/>
        <v>0</v>
      </c>
      <c r="AF15" s="12"/>
      <c r="AG15" s="12"/>
      <c r="AH15" s="12"/>
      <c r="AI15" s="12"/>
      <c r="AJ15" s="12"/>
      <c r="AK15" s="12"/>
      <c r="AL15" s="12"/>
      <c r="AM15" s="12"/>
      <c r="AN15" s="12"/>
      <c r="AO15" s="12"/>
      <c r="AP15" s="12"/>
      <c r="AQ15" s="12"/>
      <c r="AR15" s="12"/>
      <c r="AS15" s="12"/>
      <c r="AT15" s="12"/>
      <c r="AU15" s="12"/>
      <c r="AV15" s="12"/>
      <c r="AW15" s="12"/>
      <c r="AX15" s="12"/>
      <c r="AY15" s="12"/>
      <c r="AZ15" s="12"/>
      <c r="BA15" s="12"/>
      <c r="BB15" s="12"/>
    </row>
    <row r="16" spans="1:54" x14ac:dyDescent="0.25">
      <c r="A16" s="27">
        <f t="shared" si="1"/>
        <v>14</v>
      </c>
      <c r="B16" s="26" t="s">
        <v>4</v>
      </c>
      <c r="C16" s="70"/>
      <c r="D16" s="70"/>
      <c r="E16" s="70"/>
      <c r="F16" s="70"/>
      <c r="G16" s="70"/>
      <c r="H16" s="70"/>
      <c r="I16" s="70"/>
      <c r="J16" s="71"/>
      <c r="K16" s="72"/>
      <c r="L16" s="55"/>
      <c r="M16" s="73"/>
      <c r="N16" s="74"/>
      <c r="O16" s="70"/>
      <c r="P16" s="71"/>
      <c r="Q16" s="71"/>
      <c r="R16" s="72"/>
      <c r="S16" s="55"/>
      <c r="T16" s="58">
        <f t="shared" si="0"/>
        <v>0</v>
      </c>
      <c r="U16" s="75">
        <f t="shared" si="4"/>
        <v>0</v>
      </c>
      <c r="V16" s="75">
        <f t="shared" si="5"/>
        <v>0</v>
      </c>
      <c r="AF16" s="12"/>
      <c r="AG16" s="12"/>
      <c r="AH16" s="12"/>
      <c r="AI16" s="12"/>
      <c r="AJ16" s="12"/>
      <c r="AK16" s="12"/>
      <c r="AL16" s="12"/>
      <c r="AM16" s="12"/>
      <c r="AN16" s="12"/>
      <c r="AO16" s="12"/>
      <c r="AP16" s="12"/>
      <c r="AQ16" s="12"/>
      <c r="AR16" s="12"/>
      <c r="AS16" s="12"/>
      <c r="AT16" s="12"/>
      <c r="AU16" s="12"/>
      <c r="AV16" s="12"/>
      <c r="AW16" s="12"/>
      <c r="AX16" s="12"/>
      <c r="AY16" s="12"/>
      <c r="AZ16" s="12"/>
      <c r="BA16" s="12"/>
      <c r="BB16" s="12"/>
    </row>
    <row r="17" spans="1:54" x14ac:dyDescent="0.25">
      <c r="A17" s="27">
        <f t="shared" si="1"/>
        <v>15</v>
      </c>
      <c r="B17" s="26" t="s">
        <v>5</v>
      </c>
      <c r="C17" s="70"/>
      <c r="D17" s="70"/>
      <c r="E17" s="70"/>
      <c r="F17" s="70"/>
      <c r="G17" s="70"/>
      <c r="H17" s="70">
        <f>24*3</f>
        <v>72</v>
      </c>
      <c r="I17" s="70"/>
      <c r="J17" s="71"/>
      <c r="K17" s="72"/>
      <c r="L17" s="55"/>
      <c r="M17" s="73"/>
      <c r="N17" s="74"/>
      <c r="O17" s="70"/>
      <c r="P17" s="71"/>
      <c r="Q17" s="71"/>
      <c r="R17" s="72"/>
      <c r="S17" s="55"/>
      <c r="T17" s="58">
        <f t="shared" si="0"/>
        <v>72</v>
      </c>
      <c r="U17" s="75">
        <f t="shared" si="4"/>
        <v>72</v>
      </c>
      <c r="V17" s="75">
        <f t="shared" si="5"/>
        <v>3</v>
      </c>
      <c r="AF17" s="12"/>
      <c r="AG17" s="12"/>
      <c r="AH17" s="12"/>
      <c r="AI17" s="12"/>
      <c r="AJ17" s="12"/>
      <c r="AK17" s="12"/>
      <c r="AL17" s="12"/>
      <c r="AM17" s="12"/>
      <c r="AN17" s="12"/>
      <c r="AO17" s="12"/>
      <c r="AP17" s="12"/>
      <c r="AQ17" s="12"/>
      <c r="AR17" s="12"/>
      <c r="AS17" s="12"/>
      <c r="AT17" s="12"/>
      <c r="AU17" s="12"/>
      <c r="AV17" s="12"/>
      <c r="AW17" s="12"/>
      <c r="AX17" s="12"/>
      <c r="AY17" s="12"/>
      <c r="AZ17" s="12"/>
      <c r="BA17" s="12"/>
      <c r="BB17" s="12"/>
    </row>
    <row r="18" spans="1:54" hidden="1" x14ac:dyDescent="0.25">
      <c r="A18" s="27">
        <f t="shared" si="1"/>
        <v>16</v>
      </c>
      <c r="B18" s="26" t="s">
        <v>9</v>
      </c>
      <c r="C18" s="70"/>
      <c r="D18" s="70"/>
      <c r="E18" s="70"/>
      <c r="F18" s="70"/>
      <c r="G18" s="70"/>
      <c r="H18" s="70"/>
      <c r="I18" s="70"/>
      <c r="J18" s="71"/>
      <c r="K18" s="72"/>
      <c r="L18" s="55"/>
      <c r="M18" s="73"/>
      <c r="N18" s="74"/>
      <c r="O18" s="70"/>
      <c r="P18" s="71"/>
      <c r="Q18" s="71"/>
      <c r="R18" s="72"/>
      <c r="S18" s="55"/>
      <c r="T18" s="58">
        <f t="shared" si="0"/>
        <v>0</v>
      </c>
      <c r="U18" s="75">
        <f t="shared" si="4"/>
        <v>0</v>
      </c>
      <c r="V18" s="75">
        <f t="shared" si="5"/>
        <v>0</v>
      </c>
      <c r="AF18" s="12"/>
      <c r="AG18" s="12"/>
      <c r="AH18" s="12"/>
      <c r="AI18" s="12"/>
      <c r="AJ18" s="12"/>
      <c r="AK18" s="12"/>
      <c r="AL18" s="12"/>
      <c r="AM18" s="12"/>
      <c r="AN18" s="12"/>
      <c r="AO18" s="12"/>
      <c r="AP18" s="12"/>
      <c r="AQ18" s="12"/>
      <c r="AR18" s="12"/>
      <c r="AS18" s="12"/>
      <c r="AT18" s="12"/>
      <c r="AU18" s="12"/>
      <c r="AV18" s="12"/>
      <c r="AW18" s="12"/>
      <c r="AX18" s="12"/>
      <c r="AY18" s="12"/>
      <c r="AZ18" s="12"/>
      <c r="BA18" s="12"/>
      <c r="BB18" s="12"/>
    </row>
    <row r="19" spans="1:54" x14ac:dyDescent="0.25">
      <c r="A19" s="27">
        <v>16</v>
      </c>
      <c r="B19" s="26" t="s">
        <v>53</v>
      </c>
      <c r="C19" s="70">
        <v>2</v>
      </c>
      <c r="D19" s="70"/>
      <c r="E19" s="70"/>
      <c r="F19" s="70"/>
      <c r="G19" s="70"/>
      <c r="H19" s="70">
        <f>24+20</f>
        <v>44</v>
      </c>
      <c r="I19" s="70"/>
      <c r="J19" s="71"/>
      <c r="K19" s="72"/>
      <c r="L19" s="55"/>
      <c r="M19" s="73"/>
      <c r="N19" s="74"/>
      <c r="O19" s="70"/>
      <c r="P19" s="71"/>
      <c r="Q19" s="71"/>
      <c r="R19" s="72"/>
      <c r="S19" s="55"/>
      <c r="T19" s="58">
        <f t="shared" si="0"/>
        <v>44</v>
      </c>
      <c r="U19" s="75">
        <f t="shared" si="4"/>
        <v>92</v>
      </c>
      <c r="V19" s="75">
        <f t="shared" si="5"/>
        <v>3.8333333333333335</v>
      </c>
      <c r="AF19" s="12"/>
      <c r="AG19" s="12"/>
      <c r="AH19" s="12"/>
      <c r="AI19" s="12"/>
      <c r="AJ19" s="12"/>
      <c r="AK19" s="12"/>
      <c r="AL19" s="12"/>
      <c r="AM19" s="12"/>
      <c r="AN19" s="12"/>
      <c r="AO19" s="12"/>
      <c r="AP19" s="12"/>
      <c r="AQ19" s="12"/>
      <c r="AR19" s="12"/>
      <c r="AS19" s="12"/>
      <c r="AT19" s="12"/>
      <c r="AU19" s="12"/>
      <c r="AV19" s="12"/>
      <c r="AW19" s="12"/>
      <c r="AX19" s="12"/>
      <c r="AY19" s="12"/>
      <c r="AZ19" s="12"/>
      <c r="BA19" s="12"/>
      <c r="BB19" s="12"/>
    </row>
    <row r="20" spans="1:54" x14ac:dyDescent="0.25">
      <c r="A20" s="27">
        <f t="shared" si="1"/>
        <v>17</v>
      </c>
      <c r="B20" s="26" t="s">
        <v>6</v>
      </c>
      <c r="C20" s="70">
        <v>5</v>
      </c>
      <c r="D20" s="70"/>
      <c r="E20" s="70"/>
      <c r="F20" s="70"/>
      <c r="G20" s="70"/>
      <c r="H20" s="70"/>
      <c r="I20" s="70"/>
      <c r="J20" s="71"/>
      <c r="K20" s="72"/>
      <c r="L20" s="55"/>
      <c r="M20" s="73"/>
      <c r="N20" s="74"/>
      <c r="O20" s="70"/>
      <c r="P20" s="71"/>
      <c r="Q20" s="71"/>
      <c r="R20" s="72"/>
      <c r="S20" s="55"/>
      <c r="T20" s="58">
        <f t="shared" si="0"/>
        <v>0</v>
      </c>
      <c r="U20" s="75">
        <f t="shared" si="4"/>
        <v>120</v>
      </c>
      <c r="V20" s="75">
        <f t="shared" si="5"/>
        <v>5</v>
      </c>
      <c r="AF20" s="12"/>
      <c r="AG20" s="12"/>
      <c r="AH20" s="12"/>
      <c r="AI20" s="12"/>
      <c r="AJ20" s="12"/>
      <c r="AK20" s="12"/>
      <c r="AL20" s="12"/>
      <c r="AM20" s="12"/>
      <c r="AN20" s="12"/>
      <c r="AO20" s="12"/>
      <c r="AP20" s="12"/>
      <c r="AQ20" s="12"/>
      <c r="AR20" s="12"/>
      <c r="AS20" s="12"/>
      <c r="AT20" s="12"/>
      <c r="AU20" s="12"/>
      <c r="AV20" s="12"/>
      <c r="AW20" s="12"/>
      <c r="AX20" s="12"/>
      <c r="AY20" s="12"/>
      <c r="AZ20" s="12"/>
      <c r="BA20" s="12"/>
      <c r="BB20" s="12"/>
    </row>
    <row r="21" spans="1:54" x14ac:dyDescent="0.25">
      <c r="A21" s="27">
        <f t="shared" si="1"/>
        <v>18</v>
      </c>
      <c r="B21" s="26" t="s">
        <v>7</v>
      </c>
      <c r="C21" s="70"/>
      <c r="D21" s="70"/>
      <c r="E21" s="70"/>
      <c r="F21" s="70"/>
      <c r="G21" s="70"/>
      <c r="H21" s="70">
        <f>24*2</f>
        <v>48</v>
      </c>
      <c r="I21" s="70"/>
      <c r="J21" s="71"/>
      <c r="K21" s="72"/>
      <c r="L21" s="55"/>
      <c r="M21" s="73"/>
      <c r="N21" s="74"/>
      <c r="O21" s="70"/>
      <c r="P21" s="71"/>
      <c r="Q21" s="71"/>
      <c r="R21" s="72"/>
      <c r="S21" s="55"/>
      <c r="T21" s="58">
        <f t="shared" si="0"/>
        <v>48</v>
      </c>
      <c r="U21" s="75">
        <f t="shared" si="4"/>
        <v>48</v>
      </c>
      <c r="V21" s="75">
        <f t="shared" si="5"/>
        <v>2</v>
      </c>
      <c r="AF21" s="12"/>
      <c r="AG21" s="12"/>
      <c r="AH21" s="12"/>
      <c r="AI21" s="12"/>
      <c r="AJ21" s="12"/>
      <c r="AK21" s="12"/>
      <c r="AL21" s="12"/>
      <c r="AM21" s="12"/>
      <c r="AN21" s="12"/>
      <c r="AO21" s="12"/>
      <c r="AP21" s="12"/>
      <c r="AQ21" s="12"/>
      <c r="AR21" s="12"/>
      <c r="AS21" s="12"/>
      <c r="AT21" s="12"/>
      <c r="AU21" s="12"/>
      <c r="AV21" s="12"/>
      <c r="AW21" s="12"/>
      <c r="AX21" s="12"/>
      <c r="AY21" s="12"/>
      <c r="AZ21" s="12"/>
      <c r="BA21" s="12"/>
      <c r="BB21" s="12"/>
    </row>
    <row r="22" spans="1:54" s="13" customFormat="1" x14ac:dyDescent="0.25">
      <c r="A22" s="27">
        <f t="shared" si="1"/>
        <v>19</v>
      </c>
      <c r="B22" s="26" t="s">
        <v>54</v>
      </c>
      <c r="C22" s="70">
        <v>2</v>
      </c>
      <c r="D22" s="70"/>
      <c r="E22" s="70"/>
      <c r="F22" s="70"/>
      <c r="G22" s="70"/>
      <c r="H22" s="70"/>
      <c r="I22" s="70">
        <v>20</v>
      </c>
      <c r="J22" s="71"/>
      <c r="K22" s="72"/>
      <c r="L22" s="55"/>
      <c r="M22" s="73"/>
      <c r="N22" s="74"/>
      <c r="O22" s="70"/>
      <c r="P22" s="71"/>
      <c r="Q22" s="71"/>
      <c r="R22" s="72"/>
      <c r="S22" s="55"/>
      <c r="T22" s="58">
        <f t="shared" si="0"/>
        <v>20</v>
      </c>
      <c r="U22" s="75">
        <f t="shared" si="4"/>
        <v>68</v>
      </c>
      <c r="V22" s="75">
        <f t="shared" si="5"/>
        <v>2.8333333333333335</v>
      </c>
      <c r="W22" s="9"/>
      <c r="X22" s="9"/>
      <c r="Y22" s="9"/>
      <c r="Z22" s="9"/>
      <c r="AA22" s="9"/>
      <c r="AB22" s="9"/>
      <c r="AC22" s="9"/>
      <c r="AD22" s="9"/>
      <c r="AE22" s="9"/>
      <c r="AF22" s="12"/>
      <c r="AG22" s="12"/>
      <c r="AH22" s="12"/>
      <c r="AI22" s="12"/>
      <c r="AJ22" s="12"/>
      <c r="AK22" s="12"/>
      <c r="AL22" s="12"/>
      <c r="AM22" s="12"/>
      <c r="AN22" s="12"/>
      <c r="AO22" s="12"/>
      <c r="AP22" s="12"/>
      <c r="AQ22" s="12"/>
      <c r="AR22" s="12"/>
      <c r="AS22" s="12"/>
      <c r="AT22" s="12"/>
      <c r="AU22" s="12"/>
      <c r="AV22" s="12"/>
      <c r="AW22" s="12"/>
      <c r="AX22" s="12"/>
      <c r="AY22" s="12"/>
      <c r="AZ22" s="12"/>
      <c r="BA22" s="12"/>
      <c r="BB22" s="12"/>
    </row>
    <row r="23" spans="1:54" s="13" customFormat="1" x14ac:dyDescent="0.25">
      <c r="A23" s="27">
        <f t="shared" si="1"/>
        <v>20</v>
      </c>
      <c r="B23" s="26" t="s">
        <v>55</v>
      </c>
      <c r="C23" s="70"/>
      <c r="D23" s="70"/>
      <c r="E23" s="70"/>
      <c r="F23" s="70"/>
      <c r="G23" s="70"/>
      <c r="H23" s="70">
        <f>37*24+19</f>
        <v>907</v>
      </c>
      <c r="I23" s="70"/>
      <c r="J23" s="71"/>
      <c r="K23" s="72"/>
      <c r="L23" s="55"/>
      <c r="M23" s="73"/>
      <c r="N23" s="74"/>
      <c r="O23" s="70"/>
      <c r="P23" s="71"/>
      <c r="Q23" s="71"/>
      <c r="R23" s="72"/>
      <c r="S23" s="55"/>
      <c r="T23" s="58">
        <f t="shared" si="0"/>
        <v>907</v>
      </c>
      <c r="U23" s="75">
        <f t="shared" si="4"/>
        <v>907</v>
      </c>
      <c r="V23" s="75">
        <f t="shared" si="5"/>
        <v>37.791666666666664</v>
      </c>
      <c r="W23" s="9"/>
      <c r="X23" s="9"/>
      <c r="Y23" s="9"/>
      <c r="Z23" s="9"/>
      <c r="AA23" s="9"/>
      <c r="AB23" s="9"/>
      <c r="AC23" s="9"/>
      <c r="AD23" s="9"/>
      <c r="AE23" s="9"/>
      <c r="AF23" s="12"/>
      <c r="AG23" s="12"/>
      <c r="AH23" s="12"/>
      <c r="AI23" s="12"/>
      <c r="AJ23" s="12"/>
      <c r="AK23" s="12"/>
      <c r="AL23" s="12"/>
      <c r="AM23" s="12"/>
      <c r="AN23" s="12"/>
      <c r="AO23" s="12"/>
      <c r="AP23" s="12"/>
      <c r="AQ23" s="12"/>
      <c r="AR23" s="12"/>
      <c r="AS23" s="12"/>
      <c r="AT23" s="12"/>
      <c r="AU23" s="12"/>
      <c r="AV23" s="12"/>
      <c r="AW23" s="12"/>
      <c r="AX23" s="12"/>
      <c r="AY23" s="12"/>
      <c r="AZ23" s="12"/>
      <c r="BA23" s="12"/>
      <c r="BB23" s="12"/>
    </row>
    <row r="24" spans="1:54" x14ac:dyDescent="0.25">
      <c r="A24" s="27">
        <f t="shared" si="1"/>
        <v>21</v>
      </c>
      <c r="B24" s="26" t="s">
        <v>56</v>
      </c>
      <c r="C24" s="70">
        <v>2</v>
      </c>
      <c r="D24" s="70"/>
      <c r="E24" s="70"/>
      <c r="F24" s="70"/>
      <c r="G24" s="70"/>
      <c r="H24" s="70">
        <f>24*3</f>
        <v>72</v>
      </c>
      <c r="I24" s="70"/>
      <c r="J24" s="71"/>
      <c r="K24" s="72"/>
      <c r="L24" s="55"/>
      <c r="M24" s="73"/>
      <c r="N24" s="74"/>
      <c r="O24" s="70"/>
      <c r="P24" s="71"/>
      <c r="Q24" s="71"/>
      <c r="R24" s="72"/>
      <c r="S24" s="55"/>
      <c r="T24" s="58">
        <f t="shared" si="0"/>
        <v>72</v>
      </c>
      <c r="U24" s="75">
        <f t="shared" si="4"/>
        <v>120</v>
      </c>
      <c r="V24" s="75">
        <f t="shared" si="5"/>
        <v>5</v>
      </c>
      <c r="AF24" s="12"/>
      <c r="AG24" s="12"/>
      <c r="AH24" s="12"/>
      <c r="AI24" s="12"/>
      <c r="AJ24" s="12"/>
      <c r="AK24" s="12"/>
      <c r="AL24" s="12"/>
      <c r="AM24" s="12"/>
      <c r="AN24" s="12"/>
      <c r="AO24" s="12"/>
      <c r="AP24" s="12"/>
      <c r="AQ24" s="12"/>
      <c r="AR24" s="12"/>
      <c r="AS24" s="12"/>
      <c r="AT24" s="12"/>
      <c r="AU24" s="12"/>
      <c r="AV24" s="12"/>
      <c r="AW24" s="12"/>
      <c r="AX24" s="12"/>
      <c r="AY24" s="12"/>
      <c r="AZ24" s="12"/>
      <c r="BA24" s="12"/>
      <c r="BB24" s="12"/>
    </row>
    <row r="25" spans="1:54" x14ac:dyDescent="0.25">
      <c r="A25" s="27">
        <f t="shared" si="1"/>
        <v>22</v>
      </c>
      <c r="B25" s="26" t="s">
        <v>8</v>
      </c>
      <c r="C25" s="70">
        <v>56</v>
      </c>
      <c r="D25" s="70"/>
      <c r="E25" s="70"/>
      <c r="F25" s="70"/>
      <c r="G25" s="70"/>
      <c r="H25" s="70"/>
      <c r="I25" s="70"/>
      <c r="J25" s="71">
        <v>1</v>
      </c>
      <c r="K25" s="72"/>
      <c r="L25" s="55"/>
      <c r="M25" s="73">
        <v>1</v>
      </c>
      <c r="N25" s="74"/>
      <c r="O25" s="70"/>
      <c r="P25" s="71"/>
      <c r="Q25" s="71"/>
      <c r="R25" s="72"/>
      <c r="S25" s="55"/>
      <c r="T25" s="58">
        <f t="shared" si="0"/>
        <v>1</v>
      </c>
      <c r="U25" s="75">
        <f t="shared" si="4"/>
        <v>1369</v>
      </c>
      <c r="V25" s="75">
        <f t="shared" si="5"/>
        <v>57.041666666666664</v>
      </c>
      <c r="AY25" s="14" t="e">
        <f>#REF!-AY24</f>
        <v>#REF!</v>
      </c>
    </row>
    <row r="26" spans="1:54" s="13" customFormat="1" x14ac:dyDescent="0.25">
      <c r="A26" s="27">
        <f t="shared" si="1"/>
        <v>23</v>
      </c>
      <c r="B26" s="26" t="s">
        <v>10</v>
      </c>
      <c r="C26" s="70">
        <v>2</v>
      </c>
      <c r="D26" s="70"/>
      <c r="E26" s="70"/>
      <c r="F26" s="70"/>
      <c r="G26" s="70"/>
      <c r="H26" s="70"/>
      <c r="I26" s="70"/>
      <c r="J26" s="71"/>
      <c r="K26" s="72"/>
      <c r="L26" s="55"/>
      <c r="M26" s="73"/>
      <c r="N26" s="74"/>
      <c r="O26" s="70"/>
      <c r="P26" s="71"/>
      <c r="Q26" s="71"/>
      <c r="R26" s="72"/>
      <c r="S26" s="55"/>
      <c r="T26" s="58">
        <f t="shared" si="0"/>
        <v>0</v>
      </c>
      <c r="U26" s="75">
        <f t="shared" si="4"/>
        <v>48</v>
      </c>
      <c r="V26" s="75">
        <f t="shared" si="5"/>
        <v>2</v>
      </c>
      <c r="W26" s="9"/>
      <c r="X26" s="9"/>
      <c r="Y26" s="9"/>
      <c r="Z26" s="9"/>
      <c r="AA26" s="9"/>
      <c r="AB26" s="9"/>
      <c r="AC26" s="9"/>
      <c r="AD26" s="9"/>
      <c r="AE26" s="9"/>
    </row>
    <row r="27" spans="1:54" s="13" customFormat="1" x14ac:dyDescent="0.25">
      <c r="A27" s="27">
        <f t="shared" si="1"/>
        <v>24</v>
      </c>
      <c r="B27" s="26" t="s">
        <v>69</v>
      </c>
      <c r="C27" s="70">
        <v>4</v>
      </c>
      <c r="D27" s="70"/>
      <c r="E27" s="70"/>
      <c r="F27" s="70"/>
      <c r="G27" s="70"/>
      <c r="H27" s="70"/>
      <c r="I27" s="70"/>
      <c r="J27" s="71"/>
      <c r="K27" s="72"/>
      <c r="L27" s="55"/>
      <c r="M27" s="73"/>
      <c r="N27" s="74"/>
      <c r="O27" s="70"/>
      <c r="P27" s="71"/>
      <c r="Q27" s="71"/>
      <c r="R27" s="72"/>
      <c r="S27" s="55"/>
      <c r="T27" s="58">
        <f t="shared" si="0"/>
        <v>0</v>
      </c>
      <c r="U27" s="75">
        <f t="shared" si="4"/>
        <v>96</v>
      </c>
      <c r="V27" s="75">
        <f t="shared" si="5"/>
        <v>4</v>
      </c>
      <c r="W27" s="9"/>
      <c r="X27" s="9"/>
      <c r="Y27" s="9"/>
      <c r="Z27" s="9"/>
      <c r="AA27" s="9"/>
      <c r="AB27" s="9"/>
      <c r="AC27" s="9"/>
      <c r="AD27" s="9"/>
      <c r="AE27" s="9"/>
    </row>
    <row r="28" spans="1:54" s="13" customFormat="1" x14ac:dyDescent="0.25">
      <c r="A28" s="27">
        <f t="shared" si="1"/>
        <v>25</v>
      </c>
      <c r="B28" s="26" t="s">
        <v>11</v>
      </c>
      <c r="C28" s="70">
        <v>16</v>
      </c>
      <c r="D28" s="70"/>
      <c r="E28" s="70"/>
      <c r="F28" s="70"/>
      <c r="G28" s="70"/>
      <c r="H28" s="70"/>
      <c r="I28" s="70"/>
      <c r="J28" s="71"/>
      <c r="K28" s="72"/>
      <c r="L28" s="55"/>
      <c r="M28" s="73">
        <v>3</v>
      </c>
      <c r="N28" s="74"/>
      <c r="O28" s="70">
        <v>2</v>
      </c>
      <c r="P28" s="71"/>
      <c r="Q28" s="71">
        <v>2</v>
      </c>
      <c r="R28" s="72"/>
      <c r="S28" s="55"/>
      <c r="T28" s="58">
        <f t="shared" si="0"/>
        <v>0</v>
      </c>
      <c r="U28" s="75">
        <f t="shared" si="4"/>
        <v>552</v>
      </c>
      <c r="V28" s="75">
        <f t="shared" si="5"/>
        <v>23</v>
      </c>
      <c r="W28" s="9"/>
      <c r="X28" s="9"/>
      <c r="Y28" s="9"/>
      <c r="Z28" s="9"/>
      <c r="AA28" s="9"/>
      <c r="AB28" s="9"/>
      <c r="AC28" s="9"/>
      <c r="AD28" s="9"/>
      <c r="AE28" s="9"/>
    </row>
    <row r="29" spans="1:54" x14ac:dyDescent="0.25">
      <c r="A29" s="27">
        <f t="shared" si="1"/>
        <v>26</v>
      </c>
      <c r="B29" s="26" t="s">
        <v>13</v>
      </c>
      <c r="C29" s="70">
        <v>29</v>
      </c>
      <c r="D29" s="70"/>
      <c r="E29" s="70"/>
      <c r="F29" s="70"/>
      <c r="G29" s="70"/>
      <c r="H29" s="70"/>
      <c r="I29" s="70"/>
      <c r="J29" s="71">
        <v>5</v>
      </c>
      <c r="K29" s="72"/>
      <c r="L29" s="55"/>
      <c r="M29" s="73"/>
      <c r="N29" s="74"/>
      <c r="O29" s="70"/>
      <c r="P29" s="71"/>
      <c r="Q29" s="71">
        <v>1</v>
      </c>
      <c r="R29" s="72"/>
      <c r="S29" s="55"/>
      <c r="T29" s="58">
        <f t="shared" si="0"/>
        <v>5</v>
      </c>
      <c r="U29" s="75">
        <f t="shared" si="4"/>
        <v>725</v>
      </c>
      <c r="V29" s="75">
        <f t="shared" si="5"/>
        <v>30.208333333333332</v>
      </c>
    </row>
    <row r="30" spans="1:54" x14ac:dyDescent="0.25">
      <c r="A30" s="27">
        <f t="shared" si="1"/>
        <v>27</v>
      </c>
      <c r="B30" s="26" t="s">
        <v>15</v>
      </c>
      <c r="C30" s="70">
        <v>14</v>
      </c>
      <c r="D30" s="70"/>
      <c r="E30" s="70"/>
      <c r="F30" s="70"/>
      <c r="G30" s="70"/>
      <c r="H30" s="70"/>
      <c r="I30" s="70"/>
      <c r="J30" s="71"/>
      <c r="K30" s="72"/>
      <c r="L30" s="55"/>
      <c r="M30" s="73"/>
      <c r="N30" s="74"/>
      <c r="O30" s="70"/>
      <c r="P30" s="71"/>
      <c r="Q30" s="71">
        <v>1</v>
      </c>
      <c r="R30" s="72"/>
      <c r="S30" s="55"/>
      <c r="T30" s="58">
        <f t="shared" si="0"/>
        <v>0</v>
      </c>
      <c r="U30" s="75">
        <f t="shared" si="4"/>
        <v>360</v>
      </c>
      <c r="V30" s="75">
        <f t="shared" si="5"/>
        <v>15</v>
      </c>
    </row>
    <row r="31" spans="1:54" x14ac:dyDescent="0.25">
      <c r="A31" s="27">
        <f t="shared" si="1"/>
        <v>28</v>
      </c>
      <c r="B31" s="26" t="s">
        <v>12</v>
      </c>
      <c r="C31" s="70">
        <v>5</v>
      </c>
      <c r="D31" s="70"/>
      <c r="E31" s="70"/>
      <c r="F31" s="70"/>
      <c r="G31" s="70"/>
      <c r="H31" s="70"/>
      <c r="I31" s="70"/>
      <c r="J31" s="71"/>
      <c r="K31" s="72"/>
      <c r="L31" s="55"/>
      <c r="M31" s="73"/>
      <c r="N31" s="74"/>
      <c r="O31" s="70"/>
      <c r="P31" s="71"/>
      <c r="Q31" s="71"/>
      <c r="R31" s="72"/>
      <c r="S31" s="55"/>
      <c r="T31" s="58">
        <f t="shared" si="0"/>
        <v>0</v>
      </c>
      <c r="U31" s="75">
        <f t="shared" si="4"/>
        <v>120</v>
      </c>
      <c r="V31" s="75">
        <f t="shared" si="5"/>
        <v>5</v>
      </c>
    </row>
    <row r="32" spans="1:54" x14ac:dyDescent="0.25">
      <c r="A32" s="27">
        <f t="shared" si="1"/>
        <v>29</v>
      </c>
      <c r="B32" s="26" t="s">
        <v>14</v>
      </c>
      <c r="C32" s="70"/>
      <c r="D32" s="70"/>
      <c r="E32" s="70"/>
      <c r="F32" s="70"/>
      <c r="G32" s="70"/>
      <c r="H32" s="70"/>
      <c r="I32" s="70"/>
      <c r="J32" s="71"/>
      <c r="K32" s="72"/>
      <c r="L32" s="55"/>
      <c r="M32" s="73"/>
      <c r="N32" s="74"/>
      <c r="O32" s="70"/>
      <c r="P32" s="71"/>
      <c r="Q32" s="71"/>
      <c r="R32" s="72"/>
      <c r="S32" s="55"/>
      <c r="T32" s="58">
        <f t="shared" si="0"/>
        <v>0</v>
      </c>
      <c r="U32" s="75">
        <f t="shared" si="4"/>
        <v>0</v>
      </c>
      <c r="V32" s="75">
        <f t="shared" si="5"/>
        <v>0</v>
      </c>
    </row>
    <row r="33" spans="1:23" x14ac:dyDescent="0.25">
      <c r="A33" s="27">
        <f t="shared" si="1"/>
        <v>30</v>
      </c>
      <c r="B33" s="26" t="s">
        <v>16</v>
      </c>
      <c r="C33" s="70">
        <v>2</v>
      </c>
      <c r="D33" s="70"/>
      <c r="E33" s="70"/>
      <c r="F33" s="70"/>
      <c r="G33" s="70"/>
      <c r="H33" s="70"/>
      <c r="I33" s="70"/>
      <c r="J33" s="71"/>
      <c r="K33" s="72"/>
      <c r="L33" s="55"/>
      <c r="M33" s="73"/>
      <c r="N33" s="74"/>
      <c r="O33" s="70"/>
      <c r="P33" s="71"/>
      <c r="Q33" s="71"/>
      <c r="R33" s="72"/>
      <c r="S33" s="55"/>
      <c r="T33" s="58">
        <f t="shared" si="0"/>
        <v>0</v>
      </c>
      <c r="U33" s="75">
        <f t="shared" si="4"/>
        <v>48</v>
      </c>
      <c r="V33" s="75">
        <f t="shared" si="5"/>
        <v>2</v>
      </c>
    </row>
    <row r="34" spans="1:23" x14ac:dyDescent="0.25">
      <c r="A34" s="27">
        <f t="shared" si="1"/>
        <v>31</v>
      </c>
      <c r="B34" s="26" t="s">
        <v>17</v>
      </c>
      <c r="C34" s="70">
        <f>144+65</f>
        <v>209</v>
      </c>
      <c r="D34" s="70"/>
      <c r="E34" s="70"/>
      <c r="F34" s="70"/>
      <c r="G34" s="70"/>
      <c r="H34" s="70"/>
      <c r="I34" s="70">
        <v>1</v>
      </c>
      <c r="J34" s="71"/>
      <c r="K34" s="72">
        <v>1</v>
      </c>
      <c r="L34" s="55"/>
      <c r="M34" s="73"/>
      <c r="N34" s="74"/>
      <c r="O34" s="70"/>
      <c r="P34" s="71"/>
      <c r="Q34" s="71">
        <v>2</v>
      </c>
      <c r="R34" s="72"/>
      <c r="S34" s="55"/>
      <c r="T34" s="58">
        <f t="shared" si="0"/>
        <v>2</v>
      </c>
      <c r="U34" s="75">
        <f t="shared" si="4"/>
        <v>5066</v>
      </c>
      <c r="V34" s="75">
        <f t="shared" si="5"/>
        <v>211.08333333333334</v>
      </c>
    </row>
    <row r="35" spans="1:23" hidden="1" x14ac:dyDescent="0.25">
      <c r="A35" s="27">
        <f t="shared" si="1"/>
        <v>32</v>
      </c>
      <c r="B35" s="26" t="s">
        <v>25</v>
      </c>
      <c r="C35" s="70"/>
      <c r="D35" s="70"/>
      <c r="E35" s="70"/>
      <c r="F35" s="70"/>
      <c r="G35" s="70"/>
      <c r="H35" s="70"/>
      <c r="I35" s="70"/>
      <c r="J35" s="71"/>
      <c r="K35" s="72"/>
      <c r="L35" s="55"/>
      <c r="M35" s="73"/>
      <c r="N35" s="74"/>
      <c r="O35" s="70"/>
      <c r="P35" s="71"/>
      <c r="Q35" s="71"/>
      <c r="R35" s="72"/>
      <c r="S35" s="55"/>
      <c r="T35" s="58">
        <f t="shared" si="0"/>
        <v>0</v>
      </c>
      <c r="U35" s="75">
        <f t="shared" si="4"/>
        <v>0</v>
      </c>
      <c r="V35" s="75">
        <f t="shared" si="5"/>
        <v>0</v>
      </c>
    </row>
    <row r="36" spans="1:23" x14ac:dyDescent="0.25">
      <c r="A36" s="27">
        <f t="shared" si="1"/>
        <v>33</v>
      </c>
      <c r="B36" s="26" t="s">
        <v>18</v>
      </c>
      <c r="C36" s="70"/>
      <c r="D36" s="70"/>
      <c r="E36" s="70"/>
      <c r="F36" s="70"/>
      <c r="G36" s="70"/>
      <c r="H36" s="70"/>
      <c r="I36" s="70"/>
      <c r="J36" s="71"/>
      <c r="K36" s="72"/>
      <c r="L36" s="55"/>
      <c r="M36" s="73"/>
      <c r="N36" s="74"/>
      <c r="O36" s="70"/>
      <c r="P36" s="71"/>
      <c r="Q36" s="71"/>
      <c r="R36" s="72"/>
      <c r="S36" s="55"/>
      <c r="T36" s="58">
        <f t="shared" si="0"/>
        <v>0</v>
      </c>
      <c r="U36" s="75">
        <f t="shared" si="4"/>
        <v>0</v>
      </c>
      <c r="V36" s="75">
        <f t="shared" si="5"/>
        <v>0</v>
      </c>
    </row>
    <row r="37" spans="1:23" ht="19.5" thickBot="1" x14ac:dyDescent="0.3">
      <c r="A37" s="27">
        <f t="shared" si="1"/>
        <v>34</v>
      </c>
      <c r="B37" s="42" t="s">
        <v>19</v>
      </c>
      <c r="C37" s="59">
        <f>1080+82+3132+94</f>
        <v>4388</v>
      </c>
      <c r="D37" s="59"/>
      <c r="E37" s="59"/>
      <c r="F37" s="59"/>
      <c r="G37" s="59"/>
      <c r="H37" s="59">
        <v>2</v>
      </c>
      <c r="I37" s="59">
        <v>2</v>
      </c>
      <c r="J37" s="60">
        <v>1</v>
      </c>
      <c r="K37" s="61">
        <f>6+2</f>
        <v>8</v>
      </c>
      <c r="L37" s="62"/>
      <c r="M37" s="63">
        <v>32</v>
      </c>
      <c r="N37" s="64"/>
      <c r="O37" s="65">
        <v>60</v>
      </c>
      <c r="P37" s="66"/>
      <c r="Q37" s="66">
        <v>90</v>
      </c>
      <c r="R37" s="67"/>
      <c r="S37" s="62"/>
      <c r="T37" s="77">
        <f t="shared" si="0"/>
        <v>13</v>
      </c>
      <c r="U37" s="77">
        <f>C37*6+M37*6+O37*6+Q37*6+T37</f>
        <v>27433</v>
      </c>
      <c r="V37" s="77">
        <f>U37/6</f>
        <v>4572.166666666667</v>
      </c>
      <c r="W37" s="50"/>
    </row>
    <row r="38" spans="1:23" x14ac:dyDescent="0.25">
      <c r="A38" s="27">
        <f t="shared" si="1"/>
        <v>35</v>
      </c>
      <c r="B38" s="25" t="s">
        <v>20</v>
      </c>
      <c r="C38" s="70">
        <v>1</v>
      </c>
      <c r="D38" s="70"/>
      <c r="E38" s="70"/>
      <c r="F38" s="70"/>
      <c r="G38" s="70"/>
      <c r="H38" s="70"/>
      <c r="I38" s="70"/>
      <c r="J38" s="71"/>
      <c r="K38" s="72"/>
      <c r="L38" s="55"/>
      <c r="M38" s="73"/>
      <c r="N38" s="74"/>
      <c r="O38" s="70">
        <v>1</v>
      </c>
      <c r="P38" s="71"/>
      <c r="Q38" s="71"/>
      <c r="R38" s="72"/>
      <c r="S38" s="55"/>
      <c r="T38" s="75">
        <f t="shared" si="0"/>
        <v>0</v>
      </c>
      <c r="U38" s="75">
        <f>C38*24+M38*24+O38*24+Q38*24+T38</f>
        <v>48</v>
      </c>
      <c r="V38" s="75">
        <f>U38/24</f>
        <v>2</v>
      </c>
    </row>
    <row r="39" spans="1:23" x14ac:dyDescent="0.25">
      <c r="A39" s="27">
        <f t="shared" si="1"/>
        <v>36</v>
      </c>
      <c r="B39" s="51" t="s">
        <v>62</v>
      </c>
      <c r="C39" s="78"/>
      <c r="D39" s="78"/>
      <c r="E39" s="78"/>
      <c r="F39" s="78"/>
      <c r="G39" s="78"/>
      <c r="H39" s="78"/>
      <c r="I39" s="78"/>
      <c r="J39" s="79"/>
      <c r="K39" s="80"/>
      <c r="L39" s="55"/>
      <c r="M39" s="73"/>
      <c r="N39" s="74"/>
      <c r="O39" s="70"/>
      <c r="P39" s="71"/>
      <c r="Q39" s="71"/>
      <c r="R39" s="72"/>
      <c r="S39" s="95"/>
      <c r="T39" s="75">
        <f t="shared" si="0"/>
        <v>0</v>
      </c>
      <c r="U39" s="75">
        <f>C39*24+M39*24+O39*24+Q39*24+T39</f>
        <v>0</v>
      </c>
      <c r="V39" s="75">
        <f>U39/24</f>
        <v>0</v>
      </c>
    </row>
    <row r="40" spans="1:23" ht="19.5" thickBot="1" x14ac:dyDescent="0.3">
      <c r="A40" s="27">
        <f t="shared" si="1"/>
        <v>37</v>
      </c>
      <c r="B40" s="42" t="s">
        <v>21</v>
      </c>
      <c r="C40" s="59">
        <f>58+126+22</f>
        <v>206</v>
      </c>
      <c r="D40" s="59"/>
      <c r="E40" s="59"/>
      <c r="F40" s="59"/>
      <c r="G40" s="59"/>
      <c r="H40" s="59"/>
      <c r="I40" s="59"/>
      <c r="J40" s="60"/>
      <c r="K40" s="61">
        <v>20</v>
      </c>
      <c r="L40" s="62"/>
      <c r="M40" s="63">
        <v>2</v>
      </c>
      <c r="N40" s="64"/>
      <c r="O40" s="65"/>
      <c r="P40" s="66"/>
      <c r="Q40" s="66"/>
      <c r="R40" s="67"/>
      <c r="S40" s="62"/>
      <c r="T40" s="77">
        <f t="shared" si="0"/>
        <v>20</v>
      </c>
      <c r="U40" s="77">
        <f>C40*24+M40*24+O40*24+Q40*24+T40</f>
        <v>5012</v>
      </c>
      <c r="V40" s="77">
        <f>U40/24</f>
        <v>208.83333333333334</v>
      </c>
    </row>
    <row r="41" spans="1:23" ht="19.5" thickBot="1" x14ac:dyDescent="0.3">
      <c r="A41" s="27">
        <f t="shared" si="1"/>
        <v>38</v>
      </c>
      <c r="B41" s="43" t="s">
        <v>22</v>
      </c>
      <c r="C41" s="82">
        <f>21+96</f>
        <v>117</v>
      </c>
      <c r="D41" s="82"/>
      <c r="E41" s="82"/>
      <c r="F41" s="82"/>
      <c r="G41" s="82"/>
      <c r="H41" s="82"/>
      <c r="I41" s="82"/>
      <c r="J41" s="83"/>
      <c r="K41" s="84"/>
      <c r="L41" s="85"/>
      <c r="M41" s="86">
        <v>10</v>
      </c>
      <c r="N41" s="87"/>
      <c r="O41" s="82">
        <v>9</v>
      </c>
      <c r="P41" s="83"/>
      <c r="Q41" s="83">
        <v>20</v>
      </c>
      <c r="R41" s="84"/>
      <c r="S41" s="85"/>
      <c r="T41" s="88">
        <f t="shared" si="0"/>
        <v>0</v>
      </c>
      <c r="U41" s="88">
        <f>C41*12+M41*12+O41*12+Q41*12+T41</f>
        <v>1872</v>
      </c>
      <c r="V41" s="88">
        <f>U41/12</f>
        <v>156</v>
      </c>
    </row>
    <row r="42" spans="1:23" hidden="1" x14ac:dyDescent="0.25">
      <c r="A42" s="27">
        <f t="shared" si="1"/>
        <v>39</v>
      </c>
      <c r="B42" s="25" t="s">
        <v>29</v>
      </c>
      <c r="C42" s="70"/>
      <c r="D42" s="70"/>
      <c r="E42" s="70"/>
      <c r="F42" s="70"/>
      <c r="G42" s="70"/>
      <c r="H42" s="70"/>
      <c r="I42" s="70"/>
      <c r="J42" s="71"/>
      <c r="K42" s="72"/>
      <c r="L42" s="55"/>
      <c r="M42" s="73"/>
      <c r="N42" s="74"/>
      <c r="O42" s="70"/>
      <c r="P42" s="71"/>
      <c r="Q42" s="71"/>
      <c r="R42" s="72"/>
      <c r="S42" s="55"/>
      <c r="T42" s="75"/>
      <c r="U42" s="75"/>
      <c r="V42" s="75"/>
    </row>
    <row r="43" spans="1:23" ht="19.5" thickBot="1" x14ac:dyDescent="0.3">
      <c r="A43" s="27">
        <f t="shared" si="1"/>
        <v>40</v>
      </c>
      <c r="B43" s="42" t="s">
        <v>23</v>
      </c>
      <c r="C43" s="65">
        <f>15012+19764+10260</f>
        <v>45036</v>
      </c>
      <c r="D43" s="65"/>
      <c r="E43" s="65"/>
      <c r="F43" s="65"/>
      <c r="G43" s="65"/>
      <c r="H43" s="65"/>
      <c r="I43" s="65">
        <f>12</f>
        <v>12</v>
      </c>
      <c r="J43" s="66">
        <f>6*6+5</f>
        <v>41</v>
      </c>
      <c r="K43" s="67">
        <f>71*6+2</f>
        <v>428</v>
      </c>
      <c r="L43" s="62"/>
      <c r="M43" s="63">
        <v>369</v>
      </c>
      <c r="N43" s="64"/>
      <c r="O43" s="65">
        <v>401</v>
      </c>
      <c r="P43" s="66"/>
      <c r="Q43" s="66">
        <v>540</v>
      </c>
      <c r="R43" s="67"/>
      <c r="S43" s="62"/>
      <c r="T43" s="77">
        <f t="shared" ref="T43" si="6">H43+I43+J43+K43+N43+P43+R43</f>
        <v>481</v>
      </c>
      <c r="U43" s="77">
        <f>C43*6+M43*6+O43*6+Q43*6+T43</f>
        <v>278557</v>
      </c>
      <c r="V43" s="77">
        <f>U43/6</f>
        <v>46426.166666666664</v>
      </c>
    </row>
    <row r="44" spans="1:23" hidden="1" x14ac:dyDescent="0.25">
      <c r="A44" s="27">
        <f t="shared" si="1"/>
        <v>41</v>
      </c>
      <c r="B44" s="25" t="s">
        <v>31</v>
      </c>
      <c r="C44" s="70"/>
      <c r="D44" s="70"/>
      <c r="E44" s="70"/>
      <c r="F44" s="70"/>
      <c r="G44" s="70"/>
      <c r="H44" s="70"/>
      <c r="I44" s="70"/>
      <c r="J44" s="71"/>
      <c r="K44" s="72"/>
      <c r="L44" s="55"/>
      <c r="M44" s="73"/>
      <c r="N44" s="74"/>
      <c r="O44" s="70"/>
      <c r="P44" s="71"/>
      <c r="Q44" s="71"/>
      <c r="R44" s="72"/>
      <c r="S44" s="55"/>
      <c r="T44" s="75"/>
      <c r="U44" s="75"/>
      <c r="V44" s="75"/>
    </row>
    <row r="45" spans="1:23" x14ac:dyDescent="0.25">
      <c r="A45" s="27">
        <f t="shared" si="1"/>
        <v>42</v>
      </c>
      <c r="B45" s="26" t="s">
        <v>24</v>
      </c>
      <c r="C45" s="70"/>
      <c r="D45" s="70"/>
      <c r="E45" s="70"/>
      <c r="F45" s="70"/>
      <c r="G45" s="70"/>
      <c r="H45" s="70"/>
      <c r="I45" s="70"/>
      <c r="J45" s="71"/>
      <c r="K45" s="72"/>
      <c r="L45" s="55"/>
      <c r="M45" s="73"/>
      <c r="N45" s="74"/>
      <c r="O45" s="70">
        <v>2</v>
      </c>
      <c r="P45" s="71"/>
      <c r="Q45" s="71"/>
      <c r="R45" s="72"/>
      <c r="S45" s="55"/>
      <c r="T45" s="75">
        <f t="shared" ref="T45:T54" si="7">H45+I45+J45+K45+N45+P45+R45</f>
        <v>0</v>
      </c>
      <c r="U45" s="75">
        <f>C45*24+M45*24+O45*24+Q45*24+T45</f>
        <v>48</v>
      </c>
      <c r="V45" s="75">
        <f>U45/24</f>
        <v>2</v>
      </c>
    </row>
    <row r="46" spans="1:23" x14ac:dyDescent="0.25">
      <c r="A46" s="27">
        <f t="shared" si="1"/>
        <v>43</v>
      </c>
      <c r="B46" s="26" t="s">
        <v>57</v>
      </c>
      <c r="C46" s="70">
        <v>2</v>
      </c>
      <c r="D46" s="70"/>
      <c r="E46" s="70"/>
      <c r="F46" s="70"/>
      <c r="G46" s="70"/>
      <c r="H46" s="70"/>
      <c r="I46" s="70"/>
      <c r="J46" s="71"/>
      <c r="K46" s="72"/>
      <c r="L46" s="55"/>
      <c r="M46" s="73"/>
      <c r="N46" s="74"/>
      <c r="O46" s="70"/>
      <c r="P46" s="71"/>
      <c r="Q46" s="71"/>
      <c r="R46" s="72"/>
      <c r="S46" s="55"/>
      <c r="T46" s="75">
        <f t="shared" si="7"/>
        <v>0</v>
      </c>
      <c r="U46" s="75">
        <f t="shared" ref="U46:U50" si="8">C46*24+M46*24+O46*24+Q46*24+T46</f>
        <v>48</v>
      </c>
      <c r="V46" s="75">
        <f t="shared" ref="V46:V54" si="9">U46/24</f>
        <v>2</v>
      </c>
    </row>
    <row r="47" spans="1:23" ht="19.5" thickBot="1" x14ac:dyDescent="0.3">
      <c r="A47" s="27">
        <f t="shared" si="1"/>
        <v>44</v>
      </c>
      <c r="B47" s="42" t="s">
        <v>25</v>
      </c>
      <c r="C47" s="65">
        <f>101+648+324+88+540+103+324+432+106</f>
        <v>2666</v>
      </c>
      <c r="D47" s="65"/>
      <c r="E47" s="65"/>
      <c r="F47" s="65"/>
      <c r="G47" s="65"/>
      <c r="H47" s="65">
        <v>1</v>
      </c>
      <c r="I47" s="65"/>
      <c r="J47" s="66"/>
      <c r="K47" s="67">
        <v>5</v>
      </c>
      <c r="L47" s="62"/>
      <c r="M47" s="63">
        <v>9</v>
      </c>
      <c r="N47" s="64"/>
      <c r="O47" s="65">
        <v>16</v>
      </c>
      <c r="P47" s="66"/>
      <c r="Q47" s="66">
        <v>10</v>
      </c>
      <c r="R47" s="67">
        <v>3</v>
      </c>
      <c r="S47" s="62"/>
      <c r="T47" s="77">
        <f t="shared" si="7"/>
        <v>9</v>
      </c>
      <c r="U47" s="77">
        <f>C47*6+M47*6+O47*6+Q47*6+T47</f>
        <v>16215</v>
      </c>
      <c r="V47" s="77">
        <f>U47/6</f>
        <v>2702.5</v>
      </c>
    </row>
    <row r="48" spans="1:23" x14ac:dyDescent="0.25">
      <c r="A48" s="27">
        <f t="shared" si="1"/>
        <v>45</v>
      </c>
      <c r="B48" s="25" t="s">
        <v>58</v>
      </c>
      <c r="C48" s="70"/>
      <c r="D48" s="70"/>
      <c r="E48" s="70"/>
      <c r="F48" s="70"/>
      <c r="G48" s="70"/>
      <c r="H48" s="70">
        <v>24</v>
      </c>
      <c r="I48" s="70"/>
      <c r="J48" s="71"/>
      <c r="K48" s="72"/>
      <c r="L48" s="55"/>
      <c r="M48" s="73"/>
      <c r="N48" s="74"/>
      <c r="O48" s="70"/>
      <c r="P48" s="71"/>
      <c r="Q48" s="71"/>
      <c r="R48" s="72"/>
      <c r="S48" s="55"/>
      <c r="T48" s="75">
        <f t="shared" si="7"/>
        <v>24</v>
      </c>
      <c r="U48" s="75">
        <f t="shared" si="8"/>
        <v>24</v>
      </c>
      <c r="V48" s="75">
        <f t="shared" si="9"/>
        <v>1</v>
      </c>
    </row>
    <row r="49" spans="1:22" x14ac:dyDescent="0.25">
      <c r="A49" s="27">
        <f t="shared" si="1"/>
        <v>46</v>
      </c>
      <c r="B49" s="26" t="s">
        <v>26</v>
      </c>
      <c r="C49" s="70">
        <v>10</v>
      </c>
      <c r="D49" s="70"/>
      <c r="E49" s="70"/>
      <c r="F49" s="70"/>
      <c r="G49" s="70"/>
      <c r="H49" s="70"/>
      <c r="I49" s="70"/>
      <c r="J49" s="71"/>
      <c r="K49" s="72"/>
      <c r="L49" s="55"/>
      <c r="M49" s="73"/>
      <c r="N49" s="74"/>
      <c r="O49" s="70"/>
      <c r="P49" s="71"/>
      <c r="Q49" s="71"/>
      <c r="R49" s="72"/>
      <c r="S49" s="55"/>
      <c r="T49" s="75">
        <f t="shared" si="7"/>
        <v>0</v>
      </c>
      <c r="U49" s="75">
        <f t="shared" si="8"/>
        <v>240</v>
      </c>
      <c r="V49" s="75">
        <f t="shared" si="9"/>
        <v>10</v>
      </c>
    </row>
    <row r="50" spans="1:22" x14ac:dyDescent="0.25">
      <c r="A50" s="27">
        <f t="shared" si="1"/>
        <v>47</v>
      </c>
      <c r="B50" s="26" t="s">
        <v>59</v>
      </c>
      <c r="C50" s="70"/>
      <c r="D50" s="70"/>
      <c r="E50" s="70"/>
      <c r="F50" s="70"/>
      <c r="G50" s="70"/>
      <c r="H50" s="70"/>
      <c r="I50" s="70"/>
      <c r="J50" s="71"/>
      <c r="K50" s="72"/>
      <c r="L50" s="55"/>
      <c r="M50" s="73"/>
      <c r="N50" s="74"/>
      <c r="O50" s="70"/>
      <c r="P50" s="71"/>
      <c r="Q50" s="71"/>
      <c r="R50" s="72"/>
      <c r="S50" s="55"/>
      <c r="T50" s="75">
        <f t="shared" si="7"/>
        <v>0</v>
      </c>
      <c r="U50" s="75">
        <f t="shared" si="8"/>
        <v>0</v>
      </c>
      <c r="V50" s="75">
        <f t="shared" si="9"/>
        <v>0</v>
      </c>
    </row>
    <row r="51" spans="1:22" ht="19.5" thickBot="1" x14ac:dyDescent="0.3">
      <c r="A51" s="27">
        <f t="shared" si="1"/>
        <v>48</v>
      </c>
      <c r="B51" s="42" t="s">
        <v>27</v>
      </c>
      <c r="C51" s="65">
        <v>34</v>
      </c>
      <c r="D51" s="65"/>
      <c r="E51" s="65"/>
      <c r="F51" s="65"/>
      <c r="G51" s="65"/>
      <c r="H51" s="65"/>
      <c r="I51" s="65"/>
      <c r="J51" s="66"/>
      <c r="K51" s="67"/>
      <c r="L51" s="62"/>
      <c r="M51" s="63"/>
      <c r="N51" s="64"/>
      <c r="O51" s="65"/>
      <c r="P51" s="66"/>
      <c r="Q51" s="66"/>
      <c r="R51" s="67"/>
      <c r="S51" s="62"/>
      <c r="T51" s="77">
        <f t="shared" si="7"/>
        <v>0</v>
      </c>
      <c r="U51" s="77">
        <f>C51*6+M51*6+O51*6+Q51*6+T51</f>
        <v>204</v>
      </c>
      <c r="V51" s="77">
        <f>U51/6</f>
        <v>34</v>
      </c>
    </row>
    <row r="52" spans="1:22" x14ac:dyDescent="0.25">
      <c r="A52" s="27">
        <f t="shared" si="1"/>
        <v>49</v>
      </c>
      <c r="B52" s="25" t="s">
        <v>28</v>
      </c>
      <c r="C52" s="70"/>
      <c r="D52" s="70"/>
      <c r="E52" s="70"/>
      <c r="F52" s="70"/>
      <c r="G52" s="70"/>
      <c r="H52" s="70"/>
      <c r="I52" s="70"/>
      <c r="J52" s="71"/>
      <c r="K52" s="72"/>
      <c r="L52" s="55"/>
      <c r="M52" s="73"/>
      <c r="N52" s="74"/>
      <c r="O52" s="70"/>
      <c r="P52" s="71"/>
      <c r="Q52" s="71"/>
      <c r="R52" s="72"/>
      <c r="S52" s="55"/>
      <c r="T52" s="75">
        <f t="shared" si="7"/>
        <v>0</v>
      </c>
      <c r="U52" s="75">
        <f t="shared" ref="U52:U54" si="10">C52*24+M52*24+O52*24+Q52*24+T52</f>
        <v>0</v>
      </c>
      <c r="V52" s="75">
        <f t="shared" si="9"/>
        <v>0</v>
      </c>
    </row>
    <row r="53" spans="1:22" x14ac:dyDescent="0.25">
      <c r="A53" s="27">
        <f t="shared" si="1"/>
        <v>50</v>
      </c>
      <c r="B53" s="26" t="s">
        <v>63</v>
      </c>
      <c r="C53" s="70">
        <v>6</v>
      </c>
      <c r="D53" s="70"/>
      <c r="E53" s="70"/>
      <c r="F53" s="70"/>
      <c r="G53" s="70"/>
      <c r="H53" s="70"/>
      <c r="I53" s="70"/>
      <c r="J53" s="71"/>
      <c r="K53" s="72"/>
      <c r="L53" s="55"/>
      <c r="M53" s="73"/>
      <c r="N53" s="74"/>
      <c r="O53" s="70"/>
      <c r="P53" s="71"/>
      <c r="Q53" s="71">
        <v>1</v>
      </c>
      <c r="R53" s="72"/>
      <c r="S53" s="55"/>
      <c r="T53" s="75">
        <f t="shared" si="7"/>
        <v>0</v>
      </c>
      <c r="U53" s="75">
        <f t="shared" si="10"/>
        <v>168</v>
      </c>
      <c r="V53" s="75">
        <f t="shared" si="9"/>
        <v>7</v>
      </c>
    </row>
    <row r="54" spans="1:22" x14ac:dyDescent="0.25">
      <c r="A54" s="27">
        <f t="shared" si="1"/>
        <v>51</v>
      </c>
      <c r="B54" s="26"/>
      <c r="C54" s="70"/>
      <c r="D54" s="70"/>
      <c r="E54" s="70"/>
      <c r="F54" s="70"/>
      <c r="G54" s="70"/>
      <c r="H54" s="70"/>
      <c r="I54" s="70"/>
      <c r="J54" s="71"/>
      <c r="K54" s="72"/>
      <c r="L54" s="55"/>
      <c r="M54" s="73"/>
      <c r="N54" s="74"/>
      <c r="O54" s="70"/>
      <c r="P54" s="71"/>
      <c r="Q54" s="71"/>
      <c r="R54" s="72"/>
      <c r="S54" s="55"/>
      <c r="T54" s="75">
        <f t="shared" si="7"/>
        <v>0</v>
      </c>
      <c r="U54" s="75">
        <f t="shared" si="10"/>
        <v>0</v>
      </c>
      <c r="V54" s="75">
        <f t="shared" si="9"/>
        <v>0</v>
      </c>
    </row>
    <row r="55" spans="1:22" x14ac:dyDescent="0.25">
      <c r="A55" s="27">
        <f t="shared" si="1"/>
        <v>52</v>
      </c>
      <c r="B55" s="26"/>
      <c r="C55" s="70"/>
      <c r="D55" s="70"/>
      <c r="E55" s="70"/>
      <c r="F55" s="70"/>
      <c r="G55" s="70"/>
      <c r="H55" s="70"/>
      <c r="I55" s="70"/>
      <c r="J55" s="71"/>
      <c r="K55" s="72"/>
      <c r="L55" s="55"/>
      <c r="M55" s="73"/>
      <c r="N55" s="74"/>
      <c r="O55" s="70"/>
      <c r="P55" s="71"/>
      <c r="Q55" s="71"/>
      <c r="R55" s="72"/>
      <c r="S55" s="55"/>
      <c r="T55" s="75"/>
      <c r="U55" s="75"/>
      <c r="V55" s="75"/>
    </row>
    <row r="56" spans="1:22" x14ac:dyDescent="0.25">
      <c r="A56" s="27">
        <f t="shared" si="1"/>
        <v>53</v>
      </c>
      <c r="B56" s="26"/>
      <c r="C56" s="70"/>
      <c r="D56" s="70"/>
      <c r="E56" s="70"/>
      <c r="F56" s="70"/>
      <c r="G56" s="70"/>
      <c r="H56" s="70"/>
      <c r="I56" s="70"/>
      <c r="J56" s="71"/>
      <c r="K56" s="72"/>
      <c r="L56" s="55"/>
      <c r="M56" s="73"/>
      <c r="N56" s="74"/>
      <c r="O56" s="70"/>
      <c r="P56" s="71"/>
      <c r="Q56" s="71"/>
      <c r="R56" s="72"/>
      <c r="S56" s="55"/>
      <c r="T56" s="75"/>
      <c r="U56" s="75"/>
      <c r="V56" s="75"/>
    </row>
    <row r="57" spans="1:22" x14ac:dyDescent="0.25">
      <c r="A57" s="27">
        <f t="shared" si="1"/>
        <v>54</v>
      </c>
      <c r="B57" s="26"/>
      <c r="C57" s="70"/>
      <c r="D57" s="70"/>
      <c r="E57" s="70"/>
      <c r="F57" s="70"/>
      <c r="G57" s="70"/>
      <c r="H57" s="70"/>
      <c r="I57" s="70"/>
      <c r="J57" s="71"/>
      <c r="K57" s="72"/>
      <c r="L57" s="55"/>
      <c r="M57" s="73"/>
      <c r="N57" s="74"/>
      <c r="O57" s="70"/>
      <c r="P57" s="71"/>
      <c r="Q57" s="71"/>
      <c r="R57" s="72"/>
      <c r="S57" s="55"/>
      <c r="T57" s="75"/>
      <c r="U57" s="75"/>
      <c r="V57" s="75"/>
    </row>
    <row r="58" spans="1:22" s="15" customFormat="1" ht="19.5" thickBot="1" x14ac:dyDescent="0.3">
      <c r="B58" s="29" t="s">
        <v>50</v>
      </c>
      <c r="C58" s="2">
        <f>SUM(C7:C57)</f>
        <v>56659</v>
      </c>
      <c r="D58" s="2"/>
      <c r="E58" s="2"/>
      <c r="F58" s="2">
        <f t="shared" ref="F58:K58" si="11">SUM(F7:F57)</f>
        <v>0</v>
      </c>
      <c r="G58" s="2">
        <f t="shared" si="11"/>
        <v>0</v>
      </c>
      <c r="H58" s="2">
        <f t="shared" si="11"/>
        <v>1186</v>
      </c>
      <c r="I58" s="6">
        <f t="shared" si="11"/>
        <v>38</v>
      </c>
      <c r="J58" s="6">
        <f t="shared" si="11"/>
        <v>48</v>
      </c>
      <c r="K58" s="6">
        <f t="shared" si="11"/>
        <v>470</v>
      </c>
      <c r="M58" s="5">
        <f t="shared" ref="M58:R58" si="12">SUM(M7:M57)</f>
        <v>438</v>
      </c>
      <c r="N58" s="5">
        <f t="shared" si="12"/>
        <v>8</v>
      </c>
      <c r="O58" s="5">
        <f t="shared" si="12"/>
        <v>511</v>
      </c>
      <c r="P58" s="5">
        <f t="shared" si="12"/>
        <v>20</v>
      </c>
      <c r="Q58" s="5">
        <f t="shared" si="12"/>
        <v>692</v>
      </c>
      <c r="R58" s="5">
        <f t="shared" si="12"/>
        <v>11</v>
      </c>
      <c r="S58" s="55"/>
      <c r="T58" s="4">
        <f>SUM(T7:T57)</f>
        <v>1781</v>
      </c>
      <c r="U58" s="90">
        <f>SUM(U7:U57)</f>
        <v>433391</v>
      </c>
      <c r="V58" s="4">
        <f>SUM(V7:V57)</f>
        <v>58437.083333333328</v>
      </c>
    </row>
    <row r="59" spans="1:22" ht="7.5" customHeight="1" thickBot="1" x14ac:dyDescent="0.3"/>
    <row r="60" spans="1:22" ht="19.5" thickBot="1" x14ac:dyDescent="0.3">
      <c r="B60" s="30" t="s">
        <v>37</v>
      </c>
      <c r="C60" s="113" t="s">
        <v>41</v>
      </c>
      <c r="D60" s="114"/>
      <c r="E60" s="114"/>
      <c r="F60" s="114"/>
      <c r="G60" s="114"/>
      <c r="H60" s="114"/>
      <c r="I60" s="114"/>
      <c r="J60" s="114"/>
      <c r="K60" s="115"/>
      <c r="U60" s="24" t="s">
        <v>51</v>
      </c>
    </row>
    <row r="61" spans="1:22" x14ac:dyDescent="0.25">
      <c r="B61" s="31" t="s">
        <v>17</v>
      </c>
      <c r="C61" s="19"/>
      <c r="D61" s="19"/>
      <c r="E61" s="19"/>
      <c r="F61" s="19"/>
      <c r="G61" s="19"/>
      <c r="H61" s="19"/>
      <c r="I61" s="19"/>
      <c r="J61" s="45"/>
      <c r="K61" s="20"/>
      <c r="U61" s="7"/>
    </row>
    <row r="62" spans="1:22" x14ac:dyDescent="0.25">
      <c r="B62" s="32" t="s">
        <v>45</v>
      </c>
      <c r="C62" s="1"/>
      <c r="D62" s="1"/>
      <c r="E62" s="1"/>
      <c r="F62" s="1"/>
      <c r="G62" s="1"/>
      <c r="H62" s="1"/>
      <c r="I62" s="1"/>
      <c r="J62" s="44"/>
      <c r="K62" s="21"/>
      <c r="U62" s="3"/>
    </row>
    <row r="63" spans="1:22" ht="19.5" thickBot="1" x14ac:dyDescent="0.3">
      <c r="B63" s="33" t="s">
        <v>44</v>
      </c>
      <c r="C63" s="22"/>
      <c r="D63" s="22"/>
      <c r="E63" s="22"/>
      <c r="F63" s="22"/>
      <c r="G63" s="22"/>
      <c r="H63" s="22"/>
      <c r="I63" s="22"/>
      <c r="J63" s="46"/>
      <c r="K63" s="23"/>
      <c r="U63" s="8"/>
    </row>
    <row r="64" spans="1:22" ht="7.5" customHeight="1" thickBot="1" x14ac:dyDescent="0.3"/>
    <row r="65" spans="2:21" x14ac:dyDescent="0.25">
      <c r="B65" s="31" t="s">
        <v>46</v>
      </c>
      <c r="C65" s="19"/>
      <c r="D65" s="19"/>
      <c r="E65" s="19"/>
      <c r="F65" s="19"/>
      <c r="G65" s="19"/>
      <c r="H65" s="19"/>
      <c r="I65" s="19"/>
      <c r="J65" s="45"/>
      <c r="K65" s="20"/>
      <c r="U65" s="7"/>
    </row>
    <row r="66" spans="2:21" x14ac:dyDescent="0.25">
      <c r="B66" s="32" t="s">
        <v>45</v>
      </c>
      <c r="C66" s="1"/>
      <c r="D66" s="1"/>
      <c r="E66" s="1"/>
      <c r="F66" s="1"/>
      <c r="G66" s="1"/>
      <c r="H66" s="1"/>
      <c r="I66" s="1"/>
      <c r="J66" s="44"/>
      <c r="K66" s="21"/>
      <c r="U66" s="3"/>
    </row>
    <row r="67" spans="2:21" ht="19.5" thickBot="1" x14ac:dyDescent="0.3">
      <c r="B67" s="33" t="s">
        <v>44</v>
      </c>
      <c r="C67" s="22"/>
      <c r="D67" s="22"/>
      <c r="E67" s="22"/>
      <c r="F67" s="22"/>
      <c r="G67" s="22"/>
      <c r="H67" s="22"/>
      <c r="I67" s="22"/>
      <c r="J67" s="46"/>
      <c r="K67" s="23"/>
      <c r="U67" s="8"/>
    </row>
    <row r="68" spans="2:21" ht="7.5" customHeight="1" thickBot="1" x14ac:dyDescent="0.3"/>
    <row r="69" spans="2:21" x14ac:dyDescent="0.25">
      <c r="B69" s="31" t="s">
        <v>38</v>
      </c>
      <c r="C69" s="19"/>
      <c r="D69" s="19"/>
      <c r="E69" s="19"/>
      <c r="F69" s="19"/>
      <c r="G69" s="19"/>
      <c r="H69" s="19"/>
      <c r="I69" s="19"/>
      <c r="J69" s="45"/>
      <c r="K69" s="20"/>
      <c r="U69" s="7"/>
    </row>
    <row r="70" spans="2:21" x14ac:dyDescent="0.25">
      <c r="B70" s="32" t="s">
        <v>45</v>
      </c>
      <c r="C70" s="1"/>
      <c r="D70" s="1"/>
      <c r="E70" s="1"/>
      <c r="F70" s="1"/>
      <c r="G70" s="1"/>
      <c r="H70" s="1"/>
      <c r="I70" s="1"/>
      <c r="J70" s="44"/>
      <c r="K70" s="21"/>
      <c r="U70" s="3"/>
    </row>
    <row r="71" spans="2:21" ht="19.5" thickBot="1" x14ac:dyDescent="0.3">
      <c r="B71" s="33" t="s">
        <v>44</v>
      </c>
      <c r="C71" s="22"/>
      <c r="D71" s="22"/>
      <c r="E71" s="22"/>
      <c r="F71" s="22"/>
      <c r="G71" s="22"/>
      <c r="H71" s="22"/>
      <c r="I71" s="22"/>
      <c r="J71" s="46"/>
      <c r="K71" s="23"/>
      <c r="U71" s="8"/>
    </row>
    <row r="72" spans="2:21" ht="7.5" customHeight="1" thickBot="1" x14ac:dyDescent="0.3"/>
    <row r="73" spans="2:21" x14ac:dyDescent="0.25">
      <c r="B73" s="31" t="s">
        <v>47</v>
      </c>
      <c r="C73" s="19"/>
      <c r="D73" s="19"/>
      <c r="E73" s="19"/>
      <c r="F73" s="19"/>
      <c r="G73" s="19"/>
      <c r="H73" s="19"/>
      <c r="I73" s="19"/>
      <c r="J73" s="45"/>
      <c r="K73" s="20"/>
      <c r="U73" s="7"/>
    </row>
    <row r="74" spans="2:21" x14ac:dyDescent="0.25">
      <c r="B74" s="32" t="s">
        <v>45</v>
      </c>
      <c r="C74" s="1"/>
      <c r="D74" s="1"/>
      <c r="E74" s="1"/>
      <c r="F74" s="1"/>
      <c r="G74" s="1"/>
      <c r="H74" s="1"/>
      <c r="I74" s="1"/>
      <c r="J74" s="44"/>
      <c r="K74" s="21"/>
      <c r="U74" s="3"/>
    </row>
    <row r="75" spans="2:21" ht="19.5" thickBot="1" x14ac:dyDescent="0.3">
      <c r="B75" s="33" t="s">
        <v>44</v>
      </c>
      <c r="C75" s="22"/>
      <c r="D75" s="22"/>
      <c r="E75" s="22"/>
      <c r="F75" s="22"/>
      <c r="G75" s="22"/>
      <c r="H75" s="22"/>
      <c r="I75" s="22"/>
      <c r="J75" s="46"/>
      <c r="K75" s="23"/>
      <c r="U75" s="8"/>
    </row>
    <row r="76" spans="2:21" ht="7.5" customHeight="1" thickBot="1" x14ac:dyDescent="0.3"/>
    <row r="77" spans="2:21" x14ac:dyDescent="0.25">
      <c r="B77" s="31" t="s">
        <v>48</v>
      </c>
      <c r="C77" s="19"/>
      <c r="D77" s="19"/>
      <c r="E77" s="19"/>
      <c r="F77" s="19"/>
      <c r="G77" s="19"/>
      <c r="H77" s="19"/>
      <c r="I77" s="19"/>
      <c r="J77" s="45"/>
      <c r="K77" s="20"/>
      <c r="U77" s="7"/>
    </row>
    <row r="78" spans="2:21" x14ac:dyDescent="0.25">
      <c r="B78" s="32" t="s">
        <v>45</v>
      </c>
      <c r="C78" s="1"/>
      <c r="D78" s="1"/>
      <c r="E78" s="1"/>
      <c r="F78" s="1"/>
      <c r="G78" s="1"/>
      <c r="H78" s="1"/>
      <c r="I78" s="1"/>
      <c r="J78" s="44"/>
      <c r="K78" s="21"/>
      <c r="U78" s="3"/>
    </row>
    <row r="79" spans="2:21" ht="19.5" thickBot="1" x14ac:dyDescent="0.3">
      <c r="B79" s="33" t="s">
        <v>44</v>
      </c>
      <c r="C79" s="22"/>
      <c r="D79" s="22"/>
      <c r="E79" s="22"/>
      <c r="F79" s="22"/>
      <c r="G79" s="22"/>
      <c r="H79" s="22"/>
      <c r="I79" s="22"/>
      <c r="J79" s="46"/>
      <c r="K79" s="23"/>
      <c r="U79" s="8"/>
    </row>
    <row r="80" spans="2:21" ht="7.5" customHeight="1" thickBot="1" x14ac:dyDescent="0.3"/>
    <row r="81" spans="2:21" ht="19.5" thickBot="1" x14ac:dyDescent="0.3">
      <c r="B81" s="30" t="s">
        <v>49</v>
      </c>
      <c r="C81" s="17"/>
      <c r="D81" s="17"/>
      <c r="E81" s="17"/>
      <c r="F81" s="17"/>
      <c r="G81" s="17"/>
      <c r="H81" s="17"/>
      <c r="I81" s="17"/>
      <c r="J81" s="47"/>
      <c r="K81" s="18"/>
      <c r="U81" s="16"/>
    </row>
  </sheetData>
  <mergeCells count="7">
    <mergeCell ref="V4:V5"/>
    <mergeCell ref="J5:K5"/>
    <mergeCell ref="C60:K60"/>
    <mergeCell ref="I1:U1"/>
    <mergeCell ref="C4:K4"/>
    <mergeCell ref="T4:T5"/>
    <mergeCell ref="U4:U5"/>
  </mergeCells>
  <printOptions horizontalCentered="1" verticalCentered="1"/>
  <pageMargins left="0.19685039370078741" right="0.19685039370078741" top="0.19685039370078741" bottom="0.19685039370078741" header="0.19685039370078741" footer="0.19685039370078741"/>
  <pageSetup paperSize="14" scale="70" orientation="portrait" horizontalDpi="360" verticalDpi="360" r:id="rId1"/>
  <colBreaks count="1" manualBreakCount="1">
    <brk id="24" max="80" man="1"/>
  </colBreaks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849C493E-115E-4785-93A0-A3E4CC4BAE36}">
  <sheetPr>
    <pageSetUpPr fitToPage="1"/>
  </sheetPr>
  <dimension ref="A1:BB81"/>
  <sheetViews>
    <sheetView zoomScale="115" zoomScaleNormal="115" zoomScaleSheetLayoutView="115" workbookViewId="0">
      <selection activeCell="B2" sqref="B2"/>
    </sheetView>
  </sheetViews>
  <sheetFormatPr defaultColWidth="9.140625" defaultRowHeight="18.75" x14ac:dyDescent="0.25"/>
  <cols>
    <col min="1" max="1" width="4.140625" style="9" bestFit="1" customWidth="1"/>
    <col min="2" max="2" width="12.28515625" style="28" customWidth="1"/>
    <col min="3" max="6" width="10" style="9" customWidth="1"/>
    <col min="7" max="7" width="6.85546875" style="9" customWidth="1"/>
    <col min="8" max="8" width="7.5703125" style="9" bestFit="1" customWidth="1"/>
    <col min="9" max="9" width="6.7109375" style="9" bestFit="1" customWidth="1"/>
    <col min="10" max="10" width="6.85546875" style="9" customWidth="1"/>
    <col min="11" max="11" width="7.5703125" style="9" bestFit="1" customWidth="1"/>
    <col min="12" max="12" width="1.42578125" style="9" customWidth="1"/>
    <col min="13" max="13" width="10" style="9" customWidth="1"/>
    <col min="14" max="14" width="6.7109375" style="9" bestFit="1" customWidth="1"/>
    <col min="15" max="15" width="10" style="9" customWidth="1"/>
    <col min="16" max="16" width="5.5703125" style="9" customWidth="1"/>
    <col min="17" max="17" width="10" style="9" customWidth="1"/>
    <col min="18" max="18" width="6.7109375" style="9" bestFit="1" customWidth="1"/>
    <col min="19" max="19" width="1.42578125" style="9" customWidth="1"/>
    <col min="20" max="20" width="12.7109375" style="9" bestFit="1" customWidth="1"/>
    <col min="21" max="21" width="14.28515625" style="9" customWidth="1"/>
    <col min="22" max="22" width="19.5703125" style="9" bestFit="1" customWidth="1"/>
    <col min="23" max="49" width="7.28515625" style="9" customWidth="1"/>
    <col min="50" max="50" width="1.5703125" style="9" customWidth="1"/>
    <col min="51" max="51" width="9.42578125" style="9" customWidth="1"/>
    <col min="52" max="52" width="1.28515625" style="9" customWidth="1"/>
    <col min="53" max="53" width="12.7109375" style="9" bestFit="1" customWidth="1"/>
    <col min="54" max="54" width="10.28515625" style="9" bestFit="1" customWidth="1"/>
    <col min="55" max="16384" width="9.140625" style="9"/>
  </cols>
  <sheetData>
    <row r="1" spans="1:54" ht="15" customHeight="1" x14ac:dyDescent="0.25">
      <c r="B1" s="27" t="s">
        <v>42</v>
      </c>
      <c r="I1" s="116" t="s">
        <v>43</v>
      </c>
      <c r="J1" s="116"/>
      <c r="K1" s="116"/>
      <c r="L1" s="116"/>
      <c r="M1" s="116"/>
      <c r="N1" s="116"/>
      <c r="O1" s="116"/>
      <c r="P1" s="116"/>
      <c r="Q1" s="116"/>
      <c r="R1" s="116"/>
      <c r="S1" s="116"/>
      <c r="T1" s="116"/>
      <c r="U1" s="116"/>
    </row>
    <row r="2" spans="1:54" x14ac:dyDescent="0.25">
      <c r="B2" s="28" t="s">
        <v>72</v>
      </c>
    </row>
    <row r="3" spans="1:54" ht="19.5" thickBot="1" x14ac:dyDescent="0.3"/>
    <row r="4" spans="1:54" s="10" customFormat="1" ht="15.75" x14ac:dyDescent="0.25">
      <c r="B4" s="41" t="s">
        <v>52</v>
      </c>
      <c r="C4" s="117" t="s">
        <v>41</v>
      </c>
      <c r="D4" s="117"/>
      <c r="E4" s="117"/>
      <c r="F4" s="117"/>
      <c r="G4" s="117"/>
      <c r="H4" s="117"/>
      <c r="I4" s="117"/>
      <c r="J4" s="118"/>
      <c r="K4" s="119"/>
      <c r="M4" s="34" t="s">
        <v>0</v>
      </c>
      <c r="N4" s="48" t="s">
        <v>61</v>
      </c>
      <c r="O4" s="35" t="s">
        <v>39</v>
      </c>
      <c r="P4" s="48" t="s">
        <v>61</v>
      </c>
      <c r="Q4" s="36" t="s">
        <v>40</v>
      </c>
      <c r="R4" s="48" t="s">
        <v>61</v>
      </c>
      <c r="S4" s="9"/>
      <c r="T4" s="120" t="s">
        <v>68</v>
      </c>
      <c r="U4" s="126" t="s">
        <v>67</v>
      </c>
      <c r="V4" s="109" t="s">
        <v>66</v>
      </c>
      <c r="AF4" s="11"/>
      <c r="AG4" s="11"/>
      <c r="AH4" s="11"/>
      <c r="AI4" s="11"/>
      <c r="AJ4" s="11"/>
      <c r="AK4" s="11"/>
      <c r="AL4" s="11"/>
      <c r="AM4" s="11"/>
      <c r="AN4" s="11"/>
      <c r="AO4" s="11"/>
      <c r="AP4" s="11"/>
      <c r="AQ4" s="11"/>
      <c r="AR4" s="11"/>
      <c r="AS4" s="11"/>
      <c r="AT4" s="11"/>
      <c r="AU4" s="11"/>
      <c r="AV4" s="11"/>
      <c r="AW4" s="11"/>
      <c r="AX4" s="11"/>
      <c r="AY4" s="11"/>
      <c r="AZ4" s="11"/>
      <c r="BA4" s="11"/>
      <c r="BB4" s="11"/>
    </row>
    <row r="5" spans="1:54" s="10" customFormat="1" ht="15.75" x14ac:dyDescent="0.25">
      <c r="B5" s="37"/>
      <c r="C5" s="40"/>
      <c r="D5" s="40"/>
      <c r="E5" s="40"/>
      <c r="F5" s="40"/>
      <c r="G5" s="40"/>
      <c r="H5" s="40" t="s">
        <v>64</v>
      </c>
      <c r="I5" s="40" t="s">
        <v>60</v>
      </c>
      <c r="J5" s="124" t="s">
        <v>65</v>
      </c>
      <c r="K5" s="125"/>
      <c r="M5" s="37"/>
      <c r="N5" s="49"/>
      <c r="O5" s="40"/>
      <c r="P5" s="97"/>
      <c r="Q5" s="97"/>
      <c r="R5" s="38"/>
      <c r="S5" s="9"/>
      <c r="T5" s="121"/>
      <c r="U5" s="127"/>
      <c r="V5" s="110"/>
      <c r="AF5" s="11"/>
      <c r="AG5" s="11"/>
      <c r="AH5" s="11"/>
      <c r="AI5" s="11"/>
      <c r="AJ5" s="11"/>
      <c r="AK5" s="11"/>
      <c r="AL5" s="11"/>
      <c r="AM5" s="11"/>
      <c r="AN5" s="11"/>
      <c r="AO5" s="11"/>
      <c r="AP5" s="11"/>
      <c r="AQ5" s="11"/>
      <c r="AR5" s="11"/>
      <c r="AS5" s="11"/>
      <c r="AT5" s="11"/>
      <c r="AU5" s="11"/>
      <c r="AV5" s="11"/>
      <c r="AW5" s="11"/>
      <c r="AX5" s="11"/>
      <c r="AY5" s="11"/>
      <c r="AZ5" s="11"/>
      <c r="BA5" s="11"/>
      <c r="BB5" s="11"/>
    </row>
    <row r="6" spans="1:54" s="10" customFormat="1" ht="15.75" x14ac:dyDescent="0.25">
      <c r="B6" s="37"/>
      <c r="C6" s="40"/>
      <c r="D6" s="40"/>
      <c r="E6" s="40"/>
      <c r="F6" s="40"/>
      <c r="G6" s="40"/>
      <c r="H6" s="40"/>
      <c r="I6" s="40"/>
      <c r="J6" s="97"/>
      <c r="K6" s="38"/>
      <c r="M6" s="37"/>
      <c r="N6" s="49"/>
      <c r="O6" s="40"/>
      <c r="P6" s="97"/>
      <c r="Q6" s="97"/>
      <c r="R6" s="38"/>
      <c r="S6" s="9"/>
      <c r="T6" s="39"/>
      <c r="U6" s="39"/>
      <c r="V6" s="39"/>
      <c r="AF6" s="11"/>
      <c r="AG6" s="11"/>
      <c r="AH6" s="11"/>
      <c r="AI6" s="11"/>
      <c r="AJ6" s="11"/>
      <c r="AK6" s="11"/>
      <c r="AL6" s="11"/>
      <c r="AM6" s="11"/>
      <c r="AN6" s="11"/>
      <c r="AO6" s="11"/>
      <c r="AP6" s="11"/>
      <c r="AQ6" s="11"/>
      <c r="AR6" s="11"/>
      <c r="AS6" s="11"/>
      <c r="AT6" s="11"/>
      <c r="AU6" s="11"/>
      <c r="AV6" s="11"/>
      <c r="AW6" s="11"/>
      <c r="AX6" s="11"/>
      <c r="AY6" s="11"/>
      <c r="AZ6" s="11"/>
      <c r="BA6" s="11"/>
      <c r="BB6" s="11"/>
    </row>
    <row r="7" spans="1:54" x14ac:dyDescent="0.25">
      <c r="A7" s="27">
        <v>1</v>
      </c>
      <c r="B7" s="26" t="s">
        <v>32</v>
      </c>
      <c r="C7" s="52">
        <v>32</v>
      </c>
      <c r="D7" s="52"/>
      <c r="E7" s="52"/>
      <c r="F7" s="52"/>
      <c r="G7" s="52"/>
      <c r="H7" s="52"/>
      <c r="I7" s="52">
        <v>3</v>
      </c>
      <c r="J7" s="53"/>
      <c r="K7" s="54">
        <v>6</v>
      </c>
      <c r="L7" s="55"/>
      <c r="M7" s="56"/>
      <c r="N7" s="57"/>
      <c r="O7" s="52">
        <v>2</v>
      </c>
      <c r="P7" s="53"/>
      <c r="Q7" s="53">
        <v>1</v>
      </c>
      <c r="R7" s="54"/>
      <c r="S7" s="55"/>
      <c r="T7" s="58">
        <f>H7+I7+J7+K7+N7+P7+R7</f>
        <v>9</v>
      </c>
      <c r="U7" s="58">
        <f>C7*24+M7*24+O7*24+Q7*24+T7</f>
        <v>849</v>
      </c>
      <c r="V7" s="58">
        <f>U7/24</f>
        <v>35.375</v>
      </c>
      <c r="W7" s="50"/>
      <c r="AF7" s="12"/>
      <c r="AG7" s="12"/>
      <c r="AH7" s="12"/>
      <c r="AI7" s="12"/>
      <c r="AJ7" s="12"/>
      <c r="AK7" s="12"/>
      <c r="AL7" s="12"/>
      <c r="AM7" s="12"/>
      <c r="AN7" s="12"/>
      <c r="AO7" s="12"/>
      <c r="AP7" s="12"/>
      <c r="AQ7" s="12"/>
      <c r="AR7" s="12"/>
      <c r="AS7" s="12"/>
      <c r="AT7" s="12"/>
      <c r="AU7" s="12"/>
      <c r="AV7" s="12"/>
      <c r="AW7" s="12"/>
      <c r="AX7" s="12"/>
      <c r="AY7" s="12"/>
      <c r="AZ7" s="12"/>
      <c r="BA7" s="12"/>
      <c r="BB7" s="12"/>
    </row>
    <row r="8" spans="1:54" ht="19.5" thickBot="1" x14ac:dyDescent="0.3">
      <c r="A8" s="27">
        <f>A7+1</f>
        <v>2</v>
      </c>
      <c r="B8" s="42" t="s">
        <v>35</v>
      </c>
      <c r="C8" s="59">
        <f>41+43</f>
        <v>84</v>
      </c>
      <c r="D8" s="59"/>
      <c r="E8" s="59"/>
      <c r="F8" s="59"/>
      <c r="G8" s="59"/>
      <c r="H8" s="59"/>
      <c r="I8" s="59"/>
      <c r="J8" s="60"/>
      <c r="K8" s="61"/>
      <c r="L8" s="62"/>
      <c r="M8" s="63">
        <v>1</v>
      </c>
      <c r="N8" s="64"/>
      <c r="O8" s="65"/>
      <c r="P8" s="66">
        <v>12</v>
      </c>
      <c r="Q8" s="66">
        <v>2</v>
      </c>
      <c r="R8" s="67"/>
      <c r="S8" s="62"/>
      <c r="T8" s="68">
        <f t="shared" ref="T8:T41" si="0">H8+I8+J8+K8+N8+P8+R8</f>
        <v>12</v>
      </c>
      <c r="U8" s="69">
        <f>C8*24+M8*24+O8*24+Q8*24+T8</f>
        <v>2100</v>
      </c>
      <c r="V8" s="69">
        <f>U8/24</f>
        <v>87.5</v>
      </c>
      <c r="W8" s="50"/>
      <c r="AF8" s="12"/>
      <c r="AG8" s="12"/>
      <c r="AH8" s="12"/>
      <c r="AI8" s="12"/>
      <c r="AJ8" s="12"/>
      <c r="AK8" s="12"/>
      <c r="AL8" s="12"/>
      <c r="AM8" s="12"/>
      <c r="AN8" s="12"/>
      <c r="AO8" s="12"/>
      <c r="AP8" s="12"/>
      <c r="AQ8" s="12"/>
      <c r="AR8" s="12"/>
      <c r="AS8" s="12"/>
      <c r="AT8" s="12"/>
      <c r="AU8" s="12"/>
      <c r="AV8" s="12"/>
      <c r="AW8" s="12"/>
      <c r="AX8" s="12"/>
      <c r="AY8" s="12"/>
      <c r="AZ8" s="12"/>
      <c r="BA8" s="12"/>
      <c r="BB8" s="12"/>
    </row>
    <row r="9" spans="1:54" x14ac:dyDescent="0.25">
      <c r="A9" s="27">
        <f t="shared" ref="A9:A57" si="1">A8+1</f>
        <v>3</v>
      </c>
      <c r="B9" s="25" t="s">
        <v>33</v>
      </c>
      <c r="C9" s="70">
        <f>63+30</f>
        <v>93</v>
      </c>
      <c r="D9" s="70"/>
      <c r="E9" s="70"/>
      <c r="F9" s="70"/>
      <c r="G9" s="70"/>
      <c r="H9" s="70"/>
      <c r="I9" s="70"/>
      <c r="J9" s="71"/>
      <c r="K9" s="72"/>
      <c r="L9" s="55"/>
      <c r="M9" s="73"/>
      <c r="N9" s="74"/>
      <c r="O9" s="70"/>
      <c r="P9" s="71"/>
      <c r="Q9" s="71"/>
      <c r="R9" s="72"/>
      <c r="S9" s="55"/>
      <c r="T9" s="75">
        <f t="shared" si="0"/>
        <v>0</v>
      </c>
      <c r="U9" s="76">
        <f t="shared" ref="U9:U11" si="2">C9*24+M9*24+O9*24+Q9*24+T9</f>
        <v>2232</v>
      </c>
      <c r="V9" s="76">
        <f t="shared" ref="V9:V11" si="3">U9/24</f>
        <v>93</v>
      </c>
      <c r="W9" s="50"/>
      <c r="AF9" s="12"/>
      <c r="AG9" s="12"/>
      <c r="AH9" s="12"/>
      <c r="AI9" s="12"/>
      <c r="AJ9" s="12"/>
      <c r="AK9" s="12"/>
      <c r="AL9" s="12"/>
      <c r="AM9" s="12"/>
      <c r="AN9" s="12"/>
      <c r="AO9" s="12"/>
      <c r="AP9" s="12"/>
      <c r="AQ9" s="12"/>
      <c r="AR9" s="12"/>
      <c r="AS9" s="12"/>
      <c r="AT9" s="12"/>
      <c r="AU9" s="12"/>
      <c r="AV9" s="12"/>
      <c r="AW9" s="12"/>
      <c r="AX9" s="12"/>
      <c r="AY9" s="12"/>
      <c r="AZ9" s="12"/>
      <c r="BA9" s="12"/>
      <c r="BB9" s="12"/>
    </row>
    <row r="10" spans="1:54" x14ac:dyDescent="0.25">
      <c r="A10" s="27">
        <f t="shared" si="1"/>
        <v>4</v>
      </c>
      <c r="B10" s="26" t="s">
        <v>36</v>
      </c>
      <c r="C10" s="70">
        <f>39+10</f>
        <v>49</v>
      </c>
      <c r="D10" s="70"/>
      <c r="E10" s="70"/>
      <c r="F10" s="70"/>
      <c r="G10" s="70"/>
      <c r="H10" s="70"/>
      <c r="I10" s="70"/>
      <c r="J10" s="71"/>
      <c r="K10" s="72"/>
      <c r="L10" s="55"/>
      <c r="M10" s="73"/>
      <c r="N10" s="74"/>
      <c r="O10" s="70"/>
      <c r="P10" s="71"/>
      <c r="Q10" s="71"/>
      <c r="R10" s="72"/>
      <c r="S10" s="55"/>
      <c r="T10" s="58">
        <f t="shared" si="0"/>
        <v>0</v>
      </c>
      <c r="U10" s="58">
        <f t="shared" si="2"/>
        <v>1176</v>
      </c>
      <c r="V10" s="58">
        <f t="shared" si="3"/>
        <v>49</v>
      </c>
      <c r="W10" s="50"/>
      <c r="AF10" s="12"/>
      <c r="AG10" s="12"/>
      <c r="AH10" s="12"/>
      <c r="AI10" s="12"/>
      <c r="AJ10" s="12"/>
      <c r="AK10" s="12"/>
      <c r="AL10" s="12"/>
      <c r="AM10" s="12"/>
      <c r="AN10" s="12"/>
      <c r="AO10" s="12"/>
      <c r="AP10" s="12"/>
      <c r="AQ10" s="12"/>
      <c r="AR10" s="12"/>
      <c r="AS10" s="12"/>
      <c r="AT10" s="12"/>
      <c r="AU10" s="12"/>
      <c r="AV10" s="12"/>
      <c r="AW10" s="12"/>
      <c r="AX10" s="12"/>
      <c r="AY10" s="12"/>
      <c r="AZ10" s="12"/>
      <c r="BA10" s="12"/>
      <c r="BB10" s="12"/>
    </row>
    <row r="11" spans="1:54" x14ac:dyDescent="0.25">
      <c r="A11" s="27">
        <f t="shared" si="1"/>
        <v>5</v>
      </c>
      <c r="B11" s="26" t="s">
        <v>34</v>
      </c>
      <c r="C11" s="70">
        <v>9</v>
      </c>
      <c r="D11" s="70"/>
      <c r="E11" s="70"/>
      <c r="F11" s="70"/>
      <c r="G11" s="70"/>
      <c r="H11" s="70"/>
      <c r="I11" s="70"/>
      <c r="J11" s="71"/>
      <c r="K11" s="72">
        <v>2</v>
      </c>
      <c r="L11" s="55"/>
      <c r="M11" s="73"/>
      <c r="N11" s="74"/>
      <c r="O11" s="70"/>
      <c r="P11" s="71"/>
      <c r="Q11" s="71"/>
      <c r="R11" s="72"/>
      <c r="S11" s="55"/>
      <c r="T11" s="58">
        <f t="shared" si="0"/>
        <v>2</v>
      </c>
      <c r="U11" s="58">
        <f t="shared" si="2"/>
        <v>218</v>
      </c>
      <c r="V11" s="58">
        <f t="shared" si="3"/>
        <v>9.0833333333333339</v>
      </c>
      <c r="AF11" s="12"/>
      <c r="AG11" s="12"/>
      <c r="AH11" s="12"/>
      <c r="AI11" s="12"/>
      <c r="AJ11" s="12"/>
      <c r="AK11" s="12"/>
      <c r="AL11" s="12"/>
      <c r="AM11" s="12"/>
      <c r="AN11" s="12"/>
      <c r="AO11" s="12"/>
      <c r="AP11" s="12"/>
      <c r="AQ11" s="12"/>
      <c r="AR11" s="12"/>
      <c r="AS11" s="12"/>
      <c r="AT11" s="12"/>
      <c r="AU11" s="12"/>
      <c r="AV11" s="12"/>
      <c r="AW11" s="12"/>
      <c r="AX11" s="12"/>
      <c r="AY11" s="12"/>
      <c r="AZ11" s="12"/>
      <c r="BA11" s="12"/>
      <c r="BB11" s="12"/>
    </row>
    <row r="12" spans="1:54" s="13" customFormat="1" ht="19.5" thickBot="1" x14ac:dyDescent="0.3">
      <c r="A12" s="27">
        <v>7</v>
      </c>
      <c r="B12" s="42" t="s">
        <v>30</v>
      </c>
      <c r="C12" s="59">
        <f>1224+53+1080+71+1080+29</f>
        <v>3537</v>
      </c>
      <c r="D12" s="59"/>
      <c r="E12" s="59"/>
      <c r="F12" s="59"/>
      <c r="G12" s="59"/>
      <c r="H12" s="59"/>
      <c r="I12" s="59"/>
      <c r="J12" s="60"/>
      <c r="K12" s="61"/>
      <c r="L12" s="62"/>
      <c r="M12" s="63">
        <v>8</v>
      </c>
      <c r="N12" s="64"/>
      <c r="O12" s="65">
        <v>13</v>
      </c>
      <c r="P12" s="66"/>
      <c r="Q12" s="66">
        <v>20</v>
      </c>
      <c r="R12" s="67">
        <v>5</v>
      </c>
      <c r="S12" s="62"/>
      <c r="T12" s="69">
        <f t="shared" si="0"/>
        <v>5</v>
      </c>
      <c r="U12" s="69">
        <f>C12*24+M12*24+O12*24+Q12*24+T12</f>
        <v>85877</v>
      </c>
      <c r="V12" s="69">
        <f>U12/24</f>
        <v>3578.2083333333335</v>
      </c>
      <c r="W12" s="9"/>
      <c r="X12" s="9"/>
      <c r="Y12" s="9"/>
      <c r="Z12" s="9"/>
      <c r="AA12" s="9"/>
      <c r="AB12" s="9"/>
      <c r="AC12" s="9"/>
      <c r="AD12" s="9"/>
      <c r="AE12" s="9"/>
      <c r="AF12" s="12"/>
      <c r="AG12" s="12"/>
      <c r="AH12" s="12"/>
      <c r="AI12" s="12"/>
      <c r="AJ12" s="12"/>
      <c r="AK12" s="12"/>
      <c r="AL12" s="12"/>
      <c r="AM12" s="12"/>
      <c r="AN12" s="12"/>
      <c r="AO12" s="12"/>
      <c r="AP12" s="12"/>
      <c r="AQ12" s="12"/>
      <c r="AR12" s="12"/>
      <c r="AS12" s="12"/>
      <c r="AT12" s="12"/>
      <c r="AU12" s="12"/>
      <c r="AV12" s="12"/>
      <c r="AW12" s="12"/>
      <c r="AX12" s="12"/>
      <c r="AY12" s="12"/>
      <c r="AZ12" s="12"/>
      <c r="BA12" s="12"/>
      <c r="BB12" s="12"/>
    </row>
    <row r="13" spans="1:54" x14ac:dyDescent="0.25">
      <c r="A13" s="27">
        <v>11</v>
      </c>
      <c r="B13" s="25" t="s">
        <v>1</v>
      </c>
      <c r="C13" s="70">
        <v>2</v>
      </c>
      <c r="D13" s="70"/>
      <c r="E13" s="70"/>
      <c r="F13" s="70"/>
      <c r="G13" s="70"/>
      <c r="H13" s="70">
        <v>16</v>
      </c>
      <c r="I13" s="70"/>
      <c r="J13" s="71"/>
      <c r="K13" s="72"/>
      <c r="L13" s="55"/>
      <c r="M13" s="73"/>
      <c r="N13" s="74"/>
      <c r="O13" s="70"/>
      <c r="P13" s="71"/>
      <c r="Q13" s="71"/>
      <c r="R13" s="72"/>
      <c r="S13" s="55"/>
      <c r="T13" s="76">
        <f t="shared" si="0"/>
        <v>16</v>
      </c>
      <c r="U13" s="76">
        <f>C13*24+M13*24+O13*24+Q13*24+T13</f>
        <v>64</v>
      </c>
      <c r="V13" s="76">
        <f>U13/24</f>
        <v>2.6666666666666665</v>
      </c>
      <c r="AF13" s="12"/>
      <c r="AG13" s="12"/>
      <c r="AH13" s="12"/>
      <c r="AI13" s="12"/>
      <c r="AJ13" s="12"/>
      <c r="AK13" s="12"/>
      <c r="AL13" s="12"/>
      <c r="AM13" s="12"/>
      <c r="AN13" s="12"/>
      <c r="AO13" s="12"/>
      <c r="AP13" s="12"/>
      <c r="AQ13" s="12"/>
      <c r="AR13" s="12"/>
      <c r="AS13" s="12"/>
      <c r="AT13" s="12"/>
      <c r="AU13" s="12"/>
      <c r="AV13" s="12"/>
      <c r="AW13" s="12"/>
      <c r="AX13" s="12"/>
      <c r="AY13" s="12"/>
      <c r="AZ13" s="12"/>
      <c r="BA13" s="12"/>
      <c r="BB13" s="12"/>
    </row>
    <row r="14" spans="1:54" x14ac:dyDescent="0.25">
      <c r="A14" s="27">
        <f t="shared" si="1"/>
        <v>12</v>
      </c>
      <c r="B14" s="26" t="s">
        <v>2</v>
      </c>
      <c r="C14" s="70">
        <v>2</v>
      </c>
      <c r="D14" s="70"/>
      <c r="E14" s="70"/>
      <c r="F14" s="70"/>
      <c r="G14" s="70"/>
      <c r="H14" s="70"/>
      <c r="I14" s="70"/>
      <c r="J14" s="71"/>
      <c r="K14" s="72"/>
      <c r="L14" s="55"/>
      <c r="M14" s="73"/>
      <c r="N14" s="74"/>
      <c r="O14" s="70"/>
      <c r="P14" s="71"/>
      <c r="Q14" s="71"/>
      <c r="R14" s="72"/>
      <c r="S14" s="55"/>
      <c r="T14" s="58">
        <f t="shared" si="0"/>
        <v>0</v>
      </c>
      <c r="U14" s="75">
        <f t="shared" ref="U14:U36" si="4">C14*24+M14*24+O14*24+Q14*24+T14</f>
        <v>48</v>
      </c>
      <c r="V14" s="75">
        <f t="shared" ref="V14:V36" si="5">U14/24</f>
        <v>2</v>
      </c>
      <c r="AF14" s="12"/>
      <c r="AG14" s="12"/>
      <c r="AH14" s="12"/>
      <c r="AI14" s="12"/>
      <c r="AJ14" s="12"/>
      <c r="AK14" s="12"/>
      <c r="AL14" s="12"/>
      <c r="AM14" s="12"/>
      <c r="AN14" s="12"/>
      <c r="AO14" s="12"/>
      <c r="AP14" s="12"/>
      <c r="AQ14" s="12"/>
      <c r="AR14" s="12"/>
      <c r="AS14" s="12"/>
      <c r="AT14" s="12"/>
      <c r="AU14" s="12"/>
      <c r="AV14" s="12"/>
      <c r="AW14" s="12"/>
      <c r="AX14" s="12"/>
      <c r="AY14" s="12"/>
      <c r="AZ14" s="12"/>
      <c r="BA14" s="12"/>
      <c r="BB14" s="12"/>
    </row>
    <row r="15" spans="1:54" x14ac:dyDescent="0.25">
      <c r="A15" s="27">
        <f t="shared" si="1"/>
        <v>13</v>
      </c>
      <c r="B15" s="26" t="s">
        <v>3</v>
      </c>
      <c r="C15" s="70"/>
      <c r="D15" s="70"/>
      <c r="E15" s="70"/>
      <c r="F15" s="70"/>
      <c r="G15" s="70"/>
      <c r="H15" s="70"/>
      <c r="I15" s="70"/>
      <c r="J15" s="71"/>
      <c r="K15" s="72"/>
      <c r="L15" s="55"/>
      <c r="M15" s="73"/>
      <c r="N15" s="74"/>
      <c r="O15" s="70"/>
      <c r="P15" s="71"/>
      <c r="Q15" s="71"/>
      <c r="R15" s="72"/>
      <c r="S15" s="55"/>
      <c r="T15" s="58">
        <f t="shared" si="0"/>
        <v>0</v>
      </c>
      <c r="U15" s="75">
        <f t="shared" si="4"/>
        <v>0</v>
      </c>
      <c r="V15" s="75">
        <f t="shared" si="5"/>
        <v>0</v>
      </c>
      <c r="AF15" s="12"/>
      <c r="AG15" s="12"/>
      <c r="AH15" s="12"/>
      <c r="AI15" s="12"/>
      <c r="AJ15" s="12"/>
      <c r="AK15" s="12"/>
      <c r="AL15" s="12"/>
      <c r="AM15" s="12"/>
      <c r="AN15" s="12"/>
      <c r="AO15" s="12"/>
      <c r="AP15" s="12"/>
      <c r="AQ15" s="12"/>
      <c r="AR15" s="12"/>
      <c r="AS15" s="12"/>
      <c r="AT15" s="12"/>
      <c r="AU15" s="12"/>
      <c r="AV15" s="12"/>
      <c r="AW15" s="12"/>
      <c r="AX15" s="12"/>
      <c r="AY15" s="12"/>
      <c r="AZ15" s="12"/>
      <c r="BA15" s="12"/>
      <c r="BB15" s="12"/>
    </row>
    <row r="16" spans="1:54" x14ac:dyDescent="0.25">
      <c r="A16" s="27">
        <f t="shared" si="1"/>
        <v>14</v>
      </c>
      <c r="B16" s="26" t="s">
        <v>4</v>
      </c>
      <c r="C16" s="70"/>
      <c r="D16" s="70"/>
      <c r="E16" s="70"/>
      <c r="F16" s="70"/>
      <c r="G16" s="70"/>
      <c r="H16" s="70"/>
      <c r="I16" s="70"/>
      <c r="J16" s="71"/>
      <c r="K16" s="72"/>
      <c r="L16" s="55"/>
      <c r="M16" s="73"/>
      <c r="N16" s="74"/>
      <c r="O16" s="70"/>
      <c r="P16" s="71"/>
      <c r="Q16" s="71"/>
      <c r="R16" s="72"/>
      <c r="S16" s="55"/>
      <c r="T16" s="58">
        <f t="shared" si="0"/>
        <v>0</v>
      </c>
      <c r="U16" s="75">
        <f t="shared" si="4"/>
        <v>0</v>
      </c>
      <c r="V16" s="75">
        <f t="shared" si="5"/>
        <v>0</v>
      </c>
      <c r="AF16" s="12"/>
      <c r="AG16" s="12"/>
      <c r="AH16" s="12"/>
      <c r="AI16" s="12"/>
      <c r="AJ16" s="12"/>
      <c r="AK16" s="12"/>
      <c r="AL16" s="12"/>
      <c r="AM16" s="12"/>
      <c r="AN16" s="12"/>
      <c r="AO16" s="12"/>
      <c r="AP16" s="12"/>
      <c r="AQ16" s="12"/>
      <c r="AR16" s="12"/>
      <c r="AS16" s="12"/>
      <c r="AT16" s="12"/>
      <c r="AU16" s="12"/>
      <c r="AV16" s="12"/>
      <c r="AW16" s="12"/>
      <c r="AX16" s="12"/>
      <c r="AY16" s="12"/>
      <c r="AZ16" s="12"/>
      <c r="BA16" s="12"/>
      <c r="BB16" s="12"/>
    </row>
    <row r="17" spans="1:54" x14ac:dyDescent="0.25">
      <c r="A17" s="27">
        <f t="shared" si="1"/>
        <v>15</v>
      </c>
      <c r="B17" s="26" t="s">
        <v>5</v>
      </c>
      <c r="C17" s="70"/>
      <c r="D17" s="70"/>
      <c r="E17" s="70"/>
      <c r="F17" s="70"/>
      <c r="G17" s="70"/>
      <c r="H17" s="70">
        <f>24*3</f>
        <v>72</v>
      </c>
      <c r="I17" s="70"/>
      <c r="J17" s="71"/>
      <c r="K17" s="72"/>
      <c r="L17" s="55"/>
      <c r="M17" s="73"/>
      <c r="N17" s="74"/>
      <c r="O17" s="70"/>
      <c r="P17" s="71"/>
      <c r="Q17" s="71"/>
      <c r="R17" s="72"/>
      <c r="S17" s="55"/>
      <c r="T17" s="58">
        <f t="shared" si="0"/>
        <v>72</v>
      </c>
      <c r="U17" s="75">
        <f t="shared" si="4"/>
        <v>72</v>
      </c>
      <c r="V17" s="75">
        <f t="shared" si="5"/>
        <v>3</v>
      </c>
      <c r="AF17" s="12"/>
      <c r="AG17" s="12"/>
      <c r="AH17" s="12"/>
      <c r="AI17" s="12"/>
      <c r="AJ17" s="12"/>
      <c r="AK17" s="12"/>
      <c r="AL17" s="12"/>
      <c r="AM17" s="12"/>
      <c r="AN17" s="12"/>
      <c r="AO17" s="12"/>
      <c r="AP17" s="12"/>
      <c r="AQ17" s="12"/>
      <c r="AR17" s="12"/>
      <c r="AS17" s="12"/>
      <c r="AT17" s="12"/>
      <c r="AU17" s="12"/>
      <c r="AV17" s="12"/>
      <c r="AW17" s="12"/>
      <c r="AX17" s="12"/>
      <c r="AY17" s="12"/>
      <c r="AZ17" s="12"/>
      <c r="BA17" s="12"/>
      <c r="BB17" s="12"/>
    </row>
    <row r="18" spans="1:54" hidden="1" x14ac:dyDescent="0.25">
      <c r="A18" s="27">
        <f t="shared" si="1"/>
        <v>16</v>
      </c>
      <c r="B18" s="26" t="s">
        <v>9</v>
      </c>
      <c r="C18" s="70"/>
      <c r="D18" s="70"/>
      <c r="E18" s="70"/>
      <c r="F18" s="70"/>
      <c r="G18" s="70"/>
      <c r="H18" s="70"/>
      <c r="I18" s="70"/>
      <c r="J18" s="71"/>
      <c r="K18" s="72"/>
      <c r="L18" s="55"/>
      <c r="M18" s="73"/>
      <c r="N18" s="74"/>
      <c r="O18" s="70"/>
      <c r="P18" s="71"/>
      <c r="Q18" s="71"/>
      <c r="R18" s="72"/>
      <c r="S18" s="55"/>
      <c r="T18" s="58">
        <f t="shared" si="0"/>
        <v>0</v>
      </c>
      <c r="U18" s="75">
        <f t="shared" si="4"/>
        <v>0</v>
      </c>
      <c r="V18" s="75">
        <f t="shared" si="5"/>
        <v>0</v>
      </c>
      <c r="AF18" s="12"/>
      <c r="AG18" s="12"/>
      <c r="AH18" s="12"/>
      <c r="AI18" s="12"/>
      <c r="AJ18" s="12"/>
      <c r="AK18" s="12"/>
      <c r="AL18" s="12"/>
      <c r="AM18" s="12"/>
      <c r="AN18" s="12"/>
      <c r="AO18" s="12"/>
      <c r="AP18" s="12"/>
      <c r="AQ18" s="12"/>
      <c r="AR18" s="12"/>
      <c r="AS18" s="12"/>
      <c r="AT18" s="12"/>
      <c r="AU18" s="12"/>
      <c r="AV18" s="12"/>
      <c r="AW18" s="12"/>
      <c r="AX18" s="12"/>
      <c r="AY18" s="12"/>
      <c r="AZ18" s="12"/>
      <c r="BA18" s="12"/>
      <c r="BB18" s="12"/>
    </row>
    <row r="19" spans="1:54" x14ac:dyDescent="0.25">
      <c r="A19" s="27">
        <v>16</v>
      </c>
      <c r="B19" s="26" t="s">
        <v>53</v>
      </c>
      <c r="C19" s="70">
        <v>2</v>
      </c>
      <c r="D19" s="70"/>
      <c r="E19" s="70"/>
      <c r="F19" s="70"/>
      <c r="G19" s="70"/>
      <c r="H19" s="70">
        <f>24+20</f>
        <v>44</v>
      </c>
      <c r="I19" s="70"/>
      <c r="J19" s="71"/>
      <c r="K19" s="72"/>
      <c r="L19" s="55"/>
      <c r="M19" s="73"/>
      <c r="N19" s="74"/>
      <c r="O19" s="70"/>
      <c r="P19" s="71"/>
      <c r="Q19" s="71"/>
      <c r="R19" s="72"/>
      <c r="S19" s="55"/>
      <c r="T19" s="58">
        <f t="shared" si="0"/>
        <v>44</v>
      </c>
      <c r="U19" s="75">
        <f t="shared" si="4"/>
        <v>92</v>
      </c>
      <c r="V19" s="75">
        <f t="shared" si="5"/>
        <v>3.8333333333333335</v>
      </c>
      <c r="AF19" s="12"/>
      <c r="AG19" s="12"/>
      <c r="AH19" s="12"/>
      <c r="AI19" s="12"/>
      <c r="AJ19" s="12"/>
      <c r="AK19" s="12"/>
      <c r="AL19" s="12"/>
      <c r="AM19" s="12"/>
      <c r="AN19" s="12"/>
      <c r="AO19" s="12"/>
      <c r="AP19" s="12"/>
      <c r="AQ19" s="12"/>
      <c r="AR19" s="12"/>
      <c r="AS19" s="12"/>
      <c r="AT19" s="12"/>
      <c r="AU19" s="12"/>
      <c r="AV19" s="12"/>
      <c r="AW19" s="12"/>
      <c r="AX19" s="12"/>
      <c r="AY19" s="12"/>
      <c r="AZ19" s="12"/>
      <c r="BA19" s="12"/>
      <c r="BB19" s="12"/>
    </row>
    <row r="20" spans="1:54" x14ac:dyDescent="0.25">
      <c r="A20" s="27">
        <f t="shared" si="1"/>
        <v>17</v>
      </c>
      <c r="B20" s="26" t="s">
        <v>6</v>
      </c>
      <c r="C20" s="70">
        <v>5</v>
      </c>
      <c r="D20" s="70"/>
      <c r="E20" s="70"/>
      <c r="F20" s="70"/>
      <c r="G20" s="70"/>
      <c r="H20" s="70"/>
      <c r="I20" s="70"/>
      <c r="J20" s="71"/>
      <c r="K20" s="72"/>
      <c r="L20" s="55"/>
      <c r="M20" s="73"/>
      <c r="N20" s="74"/>
      <c r="O20" s="70"/>
      <c r="P20" s="71"/>
      <c r="Q20" s="71"/>
      <c r="R20" s="72"/>
      <c r="S20" s="55"/>
      <c r="T20" s="58">
        <f t="shared" si="0"/>
        <v>0</v>
      </c>
      <c r="U20" s="75">
        <f t="shared" si="4"/>
        <v>120</v>
      </c>
      <c r="V20" s="75">
        <f t="shared" si="5"/>
        <v>5</v>
      </c>
      <c r="AF20" s="12"/>
      <c r="AG20" s="12"/>
      <c r="AH20" s="12"/>
      <c r="AI20" s="12"/>
      <c r="AJ20" s="12"/>
      <c r="AK20" s="12"/>
      <c r="AL20" s="12"/>
      <c r="AM20" s="12"/>
      <c r="AN20" s="12"/>
      <c r="AO20" s="12"/>
      <c r="AP20" s="12"/>
      <c r="AQ20" s="12"/>
      <c r="AR20" s="12"/>
      <c r="AS20" s="12"/>
      <c r="AT20" s="12"/>
      <c r="AU20" s="12"/>
      <c r="AV20" s="12"/>
      <c r="AW20" s="12"/>
      <c r="AX20" s="12"/>
      <c r="AY20" s="12"/>
      <c r="AZ20" s="12"/>
      <c r="BA20" s="12"/>
      <c r="BB20" s="12"/>
    </row>
    <row r="21" spans="1:54" x14ac:dyDescent="0.25">
      <c r="A21" s="27">
        <f t="shared" si="1"/>
        <v>18</v>
      </c>
      <c r="B21" s="26" t="s">
        <v>7</v>
      </c>
      <c r="C21" s="70"/>
      <c r="D21" s="70"/>
      <c r="E21" s="70"/>
      <c r="F21" s="70"/>
      <c r="G21" s="70"/>
      <c r="H21" s="70">
        <f>24*2</f>
        <v>48</v>
      </c>
      <c r="I21" s="70"/>
      <c r="J21" s="71"/>
      <c r="K21" s="72"/>
      <c r="L21" s="55"/>
      <c r="M21" s="73"/>
      <c r="N21" s="74"/>
      <c r="O21" s="70"/>
      <c r="P21" s="71"/>
      <c r="Q21" s="71"/>
      <c r="R21" s="72"/>
      <c r="S21" s="55"/>
      <c r="T21" s="58">
        <f t="shared" si="0"/>
        <v>48</v>
      </c>
      <c r="U21" s="75">
        <f t="shared" si="4"/>
        <v>48</v>
      </c>
      <c r="V21" s="75">
        <f t="shared" si="5"/>
        <v>2</v>
      </c>
      <c r="AF21" s="12"/>
      <c r="AG21" s="12"/>
      <c r="AH21" s="12"/>
      <c r="AI21" s="12"/>
      <c r="AJ21" s="12"/>
      <c r="AK21" s="12"/>
      <c r="AL21" s="12"/>
      <c r="AM21" s="12"/>
      <c r="AN21" s="12"/>
      <c r="AO21" s="12"/>
      <c r="AP21" s="12"/>
      <c r="AQ21" s="12"/>
      <c r="AR21" s="12"/>
      <c r="AS21" s="12"/>
      <c r="AT21" s="12"/>
      <c r="AU21" s="12"/>
      <c r="AV21" s="12"/>
      <c r="AW21" s="12"/>
      <c r="AX21" s="12"/>
      <c r="AY21" s="12"/>
      <c r="AZ21" s="12"/>
      <c r="BA21" s="12"/>
      <c r="BB21" s="12"/>
    </row>
    <row r="22" spans="1:54" s="13" customFormat="1" x14ac:dyDescent="0.25">
      <c r="A22" s="27">
        <f t="shared" si="1"/>
        <v>19</v>
      </c>
      <c r="B22" s="26" t="s">
        <v>54</v>
      </c>
      <c r="C22" s="70">
        <v>2</v>
      </c>
      <c r="D22" s="70"/>
      <c r="E22" s="70"/>
      <c r="F22" s="70"/>
      <c r="G22" s="70"/>
      <c r="H22" s="70"/>
      <c r="I22" s="70">
        <v>20</v>
      </c>
      <c r="J22" s="71"/>
      <c r="K22" s="72"/>
      <c r="L22" s="55"/>
      <c r="M22" s="73"/>
      <c r="N22" s="74"/>
      <c r="O22" s="70"/>
      <c r="P22" s="71"/>
      <c r="Q22" s="71"/>
      <c r="R22" s="72"/>
      <c r="S22" s="55"/>
      <c r="T22" s="58">
        <f t="shared" si="0"/>
        <v>20</v>
      </c>
      <c r="U22" s="75">
        <f t="shared" si="4"/>
        <v>68</v>
      </c>
      <c r="V22" s="75">
        <f t="shared" si="5"/>
        <v>2.8333333333333335</v>
      </c>
      <c r="W22" s="9"/>
      <c r="X22" s="9"/>
      <c r="Y22" s="9"/>
      <c r="Z22" s="9"/>
      <c r="AA22" s="9"/>
      <c r="AB22" s="9"/>
      <c r="AC22" s="9"/>
      <c r="AD22" s="9"/>
      <c r="AE22" s="9"/>
      <c r="AF22" s="12"/>
      <c r="AG22" s="12"/>
      <c r="AH22" s="12"/>
      <c r="AI22" s="12"/>
      <c r="AJ22" s="12"/>
      <c r="AK22" s="12"/>
      <c r="AL22" s="12"/>
      <c r="AM22" s="12"/>
      <c r="AN22" s="12"/>
      <c r="AO22" s="12"/>
      <c r="AP22" s="12"/>
      <c r="AQ22" s="12"/>
      <c r="AR22" s="12"/>
      <c r="AS22" s="12"/>
      <c r="AT22" s="12"/>
      <c r="AU22" s="12"/>
      <c r="AV22" s="12"/>
      <c r="AW22" s="12"/>
      <c r="AX22" s="12"/>
      <c r="AY22" s="12"/>
      <c r="AZ22" s="12"/>
      <c r="BA22" s="12"/>
      <c r="BB22" s="12"/>
    </row>
    <row r="23" spans="1:54" s="13" customFormat="1" x14ac:dyDescent="0.25">
      <c r="A23" s="27">
        <f t="shared" si="1"/>
        <v>20</v>
      </c>
      <c r="B23" s="26" t="s">
        <v>55</v>
      </c>
      <c r="C23" s="70"/>
      <c r="D23" s="70"/>
      <c r="E23" s="70"/>
      <c r="F23" s="70"/>
      <c r="G23" s="70"/>
      <c r="H23" s="70">
        <f>37*24+19</f>
        <v>907</v>
      </c>
      <c r="I23" s="70"/>
      <c r="J23" s="71"/>
      <c r="K23" s="72"/>
      <c r="L23" s="55"/>
      <c r="M23" s="73"/>
      <c r="N23" s="74"/>
      <c r="O23" s="70"/>
      <c r="P23" s="71"/>
      <c r="Q23" s="71"/>
      <c r="R23" s="72"/>
      <c r="S23" s="55"/>
      <c r="T23" s="58">
        <f t="shared" si="0"/>
        <v>907</v>
      </c>
      <c r="U23" s="75">
        <f t="shared" si="4"/>
        <v>907</v>
      </c>
      <c r="V23" s="75">
        <f t="shared" si="5"/>
        <v>37.791666666666664</v>
      </c>
      <c r="W23" s="9"/>
      <c r="X23" s="9"/>
      <c r="Y23" s="9"/>
      <c r="Z23" s="9"/>
      <c r="AA23" s="9"/>
      <c r="AB23" s="9"/>
      <c r="AC23" s="9"/>
      <c r="AD23" s="9"/>
      <c r="AE23" s="9"/>
      <c r="AF23" s="12"/>
      <c r="AG23" s="12"/>
      <c r="AH23" s="12"/>
      <c r="AI23" s="12"/>
      <c r="AJ23" s="12"/>
      <c r="AK23" s="12"/>
      <c r="AL23" s="12"/>
      <c r="AM23" s="12"/>
      <c r="AN23" s="12"/>
      <c r="AO23" s="12"/>
      <c r="AP23" s="12"/>
      <c r="AQ23" s="12"/>
      <c r="AR23" s="12"/>
      <c r="AS23" s="12"/>
      <c r="AT23" s="12"/>
      <c r="AU23" s="12"/>
      <c r="AV23" s="12"/>
      <c r="AW23" s="12"/>
      <c r="AX23" s="12"/>
      <c r="AY23" s="12"/>
      <c r="AZ23" s="12"/>
      <c r="BA23" s="12"/>
      <c r="BB23" s="12"/>
    </row>
    <row r="24" spans="1:54" x14ac:dyDescent="0.25">
      <c r="A24" s="27">
        <f t="shared" si="1"/>
        <v>21</v>
      </c>
      <c r="B24" s="26" t="s">
        <v>56</v>
      </c>
      <c r="C24" s="70">
        <v>2</v>
      </c>
      <c r="D24" s="70"/>
      <c r="E24" s="70"/>
      <c r="F24" s="70"/>
      <c r="G24" s="70"/>
      <c r="H24" s="70">
        <f>24*3</f>
        <v>72</v>
      </c>
      <c r="I24" s="70"/>
      <c r="J24" s="71"/>
      <c r="K24" s="72"/>
      <c r="L24" s="55"/>
      <c r="M24" s="73"/>
      <c r="N24" s="74"/>
      <c r="O24" s="70"/>
      <c r="P24" s="71"/>
      <c r="Q24" s="71"/>
      <c r="R24" s="72"/>
      <c r="S24" s="55"/>
      <c r="T24" s="58">
        <f t="shared" si="0"/>
        <v>72</v>
      </c>
      <c r="U24" s="75">
        <f t="shared" si="4"/>
        <v>120</v>
      </c>
      <c r="V24" s="75">
        <f t="shared" si="5"/>
        <v>5</v>
      </c>
      <c r="AF24" s="12"/>
      <c r="AG24" s="12"/>
      <c r="AH24" s="12"/>
      <c r="AI24" s="12"/>
      <c r="AJ24" s="12"/>
      <c r="AK24" s="12"/>
      <c r="AL24" s="12"/>
      <c r="AM24" s="12"/>
      <c r="AN24" s="12"/>
      <c r="AO24" s="12"/>
      <c r="AP24" s="12"/>
      <c r="AQ24" s="12"/>
      <c r="AR24" s="12"/>
      <c r="AS24" s="12"/>
      <c r="AT24" s="12"/>
      <c r="AU24" s="12"/>
      <c r="AV24" s="12"/>
      <c r="AW24" s="12"/>
      <c r="AX24" s="12"/>
      <c r="AY24" s="12"/>
      <c r="AZ24" s="12"/>
      <c r="BA24" s="12"/>
      <c r="BB24" s="12"/>
    </row>
    <row r="25" spans="1:54" x14ac:dyDescent="0.25">
      <c r="A25" s="27">
        <f t="shared" si="1"/>
        <v>22</v>
      </c>
      <c r="B25" s="26" t="s">
        <v>8</v>
      </c>
      <c r="C25" s="70">
        <v>54</v>
      </c>
      <c r="D25" s="70"/>
      <c r="E25" s="70"/>
      <c r="F25" s="70"/>
      <c r="G25" s="70"/>
      <c r="H25" s="70"/>
      <c r="I25" s="70"/>
      <c r="J25" s="71">
        <v>1</v>
      </c>
      <c r="K25" s="72"/>
      <c r="L25" s="55"/>
      <c r="M25" s="73">
        <v>1</v>
      </c>
      <c r="N25" s="74"/>
      <c r="O25" s="70"/>
      <c r="P25" s="71"/>
      <c r="Q25" s="71">
        <v>2</v>
      </c>
      <c r="R25" s="72"/>
      <c r="S25" s="55"/>
      <c r="T25" s="58">
        <f t="shared" si="0"/>
        <v>1</v>
      </c>
      <c r="U25" s="75">
        <f t="shared" si="4"/>
        <v>1369</v>
      </c>
      <c r="V25" s="75">
        <f t="shared" si="5"/>
        <v>57.041666666666664</v>
      </c>
      <c r="AY25" s="14" t="e">
        <f>#REF!-AY24</f>
        <v>#REF!</v>
      </c>
    </row>
    <row r="26" spans="1:54" s="13" customFormat="1" x14ac:dyDescent="0.25">
      <c r="A26" s="27">
        <f t="shared" si="1"/>
        <v>23</v>
      </c>
      <c r="B26" s="26" t="s">
        <v>10</v>
      </c>
      <c r="C26" s="70"/>
      <c r="D26" s="70"/>
      <c r="E26" s="70"/>
      <c r="F26" s="70"/>
      <c r="G26" s="70"/>
      <c r="H26" s="70"/>
      <c r="I26" s="70"/>
      <c r="J26" s="71"/>
      <c r="K26" s="72"/>
      <c r="L26" s="55"/>
      <c r="M26" s="73"/>
      <c r="N26" s="74"/>
      <c r="O26" s="70">
        <v>1</v>
      </c>
      <c r="P26" s="71"/>
      <c r="Q26" s="71"/>
      <c r="R26" s="72"/>
      <c r="S26" s="55"/>
      <c r="T26" s="58">
        <f t="shared" si="0"/>
        <v>0</v>
      </c>
      <c r="U26" s="75">
        <f t="shared" si="4"/>
        <v>24</v>
      </c>
      <c r="V26" s="75">
        <f t="shared" si="5"/>
        <v>1</v>
      </c>
      <c r="W26" s="9"/>
      <c r="X26" s="9"/>
      <c r="Y26" s="9"/>
      <c r="Z26" s="9"/>
      <c r="AA26" s="9"/>
      <c r="AB26" s="9"/>
      <c r="AC26" s="9"/>
      <c r="AD26" s="9"/>
      <c r="AE26" s="9"/>
    </row>
    <row r="27" spans="1:54" s="13" customFormat="1" x14ac:dyDescent="0.25">
      <c r="A27" s="27">
        <f t="shared" si="1"/>
        <v>24</v>
      </c>
      <c r="B27" s="26" t="s">
        <v>69</v>
      </c>
      <c r="C27" s="70">
        <v>4</v>
      </c>
      <c r="D27" s="70"/>
      <c r="E27" s="70"/>
      <c r="F27" s="70"/>
      <c r="G27" s="70"/>
      <c r="H27" s="70"/>
      <c r="I27" s="70"/>
      <c r="J27" s="71"/>
      <c r="K27" s="72"/>
      <c r="L27" s="55"/>
      <c r="M27" s="73"/>
      <c r="N27" s="74"/>
      <c r="O27" s="70"/>
      <c r="P27" s="71"/>
      <c r="Q27" s="71"/>
      <c r="R27" s="72"/>
      <c r="S27" s="55"/>
      <c r="T27" s="58">
        <f t="shared" si="0"/>
        <v>0</v>
      </c>
      <c r="U27" s="75">
        <f t="shared" si="4"/>
        <v>96</v>
      </c>
      <c r="V27" s="75">
        <f t="shared" si="5"/>
        <v>4</v>
      </c>
      <c r="W27" s="9"/>
      <c r="X27" s="9"/>
      <c r="Y27" s="9"/>
      <c r="Z27" s="9"/>
      <c r="AA27" s="9"/>
      <c r="AB27" s="9"/>
      <c r="AC27" s="9"/>
      <c r="AD27" s="9"/>
      <c r="AE27" s="9"/>
    </row>
    <row r="28" spans="1:54" s="13" customFormat="1" x14ac:dyDescent="0.25">
      <c r="A28" s="27">
        <f t="shared" si="1"/>
        <v>25</v>
      </c>
      <c r="B28" s="26" t="s">
        <v>11</v>
      </c>
      <c r="C28" s="70">
        <v>12</v>
      </c>
      <c r="D28" s="70"/>
      <c r="E28" s="70"/>
      <c r="F28" s="70"/>
      <c r="G28" s="70"/>
      <c r="H28" s="70"/>
      <c r="I28" s="70"/>
      <c r="J28" s="71"/>
      <c r="K28" s="72"/>
      <c r="L28" s="55"/>
      <c r="M28" s="73">
        <v>2</v>
      </c>
      <c r="N28" s="74"/>
      <c r="O28" s="70">
        <v>2</v>
      </c>
      <c r="P28" s="71"/>
      <c r="Q28" s="71">
        <v>4</v>
      </c>
      <c r="R28" s="72"/>
      <c r="S28" s="55"/>
      <c r="T28" s="58">
        <f t="shared" si="0"/>
        <v>0</v>
      </c>
      <c r="U28" s="75">
        <f t="shared" si="4"/>
        <v>480</v>
      </c>
      <c r="V28" s="75">
        <f t="shared" si="5"/>
        <v>20</v>
      </c>
      <c r="W28" s="9"/>
      <c r="X28" s="9"/>
      <c r="Y28" s="9"/>
      <c r="Z28" s="9"/>
      <c r="AA28" s="9"/>
      <c r="AB28" s="9"/>
      <c r="AC28" s="9"/>
      <c r="AD28" s="9"/>
      <c r="AE28" s="9"/>
    </row>
    <row r="29" spans="1:54" x14ac:dyDescent="0.25">
      <c r="A29" s="27">
        <f t="shared" si="1"/>
        <v>26</v>
      </c>
      <c r="B29" s="26" t="s">
        <v>13</v>
      </c>
      <c r="C29" s="70">
        <v>29</v>
      </c>
      <c r="D29" s="70"/>
      <c r="E29" s="70"/>
      <c r="F29" s="70"/>
      <c r="G29" s="70"/>
      <c r="H29" s="70">
        <v>5</v>
      </c>
      <c r="I29" s="70"/>
      <c r="J29" s="71"/>
      <c r="K29" s="72"/>
      <c r="L29" s="55"/>
      <c r="M29" s="73"/>
      <c r="N29" s="74"/>
      <c r="O29" s="70"/>
      <c r="P29" s="71"/>
      <c r="Q29" s="71"/>
      <c r="R29" s="72"/>
      <c r="S29" s="55"/>
      <c r="T29" s="58">
        <f t="shared" si="0"/>
        <v>5</v>
      </c>
      <c r="U29" s="75">
        <f t="shared" si="4"/>
        <v>701</v>
      </c>
      <c r="V29" s="75">
        <f t="shared" si="5"/>
        <v>29.208333333333332</v>
      </c>
    </row>
    <row r="30" spans="1:54" x14ac:dyDescent="0.25">
      <c r="A30" s="27">
        <f t="shared" si="1"/>
        <v>27</v>
      </c>
      <c r="B30" s="26" t="s">
        <v>15</v>
      </c>
      <c r="C30" s="70">
        <v>14</v>
      </c>
      <c r="D30" s="70"/>
      <c r="E30" s="70"/>
      <c r="F30" s="70"/>
      <c r="G30" s="70"/>
      <c r="H30" s="70"/>
      <c r="I30" s="70"/>
      <c r="J30" s="71"/>
      <c r="K30" s="72"/>
      <c r="L30" s="55"/>
      <c r="M30" s="73"/>
      <c r="N30" s="74"/>
      <c r="O30" s="70"/>
      <c r="P30" s="71"/>
      <c r="Q30" s="71">
        <v>1</v>
      </c>
      <c r="R30" s="72"/>
      <c r="S30" s="55"/>
      <c r="T30" s="58">
        <f t="shared" si="0"/>
        <v>0</v>
      </c>
      <c r="U30" s="75">
        <f t="shared" si="4"/>
        <v>360</v>
      </c>
      <c r="V30" s="75">
        <f t="shared" si="5"/>
        <v>15</v>
      </c>
    </row>
    <row r="31" spans="1:54" x14ac:dyDescent="0.25">
      <c r="A31" s="27">
        <f t="shared" si="1"/>
        <v>28</v>
      </c>
      <c r="B31" s="26" t="s">
        <v>12</v>
      </c>
      <c r="C31" s="70">
        <v>2</v>
      </c>
      <c r="D31" s="70"/>
      <c r="E31" s="70"/>
      <c r="F31" s="70"/>
      <c r="G31" s="70"/>
      <c r="H31" s="70"/>
      <c r="I31" s="70"/>
      <c r="J31" s="71"/>
      <c r="K31" s="72"/>
      <c r="L31" s="55"/>
      <c r="M31" s="73"/>
      <c r="N31" s="74"/>
      <c r="O31" s="70">
        <v>1</v>
      </c>
      <c r="P31" s="71"/>
      <c r="Q31" s="71"/>
      <c r="R31" s="72"/>
      <c r="S31" s="55"/>
      <c r="T31" s="58">
        <f t="shared" si="0"/>
        <v>0</v>
      </c>
      <c r="U31" s="75">
        <f t="shared" si="4"/>
        <v>72</v>
      </c>
      <c r="V31" s="75">
        <f t="shared" si="5"/>
        <v>3</v>
      </c>
    </row>
    <row r="32" spans="1:54" x14ac:dyDescent="0.25">
      <c r="A32" s="27">
        <f t="shared" si="1"/>
        <v>29</v>
      </c>
      <c r="B32" s="26" t="s">
        <v>14</v>
      </c>
      <c r="C32" s="70"/>
      <c r="D32" s="70"/>
      <c r="E32" s="70"/>
      <c r="F32" s="70"/>
      <c r="G32" s="70"/>
      <c r="H32" s="70"/>
      <c r="I32" s="70"/>
      <c r="J32" s="71"/>
      <c r="K32" s="72"/>
      <c r="L32" s="55"/>
      <c r="M32" s="73"/>
      <c r="N32" s="74"/>
      <c r="O32" s="70"/>
      <c r="P32" s="71"/>
      <c r="Q32" s="71"/>
      <c r="R32" s="72"/>
      <c r="S32" s="55"/>
      <c r="T32" s="58">
        <f t="shared" si="0"/>
        <v>0</v>
      </c>
      <c r="U32" s="75">
        <f t="shared" si="4"/>
        <v>0</v>
      </c>
      <c r="V32" s="75">
        <f t="shared" si="5"/>
        <v>0</v>
      </c>
    </row>
    <row r="33" spans="1:23" x14ac:dyDescent="0.25">
      <c r="A33" s="27">
        <f t="shared" si="1"/>
        <v>30</v>
      </c>
      <c r="B33" s="26" t="s">
        <v>16</v>
      </c>
      <c r="C33" s="70">
        <v>2</v>
      </c>
      <c r="D33" s="70"/>
      <c r="E33" s="70"/>
      <c r="F33" s="70"/>
      <c r="G33" s="70"/>
      <c r="H33" s="70"/>
      <c r="I33" s="70"/>
      <c r="J33" s="71"/>
      <c r="K33" s="72"/>
      <c r="L33" s="55"/>
      <c r="M33" s="73"/>
      <c r="N33" s="74"/>
      <c r="O33" s="70"/>
      <c r="P33" s="71"/>
      <c r="Q33" s="71"/>
      <c r="R33" s="72"/>
      <c r="S33" s="55"/>
      <c r="T33" s="58">
        <f t="shared" si="0"/>
        <v>0</v>
      </c>
      <c r="U33" s="75">
        <f t="shared" si="4"/>
        <v>48</v>
      </c>
      <c r="V33" s="75">
        <f t="shared" si="5"/>
        <v>2</v>
      </c>
    </row>
    <row r="34" spans="1:23" x14ac:dyDescent="0.25">
      <c r="A34" s="27">
        <f t="shared" si="1"/>
        <v>31</v>
      </c>
      <c r="B34" s="26" t="s">
        <v>17</v>
      </c>
      <c r="C34" s="70">
        <f>144+62</f>
        <v>206</v>
      </c>
      <c r="D34" s="70"/>
      <c r="E34" s="70"/>
      <c r="F34" s="70"/>
      <c r="G34" s="70"/>
      <c r="H34" s="70"/>
      <c r="I34" s="70">
        <v>1</v>
      </c>
      <c r="J34" s="71"/>
      <c r="K34" s="72">
        <v>1</v>
      </c>
      <c r="L34" s="55"/>
      <c r="M34" s="73"/>
      <c r="N34" s="74"/>
      <c r="O34" s="70">
        <v>3</v>
      </c>
      <c r="P34" s="71"/>
      <c r="Q34" s="71"/>
      <c r="R34" s="72"/>
      <c r="S34" s="55"/>
      <c r="T34" s="58">
        <f t="shared" si="0"/>
        <v>2</v>
      </c>
      <c r="U34" s="75">
        <f t="shared" si="4"/>
        <v>5018</v>
      </c>
      <c r="V34" s="75">
        <f t="shared" si="5"/>
        <v>209.08333333333334</v>
      </c>
    </row>
    <row r="35" spans="1:23" hidden="1" x14ac:dyDescent="0.25">
      <c r="A35" s="27">
        <f t="shared" si="1"/>
        <v>32</v>
      </c>
      <c r="B35" s="26" t="s">
        <v>25</v>
      </c>
      <c r="C35" s="70"/>
      <c r="D35" s="70"/>
      <c r="E35" s="70"/>
      <c r="F35" s="70"/>
      <c r="G35" s="70"/>
      <c r="H35" s="70"/>
      <c r="I35" s="70"/>
      <c r="J35" s="71"/>
      <c r="K35" s="72"/>
      <c r="L35" s="55"/>
      <c r="M35" s="73"/>
      <c r="N35" s="74"/>
      <c r="O35" s="70"/>
      <c r="P35" s="71"/>
      <c r="Q35" s="71"/>
      <c r="R35" s="72"/>
      <c r="S35" s="55"/>
      <c r="T35" s="58">
        <f t="shared" si="0"/>
        <v>0</v>
      </c>
      <c r="U35" s="75">
        <f t="shared" si="4"/>
        <v>0</v>
      </c>
      <c r="V35" s="75">
        <f t="shared" si="5"/>
        <v>0</v>
      </c>
    </row>
    <row r="36" spans="1:23" x14ac:dyDescent="0.25">
      <c r="A36" s="27">
        <f t="shared" si="1"/>
        <v>33</v>
      </c>
      <c r="B36" s="26" t="s">
        <v>18</v>
      </c>
      <c r="C36" s="70"/>
      <c r="D36" s="70"/>
      <c r="E36" s="70"/>
      <c r="F36" s="70"/>
      <c r="G36" s="70"/>
      <c r="H36" s="70"/>
      <c r="I36" s="70"/>
      <c r="J36" s="71"/>
      <c r="K36" s="72"/>
      <c r="L36" s="55"/>
      <c r="M36" s="73"/>
      <c r="N36" s="74"/>
      <c r="O36" s="70"/>
      <c r="P36" s="71"/>
      <c r="Q36" s="71"/>
      <c r="R36" s="72"/>
      <c r="S36" s="55"/>
      <c r="T36" s="58">
        <f t="shared" si="0"/>
        <v>0</v>
      </c>
      <c r="U36" s="75">
        <f t="shared" si="4"/>
        <v>0</v>
      </c>
      <c r="V36" s="75">
        <f t="shared" si="5"/>
        <v>0</v>
      </c>
    </row>
    <row r="37" spans="1:23" ht="19.5" thickBot="1" x14ac:dyDescent="0.3">
      <c r="A37" s="27">
        <f t="shared" si="1"/>
        <v>34</v>
      </c>
      <c r="B37" s="42" t="s">
        <v>19</v>
      </c>
      <c r="C37" s="59">
        <f>15+972+3132+94</f>
        <v>4213</v>
      </c>
      <c r="D37" s="59"/>
      <c r="E37" s="59"/>
      <c r="F37" s="59"/>
      <c r="G37" s="59"/>
      <c r="H37" s="59">
        <v>2</v>
      </c>
      <c r="I37" s="59">
        <v>2</v>
      </c>
      <c r="J37" s="60">
        <v>1</v>
      </c>
      <c r="K37" s="61">
        <f>6+2</f>
        <v>8</v>
      </c>
      <c r="L37" s="62"/>
      <c r="M37" s="63"/>
      <c r="N37" s="64"/>
      <c r="O37" s="65">
        <v>20</v>
      </c>
      <c r="P37" s="66"/>
      <c r="Q37" s="66">
        <v>56</v>
      </c>
      <c r="R37" s="67"/>
      <c r="S37" s="62"/>
      <c r="T37" s="77">
        <f t="shared" si="0"/>
        <v>13</v>
      </c>
      <c r="U37" s="77">
        <f>C37*6+M37*6+O37*6+Q37*6+T37</f>
        <v>25747</v>
      </c>
      <c r="V37" s="77">
        <f>U37/6</f>
        <v>4291.166666666667</v>
      </c>
      <c r="W37" s="50"/>
    </row>
    <row r="38" spans="1:23" x14ac:dyDescent="0.25">
      <c r="A38" s="27">
        <f t="shared" si="1"/>
        <v>35</v>
      </c>
      <c r="B38" s="25" t="s">
        <v>20</v>
      </c>
      <c r="C38" s="70">
        <v>1</v>
      </c>
      <c r="D38" s="70"/>
      <c r="E38" s="70"/>
      <c r="F38" s="70"/>
      <c r="G38" s="70"/>
      <c r="H38" s="70"/>
      <c r="I38" s="70"/>
      <c r="J38" s="71"/>
      <c r="K38" s="72"/>
      <c r="L38" s="55"/>
      <c r="M38" s="73"/>
      <c r="N38" s="74"/>
      <c r="O38" s="70"/>
      <c r="P38" s="71"/>
      <c r="Q38" s="71"/>
      <c r="R38" s="72"/>
      <c r="S38" s="55"/>
      <c r="T38" s="75">
        <f t="shared" si="0"/>
        <v>0</v>
      </c>
      <c r="U38" s="75">
        <f>C38*24+M38*24+O38*24+Q38*24+T38</f>
        <v>24</v>
      </c>
      <c r="V38" s="75">
        <f>U38/24</f>
        <v>1</v>
      </c>
    </row>
    <row r="39" spans="1:23" x14ac:dyDescent="0.25">
      <c r="A39" s="27">
        <f t="shared" si="1"/>
        <v>36</v>
      </c>
      <c r="B39" s="51" t="s">
        <v>62</v>
      </c>
      <c r="C39" s="78"/>
      <c r="D39" s="78"/>
      <c r="E39" s="78"/>
      <c r="F39" s="78"/>
      <c r="G39" s="78"/>
      <c r="H39" s="78"/>
      <c r="I39" s="78"/>
      <c r="J39" s="79"/>
      <c r="K39" s="80"/>
      <c r="L39" s="55"/>
      <c r="M39" s="73"/>
      <c r="N39" s="74"/>
      <c r="O39" s="70"/>
      <c r="P39" s="71"/>
      <c r="Q39" s="71"/>
      <c r="R39" s="72"/>
      <c r="S39" s="95"/>
      <c r="T39" s="75">
        <f t="shared" si="0"/>
        <v>0</v>
      </c>
      <c r="U39" s="75">
        <f>C39*24+M39*24+O39*24+Q39*24+T39</f>
        <v>0</v>
      </c>
      <c r="V39" s="75">
        <f>U39/24</f>
        <v>0</v>
      </c>
    </row>
    <row r="40" spans="1:23" ht="19.5" thickBot="1" x14ac:dyDescent="0.3">
      <c r="A40" s="27">
        <f t="shared" si="1"/>
        <v>37</v>
      </c>
      <c r="B40" s="42" t="s">
        <v>21</v>
      </c>
      <c r="C40" s="59">
        <f>21+126+58</f>
        <v>205</v>
      </c>
      <c r="D40" s="59"/>
      <c r="E40" s="59"/>
      <c r="F40" s="59"/>
      <c r="G40" s="59"/>
      <c r="H40" s="59"/>
      <c r="I40" s="59"/>
      <c r="J40" s="60"/>
      <c r="K40" s="61">
        <v>20</v>
      </c>
      <c r="L40" s="62"/>
      <c r="M40" s="63">
        <v>2</v>
      </c>
      <c r="N40" s="64"/>
      <c r="O40" s="65">
        <v>1</v>
      </c>
      <c r="P40" s="66"/>
      <c r="Q40" s="66"/>
      <c r="R40" s="67"/>
      <c r="S40" s="62"/>
      <c r="T40" s="77">
        <f t="shared" si="0"/>
        <v>20</v>
      </c>
      <c r="U40" s="77">
        <f>C40*24+M40*24+O40*24+Q40*24+T40</f>
        <v>5012</v>
      </c>
      <c r="V40" s="77">
        <f>U40/24</f>
        <v>208.83333333333334</v>
      </c>
    </row>
    <row r="41" spans="1:23" ht="19.5" thickBot="1" x14ac:dyDescent="0.3">
      <c r="A41" s="27">
        <f t="shared" si="1"/>
        <v>38</v>
      </c>
      <c r="B41" s="43" t="s">
        <v>22</v>
      </c>
      <c r="C41" s="82">
        <v>87</v>
      </c>
      <c r="D41" s="82"/>
      <c r="E41" s="82"/>
      <c r="F41" s="82"/>
      <c r="G41" s="82"/>
      <c r="H41" s="82"/>
      <c r="I41" s="82"/>
      <c r="J41" s="83"/>
      <c r="K41" s="84"/>
      <c r="L41" s="85"/>
      <c r="M41" s="86">
        <v>1</v>
      </c>
      <c r="N41" s="87"/>
      <c r="O41" s="82">
        <v>12</v>
      </c>
      <c r="P41" s="83"/>
      <c r="Q41" s="83">
        <v>27</v>
      </c>
      <c r="R41" s="84"/>
      <c r="S41" s="85"/>
      <c r="T41" s="88">
        <f t="shared" si="0"/>
        <v>0</v>
      </c>
      <c r="U41" s="88">
        <f>C41*12+M41*12+O41*12+Q41*12+T41</f>
        <v>1524</v>
      </c>
      <c r="V41" s="88">
        <f>U41/12</f>
        <v>127</v>
      </c>
    </row>
    <row r="42" spans="1:23" hidden="1" x14ac:dyDescent="0.25">
      <c r="A42" s="27">
        <f t="shared" si="1"/>
        <v>39</v>
      </c>
      <c r="B42" s="25" t="s">
        <v>29</v>
      </c>
      <c r="C42" s="70"/>
      <c r="D42" s="70"/>
      <c r="E42" s="70"/>
      <c r="F42" s="70"/>
      <c r="G42" s="70"/>
      <c r="H42" s="70"/>
      <c r="I42" s="70"/>
      <c r="J42" s="71"/>
      <c r="K42" s="72"/>
      <c r="L42" s="55"/>
      <c r="M42" s="73"/>
      <c r="N42" s="74"/>
      <c r="O42" s="70"/>
      <c r="P42" s="71"/>
      <c r="Q42" s="71"/>
      <c r="R42" s="72"/>
      <c r="S42" s="55"/>
      <c r="T42" s="75"/>
      <c r="U42" s="75"/>
      <c r="V42" s="75"/>
    </row>
    <row r="43" spans="1:23" ht="19.5" thickBot="1" x14ac:dyDescent="0.3">
      <c r="A43" s="27">
        <f t="shared" si="1"/>
        <v>40</v>
      </c>
      <c r="B43" s="42" t="s">
        <v>23</v>
      </c>
      <c r="C43" s="65">
        <f>94+19764+10260+13824</f>
        <v>43942</v>
      </c>
      <c r="D43" s="65"/>
      <c r="E43" s="65"/>
      <c r="F43" s="65"/>
      <c r="G43" s="65"/>
      <c r="H43" s="65">
        <v>4</v>
      </c>
      <c r="I43" s="65">
        <v>12</v>
      </c>
      <c r="J43" s="66">
        <f>7*6+1</f>
        <v>43</v>
      </c>
      <c r="K43" s="67">
        <f>71*6+2</f>
        <v>428</v>
      </c>
      <c r="L43" s="62"/>
      <c r="M43" s="63">
        <v>86</v>
      </c>
      <c r="N43" s="64"/>
      <c r="O43" s="65">
        <v>467</v>
      </c>
      <c r="P43" s="66"/>
      <c r="Q43" s="66">
        <v>652</v>
      </c>
      <c r="R43" s="67"/>
      <c r="S43" s="62"/>
      <c r="T43" s="77">
        <f t="shared" ref="T43" si="6">H43+I43+J43+K43+N43+P43+R43</f>
        <v>487</v>
      </c>
      <c r="U43" s="77">
        <f>C43*6+M43*6+O43*6+Q43*6+T43</f>
        <v>271369</v>
      </c>
      <c r="V43" s="77">
        <f>U43/6</f>
        <v>45228.166666666664</v>
      </c>
    </row>
    <row r="44" spans="1:23" hidden="1" x14ac:dyDescent="0.25">
      <c r="A44" s="27">
        <f t="shared" si="1"/>
        <v>41</v>
      </c>
      <c r="B44" s="25" t="s">
        <v>31</v>
      </c>
      <c r="C44" s="70"/>
      <c r="D44" s="70"/>
      <c r="E44" s="70"/>
      <c r="F44" s="70"/>
      <c r="G44" s="70"/>
      <c r="H44" s="70"/>
      <c r="I44" s="70"/>
      <c r="J44" s="71"/>
      <c r="K44" s="72"/>
      <c r="L44" s="55"/>
      <c r="M44" s="73"/>
      <c r="N44" s="74"/>
      <c r="O44" s="70"/>
      <c r="P44" s="71"/>
      <c r="Q44" s="71"/>
      <c r="R44" s="72"/>
      <c r="S44" s="55"/>
      <c r="T44" s="75"/>
      <c r="U44" s="75"/>
      <c r="V44" s="75"/>
    </row>
    <row r="45" spans="1:23" x14ac:dyDescent="0.25">
      <c r="A45" s="27">
        <f t="shared" si="1"/>
        <v>42</v>
      </c>
      <c r="B45" s="26" t="s">
        <v>24</v>
      </c>
      <c r="C45" s="70"/>
      <c r="D45" s="70"/>
      <c r="E45" s="70"/>
      <c r="F45" s="70"/>
      <c r="G45" s="70"/>
      <c r="H45" s="70"/>
      <c r="I45" s="70"/>
      <c r="J45" s="71"/>
      <c r="K45" s="72"/>
      <c r="L45" s="55"/>
      <c r="M45" s="73"/>
      <c r="N45" s="74"/>
      <c r="O45" s="70"/>
      <c r="P45" s="71"/>
      <c r="Q45" s="71"/>
      <c r="R45" s="72"/>
      <c r="S45" s="55"/>
      <c r="T45" s="75">
        <f t="shared" ref="T45:T54" si="7">H45+I45+J45+K45+N45+P45+R45</f>
        <v>0</v>
      </c>
      <c r="U45" s="75">
        <f>C45*24+M45*24+O45*24+Q45*24+T45</f>
        <v>0</v>
      </c>
      <c r="V45" s="75">
        <f>U45/24</f>
        <v>0</v>
      </c>
    </row>
    <row r="46" spans="1:23" x14ac:dyDescent="0.25">
      <c r="A46" s="27">
        <f t="shared" si="1"/>
        <v>43</v>
      </c>
      <c r="B46" s="26" t="s">
        <v>57</v>
      </c>
      <c r="C46" s="70">
        <v>1</v>
      </c>
      <c r="D46" s="70"/>
      <c r="E46" s="70"/>
      <c r="F46" s="70"/>
      <c r="G46" s="70"/>
      <c r="H46" s="70"/>
      <c r="I46" s="70"/>
      <c r="J46" s="71"/>
      <c r="K46" s="72"/>
      <c r="L46" s="55"/>
      <c r="M46" s="73"/>
      <c r="N46" s="74"/>
      <c r="O46" s="70"/>
      <c r="P46" s="71"/>
      <c r="Q46" s="71"/>
      <c r="R46" s="72"/>
      <c r="S46" s="55"/>
      <c r="T46" s="75">
        <f t="shared" si="7"/>
        <v>0</v>
      </c>
      <c r="U46" s="75">
        <f t="shared" ref="U46:U50" si="8">C46*24+M46*24+O46*24+Q46*24+T46</f>
        <v>24</v>
      </c>
      <c r="V46" s="75">
        <f t="shared" ref="V46:V54" si="9">U46/24</f>
        <v>1</v>
      </c>
    </row>
    <row r="47" spans="1:23" ht="19.5" thickBot="1" x14ac:dyDescent="0.3">
      <c r="A47" s="27">
        <f t="shared" si="1"/>
        <v>44</v>
      </c>
      <c r="B47" s="42" t="s">
        <v>25</v>
      </c>
      <c r="C47" s="65">
        <f>101+648+324+88+540+103+324+432+106</f>
        <v>2666</v>
      </c>
      <c r="D47" s="65"/>
      <c r="E47" s="65"/>
      <c r="F47" s="65"/>
      <c r="G47" s="65"/>
      <c r="H47" s="65">
        <v>1</v>
      </c>
      <c r="I47" s="65"/>
      <c r="J47" s="66"/>
      <c r="K47" s="67">
        <v>5</v>
      </c>
      <c r="L47" s="62"/>
      <c r="M47" s="63">
        <v>9</v>
      </c>
      <c r="N47" s="64"/>
      <c r="O47" s="65">
        <v>16</v>
      </c>
      <c r="P47" s="66"/>
      <c r="Q47" s="66">
        <v>10</v>
      </c>
      <c r="R47" s="67">
        <v>3</v>
      </c>
      <c r="S47" s="62"/>
      <c r="T47" s="77">
        <f t="shared" si="7"/>
        <v>9</v>
      </c>
      <c r="U47" s="77">
        <f>C47*6+M47*6+O47*6+Q47*6+T47</f>
        <v>16215</v>
      </c>
      <c r="V47" s="77">
        <f>U47/6</f>
        <v>2702.5</v>
      </c>
    </row>
    <row r="48" spans="1:23" x14ac:dyDescent="0.25">
      <c r="A48" s="27">
        <f t="shared" si="1"/>
        <v>45</v>
      </c>
      <c r="B48" s="25" t="s">
        <v>58</v>
      </c>
      <c r="C48" s="70"/>
      <c r="D48" s="70"/>
      <c r="E48" s="70"/>
      <c r="F48" s="70"/>
      <c r="G48" s="70"/>
      <c r="H48" s="70">
        <v>24</v>
      </c>
      <c r="I48" s="70"/>
      <c r="J48" s="71"/>
      <c r="K48" s="72"/>
      <c r="L48" s="55"/>
      <c r="M48" s="73"/>
      <c r="N48" s="74"/>
      <c r="O48" s="70"/>
      <c r="P48" s="71"/>
      <c r="Q48" s="71"/>
      <c r="R48" s="72"/>
      <c r="S48" s="55"/>
      <c r="T48" s="75">
        <f t="shared" si="7"/>
        <v>24</v>
      </c>
      <c r="U48" s="75">
        <f t="shared" si="8"/>
        <v>24</v>
      </c>
      <c r="V48" s="75">
        <f t="shared" si="9"/>
        <v>1</v>
      </c>
    </row>
    <row r="49" spans="1:22" x14ac:dyDescent="0.25">
      <c r="A49" s="27">
        <f t="shared" si="1"/>
        <v>46</v>
      </c>
      <c r="B49" s="26" t="s">
        <v>26</v>
      </c>
      <c r="C49" s="70">
        <v>10</v>
      </c>
      <c r="D49" s="70"/>
      <c r="E49" s="70"/>
      <c r="F49" s="70"/>
      <c r="G49" s="70"/>
      <c r="H49" s="70"/>
      <c r="I49" s="70"/>
      <c r="J49" s="71"/>
      <c r="K49" s="72"/>
      <c r="L49" s="55"/>
      <c r="M49" s="73"/>
      <c r="N49" s="74"/>
      <c r="O49" s="70"/>
      <c r="P49" s="71"/>
      <c r="Q49" s="71"/>
      <c r="R49" s="72"/>
      <c r="S49" s="55"/>
      <c r="T49" s="75">
        <f t="shared" si="7"/>
        <v>0</v>
      </c>
      <c r="U49" s="75">
        <f t="shared" si="8"/>
        <v>240</v>
      </c>
      <c r="V49" s="75">
        <f t="shared" si="9"/>
        <v>10</v>
      </c>
    </row>
    <row r="50" spans="1:22" x14ac:dyDescent="0.25">
      <c r="A50" s="27">
        <f t="shared" si="1"/>
        <v>47</v>
      </c>
      <c r="B50" s="26" t="s">
        <v>59</v>
      </c>
      <c r="C50" s="70"/>
      <c r="D50" s="70"/>
      <c r="E50" s="70"/>
      <c r="F50" s="70"/>
      <c r="G50" s="70"/>
      <c r="H50" s="70"/>
      <c r="I50" s="70"/>
      <c r="J50" s="71"/>
      <c r="K50" s="72"/>
      <c r="L50" s="55"/>
      <c r="M50" s="73"/>
      <c r="N50" s="74"/>
      <c r="O50" s="70"/>
      <c r="P50" s="71"/>
      <c r="Q50" s="71"/>
      <c r="R50" s="72"/>
      <c r="S50" s="55"/>
      <c r="T50" s="75">
        <f t="shared" si="7"/>
        <v>0</v>
      </c>
      <c r="U50" s="75">
        <f t="shared" si="8"/>
        <v>0</v>
      </c>
      <c r="V50" s="75">
        <f t="shared" si="9"/>
        <v>0</v>
      </c>
    </row>
    <row r="51" spans="1:22" ht="19.5" thickBot="1" x14ac:dyDescent="0.3">
      <c r="A51" s="27">
        <f t="shared" si="1"/>
        <v>48</v>
      </c>
      <c r="B51" s="42" t="s">
        <v>27</v>
      </c>
      <c r="C51" s="65">
        <v>34</v>
      </c>
      <c r="D51" s="65"/>
      <c r="E51" s="65"/>
      <c r="F51" s="65"/>
      <c r="G51" s="65"/>
      <c r="H51" s="65"/>
      <c r="I51" s="65"/>
      <c r="J51" s="66"/>
      <c r="K51" s="67"/>
      <c r="L51" s="62"/>
      <c r="M51" s="63"/>
      <c r="N51" s="64"/>
      <c r="O51" s="65"/>
      <c r="P51" s="66"/>
      <c r="Q51" s="66"/>
      <c r="R51" s="67"/>
      <c r="S51" s="62"/>
      <c r="T51" s="77">
        <f t="shared" si="7"/>
        <v>0</v>
      </c>
      <c r="U51" s="77">
        <f>C51*6+M51*6+O51*6+Q51*6+T51</f>
        <v>204</v>
      </c>
      <c r="V51" s="77">
        <f>U51/6</f>
        <v>34</v>
      </c>
    </row>
    <row r="52" spans="1:22" x14ac:dyDescent="0.25">
      <c r="A52" s="27">
        <f t="shared" si="1"/>
        <v>49</v>
      </c>
      <c r="B52" s="25" t="s">
        <v>28</v>
      </c>
      <c r="C52" s="70"/>
      <c r="D52" s="70"/>
      <c r="E52" s="70"/>
      <c r="F52" s="70"/>
      <c r="G52" s="70"/>
      <c r="H52" s="70"/>
      <c r="I52" s="70"/>
      <c r="J52" s="71"/>
      <c r="K52" s="72"/>
      <c r="L52" s="55"/>
      <c r="M52" s="73"/>
      <c r="N52" s="74"/>
      <c r="O52" s="70"/>
      <c r="P52" s="71"/>
      <c r="Q52" s="71"/>
      <c r="R52" s="72"/>
      <c r="S52" s="55"/>
      <c r="T52" s="75">
        <f t="shared" si="7"/>
        <v>0</v>
      </c>
      <c r="U52" s="75">
        <f t="shared" ref="U52:U54" si="10">C52*24+M52*24+O52*24+Q52*24+T52</f>
        <v>0</v>
      </c>
      <c r="V52" s="75">
        <f t="shared" si="9"/>
        <v>0</v>
      </c>
    </row>
    <row r="53" spans="1:22" x14ac:dyDescent="0.25">
      <c r="A53" s="27">
        <f t="shared" si="1"/>
        <v>50</v>
      </c>
      <c r="B53" s="26" t="s">
        <v>63</v>
      </c>
      <c r="C53" s="70">
        <v>6</v>
      </c>
      <c r="D53" s="70"/>
      <c r="E53" s="70"/>
      <c r="F53" s="70"/>
      <c r="G53" s="70"/>
      <c r="H53" s="70"/>
      <c r="I53" s="70"/>
      <c r="J53" s="71"/>
      <c r="K53" s="72"/>
      <c r="L53" s="55"/>
      <c r="M53" s="73"/>
      <c r="N53" s="74"/>
      <c r="O53" s="70"/>
      <c r="P53" s="71"/>
      <c r="Q53" s="71">
        <v>1</v>
      </c>
      <c r="R53" s="72"/>
      <c r="S53" s="55"/>
      <c r="T53" s="75">
        <f t="shared" si="7"/>
        <v>0</v>
      </c>
      <c r="U53" s="75">
        <f t="shared" si="10"/>
        <v>168</v>
      </c>
      <c r="V53" s="75">
        <f t="shared" si="9"/>
        <v>7</v>
      </c>
    </row>
    <row r="54" spans="1:22" x14ac:dyDescent="0.25">
      <c r="A54" s="27">
        <f t="shared" si="1"/>
        <v>51</v>
      </c>
      <c r="B54" s="26"/>
      <c r="C54" s="70"/>
      <c r="D54" s="70"/>
      <c r="E54" s="70"/>
      <c r="F54" s="70"/>
      <c r="G54" s="70"/>
      <c r="H54" s="70"/>
      <c r="I54" s="70"/>
      <c r="J54" s="71"/>
      <c r="K54" s="72"/>
      <c r="L54" s="55"/>
      <c r="M54" s="73"/>
      <c r="N54" s="74"/>
      <c r="O54" s="70"/>
      <c r="P54" s="71"/>
      <c r="Q54" s="71"/>
      <c r="R54" s="72"/>
      <c r="S54" s="55"/>
      <c r="T54" s="75">
        <f t="shared" si="7"/>
        <v>0</v>
      </c>
      <c r="U54" s="75">
        <f t="shared" si="10"/>
        <v>0</v>
      </c>
      <c r="V54" s="75">
        <f t="shared" si="9"/>
        <v>0</v>
      </c>
    </row>
    <row r="55" spans="1:22" x14ac:dyDescent="0.25">
      <c r="A55" s="27">
        <f t="shared" si="1"/>
        <v>52</v>
      </c>
      <c r="B55" s="26"/>
      <c r="C55" s="70"/>
      <c r="D55" s="70"/>
      <c r="E55" s="70"/>
      <c r="F55" s="70"/>
      <c r="G55" s="70"/>
      <c r="H55" s="70"/>
      <c r="I55" s="70"/>
      <c r="J55" s="71"/>
      <c r="K55" s="72"/>
      <c r="L55" s="55"/>
      <c r="M55" s="73"/>
      <c r="N55" s="74"/>
      <c r="O55" s="70"/>
      <c r="P55" s="71"/>
      <c r="Q55" s="71"/>
      <c r="R55" s="72"/>
      <c r="S55" s="55"/>
      <c r="T55" s="75"/>
      <c r="U55" s="75"/>
      <c r="V55" s="75"/>
    </row>
    <row r="56" spans="1:22" x14ac:dyDescent="0.25">
      <c r="A56" s="27">
        <f t="shared" si="1"/>
        <v>53</v>
      </c>
      <c r="B56" s="26"/>
      <c r="C56" s="70"/>
      <c r="D56" s="70"/>
      <c r="E56" s="70"/>
      <c r="F56" s="70"/>
      <c r="G56" s="70"/>
      <c r="H56" s="70"/>
      <c r="I56" s="70"/>
      <c r="J56" s="71"/>
      <c r="K56" s="72"/>
      <c r="L56" s="55"/>
      <c r="M56" s="73"/>
      <c r="N56" s="74"/>
      <c r="O56" s="70"/>
      <c r="P56" s="71"/>
      <c r="Q56" s="71"/>
      <c r="R56" s="72"/>
      <c r="S56" s="55"/>
      <c r="T56" s="75"/>
      <c r="U56" s="75"/>
      <c r="V56" s="75"/>
    </row>
    <row r="57" spans="1:22" x14ac:dyDescent="0.25">
      <c r="A57" s="27">
        <f t="shared" si="1"/>
        <v>54</v>
      </c>
      <c r="B57" s="26"/>
      <c r="C57" s="70"/>
      <c r="D57" s="70"/>
      <c r="E57" s="70"/>
      <c r="F57" s="70"/>
      <c r="G57" s="70"/>
      <c r="H57" s="70"/>
      <c r="I57" s="70"/>
      <c r="J57" s="71"/>
      <c r="K57" s="72"/>
      <c r="L57" s="55"/>
      <c r="M57" s="73"/>
      <c r="N57" s="74"/>
      <c r="O57" s="70"/>
      <c r="P57" s="71"/>
      <c r="Q57" s="71"/>
      <c r="R57" s="72"/>
      <c r="S57" s="55"/>
      <c r="T57" s="75"/>
      <c r="U57" s="75"/>
      <c r="V57" s="75"/>
    </row>
    <row r="58" spans="1:22" s="15" customFormat="1" ht="19.5" thickBot="1" x14ac:dyDescent="0.3">
      <c r="B58" s="29" t="s">
        <v>50</v>
      </c>
      <c r="C58" s="2">
        <f>SUM(C7:C57)</f>
        <v>55307</v>
      </c>
      <c r="D58" s="2"/>
      <c r="E58" s="2"/>
      <c r="F58" s="2">
        <f t="shared" ref="F58:K58" si="11">SUM(F7:F57)</f>
        <v>0</v>
      </c>
      <c r="G58" s="2">
        <f t="shared" si="11"/>
        <v>0</v>
      </c>
      <c r="H58" s="2">
        <f t="shared" si="11"/>
        <v>1195</v>
      </c>
      <c r="I58" s="6">
        <f t="shared" si="11"/>
        <v>38</v>
      </c>
      <c r="J58" s="6">
        <f t="shared" si="11"/>
        <v>45</v>
      </c>
      <c r="K58" s="6">
        <f t="shared" si="11"/>
        <v>470</v>
      </c>
      <c r="M58" s="5">
        <f t="shared" ref="M58:R58" si="12">SUM(M7:M57)</f>
        <v>110</v>
      </c>
      <c r="N58" s="5">
        <f t="shared" si="12"/>
        <v>0</v>
      </c>
      <c r="O58" s="5">
        <f t="shared" si="12"/>
        <v>538</v>
      </c>
      <c r="P58" s="5">
        <f t="shared" si="12"/>
        <v>12</v>
      </c>
      <c r="Q58" s="5">
        <f t="shared" si="12"/>
        <v>776</v>
      </c>
      <c r="R58" s="5">
        <f t="shared" si="12"/>
        <v>8</v>
      </c>
      <c r="S58" s="55"/>
      <c r="T58" s="4">
        <f>SUM(T7:T57)</f>
        <v>1768</v>
      </c>
      <c r="U58" s="90">
        <f>SUM(U7:U57)</f>
        <v>422710</v>
      </c>
      <c r="V58" s="4">
        <f>SUM(V7:V57)</f>
        <v>56868.291666666664</v>
      </c>
    </row>
    <row r="59" spans="1:22" ht="7.5" customHeight="1" thickBot="1" x14ac:dyDescent="0.3"/>
    <row r="60" spans="1:22" ht="19.5" thickBot="1" x14ac:dyDescent="0.3">
      <c r="B60" s="30" t="s">
        <v>37</v>
      </c>
      <c r="C60" s="113" t="s">
        <v>41</v>
      </c>
      <c r="D60" s="114"/>
      <c r="E60" s="114"/>
      <c r="F60" s="114"/>
      <c r="G60" s="114"/>
      <c r="H60" s="114"/>
      <c r="I60" s="114"/>
      <c r="J60" s="114"/>
      <c r="K60" s="115"/>
      <c r="U60" s="24" t="s">
        <v>51</v>
      </c>
    </row>
    <row r="61" spans="1:22" x14ac:dyDescent="0.25">
      <c r="B61" s="31" t="s">
        <v>17</v>
      </c>
      <c r="C61" s="19"/>
      <c r="D61" s="19"/>
      <c r="E61" s="19"/>
      <c r="F61" s="19"/>
      <c r="G61" s="19"/>
      <c r="H61" s="19"/>
      <c r="I61" s="19"/>
      <c r="J61" s="45"/>
      <c r="K61" s="20"/>
      <c r="U61" s="7"/>
    </row>
    <row r="62" spans="1:22" x14ac:dyDescent="0.25">
      <c r="B62" s="32" t="s">
        <v>45</v>
      </c>
      <c r="C62" s="1"/>
      <c r="D62" s="1"/>
      <c r="E62" s="1"/>
      <c r="F62" s="1"/>
      <c r="G62" s="1"/>
      <c r="H62" s="1"/>
      <c r="I62" s="1"/>
      <c r="J62" s="44"/>
      <c r="K62" s="21"/>
      <c r="U62" s="3"/>
    </row>
    <row r="63" spans="1:22" ht="19.5" thickBot="1" x14ac:dyDescent="0.3">
      <c r="B63" s="33" t="s">
        <v>44</v>
      </c>
      <c r="C63" s="22"/>
      <c r="D63" s="22"/>
      <c r="E63" s="22"/>
      <c r="F63" s="22"/>
      <c r="G63" s="22"/>
      <c r="H63" s="22"/>
      <c r="I63" s="22"/>
      <c r="J63" s="46"/>
      <c r="K63" s="23"/>
      <c r="U63" s="8"/>
    </row>
    <row r="64" spans="1:22" ht="7.5" customHeight="1" thickBot="1" x14ac:dyDescent="0.3"/>
    <row r="65" spans="2:21" x14ac:dyDescent="0.25">
      <c r="B65" s="31" t="s">
        <v>46</v>
      </c>
      <c r="C65" s="19"/>
      <c r="D65" s="19"/>
      <c r="E65" s="19"/>
      <c r="F65" s="19"/>
      <c r="G65" s="19"/>
      <c r="H65" s="19"/>
      <c r="I65" s="19"/>
      <c r="J65" s="45"/>
      <c r="K65" s="20"/>
      <c r="U65" s="7"/>
    </row>
    <row r="66" spans="2:21" x14ac:dyDescent="0.25">
      <c r="B66" s="32" t="s">
        <v>45</v>
      </c>
      <c r="C66" s="1"/>
      <c r="D66" s="1"/>
      <c r="E66" s="1"/>
      <c r="F66" s="1"/>
      <c r="G66" s="1"/>
      <c r="H66" s="1"/>
      <c r="I66" s="1"/>
      <c r="J66" s="44"/>
      <c r="K66" s="21"/>
      <c r="U66" s="3"/>
    </row>
    <row r="67" spans="2:21" ht="19.5" thickBot="1" x14ac:dyDescent="0.3">
      <c r="B67" s="33" t="s">
        <v>44</v>
      </c>
      <c r="C67" s="22"/>
      <c r="D67" s="22"/>
      <c r="E67" s="22"/>
      <c r="F67" s="22"/>
      <c r="G67" s="22"/>
      <c r="H67" s="22"/>
      <c r="I67" s="22"/>
      <c r="J67" s="46"/>
      <c r="K67" s="23"/>
      <c r="U67" s="8"/>
    </row>
    <row r="68" spans="2:21" ht="7.5" customHeight="1" thickBot="1" x14ac:dyDescent="0.3"/>
    <row r="69" spans="2:21" x14ac:dyDescent="0.25">
      <c r="B69" s="31" t="s">
        <v>38</v>
      </c>
      <c r="C69" s="19"/>
      <c r="D69" s="19"/>
      <c r="E69" s="19"/>
      <c r="F69" s="19"/>
      <c r="G69" s="19"/>
      <c r="H69" s="19"/>
      <c r="I69" s="19"/>
      <c r="J69" s="45"/>
      <c r="K69" s="20"/>
      <c r="U69" s="7"/>
    </row>
    <row r="70" spans="2:21" x14ac:dyDescent="0.25">
      <c r="B70" s="32" t="s">
        <v>45</v>
      </c>
      <c r="C70" s="1"/>
      <c r="D70" s="1"/>
      <c r="E70" s="1"/>
      <c r="F70" s="1"/>
      <c r="G70" s="1"/>
      <c r="H70" s="1"/>
      <c r="I70" s="1"/>
      <c r="J70" s="44"/>
      <c r="K70" s="21"/>
      <c r="U70" s="3"/>
    </row>
    <row r="71" spans="2:21" ht="19.5" thickBot="1" x14ac:dyDescent="0.3">
      <c r="B71" s="33" t="s">
        <v>44</v>
      </c>
      <c r="C71" s="22"/>
      <c r="D71" s="22"/>
      <c r="E71" s="22"/>
      <c r="F71" s="22"/>
      <c r="G71" s="22"/>
      <c r="H71" s="22"/>
      <c r="I71" s="22"/>
      <c r="J71" s="46"/>
      <c r="K71" s="23"/>
      <c r="U71" s="8"/>
    </row>
    <row r="72" spans="2:21" ht="7.5" customHeight="1" thickBot="1" x14ac:dyDescent="0.3"/>
    <row r="73" spans="2:21" x14ac:dyDescent="0.25">
      <c r="B73" s="31" t="s">
        <v>47</v>
      </c>
      <c r="C73" s="19"/>
      <c r="D73" s="19"/>
      <c r="E73" s="19"/>
      <c r="F73" s="19"/>
      <c r="G73" s="19"/>
      <c r="H73" s="19"/>
      <c r="I73" s="19"/>
      <c r="J73" s="45"/>
      <c r="K73" s="20"/>
      <c r="U73" s="7"/>
    </row>
    <row r="74" spans="2:21" x14ac:dyDescent="0.25">
      <c r="B74" s="32" t="s">
        <v>45</v>
      </c>
      <c r="C74" s="1"/>
      <c r="D74" s="1"/>
      <c r="E74" s="1"/>
      <c r="F74" s="1"/>
      <c r="G74" s="1"/>
      <c r="H74" s="1"/>
      <c r="I74" s="1"/>
      <c r="J74" s="44"/>
      <c r="K74" s="21"/>
      <c r="U74" s="3"/>
    </row>
    <row r="75" spans="2:21" ht="19.5" thickBot="1" x14ac:dyDescent="0.3">
      <c r="B75" s="33" t="s">
        <v>44</v>
      </c>
      <c r="C75" s="22"/>
      <c r="D75" s="22"/>
      <c r="E75" s="22"/>
      <c r="F75" s="22"/>
      <c r="G75" s="22"/>
      <c r="H75" s="22"/>
      <c r="I75" s="22"/>
      <c r="J75" s="46"/>
      <c r="K75" s="23"/>
      <c r="U75" s="8"/>
    </row>
    <row r="76" spans="2:21" ht="7.5" customHeight="1" thickBot="1" x14ac:dyDescent="0.3"/>
    <row r="77" spans="2:21" x14ac:dyDescent="0.25">
      <c r="B77" s="31" t="s">
        <v>48</v>
      </c>
      <c r="C77" s="19"/>
      <c r="D77" s="19"/>
      <c r="E77" s="19"/>
      <c r="F77" s="19"/>
      <c r="G77" s="19"/>
      <c r="H77" s="19"/>
      <c r="I77" s="19"/>
      <c r="J77" s="45"/>
      <c r="K77" s="20"/>
      <c r="U77" s="7"/>
    </row>
    <row r="78" spans="2:21" x14ac:dyDescent="0.25">
      <c r="B78" s="32" t="s">
        <v>45</v>
      </c>
      <c r="C78" s="1"/>
      <c r="D78" s="1"/>
      <c r="E78" s="1"/>
      <c r="F78" s="1"/>
      <c r="G78" s="1"/>
      <c r="H78" s="1"/>
      <c r="I78" s="1"/>
      <c r="J78" s="44"/>
      <c r="K78" s="21"/>
      <c r="U78" s="3"/>
    </row>
    <row r="79" spans="2:21" ht="19.5" thickBot="1" x14ac:dyDescent="0.3">
      <c r="B79" s="33" t="s">
        <v>44</v>
      </c>
      <c r="C79" s="22"/>
      <c r="D79" s="22"/>
      <c r="E79" s="22"/>
      <c r="F79" s="22"/>
      <c r="G79" s="22"/>
      <c r="H79" s="22"/>
      <c r="I79" s="22"/>
      <c r="J79" s="46"/>
      <c r="K79" s="23"/>
      <c r="U79" s="8"/>
    </row>
    <row r="80" spans="2:21" ht="7.5" customHeight="1" thickBot="1" x14ac:dyDescent="0.3"/>
    <row r="81" spans="2:21" ht="19.5" thickBot="1" x14ac:dyDescent="0.3">
      <c r="B81" s="30" t="s">
        <v>49</v>
      </c>
      <c r="C81" s="17"/>
      <c r="D81" s="17"/>
      <c r="E81" s="17"/>
      <c r="F81" s="17"/>
      <c r="G81" s="17"/>
      <c r="H81" s="17"/>
      <c r="I81" s="17"/>
      <c r="J81" s="47"/>
      <c r="K81" s="18"/>
      <c r="U81" s="16"/>
    </row>
  </sheetData>
  <mergeCells count="7">
    <mergeCell ref="V4:V5"/>
    <mergeCell ref="J5:K5"/>
    <mergeCell ref="C60:K60"/>
    <mergeCell ref="I1:U1"/>
    <mergeCell ref="C4:K4"/>
    <mergeCell ref="T4:T5"/>
    <mergeCell ref="U4:U5"/>
  </mergeCells>
  <printOptions horizontalCentered="1" verticalCentered="1"/>
  <pageMargins left="0.19685039370078741" right="0.19685039370078741" top="0.19685039370078741" bottom="0.19685039370078741" header="0.19685039370078741" footer="0.19685039370078741"/>
  <pageSetup paperSize="14" scale="70" orientation="portrait" horizontalDpi="360" verticalDpi="360" r:id="rId1"/>
  <colBreaks count="1" manualBreakCount="1">
    <brk id="24" max="80" man="1"/>
  </colBreaks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2F32D9E2-DA28-415F-A8A3-160088EA95B5}">
  <sheetPr>
    <pageSetUpPr fitToPage="1"/>
  </sheetPr>
  <dimension ref="A1:BB81"/>
  <sheetViews>
    <sheetView zoomScale="115" zoomScaleNormal="115" zoomScaleSheetLayoutView="115" workbookViewId="0">
      <selection activeCell="B2" sqref="B2"/>
    </sheetView>
  </sheetViews>
  <sheetFormatPr defaultColWidth="9.140625" defaultRowHeight="18.75" x14ac:dyDescent="0.25"/>
  <cols>
    <col min="1" max="1" width="4.140625" style="9" bestFit="1" customWidth="1"/>
    <col min="2" max="2" width="12.28515625" style="28" customWidth="1"/>
    <col min="3" max="6" width="10" style="9" customWidth="1"/>
    <col min="7" max="7" width="6.85546875" style="9" customWidth="1"/>
    <col min="8" max="8" width="7.5703125" style="9" bestFit="1" customWidth="1"/>
    <col min="9" max="9" width="6.7109375" style="9" bestFit="1" customWidth="1"/>
    <col min="10" max="10" width="6.85546875" style="9" customWidth="1"/>
    <col min="11" max="11" width="7.5703125" style="9" bestFit="1" customWidth="1"/>
    <col min="12" max="12" width="1.42578125" style="9" customWidth="1"/>
    <col min="13" max="13" width="10" style="9" customWidth="1"/>
    <col min="14" max="14" width="6.7109375" style="9" bestFit="1" customWidth="1"/>
    <col min="15" max="15" width="10" style="9" customWidth="1"/>
    <col min="16" max="16" width="5.5703125" style="9" customWidth="1"/>
    <col min="17" max="17" width="10" style="9" customWidth="1"/>
    <col min="18" max="18" width="6.7109375" style="9" bestFit="1" customWidth="1"/>
    <col min="19" max="19" width="1.42578125" style="9" customWidth="1"/>
    <col min="20" max="20" width="12.7109375" style="9" bestFit="1" customWidth="1"/>
    <col min="21" max="21" width="14.28515625" style="9" customWidth="1"/>
    <col min="22" max="22" width="19.5703125" style="9" bestFit="1" customWidth="1"/>
    <col min="23" max="49" width="7.28515625" style="9" customWidth="1"/>
    <col min="50" max="50" width="1.5703125" style="9" customWidth="1"/>
    <col min="51" max="51" width="9.42578125" style="9" customWidth="1"/>
    <col min="52" max="52" width="1.28515625" style="9" customWidth="1"/>
    <col min="53" max="53" width="12.7109375" style="9" bestFit="1" customWidth="1"/>
    <col min="54" max="54" width="10.28515625" style="9" bestFit="1" customWidth="1"/>
    <col min="55" max="16384" width="9.140625" style="9"/>
  </cols>
  <sheetData>
    <row r="1" spans="1:54" ht="15" customHeight="1" x14ac:dyDescent="0.25">
      <c r="B1" s="27" t="s">
        <v>42</v>
      </c>
      <c r="I1" s="116" t="s">
        <v>43</v>
      </c>
      <c r="J1" s="116"/>
      <c r="K1" s="116"/>
      <c r="L1" s="116"/>
      <c r="M1" s="116"/>
      <c r="N1" s="116"/>
      <c r="O1" s="116"/>
      <c r="P1" s="116"/>
      <c r="Q1" s="116"/>
      <c r="R1" s="116"/>
      <c r="S1" s="116"/>
      <c r="T1" s="116"/>
      <c r="U1" s="116"/>
    </row>
    <row r="2" spans="1:54" x14ac:dyDescent="0.25">
      <c r="B2" s="28" t="s">
        <v>73</v>
      </c>
    </row>
    <row r="3" spans="1:54" ht="19.5" thickBot="1" x14ac:dyDescent="0.3"/>
    <row r="4" spans="1:54" s="10" customFormat="1" ht="15.75" x14ac:dyDescent="0.25">
      <c r="B4" s="41" t="s">
        <v>52</v>
      </c>
      <c r="C4" s="117" t="s">
        <v>41</v>
      </c>
      <c r="D4" s="117"/>
      <c r="E4" s="117"/>
      <c r="F4" s="117"/>
      <c r="G4" s="117"/>
      <c r="H4" s="117"/>
      <c r="I4" s="117"/>
      <c r="J4" s="118"/>
      <c r="K4" s="119"/>
      <c r="M4" s="34" t="s">
        <v>0</v>
      </c>
      <c r="N4" s="48" t="s">
        <v>61</v>
      </c>
      <c r="O4" s="35" t="s">
        <v>39</v>
      </c>
      <c r="P4" s="48" t="s">
        <v>61</v>
      </c>
      <c r="Q4" s="36" t="s">
        <v>40</v>
      </c>
      <c r="R4" s="48" t="s">
        <v>61</v>
      </c>
      <c r="S4" s="9"/>
      <c r="T4" s="120" t="s">
        <v>68</v>
      </c>
      <c r="U4" s="126" t="s">
        <v>67</v>
      </c>
      <c r="V4" s="109" t="s">
        <v>66</v>
      </c>
      <c r="AF4" s="11"/>
      <c r="AG4" s="11"/>
      <c r="AH4" s="11"/>
      <c r="AI4" s="11"/>
      <c r="AJ4" s="11"/>
      <c r="AK4" s="11"/>
      <c r="AL4" s="11"/>
      <c r="AM4" s="11"/>
      <c r="AN4" s="11"/>
      <c r="AO4" s="11"/>
      <c r="AP4" s="11"/>
      <c r="AQ4" s="11"/>
      <c r="AR4" s="11"/>
      <c r="AS4" s="11"/>
      <c r="AT4" s="11"/>
      <c r="AU4" s="11"/>
      <c r="AV4" s="11"/>
      <c r="AW4" s="11"/>
      <c r="AX4" s="11"/>
      <c r="AY4" s="11"/>
      <c r="AZ4" s="11"/>
      <c r="BA4" s="11"/>
      <c r="BB4" s="11"/>
    </row>
    <row r="5" spans="1:54" s="10" customFormat="1" ht="15.75" x14ac:dyDescent="0.25">
      <c r="B5" s="37"/>
      <c r="C5" s="40"/>
      <c r="D5" s="40"/>
      <c r="E5" s="40"/>
      <c r="F5" s="40"/>
      <c r="G5" s="40"/>
      <c r="H5" s="40" t="s">
        <v>64</v>
      </c>
      <c r="I5" s="40" t="s">
        <v>60</v>
      </c>
      <c r="J5" s="124" t="s">
        <v>65</v>
      </c>
      <c r="K5" s="125"/>
      <c r="M5" s="37"/>
      <c r="N5" s="49"/>
      <c r="O5" s="40"/>
      <c r="P5" s="97"/>
      <c r="Q5" s="97"/>
      <c r="R5" s="38"/>
      <c r="S5" s="9"/>
      <c r="T5" s="121"/>
      <c r="U5" s="127"/>
      <c r="V5" s="110"/>
      <c r="AF5" s="11"/>
      <c r="AG5" s="11"/>
      <c r="AH5" s="11"/>
      <c r="AI5" s="11"/>
      <c r="AJ5" s="11"/>
      <c r="AK5" s="11"/>
      <c r="AL5" s="11"/>
      <c r="AM5" s="11"/>
      <c r="AN5" s="11"/>
      <c r="AO5" s="11"/>
      <c r="AP5" s="11"/>
      <c r="AQ5" s="11"/>
      <c r="AR5" s="11"/>
      <c r="AS5" s="11"/>
      <c r="AT5" s="11"/>
      <c r="AU5" s="11"/>
      <c r="AV5" s="11"/>
      <c r="AW5" s="11"/>
      <c r="AX5" s="11"/>
      <c r="AY5" s="11"/>
      <c r="AZ5" s="11"/>
      <c r="BA5" s="11"/>
      <c r="BB5" s="11"/>
    </row>
    <row r="6" spans="1:54" s="10" customFormat="1" ht="15.75" x14ac:dyDescent="0.25">
      <c r="B6" s="37"/>
      <c r="C6" s="40"/>
      <c r="D6" s="40"/>
      <c r="E6" s="40"/>
      <c r="F6" s="40"/>
      <c r="G6" s="40"/>
      <c r="H6" s="40"/>
      <c r="I6" s="40"/>
      <c r="J6" s="97"/>
      <c r="K6" s="38"/>
      <c r="M6" s="37"/>
      <c r="N6" s="49"/>
      <c r="O6" s="40"/>
      <c r="P6" s="97"/>
      <c r="Q6" s="97"/>
      <c r="R6" s="38"/>
      <c r="S6" s="9"/>
      <c r="T6" s="39"/>
      <c r="U6" s="39"/>
      <c r="V6" s="39"/>
      <c r="AF6" s="11"/>
      <c r="AG6" s="11"/>
      <c r="AH6" s="11"/>
      <c r="AI6" s="11"/>
      <c r="AJ6" s="11"/>
      <c r="AK6" s="11"/>
      <c r="AL6" s="11"/>
      <c r="AM6" s="11"/>
      <c r="AN6" s="11"/>
      <c r="AO6" s="11"/>
      <c r="AP6" s="11"/>
      <c r="AQ6" s="11"/>
      <c r="AR6" s="11"/>
      <c r="AS6" s="11"/>
      <c r="AT6" s="11"/>
      <c r="AU6" s="11"/>
      <c r="AV6" s="11"/>
      <c r="AW6" s="11"/>
      <c r="AX6" s="11"/>
      <c r="AY6" s="11"/>
      <c r="AZ6" s="11"/>
      <c r="BA6" s="11"/>
      <c r="BB6" s="11"/>
    </row>
    <row r="7" spans="1:54" x14ac:dyDescent="0.25">
      <c r="A7" s="27">
        <v>1</v>
      </c>
      <c r="B7" s="26" t="s">
        <v>32</v>
      </c>
      <c r="C7" s="52">
        <v>32</v>
      </c>
      <c r="D7" s="52"/>
      <c r="E7" s="52"/>
      <c r="F7" s="52"/>
      <c r="G7" s="52"/>
      <c r="H7" s="52"/>
      <c r="I7" s="52">
        <v>3</v>
      </c>
      <c r="J7" s="53"/>
      <c r="K7" s="54">
        <v>6</v>
      </c>
      <c r="L7" s="55"/>
      <c r="M7" s="56"/>
      <c r="N7" s="57"/>
      <c r="O7" s="52">
        <v>2</v>
      </c>
      <c r="P7" s="53"/>
      <c r="Q7" s="53">
        <v>1</v>
      </c>
      <c r="R7" s="54"/>
      <c r="S7" s="55"/>
      <c r="T7" s="58">
        <f>H7+I7+J7+K7+N7+P7+R7</f>
        <v>9</v>
      </c>
      <c r="U7" s="58">
        <f>C7*24+M7*24+O7*24+Q7*24+T7</f>
        <v>849</v>
      </c>
      <c r="V7" s="58">
        <f>U7/24</f>
        <v>35.375</v>
      </c>
      <c r="W7" s="50"/>
      <c r="AF7" s="12"/>
      <c r="AG7" s="12"/>
      <c r="AH7" s="12"/>
      <c r="AI7" s="12"/>
      <c r="AJ7" s="12"/>
      <c r="AK7" s="12"/>
      <c r="AL7" s="12"/>
      <c r="AM7" s="12"/>
      <c r="AN7" s="12"/>
      <c r="AO7" s="12"/>
      <c r="AP7" s="12"/>
      <c r="AQ7" s="12"/>
      <c r="AR7" s="12"/>
      <c r="AS7" s="12"/>
      <c r="AT7" s="12"/>
      <c r="AU7" s="12"/>
      <c r="AV7" s="12"/>
      <c r="AW7" s="12"/>
      <c r="AX7" s="12"/>
      <c r="AY7" s="12"/>
      <c r="AZ7" s="12"/>
      <c r="BA7" s="12"/>
      <c r="BB7" s="12"/>
    </row>
    <row r="8" spans="1:54" ht="19.5" thickBot="1" x14ac:dyDescent="0.3">
      <c r="A8" s="27">
        <f>A7+1</f>
        <v>2</v>
      </c>
      <c r="B8" s="42" t="s">
        <v>35</v>
      </c>
      <c r="C8" s="59">
        <f>41+43</f>
        <v>84</v>
      </c>
      <c r="D8" s="59"/>
      <c r="E8" s="59"/>
      <c r="F8" s="59"/>
      <c r="G8" s="59"/>
      <c r="H8" s="59"/>
      <c r="I8" s="59"/>
      <c r="J8" s="60"/>
      <c r="K8" s="61"/>
      <c r="L8" s="62"/>
      <c r="M8" s="63">
        <v>1</v>
      </c>
      <c r="N8" s="64"/>
      <c r="O8" s="65"/>
      <c r="P8" s="66">
        <v>12</v>
      </c>
      <c r="Q8" s="66">
        <v>2</v>
      </c>
      <c r="R8" s="67"/>
      <c r="S8" s="62"/>
      <c r="T8" s="68">
        <f t="shared" ref="T8:T41" si="0">H8+I8+J8+K8+N8+P8+R8</f>
        <v>12</v>
      </c>
      <c r="U8" s="69">
        <f>C8*24+M8*24+O8*24+Q8*24+T8</f>
        <v>2100</v>
      </c>
      <c r="V8" s="69">
        <f>U8/24</f>
        <v>87.5</v>
      </c>
      <c r="W8" s="50"/>
      <c r="AF8" s="12"/>
      <c r="AG8" s="12"/>
      <c r="AH8" s="12"/>
      <c r="AI8" s="12"/>
      <c r="AJ8" s="12"/>
      <c r="AK8" s="12"/>
      <c r="AL8" s="12"/>
      <c r="AM8" s="12"/>
      <c r="AN8" s="12"/>
      <c r="AO8" s="12"/>
      <c r="AP8" s="12"/>
      <c r="AQ8" s="12"/>
      <c r="AR8" s="12"/>
      <c r="AS8" s="12"/>
      <c r="AT8" s="12"/>
      <c r="AU8" s="12"/>
      <c r="AV8" s="12"/>
      <c r="AW8" s="12"/>
      <c r="AX8" s="12"/>
      <c r="AY8" s="12"/>
      <c r="AZ8" s="12"/>
      <c r="BA8" s="12"/>
      <c r="BB8" s="12"/>
    </row>
    <row r="9" spans="1:54" x14ac:dyDescent="0.25">
      <c r="A9" s="27">
        <f t="shared" ref="A9:A57" si="1">A8+1</f>
        <v>3</v>
      </c>
      <c r="B9" s="25" t="s">
        <v>33</v>
      </c>
      <c r="C9" s="70">
        <f>63+30</f>
        <v>93</v>
      </c>
      <c r="D9" s="70"/>
      <c r="E9" s="70"/>
      <c r="F9" s="70"/>
      <c r="G9" s="70"/>
      <c r="H9" s="70"/>
      <c r="I9" s="70"/>
      <c r="J9" s="71"/>
      <c r="K9" s="72"/>
      <c r="L9" s="55"/>
      <c r="M9" s="73"/>
      <c r="N9" s="74"/>
      <c r="O9" s="70"/>
      <c r="P9" s="71"/>
      <c r="Q9" s="71"/>
      <c r="R9" s="72"/>
      <c r="S9" s="55"/>
      <c r="T9" s="75">
        <f t="shared" si="0"/>
        <v>0</v>
      </c>
      <c r="U9" s="76">
        <f t="shared" ref="U9:U11" si="2">C9*24+M9*24+O9*24+Q9*24+T9</f>
        <v>2232</v>
      </c>
      <c r="V9" s="76">
        <f t="shared" ref="V9:V11" si="3">U9/24</f>
        <v>93</v>
      </c>
      <c r="W9" s="50"/>
      <c r="AF9" s="12"/>
      <c r="AG9" s="12"/>
      <c r="AH9" s="12"/>
      <c r="AI9" s="12"/>
      <c r="AJ9" s="12"/>
      <c r="AK9" s="12"/>
      <c r="AL9" s="12"/>
      <c r="AM9" s="12"/>
      <c r="AN9" s="12"/>
      <c r="AO9" s="12"/>
      <c r="AP9" s="12"/>
      <c r="AQ9" s="12"/>
      <c r="AR9" s="12"/>
      <c r="AS9" s="12"/>
      <c r="AT9" s="12"/>
      <c r="AU9" s="12"/>
      <c r="AV9" s="12"/>
      <c r="AW9" s="12"/>
      <c r="AX9" s="12"/>
      <c r="AY9" s="12"/>
      <c r="AZ9" s="12"/>
      <c r="BA9" s="12"/>
      <c r="BB9" s="12"/>
    </row>
    <row r="10" spans="1:54" x14ac:dyDescent="0.25">
      <c r="A10" s="27">
        <f t="shared" si="1"/>
        <v>4</v>
      </c>
      <c r="B10" s="26" t="s">
        <v>36</v>
      </c>
      <c r="C10" s="70">
        <f>39+10</f>
        <v>49</v>
      </c>
      <c r="D10" s="70"/>
      <c r="E10" s="70"/>
      <c r="F10" s="70"/>
      <c r="G10" s="70"/>
      <c r="H10" s="70"/>
      <c r="I10" s="70"/>
      <c r="J10" s="71"/>
      <c r="K10" s="72"/>
      <c r="L10" s="55"/>
      <c r="M10" s="73"/>
      <c r="N10" s="74"/>
      <c r="O10" s="70"/>
      <c r="P10" s="71"/>
      <c r="Q10" s="71"/>
      <c r="R10" s="72"/>
      <c r="S10" s="55"/>
      <c r="T10" s="58">
        <f t="shared" si="0"/>
        <v>0</v>
      </c>
      <c r="U10" s="58">
        <f t="shared" si="2"/>
        <v>1176</v>
      </c>
      <c r="V10" s="58">
        <f t="shared" si="3"/>
        <v>49</v>
      </c>
      <c r="W10" s="50"/>
      <c r="AF10" s="12"/>
      <c r="AG10" s="12"/>
      <c r="AH10" s="12"/>
      <c r="AI10" s="12"/>
      <c r="AJ10" s="12"/>
      <c r="AK10" s="12"/>
      <c r="AL10" s="12"/>
      <c r="AM10" s="12"/>
      <c r="AN10" s="12"/>
      <c r="AO10" s="12"/>
      <c r="AP10" s="12"/>
      <c r="AQ10" s="12"/>
      <c r="AR10" s="12"/>
      <c r="AS10" s="12"/>
      <c r="AT10" s="12"/>
      <c r="AU10" s="12"/>
      <c r="AV10" s="12"/>
      <c r="AW10" s="12"/>
      <c r="AX10" s="12"/>
      <c r="AY10" s="12"/>
      <c r="AZ10" s="12"/>
      <c r="BA10" s="12"/>
      <c r="BB10" s="12"/>
    </row>
    <row r="11" spans="1:54" x14ac:dyDescent="0.25">
      <c r="A11" s="27">
        <f t="shared" si="1"/>
        <v>5</v>
      </c>
      <c r="B11" s="26" t="s">
        <v>34</v>
      </c>
      <c r="C11" s="70">
        <f>9</f>
        <v>9</v>
      </c>
      <c r="D11" s="70"/>
      <c r="E11" s="70"/>
      <c r="F11" s="70"/>
      <c r="G11" s="70"/>
      <c r="H11" s="70"/>
      <c r="I11" s="70"/>
      <c r="J11" s="71"/>
      <c r="K11" s="72">
        <v>2</v>
      </c>
      <c r="L11" s="55"/>
      <c r="M11" s="73"/>
      <c r="N11" s="74"/>
      <c r="O11" s="70"/>
      <c r="P11" s="71"/>
      <c r="Q11" s="71"/>
      <c r="R11" s="72"/>
      <c r="S11" s="55"/>
      <c r="T11" s="58">
        <f t="shared" si="0"/>
        <v>2</v>
      </c>
      <c r="U11" s="58">
        <f t="shared" si="2"/>
        <v>218</v>
      </c>
      <c r="V11" s="58">
        <f t="shared" si="3"/>
        <v>9.0833333333333339</v>
      </c>
      <c r="AF11" s="12"/>
      <c r="AG11" s="12"/>
      <c r="AH11" s="12"/>
      <c r="AI11" s="12"/>
      <c r="AJ11" s="12"/>
      <c r="AK11" s="12"/>
      <c r="AL11" s="12"/>
      <c r="AM11" s="12"/>
      <c r="AN11" s="12"/>
      <c r="AO11" s="12"/>
      <c r="AP11" s="12"/>
      <c r="AQ11" s="12"/>
      <c r="AR11" s="12"/>
      <c r="AS11" s="12"/>
      <c r="AT11" s="12"/>
      <c r="AU11" s="12"/>
      <c r="AV11" s="12"/>
      <c r="AW11" s="12"/>
      <c r="AX11" s="12"/>
      <c r="AY11" s="12"/>
      <c r="AZ11" s="12"/>
      <c r="BA11" s="12"/>
      <c r="BB11" s="12"/>
    </row>
    <row r="12" spans="1:54" s="13" customFormat="1" ht="19.5" thickBot="1" x14ac:dyDescent="0.3">
      <c r="A12" s="27">
        <v>7</v>
      </c>
      <c r="B12" s="42" t="s">
        <v>30</v>
      </c>
      <c r="C12" s="59">
        <f>1224+53+1080+61+1080+29</f>
        <v>3527</v>
      </c>
      <c r="D12" s="59"/>
      <c r="E12" s="59"/>
      <c r="F12" s="59"/>
      <c r="G12" s="59"/>
      <c r="H12" s="59"/>
      <c r="I12" s="59"/>
      <c r="J12" s="60"/>
      <c r="K12" s="61"/>
      <c r="L12" s="62"/>
      <c r="M12" s="63">
        <v>8</v>
      </c>
      <c r="N12" s="64"/>
      <c r="O12" s="65">
        <v>11</v>
      </c>
      <c r="P12" s="66">
        <v>20</v>
      </c>
      <c r="Q12" s="66">
        <v>3</v>
      </c>
      <c r="R12" s="67"/>
      <c r="S12" s="62"/>
      <c r="T12" s="69">
        <f t="shared" si="0"/>
        <v>20</v>
      </c>
      <c r="U12" s="69">
        <f>C12*24+M12*24+O12*24+Q12*24+T12</f>
        <v>85196</v>
      </c>
      <c r="V12" s="69">
        <f>U12/24</f>
        <v>3549.8333333333335</v>
      </c>
      <c r="W12" s="9"/>
      <c r="X12" s="9"/>
      <c r="Y12" s="9"/>
      <c r="Z12" s="9"/>
      <c r="AA12" s="9"/>
      <c r="AB12" s="9"/>
      <c r="AC12" s="9"/>
      <c r="AD12" s="9"/>
      <c r="AE12" s="9"/>
      <c r="AF12" s="12"/>
      <c r="AG12" s="12"/>
      <c r="AH12" s="12"/>
      <c r="AI12" s="12"/>
      <c r="AJ12" s="12"/>
      <c r="AK12" s="12"/>
      <c r="AL12" s="12"/>
      <c r="AM12" s="12"/>
      <c r="AN12" s="12"/>
      <c r="AO12" s="12"/>
      <c r="AP12" s="12"/>
      <c r="AQ12" s="12"/>
      <c r="AR12" s="12"/>
      <c r="AS12" s="12"/>
      <c r="AT12" s="12"/>
      <c r="AU12" s="12"/>
      <c r="AV12" s="12"/>
      <c r="AW12" s="12"/>
      <c r="AX12" s="12"/>
      <c r="AY12" s="12"/>
      <c r="AZ12" s="12"/>
      <c r="BA12" s="12"/>
      <c r="BB12" s="12"/>
    </row>
    <row r="13" spans="1:54" x14ac:dyDescent="0.25">
      <c r="A13" s="27">
        <v>11</v>
      </c>
      <c r="B13" s="25" t="s">
        <v>1</v>
      </c>
      <c r="C13" s="70">
        <v>2</v>
      </c>
      <c r="D13" s="70"/>
      <c r="E13" s="70"/>
      <c r="F13" s="70"/>
      <c r="G13" s="70"/>
      <c r="H13" s="70">
        <v>16</v>
      </c>
      <c r="I13" s="70"/>
      <c r="J13" s="71"/>
      <c r="K13" s="72"/>
      <c r="L13" s="55"/>
      <c r="M13" s="73"/>
      <c r="N13" s="74"/>
      <c r="O13" s="70"/>
      <c r="P13" s="71"/>
      <c r="Q13" s="71"/>
      <c r="R13" s="72"/>
      <c r="S13" s="55"/>
      <c r="T13" s="76">
        <f t="shared" si="0"/>
        <v>16</v>
      </c>
      <c r="U13" s="76">
        <f>C13*24+M13*24+O13*24+Q13*24+T13</f>
        <v>64</v>
      </c>
      <c r="V13" s="76">
        <f>U13/24</f>
        <v>2.6666666666666665</v>
      </c>
      <c r="AF13" s="12"/>
      <c r="AG13" s="12"/>
      <c r="AH13" s="12"/>
      <c r="AI13" s="12"/>
      <c r="AJ13" s="12"/>
      <c r="AK13" s="12"/>
      <c r="AL13" s="12"/>
      <c r="AM13" s="12"/>
      <c r="AN13" s="12"/>
      <c r="AO13" s="12"/>
      <c r="AP13" s="12"/>
      <c r="AQ13" s="12"/>
      <c r="AR13" s="12"/>
      <c r="AS13" s="12"/>
      <c r="AT13" s="12"/>
      <c r="AU13" s="12"/>
      <c r="AV13" s="12"/>
      <c r="AW13" s="12"/>
      <c r="AX13" s="12"/>
      <c r="AY13" s="12"/>
      <c r="AZ13" s="12"/>
      <c r="BA13" s="12"/>
      <c r="BB13" s="12"/>
    </row>
    <row r="14" spans="1:54" x14ac:dyDescent="0.25">
      <c r="A14" s="27">
        <f t="shared" si="1"/>
        <v>12</v>
      </c>
      <c r="B14" s="26" t="s">
        <v>2</v>
      </c>
      <c r="C14" s="70">
        <v>2</v>
      </c>
      <c r="D14" s="70"/>
      <c r="E14" s="70"/>
      <c r="F14" s="70"/>
      <c r="G14" s="70"/>
      <c r="H14" s="70"/>
      <c r="I14" s="70"/>
      <c r="J14" s="71"/>
      <c r="K14" s="72"/>
      <c r="L14" s="55"/>
      <c r="M14" s="73"/>
      <c r="N14" s="74"/>
      <c r="O14" s="70"/>
      <c r="P14" s="71"/>
      <c r="Q14" s="71"/>
      <c r="R14" s="72"/>
      <c r="S14" s="55"/>
      <c r="T14" s="58">
        <f t="shared" si="0"/>
        <v>0</v>
      </c>
      <c r="U14" s="75">
        <f t="shared" ref="U14:U36" si="4">C14*24+M14*24+O14*24+Q14*24+T14</f>
        <v>48</v>
      </c>
      <c r="V14" s="75">
        <f t="shared" ref="V14:V36" si="5">U14/24</f>
        <v>2</v>
      </c>
      <c r="AF14" s="12"/>
      <c r="AG14" s="12"/>
      <c r="AH14" s="12"/>
      <c r="AI14" s="12"/>
      <c r="AJ14" s="12"/>
      <c r="AK14" s="12"/>
      <c r="AL14" s="12"/>
      <c r="AM14" s="12"/>
      <c r="AN14" s="12"/>
      <c r="AO14" s="12"/>
      <c r="AP14" s="12"/>
      <c r="AQ14" s="12"/>
      <c r="AR14" s="12"/>
      <c r="AS14" s="12"/>
      <c r="AT14" s="12"/>
      <c r="AU14" s="12"/>
      <c r="AV14" s="12"/>
      <c r="AW14" s="12"/>
      <c r="AX14" s="12"/>
      <c r="AY14" s="12"/>
      <c r="AZ14" s="12"/>
      <c r="BA14" s="12"/>
      <c r="BB14" s="12"/>
    </row>
    <row r="15" spans="1:54" x14ac:dyDescent="0.25">
      <c r="A15" s="27">
        <f t="shared" si="1"/>
        <v>13</v>
      </c>
      <c r="B15" s="26" t="s">
        <v>3</v>
      </c>
      <c r="C15" s="70"/>
      <c r="D15" s="70"/>
      <c r="E15" s="70"/>
      <c r="F15" s="70"/>
      <c r="G15" s="70"/>
      <c r="H15" s="70"/>
      <c r="I15" s="70"/>
      <c r="J15" s="71"/>
      <c r="K15" s="72"/>
      <c r="L15" s="55"/>
      <c r="M15" s="73"/>
      <c r="N15" s="74"/>
      <c r="O15" s="70"/>
      <c r="P15" s="71"/>
      <c r="Q15" s="71"/>
      <c r="R15" s="72"/>
      <c r="S15" s="55"/>
      <c r="T15" s="58">
        <f t="shared" si="0"/>
        <v>0</v>
      </c>
      <c r="U15" s="75">
        <f t="shared" si="4"/>
        <v>0</v>
      </c>
      <c r="V15" s="75">
        <f t="shared" si="5"/>
        <v>0</v>
      </c>
      <c r="AF15" s="12"/>
      <c r="AG15" s="12"/>
      <c r="AH15" s="12"/>
      <c r="AI15" s="12"/>
      <c r="AJ15" s="12"/>
      <c r="AK15" s="12"/>
      <c r="AL15" s="12"/>
      <c r="AM15" s="12"/>
      <c r="AN15" s="12"/>
      <c r="AO15" s="12"/>
      <c r="AP15" s="12"/>
      <c r="AQ15" s="12"/>
      <c r="AR15" s="12"/>
      <c r="AS15" s="12"/>
      <c r="AT15" s="12"/>
      <c r="AU15" s="12"/>
      <c r="AV15" s="12"/>
      <c r="AW15" s="12"/>
      <c r="AX15" s="12"/>
      <c r="AY15" s="12"/>
      <c r="AZ15" s="12"/>
      <c r="BA15" s="12"/>
      <c r="BB15" s="12"/>
    </row>
    <row r="16" spans="1:54" x14ac:dyDescent="0.25">
      <c r="A16" s="27">
        <f t="shared" si="1"/>
        <v>14</v>
      </c>
      <c r="B16" s="26" t="s">
        <v>4</v>
      </c>
      <c r="C16" s="70"/>
      <c r="D16" s="70"/>
      <c r="E16" s="70"/>
      <c r="F16" s="70"/>
      <c r="G16" s="70"/>
      <c r="H16" s="70"/>
      <c r="I16" s="70"/>
      <c r="J16" s="71"/>
      <c r="K16" s="72"/>
      <c r="L16" s="55"/>
      <c r="M16" s="73"/>
      <c r="N16" s="74"/>
      <c r="O16" s="70"/>
      <c r="P16" s="71"/>
      <c r="Q16" s="71"/>
      <c r="R16" s="72"/>
      <c r="S16" s="55"/>
      <c r="T16" s="58">
        <f t="shared" si="0"/>
        <v>0</v>
      </c>
      <c r="U16" s="75">
        <f t="shared" si="4"/>
        <v>0</v>
      </c>
      <c r="V16" s="75">
        <f t="shared" si="5"/>
        <v>0</v>
      </c>
      <c r="AF16" s="12"/>
      <c r="AG16" s="12"/>
      <c r="AH16" s="12"/>
      <c r="AI16" s="12"/>
      <c r="AJ16" s="12"/>
      <c r="AK16" s="12"/>
      <c r="AL16" s="12"/>
      <c r="AM16" s="12"/>
      <c r="AN16" s="12"/>
      <c r="AO16" s="12"/>
      <c r="AP16" s="12"/>
      <c r="AQ16" s="12"/>
      <c r="AR16" s="12"/>
      <c r="AS16" s="12"/>
      <c r="AT16" s="12"/>
      <c r="AU16" s="12"/>
      <c r="AV16" s="12"/>
      <c r="AW16" s="12"/>
      <c r="AX16" s="12"/>
      <c r="AY16" s="12"/>
      <c r="AZ16" s="12"/>
      <c r="BA16" s="12"/>
      <c r="BB16" s="12"/>
    </row>
    <row r="17" spans="1:54" x14ac:dyDescent="0.25">
      <c r="A17" s="27">
        <f t="shared" si="1"/>
        <v>15</v>
      </c>
      <c r="B17" s="26" t="s">
        <v>5</v>
      </c>
      <c r="C17" s="70"/>
      <c r="D17" s="70"/>
      <c r="E17" s="70"/>
      <c r="F17" s="70"/>
      <c r="G17" s="70"/>
      <c r="H17" s="70">
        <f>24*3</f>
        <v>72</v>
      </c>
      <c r="I17" s="70"/>
      <c r="J17" s="71"/>
      <c r="K17" s="72"/>
      <c r="L17" s="55"/>
      <c r="M17" s="73"/>
      <c r="N17" s="74"/>
      <c r="O17" s="70"/>
      <c r="P17" s="71"/>
      <c r="Q17" s="71"/>
      <c r="R17" s="72"/>
      <c r="S17" s="55"/>
      <c r="T17" s="58">
        <f t="shared" si="0"/>
        <v>72</v>
      </c>
      <c r="U17" s="75">
        <f t="shared" si="4"/>
        <v>72</v>
      </c>
      <c r="V17" s="75">
        <f t="shared" si="5"/>
        <v>3</v>
      </c>
      <c r="AF17" s="12"/>
      <c r="AG17" s="12"/>
      <c r="AH17" s="12"/>
      <c r="AI17" s="12"/>
      <c r="AJ17" s="12"/>
      <c r="AK17" s="12"/>
      <c r="AL17" s="12"/>
      <c r="AM17" s="12"/>
      <c r="AN17" s="12"/>
      <c r="AO17" s="12"/>
      <c r="AP17" s="12"/>
      <c r="AQ17" s="12"/>
      <c r="AR17" s="12"/>
      <c r="AS17" s="12"/>
      <c r="AT17" s="12"/>
      <c r="AU17" s="12"/>
      <c r="AV17" s="12"/>
      <c r="AW17" s="12"/>
      <c r="AX17" s="12"/>
      <c r="AY17" s="12"/>
      <c r="AZ17" s="12"/>
      <c r="BA17" s="12"/>
      <c r="BB17" s="12"/>
    </row>
    <row r="18" spans="1:54" hidden="1" x14ac:dyDescent="0.25">
      <c r="A18" s="27">
        <f t="shared" si="1"/>
        <v>16</v>
      </c>
      <c r="B18" s="26" t="s">
        <v>9</v>
      </c>
      <c r="C18" s="70"/>
      <c r="D18" s="70"/>
      <c r="E18" s="70"/>
      <c r="F18" s="70"/>
      <c r="G18" s="70"/>
      <c r="H18" s="70"/>
      <c r="I18" s="70"/>
      <c r="J18" s="71"/>
      <c r="K18" s="72"/>
      <c r="L18" s="55"/>
      <c r="M18" s="73"/>
      <c r="N18" s="74"/>
      <c r="O18" s="70"/>
      <c r="P18" s="71"/>
      <c r="Q18" s="71"/>
      <c r="R18" s="72"/>
      <c r="S18" s="55"/>
      <c r="T18" s="58">
        <f t="shared" si="0"/>
        <v>0</v>
      </c>
      <c r="U18" s="75">
        <f t="shared" si="4"/>
        <v>0</v>
      </c>
      <c r="V18" s="75">
        <f t="shared" si="5"/>
        <v>0</v>
      </c>
      <c r="AF18" s="12"/>
      <c r="AG18" s="12"/>
      <c r="AH18" s="12"/>
      <c r="AI18" s="12"/>
      <c r="AJ18" s="12"/>
      <c r="AK18" s="12"/>
      <c r="AL18" s="12"/>
      <c r="AM18" s="12"/>
      <c r="AN18" s="12"/>
      <c r="AO18" s="12"/>
      <c r="AP18" s="12"/>
      <c r="AQ18" s="12"/>
      <c r="AR18" s="12"/>
      <c r="AS18" s="12"/>
      <c r="AT18" s="12"/>
      <c r="AU18" s="12"/>
      <c r="AV18" s="12"/>
      <c r="AW18" s="12"/>
      <c r="AX18" s="12"/>
      <c r="AY18" s="12"/>
      <c r="AZ18" s="12"/>
      <c r="BA18" s="12"/>
      <c r="BB18" s="12"/>
    </row>
    <row r="19" spans="1:54" x14ac:dyDescent="0.25">
      <c r="A19" s="27">
        <v>16</v>
      </c>
      <c r="B19" s="26" t="s">
        <v>53</v>
      </c>
      <c r="C19" s="70">
        <v>2</v>
      </c>
      <c r="D19" s="70"/>
      <c r="E19" s="70"/>
      <c r="F19" s="70"/>
      <c r="G19" s="70"/>
      <c r="H19" s="70">
        <f>24+20</f>
        <v>44</v>
      </c>
      <c r="I19" s="70"/>
      <c r="J19" s="71"/>
      <c r="K19" s="72"/>
      <c r="L19" s="55"/>
      <c r="M19" s="73"/>
      <c r="N19" s="74"/>
      <c r="O19" s="70"/>
      <c r="P19" s="71"/>
      <c r="Q19" s="71"/>
      <c r="R19" s="72"/>
      <c r="S19" s="55"/>
      <c r="T19" s="58">
        <f t="shared" si="0"/>
        <v>44</v>
      </c>
      <c r="U19" s="75">
        <f t="shared" si="4"/>
        <v>92</v>
      </c>
      <c r="V19" s="75">
        <f t="shared" si="5"/>
        <v>3.8333333333333335</v>
      </c>
      <c r="AF19" s="12"/>
      <c r="AG19" s="12"/>
      <c r="AH19" s="12"/>
      <c r="AI19" s="12"/>
      <c r="AJ19" s="12"/>
      <c r="AK19" s="12"/>
      <c r="AL19" s="12"/>
      <c r="AM19" s="12"/>
      <c r="AN19" s="12"/>
      <c r="AO19" s="12"/>
      <c r="AP19" s="12"/>
      <c r="AQ19" s="12"/>
      <c r="AR19" s="12"/>
      <c r="AS19" s="12"/>
      <c r="AT19" s="12"/>
      <c r="AU19" s="12"/>
      <c r="AV19" s="12"/>
      <c r="AW19" s="12"/>
      <c r="AX19" s="12"/>
      <c r="AY19" s="12"/>
      <c r="AZ19" s="12"/>
      <c r="BA19" s="12"/>
      <c r="BB19" s="12"/>
    </row>
    <row r="20" spans="1:54" x14ac:dyDescent="0.25">
      <c r="A20" s="27">
        <f t="shared" si="1"/>
        <v>17</v>
      </c>
      <c r="B20" s="26" t="s">
        <v>6</v>
      </c>
      <c r="C20" s="70">
        <v>5</v>
      </c>
      <c r="D20" s="70"/>
      <c r="E20" s="70"/>
      <c r="F20" s="70"/>
      <c r="G20" s="70"/>
      <c r="H20" s="70"/>
      <c r="I20" s="70"/>
      <c r="J20" s="71"/>
      <c r="K20" s="72"/>
      <c r="L20" s="55"/>
      <c r="M20" s="73"/>
      <c r="N20" s="74"/>
      <c r="O20" s="70"/>
      <c r="P20" s="71"/>
      <c r="Q20" s="71"/>
      <c r="R20" s="72"/>
      <c r="S20" s="55"/>
      <c r="T20" s="58">
        <f t="shared" si="0"/>
        <v>0</v>
      </c>
      <c r="U20" s="75">
        <f t="shared" si="4"/>
        <v>120</v>
      </c>
      <c r="V20" s="75">
        <f t="shared" si="5"/>
        <v>5</v>
      </c>
      <c r="AF20" s="12"/>
      <c r="AG20" s="12"/>
      <c r="AH20" s="12"/>
      <c r="AI20" s="12"/>
      <c r="AJ20" s="12"/>
      <c r="AK20" s="12"/>
      <c r="AL20" s="12"/>
      <c r="AM20" s="12"/>
      <c r="AN20" s="12"/>
      <c r="AO20" s="12"/>
      <c r="AP20" s="12"/>
      <c r="AQ20" s="12"/>
      <c r="AR20" s="12"/>
      <c r="AS20" s="12"/>
      <c r="AT20" s="12"/>
      <c r="AU20" s="12"/>
      <c r="AV20" s="12"/>
      <c r="AW20" s="12"/>
      <c r="AX20" s="12"/>
      <c r="AY20" s="12"/>
      <c r="AZ20" s="12"/>
      <c r="BA20" s="12"/>
      <c r="BB20" s="12"/>
    </row>
    <row r="21" spans="1:54" x14ac:dyDescent="0.25">
      <c r="A21" s="27">
        <f t="shared" si="1"/>
        <v>18</v>
      </c>
      <c r="B21" s="26" t="s">
        <v>7</v>
      </c>
      <c r="C21" s="70"/>
      <c r="D21" s="70"/>
      <c r="E21" s="70"/>
      <c r="F21" s="70"/>
      <c r="G21" s="70"/>
      <c r="H21" s="70">
        <f>24*2</f>
        <v>48</v>
      </c>
      <c r="I21" s="70"/>
      <c r="J21" s="71"/>
      <c r="K21" s="72"/>
      <c r="L21" s="55"/>
      <c r="M21" s="73"/>
      <c r="N21" s="74"/>
      <c r="O21" s="70"/>
      <c r="P21" s="71"/>
      <c r="Q21" s="71"/>
      <c r="R21" s="72"/>
      <c r="S21" s="55"/>
      <c r="T21" s="58">
        <f t="shared" si="0"/>
        <v>48</v>
      </c>
      <c r="U21" s="75">
        <f t="shared" si="4"/>
        <v>48</v>
      </c>
      <c r="V21" s="75">
        <f t="shared" si="5"/>
        <v>2</v>
      </c>
      <c r="AF21" s="12"/>
      <c r="AG21" s="12"/>
      <c r="AH21" s="12"/>
      <c r="AI21" s="12"/>
      <c r="AJ21" s="12"/>
      <c r="AK21" s="12"/>
      <c r="AL21" s="12"/>
      <c r="AM21" s="12"/>
      <c r="AN21" s="12"/>
      <c r="AO21" s="12"/>
      <c r="AP21" s="12"/>
      <c r="AQ21" s="12"/>
      <c r="AR21" s="12"/>
      <c r="AS21" s="12"/>
      <c r="AT21" s="12"/>
      <c r="AU21" s="12"/>
      <c r="AV21" s="12"/>
      <c r="AW21" s="12"/>
      <c r="AX21" s="12"/>
      <c r="AY21" s="12"/>
      <c r="AZ21" s="12"/>
      <c r="BA21" s="12"/>
      <c r="BB21" s="12"/>
    </row>
    <row r="22" spans="1:54" s="13" customFormat="1" x14ac:dyDescent="0.25">
      <c r="A22" s="27">
        <f t="shared" si="1"/>
        <v>19</v>
      </c>
      <c r="B22" s="26" t="s">
        <v>54</v>
      </c>
      <c r="C22" s="70">
        <f>2</f>
        <v>2</v>
      </c>
      <c r="D22" s="70"/>
      <c r="E22" s="70"/>
      <c r="F22" s="70"/>
      <c r="G22" s="70"/>
      <c r="H22" s="70"/>
      <c r="I22" s="70">
        <v>20</v>
      </c>
      <c r="J22" s="71"/>
      <c r="K22" s="72"/>
      <c r="L22" s="55"/>
      <c r="M22" s="73"/>
      <c r="N22" s="74"/>
      <c r="O22" s="70"/>
      <c r="P22" s="71"/>
      <c r="Q22" s="71"/>
      <c r="R22" s="72"/>
      <c r="S22" s="55"/>
      <c r="T22" s="58">
        <f t="shared" si="0"/>
        <v>20</v>
      </c>
      <c r="U22" s="75">
        <f t="shared" si="4"/>
        <v>68</v>
      </c>
      <c r="V22" s="75">
        <f t="shared" si="5"/>
        <v>2.8333333333333335</v>
      </c>
      <c r="W22" s="9"/>
      <c r="X22" s="9"/>
      <c r="Y22" s="9"/>
      <c r="Z22" s="9"/>
      <c r="AA22" s="9"/>
      <c r="AB22" s="9"/>
      <c r="AC22" s="9"/>
      <c r="AD22" s="9"/>
      <c r="AE22" s="9"/>
      <c r="AF22" s="12"/>
      <c r="AG22" s="12"/>
      <c r="AH22" s="12"/>
      <c r="AI22" s="12"/>
      <c r="AJ22" s="12"/>
      <c r="AK22" s="12"/>
      <c r="AL22" s="12"/>
      <c r="AM22" s="12"/>
      <c r="AN22" s="12"/>
      <c r="AO22" s="12"/>
      <c r="AP22" s="12"/>
      <c r="AQ22" s="12"/>
      <c r="AR22" s="12"/>
      <c r="AS22" s="12"/>
      <c r="AT22" s="12"/>
      <c r="AU22" s="12"/>
      <c r="AV22" s="12"/>
      <c r="AW22" s="12"/>
      <c r="AX22" s="12"/>
      <c r="AY22" s="12"/>
      <c r="AZ22" s="12"/>
      <c r="BA22" s="12"/>
      <c r="BB22" s="12"/>
    </row>
    <row r="23" spans="1:54" s="13" customFormat="1" x14ac:dyDescent="0.25">
      <c r="A23" s="27">
        <f t="shared" si="1"/>
        <v>20</v>
      </c>
      <c r="B23" s="26" t="s">
        <v>55</v>
      </c>
      <c r="C23" s="70"/>
      <c r="D23" s="70"/>
      <c r="E23" s="70"/>
      <c r="F23" s="70"/>
      <c r="G23" s="70"/>
      <c r="H23" s="70">
        <f>37*24+19</f>
        <v>907</v>
      </c>
      <c r="I23" s="70"/>
      <c r="J23" s="71"/>
      <c r="K23" s="72"/>
      <c r="L23" s="55"/>
      <c r="M23" s="73"/>
      <c r="N23" s="74"/>
      <c r="O23" s="70"/>
      <c r="P23" s="71"/>
      <c r="Q23" s="71"/>
      <c r="R23" s="72"/>
      <c r="S23" s="55"/>
      <c r="T23" s="58">
        <f t="shared" si="0"/>
        <v>907</v>
      </c>
      <c r="U23" s="75">
        <f t="shared" si="4"/>
        <v>907</v>
      </c>
      <c r="V23" s="75">
        <f t="shared" si="5"/>
        <v>37.791666666666664</v>
      </c>
      <c r="W23" s="9"/>
      <c r="X23" s="9"/>
      <c r="Y23" s="9"/>
      <c r="Z23" s="9"/>
      <c r="AA23" s="9"/>
      <c r="AB23" s="9"/>
      <c r="AC23" s="9"/>
      <c r="AD23" s="9"/>
      <c r="AE23" s="9"/>
      <c r="AF23" s="12"/>
      <c r="AG23" s="12"/>
      <c r="AH23" s="12"/>
      <c r="AI23" s="12"/>
      <c r="AJ23" s="12"/>
      <c r="AK23" s="12"/>
      <c r="AL23" s="12"/>
      <c r="AM23" s="12"/>
      <c r="AN23" s="12"/>
      <c r="AO23" s="12"/>
      <c r="AP23" s="12"/>
      <c r="AQ23" s="12"/>
      <c r="AR23" s="12"/>
      <c r="AS23" s="12"/>
      <c r="AT23" s="12"/>
      <c r="AU23" s="12"/>
      <c r="AV23" s="12"/>
      <c r="AW23" s="12"/>
      <c r="AX23" s="12"/>
      <c r="AY23" s="12"/>
      <c r="AZ23" s="12"/>
      <c r="BA23" s="12"/>
      <c r="BB23" s="12"/>
    </row>
    <row r="24" spans="1:54" x14ac:dyDescent="0.25">
      <c r="A24" s="27">
        <f t="shared" si="1"/>
        <v>21</v>
      </c>
      <c r="B24" s="26" t="s">
        <v>56</v>
      </c>
      <c r="C24" s="70">
        <v>2</v>
      </c>
      <c r="D24" s="70"/>
      <c r="E24" s="70"/>
      <c r="F24" s="70"/>
      <c r="G24" s="70"/>
      <c r="H24" s="70">
        <f>24*3</f>
        <v>72</v>
      </c>
      <c r="I24" s="70"/>
      <c r="J24" s="71"/>
      <c r="K24" s="72"/>
      <c r="L24" s="55"/>
      <c r="M24" s="73"/>
      <c r="N24" s="74"/>
      <c r="O24" s="70"/>
      <c r="P24" s="71"/>
      <c r="Q24" s="71"/>
      <c r="R24" s="72"/>
      <c r="S24" s="55"/>
      <c r="T24" s="58">
        <f t="shared" si="0"/>
        <v>72</v>
      </c>
      <c r="U24" s="75">
        <f t="shared" si="4"/>
        <v>120</v>
      </c>
      <c r="V24" s="75">
        <f t="shared" si="5"/>
        <v>5</v>
      </c>
      <c r="AF24" s="12"/>
      <c r="AG24" s="12"/>
      <c r="AH24" s="12"/>
      <c r="AI24" s="12"/>
      <c r="AJ24" s="12"/>
      <c r="AK24" s="12"/>
      <c r="AL24" s="12"/>
      <c r="AM24" s="12"/>
      <c r="AN24" s="12"/>
      <c r="AO24" s="12"/>
      <c r="AP24" s="12"/>
      <c r="AQ24" s="12"/>
      <c r="AR24" s="12"/>
      <c r="AS24" s="12"/>
      <c r="AT24" s="12"/>
      <c r="AU24" s="12"/>
      <c r="AV24" s="12"/>
      <c r="AW24" s="12"/>
      <c r="AX24" s="12"/>
      <c r="AY24" s="12"/>
      <c r="AZ24" s="12"/>
      <c r="BA24" s="12"/>
      <c r="BB24" s="12"/>
    </row>
    <row r="25" spans="1:54" x14ac:dyDescent="0.25">
      <c r="A25" s="27">
        <f t="shared" si="1"/>
        <v>22</v>
      </c>
      <c r="B25" s="26" t="s">
        <v>8</v>
      </c>
      <c r="C25" s="70">
        <v>54</v>
      </c>
      <c r="D25" s="70"/>
      <c r="E25" s="70"/>
      <c r="F25" s="70"/>
      <c r="G25" s="70"/>
      <c r="H25" s="70"/>
      <c r="I25" s="70"/>
      <c r="J25" s="71">
        <v>1</v>
      </c>
      <c r="K25" s="72"/>
      <c r="L25" s="55"/>
      <c r="M25" s="73">
        <v>1</v>
      </c>
      <c r="N25" s="74"/>
      <c r="O25" s="70"/>
      <c r="P25" s="71"/>
      <c r="Q25" s="71"/>
      <c r="R25" s="72"/>
      <c r="S25" s="55"/>
      <c r="T25" s="58">
        <f t="shared" si="0"/>
        <v>1</v>
      </c>
      <c r="U25" s="75">
        <f t="shared" si="4"/>
        <v>1321</v>
      </c>
      <c r="V25" s="75">
        <f t="shared" si="5"/>
        <v>55.041666666666664</v>
      </c>
      <c r="AY25" s="14" t="e">
        <f>#REF!-AY24</f>
        <v>#REF!</v>
      </c>
    </row>
    <row r="26" spans="1:54" s="13" customFormat="1" x14ac:dyDescent="0.25">
      <c r="A26" s="27">
        <f t="shared" si="1"/>
        <v>23</v>
      </c>
      <c r="B26" s="26" t="s">
        <v>10</v>
      </c>
      <c r="C26" s="70"/>
      <c r="D26" s="70"/>
      <c r="E26" s="70"/>
      <c r="F26" s="70"/>
      <c r="G26" s="70"/>
      <c r="H26" s="70"/>
      <c r="I26" s="70"/>
      <c r="J26" s="71"/>
      <c r="K26" s="72"/>
      <c r="L26" s="55"/>
      <c r="M26" s="73"/>
      <c r="N26" s="74"/>
      <c r="O26" s="70">
        <v>1</v>
      </c>
      <c r="P26" s="71"/>
      <c r="Q26" s="71"/>
      <c r="R26" s="72"/>
      <c r="S26" s="55"/>
      <c r="T26" s="58">
        <f t="shared" si="0"/>
        <v>0</v>
      </c>
      <c r="U26" s="75">
        <f t="shared" si="4"/>
        <v>24</v>
      </c>
      <c r="V26" s="75">
        <f t="shared" si="5"/>
        <v>1</v>
      </c>
      <c r="W26" s="9"/>
      <c r="X26" s="9"/>
      <c r="Y26" s="9"/>
      <c r="Z26" s="9"/>
      <c r="AA26" s="9"/>
      <c r="AB26" s="9"/>
      <c r="AC26" s="9"/>
      <c r="AD26" s="9"/>
      <c r="AE26" s="9"/>
    </row>
    <row r="27" spans="1:54" s="13" customFormat="1" x14ac:dyDescent="0.25">
      <c r="A27" s="27">
        <f t="shared" si="1"/>
        <v>24</v>
      </c>
      <c r="B27" s="26" t="s">
        <v>69</v>
      </c>
      <c r="C27" s="70">
        <v>4</v>
      </c>
      <c r="D27" s="70"/>
      <c r="E27" s="70"/>
      <c r="F27" s="70"/>
      <c r="G27" s="70"/>
      <c r="H27" s="70"/>
      <c r="I27" s="70"/>
      <c r="J27" s="71"/>
      <c r="K27" s="72"/>
      <c r="L27" s="55"/>
      <c r="M27" s="73"/>
      <c r="N27" s="74"/>
      <c r="O27" s="70"/>
      <c r="P27" s="71"/>
      <c r="Q27" s="71"/>
      <c r="R27" s="72"/>
      <c r="S27" s="55"/>
      <c r="T27" s="58">
        <f t="shared" si="0"/>
        <v>0</v>
      </c>
      <c r="U27" s="75">
        <f t="shared" si="4"/>
        <v>96</v>
      </c>
      <c r="V27" s="75">
        <f t="shared" si="5"/>
        <v>4</v>
      </c>
      <c r="W27" s="9"/>
      <c r="X27" s="9"/>
      <c r="Y27" s="9"/>
      <c r="Z27" s="9"/>
      <c r="AA27" s="9"/>
      <c r="AB27" s="9"/>
      <c r="AC27" s="9"/>
      <c r="AD27" s="9"/>
      <c r="AE27" s="9"/>
    </row>
    <row r="28" spans="1:54" s="13" customFormat="1" x14ac:dyDescent="0.25">
      <c r="A28" s="27">
        <f t="shared" si="1"/>
        <v>25</v>
      </c>
      <c r="B28" s="26" t="s">
        <v>11</v>
      </c>
      <c r="C28" s="70">
        <v>12</v>
      </c>
      <c r="D28" s="70"/>
      <c r="E28" s="70"/>
      <c r="F28" s="70"/>
      <c r="G28" s="70"/>
      <c r="H28" s="70"/>
      <c r="I28" s="70"/>
      <c r="J28" s="71"/>
      <c r="K28" s="72"/>
      <c r="L28" s="55"/>
      <c r="M28" s="73">
        <v>2</v>
      </c>
      <c r="N28" s="74"/>
      <c r="O28" s="70">
        <v>2</v>
      </c>
      <c r="P28" s="71"/>
      <c r="Q28" s="71"/>
      <c r="R28" s="72"/>
      <c r="S28" s="55"/>
      <c r="T28" s="58">
        <f t="shared" si="0"/>
        <v>0</v>
      </c>
      <c r="U28" s="75">
        <f t="shared" si="4"/>
        <v>384</v>
      </c>
      <c r="V28" s="75">
        <f t="shared" si="5"/>
        <v>16</v>
      </c>
      <c r="W28" s="9"/>
      <c r="X28" s="9"/>
      <c r="Y28" s="9"/>
      <c r="Z28" s="9"/>
      <c r="AA28" s="9"/>
      <c r="AB28" s="9"/>
      <c r="AC28" s="9"/>
      <c r="AD28" s="9"/>
      <c r="AE28" s="9"/>
    </row>
    <row r="29" spans="1:54" x14ac:dyDescent="0.25">
      <c r="A29" s="27">
        <f t="shared" si="1"/>
        <v>26</v>
      </c>
      <c r="B29" s="26" t="s">
        <v>13</v>
      </c>
      <c r="C29" s="70">
        <v>29</v>
      </c>
      <c r="D29" s="70"/>
      <c r="E29" s="70"/>
      <c r="F29" s="70"/>
      <c r="G29" s="70"/>
      <c r="H29" s="70"/>
      <c r="I29" s="70"/>
      <c r="J29" s="71">
        <v>5</v>
      </c>
      <c r="K29" s="72"/>
      <c r="L29" s="55"/>
      <c r="M29" s="73"/>
      <c r="N29" s="74"/>
      <c r="O29" s="70"/>
      <c r="P29" s="71"/>
      <c r="Q29" s="71"/>
      <c r="R29" s="72"/>
      <c r="S29" s="55"/>
      <c r="T29" s="58">
        <f t="shared" si="0"/>
        <v>5</v>
      </c>
      <c r="U29" s="75">
        <f t="shared" si="4"/>
        <v>701</v>
      </c>
      <c r="V29" s="75">
        <f t="shared" si="5"/>
        <v>29.208333333333332</v>
      </c>
    </row>
    <row r="30" spans="1:54" x14ac:dyDescent="0.25">
      <c r="A30" s="27">
        <f t="shared" si="1"/>
        <v>27</v>
      </c>
      <c r="B30" s="26" t="s">
        <v>15</v>
      </c>
      <c r="C30" s="70">
        <v>14</v>
      </c>
      <c r="D30" s="70"/>
      <c r="E30" s="70"/>
      <c r="F30" s="70"/>
      <c r="G30" s="70"/>
      <c r="H30" s="70"/>
      <c r="I30" s="70"/>
      <c r="J30" s="71"/>
      <c r="K30" s="72"/>
      <c r="L30" s="55"/>
      <c r="M30" s="73"/>
      <c r="N30" s="74"/>
      <c r="O30" s="70"/>
      <c r="P30" s="71"/>
      <c r="Q30" s="71">
        <v>1</v>
      </c>
      <c r="R30" s="72"/>
      <c r="S30" s="55"/>
      <c r="T30" s="58">
        <f t="shared" si="0"/>
        <v>0</v>
      </c>
      <c r="U30" s="75">
        <f t="shared" si="4"/>
        <v>360</v>
      </c>
      <c r="V30" s="75">
        <f t="shared" si="5"/>
        <v>15</v>
      </c>
    </row>
    <row r="31" spans="1:54" x14ac:dyDescent="0.25">
      <c r="A31" s="27">
        <f t="shared" si="1"/>
        <v>28</v>
      </c>
      <c r="B31" s="26" t="s">
        <v>12</v>
      </c>
      <c r="C31" s="70">
        <v>2</v>
      </c>
      <c r="D31" s="70"/>
      <c r="E31" s="70"/>
      <c r="F31" s="70"/>
      <c r="G31" s="70"/>
      <c r="H31" s="70"/>
      <c r="I31" s="70"/>
      <c r="J31" s="71"/>
      <c r="K31" s="72"/>
      <c r="L31" s="55"/>
      <c r="M31" s="73"/>
      <c r="N31" s="74"/>
      <c r="O31" s="70">
        <v>1</v>
      </c>
      <c r="P31" s="71"/>
      <c r="Q31" s="71"/>
      <c r="R31" s="72"/>
      <c r="S31" s="55"/>
      <c r="T31" s="58">
        <f t="shared" si="0"/>
        <v>0</v>
      </c>
      <c r="U31" s="75">
        <f t="shared" si="4"/>
        <v>72</v>
      </c>
      <c r="V31" s="75">
        <f t="shared" si="5"/>
        <v>3</v>
      </c>
    </row>
    <row r="32" spans="1:54" x14ac:dyDescent="0.25">
      <c r="A32" s="27">
        <f t="shared" si="1"/>
        <v>29</v>
      </c>
      <c r="B32" s="26" t="s">
        <v>14</v>
      </c>
      <c r="C32" s="70"/>
      <c r="D32" s="70"/>
      <c r="E32" s="70"/>
      <c r="F32" s="70"/>
      <c r="G32" s="70"/>
      <c r="H32" s="70"/>
      <c r="I32" s="70"/>
      <c r="J32" s="71"/>
      <c r="K32" s="72"/>
      <c r="L32" s="55"/>
      <c r="M32" s="73"/>
      <c r="N32" s="74"/>
      <c r="O32" s="70"/>
      <c r="P32" s="71"/>
      <c r="Q32" s="71"/>
      <c r="R32" s="72"/>
      <c r="S32" s="55"/>
      <c r="T32" s="58">
        <f t="shared" si="0"/>
        <v>0</v>
      </c>
      <c r="U32" s="75">
        <f t="shared" si="4"/>
        <v>0</v>
      </c>
      <c r="V32" s="75">
        <f t="shared" si="5"/>
        <v>0</v>
      </c>
    </row>
    <row r="33" spans="1:23" x14ac:dyDescent="0.25">
      <c r="A33" s="27">
        <f t="shared" si="1"/>
        <v>30</v>
      </c>
      <c r="B33" s="26" t="s">
        <v>16</v>
      </c>
      <c r="C33" s="70">
        <v>2</v>
      </c>
      <c r="D33" s="70"/>
      <c r="E33" s="70"/>
      <c r="F33" s="70"/>
      <c r="G33" s="70"/>
      <c r="H33" s="70"/>
      <c r="I33" s="70"/>
      <c r="J33" s="71"/>
      <c r="K33" s="72"/>
      <c r="L33" s="55"/>
      <c r="M33" s="73"/>
      <c r="N33" s="74"/>
      <c r="O33" s="70"/>
      <c r="P33" s="71"/>
      <c r="Q33" s="71"/>
      <c r="R33" s="72"/>
      <c r="S33" s="55"/>
      <c r="T33" s="58">
        <f t="shared" si="0"/>
        <v>0</v>
      </c>
      <c r="U33" s="75">
        <f t="shared" si="4"/>
        <v>48</v>
      </c>
      <c r="V33" s="75">
        <f t="shared" si="5"/>
        <v>2</v>
      </c>
    </row>
    <row r="34" spans="1:23" x14ac:dyDescent="0.25">
      <c r="A34" s="27">
        <f t="shared" si="1"/>
        <v>31</v>
      </c>
      <c r="B34" s="26" t="s">
        <v>17</v>
      </c>
      <c r="C34" s="70">
        <f>144+62</f>
        <v>206</v>
      </c>
      <c r="D34" s="70"/>
      <c r="E34" s="70"/>
      <c r="F34" s="70"/>
      <c r="G34" s="70"/>
      <c r="H34" s="70"/>
      <c r="I34" s="70">
        <v>1</v>
      </c>
      <c r="J34" s="71"/>
      <c r="K34" s="72">
        <v>1</v>
      </c>
      <c r="L34" s="55"/>
      <c r="M34" s="73"/>
      <c r="N34" s="74"/>
      <c r="O34" s="70">
        <v>3</v>
      </c>
      <c r="P34" s="71"/>
      <c r="Q34" s="71"/>
      <c r="R34" s="72"/>
      <c r="S34" s="55"/>
      <c r="T34" s="58">
        <f t="shared" si="0"/>
        <v>2</v>
      </c>
      <c r="U34" s="75">
        <f t="shared" si="4"/>
        <v>5018</v>
      </c>
      <c r="V34" s="75">
        <f t="shared" si="5"/>
        <v>209.08333333333334</v>
      </c>
    </row>
    <row r="35" spans="1:23" hidden="1" x14ac:dyDescent="0.25">
      <c r="A35" s="27">
        <f t="shared" si="1"/>
        <v>32</v>
      </c>
      <c r="B35" s="26" t="s">
        <v>25</v>
      </c>
      <c r="C35" s="70"/>
      <c r="D35" s="70"/>
      <c r="E35" s="70"/>
      <c r="F35" s="70"/>
      <c r="G35" s="70"/>
      <c r="H35" s="70"/>
      <c r="I35" s="70"/>
      <c r="J35" s="71"/>
      <c r="K35" s="72"/>
      <c r="L35" s="55"/>
      <c r="M35" s="73"/>
      <c r="N35" s="74"/>
      <c r="O35" s="70"/>
      <c r="P35" s="71"/>
      <c r="Q35" s="71"/>
      <c r="R35" s="72"/>
      <c r="S35" s="55"/>
      <c r="T35" s="58">
        <f t="shared" si="0"/>
        <v>0</v>
      </c>
      <c r="U35" s="75">
        <f t="shared" si="4"/>
        <v>0</v>
      </c>
      <c r="V35" s="75">
        <f t="shared" si="5"/>
        <v>0</v>
      </c>
    </row>
    <row r="36" spans="1:23" x14ac:dyDescent="0.25">
      <c r="A36" s="27">
        <f t="shared" si="1"/>
        <v>33</v>
      </c>
      <c r="B36" s="26" t="s">
        <v>18</v>
      </c>
      <c r="C36" s="70"/>
      <c r="D36" s="70"/>
      <c r="E36" s="70"/>
      <c r="F36" s="70"/>
      <c r="G36" s="70"/>
      <c r="H36" s="70"/>
      <c r="I36" s="70"/>
      <c r="J36" s="71"/>
      <c r="K36" s="72"/>
      <c r="L36" s="55"/>
      <c r="M36" s="73"/>
      <c r="N36" s="74"/>
      <c r="O36" s="70"/>
      <c r="P36" s="71"/>
      <c r="Q36" s="71"/>
      <c r="R36" s="72"/>
      <c r="S36" s="55"/>
      <c r="T36" s="58">
        <f t="shared" si="0"/>
        <v>0</v>
      </c>
      <c r="U36" s="75">
        <f t="shared" si="4"/>
        <v>0</v>
      </c>
      <c r="V36" s="75">
        <f t="shared" si="5"/>
        <v>0</v>
      </c>
    </row>
    <row r="37" spans="1:23" ht="19.5" thickBot="1" x14ac:dyDescent="0.3">
      <c r="A37" s="27">
        <f t="shared" si="1"/>
        <v>34</v>
      </c>
      <c r="B37" s="42" t="s">
        <v>19</v>
      </c>
      <c r="C37" s="59">
        <f>756+3132+89+94</f>
        <v>4071</v>
      </c>
      <c r="D37" s="59"/>
      <c r="E37" s="59"/>
      <c r="F37" s="59"/>
      <c r="G37" s="59"/>
      <c r="H37" s="59">
        <v>2</v>
      </c>
      <c r="I37" s="59">
        <v>2</v>
      </c>
      <c r="J37" s="60">
        <v>1</v>
      </c>
      <c r="K37" s="61">
        <f>6+2</f>
        <v>8</v>
      </c>
      <c r="L37" s="62"/>
      <c r="M37" s="63">
        <v>118</v>
      </c>
      <c r="N37" s="64"/>
      <c r="O37" s="65">
        <v>24</v>
      </c>
      <c r="P37" s="66"/>
      <c r="Q37" s="66">
        <v>1</v>
      </c>
      <c r="R37" s="67"/>
      <c r="S37" s="62"/>
      <c r="T37" s="77">
        <f t="shared" si="0"/>
        <v>13</v>
      </c>
      <c r="U37" s="77">
        <f>C37*6+M37*6+O37*6+Q37*6+T37</f>
        <v>25297</v>
      </c>
      <c r="V37" s="77">
        <f>U37/6</f>
        <v>4216.166666666667</v>
      </c>
      <c r="W37" s="50"/>
    </row>
    <row r="38" spans="1:23" x14ac:dyDescent="0.25">
      <c r="A38" s="27">
        <f t="shared" si="1"/>
        <v>35</v>
      </c>
      <c r="B38" s="25" t="s">
        <v>20</v>
      </c>
      <c r="C38" s="70">
        <v>1</v>
      </c>
      <c r="D38" s="70"/>
      <c r="E38" s="70"/>
      <c r="F38" s="70"/>
      <c r="G38" s="70"/>
      <c r="H38" s="70"/>
      <c r="I38" s="70"/>
      <c r="J38" s="71"/>
      <c r="K38" s="72"/>
      <c r="L38" s="55"/>
      <c r="M38" s="73"/>
      <c r="N38" s="74"/>
      <c r="O38" s="70"/>
      <c r="P38" s="71"/>
      <c r="Q38" s="71"/>
      <c r="R38" s="72"/>
      <c r="S38" s="55"/>
      <c r="T38" s="75">
        <f t="shared" si="0"/>
        <v>0</v>
      </c>
      <c r="U38" s="75">
        <f>C38*24+M38*24+O38*24+Q38*24+T38</f>
        <v>24</v>
      </c>
      <c r="V38" s="75">
        <f>U38/24</f>
        <v>1</v>
      </c>
    </row>
    <row r="39" spans="1:23" x14ac:dyDescent="0.25">
      <c r="A39" s="27">
        <f t="shared" si="1"/>
        <v>36</v>
      </c>
      <c r="B39" s="51" t="s">
        <v>62</v>
      </c>
      <c r="C39" s="78"/>
      <c r="D39" s="78"/>
      <c r="E39" s="78"/>
      <c r="F39" s="78"/>
      <c r="G39" s="78"/>
      <c r="H39" s="78"/>
      <c r="I39" s="78"/>
      <c r="J39" s="79"/>
      <c r="K39" s="80"/>
      <c r="L39" s="55"/>
      <c r="M39" s="73"/>
      <c r="N39" s="74"/>
      <c r="O39" s="70"/>
      <c r="P39" s="71"/>
      <c r="Q39" s="71"/>
      <c r="R39" s="72"/>
      <c r="S39" s="95"/>
      <c r="T39" s="75">
        <f t="shared" si="0"/>
        <v>0</v>
      </c>
      <c r="U39" s="75">
        <f>C39*24+M39*24+O39*24+Q39*24+T39</f>
        <v>0</v>
      </c>
      <c r="V39" s="75">
        <f>U39/24</f>
        <v>0</v>
      </c>
    </row>
    <row r="40" spans="1:23" ht="19.5" thickBot="1" x14ac:dyDescent="0.3">
      <c r="A40" s="27">
        <f t="shared" si="1"/>
        <v>37</v>
      </c>
      <c r="B40" s="42" t="s">
        <v>21</v>
      </c>
      <c r="C40" s="59">
        <f>21+126+58</f>
        <v>205</v>
      </c>
      <c r="D40" s="59"/>
      <c r="E40" s="59"/>
      <c r="F40" s="59"/>
      <c r="G40" s="59"/>
      <c r="H40" s="59"/>
      <c r="I40" s="59"/>
      <c r="J40" s="60"/>
      <c r="K40" s="61">
        <v>20</v>
      </c>
      <c r="L40" s="62"/>
      <c r="M40" s="63">
        <v>2</v>
      </c>
      <c r="N40" s="64"/>
      <c r="O40" s="65">
        <v>1</v>
      </c>
      <c r="P40" s="66"/>
      <c r="Q40" s="66"/>
      <c r="R40" s="67"/>
      <c r="S40" s="62"/>
      <c r="T40" s="77">
        <f t="shared" si="0"/>
        <v>20</v>
      </c>
      <c r="U40" s="77">
        <f>C40*24+M40*24+O40*24+Q40*24+T40</f>
        <v>5012</v>
      </c>
      <c r="V40" s="77">
        <f>U40/24</f>
        <v>208.83333333333334</v>
      </c>
    </row>
    <row r="41" spans="1:23" ht="19.5" thickBot="1" x14ac:dyDescent="0.3">
      <c r="A41" s="27">
        <f t="shared" si="1"/>
        <v>38</v>
      </c>
      <c r="B41" s="43" t="s">
        <v>22</v>
      </c>
      <c r="C41" s="82">
        <v>69</v>
      </c>
      <c r="D41" s="82"/>
      <c r="E41" s="82"/>
      <c r="F41" s="82"/>
      <c r="G41" s="82"/>
      <c r="H41" s="82"/>
      <c r="I41" s="82"/>
      <c r="J41" s="83"/>
      <c r="K41" s="84"/>
      <c r="L41" s="85"/>
      <c r="M41" s="86">
        <v>17</v>
      </c>
      <c r="N41" s="87"/>
      <c r="O41" s="82">
        <v>12</v>
      </c>
      <c r="P41" s="83"/>
      <c r="Q41" s="83">
        <v>23</v>
      </c>
      <c r="R41" s="84"/>
      <c r="S41" s="85"/>
      <c r="T41" s="88">
        <f t="shared" si="0"/>
        <v>0</v>
      </c>
      <c r="U41" s="88">
        <f>C41*12+M41*12+O41*12+Q41*12+T41</f>
        <v>1452</v>
      </c>
      <c r="V41" s="88">
        <f>U41/12</f>
        <v>121</v>
      </c>
    </row>
    <row r="42" spans="1:23" hidden="1" x14ac:dyDescent="0.25">
      <c r="A42" s="27">
        <f t="shared" si="1"/>
        <v>39</v>
      </c>
      <c r="B42" s="25" t="s">
        <v>29</v>
      </c>
      <c r="C42" s="70"/>
      <c r="D42" s="70"/>
      <c r="E42" s="70"/>
      <c r="F42" s="70"/>
      <c r="G42" s="70"/>
      <c r="H42" s="70"/>
      <c r="I42" s="70"/>
      <c r="J42" s="71"/>
      <c r="K42" s="72"/>
      <c r="L42" s="55"/>
      <c r="M42" s="73"/>
      <c r="N42" s="74"/>
      <c r="O42" s="70"/>
      <c r="P42" s="71"/>
      <c r="Q42" s="71"/>
      <c r="R42" s="72"/>
      <c r="S42" s="55"/>
      <c r="T42" s="75"/>
      <c r="U42" s="75"/>
      <c r="V42" s="75"/>
    </row>
    <row r="43" spans="1:23" ht="19.5" thickBot="1" x14ac:dyDescent="0.3">
      <c r="A43" s="27">
        <f t="shared" si="1"/>
        <v>40</v>
      </c>
      <c r="B43" s="42" t="s">
        <v>23</v>
      </c>
      <c r="C43" s="65">
        <f>13284+19764+10260</f>
        <v>43308</v>
      </c>
      <c r="D43" s="65"/>
      <c r="E43" s="65"/>
      <c r="F43" s="65"/>
      <c r="G43" s="65"/>
      <c r="H43" s="65">
        <v>4</v>
      </c>
      <c r="I43" s="65">
        <v>12</v>
      </c>
      <c r="J43" s="66">
        <f>7*6+1</f>
        <v>43</v>
      </c>
      <c r="K43" s="67">
        <f>71*6+2</f>
        <v>428</v>
      </c>
      <c r="L43" s="62"/>
      <c r="M43" s="63">
        <v>302</v>
      </c>
      <c r="N43" s="64"/>
      <c r="O43" s="65">
        <v>454</v>
      </c>
      <c r="P43" s="66"/>
      <c r="Q43" s="66">
        <v>104</v>
      </c>
      <c r="R43" s="67"/>
      <c r="S43" s="62"/>
      <c r="T43" s="77">
        <f t="shared" ref="T43" si="6">H43+I43+J43+K43+N43+P43+R43</f>
        <v>487</v>
      </c>
      <c r="U43" s="77">
        <f>C43*6+M43*6+O43*6+Q43*6+T43</f>
        <v>265495</v>
      </c>
      <c r="V43" s="77">
        <f>U43/6</f>
        <v>44249.166666666664</v>
      </c>
    </row>
    <row r="44" spans="1:23" hidden="1" x14ac:dyDescent="0.25">
      <c r="A44" s="27">
        <f t="shared" si="1"/>
        <v>41</v>
      </c>
      <c r="B44" s="25" t="s">
        <v>31</v>
      </c>
      <c r="C44" s="70"/>
      <c r="D44" s="70"/>
      <c r="E44" s="70"/>
      <c r="F44" s="70"/>
      <c r="G44" s="70"/>
      <c r="H44" s="70"/>
      <c r="I44" s="70"/>
      <c r="J44" s="71"/>
      <c r="K44" s="72"/>
      <c r="L44" s="55"/>
      <c r="M44" s="73"/>
      <c r="N44" s="74"/>
      <c r="O44" s="70"/>
      <c r="P44" s="71"/>
      <c r="Q44" s="71"/>
      <c r="R44" s="72"/>
      <c r="S44" s="55"/>
      <c r="T44" s="75"/>
      <c r="U44" s="75"/>
      <c r="V44" s="75"/>
    </row>
    <row r="45" spans="1:23" x14ac:dyDescent="0.25">
      <c r="A45" s="27">
        <f t="shared" si="1"/>
        <v>42</v>
      </c>
      <c r="B45" s="26" t="s">
        <v>24</v>
      </c>
      <c r="C45" s="70"/>
      <c r="D45" s="70"/>
      <c r="E45" s="70"/>
      <c r="F45" s="70"/>
      <c r="G45" s="70"/>
      <c r="H45" s="70"/>
      <c r="I45" s="70"/>
      <c r="J45" s="71"/>
      <c r="K45" s="72"/>
      <c r="L45" s="55"/>
      <c r="M45" s="73"/>
      <c r="N45" s="74"/>
      <c r="O45" s="70"/>
      <c r="P45" s="71"/>
      <c r="Q45" s="71"/>
      <c r="R45" s="72"/>
      <c r="S45" s="55"/>
      <c r="T45" s="75">
        <f t="shared" ref="T45:T54" si="7">H45+I45+J45+K45+N45+P45+R45</f>
        <v>0</v>
      </c>
      <c r="U45" s="75">
        <f>C45*24+M45*24+O45*24+Q45*24+T45</f>
        <v>0</v>
      </c>
      <c r="V45" s="75">
        <f>U45/24</f>
        <v>0</v>
      </c>
    </row>
    <row r="46" spans="1:23" x14ac:dyDescent="0.25">
      <c r="A46" s="27">
        <f t="shared" si="1"/>
        <v>43</v>
      </c>
      <c r="B46" s="26" t="s">
        <v>57</v>
      </c>
      <c r="C46" s="70">
        <v>1</v>
      </c>
      <c r="D46" s="70"/>
      <c r="E46" s="70"/>
      <c r="F46" s="70"/>
      <c r="G46" s="70"/>
      <c r="H46" s="70"/>
      <c r="I46" s="70"/>
      <c r="J46" s="71"/>
      <c r="K46" s="72"/>
      <c r="L46" s="55"/>
      <c r="M46" s="73"/>
      <c r="N46" s="74"/>
      <c r="O46" s="70"/>
      <c r="P46" s="71"/>
      <c r="Q46" s="71"/>
      <c r="R46" s="72"/>
      <c r="S46" s="55"/>
      <c r="T46" s="75">
        <f t="shared" si="7"/>
        <v>0</v>
      </c>
      <c r="U46" s="75">
        <f t="shared" ref="U46:U50" si="8">C46*24+M46*24+O46*24+Q46*24+T46</f>
        <v>24</v>
      </c>
      <c r="V46" s="75">
        <f t="shared" ref="V46:V54" si="9">U46/24</f>
        <v>1</v>
      </c>
    </row>
    <row r="47" spans="1:23" ht="19.5" thickBot="1" x14ac:dyDescent="0.3">
      <c r="A47" s="27">
        <f t="shared" si="1"/>
        <v>44</v>
      </c>
      <c r="B47" s="42" t="s">
        <v>25</v>
      </c>
      <c r="C47" s="65">
        <f>101+648+324+88+540+103+324+432+106</f>
        <v>2666</v>
      </c>
      <c r="D47" s="65"/>
      <c r="E47" s="65"/>
      <c r="F47" s="65"/>
      <c r="G47" s="65"/>
      <c r="H47" s="65">
        <v>1</v>
      </c>
      <c r="I47" s="65"/>
      <c r="J47" s="66"/>
      <c r="K47" s="67">
        <v>5</v>
      </c>
      <c r="L47" s="62"/>
      <c r="M47" s="63">
        <v>9</v>
      </c>
      <c r="N47" s="64"/>
      <c r="O47" s="65">
        <v>16</v>
      </c>
      <c r="P47" s="66"/>
      <c r="Q47" s="66">
        <v>10</v>
      </c>
      <c r="R47" s="67">
        <v>3</v>
      </c>
      <c r="S47" s="62"/>
      <c r="T47" s="77">
        <f t="shared" si="7"/>
        <v>9</v>
      </c>
      <c r="U47" s="77">
        <f>C47*6+M47*6+O47*6+Q47*6+T47</f>
        <v>16215</v>
      </c>
      <c r="V47" s="77">
        <f>U47/6</f>
        <v>2702.5</v>
      </c>
    </row>
    <row r="48" spans="1:23" x14ac:dyDescent="0.25">
      <c r="A48" s="27">
        <f t="shared" si="1"/>
        <v>45</v>
      </c>
      <c r="B48" s="25" t="s">
        <v>58</v>
      </c>
      <c r="C48" s="70"/>
      <c r="D48" s="70"/>
      <c r="E48" s="70"/>
      <c r="F48" s="70"/>
      <c r="G48" s="70"/>
      <c r="H48" s="70">
        <v>24</v>
      </c>
      <c r="I48" s="70"/>
      <c r="J48" s="71"/>
      <c r="K48" s="72"/>
      <c r="L48" s="55"/>
      <c r="M48" s="73"/>
      <c r="N48" s="74"/>
      <c r="O48" s="70"/>
      <c r="P48" s="71"/>
      <c r="Q48" s="71"/>
      <c r="R48" s="72"/>
      <c r="S48" s="55"/>
      <c r="T48" s="75">
        <f t="shared" si="7"/>
        <v>24</v>
      </c>
      <c r="U48" s="75">
        <f t="shared" si="8"/>
        <v>24</v>
      </c>
      <c r="V48" s="75">
        <f t="shared" si="9"/>
        <v>1</v>
      </c>
    </row>
    <row r="49" spans="1:22" x14ac:dyDescent="0.25">
      <c r="A49" s="27">
        <f t="shared" si="1"/>
        <v>46</v>
      </c>
      <c r="B49" s="26" t="s">
        <v>26</v>
      </c>
      <c r="C49" s="70">
        <v>10</v>
      </c>
      <c r="D49" s="70"/>
      <c r="E49" s="70"/>
      <c r="F49" s="70"/>
      <c r="G49" s="70"/>
      <c r="H49" s="70"/>
      <c r="I49" s="70"/>
      <c r="J49" s="71"/>
      <c r="K49" s="72"/>
      <c r="L49" s="55"/>
      <c r="M49" s="73"/>
      <c r="N49" s="74"/>
      <c r="O49" s="70"/>
      <c r="P49" s="71"/>
      <c r="Q49" s="71"/>
      <c r="R49" s="72"/>
      <c r="S49" s="55"/>
      <c r="T49" s="75">
        <f t="shared" si="7"/>
        <v>0</v>
      </c>
      <c r="U49" s="75">
        <f t="shared" si="8"/>
        <v>240</v>
      </c>
      <c r="V49" s="75">
        <f t="shared" si="9"/>
        <v>10</v>
      </c>
    </row>
    <row r="50" spans="1:22" x14ac:dyDescent="0.25">
      <c r="A50" s="27">
        <f t="shared" si="1"/>
        <v>47</v>
      </c>
      <c r="B50" s="26" t="s">
        <v>59</v>
      </c>
      <c r="C50" s="70"/>
      <c r="D50" s="70"/>
      <c r="E50" s="70"/>
      <c r="F50" s="70"/>
      <c r="G50" s="70"/>
      <c r="H50" s="70"/>
      <c r="I50" s="70"/>
      <c r="J50" s="71"/>
      <c r="K50" s="72"/>
      <c r="L50" s="55"/>
      <c r="M50" s="73"/>
      <c r="N50" s="74"/>
      <c r="O50" s="70"/>
      <c r="P50" s="71"/>
      <c r="Q50" s="71"/>
      <c r="R50" s="72"/>
      <c r="S50" s="55"/>
      <c r="T50" s="75">
        <f t="shared" si="7"/>
        <v>0</v>
      </c>
      <c r="U50" s="75">
        <f t="shared" si="8"/>
        <v>0</v>
      </c>
      <c r="V50" s="75">
        <f t="shared" si="9"/>
        <v>0</v>
      </c>
    </row>
    <row r="51" spans="1:22" ht="19.5" thickBot="1" x14ac:dyDescent="0.3">
      <c r="A51" s="27">
        <f t="shared" si="1"/>
        <v>48</v>
      </c>
      <c r="B51" s="42" t="s">
        <v>27</v>
      </c>
      <c r="C51" s="65">
        <v>34</v>
      </c>
      <c r="D51" s="65"/>
      <c r="E51" s="65"/>
      <c r="F51" s="65"/>
      <c r="G51" s="65"/>
      <c r="H51" s="65"/>
      <c r="I51" s="65"/>
      <c r="J51" s="66"/>
      <c r="K51" s="67"/>
      <c r="L51" s="62"/>
      <c r="M51" s="63"/>
      <c r="N51" s="64"/>
      <c r="O51" s="65"/>
      <c r="P51" s="66"/>
      <c r="Q51" s="66"/>
      <c r="R51" s="67"/>
      <c r="S51" s="62"/>
      <c r="T51" s="77">
        <f t="shared" si="7"/>
        <v>0</v>
      </c>
      <c r="U51" s="77">
        <f>C51*6+M51*6+O51*6+Q51*6+T51</f>
        <v>204</v>
      </c>
      <c r="V51" s="77">
        <f>U51/6</f>
        <v>34</v>
      </c>
    </row>
    <row r="52" spans="1:22" x14ac:dyDescent="0.25">
      <c r="A52" s="27">
        <f t="shared" si="1"/>
        <v>49</v>
      </c>
      <c r="B52" s="25" t="s">
        <v>28</v>
      </c>
      <c r="C52" s="70"/>
      <c r="D52" s="70"/>
      <c r="E52" s="70"/>
      <c r="F52" s="70"/>
      <c r="G52" s="70"/>
      <c r="H52" s="70"/>
      <c r="I52" s="70"/>
      <c r="J52" s="71"/>
      <c r="K52" s="72"/>
      <c r="L52" s="55"/>
      <c r="M52" s="73"/>
      <c r="N52" s="74"/>
      <c r="O52" s="70"/>
      <c r="P52" s="71"/>
      <c r="Q52" s="71"/>
      <c r="R52" s="72"/>
      <c r="S52" s="55"/>
      <c r="T52" s="75">
        <f t="shared" si="7"/>
        <v>0</v>
      </c>
      <c r="U52" s="75">
        <f t="shared" ref="U52:U54" si="10">C52*24+M52*24+O52*24+Q52*24+T52</f>
        <v>0</v>
      </c>
      <c r="V52" s="75">
        <f t="shared" si="9"/>
        <v>0</v>
      </c>
    </row>
    <row r="53" spans="1:22" x14ac:dyDescent="0.25">
      <c r="A53" s="27">
        <f t="shared" si="1"/>
        <v>50</v>
      </c>
      <c r="B53" s="26" t="s">
        <v>63</v>
      </c>
      <c r="C53" s="70">
        <v>6</v>
      </c>
      <c r="D53" s="70"/>
      <c r="E53" s="70"/>
      <c r="F53" s="70"/>
      <c r="G53" s="70"/>
      <c r="H53" s="70"/>
      <c r="I53" s="70"/>
      <c r="J53" s="71"/>
      <c r="K53" s="72"/>
      <c r="L53" s="55"/>
      <c r="M53" s="73"/>
      <c r="N53" s="74"/>
      <c r="O53" s="70"/>
      <c r="P53" s="71"/>
      <c r="Q53" s="71">
        <v>1</v>
      </c>
      <c r="R53" s="72"/>
      <c r="S53" s="55"/>
      <c r="T53" s="75">
        <f t="shared" si="7"/>
        <v>0</v>
      </c>
      <c r="U53" s="75">
        <f t="shared" si="10"/>
        <v>168</v>
      </c>
      <c r="V53" s="75">
        <f t="shared" si="9"/>
        <v>7</v>
      </c>
    </row>
    <row r="54" spans="1:22" x14ac:dyDescent="0.25">
      <c r="A54" s="27">
        <f t="shared" si="1"/>
        <v>51</v>
      </c>
      <c r="B54" s="26"/>
      <c r="C54" s="70"/>
      <c r="D54" s="70"/>
      <c r="E54" s="70"/>
      <c r="F54" s="70"/>
      <c r="G54" s="70"/>
      <c r="H54" s="70"/>
      <c r="I54" s="70"/>
      <c r="J54" s="71"/>
      <c r="K54" s="72"/>
      <c r="L54" s="55"/>
      <c r="M54" s="73"/>
      <c r="N54" s="74"/>
      <c r="O54" s="70"/>
      <c r="P54" s="71"/>
      <c r="Q54" s="71"/>
      <c r="R54" s="72"/>
      <c r="S54" s="55"/>
      <c r="T54" s="75">
        <f t="shared" si="7"/>
        <v>0</v>
      </c>
      <c r="U54" s="75">
        <f t="shared" si="10"/>
        <v>0</v>
      </c>
      <c r="V54" s="75">
        <f t="shared" si="9"/>
        <v>0</v>
      </c>
    </row>
    <row r="55" spans="1:22" x14ac:dyDescent="0.25">
      <c r="A55" s="27">
        <f t="shared" si="1"/>
        <v>52</v>
      </c>
      <c r="B55" s="26"/>
      <c r="C55" s="70"/>
      <c r="D55" s="70"/>
      <c r="E55" s="70"/>
      <c r="F55" s="70"/>
      <c r="G55" s="70"/>
      <c r="H55" s="70"/>
      <c r="I55" s="70"/>
      <c r="J55" s="71"/>
      <c r="K55" s="72"/>
      <c r="L55" s="55"/>
      <c r="M55" s="73"/>
      <c r="N55" s="74"/>
      <c r="O55" s="70"/>
      <c r="P55" s="71"/>
      <c r="Q55" s="71"/>
      <c r="R55" s="72"/>
      <c r="S55" s="55"/>
      <c r="T55" s="75"/>
      <c r="U55" s="75"/>
      <c r="V55" s="75"/>
    </row>
    <row r="56" spans="1:22" x14ac:dyDescent="0.25">
      <c r="A56" s="27">
        <f t="shared" si="1"/>
        <v>53</v>
      </c>
      <c r="B56" s="26"/>
      <c r="C56" s="70"/>
      <c r="D56" s="70"/>
      <c r="E56" s="70"/>
      <c r="F56" s="70"/>
      <c r="G56" s="70"/>
      <c r="H56" s="70"/>
      <c r="I56" s="70"/>
      <c r="J56" s="71"/>
      <c r="K56" s="72"/>
      <c r="L56" s="55"/>
      <c r="M56" s="73"/>
      <c r="N56" s="74"/>
      <c r="O56" s="70"/>
      <c r="P56" s="71"/>
      <c r="Q56" s="71"/>
      <c r="R56" s="72"/>
      <c r="S56" s="55"/>
      <c r="T56" s="75"/>
      <c r="U56" s="75"/>
      <c r="V56" s="75"/>
    </row>
    <row r="57" spans="1:22" x14ac:dyDescent="0.25">
      <c r="A57" s="27">
        <f t="shared" si="1"/>
        <v>54</v>
      </c>
      <c r="B57" s="26"/>
      <c r="C57" s="70"/>
      <c r="D57" s="70"/>
      <c r="E57" s="70"/>
      <c r="F57" s="70"/>
      <c r="G57" s="70"/>
      <c r="H57" s="70"/>
      <c r="I57" s="70"/>
      <c r="J57" s="71"/>
      <c r="K57" s="72"/>
      <c r="L57" s="55"/>
      <c r="M57" s="73"/>
      <c r="N57" s="74"/>
      <c r="O57" s="70"/>
      <c r="P57" s="71"/>
      <c r="Q57" s="71"/>
      <c r="R57" s="72"/>
      <c r="S57" s="55"/>
      <c r="T57" s="75"/>
      <c r="U57" s="75"/>
      <c r="V57" s="75"/>
    </row>
    <row r="58" spans="1:22" s="15" customFormat="1" ht="19.5" thickBot="1" x14ac:dyDescent="0.3">
      <c r="B58" s="29" t="s">
        <v>50</v>
      </c>
      <c r="C58" s="2">
        <f>SUM(C7:C57)</f>
        <v>54503</v>
      </c>
      <c r="D58" s="2"/>
      <c r="E58" s="2"/>
      <c r="F58" s="2">
        <f t="shared" ref="F58:K58" si="11">SUM(F7:F57)</f>
        <v>0</v>
      </c>
      <c r="G58" s="2">
        <f t="shared" si="11"/>
        <v>0</v>
      </c>
      <c r="H58" s="2">
        <f t="shared" si="11"/>
        <v>1190</v>
      </c>
      <c r="I58" s="6">
        <f t="shared" si="11"/>
        <v>38</v>
      </c>
      <c r="J58" s="6">
        <f t="shared" si="11"/>
        <v>50</v>
      </c>
      <c r="K58" s="6">
        <f t="shared" si="11"/>
        <v>470</v>
      </c>
      <c r="M58" s="5">
        <f t="shared" ref="M58:R58" si="12">SUM(M7:M57)</f>
        <v>460</v>
      </c>
      <c r="N58" s="5">
        <f t="shared" si="12"/>
        <v>0</v>
      </c>
      <c r="O58" s="5">
        <f t="shared" si="12"/>
        <v>527</v>
      </c>
      <c r="P58" s="5">
        <f t="shared" si="12"/>
        <v>32</v>
      </c>
      <c r="Q58" s="5">
        <f t="shared" si="12"/>
        <v>146</v>
      </c>
      <c r="R58" s="5">
        <f t="shared" si="12"/>
        <v>3</v>
      </c>
      <c r="S58" s="55"/>
      <c r="T58" s="4">
        <f>SUM(T7:T57)</f>
        <v>1783</v>
      </c>
      <c r="U58" s="90">
        <f>SUM(U7:U57)</f>
        <v>415489</v>
      </c>
      <c r="V58" s="4">
        <f>SUM(V7:V57)</f>
        <v>55773.916666666664</v>
      </c>
    </row>
    <row r="59" spans="1:22" ht="7.5" customHeight="1" thickBot="1" x14ac:dyDescent="0.3"/>
    <row r="60" spans="1:22" ht="19.5" thickBot="1" x14ac:dyDescent="0.3">
      <c r="B60" s="30" t="s">
        <v>37</v>
      </c>
      <c r="C60" s="113" t="s">
        <v>41</v>
      </c>
      <c r="D60" s="114"/>
      <c r="E60" s="114"/>
      <c r="F60" s="114"/>
      <c r="G60" s="114"/>
      <c r="H60" s="114"/>
      <c r="I60" s="114"/>
      <c r="J60" s="114"/>
      <c r="K60" s="115"/>
      <c r="U60" s="24" t="s">
        <v>51</v>
      </c>
    </row>
    <row r="61" spans="1:22" x14ac:dyDescent="0.25">
      <c r="B61" s="31" t="s">
        <v>17</v>
      </c>
      <c r="C61" s="19"/>
      <c r="D61" s="19"/>
      <c r="E61" s="19"/>
      <c r="F61" s="19"/>
      <c r="G61" s="19"/>
      <c r="H61" s="19"/>
      <c r="I61" s="19"/>
      <c r="J61" s="45"/>
      <c r="K61" s="20"/>
      <c r="U61" s="7"/>
    </row>
    <row r="62" spans="1:22" x14ac:dyDescent="0.25">
      <c r="B62" s="32" t="s">
        <v>45</v>
      </c>
      <c r="C62" s="1"/>
      <c r="D62" s="1"/>
      <c r="E62" s="1"/>
      <c r="F62" s="1"/>
      <c r="G62" s="1"/>
      <c r="H62" s="1"/>
      <c r="I62" s="1"/>
      <c r="J62" s="44"/>
      <c r="K62" s="21"/>
      <c r="U62" s="3"/>
    </row>
    <row r="63" spans="1:22" ht="19.5" thickBot="1" x14ac:dyDescent="0.3">
      <c r="B63" s="33" t="s">
        <v>44</v>
      </c>
      <c r="C63" s="22"/>
      <c r="D63" s="22"/>
      <c r="E63" s="22"/>
      <c r="F63" s="22"/>
      <c r="G63" s="22"/>
      <c r="H63" s="22"/>
      <c r="I63" s="22"/>
      <c r="J63" s="46"/>
      <c r="K63" s="23"/>
      <c r="U63" s="8"/>
    </row>
    <row r="64" spans="1:22" ht="7.5" customHeight="1" thickBot="1" x14ac:dyDescent="0.3"/>
    <row r="65" spans="2:21" x14ac:dyDescent="0.25">
      <c r="B65" s="31" t="s">
        <v>46</v>
      </c>
      <c r="C65" s="19"/>
      <c r="D65" s="19"/>
      <c r="E65" s="19"/>
      <c r="F65" s="19"/>
      <c r="G65" s="19"/>
      <c r="H65" s="19"/>
      <c r="I65" s="19"/>
      <c r="J65" s="45"/>
      <c r="K65" s="20"/>
      <c r="U65" s="7"/>
    </row>
    <row r="66" spans="2:21" x14ac:dyDescent="0.25">
      <c r="B66" s="32" t="s">
        <v>45</v>
      </c>
      <c r="C66" s="1"/>
      <c r="D66" s="1"/>
      <c r="E66" s="1"/>
      <c r="F66" s="1"/>
      <c r="G66" s="1"/>
      <c r="H66" s="1"/>
      <c r="I66" s="1"/>
      <c r="J66" s="44"/>
      <c r="K66" s="21"/>
      <c r="U66" s="3"/>
    </row>
    <row r="67" spans="2:21" ht="19.5" thickBot="1" x14ac:dyDescent="0.3">
      <c r="B67" s="33" t="s">
        <v>44</v>
      </c>
      <c r="C67" s="22"/>
      <c r="D67" s="22"/>
      <c r="E67" s="22"/>
      <c r="F67" s="22"/>
      <c r="G67" s="22"/>
      <c r="H67" s="22"/>
      <c r="I67" s="22"/>
      <c r="J67" s="46"/>
      <c r="K67" s="23"/>
      <c r="U67" s="8"/>
    </row>
    <row r="68" spans="2:21" ht="7.5" customHeight="1" thickBot="1" x14ac:dyDescent="0.3"/>
    <row r="69" spans="2:21" x14ac:dyDescent="0.25">
      <c r="B69" s="31" t="s">
        <v>38</v>
      </c>
      <c r="C69" s="19"/>
      <c r="D69" s="19"/>
      <c r="E69" s="19"/>
      <c r="F69" s="19"/>
      <c r="G69" s="19"/>
      <c r="H69" s="19"/>
      <c r="I69" s="19"/>
      <c r="J69" s="45"/>
      <c r="K69" s="20"/>
      <c r="U69" s="7"/>
    </row>
    <row r="70" spans="2:21" x14ac:dyDescent="0.25">
      <c r="B70" s="32" t="s">
        <v>45</v>
      </c>
      <c r="C70" s="1"/>
      <c r="D70" s="1"/>
      <c r="E70" s="1"/>
      <c r="F70" s="1"/>
      <c r="G70" s="1"/>
      <c r="H70" s="1"/>
      <c r="I70" s="1"/>
      <c r="J70" s="44"/>
      <c r="K70" s="21"/>
      <c r="U70" s="3"/>
    </row>
    <row r="71" spans="2:21" ht="19.5" thickBot="1" x14ac:dyDescent="0.3">
      <c r="B71" s="33" t="s">
        <v>44</v>
      </c>
      <c r="C71" s="22"/>
      <c r="D71" s="22"/>
      <c r="E71" s="22"/>
      <c r="F71" s="22"/>
      <c r="G71" s="22"/>
      <c r="H71" s="22"/>
      <c r="I71" s="22"/>
      <c r="J71" s="46"/>
      <c r="K71" s="23"/>
      <c r="U71" s="8"/>
    </row>
    <row r="72" spans="2:21" ht="7.5" customHeight="1" thickBot="1" x14ac:dyDescent="0.3"/>
    <row r="73" spans="2:21" x14ac:dyDescent="0.25">
      <c r="B73" s="31" t="s">
        <v>47</v>
      </c>
      <c r="C73" s="19"/>
      <c r="D73" s="19"/>
      <c r="E73" s="19"/>
      <c r="F73" s="19"/>
      <c r="G73" s="19"/>
      <c r="H73" s="19"/>
      <c r="I73" s="19"/>
      <c r="J73" s="45"/>
      <c r="K73" s="20"/>
      <c r="U73" s="7"/>
    </row>
    <row r="74" spans="2:21" x14ac:dyDescent="0.25">
      <c r="B74" s="32" t="s">
        <v>45</v>
      </c>
      <c r="C74" s="1"/>
      <c r="D74" s="1"/>
      <c r="E74" s="1"/>
      <c r="F74" s="1"/>
      <c r="G74" s="1"/>
      <c r="H74" s="1"/>
      <c r="I74" s="1"/>
      <c r="J74" s="44"/>
      <c r="K74" s="21"/>
      <c r="U74" s="3"/>
    </row>
    <row r="75" spans="2:21" ht="19.5" thickBot="1" x14ac:dyDescent="0.3">
      <c r="B75" s="33" t="s">
        <v>44</v>
      </c>
      <c r="C75" s="22"/>
      <c r="D75" s="22"/>
      <c r="E75" s="22"/>
      <c r="F75" s="22"/>
      <c r="G75" s="22"/>
      <c r="H75" s="22"/>
      <c r="I75" s="22"/>
      <c r="J75" s="46"/>
      <c r="K75" s="23"/>
      <c r="U75" s="8"/>
    </row>
    <row r="76" spans="2:21" ht="7.5" customHeight="1" thickBot="1" x14ac:dyDescent="0.3"/>
    <row r="77" spans="2:21" x14ac:dyDescent="0.25">
      <c r="B77" s="31" t="s">
        <v>48</v>
      </c>
      <c r="C77" s="19"/>
      <c r="D77" s="19"/>
      <c r="E77" s="19"/>
      <c r="F77" s="19"/>
      <c r="G77" s="19"/>
      <c r="H77" s="19"/>
      <c r="I77" s="19"/>
      <c r="J77" s="45"/>
      <c r="K77" s="20"/>
      <c r="U77" s="7"/>
    </row>
    <row r="78" spans="2:21" x14ac:dyDescent="0.25">
      <c r="B78" s="32" t="s">
        <v>45</v>
      </c>
      <c r="C78" s="1"/>
      <c r="D78" s="1"/>
      <c r="E78" s="1"/>
      <c r="F78" s="1"/>
      <c r="G78" s="1"/>
      <c r="H78" s="1"/>
      <c r="I78" s="1"/>
      <c r="J78" s="44"/>
      <c r="K78" s="21"/>
      <c r="U78" s="3"/>
    </row>
    <row r="79" spans="2:21" ht="19.5" thickBot="1" x14ac:dyDescent="0.3">
      <c r="B79" s="33" t="s">
        <v>44</v>
      </c>
      <c r="C79" s="22"/>
      <c r="D79" s="22"/>
      <c r="E79" s="22"/>
      <c r="F79" s="22"/>
      <c r="G79" s="22"/>
      <c r="H79" s="22"/>
      <c r="I79" s="22"/>
      <c r="J79" s="46"/>
      <c r="K79" s="23"/>
      <c r="U79" s="8"/>
    </row>
    <row r="80" spans="2:21" ht="7.5" customHeight="1" thickBot="1" x14ac:dyDescent="0.3"/>
    <row r="81" spans="2:21" ht="19.5" thickBot="1" x14ac:dyDescent="0.3">
      <c r="B81" s="30" t="s">
        <v>49</v>
      </c>
      <c r="C81" s="17"/>
      <c r="D81" s="17"/>
      <c r="E81" s="17"/>
      <c r="F81" s="17"/>
      <c r="G81" s="17"/>
      <c r="H81" s="17"/>
      <c r="I81" s="17"/>
      <c r="J81" s="47"/>
      <c r="K81" s="18"/>
      <c r="U81" s="16"/>
    </row>
  </sheetData>
  <mergeCells count="7">
    <mergeCell ref="V4:V5"/>
    <mergeCell ref="J5:K5"/>
    <mergeCell ref="C60:K60"/>
    <mergeCell ref="I1:U1"/>
    <mergeCell ref="C4:K4"/>
    <mergeCell ref="T4:T5"/>
    <mergeCell ref="U4:U5"/>
  </mergeCells>
  <printOptions horizontalCentered="1" verticalCentered="1"/>
  <pageMargins left="0.19685039370078741" right="0.19685039370078741" top="0.19685039370078741" bottom="0.19685039370078741" header="0.19685039370078741" footer="0.19685039370078741"/>
  <pageSetup paperSize="14" scale="70" orientation="portrait" horizontalDpi="360" verticalDpi="360" r:id="rId1"/>
  <colBreaks count="1" manualBreakCount="1">
    <brk id="24" max="80" man="1"/>
  </colBreaks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ADF80862-C168-499B-9B04-10F231C2E69B}">
  <sheetPr>
    <pageSetUpPr fitToPage="1"/>
  </sheetPr>
  <dimension ref="A1:BB81"/>
  <sheetViews>
    <sheetView zoomScale="130" zoomScaleNormal="130" zoomScaleSheetLayoutView="115" workbookViewId="0">
      <selection activeCell="B2" sqref="B2"/>
    </sheetView>
  </sheetViews>
  <sheetFormatPr defaultColWidth="9.140625" defaultRowHeight="18.75" x14ac:dyDescent="0.25"/>
  <cols>
    <col min="1" max="1" width="4.140625" style="9" bestFit="1" customWidth="1"/>
    <col min="2" max="2" width="12.28515625" style="28" customWidth="1"/>
    <col min="3" max="6" width="10" style="9" customWidth="1"/>
    <col min="7" max="7" width="6.85546875" style="9" customWidth="1"/>
    <col min="8" max="8" width="7.5703125" style="9" bestFit="1" customWidth="1"/>
    <col min="9" max="9" width="6.7109375" style="9" bestFit="1" customWidth="1"/>
    <col min="10" max="10" width="6.85546875" style="9" customWidth="1"/>
    <col min="11" max="11" width="7.5703125" style="9" bestFit="1" customWidth="1"/>
    <col min="12" max="12" width="1.42578125" style="9" customWidth="1"/>
    <col min="13" max="13" width="10" style="9" customWidth="1"/>
    <col min="14" max="14" width="6.7109375" style="9" bestFit="1" customWidth="1"/>
    <col min="15" max="15" width="10" style="9" customWidth="1"/>
    <col min="16" max="16" width="5.5703125" style="9" customWidth="1"/>
    <col min="17" max="17" width="10" style="9" customWidth="1"/>
    <col min="18" max="18" width="6.7109375" style="9" bestFit="1" customWidth="1"/>
    <col min="19" max="19" width="1.42578125" style="9" customWidth="1"/>
    <col min="20" max="20" width="12.7109375" style="9" bestFit="1" customWidth="1"/>
    <col min="21" max="21" width="14.28515625" style="9" customWidth="1"/>
    <col min="22" max="22" width="19.5703125" style="9" bestFit="1" customWidth="1"/>
    <col min="23" max="49" width="7.28515625" style="9" customWidth="1"/>
    <col min="50" max="50" width="1.5703125" style="9" customWidth="1"/>
    <col min="51" max="51" width="9.42578125" style="9" customWidth="1"/>
    <col min="52" max="52" width="1.28515625" style="9" customWidth="1"/>
    <col min="53" max="53" width="12.7109375" style="9" bestFit="1" customWidth="1"/>
    <col min="54" max="54" width="10.28515625" style="9" bestFit="1" customWidth="1"/>
    <col min="55" max="16384" width="9.140625" style="9"/>
  </cols>
  <sheetData>
    <row r="1" spans="1:54" ht="15" customHeight="1" x14ac:dyDescent="0.25">
      <c r="B1" s="27" t="s">
        <v>42</v>
      </c>
      <c r="I1" s="116" t="s">
        <v>43</v>
      </c>
      <c r="J1" s="116"/>
      <c r="K1" s="116"/>
      <c r="L1" s="116"/>
      <c r="M1" s="116"/>
      <c r="N1" s="116"/>
      <c r="O1" s="116"/>
      <c r="P1" s="116"/>
      <c r="Q1" s="116"/>
      <c r="R1" s="116"/>
      <c r="S1" s="116"/>
      <c r="T1" s="116"/>
      <c r="U1" s="116"/>
    </row>
    <row r="2" spans="1:54" x14ac:dyDescent="0.25">
      <c r="B2" s="28" t="s">
        <v>74</v>
      </c>
    </row>
    <row r="3" spans="1:54" ht="19.5" thickBot="1" x14ac:dyDescent="0.3"/>
    <row r="4" spans="1:54" s="10" customFormat="1" ht="15.75" x14ac:dyDescent="0.25">
      <c r="B4" s="41" t="s">
        <v>52</v>
      </c>
      <c r="C4" s="117" t="s">
        <v>41</v>
      </c>
      <c r="D4" s="117"/>
      <c r="E4" s="117"/>
      <c r="F4" s="117"/>
      <c r="G4" s="117"/>
      <c r="H4" s="117"/>
      <c r="I4" s="117"/>
      <c r="J4" s="118"/>
      <c r="K4" s="119"/>
      <c r="M4" s="34" t="s">
        <v>0</v>
      </c>
      <c r="N4" s="48" t="s">
        <v>61</v>
      </c>
      <c r="O4" s="35" t="s">
        <v>39</v>
      </c>
      <c r="P4" s="48" t="s">
        <v>61</v>
      </c>
      <c r="Q4" s="36" t="s">
        <v>40</v>
      </c>
      <c r="R4" s="48" t="s">
        <v>61</v>
      </c>
      <c r="S4" s="9"/>
      <c r="T4" s="120" t="s">
        <v>68</v>
      </c>
      <c r="U4" s="126" t="s">
        <v>67</v>
      </c>
      <c r="V4" s="109" t="s">
        <v>66</v>
      </c>
      <c r="AF4" s="11"/>
      <c r="AG4" s="11"/>
      <c r="AH4" s="11"/>
      <c r="AI4" s="11"/>
      <c r="AJ4" s="11"/>
      <c r="AK4" s="11"/>
      <c r="AL4" s="11"/>
      <c r="AM4" s="11"/>
      <c r="AN4" s="11"/>
      <c r="AO4" s="11"/>
      <c r="AP4" s="11"/>
      <c r="AQ4" s="11"/>
      <c r="AR4" s="11"/>
      <c r="AS4" s="11"/>
      <c r="AT4" s="11"/>
      <c r="AU4" s="11"/>
      <c r="AV4" s="11"/>
      <c r="AW4" s="11"/>
      <c r="AX4" s="11"/>
      <c r="AY4" s="11"/>
      <c r="AZ4" s="11"/>
      <c r="BA4" s="11"/>
      <c r="BB4" s="11"/>
    </row>
    <row r="5" spans="1:54" s="10" customFormat="1" ht="15.75" x14ac:dyDescent="0.25">
      <c r="B5" s="37"/>
      <c r="C5" s="40"/>
      <c r="D5" s="40"/>
      <c r="E5" s="40"/>
      <c r="F5" s="40"/>
      <c r="G5" s="40"/>
      <c r="H5" s="40" t="s">
        <v>64</v>
      </c>
      <c r="I5" s="40" t="s">
        <v>60</v>
      </c>
      <c r="J5" s="124" t="s">
        <v>65</v>
      </c>
      <c r="K5" s="125"/>
      <c r="M5" s="37"/>
      <c r="N5" s="49"/>
      <c r="O5" s="40"/>
      <c r="P5" s="97"/>
      <c r="Q5" s="97"/>
      <c r="R5" s="38"/>
      <c r="S5" s="9"/>
      <c r="T5" s="121"/>
      <c r="U5" s="127"/>
      <c r="V5" s="110"/>
      <c r="AF5" s="11"/>
      <c r="AG5" s="11"/>
      <c r="AH5" s="11"/>
      <c r="AI5" s="11"/>
      <c r="AJ5" s="11"/>
      <c r="AK5" s="11"/>
      <c r="AL5" s="11"/>
      <c r="AM5" s="11"/>
      <c r="AN5" s="11"/>
      <c r="AO5" s="11"/>
      <c r="AP5" s="11"/>
      <c r="AQ5" s="11"/>
      <c r="AR5" s="11"/>
      <c r="AS5" s="11"/>
      <c r="AT5" s="11"/>
      <c r="AU5" s="11"/>
      <c r="AV5" s="11"/>
      <c r="AW5" s="11"/>
      <c r="AX5" s="11"/>
      <c r="AY5" s="11"/>
      <c r="AZ5" s="11"/>
      <c r="BA5" s="11"/>
      <c r="BB5" s="11"/>
    </row>
    <row r="6" spans="1:54" s="10" customFormat="1" ht="15.75" x14ac:dyDescent="0.25">
      <c r="B6" s="37"/>
      <c r="C6" s="40"/>
      <c r="D6" s="40"/>
      <c r="E6" s="40"/>
      <c r="F6" s="40"/>
      <c r="G6" s="40"/>
      <c r="H6" s="40"/>
      <c r="I6" s="40"/>
      <c r="J6" s="97"/>
      <c r="K6" s="38"/>
      <c r="M6" s="37"/>
      <c r="N6" s="49"/>
      <c r="O6" s="40"/>
      <c r="P6" s="97"/>
      <c r="Q6" s="97"/>
      <c r="R6" s="38"/>
      <c r="S6" s="9"/>
      <c r="T6" s="39"/>
      <c r="U6" s="39"/>
      <c r="V6" s="39"/>
      <c r="AF6" s="11"/>
      <c r="AG6" s="11"/>
      <c r="AH6" s="11"/>
      <c r="AI6" s="11"/>
      <c r="AJ6" s="11"/>
      <c r="AK6" s="11"/>
      <c r="AL6" s="11"/>
      <c r="AM6" s="11"/>
      <c r="AN6" s="11"/>
      <c r="AO6" s="11"/>
      <c r="AP6" s="11"/>
      <c r="AQ6" s="11"/>
      <c r="AR6" s="11"/>
      <c r="AS6" s="11"/>
      <c r="AT6" s="11"/>
      <c r="AU6" s="11"/>
      <c r="AV6" s="11"/>
      <c r="AW6" s="11"/>
      <c r="AX6" s="11"/>
      <c r="AY6" s="11"/>
      <c r="AZ6" s="11"/>
      <c r="BA6" s="11"/>
      <c r="BB6" s="11"/>
    </row>
    <row r="7" spans="1:54" x14ac:dyDescent="0.25">
      <c r="A7" s="27">
        <v>1</v>
      </c>
      <c r="B7" s="26" t="s">
        <v>32</v>
      </c>
      <c r="C7" s="52">
        <v>32</v>
      </c>
      <c r="D7" s="52"/>
      <c r="E7" s="52"/>
      <c r="F7" s="52"/>
      <c r="G7" s="52"/>
      <c r="H7" s="52"/>
      <c r="I7" s="52">
        <v>3</v>
      </c>
      <c r="J7" s="53"/>
      <c r="K7" s="54">
        <v>6</v>
      </c>
      <c r="L7" s="55"/>
      <c r="M7" s="56"/>
      <c r="N7" s="57"/>
      <c r="O7" s="52">
        <v>2</v>
      </c>
      <c r="P7" s="53"/>
      <c r="Q7" s="53">
        <v>1</v>
      </c>
      <c r="R7" s="54"/>
      <c r="S7" s="55"/>
      <c r="T7" s="58">
        <f>H7+I7+J7+K7+N7+P7+R7</f>
        <v>9</v>
      </c>
      <c r="U7" s="58">
        <f>C7*24+M7*24+O7*24+Q7*24+T7</f>
        <v>849</v>
      </c>
      <c r="V7" s="58">
        <f>U7/24</f>
        <v>35.375</v>
      </c>
      <c r="W7" s="50"/>
      <c r="AF7" s="12"/>
      <c r="AG7" s="12"/>
      <c r="AH7" s="12"/>
      <c r="AI7" s="12"/>
      <c r="AJ7" s="12"/>
      <c r="AK7" s="12"/>
      <c r="AL7" s="12"/>
      <c r="AM7" s="12"/>
      <c r="AN7" s="12"/>
      <c r="AO7" s="12"/>
      <c r="AP7" s="12"/>
      <c r="AQ7" s="12"/>
      <c r="AR7" s="12"/>
      <c r="AS7" s="12"/>
      <c r="AT7" s="12"/>
      <c r="AU7" s="12"/>
      <c r="AV7" s="12"/>
      <c r="AW7" s="12"/>
      <c r="AX7" s="12"/>
      <c r="AY7" s="12"/>
      <c r="AZ7" s="12"/>
      <c r="BA7" s="12"/>
      <c r="BB7" s="12"/>
    </row>
    <row r="8" spans="1:54" ht="19.5" thickBot="1" x14ac:dyDescent="0.3">
      <c r="A8" s="27">
        <f>A7+1</f>
        <v>2</v>
      </c>
      <c r="B8" s="42" t="s">
        <v>35</v>
      </c>
      <c r="C8" s="59">
        <f>42+43</f>
        <v>85</v>
      </c>
      <c r="D8" s="59"/>
      <c r="E8" s="59"/>
      <c r="F8" s="59"/>
      <c r="G8" s="59"/>
      <c r="H8" s="59"/>
      <c r="I8" s="59"/>
      <c r="J8" s="60"/>
      <c r="K8" s="61"/>
      <c r="L8" s="62"/>
      <c r="M8" s="63">
        <v>1</v>
      </c>
      <c r="N8" s="64"/>
      <c r="O8" s="65"/>
      <c r="P8" s="66">
        <v>12</v>
      </c>
      <c r="Q8" s="66">
        <v>1</v>
      </c>
      <c r="R8" s="67"/>
      <c r="S8" s="62"/>
      <c r="T8" s="68">
        <f t="shared" ref="T8:T41" si="0">H8+I8+J8+K8+N8+P8+R8</f>
        <v>12</v>
      </c>
      <c r="U8" s="69">
        <f>C8*24+M8*24+O8*24+Q8*24+T8</f>
        <v>2100</v>
      </c>
      <c r="V8" s="69">
        <f>U8/24</f>
        <v>87.5</v>
      </c>
      <c r="W8" s="50"/>
      <c r="AF8" s="12"/>
      <c r="AG8" s="12"/>
      <c r="AH8" s="12"/>
      <c r="AI8" s="12"/>
      <c r="AJ8" s="12"/>
      <c r="AK8" s="12"/>
      <c r="AL8" s="12"/>
      <c r="AM8" s="12"/>
      <c r="AN8" s="12"/>
      <c r="AO8" s="12"/>
      <c r="AP8" s="12"/>
      <c r="AQ8" s="12"/>
      <c r="AR8" s="12"/>
      <c r="AS8" s="12"/>
      <c r="AT8" s="12"/>
      <c r="AU8" s="12"/>
      <c r="AV8" s="12"/>
      <c r="AW8" s="12"/>
      <c r="AX8" s="12"/>
      <c r="AY8" s="12"/>
      <c r="AZ8" s="12"/>
      <c r="BA8" s="12"/>
      <c r="BB8" s="12"/>
    </row>
    <row r="9" spans="1:54" x14ac:dyDescent="0.25">
      <c r="A9" s="27">
        <f t="shared" ref="A9:A57" si="1">A8+1</f>
        <v>3</v>
      </c>
      <c r="B9" s="25" t="s">
        <v>33</v>
      </c>
      <c r="C9" s="70">
        <f>63+30</f>
        <v>93</v>
      </c>
      <c r="D9" s="70"/>
      <c r="E9" s="70"/>
      <c r="F9" s="70"/>
      <c r="G9" s="70"/>
      <c r="H9" s="70"/>
      <c r="I9" s="70"/>
      <c r="J9" s="71"/>
      <c r="K9" s="72"/>
      <c r="L9" s="55"/>
      <c r="M9" s="73"/>
      <c r="N9" s="74"/>
      <c r="O9" s="70"/>
      <c r="P9" s="71"/>
      <c r="Q9" s="71"/>
      <c r="R9" s="72"/>
      <c r="S9" s="55"/>
      <c r="T9" s="75">
        <f t="shared" si="0"/>
        <v>0</v>
      </c>
      <c r="U9" s="76">
        <f t="shared" ref="U9:U11" si="2">C9*24+M9*24+O9*24+Q9*24+T9</f>
        <v>2232</v>
      </c>
      <c r="V9" s="76">
        <f t="shared" ref="V9:V11" si="3">U9/24</f>
        <v>93</v>
      </c>
      <c r="W9" s="50"/>
      <c r="AF9" s="12"/>
      <c r="AG9" s="12"/>
      <c r="AH9" s="12"/>
      <c r="AI9" s="12"/>
      <c r="AJ9" s="12"/>
      <c r="AK9" s="12"/>
      <c r="AL9" s="12"/>
      <c r="AM9" s="12"/>
      <c r="AN9" s="12"/>
      <c r="AO9" s="12"/>
      <c r="AP9" s="12"/>
      <c r="AQ9" s="12"/>
      <c r="AR9" s="12"/>
      <c r="AS9" s="12"/>
      <c r="AT9" s="12"/>
      <c r="AU9" s="12"/>
      <c r="AV9" s="12"/>
      <c r="AW9" s="12"/>
      <c r="AX9" s="12"/>
      <c r="AY9" s="12"/>
      <c r="AZ9" s="12"/>
      <c r="BA9" s="12"/>
      <c r="BB9" s="12"/>
    </row>
    <row r="10" spans="1:54" x14ac:dyDescent="0.25">
      <c r="A10" s="27">
        <f t="shared" si="1"/>
        <v>4</v>
      </c>
      <c r="B10" s="26" t="s">
        <v>36</v>
      </c>
      <c r="C10" s="70">
        <f>37+10</f>
        <v>47</v>
      </c>
      <c r="D10" s="70"/>
      <c r="E10" s="70"/>
      <c r="F10" s="70"/>
      <c r="G10" s="70"/>
      <c r="H10" s="70"/>
      <c r="I10" s="70"/>
      <c r="J10" s="71"/>
      <c r="K10" s="72"/>
      <c r="L10" s="55"/>
      <c r="M10" s="73"/>
      <c r="N10" s="74"/>
      <c r="O10" s="70"/>
      <c r="P10" s="71"/>
      <c r="Q10" s="71"/>
      <c r="R10" s="72"/>
      <c r="S10" s="55"/>
      <c r="T10" s="58">
        <f t="shared" si="0"/>
        <v>0</v>
      </c>
      <c r="U10" s="58">
        <f t="shared" si="2"/>
        <v>1128</v>
      </c>
      <c r="V10" s="58">
        <f t="shared" si="3"/>
        <v>47</v>
      </c>
      <c r="W10" s="50"/>
      <c r="AF10" s="12"/>
      <c r="AG10" s="12"/>
      <c r="AH10" s="12"/>
      <c r="AI10" s="12"/>
      <c r="AJ10" s="12"/>
      <c r="AK10" s="12"/>
      <c r="AL10" s="12"/>
      <c r="AM10" s="12"/>
      <c r="AN10" s="12"/>
      <c r="AO10" s="12"/>
      <c r="AP10" s="12"/>
      <c r="AQ10" s="12"/>
      <c r="AR10" s="12"/>
      <c r="AS10" s="12"/>
      <c r="AT10" s="12"/>
      <c r="AU10" s="12"/>
      <c r="AV10" s="12"/>
      <c r="AW10" s="12"/>
      <c r="AX10" s="12"/>
      <c r="AY10" s="12"/>
      <c r="AZ10" s="12"/>
      <c r="BA10" s="12"/>
      <c r="BB10" s="12"/>
    </row>
    <row r="11" spans="1:54" x14ac:dyDescent="0.25">
      <c r="A11" s="27">
        <f t="shared" si="1"/>
        <v>5</v>
      </c>
      <c r="B11" s="26" t="s">
        <v>34</v>
      </c>
      <c r="C11" s="70">
        <v>9</v>
      </c>
      <c r="D11" s="70"/>
      <c r="E11" s="70"/>
      <c r="F11" s="70"/>
      <c r="G11" s="70"/>
      <c r="H11" s="70"/>
      <c r="I11" s="70"/>
      <c r="J11" s="71"/>
      <c r="K11" s="72">
        <v>2</v>
      </c>
      <c r="L11" s="55"/>
      <c r="M11" s="73"/>
      <c r="N11" s="74"/>
      <c r="O11" s="70"/>
      <c r="P11" s="71"/>
      <c r="Q11" s="71"/>
      <c r="R11" s="72"/>
      <c r="S11" s="55"/>
      <c r="T11" s="58">
        <f t="shared" si="0"/>
        <v>2</v>
      </c>
      <c r="U11" s="58">
        <f t="shared" si="2"/>
        <v>218</v>
      </c>
      <c r="V11" s="58">
        <f t="shared" si="3"/>
        <v>9.0833333333333339</v>
      </c>
      <c r="AF11" s="12"/>
      <c r="AG11" s="12"/>
      <c r="AH11" s="12"/>
      <c r="AI11" s="12"/>
      <c r="AJ11" s="12"/>
      <c r="AK11" s="12"/>
      <c r="AL11" s="12"/>
      <c r="AM11" s="12"/>
      <c r="AN11" s="12"/>
      <c r="AO11" s="12"/>
      <c r="AP11" s="12"/>
      <c r="AQ11" s="12"/>
      <c r="AR11" s="12"/>
      <c r="AS11" s="12"/>
      <c r="AT11" s="12"/>
      <c r="AU11" s="12"/>
      <c r="AV11" s="12"/>
      <c r="AW11" s="12"/>
      <c r="AX11" s="12"/>
      <c r="AY11" s="12"/>
      <c r="AZ11" s="12"/>
      <c r="BA11" s="12"/>
      <c r="BB11" s="12"/>
    </row>
    <row r="12" spans="1:54" s="13" customFormat="1" ht="19.5" thickBot="1" x14ac:dyDescent="0.3">
      <c r="A12" s="27">
        <v>7</v>
      </c>
      <c r="B12" s="42" t="s">
        <v>30</v>
      </c>
      <c r="C12" s="59">
        <f>1224+53+1080+41+1080+29</f>
        <v>3507</v>
      </c>
      <c r="D12" s="59"/>
      <c r="E12" s="59"/>
      <c r="F12" s="59"/>
      <c r="G12" s="59"/>
      <c r="H12" s="59"/>
      <c r="I12" s="59"/>
      <c r="J12" s="60"/>
      <c r="K12" s="61"/>
      <c r="L12" s="62"/>
      <c r="M12" s="63"/>
      <c r="N12" s="64"/>
      <c r="O12" s="65">
        <v>11</v>
      </c>
      <c r="P12" s="66">
        <v>10</v>
      </c>
      <c r="Q12" s="66">
        <v>13</v>
      </c>
      <c r="R12" s="67"/>
      <c r="S12" s="62"/>
      <c r="T12" s="69">
        <f t="shared" si="0"/>
        <v>10</v>
      </c>
      <c r="U12" s="69">
        <f>C12*24+M12*24+O12*24+Q12*24+T12</f>
        <v>84754</v>
      </c>
      <c r="V12" s="69">
        <f>U12/24</f>
        <v>3531.4166666666665</v>
      </c>
      <c r="W12" s="9"/>
      <c r="X12" s="9"/>
      <c r="Y12" s="9"/>
      <c r="Z12" s="9"/>
      <c r="AA12" s="9"/>
      <c r="AB12" s="9"/>
      <c r="AC12" s="9"/>
      <c r="AD12" s="9"/>
      <c r="AE12" s="9"/>
      <c r="AF12" s="12"/>
      <c r="AG12" s="12"/>
      <c r="AH12" s="12"/>
      <c r="AI12" s="12"/>
      <c r="AJ12" s="12"/>
      <c r="AK12" s="12"/>
      <c r="AL12" s="12"/>
      <c r="AM12" s="12"/>
      <c r="AN12" s="12"/>
      <c r="AO12" s="12"/>
      <c r="AP12" s="12"/>
      <c r="AQ12" s="12"/>
      <c r="AR12" s="12"/>
      <c r="AS12" s="12"/>
      <c r="AT12" s="12"/>
      <c r="AU12" s="12"/>
      <c r="AV12" s="12"/>
      <c r="AW12" s="12"/>
      <c r="AX12" s="12"/>
      <c r="AY12" s="12"/>
      <c r="AZ12" s="12"/>
      <c r="BA12" s="12"/>
      <c r="BB12" s="12"/>
    </row>
    <row r="13" spans="1:54" x14ac:dyDescent="0.25">
      <c r="A13" s="27">
        <v>11</v>
      </c>
      <c r="B13" s="25" t="s">
        <v>1</v>
      </c>
      <c r="C13" s="70">
        <v>2</v>
      </c>
      <c r="D13" s="70"/>
      <c r="E13" s="70"/>
      <c r="F13" s="70"/>
      <c r="G13" s="70"/>
      <c r="H13" s="70">
        <v>16</v>
      </c>
      <c r="I13" s="70"/>
      <c r="J13" s="71"/>
      <c r="K13" s="72"/>
      <c r="L13" s="55"/>
      <c r="M13" s="73"/>
      <c r="N13" s="74"/>
      <c r="O13" s="70"/>
      <c r="P13" s="71"/>
      <c r="Q13" s="71"/>
      <c r="R13" s="72"/>
      <c r="S13" s="55"/>
      <c r="T13" s="76">
        <f t="shared" si="0"/>
        <v>16</v>
      </c>
      <c r="U13" s="76">
        <f>C13*24+M13*24+O13*24+Q13*24+T13</f>
        <v>64</v>
      </c>
      <c r="V13" s="76">
        <f>U13/24</f>
        <v>2.6666666666666665</v>
      </c>
      <c r="AF13" s="12"/>
      <c r="AG13" s="12"/>
      <c r="AH13" s="12"/>
      <c r="AI13" s="12"/>
      <c r="AJ13" s="12"/>
      <c r="AK13" s="12"/>
      <c r="AL13" s="12"/>
      <c r="AM13" s="12"/>
      <c r="AN13" s="12"/>
      <c r="AO13" s="12"/>
      <c r="AP13" s="12"/>
      <c r="AQ13" s="12"/>
      <c r="AR13" s="12"/>
      <c r="AS13" s="12"/>
      <c r="AT13" s="12"/>
      <c r="AU13" s="12"/>
      <c r="AV13" s="12"/>
      <c r="AW13" s="12"/>
      <c r="AX13" s="12"/>
      <c r="AY13" s="12"/>
      <c r="AZ13" s="12"/>
      <c r="BA13" s="12"/>
      <c r="BB13" s="12"/>
    </row>
    <row r="14" spans="1:54" x14ac:dyDescent="0.25">
      <c r="A14" s="27">
        <f t="shared" si="1"/>
        <v>12</v>
      </c>
      <c r="B14" s="26" t="s">
        <v>2</v>
      </c>
      <c r="C14" s="70">
        <v>2</v>
      </c>
      <c r="D14" s="70"/>
      <c r="E14" s="70"/>
      <c r="F14" s="70"/>
      <c r="G14" s="70"/>
      <c r="H14" s="70"/>
      <c r="I14" s="70"/>
      <c r="J14" s="71"/>
      <c r="K14" s="72"/>
      <c r="L14" s="55"/>
      <c r="M14" s="73"/>
      <c r="N14" s="74"/>
      <c r="O14" s="70"/>
      <c r="P14" s="71"/>
      <c r="Q14" s="71"/>
      <c r="R14" s="72"/>
      <c r="S14" s="55"/>
      <c r="T14" s="58">
        <f t="shared" si="0"/>
        <v>0</v>
      </c>
      <c r="U14" s="75">
        <f t="shared" ref="U14:U36" si="4">C14*24+M14*24+O14*24+Q14*24+T14</f>
        <v>48</v>
      </c>
      <c r="V14" s="75">
        <f t="shared" ref="V14:V36" si="5">U14/24</f>
        <v>2</v>
      </c>
      <c r="AF14" s="12"/>
      <c r="AG14" s="12"/>
      <c r="AH14" s="12"/>
      <c r="AI14" s="12"/>
      <c r="AJ14" s="12"/>
      <c r="AK14" s="12"/>
      <c r="AL14" s="12"/>
      <c r="AM14" s="12"/>
      <c r="AN14" s="12"/>
      <c r="AO14" s="12"/>
      <c r="AP14" s="12"/>
      <c r="AQ14" s="12"/>
      <c r="AR14" s="12"/>
      <c r="AS14" s="12"/>
      <c r="AT14" s="12"/>
      <c r="AU14" s="12"/>
      <c r="AV14" s="12"/>
      <c r="AW14" s="12"/>
      <c r="AX14" s="12"/>
      <c r="AY14" s="12"/>
      <c r="AZ14" s="12"/>
      <c r="BA14" s="12"/>
      <c r="BB14" s="12"/>
    </row>
    <row r="15" spans="1:54" x14ac:dyDescent="0.25">
      <c r="A15" s="27">
        <f t="shared" si="1"/>
        <v>13</v>
      </c>
      <c r="B15" s="26" t="s">
        <v>3</v>
      </c>
      <c r="C15" s="70"/>
      <c r="D15" s="70"/>
      <c r="E15" s="70"/>
      <c r="F15" s="70"/>
      <c r="G15" s="70"/>
      <c r="H15" s="70"/>
      <c r="I15" s="70"/>
      <c r="J15" s="71"/>
      <c r="K15" s="72"/>
      <c r="L15" s="55"/>
      <c r="M15" s="73"/>
      <c r="N15" s="74"/>
      <c r="O15" s="70"/>
      <c r="P15" s="71"/>
      <c r="Q15" s="71"/>
      <c r="R15" s="72"/>
      <c r="S15" s="55"/>
      <c r="T15" s="58">
        <f t="shared" si="0"/>
        <v>0</v>
      </c>
      <c r="U15" s="75">
        <f t="shared" si="4"/>
        <v>0</v>
      </c>
      <c r="V15" s="75">
        <f t="shared" si="5"/>
        <v>0</v>
      </c>
      <c r="AF15" s="12"/>
      <c r="AG15" s="12"/>
      <c r="AH15" s="12"/>
      <c r="AI15" s="12"/>
      <c r="AJ15" s="12"/>
      <c r="AK15" s="12"/>
      <c r="AL15" s="12"/>
      <c r="AM15" s="12"/>
      <c r="AN15" s="12"/>
      <c r="AO15" s="12"/>
      <c r="AP15" s="12"/>
      <c r="AQ15" s="12"/>
      <c r="AR15" s="12"/>
      <c r="AS15" s="12"/>
      <c r="AT15" s="12"/>
      <c r="AU15" s="12"/>
      <c r="AV15" s="12"/>
      <c r="AW15" s="12"/>
      <c r="AX15" s="12"/>
      <c r="AY15" s="12"/>
      <c r="AZ15" s="12"/>
      <c r="BA15" s="12"/>
      <c r="BB15" s="12"/>
    </row>
    <row r="16" spans="1:54" x14ac:dyDescent="0.25">
      <c r="A16" s="27">
        <f t="shared" si="1"/>
        <v>14</v>
      </c>
      <c r="B16" s="26" t="s">
        <v>4</v>
      </c>
      <c r="C16" s="70"/>
      <c r="D16" s="70"/>
      <c r="E16" s="70"/>
      <c r="F16" s="70"/>
      <c r="G16" s="70"/>
      <c r="H16" s="70"/>
      <c r="I16" s="70"/>
      <c r="J16" s="71"/>
      <c r="K16" s="72"/>
      <c r="L16" s="55"/>
      <c r="M16" s="73"/>
      <c r="N16" s="74"/>
      <c r="O16" s="70"/>
      <c r="P16" s="71"/>
      <c r="Q16" s="71"/>
      <c r="R16" s="72"/>
      <c r="S16" s="55"/>
      <c r="T16" s="58">
        <f t="shared" si="0"/>
        <v>0</v>
      </c>
      <c r="U16" s="75">
        <f t="shared" si="4"/>
        <v>0</v>
      </c>
      <c r="V16" s="75">
        <f t="shared" si="5"/>
        <v>0</v>
      </c>
      <c r="AF16" s="12"/>
      <c r="AG16" s="12"/>
      <c r="AH16" s="12"/>
      <c r="AI16" s="12"/>
      <c r="AJ16" s="12"/>
      <c r="AK16" s="12"/>
      <c r="AL16" s="12"/>
      <c r="AM16" s="12"/>
      <c r="AN16" s="12"/>
      <c r="AO16" s="12"/>
      <c r="AP16" s="12"/>
      <c r="AQ16" s="12"/>
      <c r="AR16" s="12"/>
      <c r="AS16" s="12"/>
      <c r="AT16" s="12"/>
      <c r="AU16" s="12"/>
      <c r="AV16" s="12"/>
      <c r="AW16" s="12"/>
      <c r="AX16" s="12"/>
      <c r="AY16" s="12"/>
      <c r="AZ16" s="12"/>
      <c r="BA16" s="12"/>
      <c r="BB16" s="12"/>
    </row>
    <row r="17" spans="1:54" x14ac:dyDescent="0.25">
      <c r="A17" s="27">
        <f t="shared" si="1"/>
        <v>15</v>
      </c>
      <c r="B17" s="26" t="s">
        <v>5</v>
      </c>
      <c r="C17" s="70"/>
      <c r="D17" s="70"/>
      <c r="E17" s="70"/>
      <c r="F17" s="70"/>
      <c r="G17" s="70"/>
      <c r="H17" s="70">
        <f>24*3</f>
        <v>72</v>
      </c>
      <c r="I17" s="70"/>
      <c r="J17" s="71"/>
      <c r="K17" s="72"/>
      <c r="L17" s="55"/>
      <c r="M17" s="73"/>
      <c r="N17" s="74"/>
      <c r="O17" s="70"/>
      <c r="P17" s="71"/>
      <c r="Q17" s="71"/>
      <c r="R17" s="72"/>
      <c r="S17" s="55"/>
      <c r="T17" s="58">
        <f t="shared" si="0"/>
        <v>72</v>
      </c>
      <c r="U17" s="75">
        <f t="shared" si="4"/>
        <v>72</v>
      </c>
      <c r="V17" s="75">
        <f t="shared" si="5"/>
        <v>3</v>
      </c>
      <c r="AF17" s="12"/>
      <c r="AG17" s="12"/>
      <c r="AH17" s="12"/>
      <c r="AI17" s="12"/>
      <c r="AJ17" s="12"/>
      <c r="AK17" s="12"/>
      <c r="AL17" s="12"/>
      <c r="AM17" s="12"/>
      <c r="AN17" s="12"/>
      <c r="AO17" s="12"/>
      <c r="AP17" s="12"/>
      <c r="AQ17" s="12"/>
      <c r="AR17" s="12"/>
      <c r="AS17" s="12"/>
      <c r="AT17" s="12"/>
      <c r="AU17" s="12"/>
      <c r="AV17" s="12"/>
      <c r="AW17" s="12"/>
      <c r="AX17" s="12"/>
      <c r="AY17" s="12"/>
      <c r="AZ17" s="12"/>
      <c r="BA17" s="12"/>
      <c r="BB17" s="12"/>
    </row>
    <row r="18" spans="1:54" hidden="1" x14ac:dyDescent="0.25">
      <c r="A18" s="27">
        <f t="shared" si="1"/>
        <v>16</v>
      </c>
      <c r="B18" s="26" t="s">
        <v>9</v>
      </c>
      <c r="C18" s="70"/>
      <c r="D18" s="70"/>
      <c r="E18" s="70"/>
      <c r="F18" s="70"/>
      <c r="G18" s="70"/>
      <c r="H18" s="70"/>
      <c r="I18" s="70"/>
      <c r="J18" s="71"/>
      <c r="K18" s="72"/>
      <c r="L18" s="55"/>
      <c r="M18" s="73"/>
      <c r="N18" s="74"/>
      <c r="O18" s="70"/>
      <c r="P18" s="71"/>
      <c r="Q18" s="71"/>
      <c r="R18" s="72"/>
      <c r="S18" s="55"/>
      <c r="T18" s="58">
        <f t="shared" si="0"/>
        <v>0</v>
      </c>
      <c r="U18" s="75">
        <f t="shared" si="4"/>
        <v>0</v>
      </c>
      <c r="V18" s="75">
        <f t="shared" si="5"/>
        <v>0</v>
      </c>
      <c r="AF18" s="12"/>
      <c r="AG18" s="12"/>
      <c r="AH18" s="12"/>
      <c r="AI18" s="12"/>
      <c r="AJ18" s="12"/>
      <c r="AK18" s="12"/>
      <c r="AL18" s="12"/>
      <c r="AM18" s="12"/>
      <c r="AN18" s="12"/>
      <c r="AO18" s="12"/>
      <c r="AP18" s="12"/>
      <c r="AQ18" s="12"/>
      <c r="AR18" s="12"/>
      <c r="AS18" s="12"/>
      <c r="AT18" s="12"/>
      <c r="AU18" s="12"/>
      <c r="AV18" s="12"/>
      <c r="AW18" s="12"/>
      <c r="AX18" s="12"/>
      <c r="AY18" s="12"/>
      <c r="AZ18" s="12"/>
      <c r="BA18" s="12"/>
      <c r="BB18" s="12"/>
    </row>
    <row r="19" spans="1:54" x14ac:dyDescent="0.25">
      <c r="A19" s="27">
        <v>16</v>
      </c>
      <c r="B19" s="26" t="s">
        <v>53</v>
      </c>
      <c r="C19" s="70">
        <v>2</v>
      </c>
      <c r="D19" s="70"/>
      <c r="E19" s="70"/>
      <c r="F19" s="70"/>
      <c r="G19" s="70"/>
      <c r="H19" s="70">
        <f>24+20</f>
        <v>44</v>
      </c>
      <c r="I19" s="70"/>
      <c r="J19" s="71"/>
      <c r="K19" s="72"/>
      <c r="L19" s="55"/>
      <c r="M19" s="73"/>
      <c r="N19" s="74"/>
      <c r="O19" s="70"/>
      <c r="P19" s="71"/>
      <c r="Q19" s="71"/>
      <c r="R19" s="72"/>
      <c r="S19" s="55"/>
      <c r="T19" s="58">
        <f t="shared" si="0"/>
        <v>44</v>
      </c>
      <c r="U19" s="75">
        <f t="shared" si="4"/>
        <v>92</v>
      </c>
      <c r="V19" s="75">
        <f t="shared" si="5"/>
        <v>3.8333333333333335</v>
      </c>
      <c r="AF19" s="12"/>
      <c r="AG19" s="12"/>
      <c r="AH19" s="12"/>
      <c r="AI19" s="12"/>
      <c r="AJ19" s="12"/>
      <c r="AK19" s="12"/>
      <c r="AL19" s="12"/>
      <c r="AM19" s="12"/>
      <c r="AN19" s="12"/>
      <c r="AO19" s="12"/>
      <c r="AP19" s="12"/>
      <c r="AQ19" s="12"/>
      <c r="AR19" s="12"/>
      <c r="AS19" s="12"/>
      <c r="AT19" s="12"/>
      <c r="AU19" s="12"/>
      <c r="AV19" s="12"/>
      <c r="AW19" s="12"/>
      <c r="AX19" s="12"/>
      <c r="AY19" s="12"/>
      <c r="AZ19" s="12"/>
      <c r="BA19" s="12"/>
      <c r="BB19" s="12"/>
    </row>
    <row r="20" spans="1:54" x14ac:dyDescent="0.25">
      <c r="A20" s="27">
        <f t="shared" si="1"/>
        <v>17</v>
      </c>
      <c r="B20" s="26" t="s">
        <v>6</v>
      </c>
      <c r="C20" s="70">
        <v>5</v>
      </c>
      <c r="D20" s="70"/>
      <c r="E20" s="70"/>
      <c r="F20" s="70"/>
      <c r="G20" s="70"/>
      <c r="H20" s="70"/>
      <c r="I20" s="70"/>
      <c r="J20" s="71"/>
      <c r="K20" s="72"/>
      <c r="L20" s="55"/>
      <c r="M20" s="73"/>
      <c r="N20" s="74"/>
      <c r="O20" s="70"/>
      <c r="P20" s="71"/>
      <c r="Q20" s="71"/>
      <c r="R20" s="72"/>
      <c r="S20" s="55"/>
      <c r="T20" s="58">
        <f t="shared" si="0"/>
        <v>0</v>
      </c>
      <c r="U20" s="75">
        <f t="shared" si="4"/>
        <v>120</v>
      </c>
      <c r="V20" s="75">
        <f t="shared" si="5"/>
        <v>5</v>
      </c>
      <c r="AF20" s="12"/>
      <c r="AG20" s="12"/>
      <c r="AH20" s="12"/>
      <c r="AI20" s="12"/>
      <c r="AJ20" s="12"/>
      <c r="AK20" s="12"/>
      <c r="AL20" s="12"/>
      <c r="AM20" s="12"/>
      <c r="AN20" s="12"/>
      <c r="AO20" s="12"/>
      <c r="AP20" s="12"/>
      <c r="AQ20" s="12"/>
      <c r="AR20" s="12"/>
      <c r="AS20" s="12"/>
      <c r="AT20" s="12"/>
      <c r="AU20" s="12"/>
      <c r="AV20" s="12"/>
      <c r="AW20" s="12"/>
      <c r="AX20" s="12"/>
      <c r="AY20" s="12"/>
      <c r="AZ20" s="12"/>
      <c r="BA20" s="12"/>
      <c r="BB20" s="12"/>
    </row>
    <row r="21" spans="1:54" x14ac:dyDescent="0.25">
      <c r="A21" s="27">
        <f t="shared" si="1"/>
        <v>18</v>
      </c>
      <c r="B21" s="26" t="s">
        <v>7</v>
      </c>
      <c r="C21" s="70"/>
      <c r="D21" s="70"/>
      <c r="E21" s="70"/>
      <c r="F21" s="70"/>
      <c r="G21" s="70"/>
      <c r="H21" s="70">
        <f>24*2</f>
        <v>48</v>
      </c>
      <c r="I21" s="70"/>
      <c r="J21" s="71"/>
      <c r="K21" s="72"/>
      <c r="L21" s="55"/>
      <c r="M21" s="73"/>
      <c r="N21" s="74"/>
      <c r="O21" s="70"/>
      <c r="P21" s="71"/>
      <c r="Q21" s="71"/>
      <c r="R21" s="72"/>
      <c r="S21" s="55"/>
      <c r="T21" s="58">
        <f t="shared" si="0"/>
        <v>48</v>
      </c>
      <c r="U21" s="75">
        <f t="shared" si="4"/>
        <v>48</v>
      </c>
      <c r="V21" s="75">
        <f t="shared" si="5"/>
        <v>2</v>
      </c>
      <c r="AF21" s="12"/>
      <c r="AG21" s="12"/>
      <c r="AH21" s="12"/>
      <c r="AI21" s="12"/>
      <c r="AJ21" s="12"/>
      <c r="AK21" s="12"/>
      <c r="AL21" s="12"/>
      <c r="AM21" s="12"/>
      <c r="AN21" s="12"/>
      <c r="AO21" s="12"/>
      <c r="AP21" s="12"/>
      <c r="AQ21" s="12"/>
      <c r="AR21" s="12"/>
      <c r="AS21" s="12"/>
      <c r="AT21" s="12"/>
      <c r="AU21" s="12"/>
      <c r="AV21" s="12"/>
      <c r="AW21" s="12"/>
      <c r="AX21" s="12"/>
      <c r="AY21" s="12"/>
      <c r="AZ21" s="12"/>
      <c r="BA21" s="12"/>
      <c r="BB21" s="12"/>
    </row>
    <row r="22" spans="1:54" s="13" customFormat="1" x14ac:dyDescent="0.25">
      <c r="A22" s="27">
        <f t="shared" si="1"/>
        <v>19</v>
      </c>
      <c r="B22" s="26" t="s">
        <v>54</v>
      </c>
      <c r="C22" s="70">
        <v>2</v>
      </c>
      <c r="D22" s="70"/>
      <c r="E22" s="70"/>
      <c r="F22" s="70"/>
      <c r="G22" s="70"/>
      <c r="H22" s="70"/>
      <c r="I22" s="70">
        <v>20</v>
      </c>
      <c r="J22" s="71"/>
      <c r="K22" s="72"/>
      <c r="L22" s="55"/>
      <c r="M22" s="73"/>
      <c r="N22" s="74"/>
      <c r="O22" s="70"/>
      <c r="P22" s="71"/>
      <c r="Q22" s="71"/>
      <c r="R22" s="72"/>
      <c r="S22" s="55"/>
      <c r="T22" s="58">
        <f t="shared" si="0"/>
        <v>20</v>
      </c>
      <c r="U22" s="75">
        <f t="shared" si="4"/>
        <v>68</v>
      </c>
      <c r="V22" s="75">
        <f t="shared" si="5"/>
        <v>2.8333333333333335</v>
      </c>
      <c r="W22" s="9"/>
      <c r="X22" s="9"/>
      <c r="Y22" s="9"/>
      <c r="Z22" s="9"/>
      <c r="AA22" s="9"/>
      <c r="AB22" s="9"/>
      <c r="AC22" s="9"/>
      <c r="AD22" s="9"/>
      <c r="AE22" s="9"/>
      <c r="AF22" s="12"/>
      <c r="AG22" s="12"/>
      <c r="AH22" s="12"/>
      <c r="AI22" s="12"/>
      <c r="AJ22" s="12"/>
      <c r="AK22" s="12"/>
      <c r="AL22" s="12"/>
      <c r="AM22" s="12"/>
      <c r="AN22" s="12"/>
      <c r="AO22" s="12"/>
      <c r="AP22" s="12"/>
      <c r="AQ22" s="12"/>
      <c r="AR22" s="12"/>
      <c r="AS22" s="12"/>
      <c r="AT22" s="12"/>
      <c r="AU22" s="12"/>
      <c r="AV22" s="12"/>
      <c r="AW22" s="12"/>
      <c r="AX22" s="12"/>
      <c r="AY22" s="12"/>
      <c r="AZ22" s="12"/>
      <c r="BA22" s="12"/>
      <c r="BB22" s="12"/>
    </row>
    <row r="23" spans="1:54" s="13" customFormat="1" x14ac:dyDescent="0.25">
      <c r="A23" s="27">
        <f t="shared" si="1"/>
        <v>20</v>
      </c>
      <c r="B23" s="26" t="s">
        <v>55</v>
      </c>
      <c r="C23" s="70"/>
      <c r="D23" s="70"/>
      <c r="E23" s="70"/>
      <c r="F23" s="70"/>
      <c r="G23" s="70"/>
      <c r="H23" s="70">
        <f>37*24+19</f>
        <v>907</v>
      </c>
      <c r="I23" s="70"/>
      <c r="J23" s="71"/>
      <c r="K23" s="72"/>
      <c r="L23" s="55"/>
      <c r="M23" s="73"/>
      <c r="N23" s="74"/>
      <c r="O23" s="70"/>
      <c r="P23" s="71"/>
      <c r="Q23" s="71"/>
      <c r="R23" s="72"/>
      <c r="S23" s="55"/>
      <c r="T23" s="58">
        <f t="shared" si="0"/>
        <v>907</v>
      </c>
      <c r="U23" s="75">
        <f t="shared" si="4"/>
        <v>907</v>
      </c>
      <c r="V23" s="75">
        <f t="shared" si="5"/>
        <v>37.791666666666664</v>
      </c>
      <c r="W23" s="9"/>
      <c r="X23" s="9"/>
      <c r="Y23" s="9"/>
      <c r="Z23" s="9"/>
      <c r="AA23" s="9"/>
      <c r="AB23" s="9"/>
      <c r="AC23" s="9"/>
      <c r="AD23" s="9"/>
      <c r="AE23" s="9"/>
      <c r="AF23" s="12"/>
      <c r="AG23" s="12"/>
      <c r="AH23" s="12"/>
      <c r="AI23" s="12"/>
      <c r="AJ23" s="12"/>
      <c r="AK23" s="12"/>
      <c r="AL23" s="12"/>
      <c r="AM23" s="12"/>
      <c r="AN23" s="12"/>
      <c r="AO23" s="12"/>
      <c r="AP23" s="12"/>
      <c r="AQ23" s="12"/>
      <c r="AR23" s="12"/>
      <c r="AS23" s="12"/>
      <c r="AT23" s="12"/>
      <c r="AU23" s="12"/>
      <c r="AV23" s="12"/>
      <c r="AW23" s="12"/>
      <c r="AX23" s="12"/>
      <c r="AY23" s="12"/>
      <c r="AZ23" s="12"/>
      <c r="BA23" s="12"/>
      <c r="BB23" s="12"/>
    </row>
    <row r="24" spans="1:54" x14ac:dyDescent="0.25">
      <c r="A24" s="27">
        <f t="shared" si="1"/>
        <v>21</v>
      </c>
      <c r="B24" s="26" t="s">
        <v>56</v>
      </c>
      <c r="C24" s="70">
        <v>2</v>
      </c>
      <c r="D24" s="70"/>
      <c r="E24" s="70"/>
      <c r="F24" s="70"/>
      <c r="G24" s="70"/>
      <c r="H24" s="70">
        <f>24*3</f>
        <v>72</v>
      </c>
      <c r="I24" s="70"/>
      <c r="J24" s="71"/>
      <c r="K24" s="72"/>
      <c r="L24" s="55"/>
      <c r="M24" s="73"/>
      <c r="N24" s="74"/>
      <c r="O24" s="70"/>
      <c r="P24" s="71"/>
      <c r="Q24" s="71"/>
      <c r="R24" s="72"/>
      <c r="S24" s="55"/>
      <c r="T24" s="58">
        <f t="shared" si="0"/>
        <v>72</v>
      </c>
      <c r="U24" s="75">
        <f t="shared" si="4"/>
        <v>120</v>
      </c>
      <c r="V24" s="75">
        <f t="shared" si="5"/>
        <v>5</v>
      </c>
      <c r="AF24" s="12"/>
      <c r="AG24" s="12"/>
      <c r="AH24" s="12"/>
      <c r="AI24" s="12"/>
      <c r="AJ24" s="12"/>
      <c r="AK24" s="12"/>
      <c r="AL24" s="12"/>
      <c r="AM24" s="12"/>
      <c r="AN24" s="12"/>
      <c r="AO24" s="12"/>
      <c r="AP24" s="12"/>
      <c r="AQ24" s="12"/>
      <c r="AR24" s="12"/>
      <c r="AS24" s="12"/>
      <c r="AT24" s="12"/>
      <c r="AU24" s="12"/>
      <c r="AV24" s="12"/>
      <c r="AW24" s="12"/>
      <c r="AX24" s="12"/>
      <c r="AY24" s="12"/>
      <c r="AZ24" s="12"/>
      <c r="BA24" s="12"/>
      <c r="BB24" s="12"/>
    </row>
    <row r="25" spans="1:54" x14ac:dyDescent="0.25">
      <c r="A25" s="27">
        <f t="shared" si="1"/>
        <v>22</v>
      </c>
      <c r="B25" s="26" t="s">
        <v>8</v>
      </c>
      <c r="C25" s="70">
        <v>54</v>
      </c>
      <c r="D25" s="70"/>
      <c r="E25" s="70"/>
      <c r="F25" s="70"/>
      <c r="G25" s="70"/>
      <c r="H25" s="70"/>
      <c r="I25" s="70"/>
      <c r="J25" s="71">
        <v>1</v>
      </c>
      <c r="K25" s="72"/>
      <c r="L25" s="55"/>
      <c r="M25" s="73">
        <v>1</v>
      </c>
      <c r="N25" s="74"/>
      <c r="O25" s="70"/>
      <c r="P25" s="71"/>
      <c r="Q25" s="71"/>
      <c r="R25" s="72"/>
      <c r="S25" s="55"/>
      <c r="T25" s="58">
        <f t="shared" si="0"/>
        <v>1</v>
      </c>
      <c r="U25" s="75">
        <f t="shared" si="4"/>
        <v>1321</v>
      </c>
      <c r="V25" s="75">
        <f t="shared" si="5"/>
        <v>55.041666666666664</v>
      </c>
      <c r="AY25" s="14" t="e">
        <f>#REF!-AY24</f>
        <v>#REF!</v>
      </c>
    </row>
    <row r="26" spans="1:54" s="13" customFormat="1" x14ac:dyDescent="0.25">
      <c r="A26" s="27">
        <f t="shared" si="1"/>
        <v>23</v>
      </c>
      <c r="B26" s="26" t="s">
        <v>10</v>
      </c>
      <c r="C26" s="70"/>
      <c r="D26" s="70"/>
      <c r="E26" s="70"/>
      <c r="F26" s="70"/>
      <c r="G26" s="70"/>
      <c r="H26" s="70"/>
      <c r="I26" s="70"/>
      <c r="J26" s="71"/>
      <c r="K26" s="72"/>
      <c r="L26" s="55"/>
      <c r="M26" s="73"/>
      <c r="N26" s="74"/>
      <c r="O26" s="70"/>
      <c r="P26" s="71"/>
      <c r="Q26" s="71"/>
      <c r="R26" s="72"/>
      <c r="S26" s="55"/>
      <c r="T26" s="58">
        <f t="shared" si="0"/>
        <v>0</v>
      </c>
      <c r="U26" s="75">
        <f t="shared" si="4"/>
        <v>0</v>
      </c>
      <c r="V26" s="75">
        <f t="shared" si="5"/>
        <v>0</v>
      </c>
      <c r="W26" s="9"/>
      <c r="X26" s="9"/>
      <c r="Y26" s="9"/>
      <c r="Z26" s="9"/>
      <c r="AA26" s="9"/>
      <c r="AB26" s="9"/>
      <c r="AC26" s="9"/>
      <c r="AD26" s="9"/>
      <c r="AE26" s="9"/>
    </row>
    <row r="27" spans="1:54" s="13" customFormat="1" x14ac:dyDescent="0.25">
      <c r="A27" s="27">
        <f t="shared" si="1"/>
        <v>24</v>
      </c>
      <c r="B27" s="26" t="s">
        <v>69</v>
      </c>
      <c r="C27" s="70">
        <v>4</v>
      </c>
      <c r="D27" s="70"/>
      <c r="E27" s="70"/>
      <c r="F27" s="70"/>
      <c r="G27" s="70"/>
      <c r="H27" s="70"/>
      <c r="I27" s="70"/>
      <c r="J27" s="71"/>
      <c r="K27" s="72"/>
      <c r="L27" s="55"/>
      <c r="M27" s="73"/>
      <c r="N27" s="74"/>
      <c r="O27" s="70"/>
      <c r="P27" s="71"/>
      <c r="Q27" s="71"/>
      <c r="R27" s="72"/>
      <c r="S27" s="55"/>
      <c r="T27" s="58">
        <f t="shared" si="0"/>
        <v>0</v>
      </c>
      <c r="U27" s="75">
        <f t="shared" si="4"/>
        <v>96</v>
      </c>
      <c r="V27" s="75">
        <f t="shared" si="5"/>
        <v>4</v>
      </c>
      <c r="W27" s="9"/>
      <c r="X27" s="9"/>
      <c r="Y27" s="9"/>
      <c r="Z27" s="9"/>
      <c r="AA27" s="9"/>
      <c r="AB27" s="9"/>
      <c r="AC27" s="9"/>
      <c r="AD27" s="9"/>
      <c r="AE27" s="9"/>
    </row>
    <row r="28" spans="1:54" s="13" customFormat="1" x14ac:dyDescent="0.25">
      <c r="A28" s="27">
        <f t="shared" si="1"/>
        <v>25</v>
      </c>
      <c r="B28" s="26" t="s">
        <v>11</v>
      </c>
      <c r="C28" s="70">
        <v>10</v>
      </c>
      <c r="D28" s="70"/>
      <c r="E28" s="70"/>
      <c r="F28" s="70"/>
      <c r="G28" s="70"/>
      <c r="H28" s="70"/>
      <c r="I28" s="70"/>
      <c r="J28" s="71"/>
      <c r="K28" s="72"/>
      <c r="L28" s="55"/>
      <c r="M28" s="73">
        <v>2</v>
      </c>
      <c r="N28" s="74"/>
      <c r="O28" s="70">
        <v>1</v>
      </c>
      <c r="P28" s="71"/>
      <c r="Q28" s="71">
        <v>2</v>
      </c>
      <c r="R28" s="72"/>
      <c r="S28" s="55"/>
      <c r="T28" s="58">
        <f t="shared" si="0"/>
        <v>0</v>
      </c>
      <c r="U28" s="75">
        <f t="shared" si="4"/>
        <v>360</v>
      </c>
      <c r="V28" s="75">
        <f t="shared" si="5"/>
        <v>15</v>
      </c>
      <c r="W28" s="9"/>
      <c r="X28" s="9"/>
      <c r="Y28" s="9"/>
      <c r="Z28" s="9"/>
      <c r="AA28" s="9"/>
      <c r="AB28" s="9"/>
      <c r="AC28" s="9"/>
      <c r="AD28" s="9"/>
      <c r="AE28" s="9"/>
    </row>
    <row r="29" spans="1:54" x14ac:dyDescent="0.25">
      <c r="A29" s="27">
        <f t="shared" si="1"/>
        <v>26</v>
      </c>
      <c r="B29" s="26" t="s">
        <v>13</v>
      </c>
      <c r="C29" s="70">
        <v>29</v>
      </c>
      <c r="D29" s="70"/>
      <c r="E29" s="70"/>
      <c r="F29" s="70"/>
      <c r="G29" s="70"/>
      <c r="H29" s="70"/>
      <c r="I29" s="70"/>
      <c r="J29" s="71">
        <v>5</v>
      </c>
      <c r="K29" s="72"/>
      <c r="L29" s="55"/>
      <c r="M29" s="73"/>
      <c r="N29" s="74"/>
      <c r="O29" s="70"/>
      <c r="P29" s="71"/>
      <c r="Q29" s="71"/>
      <c r="R29" s="72"/>
      <c r="S29" s="55"/>
      <c r="T29" s="58">
        <f t="shared" si="0"/>
        <v>5</v>
      </c>
      <c r="U29" s="75">
        <f t="shared" si="4"/>
        <v>701</v>
      </c>
      <c r="V29" s="75">
        <f t="shared" si="5"/>
        <v>29.208333333333332</v>
      </c>
    </row>
    <row r="30" spans="1:54" x14ac:dyDescent="0.25">
      <c r="A30" s="27">
        <f t="shared" si="1"/>
        <v>27</v>
      </c>
      <c r="B30" s="26" t="s">
        <v>15</v>
      </c>
      <c r="C30" s="70">
        <v>15</v>
      </c>
      <c r="D30" s="70"/>
      <c r="E30" s="70"/>
      <c r="F30" s="70"/>
      <c r="G30" s="70"/>
      <c r="H30" s="70"/>
      <c r="I30" s="70"/>
      <c r="J30" s="71"/>
      <c r="K30" s="72"/>
      <c r="L30" s="55"/>
      <c r="M30" s="73"/>
      <c r="N30" s="74"/>
      <c r="O30" s="70"/>
      <c r="P30" s="71"/>
      <c r="Q30" s="71"/>
      <c r="R30" s="72"/>
      <c r="S30" s="55"/>
      <c r="T30" s="58">
        <f t="shared" si="0"/>
        <v>0</v>
      </c>
      <c r="U30" s="75">
        <f t="shared" si="4"/>
        <v>360</v>
      </c>
      <c r="V30" s="75">
        <f t="shared" si="5"/>
        <v>15</v>
      </c>
    </row>
    <row r="31" spans="1:54" x14ac:dyDescent="0.25">
      <c r="A31" s="27">
        <f t="shared" si="1"/>
        <v>28</v>
      </c>
      <c r="B31" s="26" t="s">
        <v>12</v>
      </c>
      <c r="C31" s="70">
        <v>2</v>
      </c>
      <c r="D31" s="70"/>
      <c r="E31" s="70"/>
      <c r="F31" s="70"/>
      <c r="G31" s="70"/>
      <c r="H31" s="70"/>
      <c r="I31" s="70"/>
      <c r="J31" s="71"/>
      <c r="K31" s="72"/>
      <c r="L31" s="55"/>
      <c r="M31" s="73"/>
      <c r="N31" s="74"/>
      <c r="O31" s="70"/>
      <c r="P31" s="71"/>
      <c r="Q31" s="71"/>
      <c r="R31" s="72"/>
      <c r="S31" s="55"/>
      <c r="T31" s="58">
        <f t="shared" si="0"/>
        <v>0</v>
      </c>
      <c r="U31" s="75">
        <f t="shared" si="4"/>
        <v>48</v>
      </c>
      <c r="V31" s="75">
        <f t="shared" si="5"/>
        <v>2</v>
      </c>
    </row>
    <row r="32" spans="1:54" x14ac:dyDescent="0.25">
      <c r="A32" s="27">
        <f t="shared" si="1"/>
        <v>29</v>
      </c>
      <c r="B32" s="26" t="s">
        <v>14</v>
      </c>
      <c r="C32" s="70"/>
      <c r="D32" s="70"/>
      <c r="E32" s="70"/>
      <c r="F32" s="70"/>
      <c r="G32" s="70"/>
      <c r="H32" s="70"/>
      <c r="I32" s="70"/>
      <c r="J32" s="71"/>
      <c r="K32" s="72"/>
      <c r="L32" s="55"/>
      <c r="M32" s="73"/>
      <c r="N32" s="74"/>
      <c r="O32" s="70"/>
      <c r="P32" s="71"/>
      <c r="Q32" s="71"/>
      <c r="R32" s="72"/>
      <c r="S32" s="55"/>
      <c r="T32" s="58">
        <f t="shared" si="0"/>
        <v>0</v>
      </c>
      <c r="U32" s="75">
        <f t="shared" si="4"/>
        <v>0</v>
      </c>
      <c r="V32" s="75">
        <f t="shared" si="5"/>
        <v>0</v>
      </c>
    </row>
    <row r="33" spans="1:23" x14ac:dyDescent="0.25">
      <c r="A33" s="27">
        <f t="shared" si="1"/>
        <v>30</v>
      </c>
      <c r="B33" s="26" t="s">
        <v>16</v>
      </c>
      <c r="C33" s="70">
        <v>2</v>
      </c>
      <c r="D33" s="70"/>
      <c r="E33" s="70"/>
      <c r="F33" s="70"/>
      <c r="G33" s="70"/>
      <c r="H33" s="70"/>
      <c r="I33" s="70"/>
      <c r="J33" s="71"/>
      <c r="K33" s="72"/>
      <c r="L33" s="55"/>
      <c r="M33" s="73"/>
      <c r="N33" s="74"/>
      <c r="O33" s="70"/>
      <c r="P33" s="71"/>
      <c r="Q33" s="71"/>
      <c r="R33" s="72"/>
      <c r="S33" s="55"/>
      <c r="T33" s="58">
        <f t="shared" si="0"/>
        <v>0</v>
      </c>
      <c r="U33" s="75">
        <f t="shared" si="4"/>
        <v>48</v>
      </c>
      <c r="V33" s="75">
        <f t="shared" si="5"/>
        <v>2</v>
      </c>
    </row>
    <row r="34" spans="1:23" x14ac:dyDescent="0.25">
      <c r="A34" s="27">
        <f t="shared" si="1"/>
        <v>31</v>
      </c>
      <c r="B34" s="26" t="s">
        <v>17</v>
      </c>
      <c r="C34" s="70">
        <f>144+62</f>
        <v>206</v>
      </c>
      <c r="D34" s="70"/>
      <c r="E34" s="70"/>
      <c r="F34" s="70"/>
      <c r="G34" s="70"/>
      <c r="H34" s="70"/>
      <c r="I34" s="70">
        <v>1</v>
      </c>
      <c r="J34" s="71"/>
      <c r="K34" s="72">
        <v>1</v>
      </c>
      <c r="L34" s="55"/>
      <c r="M34" s="73"/>
      <c r="N34" s="74"/>
      <c r="O34" s="70">
        <v>3</v>
      </c>
      <c r="P34" s="71"/>
      <c r="Q34" s="71"/>
      <c r="R34" s="72"/>
      <c r="S34" s="55"/>
      <c r="T34" s="58">
        <f t="shared" si="0"/>
        <v>2</v>
      </c>
      <c r="U34" s="75">
        <f t="shared" si="4"/>
        <v>5018</v>
      </c>
      <c r="V34" s="75">
        <f t="shared" si="5"/>
        <v>209.08333333333334</v>
      </c>
    </row>
    <row r="35" spans="1:23" hidden="1" x14ac:dyDescent="0.25">
      <c r="A35" s="27">
        <f t="shared" si="1"/>
        <v>32</v>
      </c>
      <c r="B35" s="26" t="s">
        <v>25</v>
      </c>
      <c r="C35" s="70"/>
      <c r="D35" s="70"/>
      <c r="E35" s="70"/>
      <c r="F35" s="70"/>
      <c r="G35" s="70"/>
      <c r="H35" s="70"/>
      <c r="I35" s="70"/>
      <c r="J35" s="71"/>
      <c r="K35" s="72"/>
      <c r="L35" s="55"/>
      <c r="M35" s="73"/>
      <c r="N35" s="74"/>
      <c r="O35" s="70"/>
      <c r="P35" s="71"/>
      <c r="Q35" s="71"/>
      <c r="R35" s="72"/>
      <c r="S35" s="55"/>
      <c r="T35" s="58">
        <f t="shared" si="0"/>
        <v>0</v>
      </c>
      <c r="U35" s="75">
        <f t="shared" si="4"/>
        <v>0</v>
      </c>
      <c r="V35" s="75">
        <f t="shared" si="5"/>
        <v>0</v>
      </c>
    </row>
    <row r="36" spans="1:23" x14ac:dyDescent="0.25">
      <c r="A36" s="27">
        <f t="shared" si="1"/>
        <v>33</v>
      </c>
      <c r="B36" s="26" t="s">
        <v>18</v>
      </c>
      <c r="C36" s="70"/>
      <c r="D36" s="70"/>
      <c r="E36" s="70"/>
      <c r="F36" s="70"/>
      <c r="G36" s="70"/>
      <c r="H36" s="70"/>
      <c r="I36" s="70"/>
      <c r="J36" s="71"/>
      <c r="K36" s="72"/>
      <c r="L36" s="55"/>
      <c r="M36" s="73"/>
      <c r="N36" s="74"/>
      <c r="O36" s="70"/>
      <c r="P36" s="71"/>
      <c r="Q36" s="71"/>
      <c r="R36" s="72"/>
      <c r="S36" s="55"/>
      <c r="T36" s="58">
        <f t="shared" si="0"/>
        <v>0</v>
      </c>
      <c r="U36" s="75">
        <f t="shared" si="4"/>
        <v>0</v>
      </c>
      <c r="V36" s="75">
        <f t="shared" si="5"/>
        <v>0</v>
      </c>
    </row>
    <row r="37" spans="1:23" ht="19.5" thickBot="1" x14ac:dyDescent="0.3">
      <c r="A37" s="27">
        <f t="shared" si="1"/>
        <v>34</v>
      </c>
      <c r="B37" s="42" t="s">
        <v>19</v>
      </c>
      <c r="C37" s="59">
        <f>61+756+3132+94</f>
        <v>4043</v>
      </c>
      <c r="D37" s="59"/>
      <c r="E37" s="59"/>
      <c r="F37" s="59"/>
      <c r="G37" s="59"/>
      <c r="H37" s="59">
        <v>2</v>
      </c>
      <c r="I37" s="59">
        <v>2</v>
      </c>
      <c r="J37" s="60">
        <v>1</v>
      </c>
      <c r="K37" s="61">
        <f>1*6+2</f>
        <v>8</v>
      </c>
      <c r="L37" s="62"/>
      <c r="M37" s="63">
        <v>5</v>
      </c>
      <c r="N37" s="64"/>
      <c r="O37" s="65">
        <v>3</v>
      </c>
      <c r="P37" s="66"/>
      <c r="Q37" s="66">
        <v>29</v>
      </c>
      <c r="R37" s="67"/>
      <c r="S37" s="62"/>
      <c r="T37" s="77">
        <f t="shared" si="0"/>
        <v>13</v>
      </c>
      <c r="U37" s="77">
        <f>C37*6+M37*6+O37*6+Q37*6+T37</f>
        <v>24493</v>
      </c>
      <c r="V37" s="77">
        <f>U37/6</f>
        <v>4082.1666666666665</v>
      </c>
      <c r="W37" s="50"/>
    </row>
    <row r="38" spans="1:23" x14ac:dyDescent="0.25">
      <c r="A38" s="27">
        <f t="shared" si="1"/>
        <v>35</v>
      </c>
      <c r="B38" s="25" t="s">
        <v>20</v>
      </c>
      <c r="C38" s="70"/>
      <c r="D38" s="70"/>
      <c r="E38" s="70"/>
      <c r="F38" s="70"/>
      <c r="G38" s="70"/>
      <c r="H38" s="70"/>
      <c r="I38" s="70"/>
      <c r="J38" s="71"/>
      <c r="K38" s="72"/>
      <c r="L38" s="55"/>
      <c r="M38" s="73"/>
      <c r="N38" s="74"/>
      <c r="O38" s="70"/>
      <c r="P38" s="71"/>
      <c r="Q38" s="71"/>
      <c r="R38" s="72"/>
      <c r="S38" s="55"/>
      <c r="T38" s="75">
        <f t="shared" si="0"/>
        <v>0</v>
      </c>
      <c r="U38" s="75">
        <f>C38*24+M38*24+O38*24+Q38*24+T38</f>
        <v>0</v>
      </c>
      <c r="V38" s="75">
        <f>U38/24</f>
        <v>0</v>
      </c>
    </row>
    <row r="39" spans="1:23" x14ac:dyDescent="0.25">
      <c r="A39" s="27">
        <f t="shared" si="1"/>
        <v>36</v>
      </c>
      <c r="B39" s="51" t="s">
        <v>62</v>
      </c>
      <c r="C39" s="78"/>
      <c r="D39" s="78"/>
      <c r="E39" s="78"/>
      <c r="F39" s="78"/>
      <c r="G39" s="78"/>
      <c r="H39" s="78"/>
      <c r="I39" s="78"/>
      <c r="J39" s="79"/>
      <c r="K39" s="80"/>
      <c r="L39" s="55"/>
      <c r="M39" s="73"/>
      <c r="N39" s="74"/>
      <c r="O39" s="70"/>
      <c r="P39" s="71"/>
      <c r="Q39" s="71"/>
      <c r="R39" s="72"/>
      <c r="S39" s="95"/>
      <c r="T39" s="75">
        <f t="shared" si="0"/>
        <v>0</v>
      </c>
      <c r="U39" s="75">
        <f>C39*24+M39*24+O39*24+Q39*24+T39</f>
        <v>0</v>
      </c>
      <c r="V39" s="75">
        <f>U39/24</f>
        <v>0</v>
      </c>
    </row>
    <row r="40" spans="1:23" ht="19.5" thickBot="1" x14ac:dyDescent="0.3">
      <c r="A40" s="27">
        <f t="shared" si="1"/>
        <v>37</v>
      </c>
      <c r="B40" s="42" t="s">
        <v>21</v>
      </c>
      <c r="C40" s="59">
        <f>126+58</f>
        <v>184</v>
      </c>
      <c r="D40" s="59"/>
      <c r="E40" s="59"/>
      <c r="F40" s="59"/>
      <c r="G40" s="59"/>
      <c r="H40" s="59"/>
      <c r="I40" s="59"/>
      <c r="J40" s="60"/>
      <c r="K40" s="61">
        <v>20</v>
      </c>
      <c r="L40" s="62"/>
      <c r="M40" s="63">
        <v>2</v>
      </c>
      <c r="N40" s="64"/>
      <c r="O40" s="65">
        <v>20</v>
      </c>
      <c r="P40" s="66"/>
      <c r="Q40" s="66">
        <v>2</v>
      </c>
      <c r="R40" s="67"/>
      <c r="S40" s="62"/>
      <c r="T40" s="77">
        <f t="shared" si="0"/>
        <v>20</v>
      </c>
      <c r="U40" s="77">
        <f>C40*24+M40*24+O40*24+Q40*24+T40</f>
        <v>5012</v>
      </c>
      <c r="V40" s="77">
        <f>U40/24</f>
        <v>208.83333333333334</v>
      </c>
    </row>
    <row r="41" spans="1:23" ht="19.5" thickBot="1" x14ac:dyDescent="0.3">
      <c r="A41" s="27">
        <f t="shared" si="1"/>
        <v>38</v>
      </c>
      <c r="B41" s="43" t="s">
        <v>22</v>
      </c>
      <c r="C41" s="82">
        <v>80</v>
      </c>
      <c r="D41" s="82"/>
      <c r="E41" s="82"/>
      <c r="F41" s="82"/>
      <c r="G41" s="82"/>
      <c r="H41" s="82"/>
      <c r="I41" s="82"/>
      <c r="J41" s="83"/>
      <c r="K41" s="84"/>
      <c r="L41" s="85"/>
      <c r="M41" s="86">
        <v>2</v>
      </c>
      <c r="N41" s="87"/>
      <c r="O41" s="82">
        <v>12</v>
      </c>
      <c r="P41" s="83"/>
      <c r="Q41" s="83">
        <v>12</v>
      </c>
      <c r="R41" s="84"/>
      <c r="S41" s="85"/>
      <c r="T41" s="88">
        <f t="shared" si="0"/>
        <v>0</v>
      </c>
      <c r="U41" s="88">
        <f>C41*12+M41*12+O41*12+Q41*12+T41</f>
        <v>1272</v>
      </c>
      <c r="V41" s="88">
        <f>U41/12</f>
        <v>106</v>
      </c>
    </row>
    <row r="42" spans="1:23" hidden="1" x14ac:dyDescent="0.25">
      <c r="A42" s="27">
        <f t="shared" si="1"/>
        <v>39</v>
      </c>
      <c r="B42" s="25" t="s">
        <v>29</v>
      </c>
      <c r="C42" s="70"/>
      <c r="D42" s="70"/>
      <c r="E42" s="70"/>
      <c r="F42" s="70"/>
      <c r="G42" s="70"/>
      <c r="H42" s="70"/>
      <c r="I42" s="70"/>
      <c r="J42" s="71"/>
      <c r="K42" s="72"/>
      <c r="L42" s="55"/>
      <c r="M42" s="73"/>
      <c r="N42" s="74"/>
      <c r="O42" s="70"/>
      <c r="P42" s="71"/>
      <c r="Q42" s="71"/>
      <c r="R42" s="72"/>
      <c r="S42" s="55"/>
      <c r="T42" s="75"/>
      <c r="U42" s="75"/>
      <c r="V42" s="75"/>
    </row>
    <row r="43" spans="1:23" ht="19.5" thickBot="1" x14ac:dyDescent="0.3">
      <c r="A43" s="27">
        <f t="shared" si="1"/>
        <v>40</v>
      </c>
      <c r="B43" s="42" t="s">
        <v>23</v>
      </c>
      <c r="C43" s="65">
        <f>12636+19764+10260</f>
        <v>42660</v>
      </c>
      <c r="D43" s="65"/>
      <c r="E43" s="65"/>
      <c r="F43" s="65"/>
      <c r="G43" s="65"/>
      <c r="H43" s="65">
        <v>4</v>
      </c>
      <c r="I43" s="65">
        <v>12</v>
      </c>
      <c r="J43" s="66">
        <f>7*6+1</f>
        <v>43</v>
      </c>
      <c r="K43" s="67">
        <f>71*6+2</f>
        <v>428</v>
      </c>
      <c r="L43" s="62"/>
      <c r="M43" s="63">
        <v>66</v>
      </c>
      <c r="N43" s="64"/>
      <c r="O43" s="65">
        <v>456</v>
      </c>
      <c r="P43" s="66"/>
      <c r="Q43" s="66">
        <v>428</v>
      </c>
      <c r="R43" s="67"/>
      <c r="S43" s="62"/>
      <c r="T43" s="77">
        <f t="shared" ref="T43" si="6">H43+I43+J43+K43+N43+P43+R43</f>
        <v>487</v>
      </c>
      <c r="U43" s="77">
        <f>C43*6+M43*6+O43*6+Q43*6+T43</f>
        <v>262147</v>
      </c>
      <c r="V43" s="77">
        <f>U43/6</f>
        <v>43691.166666666664</v>
      </c>
    </row>
    <row r="44" spans="1:23" hidden="1" x14ac:dyDescent="0.25">
      <c r="A44" s="27">
        <f t="shared" si="1"/>
        <v>41</v>
      </c>
      <c r="B44" s="25" t="s">
        <v>31</v>
      </c>
      <c r="C44" s="70"/>
      <c r="D44" s="70"/>
      <c r="E44" s="70"/>
      <c r="F44" s="70"/>
      <c r="G44" s="70"/>
      <c r="H44" s="70"/>
      <c r="I44" s="70"/>
      <c r="J44" s="71"/>
      <c r="K44" s="72"/>
      <c r="L44" s="55"/>
      <c r="M44" s="73"/>
      <c r="N44" s="74"/>
      <c r="O44" s="70"/>
      <c r="P44" s="71"/>
      <c r="Q44" s="71"/>
      <c r="R44" s="72"/>
      <c r="S44" s="55"/>
      <c r="T44" s="75"/>
      <c r="U44" s="75"/>
      <c r="V44" s="75"/>
    </row>
    <row r="45" spans="1:23" x14ac:dyDescent="0.25">
      <c r="A45" s="27">
        <f t="shared" si="1"/>
        <v>42</v>
      </c>
      <c r="B45" s="26" t="s">
        <v>24</v>
      </c>
      <c r="C45" s="70"/>
      <c r="D45" s="70"/>
      <c r="E45" s="70"/>
      <c r="F45" s="70"/>
      <c r="G45" s="70"/>
      <c r="H45" s="70"/>
      <c r="I45" s="70"/>
      <c r="J45" s="71"/>
      <c r="K45" s="72"/>
      <c r="L45" s="55"/>
      <c r="M45" s="73"/>
      <c r="N45" s="74"/>
      <c r="O45" s="70"/>
      <c r="P45" s="71"/>
      <c r="Q45" s="71"/>
      <c r="R45" s="72"/>
      <c r="S45" s="55"/>
      <c r="T45" s="75">
        <f t="shared" ref="T45:T54" si="7">H45+I45+J45+K45+N45+P45+R45</f>
        <v>0</v>
      </c>
      <c r="U45" s="75">
        <f>C45*24+M45*24+O45*24+Q45*24+T45</f>
        <v>0</v>
      </c>
      <c r="V45" s="75">
        <f>U45/24</f>
        <v>0</v>
      </c>
    </row>
    <row r="46" spans="1:23" x14ac:dyDescent="0.25">
      <c r="A46" s="27">
        <f t="shared" si="1"/>
        <v>43</v>
      </c>
      <c r="B46" s="26" t="s">
        <v>57</v>
      </c>
      <c r="C46" s="70"/>
      <c r="D46" s="70"/>
      <c r="E46" s="70"/>
      <c r="F46" s="70"/>
      <c r="G46" s="70"/>
      <c r="H46" s="70"/>
      <c r="I46" s="70"/>
      <c r="J46" s="71"/>
      <c r="K46" s="72"/>
      <c r="L46" s="55"/>
      <c r="M46" s="73"/>
      <c r="N46" s="74"/>
      <c r="O46" s="70"/>
      <c r="P46" s="71"/>
      <c r="Q46" s="71"/>
      <c r="R46" s="72"/>
      <c r="S46" s="55"/>
      <c r="T46" s="75">
        <f t="shared" si="7"/>
        <v>0</v>
      </c>
      <c r="U46" s="75">
        <f t="shared" ref="U46:U50" si="8">C46*24+M46*24+O46*24+Q46*24+T46</f>
        <v>0</v>
      </c>
      <c r="V46" s="75">
        <f t="shared" ref="V46:V54" si="9">U46/24</f>
        <v>0</v>
      </c>
    </row>
    <row r="47" spans="1:23" ht="19.5" thickBot="1" x14ac:dyDescent="0.3">
      <c r="A47" s="27">
        <f t="shared" si="1"/>
        <v>44</v>
      </c>
      <c r="B47" s="42" t="s">
        <v>25</v>
      </c>
      <c r="C47" s="65">
        <f>106+648+324+88+540+103+324+432+106</f>
        <v>2671</v>
      </c>
      <c r="D47" s="65"/>
      <c r="E47" s="65"/>
      <c r="F47" s="65"/>
      <c r="G47" s="65"/>
      <c r="H47" s="65">
        <v>1</v>
      </c>
      <c r="I47" s="65"/>
      <c r="J47" s="66"/>
      <c r="K47" s="67">
        <v>5</v>
      </c>
      <c r="L47" s="62"/>
      <c r="M47" s="63">
        <v>9</v>
      </c>
      <c r="N47" s="64"/>
      <c r="O47" s="65">
        <v>16</v>
      </c>
      <c r="P47" s="66"/>
      <c r="Q47" s="66">
        <v>5</v>
      </c>
      <c r="R47" s="67">
        <v>3</v>
      </c>
      <c r="S47" s="62"/>
      <c r="T47" s="77">
        <f t="shared" si="7"/>
        <v>9</v>
      </c>
      <c r="U47" s="77">
        <f>C47*6+M47*6+O47*6+Q47*6+T47</f>
        <v>16215</v>
      </c>
      <c r="V47" s="77">
        <f>U47/6</f>
        <v>2702.5</v>
      </c>
    </row>
    <row r="48" spans="1:23" x14ac:dyDescent="0.25">
      <c r="A48" s="27">
        <f t="shared" si="1"/>
        <v>45</v>
      </c>
      <c r="B48" s="25" t="s">
        <v>58</v>
      </c>
      <c r="C48" s="70"/>
      <c r="D48" s="70"/>
      <c r="E48" s="70"/>
      <c r="F48" s="70"/>
      <c r="G48" s="70"/>
      <c r="H48" s="70">
        <v>24</v>
      </c>
      <c r="I48" s="70"/>
      <c r="J48" s="71"/>
      <c r="K48" s="72"/>
      <c r="L48" s="55"/>
      <c r="M48" s="73"/>
      <c r="N48" s="74"/>
      <c r="O48" s="70"/>
      <c r="P48" s="71"/>
      <c r="Q48" s="71"/>
      <c r="R48" s="72"/>
      <c r="S48" s="55"/>
      <c r="T48" s="75">
        <f t="shared" si="7"/>
        <v>24</v>
      </c>
      <c r="U48" s="75">
        <f t="shared" si="8"/>
        <v>24</v>
      </c>
      <c r="V48" s="75">
        <f t="shared" si="9"/>
        <v>1</v>
      </c>
    </row>
    <row r="49" spans="1:22" x14ac:dyDescent="0.25">
      <c r="A49" s="27">
        <f t="shared" si="1"/>
        <v>46</v>
      </c>
      <c r="B49" s="26" t="s">
        <v>26</v>
      </c>
      <c r="C49" s="70">
        <v>10</v>
      </c>
      <c r="D49" s="70"/>
      <c r="E49" s="70"/>
      <c r="F49" s="70"/>
      <c r="G49" s="70"/>
      <c r="H49" s="70"/>
      <c r="I49" s="70"/>
      <c r="J49" s="71"/>
      <c r="K49" s="72"/>
      <c r="L49" s="55"/>
      <c r="M49" s="73"/>
      <c r="N49" s="74"/>
      <c r="O49" s="70"/>
      <c r="P49" s="71"/>
      <c r="Q49" s="71"/>
      <c r="R49" s="72"/>
      <c r="S49" s="55"/>
      <c r="T49" s="75">
        <f t="shared" si="7"/>
        <v>0</v>
      </c>
      <c r="U49" s="75">
        <f t="shared" si="8"/>
        <v>240</v>
      </c>
      <c r="V49" s="75">
        <f t="shared" si="9"/>
        <v>10</v>
      </c>
    </row>
    <row r="50" spans="1:22" x14ac:dyDescent="0.25">
      <c r="A50" s="27">
        <f t="shared" si="1"/>
        <v>47</v>
      </c>
      <c r="B50" s="26" t="s">
        <v>59</v>
      </c>
      <c r="C50" s="70"/>
      <c r="D50" s="70"/>
      <c r="E50" s="70"/>
      <c r="F50" s="70"/>
      <c r="G50" s="70"/>
      <c r="H50" s="70"/>
      <c r="I50" s="70"/>
      <c r="J50" s="71"/>
      <c r="K50" s="72"/>
      <c r="L50" s="55"/>
      <c r="M50" s="73"/>
      <c r="N50" s="74"/>
      <c r="O50" s="70"/>
      <c r="P50" s="71"/>
      <c r="Q50" s="71"/>
      <c r="R50" s="72"/>
      <c r="S50" s="55"/>
      <c r="T50" s="75">
        <f t="shared" si="7"/>
        <v>0</v>
      </c>
      <c r="U50" s="75">
        <f t="shared" si="8"/>
        <v>0</v>
      </c>
      <c r="V50" s="75">
        <f t="shared" si="9"/>
        <v>0</v>
      </c>
    </row>
    <row r="51" spans="1:22" ht="19.5" thickBot="1" x14ac:dyDescent="0.3">
      <c r="A51" s="27">
        <f t="shared" si="1"/>
        <v>48</v>
      </c>
      <c r="B51" s="42" t="s">
        <v>27</v>
      </c>
      <c r="C51" s="65">
        <v>34</v>
      </c>
      <c r="D51" s="65"/>
      <c r="E51" s="65"/>
      <c r="F51" s="65"/>
      <c r="G51" s="65"/>
      <c r="H51" s="65"/>
      <c r="I51" s="65"/>
      <c r="J51" s="66"/>
      <c r="K51" s="67"/>
      <c r="L51" s="62"/>
      <c r="M51" s="63"/>
      <c r="N51" s="64"/>
      <c r="O51" s="65"/>
      <c r="P51" s="66"/>
      <c r="Q51" s="66"/>
      <c r="R51" s="67"/>
      <c r="S51" s="62"/>
      <c r="T51" s="77">
        <f t="shared" si="7"/>
        <v>0</v>
      </c>
      <c r="U51" s="77">
        <f>C51*6+M51*6+O51*6+Q51*6+T51</f>
        <v>204</v>
      </c>
      <c r="V51" s="77">
        <f>U51/6</f>
        <v>34</v>
      </c>
    </row>
    <row r="52" spans="1:22" x14ac:dyDescent="0.25">
      <c r="A52" s="27">
        <f t="shared" si="1"/>
        <v>49</v>
      </c>
      <c r="B52" s="25" t="s">
        <v>28</v>
      </c>
      <c r="C52" s="70"/>
      <c r="D52" s="70"/>
      <c r="E52" s="70"/>
      <c r="F52" s="70"/>
      <c r="G52" s="70"/>
      <c r="H52" s="70"/>
      <c r="I52" s="70"/>
      <c r="J52" s="71"/>
      <c r="K52" s="72"/>
      <c r="L52" s="55"/>
      <c r="M52" s="73"/>
      <c r="N52" s="74"/>
      <c r="O52" s="70"/>
      <c r="P52" s="71"/>
      <c r="Q52" s="71"/>
      <c r="R52" s="72"/>
      <c r="S52" s="55"/>
      <c r="T52" s="75">
        <f t="shared" si="7"/>
        <v>0</v>
      </c>
      <c r="U52" s="75">
        <f t="shared" ref="U52:U54" si="10">C52*24+M52*24+O52*24+Q52*24+T52</f>
        <v>0</v>
      </c>
      <c r="V52" s="75">
        <f t="shared" si="9"/>
        <v>0</v>
      </c>
    </row>
    <row r="53" spans="1:22" x14ac:dyDescent="0.25">
      <c r="A53" s="27">
        <f t="shared" si="1"/>
        <v>50</v>
      </c>
      <c r="B53" s="26" t="s">
        <v>63</v>
      </c>
      <c r="C53" s="70">
        <v>6</v>
      </c>
      <c r="D53" s="70"/>
      <c r="E53" s="70"/>
      <c r="F53" s="70"/>
      <c r="G53" s="70"/>
      <c r="H53" s="70"/>
      <c r="I53" s="70"/>
      <c r="J53" s="71"/>
      <c r="K53" s="72"/>
      <c r="L53" s="55"/>
      <c r="M53" s="73"/>
      <c r="N53" s="74"/>
      <c r="O53" s="70"/>
      <c r="P53" s="71"/>
      <c r="Q53" s="71">
        <v>1</v>
      </c>
      <c r="R53" s="72"/>
      <c r="S53" s="55"/>
      <c r="T53" s="75">
        <f t="shared" si="7"/>
        <v>0</v>
      </c>
      <c r="U53" s="75">
        <f t="shared" si="10"/>
        <v>168</v>
      </c>
      <c r="V53" s="75">
        <f t="shared" si="9"/>
        <v>7</v>
      </c>
    </row>
    <row r="54" spans="1:22" x14ac:dyDescent="0.25">
      <c r="A54" s="27">
        <f t="shared" si="1"/>
        <v>51</v>
      </c>
      <c r="B54" s="26"/>
      <c r="C54" s="70"/>
      <c r="D54" s="70"/>
      <c r="E54" s="70"/>
      <c r="F54" s="70"/>
      <c r="G54" s="70"/>
      <c r="H54" s="70"/>
      <c r="I54" s="70"/>
      <c r="J54" s="71"/>
      <c r="K54" s="72"/>
      <c r="L54" s="55"/>
      <c r="M54" s="73"/>
      <c r="N54" s="74"/>
      <c r="O54" s="70"/>
      <c r="P54" s="71"/>
      <c r="Q54" s="71"/>
      <c r="R54" s="72"/>
      <c r="S54" s="55"/>
      <c r="T54" s="75">
        <f t="shared" si="7"/>
        <v>0</v>
      </c>
      <c r="U54" s="75">
        <f t="shared" si="10"/>
        <v>0</v>
      </c>
      <c r="V54" s="75">
        <f t="shared" si="9"/>
        <v>0</v>
      </c>
    </row>
    <row r="55" spans="1:22" x14ac:dyDescent="0.25">
      <c r="A55" s="27">
        <f t="shared" si="1"/>
        <v>52</v>
      </c>
      <c r="B55" s="26"/>
      <c r="C55" s="70"/>
      <c r="D55" s="70"/>
      <c r="E55" s="70"/>
      <c r="F55" s="70"/>
      <c r="G55" s="70"/>
      <c r="H55" s="70"/>
      <c r="I55" s="70"/>
      <c r="J55" s="71"/>
      <c r="K55" s="72"/>
      <c r="L55" s="55"/>
      <c r="M55" s="73"/>
      <c r="N55" s="74"/>
      <c r="O55" s="70"/>
      <c r="P55" s="71"/>
      <c r="Q55" s="71"/>
      <c r="R55" s="72"/>
      <c r="S55" s="55"/>
      <c r="T55" s="75"/>
      <c r="U55" s="75"/>
      <c r="V55" s="75"/>
    </row>
    <row r="56" spans="1:22" x14ac:dyDescent="0.25">
      <c r="A56" s="27">
        <f t="shared" si="1"/>
        <v>53</v>
      </c>
      <c r="B56" s="26"/>
      <c r="C56" s="70"/>
      <c r="D56" s="70"/>
      <c r="E56" s="70"/>
      <c r="F56" s="70"/>
      <c r="G56" s="70"/>
      <c r="H56" s="70"/>
      <c r="I56" s="70"/>
      <c r="J56" s="71"/>
      <c r="K56" s="72"/>
      <c r="L56" s="55"/>
      <c r="M56" s="73"/>
      <c r="N56" s="74"/>
      <c r="O56" s="70"/>
      <c r="P56" s="71"/>
      <c r="Q56" s="71"/>
      <c r="R56" s="72"/>
      <c r="S56" s="55"/>
      <c r="T56" s="75"/>
      <c r="U56" s="75"/>
      <c r="V56" s="75"/>
    </row>
    <row r="57" spans="1:22" x14ac:dyDescent="0.25">
      <c r="A57" s="27">
        <f t="shared" si="1"/>
        <v>54</v>
      </c>
      <c r="B57" s="26"/>
      <c r="C57" s="70"/>
      <c r="D57" s="70"/>
      <c r="E57" s="70"/>
      <c r="F57" s="70"/>
      <c r="G57" s="70"/>
      <c r="H57" s="70"/>
      <c r="I57" s="70"/>
      <c r="J57" s="71"/>
      <c r="K57" s="72"/>
      <c r="L57" s="55"/>
      <c r="M57" s="73"/>
      <c r="N57" s="74"/>
      <c r="O57" s="70"/>
      <c r="P57" s="71"/>
      <c r="Q57" s="71"/>
      <c r="R57" s="72"/>
      <c r="S57" s="55"/>
      <c r="T57" s="75"/>
      <c r="U57" s="75"/>
      <c r="V57" s="75"/>
    </row>
    <row r="58" spans="1:22" s="15" customFormat="1" ht="19.5" thickBot="1" x14ac:dyDescent="0.3">
      <c r="B58" s="29" t="s">
        <v>50</v>
      </c>
      <c r="C58" s="2">
        <f>SUM(C7:C57)</f>
        <v>53798</v>
      </c>
      <c r="D58" s="2"/>
      <c r="E58" s="2"/>
      <c r="F58" s="2">
        <f t="shared" ref="F58:K58" si="11">SUM(F7:F57)</f>
        <v>0</v>
      </c>
      <c r="G58" s="2">
        <f t="shared" si="11"/>
        <v>0</v>
      </c>
      <c r="H58" s="2">
        <f t="shared" si="11"/>
        <v>1190</v>
      </c>
      <c r="I58" s="6">
        <f t="shared" si="11"/>
        <v>38</v>
      </c>
      <c r="J58" s="6">
        <f t="shared" si="11"/>
        <v>50</v>
      </c>
      <c r="K58" s="6">
        <f t="shared" si="11"/>
        <v>470</v>
      </c>
      <c r="M58" s="5">
        <f t="shared" ref="M58:R58" si="12">SUM(M7:M57)</f>
        <v>88</v>
      </c>
      <c r="N58" s="5">
        <f t="shared" si="12"/>
        <v>0</v>
      </c>
      <c r="O58" s="5">
        <f t="shared" si="12"/>
        <v>524</v>
      </c>
      <c r="P58" s="5">
        <f t="shared" si="12"/>
        <v>22</v>
      </c>
      <c r="Q58" s="5">
        <f t="shared" si="12"/>
        <v>494</v>
      </c>
      <c r="R58" s="5">
        <f t="shared" si="12"/>
        <v>3</v>
      </c>
      <c r="S58" s="55"/>
      <c r="T58" s="4">
        <f>SUM(T7:T57)</f>
        <v>1773</v>
      </c>
      <c r="U58" s="90">
        <f>SUM(U7:U57)</f>
        <v>410547</v>
      </c>
      <c r="V58" s="4">
        <f>SUM(V7:V57)</f>
        <v>55041.5</v>
      </c>
    </row>
    <row r="59" spans="1:22" ht="7.5" customHeight="1" thickBot="1" x14ac:dyDescent="0.3"/>
    <row r="60" spans="1:22" ht="19.5" thickBot="1" x14ac:dyDescent="0.3">
      <c r="B60" s="30" t="s">
        <v>37</v>
      </c>
      <c r="C60" s="113" t="s">
        <v>41</v>
      </c>
      <c r="D60" s="114"/>
      <c r="E60" s="114"/>
      <c r="F60" s="114"/>
      <c r="G60" s="114"/>
      <c r="H60" s="114"/>
      <c r="I60" s="114"/>
      <c r="J60" s="114"/>
      <c r="K60" s="115"/>
      <c r="U60" s="24" t="s">
        <v>51</v>
      </c>
    </row>
    <row r="61" spans="1:22" x14ac:dyDescent="0.25">
      <c r="B61" s="31" t="s">
        <v>17</v>
      </c>
      <c r="C61" s="19"/>
      <c r="D61" s="19"/>
      <c r="E61" s="19"/>
      <c r="F61" s="19"/>
      <c r="G61" s="19"/>
      <c r="H61" s="19"/>
      <c r="I61" s="19"/>
      <c r="J61" s="45"/>
      <c r="K61" s="20"/>
      <c r="U61" s="7"/>
    </row>
    <row r="62" spans="1:22" x14ac:dyDescent="0.25">
      <c r="B62" s="32" t="s">
        <v>45</v>
      </c>
      <c r="C62" s="1"/>
      <c r="D62" s="1"/>
      <c r="E62" s="1"/>
      <c r="F62" s="1"/>
      <c r="G62" s="1"/>
      <c r="H62" s="1"/>
      <c r="I62" s="1"/>
      <c r="J62" s="44"/>
      <c r="K62" s="21"/>
      <c r="U62" s="3"/>
    </row>
    <row r="63" spans="1:22" ht="19.5" thickBot="1" x14ac:dyDescent="0.3">
      <c r="B63" s="33" t="s">
        <v>44</v>
      </c>
      <c r="C63" s="22"/>
      <c r="D63" s="22"/>
      <c r="E63" s="22"/>
      <c r="F63" s="22"/>
      <c r="G63" s="22"/>
      <c r="H63" s="22"/>
      <c r="I63" s="22"/>
      <c r="J63" s="46"/>
      <c r="K63" s="23"/>
      <c r="U63" s="8"/>
    </row>
    <row r="64" spans="1:22" ht="7.5" customHeight="1" thickBot="1" x14ac:dyDescent="0.3"/>
    <row r="65" spans="2:21" x14ac:dyDescent="0.25">
      <c r="B65" s="31" t="s">
        <v>46</v>
      </c>
      <c r="C65" s="19"/>
      <c r="D65" s="19"/>
      <c r="E65" s="19"/>
      <c r="F65" s="19"/>
      <c r="G65" s="19"/>
      <c r="H65" s="19"/>
      <c r="I65" s="19"/>
      <c r="J65" s="45"/>
      <c r="K65" s="20"/>
      <c r="U65" s="7"/>
    </row>
    <row r="66" spans="2:21" x14ac:dyDescent="0.25">
      <c r="B66" s="32" t="s">
        <v>45</v>
      </c>
      <c r="C66" s="1"/>
      <c r="D66" s="1"/>
      <c r="E66" s="1"/>
      <c r="F66" s="1"/>
      <c r="G66" s="1"/>
      <c r="H66" s="1"/>
      <c r="I66" s="1"/>
      <c r="J66" s="44"/>
      <c r="K66" s="21"/>
      <c r="U66" s="3"/>
    </row>
    <row r="67" spans="2:21" ht="19.5" thickBot="1" x14ac:dyDescent="0.3">
      <c r="B67" s="33" t="s">
        <v>44</v>
      </c>
      <c r="C67" s="22"/>
      <c r="D67" s="22"/>
      <c r="E67" s="22"/>
      <c r="F67" s="22"/>
      <c r="G67" s="22"/>
      <c r="H67" s="22"/>
      <c r="I67" s="22"/>
      <c r="J67" s="46"/>
      <c r="K67" s="23"/>
      <c r="U67" s="8"/>
    </row>
    <row r="68" spans="2:21" ht="7.5" customHeight="1" thickBot="1" x14ac:dyDescent="0.3"/>
    <row r="69" spans="2:21" x14ac:dyDescent="0.25">
      <c r="B69" s="31" t="s">
        <v>38</v>
      </c>
      <c r="C69" s="19"/>
      <c r="D69" s="19"/>
      <c r="E69" s="19"/>
      <c r="F69" s="19"/>
      <c r="G69" s="19"/>
      <c r="H69" s="19"/>
      <c r="I69" s="19"/>
      <c r="J69" s="45"/>
      <c r="K69" s="20"/>
      <c r="U69" s="7"/>
    </row>
    <row r="70" spans="2:21" x14ac:dyDescent="0.25">
      <c r="B70" s="32" t="s">
        <v>45</v>
      </c>
      <c r="C70" s="1"/>
      <c r="D70" s="1"/>
      <c r="E70" s="1"/>
      <c r="F70" s="1"/>
      <c r="G70" s="1"/>
      <c r="H70" s="1"/>
      <c r="I70" s="1"/>
      <c r="J70" s="44"/>
      <c r="K70" s="21"/>
      <c r="U70" s="3"/>
    </row>
    <row r="71" spans="2:21" ht="19.5" thickBot="1" x14ac:dyDescent="0.3">
      <c r="B71" s="33" t="s">
        <v>44</v>
      </c>
      <c r="C71" s="22"/>
      <c r="D71" s="22"/>
      <c r="E71" s="22"/>
      <c r="F71" s="22"/>
      <c r="G71" s="22"/>
      <c r="H71" s="22"/>
      <c r="I71" s="22"/>
      <c r="J71" s="46"/>
      <c r="K71" s="23"/>
      <c r="U71" s="8"/>
    </row>
    <row r="72" spans="2:21" ht="7.5" customHeight="1" thickBot="1" x14ac:dyDescent="0.3"/>
    <row r="73" spans="2:21" x14ac:dyDescent="0.25">
      <c r="B73" s="31" t="s">
        <v>47</v>
      </c>
      <c r="C73" s="19"/>
      <c r="D73" s="19"/>
      <c r="E73" s="19"/>
      <c r="F73" s="19"/>
      <c r="G73" s="19"/>
      <c r="H73" s="19"/>
      <c r="I73" s="19"/>
      <c r="J73" s="45"/>
      <c r="K73" s="20"/>
      <c r="U73" s="7"/>
    </row>
    <row r="74" spans="2:21" x14ac:dyDescent="0.25">
      <c r="B74" s="32" t="s">
        <v>45</v>
      </c>
      <c r="C74" s="1"/>
      <c r="D74" s="1"/>
      <c r="E74" s="1"/>
      <c r="F74" s="1"/>
      <c r="G74" s="1"/>
      <c r="H74" s="1"/>
      <c r="I74" s="1"/>
      <c r="J74" s="44"/>
      <c r="K74" s="21"/>
      <c r="U74" s="3"/>
    </row>
    <row r="75" spans="2:21" ht="19.5" thickBot="1" x14ac:dyDescent="0.3">
      <c r="B75" s="33" t="s">
        <v>44</v>
      </c>
      <c r="C75" s="22"/>
      <c r="D75" s="22"/>
      <c r="E75" s="22"/>
      <c r="F75" s="22"/>
      <c r="G75" s="22"/>
      <c r="H75" s="22"/>
      <c r="I75" s="22"/>
      <c r="J75" s="46"/>
      <c r="K75" s="23"/>
      <c r="U75" s="8"/>
    </row>
    <row r="76" spans="2:21" ht="7.5" customHeight="1" thickBot="1" x14ac:dyDescent="0.3"/>
    <row r="77" spans="2:21" x14ac:dyDescent="0.25">
      <c r="B77" s="31" t="s">
        <v>48</v>
      </c>
      <c r="C77" s="19"/>
      <c r="D77" s="19"/>
      <c r="E77" s="19"/>
      <c r="F77" s="19"/>
      <c r="G77" s="19"/>
      <c r="H77" s="19"/>
      <c r="I77" s="19"/>
      <c r="J77" s="45"/>
      <c r="K77" s="20"/>
      <c r="U77" s="7"/>
    </row>
    <row r="78" spans="2:21" x14ac:dyDescent="0.25">
      <c r="B78" s="32" t="s">
        <v>45</v>
      </c>
      <c r="C78" s="1"/>
      <c r="D78" s="1"/>
      <c r="E78" s="1"/>
      <c r="F78" s="1"/>
      <c r="G78" s="1"/>
      <c r="H78" s="1"/>
      <c r="I78" s="1"/>
      <c r="J78" s="44"/>
      <c r="K78" s="21"/>
      <c r="U78" s="3"/>
    </row>
    <row r="79" spans="2:21" ht="19.5" thickBot="1" x14ac:dyDescent="0.3">
      <c r="B79" s="33" t="s">
        <v>44</v>
      </c>
      <c r="C79" s="22"/>
      <c r="D79" s="22"/>
      <c r="E79" s="22"/>
      <c r="F79" s="22"/>
      <c r="G79" s="22"/>
      <c r="H79" s="22"/>
      <c r="I79" s="22"/>
      <c r="J79" s="46"/>
      <c r="K79" s="23"/>
      <c r="U79" s="8"/>
    </row>
    <row r="80" spans="2:21" ht="7.5" customHeight="1" thickBot="1" x14ac:dyDescent="0.3"/>
    <row r="81" spans="2:21" ht="19.5" thickBot="1" x14ac:dyDescent="0.3">
      <c r="B81" s="30" t="s">
        <v>49</v>
      </c>
      <c r="C81" s="17"/>
      <c r="D81" s="17"/>
      <c r="E81" s="17"/>
      <c r="F81" s="17"/>
      <c r="G81" s="17"/>
      <c r="H81" s="17"/>
      <c r="I81" s="17"/>
      <c r="J81" s="47"/>
      <c r="K81" s="18"/>
      <c r="U81" s="16"/>
    </row>
  </sheetData>
  <mergeCells count="7">
    <mergeCell ref="V4:V5"/>
    <mergeCell ref="J5:K5"/>
    <mergeCell ref="C60:K60"/>
    <mergeCell ref="I1:U1"/>
    <mergeCell ref="C4:K4"/>
    <mergeCell ref="T4:T5"/>
    <mergeCell ref="U4:U5"/>
  </mergeCells>
  <printOptions horizontalCentered="1" verticalCentered="1"/>
  <pageMargins left="0.19685039370078741" right="0.19685039370078741" top="0.19685039370078741" bottom="0.19685039370078741" header="0.19685039370078741" footer="0.19685039370078741"/>
  <pageSetup paperSize="14" scale="70" orientation="portrait" horizontalDpi="360" verticalDpi="360" r:id="rId1"/>
  <colBreaks count="1" manualBreakCount="1">
    <brk id="24" max="80" man="1"/>
  </colBreaks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74696E3C-F544-4408-9EAE-90D99285A125}">
  <sheetPr>
    <pageSetUpPr fitToPage="1"/>
  </sheetPr>
  <dimension ref="A1:BB81"/>
  <sheetViews>
    <sheetView topLeftCell="A40" zoomScale="130" zoomScaleNormal="130" zoomScaleSheetLayoutView="115" workbookViewId="0">
      <selection activeCell="B2" sqref="B2"/>
    </sheetView>
  </sheetViews>
  <sheetFormatPr defaultColWidth="9.140625" defaultRowHeight="18.75" x14ac:dyDescent="0.25"/>
  <cols>
    <col min="1" max="1" width="4.140625" style="9" bestFit="1" customWidth="1"/>
    <col min="2" max="2" width="12.28515625" style="28" customWidth="1"/>
    <col min="3" max="6" width="10" style="9" customWidth="1"/>
    <col min="7" max="7" width="6.85546875" style="9" customWidth="1"/>
    <col min="8" max="8" width="7.5703125" style="9" bestFit="1" customWidth="1"/>
    <col min="9" max="9" width="6.7109375" style="9" bestFit="1" customWidth="1"/>
    <col min="10" max="10" width="6.85546875" style="9" customWidth="1"/>
    <col min="11" max="11" width="7.5703125" style="9" bestFit="1" customWidth="1"/>
    <col min="12" max="12" width="1.42578125" style="9" customWidth="1"/>
    <col min="13" max="13" width="10" style="9" customWidth="1"/>
    <col min="14" max="14" width="6.7109375" style="9" bestFit="1" customWidth="1"/>
    <col min="15" max="15" width="10" style="9" customWidth="1"/>
    <col min="16" max="16" width="5.5703125" style="9" customWidth="1"/>
    <col min="17" max="17" width="10" style="9" customWidth="1"/>
    <col min="18" max="18" width="6.7109375" style="9" bestFit="1" customWidth="1"/>
    <col min="19" max="19" width="1.42578125" style="9" customWidth="1"/>
    <col min="20" max="20" width="12.7109375" style="9" bestFit="1" customWidth="1"/>
    <col min="21" max="21" width="14.28515625" style="9" customWidth="1"/>
    <col min="22" max="22" width="19.5703125" style="9" bestFit="1" customWidth="1"/>
    <col min="23" max="49" width="7.28515625" style="9" customWidth="1"/>
    <col min="50" max="50" width="1.5703125" style="9" customWidth="1"/>
    <col min="51" max="51" width="9.42578125" style="9" customWidth="1"/>
    <col min="52" max="52" width="1.28515625" style="9" customWidth="1"/>
    <col min="53" max="53" width="12.7109375" style="9" bestFit="1" customWidth="1"/>
    <col min="54" max="54" width="10.28515625" style="9" bestFit="1" customWidth="1"/>
    <col min="55" max="16384" width="9.140625" style="9"/>
  </cols>
  <sheetData>
    <row r="1" spans="1:54" ht="15" customHeight="1" x14ac:dyDescent="0.25">
      <c r="B1" s="27" t="s">
        <v>42</v>
      </c>
      <c r="I1" s="116" t="s">
        <v>43</v>
      </c>
      <c r="J1" s="116"/>
      <c r="K1" s="116"/>
      <c r="L1" s="116"/>
      <c r="M1" s="116"/>
      <c r="N1" s="116"/>
      <c r="O1" s="116"/>
      <c r="P1" s="116"/>
      <c r="Q1" s="116"/>
      <c r="R1" s="116"/>
      <c r="S1" s="116"/>
      <c r="T1" s="116"/>
      <c r="U1" s="116"/>
    </row>
    <row r="2" spans="1:54" x14ac:dyDescent="0.25">
      <c r="B2" s="28" t="s">
        <v>75</v>
      </c>
    </row>
    <row r="3" spans="1:54" ht="19.5" thickBot="1" x14ac:dyDescent="0.3"/>
    <row r="4" spans="1:54" s="10" customFormat="1" ht="15.75" x14ac:dyDescent="0.25">
      <c r="B4" s="41" t="s">
        <v>52</v>
      </c>
      <c r="C4" s="117" t="s">
        <v>41</v>
      </c>
      <c r="D4" s="117"/>
      <c r="E4" s="117"/>
      <c r="F4" s="117"/>
      <c r="G4" s="117"/>
      <c r="H4" s="117"/>
      <c r="I4" s="117"/>
      <c r="J4" s="118"/>
      <c r="K4" s="119"/>
      <c r="M4" s="34" t="s">
        <v>0</v>
      </c>
      <c r="N4" s="48" t="s">
        <v>61</v>
      </c>
      <c r="O4" s="35" t="s">
        <v>39</v>
      </c>
      <c r="P4" s="48" t="s">
        <v>61</v>
      </c>
      <c r="Q4" s="36" t="s">
        <v>40</v>
      </c>
      <c r="R4" s="48" t="s">
        <v>61</v>
      </c>
      <c r="S4" s="9"/>
      <c r="T4" s="120" t="s">
        <v>68</v>
      </c>
      <c r="U4" s="126" t="s">
        <v>67</v>
      </c>
      <c r="V4" s="109" t="s">
        <v>66</v>
      </c>
      <c r="AF4" s="11"/>
      <c r="AG4" s="11"/>
      <c r="AH4" s="11"/>
      <c r="AI4" s="11"/>
      <c r="AJ4" s="11"/>
      <c r="AK4" s="11"/>
      <c r="AL4" s="11"/>
      <c r="AM4" s="11"/>
      <c r="AN4" s="11"/>
      <c r="AO4" s="11"/>
      <c r="AP4" s="11"/>
      <c r="AQ4" s="11"/>
      <c r="AR4" s="11"/>
      <c r="AS4" s="11"/>
      <c r="AT4" s="11"/>
      <c r="AU4" s="11"/>
      <c r="AV4" s="11"/>
      <c r="AW4" s="11"/>
      <c r="AX4" s="11"/>
      <c r="AY4" s="11"/>
      <c r="AZ4" s="11"/>
      <c r="BA4" s="11"/>
      <c r="BB4" s="11"/>
    </row>
    <row r="5" spans="1:54" s="10" customFormat="1" ht="15.75" x14ac:dyDescent="0.25">
      <c r="B5" s="37"/>
      <c r="C5" s="40"/>
      <c r="D5" s="40"/>
      <c r="E5" s="40"/>
      <c r="F5" s="40"/>
      <c r="G5" s="40"/>
      <c r="H5" s="40" t="s">
        <v>64</v>
      </c>
      <c r="I5" s="40" t="s">
        <v>60</v>
      </c>
      <c r="J5" s="124" t="s">
        <v>65</v>
      </c>
      <c r="K5" s="125"/>
      <c r="M5" s="37"/>
      <c r="N5" s="49"/>
      <c r="O5" s="40"/>
      <c r="P5" s="98"/>
      <c r="Q5" s="98"/>
      <c r="R5" s="38"/>
      <c r="S5" s="9"/>
      <c r="T5" s="121"/>
      <c r="U5" s="127"/>
      <c r="V5" s="110"/>
      <c r="AF5" s="11"/>
      <c r="AG5" s="11"/>
      <c r="AH5" s="11"/>
      <c r="AI5" s="11"/>
      <c r="AJ5" s="11"/>
      <c r="AK5" s="11"/>
      <c r="AL5" s="11"/>
      <c r="AM5" s="11"/>
      <c r="AN5" s="11"/>
      <c r="AO5" s="11"/>
      <c r="AP5" s="11"/>
      <c r="AQ5" s="11"/>
      <c r="AR5" s="11"/>
      <c r="AS5" s="11"/>
      <c r="AT5" s="11"/>
      <c r="AU5" s="11"/>
      <c r="AV5" s="11"/>
      <c r="AW5" s="11"/>
      <c r="AX5" s="11"/>
      <c r="AY5" s="11"/>
      <c r="AZ5" s="11"/>
      <c r="BA5" s="11"/>
      <c r="BB5" s="11"/>
    </row>
    <row r="6" spans="1:54" s="10" customFormat="1" ht="15.75" x14ac:dyDescent="0.25">
      <c r="B6" s="37"/>
      <c r="C6" s="40"/>
      <c r="D6" s="40"/>
      <c r="E6" s="40"/>
      <c r="F6" s="40"/>
      <c r="G6" s="40"/>
      <c r="H6" s="40"/>
      <c r="I6" s="40"/>
      <c r="J6" s="98"/>
      <c r="K6" s="38"/>
      <c r="M6" s="37"/>
      <c r="N6" s="49"/>
      <c r="O6" s="40"/>
      <c r="P6" s="98"/>
      <c r="Q6" s="98"/>
      <c r="R6" s="38"/>
      <c r="S6" s="9"/>
      <c r="T6" s="39"/>
      <c r="U6" s="39"/>
      <c r="V6" s="39"/>
      <c r="AF6" s="11"/>
      <c r="AG6" s="11"/>
      <c r="AH6" s="11"/>
      <c r="AI6" s="11"/>
      <c r="AJ6" s="11"/>
      <c r="AK6" s="11"/>
      <c r="AL6" s="11"/>
      <c r="AM6" s="11"/>
      <c r="AN6" s="11"/>
      <c r="AO6" s="11"/>
      <c r="AP6" s="11"/>
      <c r="AQ6" s="11"/>
      <c r="AR6" s="11"/>
      <c r="AS6" s="11"/>
      <c r="AT6" s="11"/>
      <c r="AU6" s="11"/>
      <c r="AV6" s="11"/>
      <c r="AW6" s="11"/>
      <c r="AX6" s="11"/>
      <c r="AY6" s="11"/>
      <c r="AZ6" s="11"/>
      <c r="BA6" s="11"/>
      <c r="BB6" s="11"/>
    </row>
    <row r="7" spans="1:54" x14ac:dyDescent="0.25">
      <c r="A7" s="27">
        <v>1</v>
      </c>
      <c r="B7" s="26" t="s">
        <v>32</v>
      </c>
      <c r="C7" s="52">
        <f>32</f>
        <v>32</v>
      </c>
      <c r="D7" s="52"/>
      <c r="E7" s="52"/>
      <c r="F7" s="52"/>
      <c r="G7" s="52"/>
      <c r="H7" s="52"/>
      <c r="I7" s="52">
        <v>3</v>
      </c>
      <c r="J7" s="53"/>
      <c r="K7" s="54">
        <v>6</v>
      </c>
      <c r="L7" s="55"/>
      <c r="M7" s="56"/>
      <c r="N7" s="57"/>
      <c r="O7" s="52">
        <v>1</v>
      </c>
      <c r="P7" s="53"/>
      <c r="Q7" s="53">
        <v>1</v>
      </c>
      <c r="R7" s="54"/>
      <c r="S7" s="55"/>
      <c r="T7" s="58">
        <f>H7+I7+J7+K7+N7+P7+R7</f>
        <v>9</v>
      </c>
      <c r="U7" s="58">
        <f>C7*24+M7*24+O7*24+Q7*24+T7</f>
        <v>825</v>
      </c>
      <c r="V7" s="58">
        <f>U7/24</f>
        <v>34.375</v>
      </c>
      <c r="W7" s="50"/>
      <c r="AF7" s="12"/>
      <c r="AG7" s="12"/>
      <c r="AH7" s="12"/>
      <c r="AI7" s="12"/>
      <c r="AJ7" s="12"/>
      <c r="AK7" s="12"/>
      <c r="AL7" s="12"/>
      <c r="AM7" s="12"/>
      <c r="AN7" s="12"/>
      <c r="AO7" s="12"/>
      <c r="AP7" s="12"/>
      <c r="AQ7" s="12"/>
      <c r="AR7" s="12"/>
      <c r="AS7" s="12"/>
      <c r="AT7" s="12"/>
      <c r="AU7" s="12"/>
      <c r="AV7" s="12"/>
      <c r="AW7" s="12"/>
      <c r="AX7" s="12"/>
      <c r="AY7" s="12"/>
      <c r="AZ7" s="12"/>
      <c r="BA7" s="12"/>
      <c r="BB7" s="12"/>
    </row>
    <row r="8" spans="1:54" ht="19.5" thickBot="1" x14ac:dyDescent="0.3">
      <c r="A8" s="27">
        <f>A7+1</f>
        <v>2</v>
      </c>
      <c r="B8" s="42" t="s">
        <v>35</v>
      </c>
      <c r="C8" s="59">
        <f>41+43</f>
        <v>84</v>
      </c>
      <c r="D8" s="59"/>
      <c r="E8" s="59"/>
      <c r="F8" s="59"/>
      <c r="G8" s="59"/>
      <c r="H8" s="59"/>
      <c r="I8" s="59"/>
      <c r="J8" s="60"/>
      <c r="K8" s="61"/>
      <c r="L8" s="62"/>
      <c r="M8" s="63">
        <v>1</v>
      </c>
      <c r="N8" s="64"/>
      <c r="O8" s="65">
        <v>1</v>
      </c>
      <c r="P8" s="66">
        <v>12</v>
      </c>
      <c r="Q8" s="66">
        <v>1</v>
      </c>
      <c r="R8" s="67"/>
      <c r="S8" s="62"/>
      <c r="T8" s="68">
        <f t="shared" ref="T8:T41" si="0">H8+I8+J8+K8+N8+P8+R8</f>
        <v>12</v>
      </c>
      <c r="U8" s="69">
        <f>C8*24+M8*24+O8*24+Q8*24+T8</f>
        <v>2100</v>
      </c>
      <c r="V8" s="69">
        <f>U8/24</f>
        <v>87.5</v>
      </c>
      <c r="W8" s="50"/>
      <c r="AF8" s="12"/>
      <c r="AG8" s="12"/>
      <c r="AH8" s="12"/>
      <c r="AI8" s="12"/>
      <c r="AJ8" s="12"/>
      <c r="AK8" s="12"/>
      <c r="AL8" s="12"/>
      <c r="AM8" s="12"/>
      <c r="AN8" s="12"/>
      <c r="AO8" s="12"/>
      <c r="AP8" s="12"/>
      <c r="AQ8" s="12"/>
      <c r="AR8" s="12"/>
      <c r="AS8" s="12"/>
      <c r="AT8" s="12"/>
      <c r="AU8" s="12"/>
      <c r="AV8" s="12"/>
      <c r="AW8" s="12"/>
      <c r="AX8" s="12"/>
      <c r="AY8" s="12"/>
      <c r="AZ8" s="12"/>
      <c r="BA8" s="12"/>
      <c r="BB8" s="12"/>
    </row>
    <row r="9" spans="1:54" x14ac:dyDescent="0.25">
      <c r="A9" s="27">
        <f t="shared" ref="A9:A57" si="1">A8+1</f>
        <v>3</v>
      </c>
      <c r="B9" s="25" t="s">
        <v>33</v>
      </c>
      <c r="C9" s="70">
        <f>62+30</f>
        <v>92</v>
      </c>
      <c r="D9" s="70"/>
      <c r="E9" s="70"/>
      <c r="F9" s="70"/>
      <c r="G9" s="70"/>
      <c r="H9" s="70"/>
      <c r="I9" s="70"/>
      <c r="J9" s="71"/>
      <c r="K9" s="72"/>
      <c r="L9" s="55"/>
      <c r="M9" s="73"/>
      <c r="N9" s="74"/>
      <c r="O9" s="70"/>
      <c r="P9" s="71"/>
      <c r="Q9" s="71">
        <v>1</v>
      </c>
      <c r="R9" s="72"/>
      <c r="S9" s="55"/>
      <c r="T9" s="75">
        <f t="shared" si="0"/>
        <v>0</v>
      </c>
      <c r="U9" s="76">
        <f t="shared" ref="U9:U11" si="2">C9*24+M9*24+O9*24+Q9*24+T9</f>
        <v>2232</v>
      </c>
      <c r="V9" s="76">
        <f t="shared" ref="V9:V11" si="3">U9/24</f>
        <v>93</v>
      </c>
      <c r="W9" s="50"/>
      <c r="AF9" s="12"/>
      <c r="AG9" s="12"/>
      <c r="AH9" s="12"/>
      <c r="AI9" s="12"/>
      <c r="AJ9" s="12"/>
      <c r="AK9" s="12"/>
      <c r="AL9" s="12"/>
      <c r="AM9" s="12"/>
      <c r="AN9" s="12"/>
      <c r="AO9" s="12"/>
      <c r="AP9" s="12"/>
      <c r="AQ9" s="12"/>
      <c r="AR9" s="12"/>
      <c r="AS9" s="12"/>
      <c r="AT9" s="12"/>
      <c r="AU9" s="12"/>
      <c r="AV9" s="12"/>
      <c r="AW9" s="12"/>
      <c r="AX9" s="12"/>
      <c r="AY9" s="12"/>
      <c r="AZ9" s="12"/>
      <c r="BA9" s="12"/>
      <c r="BB9" s="12"/>
    </row>
    <row r="10" spans="1:54" x14ac:dyDescent="0.25">
      <c r="A10" s="27">
        <f t="shared" si="1"/>
        <v>4</v>
      </c>
      <c r="B10" s="26" t="s">
        <v>36</v>
      </c>
      <c r="C10" s="70">
        <f>36+10</f>
        <v>46</v>
      </c>
      <c r="D10" s="70"/>
      <c r="E10" s="70"/>
      <c r="F10" s="70"/>
      <c r="G10" s="70"/>
      <c r="H10" s="70"/>
      <c r="I10" s="70"/>
      <c r="J10" s="71"/>
      <c r="K10" s="72"/>
      <c r="L10" s="55"/>
      <c r="M10" s="73"/>
      <c r="N10" s="74"/>
      <c r="O10" s="70"/>
      <c r="P10" s="71"/>
      <c r="Q10" s="71">
        <v>1</v>
      </c>
      <c r="R10" s="72"/>
      <c r="S10" s="55"/>
      <c r="T10" s="58">
        <f t="shared" si="0"/>
        <v>0</v>
      </c>
      <c r="U10" s="58">
        <f t="shared" si="2"/>
        <v>1128</v>
      </c>
      <c r="V10" s="58">
        <f t="shared" si="3"/>
        <v>47</v>
      </c>
      <c r="W10" s="50"/>
      <c r="AF10" s="12"/>
      <c r="AG10" s="12"/>
      <c r="AH10" s="12"/>
      <c r="AI10" s="12"/>
      <c r="AJ10" s="12"/>
      <c r="AK10" s="12"/>
      <c r="AL10" s="12"/>
      <c r="AM10" s="12"/>
      <c r="AN10" s="12"/>
      <c r="AO10" s="12"/>
      <c r="AP10" s="12"/>
      <c r="AQ10" s="12"/>
      <c r="AR10" s="12"/>
      <c r="AS10" s="12"/>
      <c r="AT10" s="12"/>
      <c r="AU10" s="12"/>
      <c r="AV10" s="12"/>
      <c r="AW10" s="12"/>
      <c r="AX10" s="12"/>
      <c r="AY10" s="12"/>
      <c r="AZ10" s="12"/>
      <c r="BA10" s="12"/>
      <c r="BB10" s="12"/>
    </row>
    <row r="11" spans="1:54" x14ac:dyDescent="0.25">
      <c r="A11" s="27">
        <f t="shared" si="1"/>
        <v>5</v>
      </c>
      <c r="B11" s="26" t="s">
        <v>34</v>
      </c>
      <c r="C11" s="70">
        <v>9</v>
      </c>
      <c r="D11" s="70"/>
      <c r="E11" s="70"/>
      <c r="F11" s="70"/>
      <c r="G11" s="70"/>
      <c r="H11" s="70"/>
      <c r="I11" s="70"/>
      <c r="J11" s="71"/>
      <c r="K11" s="72">
        <v>2</v>
      </c>
      <c r="L11" s="55"/>
      <c r="M11" s="73"/>
      <c r="N11" s="74"/>
      <c r="O11" s="70"/>
      <c r="P11" s="71"/>
      <c r="Q11" s="71"/>
      <c r="R11" s="72"/>
      <c r="S11" s="55"/>
      <c r="T11" s="58">
        <f t="shared" si="0"/>
        <v>2</v>
      </c>
      <c r="U11" s="58">
        <f t="shared" si="2"/>
        <v>218</v>
      </c>
      <c r="V11" s="58">
        <f t="shared" si="3"/>
        <v>9.0833333333333339</v>
      </c>
      <c r="AF11" s="12"/>
      <c r="AG11" s="12"/>
      <c r="AH11" s="12"/>
      <c r="AI11" s="12"/>
      <c r="AJ11" s="12"/>
      <c r="AK11" s="12"/>
      <c r="AL11" s="12"/>
      <c r="AM11" s="12"/>
      <c r="AN11" s="12"/>
      <c r="AO11" s="12"/>
      <c r="AP11" s="12"/>
      <c r="AQ11" s="12"/>
      <c r="AR11" s="12"/>
      <c r="AS11" s="12"/>
      <c r="AT11" s="12"/>
      <c r="AU11" s="12"/>
      <c r="AV11" s="12"/>
      <c r="AW11" s="12"/>
      <c r="AX11" s="12"/>
      <c r="AY11" s="12"/>
      <c r="AZ11" s="12"/>
      <c r="BA11" s="12"/>
      <c r="BB11" s="12"/>
    </row>
    <row r="12" spans="1:54" s="13" customFormat="1" ht="19.5" thickBot="1" x14ac:dyDescent="0.3">
      <c r="A12" s="27">
        <v>7</v>
      </c>
      <c r="B12" s="42" t="s">
        <v>30</v>
      </c>
      <c r="C12" s="59">
        <f>1224+53+1080+8+1080+29</f>
        <v>3474</v>
      </c>
      <c r="D12" s="59"/>
      <c r="E12" s="59"/>
      <c r="F12" s="59"/>
      <c r="G12" s="59"/>
      <c r="H12" s="59"/>
      <c r="I12" s="59"/>
      <c r="J12" s="60"/>
      <c r="K12" s="61"/>
      <c r="L12" s="62"/>
      <c r="M12" s="63">
        <v>8</v>
      </c>
      <c r="N12" s="64"/>
      <c r="O12" s="65">
        <v>10</v>
      </c>
      <c r="P12" s="66">
        <v>5</v>
      </c>
      <c r="Q12" s="66">
        <v>16</v>
      </c>
      <c r="R12" s="67">
        <v>12</v>
      </c>
      <c r="S12" s="62"/>
      <c r="T12" s="69">
        <f t="shared" si="0"/>
        <v>17</v>
      </c>
      <c r="U12" s="69">
        <f>C12*24+M12*24+O12*24+Q12*24+T12</f>
        <v>84209</v>
      </c>
      <c r="V12" s="69">
        <f>U12/24</f>
        <v>3508.7083333333335</v>
      </c>
      <c r="W12" s="9"/>
      <c r="X12" s="9"/>
      <c r="Y12" s="9"/>
      <c r="Z12" s="9"/>
      <c r="AA12" s="9"/>
      <c r="AB12" s="9"/>
      <c r="AC12" s="9"/>
      <c r="AD12" s="9"/>
      <c r="AE12" s="9"/>
      <c r="AF12" s="12"/>
      <c r="AG12" s="12"/>
      <c r="AH12" s="12"/>
      <c r="AI12" s="12"/>
      <c r="AJ12" s="12"/>
      <c r="AK12" s="12"/>
      <c r="AL12" s="12"/>
      <c r="AM12" s="12"/>
      <c r="AN12" s="12"/>
      <c r="AO12" s="12"/>
      <c r="AP12" s="12"/>
      <c r="AQ12" s="12"/>
      <c r="AR12" s="12"/>
      <c r="AS12" s="12"/>
      <c r="AT12" s="12"/>
      <c r="AU12" s="12"/>
      <c r="AV12" s="12"/>
      <c r="AW12" s="12"/>
      <c r="AX12" s="12"/>
      <c r="AY12" s="12"/>
      <c r="AZ12" s="12"/>
      <c r="BA12" s="12"/>
      <c r="BB12" s="12"/>
    </row>
    <row r="13" spans="1:54" x14ac:dyDescent="0.25">
      <c r="A13" s="27">
        <v>11</v>
      </c>
      <c r="B13" s="25" t="s">
        <v>1</v>
      </c>
      <c r="C13" s="70">
        <v>2</v>
      </c>
      <c r="D13" s="70"/>
      <c r="E13" s="70"/>
      <c r="F13" s="70"/>
      <c r="G13" s="70"/>
      <c r="H13" s="70">
        <v>16</v>
      </c>
      <c r="I13" s="70"/>
      <c r="J13" s="71"/>
      <c r="K13" s="72"/>
      <c r="L13" s="55"/>
      <c r="M13" s="73"/>
      <c r="N13" s="74"/>
      <c r="O13" s="70"/>
      <c r="P13" s="71"/>
      <c r="Q13" s="71"/>
      <c r="R13" s="72"/>
      <c r="S13" s="55"/>
      <c r="T13" s="76">
        <f t="shared" si="0"/>
        <v>16</v>
      </c>
      <c r="U13" s="76">
        <f>C13*24+M13*24+O13*24+Q13*24+T13</f>
        <v>64</v>
      </c>
      <c r="V13" s="76">
        <f>U13/24</f>
        <v>2.6666666666666665</v>
      </c>
      <c r="AF13" s="12"/>
      <c r="AG13" s="12"/>
      <c r="AH13" s="12"/>
      <c r="AI13" s="12"/>
      <c r="AJ13" s="12"/>
      <c r="AK13" s="12"/>
      <c r="AL13" s="12"/>
      <c r="AM13" s="12"/>
      <c r="AN13" s="12"/>
      <c r="AO13" s="12"/>
      <c r="AP13" s="12"/>
      <c r="AQ13" s="12"/>
      <c r="AR13" s="12"/>
      <c r="AS13" s="12"/>
      <c r="AT13" s="12"/>
      <c r="AU13" s="12"/>
      <c r="AV13" s="12"/>
      <c r="AW13" s="12"/>
      <c r="AX13" s="12"/>
      <c r="AY13" s="12"/>
      <c r="AZ13" s="12"/>
      <c r="BA13" s="12"/>
      <c r="BB13" s="12"/>
    </row>
    <row r="14" spans="1:54" x14ac:dyDescent="0.25">
      <c r="A14" s="27">
        <f t="shared" si="1"/>
        <v>12</v>
      </c>
      <c r="B14" s="26" t="s">
        <v>2</v>
      </c>
      <c r="C14" s="70">
        <v>2</v>
      </c>
      <c r="D14" s="70"/>
      <c r="E14" s="70"/>
      <c r="F14" s="70"/>
      <c r="G14" s="70"/>
      <c r="H14" s="70"/>
      <c r="I14" s="70"/>
      <c r="J14" s="71"/>
      <c r="K14" s="72"/>
      <c r="L14" s="55"/>
      <c r="M14" s="73"/>
      <c r="N14" s="74"/>
      <c r="O14" s="70"/>
      <c r="P14" s="71"/>
      <c r="Q14" s="71"/>
      <c r="R14" s="72"/>
      <c r="S14" s="55"/>
      <c r="T14" s="58">
        <f t="shared" si="0"/>
        <v>0</v>
      </c>
      <c r="U14" s="75">
        <f t="shared" ref="U14:U36" si="4">C14*24+M14*24+O14*24+Q14*24+T14</f>
        <v>48</v>
      </c>
      <c r="V14" s="75">
        <f t="shared" ref="V14:V36" si="5">U14/24</f>
        <v>2</v>
      </c>
      <c r="AF14" s="12"/>
      <c r="AG14" s="12"/>
      <c r="AH14" s="12"/>
      <c r="AI14" s="12"/>
      <c r="AJ14" s="12"/>
      <c r="AK14" s="12"/>
      <c r="AL14" s="12"/>
      <c r="AM14" s="12"/>
      <c r="AN14" s="12"/>
      <c r="AO14" s="12"/>
      <c r="AP14" s="12"/>
      <c r="AQ14" s="12"/>
      <c r="AR14" s="12"/>
      <c r="AS14" s="12"/>
      <c r="AT14" s="12"/>
      <c r="AU14" s="12"/>
      <c r="AV14" s="12"/>
      <c r="AW14" s="12"/>
      <c r="AX14" s="12"/>
      <c r="AY14" s="12"/>
      <c r="AZ14" s="12"/>
      <c r="BA14" s="12"/>
      <c r="BB14" s="12"/>
    </row>
    <row r="15" spans="1:54" x14ac:dyDescent="0.25">
      <c r="A15" s="27">
        <f t="shared" si="1"/>
        <v>13</v>
      </c>
      <c r="B15" s="26" t="s">
        <v>3</v>
      </c>
      <c r="C15" s="70"/>
      <c r="D15" s="70"/>
      <c r="E15" s="70"/>
      <c r="F15" s="70"/>
      <c r="G15" s="70"/>
      <c r="H15" s="70"/>
      <c r="I15" s="70"/>
      <c r="J15" s="71"/>
      <c r="K15" s="72"/>
      <c r="L15" s="55"/>
      <c r="M15" s="73"/>
      <c r="N15" s="74"/>
      <c r="O15" s="70"/>
      <c r="P15" s="71"/>
      <c r="Q15" s="71"/>
      <c r="R15" s="72"/>
      <c r="S15" s="55"/>
      <c r="T15" s="58">
        <f t="shared" si="0"/>
        <v>0</v>
      </c>
      <c r="U15" s="75">
        <f t="shared" si="4"/>
        <v>0</v>
      </c>
      <c r="V15" s="75">
        <f t="shared" si="5"/>
        <v>0</v>
      </c>
      <c r="AF15" s="12"/>
      <c r="AG15" s="12"/>
      <c r="AH15" s="12"/>
      <c r="AI15" s="12"/>
      <c r="AJ15" s="12"/>
      <c r="AK15" s="12"/>
      <c r="AL15" s="12"/>
      <c r="AM15" s="12"/>
      <c r="AN15" s="12"/>
      <c r="AO15" s="12"/>
      <c r="AP15" s="12"/>
      <c r="AQ15" s="12"/>
      <c r="AR15" s="12"/>
      <c r="AS15" s="12"/>
      <c r="AT15" s="12"/>
      <c r="AU15" s="12"/>
      <c r="AV15" s="12"/>
      <c r="AW15" s="12"/>
      <c r="AX15" s="12"/>
      <c r="AY15" s="12"/>
      <c r="AZ15" s="12"/>
      <c r="BA15" s="12"/>
      <c r="BB15" s="12"/>
    </row>
    <row r="16" spans="1:54" x14ac:dyDescent="0.25">
      <c r="A16" s="27">
        <f t="shared" si="1"/>
        <v>14</v>
      </c>
      <c r="B16" s="26" t="s">
        <v>4</v>
      </c>
      <c r="C16" s="70"/>
      <c r="D16" s="70"/>
      <c r="E16" s="70"/>
      <c r="F16" s="70"/>
      <c r="G16" s="70"/>
      <c r="H16" s="70"/>
      <c r="I16" s="70"/>
      <c r="J16" s="71"/>
      <c r="K16" s="72"/>
      <c r="L16" s="55"/>
      <c r="M16" s="73"/>
      <c r="N16" s="74"/>
      <c r="O16" s="70"/>
      <c r="P16" s="71"/>
      <c r="Q16" s="71"/>
      <c r="R16" s="72"/>
      <c r="S16" s="55"/>
      <c r="T16" s="58">
        <f t="shared" si="0"/>
        <v>0</v>
      </c>
      <c r="U16" s="75">
        <f t="shared" si="4"/>
        <v>0</v>
      </c>
      <c r="V16" s="75">
        <f t="shared" si="5"/>
        <v>0</v>
      </c>
      <c r="AF16" s="12"/>
      <c r="AG16" s="12"/>
      <c r="AH16" s="12"/>
      <c r="AI16" s="12"/>
      <c r="AJ16" s="12"/>
      <c r="AK16" s="12"/>
      <c r="AL16" s="12"/>
      <c r="AM16" s="12"/>
      <c r="AN16" s="12"/>
      <c r="AO16" s="12"/>
      <c r="AP16" s="12"/>
      <c r="AQ16" s="12"/>
      <c r="AR16" s="12"/>
      <c r="AS16" s="12"/>
      <c r="AT16" s="12"/>
      <c r="AU16" s="12"/>
      <c r="AV16" s="12"/>
      <c r="AW16" s="12"/>
      <c r="AX16" s="12"/>
      <c r="AY16" s="12"/>
      <c r="AZ16" s="12"/>
      <c r="BA16" s="12"/>
      <c r="BB16" s="12"/>
    </row>
    <row r="17" spans="1:54" x14ac:dyDescent="0.25">
      <c r="A17" s="27">
        <f t="shared" si="1"/>
        <v>15</v>
      </c>
      <c r="B17" s="26" t="s">
        <v>5</v>
      </c>
      <c r="C17" s="70"/>
      <c r="D17" s="70"/>
      <c r="E17" s="70"/>
      <c r="F17" s="70"/>
      <c r="G17" s="70"/>
      <c r="H17" s="70">
        <f>24*3</f>
        <v>72</v>
      </c>
      <c r="I17" s="70"/>
      <c r="J17" s="71"/>
      <c r="K17" s="72"/>
      <c r="L17" s="55"/>
      <c r="M17" s="73"/>
      <c r="N17" s="74"/>
      <c r="O17" s="70"/>
      <c r="P17" s="71"/>
      <c r="Q17" s="71"/>
      <c r="R17" s="72"/>
      <c r="S17" s="55"/>
      <c r="T17" s="58">
        <f t="shared" si="0"/>
        <v>72</v>
      </c>
      <c r="U17" s="75">
        <f t="shared" si="4"/>
        <v>72</v>
      </c>
      <c r="V17" s="75">
        <f t="shared" si="5"/>
        <v>3</v>
      </c>
      <c r="AF17" s="12"/>
      <c r="AG17" s="12"/>
      <c r="AH17" s="12"/>
      <c r="AI17" s="12"/>
      <c r="AJ17" s="12"/>
      <c r="AK17" s="12"/>
      <c r="AL17" s="12"/>
      <c r="AM17" s="12"/>
      <c r="AN17" s="12"/>
      <c r="AO17" s="12"/>
      <c r="AP17" s="12"/>
      <c r="AQ17" s="12"/>
      <c r="AR17" s="12"/>
      <c r="AS17" s="12"/>
      <c r="AT17" s="12"/>
      <c r="AU17" s="12"/>
      <c r="AV17" s="12"/>
      <c r="AW17" s="12"/>
      <c r="AX17" s="12"/>
      <c r="AY17" s="12"/>
      <c r="AZ17" s="12"/>
      <c r="BA17" s="12"/>
      <c r="BB17" s="12"/>
    </row>
    <row r="18" spans="1:54" hidden="1" x14ac:dyDescent="0.25">
      <c r="A18" s="27">
        <f t="shared" si="1"/>
        <v>16</v>
      </c>
      <c r="B18" s="26" t="s">
        <v>9</v>
      </c>
      <c r="C18" s="70"/>
      <c r="D18" s="70"/>
      <c r="E18" s="70"/>
      <c r="F18" s="70"/>
      <c r="G18" s="70"/>
      <c r="H18" s="70"/>
      <c r="I18" s="70"/>
      <c r="J18" s="71"/>
      <c r="K18" s="72"/>
      <c r="L18" s="55"/>
      <c r="M18" s="73"/>
      <c r="N18" s="74"/>
      <c r="O18" s="70"/>
      <c r="P18" s="71"/>
      <c r="Q18" s="71"/>
      <c r="R18" s="72"/>
      <c r="S18" s="55"/>
      <c r="T18" s="58">
        <f t="shared" si="0"/>
        <v>0</v>
      </c>
      <c r="U18" s="75">
        <f t="shared" si="4"/>
        <v>0</v>
      </c>
      <c r="V18" s="75">
        <f t="shared" si="5"/>
        <v>0</v>
      </c>
      <c r="AF18" s="12"/>
      <c r="AG18" s="12"/>
      <c r="AH18" s="12"/>
      <c r="AI18" s="12"/>
      <c r="AJ18" s="12"/>
      <c r="AK18" s="12"/>
      <c r="AL18" s="12"/>
      <c r="AM18" s="12"/>
      <c r="AN18" s="12"/>
      <c r="AO18" s="12"/>
      <c r="AP18" s="12"/>
      <c r="AQ18" s="12"/>
      <c r="AR18" s="12"/>
      <c r="AS18" s="12"/>
      <c r="AT18" s="12"/>
      <c r="AU18" s="12"/>
      <c r="AV18" s="12"/>
      <c r="AW18" s="12"/>
      <c r="AX18" s="12"/>
      <c r="AY18" s="12"/>
      <c r="AZ18" s="12"/>
      <c r="BA18" s="12"/>
      <c r="BB18" s="12"/>
    </row>
    <row r="19" spans="1:54" x14ac:dyDescent="0.25">
      <c r="A19" s="27">
        <v>16</v>
      </c>
      <c r="B19" s="26" t="s">
        <v>53</v>
      </c>
      <c r="C19" s="70">
        <v>2</v>
      </c>
      <c r="D19" s="70"/>
      <c r="E19" s="70"/>
      <c r="F19" s="70"/>
      <c r="G19" s="70"/>
      <c r="H19" s="70">
        <f>24+20</f>
        <v>44</v>
      </c>
      <c r="I19" s="70"/>
      <c r="J19" s="71"/>
      <c r="K19" s="72"/>
      <c r="L19" s="55"/>
      <c r="M19" s="73"/>
      <c r="N19" s="74"/>
      <c r="O19" s="70"/>
      <c r="P19" s="71"/>
      <c r="Q19" s="71"/>
      <c r="R19" s="72"/>
      <c r="S19" s="55"/>
      <c r="T19" s="58">
        <f t="shared" si="0"/>
        <v>44</v>
      </c>
      <c r="U19" s="75">
        <f t="shared" si="4"/>
        <v>92</v>
      </c>
      <c r="V19" s="75">
        <f t="shared" si="5"/>
        <v>3.8333333333333335</v>
      </c>
      <c r="AF19" s="12"/>
      <c r="AG19" s="12"/>
      <c r="AH19" s="12"/>
      <c r="AI19" s="12"/>
      <c r="AJ19" s="12"/>
      <c r="AK19" s="12"/>
      <c r="AL19" s="12"/>
      <c r="AM19" s="12"/>
      <c r="AN19" s="12"/>
      <c r="AO19" s="12"/>
      <c r="AP19" s="12"/>
      <c r="AQ19" s="12"/>
      <c r="AR19" s="12"/>
      <c r="AS19" s="12"/>
      <c r="AT19" s="12"/>
      <c r="AU19" s="12"/>
      <c r="AV19" s="12"/>
      <c r="AW19" s="12"/>
      <c r="AX19" s="12"/>
      <c r="AY19" s="12"/>
      <c r="AZ19" s="12"/>
      <c r="BA19" s="12"/>
      <c r="BB19" s="12"/>
    </row>
    <row r="20" spans="1:54" x14ac:dyDescent="0.25">
      <c r="A20" s="27">
        <f t="shared" si="1"/>
        <v>17</v>
      </c>
      <c r="B20" s="26" t="s">
        <v>6</v>
      </c>
      <c r="C20" s="70">
        <v>5</v>
      </c>
      <c r="D20" s="70"/>
      <c r="E20" s="70"/>
      <c r="F20" s="70"/>
      <c r="G20" s="70"/>
      <c r="H20" s="70"/>
      <c r="I20" s="70"/>
      <c r="J20" s="71"/>
      <c r="K20" s="72"/>
      <c r="L20" s="55"/>
      <c r="M20" s="73"/>
      <c r="N20" s="74"/>
      <c r="O20" s="70"/>
      <c r="P20" s="71"/>
      <c r="Q20" s="71"/>
      <c r="R20" s="72"/>
      <c r="S20" s="55"/>
      <c r="T20" s="58">
        <f t="shared" si="0"/>
        <v>0</v>
      </c>
      <c r="U20" s="75">
        <f t="shared" si="4"/>
        <v>120</v>
      </c>
      <c r="V20" s="75">
        <f t="shared" si="5"/>
        <v>5</v>
      </c>
      <c r="AF20" s="12"/>
      <c r="AG20" s="12"/>
      <c r="AH20" s="12"/>
      <c r="AI20" s="12"/>
      <c r="AJ20" s="12"/>
      <c r="AK20" s="12"/>
      <c r="AL20" s="12"/>
      <c r="AM20" s="12"/>
      <c r="AN20" s="12"/>
      <c r="AO20" s="12"/>
      <c r="AP20" s="12"/>
      <c r="AQ20" s="12"/>
      <c r="AR20" s="12"/>
      <c r="AS20" s="12"/>
      <c r="AT20" s="12"/>
      <c r="AU20" s="12"/>
      <c r="AV20" s="12"/>
      <c r="AW20" s="12"/>
      <c r="AX20" s="12"/>
      <c r="AY20" s="12"/>
      <c r="AZ20" s="12"/>
      <c r="BA20" s="12"/>
      <c r="BB20" s="12"/>
    </row>
    <row r="21" spans="1:54" x14ac:dyDescent="0.25">
      <c r="A21" s="27">
        <f t="shared" si="1"/>
        <v>18</v>
      </c>
      <c r="B21" s="26" t="s">
        <v>7</v>
      </c>
      <c r="C21" s="70"/>
      <c r="D21" s="70"/>
      <c r="E21" s="70"/>
      <c r="F21" s="70"/>
      <c r="G21" s="70"/>
      <c r="H21" s="70">
        <f>24*2</f>
        <v>48</v>
      </c>
      <c r="I21" s="70"/>
      <c r="J21" s="71"/>
      <c r="K21" s="72"/>
      <c r="L21" s="55"/>
      <c r="M21" s="73"/>
      <c r="N21" s="74"/>
      <c r="O21" s="70"/>
      <c r="P21" s="71"/>
      <c r="Q21" s="71"/>
      <c r="R21" s="72"/>
      <c r="S21" s="55"/>
      <c r="T21" s="58">
        <f t="shared" si="0"/>
        <v>48</v>
      </c>
      <c r="U21" s="75">
        <f t="shared" si="4"/>
        <v>48</v>
      </c>
      <c r="V21" s="75">
        <f t="shared" si="5"/>
        <v>2</v>
      </c>
      <c r="AF21" s="12"/>
      <c r="AG21" s="12"/>
      <c r="AH21" s="12"/>
      <c r="AI21" s="12"/>
      <c r="AJ21" s="12"/>
      <c r="AK21" s="12"/>
      <c r="AL21" s="12"/>
      <c r="AM21" s="12"/>
      <c r="AN21" s="12"/>
      <c r="AO21" s="12"/>
      <c r="AP21" s="12"/>
      <c r="AQ21" s="12"/>
      <c r="AR21" s="12"/>
      <c r="AS21" s="12"/>
      <c r="AT21" s="12"/>
      <c r="AU21" s="12"/>
      <c r="AV21" s="12"/>
      <c r="AW21" s="12"/>
      <c r="AX21" s="12"/>
      <c r="AY21" s="12"/>
      <c r="AZ21" s="12"/>
      <c r="BA21" s="12"/>
      <c r="BB21" s="12"/>
    </row>
    <row r="22" spans="1:54" s="13" customFormat="1" x14ac:dyDescent="0.25">
      <c r="A22" s="27">
        <f t="shared" si="1"/>
        <v>19</v>
      </c>
      <c r="B22" s="26" t="s">
        <v>54</v>
      </c>
      <c r="C22" s="70">
        <v>2</v>
      </c>
      <c r="D22" s="70"/>
      <c r="E22" s="70"/>
      <c r="F22" s="70"/>
      <c r="G22" s="70"/>
      <c r="H22" s="70"/>
      <c r="I22" s="70">
        <v>20</v>
      </c>
      <c r="J22" s="71"/>
      <c r="K22" s="72"/>
      <c r="L22" s="55"/>
      <c r="M22" s="73"/>
      <c r="N22" s="74"/>
      <c r="O22" s="70"/>
      <c r="P22" s="71"/>
      <c r="Q22" s="71"/>
      <c r="R22" s="72"/>
      <c r="S22" s="55"/>
      <c r="T22" s="58">
        <f t="shared" si="0"/>
        <v>20</v>
      </c>
      <c r="U22" s="75">
        <f t="shared" si="4"/>
        <v>68</v>
      </c>
      <c r="V22" s="75">
        <f t="shared" si="5"/>
        <v>2.8333333333333335</v>
      </c>
      <c r="W22" s="9"/>
      <c r="X22" s="9"/>
      <c r="Y22" s="9"/>
      <c r="Z22" s="9"/>
      <c r="AA22" s="9"/>
      <c r="AB22" s="9"/>
      <c r="AC22" s="9"/>
      <c r="AD22" s="9"/>
      <c r="AE22" s="9"/>
      <c r="AF22" s="12"/>
      <c r="AG22" s="12"/>
      <c r="AH22" s="12"/>
      <c r="AI22" s="12"/>
      <c r="AJ22" s="12"/>
      <c r="AK22" s="12"/>
      <c r="AL22" s="12"/>
      <c r="AM22" s="12"/>
      <c r="AN22" s="12"/>
      <c r="AO22" s="12"/>
      <c r="AP22" s="12"/>
      <c r="AQ22" s="12"/>
      <c r="AR22" s="12"/>
      <c r="AS22" s="12"/>
      <c r="AT22" s="12"/>
      <c r="AU22" s="12"/>
      <c r="AV22" s="12"/>
      <c r="AW22" s="12"/>
      <c r="AX22" s="12"/>
      <c r="AY22" s="12"/>
      <c r="AZ22" s="12"/>
      <c r="BA22" s="12"/>
      <c r="BB22" s="12"/>
    </row>
    <row r="23" spans="1:54" s="13" customFormat="1" x14ac:dyDescent="0.25">
      <c r="A23" s="27">
        <f t="shared" si="1"/>
        <v>20</v>
      </c>
      <c r="B23" s="26" t="s">
        <v>55</v>
      </c>
      <c r="C23" s="70"/>
      <c r="D23" s="70"/>
      <c r="E23" s="70"/>
      <c r="F23" s="70"/>
      <c r="G23" s="70"/>
      <c r="H23" s="70">
        <f>37*24+19</f>
        <v>907</v>
      </c>
      <c r="I23" s="70"/>
      <c r="J23" s="71"/>
      <c r="K23" s="72"/>
      <c r="L23" s="55"/>
      <c r="M23" s="73"/>
      <c r="N23" s="74"/>
      <c r="O23" s="70"/>
      <c r="P23" s="71"/>
      <c r="Q23" s="71"/>
      <c r="R23" s="72"/>
      <c r="S23" s="55"/>
      <c r="T23" s="58">
        <f t="shared" si="0"/>
        <v>907</v>
      </c>
      <c r="U23" s="75">
        <f t="shared" si="4"/>
        <v>907</v>
      </c>
      <c r="V23" s="75">
        <f t="shared" si="5"/>
        <v>37.791666666666664</v>
      </c>
      <c r="W23" s="9"/>
      <c r="X23" s="9"/>
      <c r="Y23" s="9"/>
      <c r="Z23" s="9"/>
      <c r="AA23" s="9"/>
      <c r="AB23" s="9"/>
      <c r="AC23" s="9"/>
      <c r="AD23" s="9"/>
      <c r="AE23" s="9"/>
      <c r="AF23" s="12"/>
      <c r="AG23" s="12"/>
      <c r="AH23" s="12"/>
      <c r="AI23" s="12"/>
      <c r="AJ23" s="12"/>
      <c r="AK23" s="12"/>
      <c r="AL23" s="12"/>
      <c r="AM23" s="12"/>
      <c r="AN23" s="12"/>
      <c r="AO23" s="12"/>
      <c r="AP23" s="12"/>
      <c r="AQ23" s="12"/>
      <c r="AR23" s="12"/>
      <c r="AS23" s="12"/>
      <c r="AT23" s="12"/>
      <c r="AU23" s="12"/>
      <c r="AV23" s="12"/>
      <c r="AW23" s="12"/>
      <c r="AX23" s="12"/>
      <c r="AY23" s="12"/>
      <c r="AZ23" s="12"/>
      <c r="BA23" s="12"/>
      <c r="BB23" s="12"/>
    </row>
    <row r="24" spans="1:54" x14ac:dyDescent="0.25">
      <c r="A24" s="27">
        <f t="shared" si="1"/>
        <v>21</v>
      </c>
      <c r="B24" s="26" t="s">
        <v>56</v>
      </c>
      <c r="C24" s="70">
        <v>2</v>
      </c>
      <c r="D24" s="70"/>
      <c r="E24" s="70"/>
      <c r="F24" s="70"/>
      <c r="G24" s="70"/>
      <c r="H24" s="70">
        <f>24*3</f>
        <v>72</v>
      </c>
      <c r="I24" s="70"/>
      <c r="J24" s="71"/>
      <c r="K24" s="72"/>
      <c r="L24" s="55"/>
      <c r="M24" s="73"/>
      <c r="N24" s="74"/>
      <c r="O24" s="70"/>
      <c r="P24" s="71"/>
      <c r="Q24" s="71"/>
      <c r="R24" s="72"/>
      <c r="S24" s="55"/>
      <c r="T24" s="58">
        <f t="shared" si="0"/>
        <v>72</v>
      </c>
      <c r="U24" s="75">
        <f t="shared" si="4"/>
        <v>120</v>
      </c>
      <c r="V24" s="75">
        <f t="shared" si="5"/>
        <v>5</v>
      </c>
      <c r="AF24" s="12"/>
      <c r="AG24" s="12"/>
      <c r="AH24" s="12"/>
      <c r="AI24" s="12"/>
      <c r="AJ24" s="12"/>
      <c r="AK24" s="12"/>
      <c r="AL24" s="12"/>
      <c r="AM24" s="12"/>
      <c r="AN24" s="12"/>
      <c r="AO24" s="12"/>
      <c r="AP24" s="12"/>
      <c r="AQ24" s="12"/>
      <c r="AR24" s="12"/>
      <c r="AS24" s="12"/>
      <c r="AT24" s="12"/>
      <c r="AU24" s="12"/>
      <c r="AV24" s="12"/>
      <c r="AW24" s="12"/>
      <c r="AX24" s="12"/>
      <c r="AY24" s="12"/>
      <c r="AZ24" s="12"/>
      <c r="BA24" s="12"/>
      <c r="BB24" s="12"/>
    </row>
    <row r="25" spans="1:54" x14ac:dyDescent="0.25">
      <c r="A25" s="27">
        <f t="shared" si="1"/>
        <v>22</v>
      </c>
      <c r="B25" s="26" t="s">
        <v>8</v>
      </c>
      <c r="C25" s="70">
        <v>51</v>
      </c>
      <c r="D25" s="70"/>
      <c r="E25" s="70"/>
      <c r="F25" s="70"/>
      <c r="G25" s="70"/>
      <c r="H25" s="70"/>
      <c r="I25" s="70"/>
      <c r="J25" s="71">
        <v>1</v>
      </c>
      <c r="K25" s="72"/>
      <c r="L25" s="55"/>
      <c r="M25" s="73">
        <v>1</v>
      </c>
      <c r="N25" s="74"/>
      <c r="O25" s="70">
        <v>1</v>
      </c>
      <c r="P25" s="71"/>
      <c r="Q25" s="71">
        <v>2</v>
      </c>
      <c r="R25" s="72"/>
      <c r="S25" s="55"/>
      <c r="T25" s="58">
        <f t="shared" si="0"/>
        <v>1</v>
      </c>
      <c r="U25" s="75">
        <f t="shared" si="4"/>
        <v>1321</v>
      </c>
      <c r="V25" s="75">
        <f t="shared" si="5"/>
        <v>55.041666666666664</v>
      </c>
      <c r="AY25" s="14" t="e">
        <f>#REF!-AY24</f>
        <v>#REF!</v>
      </c>
    </row>
    <row r="26" spans="1:54" s="13" customFormat="1" x14ac:dyDescent="0.25">
      <c r="A26" s="27">
        <f t="shared" si="1"/>
        <v>23</v>
      </c>
      <c r="B26" s="26" t="s">
        <v>10</v>
      </c>
      <c r="C26" s="70"/>
      <c r="D26" s="70"/>
      <c r="E26" s="70"/>
      <c r="F26" s="70"/>
      <c r="G26" s="70"/>
      <c r="H26" s="70"/>
      <c r="I26" s="70"/>
      <c r="J26" s="71"/>
      <c r="K26" s="72"/>
      <c r="L26" s="55"/>
      <c r="M26" s="73"/>
      <c r="N26" s="74"/>
      <c r="O26" s="70"/>
      <c r="P26" s="71"/>
      <c r="Q26" s="71"/>
      <c r="R26" s="72"/>
      <c r="S26" s="55"/>
      <c r="T26" s="58">
        <f t="shared" si="0"/>
        <v>0</v>
      </c>
      <c r="U26" s="75">
        <f t="shared" si="4"/>
        <v>0</v>
      </c>
      <c r="V26" s="75">
        <f t="shared" si="5"/>
        <v>0</v>
      </c>
      <c r="W26" s="9"/>
      <c r="X26" s="9"/>
      <c r="Y26" s="9"/>
      <c r="Z26" s="9"/>
      <c r="AA26" s="9"/>
      <c r="AB26" s="9"/>
      <c r="AC26" s="9"/>
      <c r="AD26" s="9"/>
      <c r="AE26" s="9"/>
    </row>
    <row r="27" spans="1:54" s="13" customFormat="1" x14ac:dyDescent="0.25">
      <c r="A27" s="27">
        <f t="shared" si="1"/>
        <v>24</v>
      </c>
      <c r="B27" s="26" t="s">
        <v>69</v>
      </c>
      <c r="C27" s="70">
        <v>4</v>
      </c>
      <c r="D27" s="70"/>
      <c r="E27" s="70"/>
      <c r="F27" s="70"/>
      <c r="G27" s="70"/>
      <c r="H27" s="70"/>
      <c r="I27" s="70"/>
      <c r="J27" s="71"/>
      <c r="K27" s="72"/>
      <c r="L27" s="55"/>
      <c r="M27" s="73"/>
      <c r="N27" s="74"/>
      <c r="O27" s="70"/>
      <c r="P27" s="71"/>
      <c r="Q27" s="71"/>
      <c r="R27" s="72"/>
      <c r="S27" s="55"/>
      <c r="T27" s="58">
        <f t="shared" si="0"/>
        <v>0</v>
      </c>
      <c r="U27" s="75">
        <f t="shared" si="4"/>
        <v>96</v>
      </c>
      <c r="V27" s="75">
        <f t="shared" si="5"/>
        <v>4</v>
      </c>
      <c r="W27" s="9"/>
      <c r="X27" s="9"/>
      <c r="Y27" s="9"/>
      <c r="Z27" s="9"/>
      <c r="AA27" s="9"/>
      <c r="AB27" s="9"/>
      <c r="AC27" s="9"/>
      <c r="AD27" s="9"/>
      <c r="AE27" s="9"/>
    </row>
    <row r="28" spans="1:54" s="13" customFormat="1" x14ac:dyDescent="0.25">
      <c r="A28" s="27">
        <f t="shared" si="1"/>
        <v>25</v>
      </c>
      <c r="B28" s="26" t="s">
        <v>11</v>
      </c>
      <c r="C28" s="70">
        <v>5</v>
      </c>
      <c r="D28" s="70"/>
      <c r="E28" s="70"/>
      <c r="F28" s="70"/>
      <c r="G28" s="70"/>
      <c r="H28" s="70"/>
      <c r="I28" s="70"/>
      <c r="J28" s="71"/>
      <c r="K28" s="72"/>
      <c r="L28" s="55"/>
      <c r="M28" s="73">
        <v>2</v>
      </c>
      <c r="N28" s="74"/>
      <c r="O28" s="70">
        <v>1</v>
      </c>
      <c r="P28" s="71"/>
      <c r="Q28" s="71">
        <v>6</v>
      </c>
      <c r="R28" s="72"/>
      <c r="S28" s="55"/>
      <c r="T28" s="58">
        <f t="shared" si="0"/>
        <v>0</v>
      </c>
      <c r="U28" s="75">
        <f t="shared" si="4"/>
        <v>336</v>
      </c>
      <c r="V28" s="75">
        <f t="shared" si="5"/>
        <v>14</v>
      </c>
      <c r="W28" s="9"/>
      <c r="X28" s="9"/>
      <c r="Y28" s="9"/>
      <c r="Z28" s="9"/>
      <c r="AA28" s="9"/>
      <c r="AB28" s="9"/>
      <c r="AC28" s="9"/>
      <c r="AD28" s="9"/>
      <c r="AE28" s="9"/>
    </row>
    <row r="29" spans="1:54" x14ac:dyDescent="0.25">
      <c r="A29" s="27">
        <f t="shared" si="1"/>
        <v>26</v>
      </c>
      <c r="B29" s="26" t="s">
        <v>13</v>
      </c>
      <c r="C29" s="70">
        <v>27</v>
      </c>
      <c r="D29" s="70"/>
      <c r="E29" s="70"/>
      <c r="F29" s="70"/>
      <c r="G29" s="70"/>
      <c r="H29" s="70"/>
      <c r="I29" s="70"/>
      <c r="J29" s="71">
        <v>5</v>
      </c>
      <c r="K29" s="72"/>
      <c r="L29" s="55"/>
      <c r="M29" s="73"/>
      <c r="N29" s="74"/>
      <c r="O29" s="70">
        <v>1</v>
      </c>
      <c r="P29" s="71"/>
      <c r="Q29" s="71">
        <v>1</v>
      </c>
      <c r="R29" s="72"/>
      <c r="S29" s="55"/>
      <c r="T29" s="58">
        <f t="shared" si="0"/>
        <v>5</v>
      </c>
      <c r="U29" s="75">
        <f t="shared" si="4"/>
        <v>701</v>
      </c>
      <c r="V29" s="75">
        <f t="shared" si="5"/>
        <v>29.208333333333332</v>
      </c>
    </row>
    <row r="30" spans="1:54" x14ac:dyDescent="0.25">
      <c r="A30" s="27">
        <f t="shared" si="1"/>
        <v>27</v>
      </c>
      <c r="B30" s="26" t="s">
        <v>15</v>
      </c>
      <c r="C30" s="70">
        <v>13</v>
      </c>
      <c r="D30" s="70"/>
      <c r="E30" s="70"/>
      <c r="F30" s="70"/>
      <c r="G30" s="70"/>
      <c r="H30" s="70"/>
      <c r="I30" s="70"/>
      <c r="J30" s="71"/>
      <c r="K30" s="72"/>
      <c r="L30" s="55"/>
      <c r="M30" s="73"/>
      <c r="N30" s="74"/>
      <c r="O30" s="70">
        <v>1</v>
      </c>
      <c r="P30" s="71"/>
      <c r="Q30" s="71">
        <v>1</v>
      </c>
      <c r="R30" s="72"/>
      <c r="S30" s="55"/>
      <c r="T30" s="58">
        <f t="shared" si="0"/>
        <v>0</v>
      </c>
      <c r="U30" s="75">
        <f t="shared" si="4"/>
        <v>360</v>
      </c>
      <c r="V30" s="75">
        <f t="shared" si="5"/>
        <v>15</v>
      </c>
    </row>
    <row r="31" spans="1:54" x14ac:dyDescent="0.25">
      <c r="A31" s="27">
        <f t="shared" si="1"/>
        <v>28</v>
      </c>
      <c r="B31" s="26" t="s">
        <v>12</v>
      </c>
      <c r="C31" s="70">
        <v>2</v>
      </c>
      <c r="D31" s="70"/>
      <c r="E31" s="70"/>
      <c r="F31" s="70"/>
      <c r="G31" s="70"/>
      <c r="H31" s="70"/>
      <c r="I31" s="70"/>
      <c r="J31" s="71"/>
      <c r="K31" s="72"/>
      <c r="L31" s="55"/>
      <c r="M31" s="73"/>
      <c r="N31" s="74"/>
      <c r="O31" s="70"/>
      <c r="P31" s="71"/>
      <c r="Q31" s="71"/>
      <c r="R31" s="72"/>
      <c r="S31" s="55"/>
      <c r="T31" s="58">
        <f t="shared" si="0"/>
        <v>0</v>
      </c>
      <c r="U31" s="75">
        <f t="shared" si="4"/>
        <v>48</v>
      </c>
      <c r="V31" s="75">
        <f t="shared" si="5"/>
        <v>2</v>
      </c>
    </row>
    <row r="32" spans="1:54" x14ac:dyDescent="0.25">
      <c r="A32" s="27">
        <f t="shared" si="1"/>
        <v>29</v>
      </c>
      <c r="B32" s="26" t="s">
        <v>14</v>
      </c>
      <c r="C32" s="70"/>
      <c r="D32" s="70"/>
      <c r="E32" s="70"/>
      <c r="F32" s="70"/>
      <c r="G32" s="70"/>
      <c r="H32" s="70"/>
      <c r="I32" s="70"/>
      <c r="J32" s="71"/>
      <c r="K32" s="72"/>
      <c r="L32" s="55"/>
      <c r="M32" s="73"/>
      <c r="N32" s="74"/>
      <c r="O32" s="70"/>
      <c r="P32" s="71"/>
      <c r="Q32" s="71"/>
      <c r="R32" s="72"/>
      <c r="S32" s="55"/>
      <c r="T32" s="58">
        <f t="shared" si="0"/>
        <v>0</v>
      </c>
      <c r="U32" s="75">
        <f t="shared" si="4"/>
        <v>0</v>
      </c>
      <c r="V32" s="75">
        <f t="shared" si="5"/>
        <v>0</v>
      </c>
    </row>
    <row r="33" spans="1:23" x14ac:dyDescent="0.25">
      <c r="A33" s="27">
        <f t="shared" si="1"/>
        <v>30</v>
      </c>
      <c r="B33" s="26" t="s">
        <v>16</v>
      </c>
      <c r="C33" s="70">
        <v>2</v>
      </c>
      <c r="D33" s="70"/>
      <c r="E33" s="70"/>
      <c r="F33" s="70"/>
      <c r="G33" s="70"/>
      <c r="H33" s="70"/>
      <c r="I33" s="70"/>
      <c r="J33" s="71"/>
      <c r="K33" s="72"/>
      <c r="L33" s="55"/>
      <c r="M33" s="73"/>
      <c r="N33" s="74"/>
      <c r="O33" s="70"/>
      <c r="P33" s="71"/>
      <c r="Q33" s="71"/>
      <c r="R33" s="72"/>
      <c r="S33" s="55"/>
      <c r="T33" s="58">
        <f t="shared" si="0"/>
        <v>0</v>
      </c>
      <c r="U33" s="75">
        <f t="shared" si="4"/>
        <v>48</v>
      </c>
      <c r="V33" s="75">
        <f t="shared" si="5"/>
        <v>2</v>
      </c>
    </row>
    <row r="34" spans="1:23" x14ac:dyDescent="0.25">
      <c r="A34" s="27">
        <f t="shared" si="1"/>
        <v>31</v>
      </c>
      <c r="B34" s="26" t="s">
        <v>17</v>
      </c>
      <c r="C34" s="70">
        <f>144+55</f>
        <v>199</v>
      </c>
      <c r="D34" s="70"/>
      <c r="E34" s="70"/>
      <c r="F34" s="70"/>
      <c r="G34" s="70"/>
      <c r="H34" s="70"/>
      <c r="I34" s="70">
        <v>1</v>
      </c>
      <c r="J34" s="71"/>
      <c r="K34" s="72">
        <v>1</v>
      </c>
      <c r="L34" s="55"/>
      <c r="M34" s="73"/>
      <c r="N34" s="74"/>
      <c r="O34" s="70">
        <v>2</v>
      </c>
      <c r="P34" s="71"/>
      <c r="Q34" s="71">
        <v>2</v>
      </c>
      <c r="R34" s="72"/>
      <c r="S34" s="55"/>
      <c r="T34" s="58">
        <f t="shared" si="0"/>
        <v>2</v>
      </c>
      <c r="U34" s="75">
        <f t="shared" si="4"/>
        <v>4874</v>
      </c>
      <c r="V34" s="75">
        <f t="shared" si="5"/>
        <v>203.08333333333334</v>
      </c>
    </row>
    <row r="35" spans="1:23" hidden="1" x14ac:dyDescent="0.25">
      <c r="A35" s="27">
        <f t="shared" si="1"/>
        <v>32</v>
      </c>
      <c r="B35" s="26" t="s">
        <v>25</v>
      </c>
      <c r="C35" s="70"/>
      <c r="D35" s="70"/>
      <c r="E35" s="70"/>
      <c r="F35" s="70"/>
      <c r="G35" s="70"/>
      <c r="H35" s="70"/>
      <c r="I35" s="70"/>
      <c r="J35" s="71"/>
      <c r="K35" s="72"/>
      <c r="L35" s="55"/>
      <c r="M35" s="73"/>
      <c r="N35" s="74"/>
      <c r="O35" s="70"/>
      <c r="P35" s="71"/>
      <c r="Q35" s="71"/>
      <c r="R35" s="72"/>
      <c r="S35" s="55"/>
      <c r="T35" s="58">
        <f t="shared" si="0"/>
        <v>0</v>
      </c>
      <c r="U35" s="75">
        <f t="shared" si="4"/>
        <v>0</v>
      </c>
      <c r="V35" s="75">
        <f t="shared" si="5"/>
        <v>0</v>
      </c>
    </row>
    <row r="36" spans="1:23" x14ac:dyDescent="0.25">
      <c r="A36" s="27">
        <f t="shared" si="1"/>
        <v>33</v>
      </c>
      <c r="B36" s="26" t="s">
        <v>18</v>
      </c>
      <c r="C36" s="70"/>
      <c r="D36" s="70"/>
      <c r="E36" s="70"/>
      <c r="F36" s="70"/>
      <c r="G36" s="70"/>
      <c r="H36" s="70"/>
      <c r="I36" s="70"/>
      <c r="J36" s="71"/>
      <c r="K36" s="72"/>
      <c r="L36" s="55"/>
      <c r="M36" s="73"/>
      <c r="N36" s="74"/>
      <c r="O36" s="70"/>
      <c r="P36" s="71"/>
      <c r="Q36" s="71"/>
      <c r="R36" s="72"/>
      <c r="S36" s="55"/>
      <c r="T36" s="58">
        <f t="shared" si="0"/>
        <v>0</v>
      </c>
      <c r="U36" s="75">
        <f t="shared" si="4"/>
        <v>0</v>
      </c>
      <c r="V36" s="75">
        <f t="shared" si="5"/>
        <v>0</v>
      </c>
    </row>
    <row r="37" spans="1:23" ht="19.5" thickBot="1" x14ac:dyDescent="0.3">
      <c r="A37" s="27">
        <f t="shared" si="1"/>
        <v>34</v>
      </c>
      <c r="B37" s="42" t="s">
        <v>19</v>
      </c>
      <c r="C37" s="59">
        <f>30+648+3132+94</f>
        <v>3904</v>
      </c>
      <c r="D37" s="59"/>
      <c r="E37" s="59"/>
      <c r="F37" s="59"/>
      <c r="G37" s="59"/>
      <c r="H37" s="59">
        <v>2</v>
      </c>
      <c r="I37" s="59">
        <v>2</v>
      </c>
      <c r="J37" s="60">
        <v>1</v>
      </c>
      <c r="K37" s="61">
        <f>6+2</f>
        <v>8</v>
      </c>
      <c r="L37" s="62"/>
      <c r="M37" s="63">
        <v>15</v>
      </c>
      <c r="N37" s="64"/>
      <c r="O37" s="65">
        <v>24</v>
      </c>
      <c r="P37" s="66"/>
      <c r="Q37" s="66">
        <v>109</v>
      </c>
      <c r="R37" s="67"/>
      <c r="S37" s="62"/>
      <c r="T37" s="77">
        <f t="shared" si="0"/>
        <v>13</v>
      </c>
      <c r="U37" s="77">
        <f>C37*6+M37*6+O37*6+Q37*6+T37</f>
        <v>24325</v>
      </c>
      <c r="V37" s="77">
        <f>U37/6</f>
        <v>4054.1666666666665</v>
      </c>
      <c r="W37" s="50"/>
    </row>
    <row r="38" spans="1:23" x14ac:dyDescent="0.25">
      <c r="A38" s="27">
        <f t="shared" si="1"/>
        <v>35</v>
      </c>
      <c r="B38" s="25" t="s">
        <v>20</v>
      </c>
      <c r="C38" s="70"/>
      <c r="D38" s="70"/>
      <c r="E38" s="70"/>
      <c r="F38" s="70"/>
      <c r="G38" s="70"/>
      <c r="H38" s="70"/>
      <c r="I38" s="70"/>
      <c r="J38" s="71"/>
      <c r="K38" s="72"/>
      <c r="L38" s="55"/>
      <c r="M38" s="73"/>
      <c r="N38" s="74"/>
      <c r="O38" s="70"/>
      <c r="P38" s="71"/>
      <c r="Q38" s="71"/>
      <c r="R38" s="72"/>
      <c r="S38" s="55"/>
      <c r="T38" s="75">
        <f t="shared" si="0"/>
        <v>0</v>
      </c>
      <c r="U38" s="75">
        <f>C38*24+M38*24+O38*24+Q38*24+T38</f>
        <v>0</v>
      </c>
      <c r="V38" s="75">
        <f>U38/24</f>
        <v>0</v>
      </c>
    </row>
    <row r="39" spans="1:23" x14ac:dyDescent="0.25">
      <c r="A39" s="27">
        <f t="shared" si="1"/>
        <v>36</v>
      </c>
      <c r="B39" s="51" t="s">
        <v>62</v>
      </c>
      <c r="C39" s="78"/>
      <c r="D39" s="78"/>
      <c r="E39" s="78"/>
      <c r="F39" s="78"/>
      <c r="G39" s="78"/>
      <c r="H39" s="78"/>
      <c r="I39" s="78"/>
      <c r="J39" s="79"/>
      <c r="K39" s="80"/>
      <c r="L39" s="55"/>
      <c r="M39" s="73"/>
      <c r="N39" s="74"/>
      <c r="O39" s="70"/>
      <c r="P39" s="71"/>
      <c r="Q39" s="71"/>
      <c r="R39" s="72"/>
      <c r="S39" s="95"/>
      <c r="T39" s="75">
        <f t="shared" si="0"/>
        <v>0</v>
      </c>
      <c r="U39" s="75">
        <f>C39*24+M39*24+O39*24+Q39*24+T39</f>
        <v>0</v>
      </c>
      <c r="V39" s="75">
        <f>U39/24</f>
        <v>0</v>
      </c>
    </row>
    <row r="40" spans="1:23" ht="19.5" thickBot="1" x14ac:dyDescent="0.3">
      <c r="A40" s="27">
        <f t="shared" si="1"/>
        <v>37</v>
      </c>
      <c r="B40" s="42" t="s">
        <v>21</v>
      </c>
      <c r="C40" s="59">
        <f>63+50</f>
        <v>113</v>
      </c>
      <c r="D40" s="59"/>
      <c r="E40" s="59"/>
      <c r="F40" s="59"/>
      <c r="G40" s="59"/>
      <c r="H40" s="59"/>
      <c r="I40" s="59"/>
      <c r="J40" s="60"/>
      <c r="K40" s="61">
        <v>20</v>
      </c>
      <c r="L40" s="62"/>
      <c r="M40" s="63">
        <v>2</v>
      </c>
      <c r="N40" s="64"/>
      <c r="O40" s="65">
        <v>2</v>
      </c>
      <c r="P40" s="66"/>
      <c r="Q40" s="66">
        <v>4</v>
      </c>
      <c r="R40" s="67"/>
      <c r="S40" s="62"/>
      <c r="T40" s="77">
        <f t="shared" si="0"/>
        <v>20</v>
      </c>
      <c r="U40" s="77">
        <f>C40*24+M40*24+O40*24+Q40*24+T40</f>
        <v>2924</v>
      </c>
      <c r="V40" s="77">
        <f>U40/24</f>
        <v>121.83333333333333</v>
      </c>
    </row>
    <row r="41" spans="1:23" ht="19.5" thickBot="1" x14ac:dyDescent="0.3">
      <c r="A41" s="27">
        <f t="shared" si="1"/>
        <v>38</v>
      </c>
      <c r="B41" s="43" t="s">
        <v>22</v>
      </c>
      <c r="C41" s="82">
        <v>40</v>
      </c>
      <c r="D41" s="82"/>
      <c r="E41" s="82"/>
      <c r="F41" s="82"/>
      <c r="G41" s="82"/>
      <c r="H41" s="82"/>
      <c r="I41" s="82"/>
      <c r="J41" s="83"/>
      <c r="K41" s="84"/>
      <c r="L41" s="85"/>
      <c r="M41" s="86">
        <v>10</v>
      </c>
      <c r="N41" s="87"/>
      <c r="O41" s="82">
        <v>12</v>
      </c>
      <c r="P41" s="83"/>
      <c r="Q41" s="83">
        <v>20</v>
      </c>
      <c r="R41" s="84"/>
      <c r="S41" s="85"/>
      <c r="T41" s="88">
        <f t="shared" si="0"/>
        <v>0</v>
      </c>
      <c r="U41" s="88">
        <f>C41*12+M41*12+O41*12+Q41*12+T41</f>
        <v>984</v>
      </c>
      <c r="V41" s="88">
        <f>U41/12</f>
        <v>82</v>
      </c>
    </row>
    <row r="42" spans="1:23" hidden="1" x14ac:dyDescent="0.25">
      <c r="A42" s="27">
        <f t="shared" si="1"/>
        <v>39</v>
      </c>
      <c r="B42" s="25" t="s">
        <v>29</v>
      </c>
      <c r="C42" s="70"/>
      <c r="D42" s="70"/>
      <c r="E42" s="70"/>
      <c r="F42" s="70"/>
      <c r="G42" s="70"/>
      <c r="H42" s="70"/>
      <c r="I42" s="70"/>
      <c r="J42" s="71"/>
      <c r="K42" s="72"/>
      <c r="L42" s="55"/>
      <c r="M42" s="73"/>
      <c r="N42" s="74"/>
      <c r="O42" s="70"/>
      <c r="P42" s="71"/>
      <c r="Q42" s="71"/>
      <c r="R42" s="72"/>
      <c r="S42" s="55"/>
      <c r="T42" s="75"/>
      <c r="U42" s="75"/>
      <c r="V42" s="75"/>
    </row>
    <row r="43" spans="1:23" ht="19.5" thickBot="1" x14ac:dyDescent="0.3">
      <c r="A43" s="27">
        <f t="shared" si="1"/>
        <v>40</v>
      </c>
      <c r="B43" s="42" t="s">
        <v>23</v>
      </c>
      <c r="C43" s="65">
        <f>11610+19764+10260</f>
        <v>41634</v>
      </c>
      <c r="D43" s="65"/>
      <c r="E43" s="65"/>
      <c r="F43" s="65"/>
      <c r="G43" s="65"/>
      <c r="H43" s="65">
        <v>5</v>
      </c>
      <c r="I43" s="65">
        <v>12</v>
      </c>
      <c r="J43" s="66">
        <f>6*8</f>
        <v>48</v>
      </c>
      <c r="K43" s="67">
        <f>71*6+2</f>
        <v>428</v>
      </c>
      <c r="L43" s="62"/>
      <c r="M43" s="63">
        <v>336</v>
      </c>
      <c r="N43" s="64"/>
      <c r="O43" s="65">
        <v>412</v>
      </c>
      <c r="P43" s="66"/>
      <c r="Q43" s="66">
        <v>475</v>
      </c>
      <c r="R43" s="67"/>
      <c r="S43" s="62"/>
      <c r="T43" s="77">
        <f t="shared" ref="T43" si="6">H43+I43+J43+K43+N43+P43+R43</f>
        <v>493</v>
      </c>
      <c r="U43" s="77">
        <f>C43*6+M43*6+O43*6+Q43*6+T43</f>
        <v>257635</v>
      </c>
      <c r="V43" s="77">
        <f>U43/6</f>
        <v>42939.166666666664</v>
      </c>
    </row>
    <row r="44" spans="1:23" hidden="1" x14ac:dyDescent="0.25">
      <c r="A44" s="27">
        <f t="shared" si="1"/>
        <v>41</v>
      </c>
      <c r="B44" s="25" t="s">
        <v>31</v>
      </c>
      <c r="C44" s="70"/>
      <c r="D44" s="70"/>
      <c r="E44" s="70"/>
      <c r="F44" s="70"/>
      <c r="G44" s="70"/>
      <c r="H44" s="70"/>
      <c r="I44" s="70"/>
      <c r="J44" s="71"/>
      <c r="K44" s="72"/>
      <c r="L44" s="55"/>
      <c r="M44" s="73"/>
      <c r="N44" s="74"/>
      <c r="O44" s="70"/>
      <c r="P44" s="71"/>
      <c r="Q44" s="71"/>
      <c r="R44" s="72"/>
      <c r="S44" s="55"/>
      <c r="T44" s="75"/>
      <c r="U44" s="75"/>
      <c r="V44" s="75"/>
    </row>
    <row r="45" spans="1:23" x14ac:dyDescent="0.25">
      <c r="A45" s="27">
        <f t="shared" si="1"/>
        <v>42</v>
      </c>
      <c r="B45" s="26" t="s">
        <v>24</v>
      </c>
      <c r="C45" s="70"/>
      <c r="D45" s="70"/>
      <c r="E45" s="70"/>
      <c r="F45" s="70"/>
      <c r="G45" s="70"/>
      <c r="H45" s="70"/>
      <c r="I45" s="70"/>
      <c r="J45" s="71"/>
      <c r="K45" s="72"/>
      <c r="L45" s="55"/>
      <c r="M45" s="73"/>
      <c r="N45" s="74"/>
      <c r="O45" s="70"/>
      <c r="P45" s="71"/>
      <c r="Q45" s="71"/>
      <c r="R45" s="72"/>
      <c r="S45" s="55"/>
      <c r="T45" s="75">
        <f t="shared" ref="T45:T54" si="7">H45+I45+J45+K45+N45+P45+R45</f>
        <v>0</v>
      </c>
      <c r="U45" s="75">
        <f>C45*24+M45*24+O45*24+Q45*24+T45</f>
        <v>0</v>
      </c>
      <c r="V45" s="75">
        <f>U45/24</f>
        <v>0</v>
      </c>
    </row>
    <row r="46" spans="1:23" x14ac:dyDescent="0.25">
      <c r="A46" s="27">
        <f t="shared" si="1"/>
        <v>43</v>
      </c>
      <c r="B46" s="26" t="s">
        <v>57</v>
      </c>
      <c r="C46" s="70"/>
      <c r="D46" s="70"/>
      <c r="E46" s="70"/>
      <c r="F46" s="70"/>
      <c r="G46" s="70"/>
      <c r="H46" s="70"/>
      <c r="I46" s="70"/>
      <c r="J46" s="71"/>
      <c r="K46" s="72"/>
      <c r="L46" s="55"/>
      <c r="M46" s="73"/>
      <c r="N46" s="74"/>
      <c r="O46" s="70"/>
      <c r="P46" s="71"/>
      <c r="Q46" s="71"/>
      <c r="R46" s="72"/>
      <c r="S46" s="55"/>
      <c r="T46" s="75">
        <f t="shared" si="7"/>
        <v>0</v>
      </c>
      <c r="U46" s="75">
        <f t="shared" ref="U46:U50" si="8">C46*24+M46*24+O46*24+Q46*24+T46</f>
        <v>0</v>
      </c>
      <c r="V46" s="75">
        <f t="shared" ref="V46:V54" si="9">U46/24</f>
        <v>0</v>
      </c>
    </row>
    <row r="47" spans="1:23" ht="19.5" thickBot="1" x14ac:dyDescent="0.3">
      <c r="A47" s="27">
        <f t="shared" si="1"/>
        <v>44</v>
      </c>
      <c r="B47" s="42" t="s">
        <v>25</v>
      </c>
      <c r="C47" s="65">
        <f>106+648+324+88+540+103+324+432+106</f>
        <v>2671</v>
      </c>
      <c r="D47" s="65"/>
      <c r="E47" s="65"/>
      <c r="F47" s="65"/>
      <c r="G47" s="65"/>
      <c r="H47" s="65">
        <v>1</v>
      </c>
      <c r="I47" s="65"/>
      <c r="J47" s="66"/>
      <c r="K47" s="67">
        <v>5</v>
      </c>
      <c r="L47" s="62"/>
      <c r="M47" s="63">
        <v>9</v>
      </c>
      <c r="N47" s="64"/>
      <c r="O47" s="65">
        <v>16</v>
      </c>
      <c r="P47" s="66"/>
      <c r="Q47" s="66">
        <v>5</v>
      </c>
      <c r="R47" s="67">
        <v>3</v>
      </c>
      <c r="S47" s="62"/>
      <c r="T47" s="77">
        <f t="shared" si="7"/>
        <v>9</v>
      </c>
      <c r="U47" s="77">
        <f>C47*6+M47*6+O47*6+Q47*6+T47</f>
        <v>16215</v>
      </c>
      <c r="V47" s="77">
        <f>U47/6</f>
        <v>2702.5</v>
      </c>
    </row>
    <row r="48" spans="1:23" x14ac:dyDescent="0.25">
      <c r="A48" s="27">
        <f t="shared" si="1"/>
        <v>45</v>
      </c>
      <c r="B48" s="25" t="s">
        <v>58</v>
      </c>
      <c r="C48" s="70"/>
      <c r="D48" s="70"/>
      <c r="E48" s="70"/>
      <c r="F48" s="70"/>
      <c r="G48" s="70"/>
      <c r="H48" s="70">
        <v>24</v>
      </c>
      <c r="I48" s="70"/>
      <c r="J48" s="71"/>
      <c r="K48" s="72"/>
      <c r="L48" s="55"/>
      <c r="M48" s="73"/>
      <c r="N48" s="74"/>
      <c r="O48" s="70"/>
      <c r="P48" s="71"/>
      <c r="Q48" s="71"/>
      <c r="R48" s="72"/>
      <c r="S48" s="55"/>
      <c r="T48" s="75">
        <f t="shared" si="7"/>
        <v>24</v>
      </c>
      <c r="U48" s="75">
        <f t="shared" si="8"/>
        <v>24</v>
      </c>
      <c r="V48" s="75">
        <f t="shared" si="9"/>
        <v>1</v>
      </c>
    </row>
    <row r="49" spans="1:22" x14ac:dyDescent="0.25">
      <c r="A49" s="27">
        <f t="shared" si="1"/>
        <v>46</v>
      </c>
      <c r="B49" s="26" t="s">
        <v>26</v>
      </c>
      <c r="C49" s="70">
        <v>10</v>
      </c>
      <c r="D49" s="70"/>
      <c r="E49" s="70"/>
      <c r="F49" s="70"/>
      <c r="G49" s="70"/>
      <c r="H49" s="70"/>
      <c r="I49" s="70"/>
      <c r="J49" s="71"/>
      <c r="K49" s="72"/>
      <c r="L49" s="55"/>
      <c r="M49" s="73"/>
      <c r="N49" s="74"/>
      <c r="O49" s="70"/>
      <c r="P49" s="71"/>
      <c r="Q49" s="71"/>
      <c r="R49" s="72"/>
      <c r="S49" s="55"/>
      <c r="T49" s="75">
        <f t="shared" si="7"/>
        <v>0</v>
      </c>
      <c r="U49" s="75">
        <f t="shared" si="8"/>
        <v>240</v>
      </c>
      <c r="V49" s="75">
        <f t="shared" si="9"/>
        <v>10</v>
      </c>
    </row>
    <row r="50" spans="1:22" x14ac:dyDescent="0.25">
      <c r="A50" s="27">
        <f t="shared" si="1"/>
        <v>47</v>
      </c>
      <c r="B50" s="26" t="s">
        <v>59</v>
      </c>
      <c r="C50" s="70"/>
      <c r="D50" s="70"/>
      <c r="E50" s="70"/>
      <c r="F50" s="70"/>
      <c r="G50" s="70"/>
      <c r="H50" s="70"/>
      <c r="I50" s="70"/>
      <c r="J50" s="71"/>
      <c r="K50" s="72"/>
      <c r="L50" s="55"/>
      <c r="M50" s="73"/>
      <c r="N50" s="74"/>
      <c r="O50" s="70"/>
      <c r="P50" s="71"/>
      <c r="Q50" s="71"/>
      <c r="R50" s="72"/>
      <c r="S50" s="55"/>
      <c r="T50" s="75">
        <f t="shared" si="7"/>
        <v>0</v>
      </c>
      <c r="U50" s="75">
        <f t="shared" si="8"/>
        <v>0</v>
      </c>
      <c r="V50" s="75">
        <f t="shared" si="9"/>
        <v>0</v>
      </c>
    </row>
    <row r="51" spans="1:22" ht="19.5" thickBot="1" x14ac:dyDescent="0.3">
      <c r="A51" s="27">
        <f t="shared" si="1"/>
        <v>48</v>
      </c>
      <c r="B51" s="42" t="s">
        <v>27</v>
      </c>
      <c r="C51" s="65">
        <v>34</v>
      </c>
      <c r="D51" s="65"/>
      <c r="E51" s="65"/>
      <c r="F51" s="65"/>
      <c r="G51" s="65"/>
      <c r="H51" s="65"/>
      <c r="I51" s="65"/>
      <c r="J51" s="66"/>
      <c r="K51" s="67"/>
      <c r="L51" s="62"/>
      <c r="M51" s="63"/>
      <c r="N51" s="64"/>
      <c r="O51" s="65"/>
      <c r="P51" s="66"/>
      <c r="Q51" s="66"/>
      <c r="R51" s="67"/>
      <c r="S51" s="62"/>
      <c r="T51" s="77">
        <f t="shared" si="7"/>
        <v>0</v>
      </c>
      <c r="U51" s="77">
        <f>C51*6+M51*6+O51*6+Q51*6+T51</f>
        <v>204</v>
      </c>
      <c r="V51" s="77">
        <f>U51/6</f>
        <v>34</v>
      </c>
    </row>
    <row r="52" spans="1:22" x14ac:dyDescent="0.25">
      <c r="A52" s="27">
        <f t="shared" si="1"/>
        <v>49</v>
      </c>
      <c r="B52" s="25" t="s">
        <v>28</v>
      </c>
      <c r="C52" s="70"/>
      <c r="D52" s="70"/>
      <c r="E52" s="70"/>
      <c r="F52" s="70"/>
      <c r="G52" s="70"/>
      <c r="H52" s="70"/>
      <c r="I52" s="70"/>
      <c r="J52" s="71"/>
      <c r="K52" s="72"/>
      <c r="L52" s="55"/>
      <c r="M52" s="73"/>
      <c r="N52" s="74"/>
      <c r="O52" s="70"/>
      <c r="P52" s="71"/>
      <c r="Q52" s="71"/>
      <c r="R52" s="72"/>
      <c r="S52" s="55"/>
      <c r="T52" s="75">
        <f t="shared" si="7"/>
        <v>0</v>
      </c>
      <c r="U52" s="75">
        <f t="shared" ref="U52:U54" si="10">C52*24+M52*24+O52*24+Q52*24+T52</f>
        <v>0</v>
      </c>
      <c r="V52" s="75">
        <f t="shared" si="9"/>
        <v>0</v>
      </c>
    </row>
    <row r="53" spans="1:22" x14ac:dyDescent="0.25">
      <c r="A53" s="27">
        <f t="shared" si="1"/>
        <v>50</v>
      </c>
      <c r="B53" s="26" t="s">
        <v>63</v>
      </c>
      <c r="C53" s="70">
        <v>6</v>
      </c>
      <c r="D53" s="70"/>
      <c r="E53" s="70"/>
      <c r="F53" s="70"/>
      <c r="G53" s="70"/>
      <c r="H53" s="70"/>
      <c r="I53" s="70"/>
      <c r="J53" s="71"/>
      <c r="K53" s="72"/>
      <c r="L53" s="55"/>
      <c r="M53" s="73"/>
      <c r="N53" s="74"/>
      <c r="O53" s="70"/>
      <c r="P53" s="71"/>
      <c r="Q53" s="71">
        <v>1</v>
      </c>
      <c r="R53" s="72"/>
      <c r="S53" s="55"/>
      <c r="T53" s="75">
        <f t="shared" si="7"/>
        <v>0</v>
      </c>
      <c r="U53" s="75">
        <f t="shared" si="10"/>
        <v>168</v>
      </c>
      <c r="V53" s="75">
        <f t="shared" si="9"/>
        <v>7</v>
      </c>
    </row>
    <row r="54" spans="1:22" x14ac:dyDescent="0.25">
      <c r="A54" s="27">
        <f t="shared" si="1"/>
        <v>51</v>
      </c>
      <c r="B54" s="26"/>
      <c r="C54" s="70"/>
      <c r="D54" s="70"/>
      <c r="E54" s="70"/>
      <c r="F54" s="70"/>
      <c r="G54" s="70"/>
      <c r="H54" s="70"/>
      <c r="I54" s="70"/>
      <c r="J54" s="71"/>
      <c r="K54" s="72"/>
      <c r="L54" s="55"/>
      <c r="M54" s="73"/>
      <c r="N54" s="74"/>
      <c r="O54" s="70"/>
      <c r="P54" s="71"/>
      <c r="Q54" s="71"/>
      <c r="R54" s="72"/>
      <c r="S54" s="55"/>
      <c r="T54" s="75">
        <f t="shared" si="7"/>
        <v>0</v>
      </c>
      <c r="U54" s="75">
        <f t="shared" si="10"/>
        <v>0</v>
      </c>
      <c r="V54" s="75">
        <f t="shared" si="9"/>
        <v>0</v>
      </c>
    </row>
    <row r="55" spans="1:22" x14ac:dyDescent="0.25">
      <c r="A55" s="27">
        <f t="shared" si="1"/>
        <v>52</v>
      </c>
      <c r="B55" s="26"/>
      <c r="C55" s="70"/>
      <c r="D55" s="70"/>
      <c r="E55" s="70"/>
      <c r="F55" s="70"/>
      <c r="G55" s="70"/>
      <c r="H55" s="70"/>
      <c r="I55" s="70"/>
      <c r="J55" s="71"/>
      <c r="K55" s="72"/>
      <c r="L55" s="55"/>
      <c r="M55" s="73"/>
      <c r="N55" s="74"/>
      <c r="O55" s="70"/>
      <c r="P55" s="71"/>
      <c r="Q55" s="71"/>
      <c r="R55" s="72"/>
      <c r="S55" s="55"/>
      <c r="T55" s="75"/>
      <c r="U55" s="75"/>
      <c r="V55" s="75"/>
    </row>
    <row r="56" spans="1:22" x14ac:dyDescent="0.25">
      <c r="A56" s="27">
        <f t="shared" si="1"/>
        <v>53</v>
      </c>
      <c r="B56" s="26"/>
      <c r="C56" s="70"/>
      <c r="D56" s="70"/>
      <c r="E56" s="70"/>
      <c r="F56" s="70"/>
      <c r="G56" s="70"/>
      <c r="H56" s="70"/>
      <c r="I56" s="70"/>
      <c r="J56" s="71"/>
      <c r="K56" s="72"/>
      <c r="L56" s="55"/>
      <c r="M56" s="73"/>
      <c r="N56" s="74"/>
      <c r="O56" s="70"/>
      <c r="P56" s="71"/>
      <c r="Q56" s="71"/>
      <c r="R56" s="72"/>
      <c r="S56" s="55"/>
      <c r="T56" s="75"/>
      <c r="U56" s="75"/>
      <c r="V56" s="75"/>
    </row>
    <row r="57" spans="1:22" x14ac:dyDescent="0.25">
      <c r="A57" s="27">
        <f t="shared" si="1"/>
        <v>54</v>
      </c>
      <c r="B57" s="26"/>
      <c r="C57" s="70"/>
      <c r="D57" s="70"/>
      <c r="E57" s="70"/>
      <c r="F57" s="70"/>
      <c r="G57" s="70"/>
      <c r="H57" s="70"/>
      <c r="I57" s="70"/>
      <c r="J57" s="71"/>
      <c r="K57" s="72"/>
      <c r="L57" s="55"/>
      <c r="M57" s="73"/>
      <c r="N57" s="74"/>
      <c r="O57" s="70"/>
      <c r="P57" s="71"/>
      <c r="Q57" s="71"/>
      <c r="R57" s="72"/>
      <c r="S57" s="55"/>
      <c r="T57" s="75"/>
      <c r="U57" s="75"/>
      <c r="V57" s="75"/>
    </row>
    <row r="58" spans="1:22" s="15" customFormat="1" ht="19.5" thickBot="1" x14ac:dyDescent="0.3">
      <c r="B58" s="29" t="s">
        <v>50</v>
      </c>
      <c r="C58" s="2">
        <f>SUM(C7:C57)</f>
        <v>52467</v>
      </c>
      <c r="D58" s="2"/>
      <c r="E58" s="2"/>
      <c r="F58" s="2">
        <f t="shared" ref="F58:K58" si="11">SUM(F7:F57)</f>
        <v>0</v>
      </c>
      <c r="G58" s="2">
        <f t="shared" si="11"/>
        <v>0</v>
      </c>
      <c r="H58" s="2">
        <f t="shared" si="11"/>
        <v>1191</v>
      </c>
      <c r="I58" s="6">
        <f t="shared" si="11"/>
        <v>38</v>
      </c>
      <c r="J58" s="6">
        <f t="shared" si="11"/>
        <v>55</v>
      </c>
      <c r="K58" s="6">
        <f t="shared" si="11"/>
        <v>470</v>
      </c>
      <c r="M58" s="5">
        <f t="shared" ref="M58:R58" si="12">SUM(M7:M57)</f>
        <v>384</v>
      </c>
      <c r="N58" s="5">
        <f t="shared" si="12"/>
        <v>0</v>
      </c>
      <c r="O58" s="5">
        <f t="shared" si="12"/>
        <v>484</v>
      </c>
      <c r="P58" s="5">
        <f t="shared" si="12"/>
        <v>17</v>
      </c>
      <c r="Q58" s="5">
        <f t="shared" si="12"/>
        <v>646</v>
      </c>
      <c r="R58" s="5">
        <f t="shared" si="12"/>
        <v>15</v>
      </c>
      <c r="S58" s="55"/>
      <c r="T58" s="4">
        <f>SUM(T7:T57)</f>
        <v>1786</v>
      </c>
      <c r="U58" s="90">
        <f>SUM(U7:U57)</f>
        <v>402754</v>
      </c>
      <c r="V58" s="4">
        <f>SUM(V7:V57)</f>
        <v>54119.791666666664</v>
      </c>
    </row>
    <row r="59" spans="1:22" ht="7.5" customHeight="1" thickBot="1" x14ac:dyDescent="0.3"/>
    <row r="60" spans="1:22" ht="19.5" thickBot="1" x14ac:dyDescent="0.3">
      <c r="B60" s="30" t="s">
        <v>37</v>
      </c>
      <c r="C60" s="113" t="s">
        <v>41</v>
      </c>
      <c r="D60" s="114"/>
      <c r="E60" s="114"/>
      <c r="F60" s="114"/>
      <c r="G60" s="114"/>
      <c r="H60" s="114"/>
      <c r="I60" s="114"/>
      <c r="J60" s="114"/>
      <c r="K60" s="115"/>
      <c r="U60" s="24" t="s">
        <v>51</v>
      </c>
    </row>
    <row r="61" spans="1:22" x14ac:dyDescent="0.25">
      <c r="B61" s="31" t="s">
        <v>17</v>
      </c>
      <c r="C61" s="19"/>
      <c r="D61" s="19"/>
      <c r="E61" s="19"/>
      <c r="F61" s="19"/>
      <c r="G61" s="19"/>
      <c r="H61" s="19"/>
      <c r="I61" s="19"/>
      <c r="J61" s="45"/>
      <c r="K61" s="20"/>
      <c r="U61" s="7"/>
    </row>
    <row r="62" spans="1:22" x14ac:dyDescent="0.25">
      <c r="B62" s="32" t="s">
        <v>45</v>
      </c>
      <c r="C62" s="1"/>
      <c r="D62" s="1"/>
      <c r="E62" s="1"/>
      <c r="F62" s="1"/>
      <c r="G62" s="1"/>
      <c r="H62" s="1"/>
      <c r="I62" s="1"/>
      <c r="J62" s="44"/>
      <c r="K62" s="21"/>
      <c r="U62" s="3"/>
    </row>
    <row r="63" spans="1:22" ht="19.5" thickBot="1" x14ac:dyDescent="0.3">
      <c r="B63" s="33" t="s">
        <v>44</v>
      </c>
      <c r="C63" s="22"/>
      <c r="D63" s="22"/>
      <c r="E63" s="22"/>
      <c r="F63" s="22"/>
      <c r="G63" s="22"/>
      <c r="H63" s="22"/>
      <c r="I63" s="22"/>
      <c r="J63" s="46"/>
      <c r="K63" s="23"/>
      <c r="U63" s="8"/>
    </row>
    <row r="64" spans="1:22" ht="7.5" customHeight="1" thickBot="1" x14ac:dyDescent="0.3"/>
    <row r="65" spans="2:21" x14ac:dyDescent="0.25">
      <c r="B65" s="31" t="s">
        <v>46</v>
      </c>
      <c r="C65" s="19"/>
      <c r="D65" s="19"/>
      <c r="E65" s="19"/>
      <c r="F65" s="19"/>
      <c r="G65" s="19"/>
      <c r="H65" s="19"/>
      <c r="I65" s="19"/>
      <c r="J65" s="45"/>
      <c r="K65" s="20"/>
      <c r="U65" s="7"/>
    </row>
    <row r="66" spans="2:21" x14ac:dyDescent="0.25">
      <c r="B66" s="32" t="s">
        <v>45</v>
      </c>
      <c r="C66" s="1"/>
      <c r="D66" s="1"/>
      <c r="E66" s="1"/>
      <c r="F66" s="1"/>
      <c r="G66" s="1"/>
      <c r="H66" s="1"/>
      <c r="I66" s="1"/>
      <c r="J66" s="44"/>
      <c r="K66" s="21"/>
      <c r="U66" s="3"/>
    </row>
    <row r="67" spans="2:21" ht="19.5" thickBot="1" x14ac:dyDescent="0.3">
      <c r="B67" s="33" t="s">
        <v>44</v>
      </c>
      <c r="C67" s="22"/>
      <c r="D67" s="22"/>
      <c r="E67" s="22"/>
      <c r="F67" s="22"/>
      <c r="G67" s="22"/>
      <c r="H67" s="22"/>
      <c r="I67" s="22"/>
      <c r="J67" s="46"/>
      <c r="K67" s="23"/>
      <c r="U67" s="8"/>
    </row>
    <row r="68" spans="2:21" ht="7.5" customHeight="1" thickBot="1" x14ac:dyDescent="0.3"/>
    <row r="69" spans="2:21" x14ac:dyDescent="0.25">
      <c r="B69" s="31" t="s">
        <v>38</v>
      </c>
      <c r="C69" s="19"/>
      <c r="D69" s="19"/>
      <c r="E69" s="19"/>
      <c r="F69" s="19"/>
      <c r="G69" s="19"/>
      <c r="H69" s="19"/>
      <c r="I69" s="19"/>
      <c r="J69" s="45"/>
      <c r="K69" s="20"/>
      <c r="U69" s="7"/>
    </row>
    <row r="70" spans="2:21" x14ac:dyDescent="0.25">
      <c r="B70" s="32" t="s">
        <v>45</v>
      </c>
      <c r="C70" s="1"/>
      <c r="D70" s="1"/>
      <c r="E70" s="1"/>
      <c r="F70" s="1"/>
      <c r="G70" s="1"/>
      <c r="H70" s="1"/>
      <c r="I70" s="1"/>
      <c r="J70" s="44"/>
      <c r="K70" s="21"/>
      <c r="U70" s="3"/>
    </row>
    <row r="71" spans="2:21" ht="19.5" thickBot="1" x14ac:dyDescent="0.3">
      <c r="B71" s="33" t="s">
        <v>44</v>
      </c>
      <c r="C71" s="22"/>
      <c r="D71" s="22"/>
      <c r="E71" s="22"/>
      <c r="F71" s="22"/>
      <c r="G71" s="22"/>
      <c r="H71" s="22"/>
      <c r="I71" s="22"/>
      <c r="J71" s="46"/>
      <c r="K71" s="23"/>
      <c r="U71" s="8"/>
    </row>
    <row r="72" spans="2:21" ht="7.5" customHeight="1" thickBot="1" x14ac:dyDescent="0.3"/>
    <row r="73" spans="2:21" x14ac:dyDescent="0.25">
      <c r="B73" s="31" t="s">
        <v>47</v>
      </c>
      <c r="C73" s="19"/>
      <c r="D73" s="19"/>
      <c r="E73" s="19"/>
      <c r="F73" s="19"/>
      <c r="G73" s="19"/>
      <c r="H73" s="19"/>
      <c r="I73" s="19"/>
      <c r="J73" s="45"/>
      <c r="K73" s="20"/>
      <c r="U73" s="7"/>
    </row>
    <row r="74" spans="2:21" x14ac:dyDescent="0.25">
      <c r="B74" s="32" t="s">
        <v>45</v>
      </c>
      <c r="C74" s="1"/>
      <c r="D74" s="1"/>
      <c r="E74" s="1"/>
      <c r="F74" s="1"/>
      <c r="G74" s="1"/>
      <c r="H74" s="1"/>
      <c r="I74" s="1"/>
      <c r="J74" s="44"/>
      <c r="K74" s="21"/>
      <c r="U74" s="3"/>
    </row>
    <row r="75" spans="2:21" ht="19.5" thickBot="1" x14ac:dyDescent="0.3">
      <c r="B75" s="33" t="s">
        <v>44</v>
      </c>
      <c r="C75" s="22"/>
      <c r="D75" s="22"/>
      <c r="E75" s="22"/>
      <c r="F75" s="22"/>
      <c r="G75" s="22"/>
      <c r="H75" s="22"/>
      <c r="I75" s="22"/>
      <c r="J75" s="46"/>
      <c r="K75" s="23"/>
      <c r="U75" s="8"/>
    </row>
    <row r="76" spans="2:21" ht="7.5" customHeight="1" thickBot="1" x14ac:dyDescent="0.3"/>
    <row r="77" spans="2:21" x14ac:dyDescent="0.25">
      <c r="B77" s="31" t="s">
        <v>48</v>
      </c>
      <c r="C77" s="19"/>
      <c r="D77" s="19"/>
      <c r="E77" s="19"/>
      <c r="F77" s="19"/>
      <c r="G77" s="19"/>
      <c r="H77" s="19"/>
      <c r="I77" s="19"/>
      <c r="J77" s="45"/>
      <c r="K77" s="20"/>
      <c r="U77" s="7"/>
    </row>
    <row r="78" spans="2:21" x14ac:dyDescent="0.25">
      <c r="B78" s="32" t="s">
        <v>45</v>
      </c>
      <c r="C78" s="1"/>
      <c r="D78" s="1"/>
      <c r="E78" s="1"/>
      <c r="F78" s="1"/>
      <c r="G78" s="1"/>
      <c r="H78" s="1"/>
      <c r="I78" s="1"/>
      <c r="J78" s="44"/>
      <c r="K78" s="21"/>
      <c r="U78" s="3"/>
    </row>
    <row r="79" spans="2:21" ht="19.5" thickBot="1" x14ac:dyDescent="0.3">
      <c r="B79" s="33" t="s">
        <v>44</v>
      </c>
      <c r="C79" s="22"/>
      <c r="D79" s="22"/>
      <c r="E79" s="22"/>
      <c r="F79" s="22"/>
      <c r="G79" s="22"/>
      <c r="H79" s="22"/>
      <c r="I79" s="22"/>
      <c r="J79" s="46"/>
      <c r="K79" s="23"/>
      <c r="U79" s="8"/>
    </row>
    <row r="80" spans="2:21" ht="7.5" customHeight="1" thickBot="1" x14ac:dyDescent="0.3"/>
    <row r="81" spans="2:21" ht="19.5" thickBot="1" x14ac:dyDescent="0.3">
      <c r="B81" s="30" t="s">
        <v>49</v>
      </c>
      <c r="C81" s="17"/>
      <c r="D81" s="17"/>
      <c r="E81" s="17"/>
      <c r="F81" s="17"/>
      <c r="G81" s="17"/>
      <c r="H81" s="17"/>
      <c r="I81" s="17"/>
      <c r="J81" s="47"/>
      <c r="K81" s="18"/>
      <c r="U81" s="16"/>
    </row>
  </sheetData>
  <mergeCells count="7">
    <mergeCell ref="V4:V5"/>
    <mergeCell ref="J5:K5"/>
    <mergeCell ref="C60:K60"/>
    <mergeCell ref="I1:U1"/>
    <mergeCell ref="C4:K4"/>
    <mergeCell ref="T4:T5"/>
    <mergeCell ref="U4:U5"/>
  </mergeCells>
  <printOptions horizontalCentered="1" verticalCentered="1"/>
  <pageMargins left="0.19685039370078741" right="0.19685039370078741" top="0.19685039370078741" bottom="0.19685039370078741" header="0.19685039370078741" footer="0.19685039370078741"/>
  <pageSetup paperSize="14" scale="70" orientation="portrait" horizontalDpi="360" verticalDpi="360" r:id="rId1"/>
  <colBreaks count="1" manualBreakCount="1">
    <brk id="24" max="80" man="1"/>
  </colBreaks>
</worksheet>
</file>

<file path=xl/worksheets/sheet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650CA8C6-0E34-4041-83EB-8BD8B22ACF90}">
  <sheetPr>
    <pageSetUpPr fitToPage="1"/>
  </sheetPr>
  <dimension ref="A1:BB81"/>
  <sheetViews>
    <sheetView topLeftCell="A34" zoomScale="130" zoomScaleNormal="130" zoomScaleSheetLayoutView="115" workbookViewId="0">
      <selection activeCell="U58" sqref="U58"/>
    </sheetView>
  </sheetViews>
  <sheetFormatPr defaultColWidth="9.140625" defaultRowHeight="18.75" x14ac:dyDescent="0.25"/>
  <cols>
    <col min="1" max="1" width="4.140625" style="9" bestFit="1" customWidth="1"/>
    <col min="2" max="2" width="12.28515625" style="28" customWidth="1"/>
    <col min="3" max="6" width="10" style="9" customWidth="1"/>
    <col min="7" max="7" width="6.85546875" style="9" customWidth="1"/>
    <col min="8" max="8" width="7.5703125" style="9" bestFit="1" customWidth="1"/>
    <col min="9" max="9" width="6.7109375" style="9" bestFit="1" customWidth="1"/>
    <col min="10" max="10" width="6.85546875" style="9" customWidth="1"/>
    <col min="11" max="11" width="7.5703125" style="9" bestFit="1" customWidth="1"/>
    <col min="12" max="12" width="1.42578125" style="9" customWidth="1"/>
    <col min="13" max="13" width="10" style="9" customWidth="1"/>
    <col min="14" max="14" width="6.7109375" style="9" bestFit="1" customWidth="1"/>
    <col min="15" max="15" width="10" style="9" customWidth="1"/>
    <col min="16" max="16" width="5.5703125" style="9" customWidth="1"/>
    <col min="17" max="17" width="10" style="9" customWidth="1"/>
    <col min="18" max="18" width="6.7109375" style="9" bestFit="1" customWidth="1"/>
    <col min="19" max="19" width="1.42578125" style="9" customWidth="1"/>
    <col min="20" max="20" width="12.7109375" style="9" bestFit="1" customWidth="1"/>
    <col min="21" max="21" width="14.28515625" style="9" customWidth="1"/>
    <col min="22" max="22" width="19.5703125" style="9" bestFit="1" customWidth="1"/>
    <col min="23" max="49" width="7.28515625" style="9" customWidth="1"/>
    <col min="50" max="50" width="1.5703125" style="9" customWidth="1"/>
    <col min="51" max="51" width="9.42578125" style="9" customWidth="1"/>
    <col min="52" max="52" width="1.28515625" style="9" customWidth="1"/>
    <col min="53" max="53" width="12.7109375" style="9" bestFit="1" customWidth="1"/>
    <col min="54" max="54" width="10.28515625" style="9" bestFit="1" customWidth="1"/>
    <col min="55" max="16384" width="9.140625" style="9"/>
  </cols>
  <sheetData>
    <row r="1" spans="1:54" ht="15" customHeight="1" x14ac:dyDescent="0.25">
      <c r="B1" s="27" t="s">
        <v>42</v>
      </c>
      <c r="I1" s="116" t="s">
        <v>43</v>
      </c>
      <c r="J1" s="116"/>
      <c r="K1" s="116"/>
      <c r="L1" s="116"/>
      <c r="M1" s="116"/>
      <c r="N1" s="116"/>
      <c r="O1" s="116"/>
      <c r="P1" s="116"/>
      <c r="Q1" s="116"/>
      <c r="R1" s="116"/>
      <c r="S1" s="116"/>
      <c r="T1" s="116"/>
      <c r="U1" s="116"/>
    </row>
    <row r="2" spans="1:54" x14ac:dyDescent="0.25">
      <c r="B2" s="28" t="s">
        <v>76</v>
      </c>
    </row>
    <row r="3" spans="1:54" ht="19.5" thickBot="1" x14ac:dyDescent="0.3"/>
    <row r="4" spans="1:54" s="10" customFormat="1" ht="15.75" x14ac:dyDescent="0.25">
      <c r="B4" s="41" t="s">
        <v>52</v>
      </c>
      <c r="C4" s="117" t="s">
        <v>41</v>
      </c>
      <c r="D4" s="117"/>
      <c r="E4" s="117"/>
      <c r="F4" s="117"/>
      <c r="G4" s="117"/>
      <c r="H4" s="117"/>
      <c r="I4" s="117"/>
      <c r="J4" s="118"/>
      <c r="K4" s="119"/>
      <c r="M4" s="34" t="s">
        <v>0</v>
      </c>
      <c r="N4" s="48" t="s">
        <v>61</v>
      </c>
      <c r="O4" s="35" t="s">
        <v>39</v>
      </c>
      <c r="P4" s="48" t="s">
        <v>61</v>
      </c>
      <c r="Q4" s="36" t="s">
        <v>40</v>
      </c>
      <c r="R4" s="48" t="s">
        <v>61</v>
      </c>
      <c r="S4" s="9"/>
      <c r="T4" s="120" t="s">
        <v>68</v>
      </c>
      <c r="U4" s="126" t="s">
        <v>67</v>
      </c>
      <c r="V4" s="109" t="s">
        <v>66</v>
      </c>
      <c r="AF4" s="11"/>
      <c r="AG4" s="11"/>
      <c r="AH4" s="11"/>
      <c r="AI4" s="11"/>
      <c r="AJ4" s="11"/>
      <c r="AK4" s="11"/>
      <c r="AL4" s="11"/>
      <c r="AM4" s="11"/>
      <c r="AN4" s="11"/>
      <c r="AO4" s="11"/>
      <c r="AP4" s="11"/>
      <c r="AQ4" s="11"/>
      <c r="AR4" s="11"/>
      <c r="AS4" s="11"/>
      <c r="AT4" s="11"/>
      <c r="AU4" s="11"/>
      <c r="AV4" s="11"/>
      <c r="AW4" s="11"/>
      <c r="AX4" s="11"/>
      <c r="AY4" s="11"/>
      <c r="AZ4" s="11"/>
      <c r="BA4" s="11"/>
      <c r="BB4" s="11"/>
    </row>
    <row r="5" spans="1:54" s="10" customFormat="1" ht="15.75" x14ac:dyDescent="0.25">
      <c r="B5" s="37"/>
      <c r="C5" s="40"/>
      <c r="D5" s="40"/>
      <c r="E5" s="40"/>
      <c r="F5" s="40"/>
      <c r="G5" s="40"/>
      <c r="H5" s="40" t="s">
        <v>64</v>
      </c>
      <c r="I5" s="40" t="s">
        <v>60</v>
      </c>
      <c r="J5" s="124" t="s">
        <v>65</v>
      </c>
      <c r="K5" s="125"/>
      <c r="M5" s="37"/>
      <c r="N5" s="49"/>
      <c r="O5" s="40"/>
      <c r="P5" s="98"/>
      <c r="Q5" s="98"/>
      <c r="R5" s="38"/>
      <c r="S5" s="9"/>
      <c r="T5" s="121"/>
      <c r="U5" s="127"/>
      <c r="V5" s="110"/>
      <c r="AF5" s="11"/>
      <c r="AG5" s="11"/>
      <c r="AH5" s="11"/>
      <c r="AI5" s="11"/>
      <c r="AJ5" s="11"/>
      <c r="AK5" s="11"/>
      <c r="AL5" s="11"/>
      <c r="AM5" s="11"/>
      <c r="AN5" s="11"/>
      <c r="AO5" s="11"/>
      <c r="AP5" s="11"/>
      <c r="AQ5" s="11"/>
      <c r="AR5" s="11"/>
      <c r="AS5" s="11"/>
      <c r="AT5" s="11"/>
      <c r="AU5" s="11"/>
      <c r="AV5" s="11"/>
      <c r="AW5" s="11"/>
      <c r="AX5" s="11"/>
      <c r="AY5" s="11"/>
      <c r="AZ5" s="11"/>
      <c r="BA5" s="11"/>
      <c r="BB5" s="11"/>
    </row>
    <row r="6" spans="1:54" s="10" customFormat="1" ht="15.75" x14ac:dyDescent="0.25">
      <c r="B6" s="37"/>
      <c r="C6" s="40"/>
      <c r="D6" s="40"/>
      <c r="E6" s="40"/>
      <c r="F6" s="40"/>
      <c r="G6" s="40"/>
      <c r="H6" s="40"/>
      <c r="I6" s="40"/>
      <c r="J6" s="98"/>
      <c r="K6" s="38"/>
      <c r="M6" s="37"/>
      <c r="N6" s="49"/>
      <c r="O6" s="40"/>
      <c r="P6" s="98"/>
      <c r="Q6" s="98"/>
      <c r="R6" s="38"/>
      <c r="S6" s="9"/>
      <c r="T6" s="39"/>
      <c r="U6" s="39"/>
      <c r="V6" s="39"/>
      <c r="AF6" s="11"/>
      <c r="AG6" s="11"/>
      <c r="AH6" s="11"/>
      <c r="AI6" s="11"/>
      <c r="AJ6" s="11"/>
      <c r="AK6" s="11"/>
      <c r="AL6" s="11"/>
      <c r="AM6" s="11"/>
      <c r="AN6" s="11"/>
      <c r="AO6" s="11"/>
      <c r="AP6" s="11"/>
      <c r="AQ6" s="11"/>
      <c r="AR6" s="11"/>
      <c r="AS6" s="11"/>
      <c r="AT6" s="11"/>
      <c r="AU6" s="11"/>
      <c r="AV6" s="11"/>
      <c r="AW6" s="11"/>
      <c r="AX6" s="11"/>
      <c r="AY6" s="11"/>
      <c r="AZ6" s="11"/>
      <c r="BA6" s="11"/>
      <c r="BB6" s="11"/>
    </row>
    <row r="7" spans="1:54" x14ac:dyDescent="0.25">
      <c r="A7" s="27">
        <v>1</v>
      </c>
      <c r="B7" s="26" t="s">
        <v>32</v>
      </c>
      <c r="C7" s="52">
        <v>32</v>
      </c>
      <c r="D7" s="52"/>
      <c r="E7" s="52"/>
      <c r="F7" s="52"/>
      <c r="G7" s="52"/>
      <c r="H7" s="52"/>
      <c r="I7" s="52">
        <v>3</v>
      </c>
      <c r="J7" s="53"/>
      <c r="K7" s="54">
        <v>6</v>
      </c>
      <c r="L7" s="55"/>
      <c r="M7" s="56"/>
      <c r="N7" s="57"/>
      <c r="O7" s="52">
        <v>1</v>
      </c>
      <c r="P7" s="53"/>
      <c r="Q7" s="53">
        <v>1</v>
      </c>
      <c r="R7" s="54"/>
      <c r="S7" s="55"/>
      <c r="T7" s="58">
        <f>H7+I7+J7+K7+N7+P7+R7</f>
        <v>9</v>
      </c>
      <c r="U7" s="58">
        <f>C7*24+M7*24+O7*24+Q7*24+T7</f>
        <v>825</v>
      </c>
      <c r="V7" s="58">
        <f>U7/24</f>
        <v>34.375</v>
      </c>
      <c r="W7" s="50"/>
      <c r="AF7" s="12"/>
      <c r="AG7" s="12"/>
      <c r="AH7" s="12"/>
      <c r="AI7" s="12"/>
      <c r="AJ7" s="12"/>
      <c r="AK7" s="12"/>
      <c r="AL7" s="12"/>
      <c r="AM7" s="12"/>
      <c r="AN7" s="12"/>
      <c r="AO7" s="12"/>
      <c r="AP7" s="12"/>
      <c r="AQ7" s="12"/>
      <c r="AR7" s="12"/>
      <c r="AS7" s="12"/>
      <c r="AT7" s="12"/>
      <c r="AU7" s="12"/>
      <c r="AV7" s="12"/>
      <c r="AW7" s="12"/>
      <c r="AX7" s="12"/>
      <c r="AY7" s="12"/>
      <c r="AZ7" s="12"/>
      <c r="BA7" s="12"/>
      <c r="BB7" s="12"/>
    </row>
    <row r="8" spans="1:54" ht="19.5" thickBot="1" x14ac:dyDescent="0.3">
      <c r="A8" s="27">
        <f>A7+1</f>
        <v>2</v>
      </c>
      <c r="B8" s="42" t="s">
        <v>35</v>
      </c>
      <c r="C8" s="59">
        <f>41+43</f>
        <v>84</v>
      </c>
      <c r="D8" s="59"/>
      <c r="E8" s="59"/>
      <c r="F8" s="59"/>
      <c r="G8" s="59"/>
      <c r="H8" s="59"/>
      <c r="I8" s="59"/>
      <c r="J8" s="60"/>
      <c r="K8" s="61"/>
      <c r="L8" s="62"/>
      <c r="M8" s="63">
        <v>1</v>
      </c>
      <c r="N8" s="64"/>
      <c r="O8" s="65">
        <v>1</v>
      </c>
      <c r="P8" s="66">
        <v>12</v>
      </c>
      <c r="Q8" s="66">
        <v>1</v>
      </c>
      <c r="R8" s="67"/>
      <c r="S8" s="62"/>
      <c r="T8" s="68">
        <f t="shared" ref="T8:T41" si="0">H8+I8+J8+K8+N8+P8+R8</f>
        <v>12</v>
      </c>
      <c r="U8" s="69">
        <f>C8*24+M8*24+O8*24+Q8*24+T8</f>
        <v>2100</v>
      </c>
      <c r="V8" s="69">
        <f>U8/24</f>
        <v>87.5</v>
      </c>
      <c r="W8" s="50"/>
      <c r="AF8" s="12"/>
      <c r="AG8" s="12"/>
      <c r="AH8" s="12"/>
      <c r="AI8" s="12"/>
      <c r="AJ8" s="12"/>
      <c r="AK8" s="12"/>
      <c r="AL8" s="12"/>
      <c r="AM8" s="12"/>
      <c r="AN8" s="12"/>
      <c r="AO8" s="12"/>
      <c r="AP8" s="12"/>
      <c r="AQ8" s="12"/>
      <c r="AR8" s="12"/>
      <c r="AS8" s="12"/>
      <c r="AT8" s="12"/>
      <c r="AU8" s="12"/>
      <c r="AV8" s="12"/>
      <c r="AW8" s="12"/>
      <c r="AX8" s="12"/>
      <c r="AY8" s="12"/>
      <c r="AZ8" s="12"/>
      <c r="BA8" s="12"/>
      <c r="BB8" s="12"/>
    </row>
    <row r="9" spans="1:54" x14ac:dyDescent="0.25">
      <c r="A9" s="27">
        <f t="shared" ref="A9:A57" si="1">A8+1</f>
        <v>3</v>
      </c>
      <c r="B9" s="25" t="s">
        <v>33</v>
      </c>
      <c r="C9" s="70">
        <f>62+30</f>
        <v>92</v>
      </c>
      <c r="D9" s="70"/>
      <c r="E9" s="70"/>
      <c r="F9" s="70"/>
      <c r="G9" s="70"/>
      <c r="H9" s="70"/>
      <c r="I9" s="70"/>
      <c r="J9" s="71"/>
      <c r="K9" s="72"/>
      <c r="L9" s="55"/>
      <c r="M9" s="73"/>
      <c r="N9" s="74"/>
      <c r="O9" s="70"/>
      <c r="P9" s="71"/>
      <c r="Q9" s="71"/>
      <c r="R9" s="72"/>
      <c r="S9" s="55"/>
      <c r="T9" s="75">
        <f t="shared" si="0"/>
        <v>0</v>
      </c>
      <c r="U9" s="76">
        <f t="shared" ref="U9:U11" si="2">C9*24+M9*24+O9*24+Q9*24+T9</f>
        <v>2208</v>
      </c>
      <c r="V9" s="76">
        <f t="shared" ref="V9:V11" si="3">U9/24</f>
        <v>92</v>
      </c>
      <c r="W9" s="50"/>
      <c r="AF9" s="12"/>
      <c r="AG9" s="12"/>
      <c r="AH9" s="12"/>
      <c r="AI9" s="12"/>
      <c r="AJ9" s="12"/>
      <c r="AK9" s="12"/>
      <c r="AL9" s="12"/>
      <c r="AM9" s="12"/>
      <c r="AN9" s="12"/>
      <c r="AO9" s="12"/>
      <c r="AP9" s="12"/>
      <c r="AQ9" s="12"/>
      <c r="AR9" s="12"/>
      <c r="AS9" s="12"/>
      <c r="AT9" s="12"/>
      <c r="AU9" s="12"/>
      <c r="AV9" s="12"/>
      <c r="AW9" s="12"/>
      <c r="AX9" s="12"/>
      <c r="AY9" s="12"/>
      <c r="AZ9" s="12"/>
      <c r="BA9" s="12"/>
      <c r="BB9" s="12"/>
    </row>
    <row r="10" spans="1:54" x14ac:dyDescent="0.25">
      <c r="A10" s="27">
        <f t="shared" si="1"/>
        <v>4</v>
      </c>
      <c r="B10" s="26" t="s">
        <v>36</v>
      </c>
      <c r="C10" s="70">
        <f>36+10</f>
        <v>46</v>
      </c>
      <c r="D10" s="70"/>
      <c r="E10" s="70"/>
      <c r="F10" s="70"/>
      <c r="G10" s="70"/>
      <c r="H10" s="70"/>
      <c r="I10" s="70"/>
      <c r="J10" s="71"/>
      <c r="K10" s="72"/>
      <c r="L10" s="55"/>
      <c r="M10" s="73"/>
      <c r="N10" s="74"/>
      <c r="O10" s="70"/>
      <c r="P10" s="71"/>
      <c r="Q10" s="71"/>
      <c r="R10" s="72"/>
      <c r="S10" s="55"/>
      <c r="T10" s="58">
        <f t="shared" si="0"/>
        <v>0</v>
      </c>
      <c r="U10" s="58">
        <f t="shared" si="2"/>
        <v>1104</v>
      </c>
      <c r="V10" s="58">
        <f t="shared" si="3"/>
        <v>46</v>
      </c>
      <c r="W10" s="50"/>
      <c r="AF10" s="12"/>
      <c r="AG10" s="12"/>
      <c r="AH10" s="12"/>
      <c r="AI10" s="12"/>
      <c r="AJ10" s="12"/>
      <c r="AK10" s="12"/>
      <c r="AL10" s="12"/>
      <c r="AM10" s="12"/>
      <c r="AN10" s="12"/>
      <c r="AO10" s="12"/>
      <c r="AP10" s="12"/>
      <c r="AQ10" s="12"/>
      <c r="AR10" s="12"/>
      <c r="AS10" s="12"/>
      <c r="AT10" s="12"/>
      <c r="AU10" s="12"/>
      <c r="AV10" s="12"/>
      <c r="AW10" s="12"/>
      <c r="AX10" s="12"/>
      <c r="AY10" s="12"/>
      <c r="AZ10" s="12"/>
      <c r="BA10" s="12"/>
      <c r="BB10" s="12"/>
    </row>
    <row r="11" spans="1:54" x14ac:dyDescent="0.25">
      <c r="A11" s="27">
        <f t="shared" si="1"/>
        <v>5</v>
      </c>
      <c r="B11" s="26" t="s">
        <v>34</v>
      </c>
      <c r="C11" s="70">
        <v>9</v>
      </c>
      <c r="D11" s="70"/>
      <c r="E11" s="70"/>
      <c r="F11" s="70"/>
      <c r="G11" s="70"/>
      <c r="H11" s="70"/>
      <c r="I11" s="70"/>
      <c r="J11" s="71"/>
      <c r="K11" s="72">
        <v>2</v>
      </c>
      <c r="L11" s="55"/>
      <c r="M11" s="73"/>
      <c r="N11" s="74"/>
      <c r="O11" s="70"/>
      <c r="P11" s="71"/>
      <c r="Q11" s="71"/>
      <c r="R11" s="72"/>
      <c r="S11" s="55"/>
      <c r="T11" s="58">
        <f t="shared" si="0"/>
        <v>2</v>
      </c>
      <c r="U11" s="58">
        <f t="shared" si="2"/>
        <v>218</v>
      </c>
      <c r="V11" s="58">
        <f t="shared" si="3"/>
        <v>9.0833333333333339</v>
      </c>
      <c r="AF11" s="12"/>
      <c r="AG11" s="12"/>
      <c r="AH11" s="12"/>
      <c r="AI11" s="12"/>
      <c r="AJ11" s="12"/>
      <c r="AK11" s="12"/>
      <c r="AL11" s="12"/>
      <c r="AM11" s="12"/>
      <c r="AN11" s="12"/>
      <c r="AO11" s="12"/>
      <c r="AP11" s="12"/>
      <c r="AQ11" s="12"/>
      <c r="AR11" s="12"/>
      <c r="AS11" s="12"/>
      <c r="AT11" s="12"/>
      <c r="AU11" s="12"/>
      <c r="AV11" s="12"/>
      <c r="AW11" s="12"/>
      <c r="AX11" s="12"/>
      <c r="AY11" s="12"/>
      <c r="AZ11" s="12"/>
      <c r="BA11" s="12"/>
      <c r="BB11" s="12"/>
    </row>
    <row r="12" spans="1:54" s="13" customFormat="1" ht="19.5" thickBot="1" x14ac:dyDescent="0.3">
      <c r="A12" s="27">
        <v>7</v>
      </c>
      <c r="B12" s="42" t="s">
        <v>30</v>
      </c>
      <c r="C12" s="59">
        <f>1224+53+1008+23+1080+29</f>
        <v>3417</v>
      </c>
      <c r="D12" s="59"/>
      <c r="E12" s="59"/>
      <c r="F12" s="59"/>
      <c r="G12" s="59"/>
      <c r="H12" s="59"/>
      <c r="I12" s="59"/>
      <c r="J12" s="60"/>
      <c r="K12" s="61"/>
      <c r="L12" s="62"/>
      <c r="M12" s="63">
        <v>19</v>
      </c>
      <c r="N12" s="64">
        <v>7</v>
      </c>
      <c r="O12" s="65">
        <v>6</v>
      </c>
      <c r="P12" s="66"/>
      <c r="Q12" s="66">
        <v>20</v>
      </c>
      <c r="R12" s="67">
        <v>7</v>
      </c>
      <c r="S12" s="62"/>
      <c r="T12" s="69">
        <f t="shared" si="0"/>
        <v>14</v>
      </c>
      <c r="U12" s="69">
        <f>C12*24+M12*24+O12*24+Q12*24+T12</f>
        <v>83102</v>
      </c>
      <c r="V12" s="69">
        <f>U12/24</f>
        <v>3462.5833333333335</v>
      </c>
      <c r="W12" s="9"/>
      <c r="X12" s="9"/>
      <c r="Y12" s="9"/>
      <c r="Z12" s="9"/>
      <c r="AA12" s="9"/>
      <c r="AB12" s="9"/>
      <c r="AC12" s="9"/>
      <c r="AD12" s="9"/>
      <c r="AE12" s="9"/>
      <c r="AF12" s="12"/>
      <c r="AG12" s="12"/>
      <c r="AH12" s="12"/>
      <c r="AI12" s="12"/>
      <c r="AJ12" s="12"/>
      <c r="AK12" s="12"/>
      <c r="AL12" s="12"/>
      <c r="AM12" s="12"/>
      <c r="AN12" s="12"/>
      <c r="AO12" s="12"/>
      <c r="AP12" s="12"/>
      <c r="AQ12" s="12"/>
      <c r="AR12" s="12"/>
      <c r="AS12" s="12"/>
      <c r="AT12" s="12"/>
      <c r="AU12" s="12"/>
      <c r="AV12" s="12"/>
      <c r="AW12" s="12"/>
      <c r="AX12" s="12"/>
      <c r="AY12" s="12"/>
      <c r="AZ12" s="12"/>
      <c r="BA12" s="12"/>
      <c r="BB12" s="12"/>
    </row>
    <row r="13" spans="1:54" x14ac:dyDescent="0.25">
      <c r="A13" s="27">
        <v>11</v>
      </c>
      <c r="B13" s="25" t="s">
        <v>1</v>
      </c>
      <c r="C13" s="70">
        <v>2</v>
      </c>
      <c r="D13" s="70"/>
      <c r="E13" s="70"/>
      <c r="F13" s="70"/>
      <c r="G13" s="70"/>
      <c r="H13" s="70">
        <v>16</v>
      </c>
      <c r="I13" s="70"/>
      <c r="J13" s="71"/>
      <c r="K13" s="72"/>
      <c r="L13" s="55"/>
      <c r="M13" s="73"/>
      <c r="N13" s="74"/>
      <c r="O13" s="70"/>
      <c r="P13" s="71"/>
      <c r="Q13" s="71"/>
      <c r="R13" s="72"/>
      <c r="S13" s="55"/>
      <c r="T13" s="76">
        <f t="shared" si="0"/>
        <v>16</v>
      </c>
      <c r="U13" s="76">
        <f>C13*24+M13*24+O13*24+Q13*24+T13</f>
        <v>64</v>
      </c>
      <c r="V13" s="76">
        <f>U13/24</f>
        <v>2.6666666666666665</v>
      </c>
      <c r="AF13" s="12"/>
      <c r="AG13" s="12"/>
      <c r="AH13" s="12"/>
      <c r="AI13" s="12"/>
      <c r="AJ13" s="12"/>
      <c r="AK13" s="12"/>
      <c r="AL13" s="12"/>
      <c r="AM13" s="12"/>
      <c r="AN13" s="12"/>
      <c r="AO13" s="12"/>
      <c r="AP13" s="12"/>
      <c r="AQ13" s="12"/>
      <c r="AR13" s="12"/>
      <c r="AS13" s="12"/>
      <c r="AT13" s="12"/>
      <c r="AU13" s="12"/>
      <c r="AV13" s="12"/>
      <c r="AW13" s="12"/>
      <c r="AX13" s="12"/>
      <c r="AY13" s="12"/>
      <c r="AZ13" s="12"/>
      <c r="BA13" s="12"/>
      <c r="BB13" s="12"/>
    </row>
    <row r="14" spans="1:54" x14ac:dyDescent="0.25">
      <c r="A14" s="27">
        <f t="shared" si="1"/>
        <v>12</v>
      </c>
      <c r="B14" s="26" t="s">
        <v>2</v>
      </c>
      <c r="C14" s="70">
        <v>2</v>
      </c>
      <c r="D14" s="70"/>
      <c r="E14" s="70"/>
      <c r="F14" s="70"/>
      <c r="G14" s="70"/>
      <c r="H14" s="70"/>
      <c r="I14" s="70"/>
      <c r="J14" s="71"/>
      <c r="K14" s="72"/>
      <c r="L14" s="55"/>
      <c r="M14" s="73"/>
      <c r="N14" s="74"/>
      <c r="O14" s="70"/>
      <c r="P14" s="71"/>
      <c r="Q14" s="71"/>
      <c r="R14" s="72"/>
      <c r="S14" s="55"/>
      <c r="T14" s="58">
        <f t="shared" si="0"/>
        <v>0</v>
      </c>
      <c r="U14" s="75">
        <f t="shared" ref="U14:U36" si="4">C14*24+M14*24+O14*24+Q14*24+T14</f>
        <v>48</v>
      </c>
      <c r="V14" s="75">
        <f t="shared" ref="V14:V36" si="5">U14/24</f>
        <v>2</v>
      </c>
      <c r="AF14" s="12"/>
      <c r="AG14" s="12"/>
      <c r="AH14" s="12"/>
      <c r="AI14" s="12"/>
      <c r="AJ14" s="12"/>
      <c r="AK14" s="12"/>
      <c r="AL14" s="12"/>
      <c r="AM14" s="12"/>
      <c r="AN14" s="12"/>
      <c r="AO14" s="12"/>
      <c r="AP14" s="12"/>
      <c r="AQ14" s="12"/>
      <c r="AR14" s="12"/>
      <c r="AS14" s="12"/>
      <c r="AT14" s="12"/>
      <c r="AU14" s="12"/>
      <c r="AV14" s="12"/>
      <c r="AW14" s="12"/>
      <c r="AX14" s="12"/>
      <c r="AY14" s="12"/>
      <c r="AZ14" s="12"/>
      <c r="BA14" s="12"/>
      <c r="BB14" s="12"/>
    </row>
    <row r="15" spans="1:54" x14ac:dyDescent="0.25">
      <c r="A15" s="27">
        <f t="shared" si="1"/>
        <v>13</v>
      </c>
      <c r="B15" s="26" t="s">
        <v>3</v>
      </c>
      <c r="C15" s="70"/>
      <c r="D15" s="70"/>
      <c r="E15" s="70"/>
      <c r="F15" s="70"/>
      <c r="G15" s="70"/>
      <c r="H15" s="70"/>
      <c r="I15" s="70"/>
      <c r="J15" s="71"/>
      <c r="K15" s="72"/>
      <c r="L15" s="55"/>
      <c r="M15" s="73"/>
      <c r="N15" s="74"/>
      <c r="O15" s="70"/>
      <c r="P15" s="71"/>
      <c r="Q15" s="71"/>
      <c r="R15" s="72"/>
      <c r="S15" s="55"/>
      <c r="T15" s="58">
        <f t="shared" si="0"/>
        <v>0</v>
      </c>
      <c r="U15" s="75">
        <f t="shared" si="4"/>
        <v>0</v>
      </c>
      <c r="V15" s="75">
        <f t="shared" si="5"/>
        <v>0</v>
      </c>
      <c r="AF15" s="12"/>
      <c r="AG15" s="12"/>
      <c r="AH15" s="12"/>
      <c r="AI15" s="12"/>
      <c r="AJ15" s="12"/>
      <c r="AK15" s="12"/>
      <c r="AL15" s="12"/>
      <c r="AM15" s="12"/>
      <c r="AN15" s="12"/>
      <c r="AO15" s="12"/>
      <c r="AP15" s="12"/>
      <c r="AQ15" s="12"/>
      <c r="AR15" s="12"/>
      <c r="AS15" s="12"/>
      <c r="AT15" s="12"/>
      <c r="AU15" s="12"/>
      <c r="AV15" s="12"/>
      <c r="AW15" s="12"/>
      <c r="AX15" s="12"/>
      <c r="AY15" s="12"/>
      <c r="AZ15" s="12"/>
      <c r="BA15" s="12"/>
      <c r="BB15" s="12"/>
    </row>
    <row r="16" spans="1:54" x14ac:dyDescent="0.25">
      <c r="A16" s="27">
        <f t="shared" si="1"/>
        <v>14</v>
      </c>
      <c r="B16" s="26" t="s">
        <v>4</v>
      </c>
      <c r="C16" s="70"/>
      <c r="D16" s="70"/>
      <c r="E16" s="70"/>
      <c r="F16" s="70"/>
      <c r="G16" s="70"/>
      <c r="H16" s="70"/>
      <c r="I16" s="70"/>
      <c r="J16" s="71"/>
      <c r="K16" s="72"/>
      <c r="L16" s="55"/>
      <c r="M16" s="73"/>
      <c r="N16" s="74"/>
      <c r="O16" s="70"/>
      <c r="P16" s="71"/>
      <c r="Q16" s="71"/>
      <c r="R16" s="72"/>
      <c r="S16" s="55"/>
      <c r="T16" s="58">
        <f t="shared" si="0"/>
        <v>0</v>
      </c>
      <c r="U16" s="75">
        <f t="shared" si="4"/>
        <v>0</v>
      </c>
      <c r="V16" s="75">
        <f t="shared" si="5"/>
        <v>0</v>
      </c>
      <c r="AF16" s="12"/>
      <c r="AG16" s="12"/>
      <c r="AH16" s="12"/>
      <c r="AI16" s="12"/>
      <c r="AJ16" s="12"/>
      <c r="AK16" s="12"/>
      <c r="AL16" s="12"/>
      <c r="AM16" s="12"/>
      <c r="AN16" s="12"/>
      <c r="AO16" s="12"/>
      <c r="AP16" s="12"/>
      <c r="AQ16" s="12"/>
      <c r="AR16" s="12"/>
      <c r="AS16" s="12"/>
      <c r="AT16" s="12"/>
      <c r="AU16" s="12"/>
      <c r="AV16" s="12"/>
      <c r="AW16" s="12"/>
      <c r="AX16" s="12"/>
      <c r="AY16" s="12"/>
      <c r="AZ16" s="12"/>
      <c r="BA16" s="12"/>
      <c r="BB16" s="12"/>
    </row>
    <row r="17" spans="1:54" x14ac:dyDescent="0.25">
      <c r="A17" s="27">
        <f t="shared" si="1"/>
        <v>15</v>
      </c>
      <c r="B17" s="26" t="s">
        <v>5</v>
      </c>
      <c r="C17" s="70"/>
      <c r="D17" s="70"/>
      <c r="E17" s="70"/>
      <c r="F17" s="70"/>
      <c r="G17" s="70"/>
      <c r="H17" s="70">
        <v>72</v>
      </c>
      <c r="I17" s="70"/>
      <c r="J17" s="71"/>
      <c r="K17" s="72"/>
      <c r="L17" s="55"/>
      <c r="M17" s="73"/>
      <c r="N17" s="74"/>
      <c r="O17" s="70"/>
      <c r="P17" s="71"/>
      <c r="Q17" s="71"/>
      <c r="R17" s="72"/>
      <c r="S17" s="55"/>
      <c r="T17" s="58">
        <f t="shared" si="0"/>
        <v>72</v>
      </c>
      <c r="U17" s="75">
        <f t="shared" si="4"/>
        <v>72</v>
      </c>
      <c r="V17" s="75">
        <f t="shared" si="5"/>
        <v>3</v>
      </c>
      <c r="AF17" s="12"/>
      <c r="AG17" s="12"/>
      <c r="AH17" s="12"/>
      <c r="AI17" s="12"/>
      <c r="AJ17" s="12"/>
      <c r="AK17" s="12"/>
      <c r="AL17" s="12"/>
      <c r="AM17" s="12"/>
      <c r="AN17" s="12"/>
      <c r="AO17" s="12"/>
      <c r="AP17" s="12"/>
      <c r="AQ17" s="12"/>
      <c r="AR17" s="12"/>
      <c r="AS17" s="12"/>
      <c r="AT17" s="12"/>
      <c r="AU17" s="12"/>
      <c r="AV17" s="12"/>
      <c r="AW17" s="12"/>
      <c r="AX17" s="12"/>
      <c r="AY17" s="12"/>
      <c r="AZ17" s="12"/>
      <c r="BA17" s="12"/>
      <c r="BB17" s="12"/>
    </row>
    <row r="18" spans="1:54" hidden="1" x14ac:dyDescent="0.25">
      <c r="A18" s="27">
        <f t="shared" si="1"/>
        <v>16</v>
      </c>
      <c r="B18" s="26" t="s">
        <v>9</v>
      </c>
      <c r="C18" s="70"/>
      <c r="D18" s="70"/>
      <c r="E18" s="70"/>
      <c r="F18" s="70"/>
      <c r="G18" s="70"/>
      <c r="H18" s="70"/>
      <c r="I18" s="70"/>
      <c r="J18" s="71"/>
      <c r="K18" s="72"/>
      <c r="L18" s="55"/>
      <c r="M18" s="73"/>
      <c r="N18" s="74"/>
      <c r="O18" s="70"/>
      <c r="P18" s="71"/>
      <c r="Q18" s="71"/>
      <c r="R18" s="72"/>
      <c r="S18" s="55"/>
      <c r="T18" s="58">
        <f t="shared" si="0"/>
        <v>0</v>
      </c>
      <c r="U18" s="75">
        <f t="shared" si="4"/>
        <v>0</v>
      </c>
      <c r="V18" s="75">
        <f t="shared" si="5"/>
        <v>0</v>
      </c>
      <c r="AF18" s="12"/>
      <c r="AG18" s="12"/>
      <c r="AH18" s="12"/>
      <c r="AI18" s="12"/>
      <c r="AJ18" s="12"/>
      <c r="AK18" s="12"/>
      <c r="AL18" s="12"/>
      <c r="AM18" s="12"/>
      <c r="AN18" s="12"/>
      <c r="AO18" s="12"/>
      <c r="AP18" s="12"/>
      <c r="AQ18" s="12"/>
      <c r="AR18" s="12"/>
      <c r="AS18" s="12"/>
      <c r="AT18" s="12"/>
      <c r="AU18" s="12"/>
      <c r="AV18" s="12"/>
      <c r="AW18" s="12"/>
      <c r="AX18" s="12"/>
      <c r="AY18" s="12"/>
      <c r="AZ18" s="12"/>
      <c r="BA18" s="12"/>
      <c r="BB18" s="12"/>
    </row>
    <row r="19" spans="1:54" x14ac:dyDescent="0.25">
      <c r="A19" s="27">
        <v>16</v>
      </c>
      <c r="B19" s="26" t="s">
        <v>53</v>
      </c>
      <c r="C19" s="70">
        <v>2</v>
      </c>
      <c r="D19" s="70"/>
      <c r="E19" s="70"/>
      <c r="F19" s="70"/>
      <c r="G19" s="70"/>
      <c r="H19" s="70">
        <v>44</v>
      </c>
      <c r="I19" s="70"/>
      <c r="J19" s="71"/>
      <c r="K19" s="72"/>
      <c r="L19" s="55"/>
      <c r="M19" s="73"/>
      <c r="N19" s="74"/>
      <c r="O19" s="70"/>
      <c r="P19" s="71"/>
      <c r="Q19" s="71"/>
      <c r="R19" s="72"/>
      <c r="S19" s="55"/>
      <c r="T19" s="58">
        <f t="shared" si="0"/>
        <v>44</v>
      </c>
      <c r="U19" s="75">
        <f t="shared" si="4"/>
        <v>92</v>
      </c>
      <c r="V19" s="75">
        <f t="shared" si="5"/>
        <v>3.8333333333333335</v>
      </c>
      <c r="AF19" s="12"/>
      <c r="AG19" s="12"/>
      <c r="AH19" s="12"/>
      <c r="AI19" s="12"/>
      <c r="AJ19" s="12"/>
      <c r="AK19" s="12"/>
      <c r="AL19" s="12"/>
      <c r="AM19" s="12"/>
      <c r="AN19" s="12"/>
      <c r="AO19" s="12"/>
      <c r="AP19" s="12"/>
      <c r="AQ19" s="12"/>
      <c r="AR19" s="12"/>
      <c r="AS19" s="12"/>
      <c r="AT19" s="12"/>
      <c r="AU19" s="12"/>
      <c r="AV19" s="12"/>
      <c r="AW19" s="12"/>
      <c r="AX19" s="12"/>
      <c r="AY19" s="12"/>
      <c r="AZ19" s="12"/>
      <c r="BA19" s="12"/>
      <c r="BB19" s="12"/>
    </row>
    <row r="20" spans="1:54" x14ac:dyDescent="0.25">
      <c r="A20" s="27">
        <f t="shared" si="1"/>
        <v>17</v>
      </c>
      <c r="B20" s="26" t="s">
        <v>6</v>
      </c>
      <c r="C20" s="70">
        <v>5</v>
      </c>
      <c r="D20" s="70"/>
      <c r="E20" s="70"/>
      <c r="F20" s="70"/>
      <c r="G20" s="70"/>
      <c r="H20" s="70"/>
      <c r="I20" s="70"/>
      <c r="J20" s="71"/>
      <c r="K20" s="72"/>
      <c r="L20" s="55"/>
      <c r="M20" s="73"/>
      <c r="N20" s="74"/>
      <c r="O20" s="70"/>
      <c r="P20" s="71"/>
      <c r="Q20" s="71"/>
      <c r="R20" s="72"/>
      <c r="S20" s="55"/>
      <c r="T20" s="58">
        <f t="shared" si="0"/>
        <v>0</v>
      </c>
      <c r="U20" s="75">
        <f t="shared" si="4"/>
        <v>120</v>
      </c>
      <c r="V20" s="75">
        <f t="shared" si="5"/>
        <v>5</v>
      </c>
      <c r="AF20" s="12"/>
      <c r="AG20" s="12"/>
      <c r="AH20" s="12"/>
      <c r="AI20" s="12"/>
      <c r="AJ20" s="12"/>
      <c r="AK20" s="12"/>
      <c r="AL20" s="12"/>
      <c r="AM20" s="12"/>
      <c r="AN20" s="12"/>
      <c r="AO20" s="12"/>
      <c r="AP20" s="12"/>
      <c r="AQ20" s="12"/>
      <c r="AR20" s="12"/>
      <c r="AS20" s="12"/>
      <c r="AT20" s="12"/>
      <c r="AU20" s="12"/>
      <c r="AV20" s="12"/>
      <c r="AW20" s="12"/>
      <c r="AX20" s="12"/>
      <c r="AY20" s="12"/>
      <c r="AZ20" s="12"/>
      <c r="BA20" s="12"/>
      <c r="BB20" s="12"/>
    </row>
    <row r="21" spans="1:54" x14ac:dyDescent="0.25">
      <c r="A21" s="27">
        <f t="shared" si="1"/>
        <v>18</v>
      </c>
      <c r="B21" s="26" t="s">
        <v>7</v>
      </c>
      <c r="C21" s="70"/>
      <c r="D21" s="70"/>
      <c r="E21" s="70"/>
      <c r="F21" s="70"/>
      <c r="G21" s="70"/>
      <c r="H21" s="70">
        <v>48</v>
      </c>
      <c r="I21" s="70"/>
      <c r="J21" s="71"/>
      <c r="K21" s="72"/>
      <c r="L21" s="55"/>
      <c r="M21" s="73"/>
      <c r="N21" s="74"/>
      <c r="O21" s="70"/>
      <c r="P21" s="71"/>
      <c r="Q21" s="71"/>
      <c r="R21" s="72"/>
      <c r="S21" s="55"/>
      <c r="T21" s="58">
        <f t="shared" si="0"/>
        <v>48</v>
      </c>
      <c r="U21" s="75">
        <f t="shared" si="4"/>
        <v>48</v>
      </c>
      <c r="V21" s="75">
        <f t="shared" si="5"/>
        <v>2</v>
      </c>
      <c r="AF21" s="12"/>
      <c r="AG21" s="12"/>
      <c r="AH21" s="12"/>
      <c r="AI21" s="12"/>
      <c r="AJ21" s="12"/>
      <c r="AK21" s="12"/>
      <c r="AL21" s="12"/>
      <c r="AM21" s="12"/>
      <c r="AN21" s="12"/>
      <c r="AO21" s="12"/>
      <c r="AP21" s="12"/>
      <c r="AQ21" s="12"/>
      <c r="AR21" s="12"/>
      <c r="AS21" s="12"/>
      <c r="AT21" s="12"/>
      <c r="AU21" s="12"/>
      <c r="AV21" s="12"/>
      <c r="AW21" s="12"/>
      <c r="AX21" s="12"/>
      <c r="AY21" s="12"/>
      <c r="AZ21" s="12"/>
      <c r="BA21" s="12"/>
      <c r="BB21" s="12"/>
    </row>
    <row r="22" spans="1:54" s="13" customFormat="1" x14ac:dyDescent="0.25">
      <c r="A22" s="27">
        <f t="shared" si="1"/>
        <v>19</v>
      </c>
      <c r="B22" s="26" t="s">
        <v>54</v>
      </c>
      <c r="C22" s="70">
        <v>2</v>
      </c>
      <c r="D22" s="70"/>
      <c r="E22" s="70"/>
      <c r="F22" s="70"/>
      <c r="G22" s="70"/>
      <c r="H22" s="70"/>
      <c r="I22" s="70">
        <v>20</v>
      </c>
      <c r="J22" s="71"/>
      <c r="K22" s="72"/>
      <c r="L22" s="55"/>
      <c r="M22" s="73"/>
      <c r="N22" s="74"/>
      <c r="O22" s="70"/>
      <c r="P22" s="71"/>
      <c r="Q22" s="71"/>
      <c r="R22" s="72"/>
      <c r="S22" s="55"/>
      <c r="T22" s="58">
        <f t="shared" si="0"/>
        <v>20</v>
      </c>
      <c r="U22" s="75">
        <f t="shared" si="4"/>
        <v>68</v>
      </c>
      <c r="V22" s="75">
        <f t="shared" si="5"/>
        <v>2.8333333333333335</v>
      </c>
      <c r="W22" s="9"/>
      <c r="X22" s="9"/>
      <c r="Y22" s="9"/>
      <c r="Z22" s="9"/>
      <c r="AA22" s="9"/>
      <c r="AB22" s="9"/>
      <c r="AC22" s="9"/>
      <c r="AD22" s="9"/>
      <c r="AE22" s="9"/>
      <c r="AF22" s="12"/>
      <c r="AG22" s="12"/>
      <c r="AH22" s="12"/>
      <c r="AI22" s="12"/>
      <c r="AJ22" s="12"/>
      <c r="AK22" s="12"/>
      <c r="AL22" s="12"/>
      <c r="AM22" s="12"/>
      <c r="AN22" s="12"/>
      <c r="AO22" s="12"/>
      <c r="AP22" s="12"/>
      <c r="AQ22" s="12"/>
      <c r="AR22" s="12"/>
      <c r="AS22" s="12"/>
      <c r="AT22" s="12"/>
      <c r="AU22" s="12"/>
      <c r="AV22" s="12"/>
      <c r="AW22" s="12"/>
      <c r="AX22" s="12"/>
      <c r="AY22" s="12"/>
      <c r="AZ22" s="12"/>
      <c r="BA22" s="12"/>
      <c r="BB22" s="12"/>
    </row>
    <row r="23" spans="1:54" s="13" customFormat="1" x14ac:dyDescent="0.25">
      <c r="A23" s="27">
        <f t="shared" si="1"/>
        <v>20</v>
      </c>
      <c r="B23" s="26" t="s">
        <v>55</v>
      </c>
      <c r="C23" s="70"/>
      <c r="D23" s="70"/>
      <c r="E23" s="70"/>
      <c r="F23" s="70"/>
      <c r="G23" s="70"/>
      <c r="H23" s="70">
        <v>907</v>
      </c>
      <c r="I23" s="70"/>
      <c r="J23" s="71"/>
      <c r="K23" s="72"/>
      <c r="L23" s="55"/>
      <c r="M23" s="73"/>
      <c r="N23" s="74"/>
      <c r="O23" s="70"/>
      <c r="P23" s="71"/>
      <c r="Q23" s="71"/>
      <c r="R23" s="72"/>
      <c r="S23" s="55"/>
      <c r="T23" s="58">
        <f t="shared" si="0"/>
        <v>907</v>
      </c>
      <c r="U23" s="75">
        <f t="shared" si="4"/>
        <v>907</v>
      </c>
      <c r="V23" s="75">
        <f t="shared" si="5"/>
        <v>37.791666666666664</v>
      </c>
      <c r="W23" s="9"/>
      <c r="X23" s="9"/>
      <c r="Y23" s="9"/>
      <c r="Z23" s="9"/>
      <c r="AA23" s="9"/>
      <c r="AB23" s="9"/>
      <c r="AC23" s="9"/>
      <c r="AD23" s="9"/>
      <c r="AE23" s="9"/>
      <c r="AF23" s="12"/>
      <c r="AG23" s="12"/>
      <c r="AH23" s="12"/>
      <c r="AI23" s="12"/>
      <c r="AJ23" s="12"/>
      <c r="AK23" s="12"/>
      <c r="AL23" s="12"/>
      <c r="AM23" s="12"/>
      <c r="AN23" s="12"/>
      <c r="AO23" s="12"/>
      <c r="AP23" s="12"/>
      <c r="AQ23" s="12"/>
      <c r="AR23" s="12"/>
      <c r="AS23" s="12"/>
      <c r="AT23" s="12"/>
      <c r="AU23" s="12"/>
      <c r="AV23" s="12"/>
      <c r="AW23" s="12"/>
      <c r="AX23" s="12"/>
      <c r="AY23" s="12"/>
      <c r="AZ23" s="12"/>
      <c r="BA23" s="12"/>
      <c r="BB23" s="12"/>
    </row>
    <row r="24" spans="1:54" x14ac:dyDescent="0.25">
      <c r="A24" s="27">
        <f t="shared" si="1"/>
        <v>21</v>
      </c>
      <c r="B24" s="26" t="s">
        <v>56</v>
      </c>
      <c r="C24" s="70">
        <v>2</v>
      </c>
      <c r="D24" s="70"/>
      <c r="E24" s="70"/>
      <c r="F24" s="70"/>
      <c r="G24" s="70"/>
      <c r="H24" s="70">
        <v>72</v>
      </c>
      <c r="I24" s="70"/>
      <c r="J24" s="71"/>
      <c r="K24" s="72"/>
      <c r="L24" s="55"/>
      <c r="M24" s="73"/>
      <c r="N24" s="74"/>
      <c r="O24" s="70"/>
      <c r="P24" s="71"/>
      <c r="Q24" s="71"/>
      <c r="R24" s="72"/>
      <c r="S24" s="55"/>
      <c r="T24" s="58">
        <f t="shared" si="0"/>
        <v>72</v>
      </c>
      <c r="U24" s="75">
        <f t="shared" si="4"/>
        <v>120</v>
      </c>
      <c r="V24" s="75">
        <f t="shared" si="5"/>
        <v>5</v>
      </c>
      <c r="AF24" s="12"/>
      <c r="AG24" s="12"/>
      <c r="AH24" s="12"/>
      <c r="AI24" s="12"/>
      <c r="AJ24" s="12"/>
      <c r="AK24" s="12"/>
      <c r="AL24" s="12"/>
      <c r="AM24" s="12"/>
      <c r="AN24" s="12"/>
      <c r="AO24" s="12"/>
      <c r="AP24" s="12"/>
      <c r="AQ24" s="12"/>
      <c r="AR24" s="12"/>
      <c r="AS24" s="12"/>
      <c r="AT24" s="12"/>
      <c r="AU24" s="12"/>
      <c r="AV24" s="12"/>
      <c r="AW24" s="12"/>
      <c r="AX24" s="12"/>
      <c r="AY24" s="12"/>
      <c r="AZ24" s="12"/>
      <c r="BA24" s="12"/>
      <c r="BB24" s="12"/>
    </row>
    <row r="25" spans="1:54" x14ac:dyDescent="0.25">
      <c r="A25" s="27">
        <f t="shared" si="1"/>
        <v>22</v>
      </c>
      <c r="B25" s="26" t="s">
        <v>8</v>
      </c>
      <c r="C25" s="70">
        <v>51</v>
      </c>
      <c r="D25" s="70"/>
      <c r="E25" s="70"/>
      <c r="F25" s="70"/>
      <c r="G25" s="70"/>
      <c r="H25" s="70"/>
      <c r="I25" s="70"/>
      <c r="J25" s="71">
        <v>1</v>
      </c>
      <c r="K25" s="72"/>
      <c r="L25" s="55"/>
      <c r="M25" s="73">
        <v>1</v>
      </c>
      <c r="N25" s="74"/>
      <c r="O25" s="70">
        <v>1</v>
      </c>
      <c r="P25" s="71"/>
      <c r="Q25" s="71">
        <v>2</v>
      </c>
      <c r="R25" s="72"/>
      <c r="S25" s="55"/>
      <c r="T25" s="58">
        <f t="shared" si="0"/>
        <v>1</v>
      </c>
      <c r="U25" s="75">
        <f t="shared" si="4"/>
        <v>1321</v>
      </c>
      <c r="V25" s="75">
        <f t="shared" si="5"/>
        <v>55.041666666666664</v>
      </c>
      <c r="AY25" s="14" t="e">
        <f>#REF!-AY24</f>
        <v>#REF!</v>
      </c>
    </row>
    <row r="26" spans="1:54" s="13" customFormat="1" x14ac:dyDescent="0.25">
      <c r="A26" s="27">
        <f t="shared" si="1"/>
        <v>23</v>
      </c>
      <c r="B26" s="26" t="s">
        <v>10</v>
      </c>
      <c r="C26" s="70"/>
      <c r="D26" s="70"/>
      <c r="E26" s="70"/>
      <c r="F26" s="70"/>
      <c r="G26" s="70"/>
      <c r="H26" s="70"/>
      <c r="I26" s="70"/>
      <c r="J26" s="71"/>
      <c r="K26" s="72"/>
      <c r="L26" s="55"/>
      <c r="M26" s="73"/>
      <c r="N26" s="74"/>
      <c r="O26" s="70"/>
      <c r="P26" s="71"/>
      <c r="Q26" s="71"/>
      <c r="R26" s="72"/>
      <c r="S26" s="55"/>
      <c r="T26" s="58">
        <f t="shared" si="0"/>
        <v>0</v>
      </c>
      <c r="U26" s="75">
        <f t="shared" si="4"/>
        <v>0</v>
      </c>
      <c r="V26" s="75">
        <f t="shared" si="5"/>
        <v>0</v>
      </c>
      <c r="W26" s="9"/>
      <c r="X26" s="9"/>
      <c r="Y26" s="9"/>
      <c r="Z26" s="9"/>
      <c r="AA26" s="9"/>
      <c r="AB26" s="9"/>
      <c r="AC26" s="9"/>
      <c r="AD26" s="9"/>
      <c r="AE26" s="9"/>
    </row>
    <row r="27" spans="1:54" s="13" customFormat="1" x14ac:dyDescent="0.25">
      <c r="A27" s="27">
        <f t="shared" si="1"/>
        <v>24</v>
      </c>
      <c r="B27" s="26" t="s">
        <v>69</v>
      </c>
      <c r="C27" s="70">
        <v>4</v>
      </c>
      <c r="D27" s="70"/>
      <c r="E27" s="70"/>
      <c r="F27" s="70"/>
      <c r="G27" s="70"/>
      <c r="H27" s="70"/>
      <c r="I27" s="70"/>
      <c r="J27" s="71"/>
      <c r="K27" s="72"/>
      <c r="L27" s="55"/>
      <c r="M27" s="73"/>
      <c r="N27" s="74"/>
      <c r="O27" s="70"/>
      <c r="P27" s="71"/>
      <c r="Q27" s="71"/>
      <c r="R27" s="72"/>
      <c r="S27" s="55"/>
      <c r="T27" s="58">
        <f t="shared" si="0"/>
        <v>0</v>
      </c>
      <c r="U27" s="75">
        <f t="shared" si="4"/>
        <v>96</v>
      </c>
      <c r="V27" s="75">
        <f t="shared" si="5"/>
        <v>4</v>
      </c>
      <c r="W27" s="9"/>
      <c r="X27" s="9"/>
      <c r="Y27" s="9"/>
      <c r="Z27" s="9"/>
      <c r="AA27" s="9"/>
      <c r="AB27" s="9"/>
      <c r="AC27" s="9"/>
      <c r="AD27" s="9"/>
      <c r="AE27" s="9"/>
    </row>
    <row r="28" spans="1:54" s="13" customFormat="1" x14ac:dyDescent="0.25">
      <c r="A28" s="27">
        <f t="shared" si="1"/>
        <v>25</v>
      </c>
      <c r="B28" s="26" t="s">
        <v>11</v>
      </c>
      <c r="C28" s="70">
        <v>5</v>
      </c>
      <c r="D28" s="70"/>
      <c r="E28" s="70"/>
      <c r="F28" s="70"/>
      <c r="G28" s="70"/>
      <c r="H28" s="70"/>
      <c r="I28" s="70"/>
      <c r="J28" s="71"/>
      <c r="K28" s="72"/>
      <c r="L28" s="55"/>
      <c r="M28" s="73">
        <v>2</v>
      </c>
      <c r="N28" s="74"/>
      <c r="O28" s="70">
        <v>1</v>
      </c>
      <c r="P28" s="71"/>
      <c r="Q28" s="71">
        <v>4</v>
      </c>
      <c r="R28" s="72"/>
      <c r="S28" s="55"/>
      <c r="T28" s="58">
        <f t="shared" si="0"/>
        <v>0</v>
      </c>
      <c r="U28" s="75">
        <f t="shared" si="4"/>
        <v>288</v>
      </c>
      <c r="V28" s="75">
        <f t="shared" si="5"/>
        <v>12</v>
      </c>
      <c r="W28" s="9"/>
      <c r="X28" s="9"/>
      <c r="Y28" s="9"/>
      <c r="Z28" s="9"/>
      <c r="AA28" s="9"/>
      <c r="AB28" s="9"/>
      <c r="AC28" s="9"/>
      <c r="AD28" s="9"/>
      <c r="AE28" s="9"/>
    </row>
    <row r="29" spans="1:54" x14ac:dyDescent="0.25">
      <c r="A29" s="27">
        <f t="shared" si="1"/>
        <v>26</v>
      </c>
      <c r="B29" s="26" t="s">
        <v>13</v>
      </c>
      <c r="C29" s="70">
        <v>27</v>
      </c>
      <c r="D29" s="70"/>
      <c r="E29" s="70"/>
      <c r="F29" s="70"/>
      <c r="G29" s="70"/>
      <c r="H29" s="70"/>
      <c r="I29" s="70"/>
      <c r="J29" s="71">
        <v>5</v>
      </c>
      <c r="K29" s="72"/>
      <c r="L29" s="55"/>
      <c r="M29" s="73"/>
      <c r="N29" s="74"/>
      <c r="O29" s="70">
        <v>1</v>
      </c>
      <c r="P29" s="71"/>
      <c r="Q29" s="71">
        <v>1</v>
      </c>
      <c r="R29" s="72"/>
      <c r="S29" s="55"/>
      <c r="T29" s="58">
        <f t="shared" si="0"/>
        <v>5</v>
      </c>
      <c r="U29" s="75">
        <f t="shared" si="4"/>
        <v>701</v>
      </c>
      <c r="V29" s="75">
        <f t="shared" si="5"/>
        <v>29.208333333333332</v>
      </c>
    </row>
    <row r="30" spans="1:54" x14ac:dyDescent="0.25">
      <c r="A30" s="27">
        <f t="shared" si="1"/>
        <v>27</v>
      </c>
      <c r="B30" s="26" t="s">
        <v>15</v>
      </c>
      <c r="C30" s="70">
        <v>13</v>
      </c>
      <c r="D30" s="70"/>
      <c r="E30" s="70"/>
      <c r="F30" s="70"/>
      <c r="G30" s="70"/>
      <c r="H30" s="70"/>
      <c r="I30" s="70"/>
      <c r="J30" s="71"/>
      <c r="K30" s="72"/>
      <c r="L30" s="55"/>
      <c r="M30" s="73"/>
      <c r="N30" s="74"/>
      <c r="O30" s="70">
        <v>1</v>
      </c>
      <c r="P30" s="71"/>
      <c r="Q30" s="71">
        <v>1</v>
      </c>
      <c r="R30" s="72"/>
      <c r="S30" s="55"/>
      <c r="T30" s="58">
        <f t="shared" si="0"/>
        <v>0</v>
      </c>
      <c r="U30" s="75">
        <f t="shared" si="4"/>
        <v>360</v>
      </c>
      <c r="V30" s="75">
        <f t="shared" si="5"/>
        <v>15</v>
      </c>
    </row>
    <row r="31" spans="1:54" x14ac:dyDescent="0.25">
      <c r="A31" s="27">
        <f t="shared" si="1"/>
        <v>28</v>
      </c>
      <c r="B31" s="26" t="s">
        <v>12</v>
      </c>
      <c r="C31" s="70">
        <v>2</v>
      </c>
      <c r="D31" s="70"/>
      <c r="E31" s="70"/>
      <c r="F31" s="70"/>
      <c r="G31" s="70"/>
      <c r="H31" s="70"/>
      <c r="I31" s="70"/>
      <c r="J31" s="71"/>
      <c r="K31" s="72"/>
      <c r="L31" s="55"/>
      <c r="M31" s="73"/>
      <c r="N31" s="74"/>
      <c r="O31" s="70"/>
      <c r="P31" s="71"/>
      <c r="Q31" s="71"/>
      <c r="R31" s="72"/>
      <c r="S31" s="55"/>
      <c r="T31" s="58">
        <f t="shared" si="0"/>
        <v>0</v>
      </c>
      <c r="U31" s="75">
        <f t="shared" si="4"/>
        <v>48</v>
      </c>
      <c r="V31" s="75">
        <f t="shared" si="5"/>
        <v>2</v>
      </c>
    </row>
    <row r="32" spans="1:54" x14ac:dyDescent="0.25">
      <c r="A32" s="27">
        <f t="shared" si="1"/>
        <v>29</v>
      </c>
      <c r="B32" s="26" t="s">
        <v>14</v>
      </c>
      <c r="C32" s="70"/>
      <c r="D32" s="70"/>
      <c r="E32" s="70"/>
      <c r="F32" s="70"/>
      <c r="G32" s="70"/>
      <c r="H32" s="70"/>
      <c r="I32" s="70"/>
      <c r="J32" s="71"/>
      <c r="K32" s="72"/>
      <c r="L32" s="55"/>
      <c r="M32" s="73"/>
      <c r="N32" s="74"/>
      <c r="O32" s="70"/>
      <c r="P32" s="71"/>
      <c r="Q32" s="71"/>
      <c r="R32" s="72"/>
      <c r="S32" s="55"/>
      <c r="T32" s="58">
        <f t="shared" si="0"/>
        <v>0</v>
      </c>
      <c r="U32" s="75">
        <f t="shared" si="4"/>
        <v>0</v>
      </c>
      <c r="V32" s="75">
        <f t="shared" si="5"/>
        <v>0</v>
      </c>
    </row>
    <row r="33" spans="1:23" x14ac:dyDescent="0.25">
      <c r="A33" s="27">
        <f t="shared" si="1"/>
        <v>30</v>
      </c>
      <c r="B33" s="26" t="s">
        <v>16</v>
      </c>
      <c r="C33" s="70">
        <v>2</v>
      </c>
      <c r="D33" s="70"/>
      <c r="E33" s="70"/>
      <c r="F33" s="70"/>
      <c r="G33" s="70"/>
      <c r="H33" s="70"/>
      <c r="I33" s="70"/>
      <c r="J33" s="71"/>
      <c r="K33" s="72"/>
      <c r="L33" s="55"/>
      <c r="M33" s="73"/>
      <c r="N33" s="74"/>
      <c r="O33" s="70"/>
      <c r="P33" s="71"/>
      <c r="Q33" s="71"/>
      <c r="R33" s="72"/>
      <c r="S33" s="55"/>
      <c r="T33" s="58">
        <f t="shared" si="0"/>
        <v>0</v>
      </c>
      <c r="U33" s="75">
        <f t="shared" si="4"/>
        <v>48</v>
      </c>
      <c r="V33" s="75">
        <f t="shared" si="5"/>
        <v>2</v>
      </c>
    </row>
    <row r="34" spans="1:23" x14ac:dyDescent="0.25">
      <c r="A34" s="27">
        <f t="shared" si="1"/>
        <v>31</v>
      </c>
      <c r="B34" s="26" t="s">
        <v>17</v>
      </c>
      <c r="C34" s="70">
        <f>144+48</f>
        <v>192</v>
      </c>
      <c r="D34" s="70"/>
      <c r="E34" s="70"/>
      <c r="F34" s="70"/>
      <c r="G34" s="70"/>
      <c r="H34" s="70">
        <v>1</v>
      </c>
      <c r="I34" s="70"/>
      <c r="J34" s="71"/>
      <c r="K34" s="72">
        <v>1</v>
      </c>
      <c r="L34" s="55"/>
      <c r="M34" s="73">
        <v>2</v>
      </c>
      <c r="N34" s="74"/>
      <c r="O34" s="70">
        <v>2</v>
      </c>
      <c r="P34" s="71"/>
      <c r="Q34" s="71">
        <v>2</v>
      </c>
      <c r="R34" s="72"/>
      <c r="S34" s="55"/>
      <c r="T34" s="58">
        <f t="shared" si="0"/>
        <v>2</v>
      </c>
      <c r="U34" s="75">
        <f t="shared" si="4"/>
        <v>4754</v>
      </c>
      <c r="V34" s="75">
        <f t="shared" si="5"/>
        <v>198.08333333333334</v>
      </c>
    </row>
    <row r="35" spans="1:23" hidden="1" x14ac:dyDescent="0.25">
      <c r="A35" s="27">
        <f t="shared" si="1"/>
        <v>32</v>
      </c>
      <c r="B35" s="26" t="s">
        <v>25</v>
      </c>
      <c r="C35" s="70"/>
      <c r="D35" s="70"/>
      <c r="E35" s="70"/>
      <c r="F35" s="70"/>
      <c r="G35" s="70"/>
      <c r="H35" s="70"/>
      <c r="I35" s="70"/>
      <c r="J35" s="71"/>
      <c r="K35" s="72"/>
      <c r="L35" s="55"/>
      <c r="M35" s="73"/>
      <c r="N35" s="74"/>
      <c r="O35" s="70"/>
      <c r="P35" s="71"/>
      <c r="Q35" s="71"/>
      <c r="R35" s="72"/>
      <c r="S35" s="55"/>
      <c r="T35" s="58">
        <f t="shared" si="0"/>
        <v>0</v>
      </c>
      <c r="U35" s="75">
        <f t="shared" si="4"/>
        <v>0</v>
      </c>
      <c r="V35" s="75">
        <f t="shared" si="5"/>
        <v>0</v>
      </c>
    </row>
    <row r="36" spans="1:23" x14ac:dyDescent="0.25">
      <c r="A36" s="27">
        <f t="shared" si="1"/>
        <v>33</v>
      </c>
      <c r="B36" s="26" t="s">
        <v>18</v>
      </c>
      <c r="C36" s="70"/>
      <c r="D36" s="70"/>
      <c r="E36" s="70"/>
      <c r="F36" s="70"/>
      <c r="G36" s="70"/>
      <c r="H36" s="70"/>
      <c r="I36" s="70"/>
      <c r="J36" s="71"/>
      <c r="K36" s="72"/>
      <c r="L36" s="55"/>
      <c r="M36" s="73"/>
      <c r="N36" s="74"/>
      <c r="O36" s="70"/>
      <c r="P36" s="71"/>
      <c r="Q36" s="71"/>
      <c r="R36" s="72"/>
      <c r="S36" s="55"/>
      <c r="T36" s="58">
        <f t="shared" si="0"/>
        <v>0</v>
      </c>
      <c r="U36" s="75">
        <f t="shared" si="4"/>
        <v>0</v>
      </c>
      <c r="V36" s="75">
        <f t="shared" si="5"/>
        <v>0</v>
      </c>
    </row>
    <row r="37" spans="1:23" ht="19.5" thickBot="1" x14ac:dyDescent="0.3">
      <c r="A37" s="27">
        <f t="shared" si="1"/>
        <v>34</v>
      </c>
      <c r="B37" s="42" t="s">
        <v>19</v>
      </c>
      <c r="C37" s="59">
        <f>101+324+3132+94</f>
        <v>3651</v>
      </c>
      <c r="D37" s="59"/>
      <c r="E37" s="59"/>
      <c r="F37" s="59"/>
      <c r="G37" s="59"/>
      <c r="H37" s="59">
        <v>2</v>
      </c>
      <c r="I37" s="59">
        <v>2</v>
      </c>
      <c r="J37" s="60">
        <v>1</v>
      </c>
      <c r="K37" s="61">
        <f>6+2</f>
        <v>8</v>
      </c>
      <c r="L37" s="62"/>
      <c r="M37" s="63">
        <v>8</v>
      </c>
      <c r="N37" s="64"/>
      <c r="O37" s="65">
        <v>10</v>
      </c>
      <c r="P37" s="66"/>
      <c r="Q37" s="66">
        <v>94</v>
      </c>
      <c r="R37" s="67"/>
      <c r="S37" s="62"/>
      <c r="T37" s="77">
        <f t="shared" si="0"/>
        <v>13</v>
      </c>
      <c r="U37" s="77">
        <f>C37*6+M37*6+O37*6+Q37*6+T37</f>
        <v>22591</v>
      </c>
      <c r="V37" s="77">
        <f>U37/6</f>
        <v>3765.1666666666665</v>
      </c>
      <c r="W37" s="50"/>
    </row>
    <row r="38" spans="1:23" x14ac:dyDescent="0.25">
      <c r="A38" s="27">
        <f t="shared" si="1"/>
        <v>35</v>
      </c>
      <c r="B38" s="25" t="s">
        <v>20</v>
      </c>
      <c r="C38" s="70"/>
      <c r="D38" s="70"/>
      <c r="E38" s="70"/>
      <c r="F38" s="70"/>
      <c r="G38" s="70"/>
      <c r="H38" s="70"/>
      <c r="I38" s="70"/>
      <c r="J38" s="71"/>
      <c r="K38" s="72"/>
      <c r="L38" s="55"/>
      <c r="M38" s="73"/>
      <c r="N38" s="74"/>
      <c r="O38" s="70"/>
      <c r="P38" s="71"/>
      <c r="Q38" s="71"/>
      <c r="R38" s="72"/>
      <c r="S38" s="55"/>
      <c r="T38" s="75">
        <f t="shared" si="0"/>
        <v>0</v>
      </c>
      <c r="U38" s="75">
        <f>C38*24+M38*24+O38*24+Q38*24+T38</f>
        <v>0</v>
      </c>
      <c r="V38" s="75">
        <f>U38/24</f>
        <v>0</v>
      </c>
    </row>
    <row r="39" spans="1:23" x14ac:dyDescent="0.25">
      <c r="A39" s="27">
        <f t="shared" si="1"/>
        <v>36</v>
      </c>
      <c r="B39" s="51" t="s">
        <v>62</v>
      </c>
      <c r="C39" s="78"/>
      <c r="D39" s="78"/>
      <c r="E39" s="78"/>
      <c r="F39" s="78"/>
      <c r="G39" s="78"/>
      <c r="H39" s="78"/>
      <c r="I39" s="78"/>
      <c r="J39" s="79"/>
      <c r="K39" s="80"/>
      <c r="L39" s="55"/>
      <c r="M39" s="73"/>
      <c r="N39" s="74"/>
      <c r="O39" s="70"/>
      <c r="P39" s="71"/>
      <c r="Q39" s="71"/>
      <c r="R39" s="72"/>
      <c r="S39" s="95"/>
      <c r="T39" s="75">
        <f t="shared" si="0"/>
        <v>0</v>
      </c>
      <c r="U39" s="75">
        <f>C39*24+M39*24+O39*24+Q39*24+T39</f>
        <v>0</v>
      </c>
      <c r="V39" s="75">
        <f>U39/24</f>
        <v>0</v>
      </c>
    </row>
    <row r="40" spans="1:23" ht="19.5" thickBot="1" x14ac:dyDescent="0.3">
      <c r="A40" s="27">
        <f t="shared" si="1"/>
        <v>37</v>
      </c>
      <c r="B40" s="42" t="s">
        <v>21</v>
      </c>
      <c r="C40" s="59">
        <f>63+50</f>
        <v>113</v>
      </c>
      <c r="D40" s="59"/>
      <c r="E40" s="59"/>
      <c r="F40" s="59"/>
      <c r="G40" s="59"/>
      <c r="H40" s="59"/>
      <c r="I40" s="59"/>
      <c r="J40" s="60"/>
      <c r="K40" s="61">
        <v>20</v>
      </c>
      <c r="L40" s="62"/>
      <c r="M40" s="63">
        <v>2</v>
      </c>
      <c r="N40" s="64"/>
      <c r="O40" s="65">
        <v>2</v>
      </c>
      <c r="P40" s="66"/>
      <c r="Q40" s="66">
        <v>3</v>
      </c>
      <c r="R40" s="67"/>
      <c r="S40" s="62"/>
      <c r="T40" s="77">
        <f t="shared" si="0"/>
        <v>20</v>
      </c>
      <c r="U40" s="77">
        <f>C40*24+M40*24+O40*24+Q40*24+T40</f>
        <v>2900</v>
      </c>
      <c r="V40" s="77">
        <f>U40/24</f>
        <v>120.83333333333333</v>
      </c>
    </row>
    <row r="41" spans="1:23" ht="19.5" thickBot="1" x14ac:dyDescent="0.3">
      <c r="A41" s="27">
        <f t="shared" si="1"/>
        <v>38</v>
      </c>
      <c r="B41" s="43" t="s">
        <v>22</v>
      </c>
      <c r="C41" s="82"/>
      <c r="D41" s="82"/>
      <c r="E41" s="82"/>
      <c r="F41" s="82"/>
      <c r="G41" s="82"/>
      <c r="H41" s="82"/>
      <c r="I41" s="82"/>
      <c r="J41" s="83"/>
      <c r="K41" s="84"/>
      <c r="L41" s="85"/>
      <c r="M41" s="86">
        <v>5</v>
      </c>
      <c r="N41" s="87"/>
      <c r="O41" s="82">
        <v>5</v>
      </c>
      <c r="P41" s="83"/>
      <c r="Q41" s="83">
        <v>26</v>
      </c>
      <c r="R41" s="84"/>
      <c r="S41" s="85"/>
      <c r="T41" s="88">
        <f t="shared" si="0"/>
        <v>0</v>
      </c>
      <c r="U41" s="88">
        <f>C41*12+M41*12+O41*12+Q41*12+T41</f>
        <v>432</v>
      </c>
      <c r="V41" s="88">
        <f>U41/12</f>
        <v>36</v>
      </c>
    </row>
    <row r="42" spans="1:23" hidden="1" x14ac:dyDescent="0.25">
      <c r="A42" s="27">
        <f t="shared" si="1"/>
        <v>39</v>
      </c>
      <c r="B42" s="25" t="s">
        <v>29</v>
      </c>
      <c r="C42" s="70"/>
      <c r="D42" s="70"/>
      <c r="E42" s="70"/>
      <c r="F42" s="70"/>
      <c r="G42" s="70"/>
      <c r="H42" s="70"/>
      <c r="I42" s="70"/>
      <c r="J42" s="71"/>
      <c r="K42" s="72"/>
      <c r="L42" s="55"/>
      <c r="M42" s="73"/>
      <c r="N42" s="74"/>
      <c r="O42" s="70"/>
      <c r="P42" s="71"/>
      <c r="Q42" s="71"/>
      <c r="R42" s="72"/>
      <c r="S42" s="55"/>
      <c r="T42" s="75"/>
      <c r="U42" s="75"/>
      <c r="V42" s="75"/>
    </row>
    <row r="43" spans="1:23" ht="19.5" thickBot="1" x14ac:dyDescent="0.3">
      <c r="A43" s="27">
        <f t="shared" si="1"/>
        <v>40</v>
      </c>
      <c r="B43" s="42" t="s">
        <v>23</v>
      </c>
      <c r="C43" s="65">
        <f>9828+19764+10260</f>
        <v>39852</v>
      </c>
      <c r="D43" s="65"/>
      <c r="E43" s="65"/>
      <c r="F43" s="65"/>
      <c r="G43" s="65"/>
      <c r="H43" s="65">
        <v>6</v>
      </c>
      <c r="I43" s="65">
        <v>12</v>
      </c>
      <c r="J43" s="66">
        <f>13*6+2</f>
        <v>80</v>
      </c>
      <c r="K43" s="67">
        <f>71*6+2</f>
        <v>428</v>
      </c>
      <c r="L43" s="62"/>
      <c r="M43" s="63">
        <v>444</v>
      </c>
      <c r="N43" s="64"/>
      <c r="O43" s="65">
        <v>199</v>
      </c>
      <c r="P43" s="66"/>
      <c r="Q43" s="66">
        <v>561</v>
      </c>
      <c r="R43" s="67"/>
      <c r="S43" s="62"/>
      <c r="T43" s="77">
        <f t="shared" ref="T43" si="6">H43+I43+J43+K43+N43+P43+R43</f>
        <v>526</v>
      </c>
      <c r="U43" s="77">
        <f>C43*6+M43*6+O43*6+Q43*6+T43</f>
        <v>246862</v>
      </c>
      <c r="V43" s="77">
        <f>U43/6</f>
        <v>41143.666666666664</v>
      </c>
    </row>
    <row r="44" spans="1:23" hidden="1" x14ac:dyDescent="0.25">
      <c r="A44" s="27">
        <f t="shared" si="1"/>
        <v>41</v>
      </c>
      <c r="B44" s="25" t="s">
        <v>31</v>
      </c>
      <c r="C44" s="70"/>
      <c r="D44" s="70"/>
      <c r="E44" s="70"/>
      <c r="F44" s="70"/>
      <c r="G44" s="70"/>
      <c r="H44" s="70"/>
      <c r="I44" s="70"/>
      <c r="J44" s="71"/>
      <c r="K44" s="72"/>
      <c r="L44" s="55"/>
      <c r="M44" s="73"/>
      <c r="N44" s="74"/>
      <c r="O44" s="70"/>
      <c r="P44" s="71"/>
      <c r="Q44" s="71"/>
      <c r="R44" s="72"/>
      <c r="S44" s="55"/>
      <c r="T44" s="75"/>
      <c r="U44" s="75"/>
      <c r="V44" s="75"/>
    </row>
    <row r="45" spans="1:23" x14ac:dyDescent="0.25">
      <c r="A45" s="27">
        <f t="shared" si="1"/>
        <v>42</v>
      </c>
      <c r="B45" s="26" t="s">
        <v>24</v>
      </c>
      <c r="C45" s="70"/>
      <c r="D45" s="70"/>
      <c r="E45" s="70"/>
      <c r="F45" s="70"/>
      <c r="G45" s="70"/>
      <c r="H45" s="70"/>
      <c r="I45" s="70"/>
      <c r="J45" s="71"/>
      <c r="K45" s="72"/>
      <c r="L45" s="55"/>
      <c r="M45" s="73"/>
      <c r="N45" s="74"/>
      <c r="O45" s="70"/>
      <c r="P45" s="71"/>
      <c r="Q45" s="71"/>
      <c r="R45" s="72"/>
      <c r="S45" s="55"/>
      <c r="T45" s="75">
        <f t="shared" ref="T45:T54" si="7">H45+I45+J45+K45+N45+P45+R45</f>
        <v>0</v>
      </c>
      <c r="U45" s="75">
        <f>C45*24+M45*24+O45*24+Q45*24+T45</f>
        <v>0</v>
      </c>
      <c r="V45" s="75">
        <f>U45/24</f>
        <v>0</v>
      </c>
    </row>
    <row r="46" spans="1:23" x14ac:dyDescent="0.25">
      <c r="A46" s="27">
        <f t="shared" si="1"/>
        <v>43</v>
      </c>
      <c r="B46" s="26" t="s">
        <v>57</v>
      </c>
      <c r="C46" s="70"/>
      <c r="D46" s="70"/>
      <c r="E46" s="70"/>
      <c r="F46" s="70"/>
      <c r="G46" s="70"/>
      <c r="H46" s="70"/>
      <c r="I46" s="70"/>
      <c r="J46" s="71"/>
      <c r="K46" s="72"/>
      <c r="L46" s="55"/>
      <c r="M46" s="73"/>
      <c r="N46" s="74"/>
      <c r="O46" s="70"/>
      <c r="P46" s="71"/>
      <c r="Q46" s="71"/>
      <c r="R46" s="72"/>
      <c r="S46" s="55"/>
      <c r="T46" s="75">
        <f t="shared" si="7"/>
        <v>0</v>
      </c>
      <c r="U46" s="75">
        <f t="shared" ref="U46:U50" si="8">C46*24+M46*24+O46*24+Q46*24+T46</f>
        <v>0</v>
      </c>
      <c r="V46" s="75">
        <f t="shared" ref="V46:V54" si="9">U46/24</f>
        <v>0</v>
      </c>
    </row>
    <row r="47" spans="1:23" ht="19.5" thickBot="1" x14ac:dyDescent="0.3">
      <c r="A47" s="27">
        <f t="shared" si="1"/>
        <v>44</v>
      </c>
      <c r="B47" s="42" t="s">
        <v>25</v>
      </c>
      <c r="C47" s="65">
        <f>106+648+324+88+540+103+324+432+106</f>
        <v>2671</v>
      </c>
      <c r="D47" s="65"/>
      <c r="E47" s="65"/>
      <c r="F47" s="65"/>
      <c r="G47" s="65"/>
      <c r="H47" s="65">
        <v>1</v>
      </c>
      <c r="I47" s="65"/>
      <c r="J47" s="66"/>
      <c r="K47" s="67">
        <v>5</v>
      </c>
      <c r="L47" s="62"/>
      <c r="M47" s="63">
        <v>9</v>
      </c>
      <c r="N47" s="64"/>
      <c r="O47" s="65">
        <v>16</v>
      </c>
      <c r="P47" s="66"/>
      <c r="Q47" s="66">
        <v>5</v>
      </c>
      <c r="R47" s="67">
        <v>3</v>
      </c>
      <c r="S47" s="62"/>
      <c r="T47" s="77">
        <f t="shared" si="7"/>
        <v>9</v>
      </c>
      <c r="U47" s="77">
        <f>C47*6+M47*6+O47*6+Q47*6+T47</f>
        <v>16215</v>
      </c>
      <c r="V47" s="77">
        <f>U47/6</f>
        <v>2702.5</v>
      </c>
    </row>
    <row r="48" spans="1:23" x14ac:dyDescent="0.25">
      <c r="A48" s="27">
        <f t="shared" si="1"/>
        <v>45</v>
      </c>
      <c r="B48" s="25" t="s">
        <v>58</v>
      </c>
      <c r="C48" s="70"/>
      <c r="D48" s="70"/>
      <c r="E48" s="70"/>
      <c r="F48" s="70"/>
      <c r="G48" s="70"/>
      <c r="H48" s="70">
        <v>24</v>
      </c>
      <c r="I48" s="70"/>
      <c r="J48" s="71"/>
      <c r="K48" s="72"/>
      <c r="L48" s="55"/>
      <c r="M48" s="73"/>
      <c r="N48" s="74"/>
      <c r="O48" s="70"/>
      <c r="P48" s="71"/>
      <c r="Q48" s="71"/>
      <c r="R48" s="72"/>
      <c r="S48" s="55"/>
      <c r="T48" s="75">
        <f t="shared" si="7"/>
        <v>24</v>
      </c>
      <c r="U48" s="75">
        <f t="shared" si="8"/>
        <v>24</v>
      </c>
      <c r="V48" s="75">
        <f t="shared" si="9"/>
        <v>1</v>
      </c>
    </row>
    <row r="49" spans="1:22" x14ac:dyDescent="0.25">
      <c r="A49" s="27">
        <f t="shared" si="1"/>
        <v>46</v>
      </c>
      <c r="B49" s="26" t="s">
        <v>26</v>
      </c>
      <c r="C49" s="70">
        <v>10</v>
      </c>
      <c r="D49" s="70"/>
      <c r="E49" s="70"/>
      <c r="F49" s="70"/>
      <c r="G49" s="70"/>
      <c r="H49" s="70"/>
      <c r="I49" s="70"/>
      <c r="J49" s="71"/>
      <c r="K49" s="72"/>
      <c r="L49" s="55"/>
      <c r="M49" s="73"/>
      <c r="N49" s="74"/>
      <c r="O49" s="70"/>
      <c r="P49" s="71"/>
      <c r="Q49" s="71"/>
      <c r="R49" s="72"/>
      <c r="S49" s="55"/>
      <c r="T49" s="75">
        <f t="shared" si="7"/>
        <v>0</v>
      </c>
      <c r="U49" s="75">
        <f t="shared" si="8"/>
        <v>240</v>
      </c>
      <c r="V49" s="75">
        <f t="shared" si="9"/>
        <v>10</v>
      </c>
    </row>
    <row r="50" spans="1:22" x14ac:dyDescent="0.25">
      <c r="A50" s="27">
        <f t="shared" si="1"/>
        <v>47</v>
      </c>
      <c r="B50" s="26" t="s">
        <v>59</v>
      </c>
      <c r="C50" s="70"/>
      <c r="D50" s="70"/>
      <c r="E50" s="70"/>
      <c r="F50" s="70"/>
      <c r="G50" s="70"/>
      <c r="H50" s="70"/>
      <c r="I50" s="70"/>
      <c r="J50" s="71"/>
      <c r="K50" s="72"/>
      <c r="L50" s="55"/>
      <c r="M50" s="73"/>
      <c r="N50" s="74"/>
      <c r="O50" s="70"/>
      <c r="P50" s="71"/>
      <c r="Q50" s="71"/>
      <c r="R50" s="72"/>
      <c r="S50" s="55"/>
      <c r="T50" s="75">
        <f t="shared" si="7"/>
        <v>0</v>
      </c>
      <c r="U50" s="75">
        <f t="shared" si="8"/>
        <v>0</v>
      </c>
      <c r="V50" s="75">
        <f t="shared" si="9"/>
        <v>0</v>
      </c>
    </row>
    <row r="51" spans="1:22" ht="19.5" thickBot="1" x14ac:dyDescent="0.3">
      <c r="A51" s="27">
        <f t="shared" si="1"/>
        <v>48</v>
      </c>
      <c r="B51" s="42" t="s">
        <v>27</v>
      </c>
      <c r="C51" s="65">
        <v>34</v>
      </c>
      <c r="D51" s="65"/>
      <c r="E51" s="65"/>
      <c r="F51" s="65"/>
      <c r="G51" s="65"/>
      <c r="H51" s="65"/>
      <c r="I51" s="65"/>
      <c r="J51" s="66"/>
      <c r="K51" s="67"/>
      <c r="L51" s="62"/>
      <c r="M51" s="63"/>
      <c r="N51" s="64"/>
      <c r="O51" s="65"/>
      <c r="P51" s="66"/>
      <c r="Q51" s="66"/>
      <c r="R51" s="67"/>
      <c r="S51" s="62"/>
      <c r="T51" s="77">
        <f t="shared" si="7"/>
        <v>0</v>
      </c>
      <c r="U51" s="77">
        <f>C51*6+M51*6+O51*6+Q51*6+T51</f>
        <v>204</v>
      </c>
      <c r="V51" s="77">
        <f>U51/6</f>
        <v>34</v>
      </c>
    </row>
    <row r="52" spans="1:22" x14ac:dyDescent="0.25">
      <c r="A52" s="27">
        <f t="shared" si="1"/>
        <v>49</v>
      </c>
      <c r="B52" s="25" t="s">
        <v>28</v>
      </c>
      <c r="C52" s="70"/>
      <c r="D52" s="70"/>
      <c r="E52" s="70"/>
      <c r="F52" s="70"/>
      <c r="G52" s="70"/>
      <c r="H52" s="70"/>
      <c r="I52" s="70"/>
      <c r="J52" s="71"/>
      <c r="K52" s="72"/>
      <c r="L52" s="55"/>
      <c r="M52" s="73"/>
      <c r="N52" s="74"/>
      <c r="O52" s="70"/>
      <c r="P52" s="71"/>
      <c r="Q52" s="71"/>
      <c r="R52" s="72"/>
      <c r="S52" s="55"/>
      <c r="T52" s="75">
        <f t="shared" si="7"/>
        <v>0</v>
      </c>
      <c r="U52" s="75">
        <f t="shared" ref="U52:U54" si="10">C52*24+M52*24+O52*24+Q52*24+T52</f>
        <v>0</v>
      </c>
      <c r="V52" s="75">
        <f t="shared" si="9"/>
        <v>0</v>
      </c>
    </row>
    <row r="53" spans="1:22" x14ac:dyDescent="0.25">
      <c r="A53" s="27">
        <f t="shared" si="1"/>
        <v>50</v>
      </c>
      <c r="B53" s="26" t="s">
        <v>63</v>
      </c>
      <c r="C53" s="70">
        <v>6</v>
      </c>
      <c r="D53" s="70"/>
      <c r="E53" s="70"/>
      <c r="F53" s="70"/>
      <c r="G53" s="70"/>
      <c r="H53" s="70"/>
      <c r="I53" s="70"/>
      <c r="J53" s="71"/>
      <c r="K53" s="72"/>
      <c r="L53" s="55"/>
      <c r="M53" s="73"/>
      <c r="N53" s="74"/>
      <c r="O53" s="70"/>
      <c r="P53" s="71"/>
      <c r="Q53" s="71">
        <v>1</v>
      </c>
      <c r="R53" s="72"/>
      <c r="S53" s="55"/>
      <c r="T53" s="75">
        <f t="shared" si="7"/>
        <v>0</v>
      </c>
      <c r="U53" s="75">
        <f t="shared" si="10"/>
        <v>168</v>
      </c>
      <c r="V53" s="75">
        <f t="shared" si="9"/>
        <v>7</v>
      </c>
    </row>
    <row r="54" spans="1:22" x14ac:dyDescent="0.25">
      <c r="A54" s="27">
        <f t="shared" si="1"/>
        <v>51</v>
      </c>
      <c r="B54" s="26"/>
      <c r="C54" s="70"/>
      <c r="D54" s="70"/>
      <c r="E54" s="70"/>
      <c r="F54" s="70"/>
      <c r="G54" s="70"/>
      <c r="H54" s="70"/>
      <c r="I54" s="70"/>
      <c r="J54" s="71"/>
      <c r="K54" s="72"/>
      <c r="L54" s="55"/>
      <c r="M54" s="73"/>
      <c r="N54" s="74"/>
      <c r="O54" s="70"/>
      <c r="P54" s="71"/>
      <c r="Q54" s="71"/>
      <c r="R54" s="72"/>
      <c r="S54" s="55"/>
      <c r="T54" s="75">
        <f t="shared" si="7"/>
        <v>0</v>
      </c>
      <c r="U54" s="75">
        <f t="shared" si="10"/>
        <v>0</v>
      </c>
      <c r="V54" s="75">
        <f t="shared" si="9"/>
        <v>0</v>
      </c>
    </row>
    <row r="55" spans="1:22" x14ac:dyDescent="0.25">
      <c r="A55" s="27">
        <f t="shared" si="1"/>
        <v>52</v>
      </c>
      <c r="B55" s="26"/>
      <c r="C55" s="70"/>
      <c r="D55" s="70"/>
      <c r="E55" s="70"/>
      <c r="F55" s="70"/>
      <c r="G55" s="70"/>
      <c r="H55" s="70"/>
      <c r="I55" s="70"/>
      <c r="J55" s="71"/>
      <c r="K55" s="72"/>
      <c r="L55" s="55"/>
      <c r="M55" s="73"/>
      <c r="N55" s="74"/>
      <c r="O55" s="70"/>
      <c r="P55" s="71"/>
      <c r="Q55" s="71"/>
      <c r="R55" s="72"/>
      <c r="S55" s="55"/>
      <c r="T55" s="75"/>
      <c r="U55" s="75"/>
      <c r="V55" s="75"/>
    </row>
    <row r="56" spans="1:22" x14ac:dyDescent="0.25">
      <c r="A56" s="27">
        <f t="shared" si="1"/>
        <v>53</v>
      </c>
      <c r="B56" s="26"/>
      <c r="C56" s="70"/>
      <c r="D56" s="70"/>
      <c r="E56" s="70"/>
      <c r="F56" s="70"/>
      <c r="G56" s="70"/>
      <c r="H56" s="70"/>
      <c r="I56" s="70"/>
      <c r="J56" s="71"/>
      <c r="K56" s="72"/>
      <c r="L56" s="55"/>
      <c r="M56" s="73"/>
      <c r="N56" s="74"/>
      <c r="O56" s="70"/>
      <c r="P56" s="71"/>
      <c r="Q56" s="71"/>
      <c r="R56" s="72"/>
      <c r="S56" s="55"/>
      <c r="T56" s="75"/>
      <c r="U56" s="75"/>
      <c r="V56" s="75"/>
    </row>
    <row r="57" spans="1:22" x14ac:dyDescent="0.25">
      <c r="A57" s="27">
        <f t="shared" si="1"/>
        <v>54</v>
      </c>
      <c r="B57" s="26"/>
      <c r="C57" s="70"/>
      <c r="D57" s="70"/>
      <c r="E57" s="70"/>
      <c r="F57" s="70"/>
      <c r="G57" s="70"/>
      <c r="H57" s="70"/>
      <c r="I57" s="70"/>
      <c r="J57" s="71"/>
      <c r="K57" s="72"/>
      <c r="L57" s="55"/>
      <c r="M57" s="73"/>
      <c r="N57" s="74"/>
      <c r="O57" s="70"/>
      <c r="P57" s="71"/>
      <c r="Q57" s="71"/>
      <c r="R57" s="72"/>
      <c r="S57" s="55"/>
      <c r="T57" s="75"/>
      <c r="U57" s="75"/>
      <c r="V57" s="75"/>
    </row>
    <row r="58" spans="1:22" s="15" customFormat="1" ht="19.5" thickBot="1" x14ac:dyDescent="0.3">
      <c r="B58" s="29" t="s">
        <v>50</v>
      </c>
      <c r="C58" s="2">
        <f>SUM(C7:C57)</f>
        <v>50328</v>
      </c>
      <c r="D58" s="2"/>
      <c r="E58" s="2"/>
      <c r="F58" s="2">
        <f t="shared" ref="F58:K58" si="11">SUM(F7:F57)</f>
        <v>0</v>
      </c>
      <c r="G58" s="2">
        <f t="shared" si="11"/>
        <v>0</v>
      </c>
      <c r="H58" s="2">
        <f t="shared" si="11"/>
        <v>1193</v>
      </c>
      <c r="I58" s="6">
        <f t="shared" si="11"/>
        <v>37</v>
      </c>
      <c r="J58" s="6">
        <f t="shared" si="11"/>
        <v>87</v>
      </c>
      <c r="K58" s="6">
        <f t="shared" si="11"/>
        <v>470</v>
      </c>
      <c r="M58" s="5">
        <f t="shared" ref="M58:R58" si="12">SUM(M7:M57)</f>
        <v>493</v>
      </c>
      <c r="N58" s="5">
        <f t="shared" si="12"/>
        <v>7</v>
      </c>
      <c r="O58" s="5">
        <f t="shared" si="12"/>
        <v>246</v>
      </c>
      <c r="P58" s="5">
        <f t="shared" si="12"/>
        <v>12</v>
      </c>
      <c r="Q58" s="5">
        <f t="shared" si="12"/>
        <v>722</v>
      </c>
      <c r="R58" s="5">
        <f t="shared" si="12"/>
        <v>10</v>
      </c>
      <c r="S58" s="55"/>
      <c r="T58" s="4">
        <f>SUM(T7:T57)</f>
        <v>1816</v>
      </c>
      <c r="U58" s="90">
        <f>SUM(U7:U57)</f>
        <v>388348</v>
      </c>
      <c r="V58" s="4">
        <f>SUM(V7:V57)</f>
        <v>51933.166666666664</v>
      </c>
    </row>
    <row r="59" spans="1:22" ht="7.5" customHeight="1" thickBot="1" x14ac:dyDescent="0.3"/>
    <row r="60" spans="1:22" ht="19.5" thickBot="1" x14ac:dyDescent="0.3">
      <c r="B60" s="30" t="s">
        <v>37</v>
      </c>
      <c r="C60" s="113" t="s">
        <v>41</v>
      </c>
      <c r="D60" s="114"/>
      <c r="E60" s="114"/>
      <c r="F60" s="114"/>
      <c r="G60" s="114"/>
      <c r="H60" s="114"/>
      <c r="I60" s="114"/>
      <c r="J60" s="114"/>
      <c r="K60" s="115"/>
      <c r="U60" s="24" t="s">
        <v>51</v>
      </c>
    </row>
    <row r="61" spans="1:22" x14ac:dyDescent="0.25">
      <c r="B61" s="31" t="s">
        <v>17</v>
      </c>
      <c r="C61" s="19"/>
      <c r="D61" s="19"/>
      <c r="E61" s="19"/>
      <c r="F61" s="19"/>
      <c r="G61" s="19"/>
      <c r="H61" s="19"/>
      <c r="I61" s="19"/>
      <c r="J61" s="45"/>
      <c r="K61" s="20"/>
      <c r="U61" s="7"/>
    </row>
    <row r="62" spans="1:22" x14ac:dyDescent="0.25">
      <c r="B62" s="32" t="s">
        <v>45</v>
      </c>
      <c r="C62" s="1"/>
      <c r="D62" s="1"/>
      <c r="E62" s="1"/>
      <c r="F62" s="1"/>
      <c r="G62" s="1"/>
      <c r="H62" s="1"/>
      <c r="I62" s="1"/>
      <c r="J62" s="44"/>
      <c r="K62" s="21"/>
      <c r="U62" s="3"/>
    </row>
    <row r="63" spans="1:22" ht="19.5" thickBot="1" x14ac:dyDescent="0.3">
      <c r="B63" s="33" t="s">
        <v>44</v>
      </c>
      <c r="C63" s="22"/>
      <c r="D63" s="22"/>
      <c r="E63" s="22"/>
      <c r="F63" s="22"/>
      <c r="G63" s="22"/>
      <c r="H63" s="22"/>
      <c r="I63" s="22"/>
      <c r="J63" s="46"/>
      <c r="K63" s="23"/>
      <c r="U63" s="8"/>
    </row>
    <row r="64" spans="1:22" ht="7.5" customHeight="1" thickBot="1" x14ac:dyDescent="0.3"/>
    <row r="65" spans="2:21" x14ac:dyDescent="0.25">
      <c r="B65" s="31" t="s">
        <v>46</v>
      </c>
      <c r="C65" s="19"/>
      <c r="D65" s="19"/>
      <c r="E65" s="19"/>
      <c r="F65" s="19"/>
      <c r="G65" s="19"/>
      <c r="H65" s="19"/>
      <c r="I65" s="19"/>
      <c r="J65" s="45"/>
      <c r="K65" s="20"/>
      <c r="U65" s="7"/>
    </row>
    <row r="66" spans="2:21" x14ac:dyDescent="0.25">
      <c r="B66" s="32" t="s">
        <v>45</v>
      </c>
      <c r="C66" s="1"/>
      <c r="D66" s="1"/>
      <c r="E66" s="1"/>
      <c r="F66" s="1"/>
      <c r="G66" s="1"/>
      <c r="H66" s="1"/>
      <c r="I66" s="1"/>
      <c r="J66" s="44"/>
      <c r="K66" s="21"/>
      <c r="U66" s="3"/>
    </row>
    <row r="67" spans="2:21" ht="19.5" thickBot="1" x14ac:dyDescent="0.3">
      <c r="B67" s="33" t="s">
        <v>44</v>
      </c>
      <c r="C67" s="22"/>
      <c r="D67" s="22"/>
      <c r="E67" s="22"/>
      <c r="F67" s="22"/>
      <c r="G67" s="22"/>
      <c r="H67" s="22"/>
      <c r="I67" s="22"/>
      <c r="J67" s="46"/>
      <c r="K67" s="23"/>
      <c r="U67" s="8"/>
    </row>
    <row r="68" spans="2:21" ht="7.5" customHeight="1" thickBot="1" x14ac:dyDescent="0.3"/>
    <row r="69" spans="2:21" x14ac:dyDescent="0.25">
      <c r="B69" s="31" t="s">
        <v>38</v>
      </c>
      <c r="C69" s="19"/>
      <c r="D69" s="19"/>
      <c r="E69" s="19"/>
      <c r="F69" s="19"/>
      <c r="G69" s="19"/>
      <c r="H69" s="19"/>
      <c r="I69" s="19"/>
      <c r="J69" s="45"/>
      <c r="K69" s="20"/>
      <c r="U69" s="7"/>
    </row>
    <row r="70" spans="2:21" x14ac:dyDescent="0.25">
      <c r="B70" s="32" t="s">
        <v>45</v>
      </c>
      <c r="C70" s="1"/>
      <c r="D70" s="1"/>
      <c r="E70" s="1"/>
      <c r="F70" s="1"/>
      <c r="G70" s="1"/>
      <c r="H70" s="1"/>
      <c r="I70" s="1"/>
      <c r="J70" s="44"/>
      <c r="K70" s="21"/>
      <c r="U70" s="3"/>
    </row>
    <row r="71" spans="2:21" ht="19.5" thickBot="1" x14ac:dyDescent="0.3">
      <c r="B71" s="33" t="s">
        <v>44</v>
      </c>
      <c r="C71" s="22"/>
      <c r="D71" s="22"/>
      <c r="E71" s="22"/>
      <c r="F71" s="22"/>
      <c r="G71" s="22"/>
      <c r="H71" s="22"/>
      <c r="I71" s="22"/>
      <c r="J71" s="46"/>
      <c r="K71" s="23"/>
      <c r="U71" s="8"/>
    </row>
    <row r="72" spans="2:21" ht="7.5" customHeight="1" thickBot="1" x14ac:dyDescent="0.3"/>
    <row r="73" spans="2:21" x14ac:dyDescent="0.25">
      <c r="B73" s="31" t="s">
        <v>47</v>
      </c>
      <c r="C73" s="19"/>
      <c r="D73" s="19"/>
      <c r="E73" s="19"/>
      <c r="F73" s="19"/>
      <c r="G73" s="19"/>
      <c r="H73" s="19"/>
      <c r="I73" s="19"/>
      <c r="J73" s="45"/>
      <c r="K73" s="20"/>
      <c r="U73" s="7"/>
    </row>
    <row r="74" spans="2:21" x14ac:dyDescent="0.25">
      <c r="B74" s="32" t="s">
        <v>45</v>
      </c>
      <c r="C74" s="1"/>
      <c r="D74" s="1"/>
      <c r="E74" s="1"/>
      <c r="F74" s="1"/>
      <c r="G74" s="1"/>
      <c r="H74" s="1"/>
      <c r="I74" s="1"/>
      <c r="J74" s="44"/>
      <c r="K74" s="21"/>
      <c r="U74" s="3"/>
    </row>
    <row r="75" spans="2:21" ht="19.5" thickBot="1" x14ac:dyDescent="0.3">
      <c r="B75" s="33" t="s">
        <v>44</v>
      </c>
      <c r="C75" s="22"/>
      <c r="D75" s="22"/>
      <c r="E75" s="22"/>
      <c r="F75" s="22"/>
      <c r="G75" s="22"/>
      <c r="H75" s="22"/>
      <c r="I75" s="22"/>
      <c r="J75" s="46"/>
      <c r="K75" s="23"/>
      <c r="U75" s="8"/>
    </row>
    <row r="76" spans="2:21" ht="7.5" customHeight="1" thickBot="1" x14ac:dyDescent="0.3"/>
    <row r="77" spans="2:21" x14ac:dyDescent="0.25">
      <c r="B77" s="31" t="s">
        <v>48</v>
      </c>
      <c r="C77" s="19"/>
      <c r="D77" s="19"/>
      <c r="E77" s="19"/>
      <c r="F77" s="19"/>
      <c r="G77" s="19"/>
      <c r="H77" s="19"/>
      <c r="I77" s="19"/>
      <c r="J77" s="45"/>
      <c r="K77" s="20"/>
      <c r="U77" s="7"/>
    </row>
    <row r="78" spans="2:21" x14ac:dyDescent="0.25">
      <c r="B78" s="32" t="s">
        <v>45</v>
      </c>
      <c r="C78" s="1"/>
      <c r="D78" s="1"/>
      <c r="E78" s="1"/>
      <c r="F78" s="1"/>
      <c r="G78" s="1"/>
      <c r="H78" s="1"/>
      <c r="I78" s="1"/>
      <c r="J78" s="44"/>
      <c r="K78" s="21"/>
      <c r="U78" s="3"/>
    </row>
    <row r="79" spans="2:21" ht="19.5" thickBot="1" x14ac:dyDescent="0.3">
      <c r="B79" s="33" t="s">
        <v>44</v>
      </c>
      <c r="C79" s="22"/>
      <c r="D79" s="22"/>
      <c r="E79" s="22"/>
      <c r="F79" s="22"/>
      <c r="G79" s="22"/>
      <c r="H79" s="22"/>
      <c r="I79" s="22"/>
      <c r="J79" s="46"/>
      <c r="K79" s="23"/>
      <c r="U79" s="8"/>
    </row>
    <row r="80" spans="2:21" ht="7.5" customHeight="1" thickBot="1" x14ac:dyDescent="0.3"/>
    <row r="81" spans="2:21" ht="19.5" thickBot="1" x14ac:dyDescent="0.3">
      <c r="B81" s="30" t="s">
        <v>49</v>
      </c>
      <c r="C81" s="17"/>
      <c r="D81" s="17"/>
      <c r="E81" s="17"/>
      <c r="F81" s="17"/>
      <c r="G81" s="17"/>
      <c r="H81" s="17"/>
      <c r="I81" s="17"/>
      <c r="J81" s="47"/>
      <c r="K81" s="18"/>
      <c r="U81" s="16"/>
    </row>
  </sheetData>
  <mergeCells count="7">
    <mergeCell ref="V4:V5"/>
    <mergeCell ref="J5:K5"/>
    <mergeCell ref="C60:K60"/>
    <mergeCell ref="I1:U1"/>
    <mergeCell ref="C4:K4"/>
    <mergeCell ref="T4:T5"/>
    <mergeCell ref="U4:U5"/>
  </mergeCells>
  <printOptions horizontalCentered="1" verticalCentered="1"/>
  <pageMargins left="0.19685039370078741" right="0.19685039370078741" top="0.19685039370078741" bottom="0.19685039370078741" header="0.19685039370078741" footer="0.19685039370078741"/>
  <pageSetup paperSize="14" scale="70" orientation="portrait" horizontalDpi="360" verticalDpi="360" r:id="rId1"/>
  <colBreaks count="1" manualBreakCount="1">
    <brk id="24" max="80" man="1"/>
  </colBreaks>
</worksheet>
</file>

<file path=xl/worksheets/sheet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C7D7CD48-36B7-4216-A88E-17673474B053}">
  <sheetPr>
    <pageSetUpPr fitToPage="1"/>
  </sheetPr>
  <dimension ref="A1:BB81"/>
  <sheetViews>
    <sheetView topLeftCell="A34" zoomScale="130" zoomScaleNormal="130" zoomScaleSheetLayoutView="115" workbookViewId="0">
      <selection activeCell="U58" sqref="U58"/>
    </sheetView>
  </sheetViews>
  <sheetFormatPr defaultColWidth="9.140625" defaultRowHeight="18.75" x14ac:dyDescent="0.25"/>
  <cols>
    <col min="1" max="1" width="4.140625" style="9" bestFit="1" customWidth="1"/>
    <col min="2" max="2" width="12.28515625" style="28" customWidth="1"/>
    <col min="3" max="6" width="10" style="9" customWidth="1"/>
    <col min="7" max="7" width="6.85546875" style="9" customWidth="1"/>
    <col min="8" max="8" width="7.5703125" style="9" bestFit="1" customWidth="1"/>
    <col min="9" max="9" width="6.7109375" style="9" bestFit="1" customWidth="1"/>
    <col min="10" max="10" width="6.85546875" style="9" customWidth="1"/>
    <col min="11" max="11" width="7.5703125" style="9" bestFit="1" customWidth="1"/>
    <col min="12" max="12" width="1.42578125" style="9" customWidth="1"/>
    <col min="13" max="13" width="10" style="9" customWidth="1"/>
    <col min="14" max="14" width="6.7109375" style="9" bestFit="1" customWidth="1"/>
    <col min="15" max="15" width="10" style="9" customWidth="1"/>
    <col min="16" max="16" width="5.5703125" style="9" customWidth="1"/>
    <col min="17" max="17" width="10" style="9" customWidth="1"/>
    <col min="18" max="18" width="6.7109375" style="9" bestFit="1" customWidth="1"/>
    <col min="19" max="19" width="1.42578125" style="9" customWidth="1"/>
    <col min="20" max="20" width="12.7109375" style="9" bestFit="1" customWidth="1"/>
    <col min="21" max="21" width="14.28515625" style="9" customWidth="1"/>
    <col min="22" max="22" width="19.5703125" style="9" bestFit="1" customWidth="1"/>
    <col min="23" max="49" width="7.28515625" style="9" customWidth="1"/>
    <col min="50" max="50" width="1.5703125" style="9" customWidth="1"/>
    <col min="51" max="51" width="9.42578125" style="9" customWidth="1"/>
    <col min="52" max="52" width="1.28515625" style="9" customWidth="1"/>
    <col min="53" max="53" width="12.7109375" style="9" bestFit="1" customWidth="1"/>
    <col min="54" max="54" width="10.28515625" style="9" bestFit="1" customWidth="1"/>
    <col min="55" max="16384" width="9.140625" style="9"/>
  </cols>
  <sheetData>
    <row r="1" spans="1:54" ht="15" customHeight="1" x14ac:dyDescent="0.25">
      <c r="B1" s="27" t="s">
        <v>42</v>
      </c>
      <c r="I1" s="116" t="s">
        <v>43</v>
      </c>
      <c r="J1" s="116"/>
      <c r="K1" s="116"/>
      <c r="L1" s="116"/>
      <c r="M1" s="116"/>
      <c r="N1" s="116"/>
      <c r="O1" s="116"/>
      <c r="P1" s="116"/>
      <c r="Q1" s="116"/>
      <c r="R1" s="116"/>
      <c r="S1" s="116"/>
      <c r="T1" s="116"/>
      <c r="U1" s="116"/>
    </row>
    <row r="2" spans="1:54" x14ac:dyDescent="0.25">
      <c r="B2" s="28" t="s">
        <v>77</v>
      </c>
    </row>
    <row r="3" spans="1:54" ht="19.5" thickBot="1" x14ac:dyDescent="0.3"/>
    <row r="4" spans="1:54" s="10" customFormat="1" ht="15.75" x14ac:dyDescent="0.25">
      <c r="B4" s="41" t="s">
        <v>52</v>
      </c>
      <c r="C4" s="117" t="s">
        <v>41</v>
      </c>
      <c r="D4" s="117"/>
      <c r="E4" s="117"/>
      <c r="F4" s="117"/>
      <c r="G4" s="117"/>
      <c r="H4" s="117"/>
      <c r="I4" s="117"/>
      <c r="J4" s="118"/>
      <c r="K4" s="119"/>
      <c r="M4" s="34" t="s">
        <v>0</v>
      </c>
      <c r="N4" s="48" t="s">
        <v>61</v>
      </c>
      <c r="O4" s="35" t="s">
        <v>39</v>
      </c>
      <c r="P4" s="48" t="s">
        <v>61</v>
      </c>
      <c r="Q4" s="36" t="s">
        <v>40</v>
      </c>
      <c r="R4" s="48" t="s">
        <v>61</v>
      </c>
      <c r="S4" s="9"/>
      <c r="T4" s="120" t="s">
        <v>68</v>
      </c>
      <c r="U4" s="126" t="s">
        <v>67</v>
      </c>
      <c r="V4" s="109" t="s">
        <v>66</v>
      </c>
      <c r="AF4" s="11"/>
      <c r="AG4" s="11"/>
      <c r="AH4" s="11"/>
      <c r="AI4" s="11"/>
      <c r="AJ4" s="11"/>
      <c r="AK4" s="11"/>
      <c r="AL4" s="11"/>
      <c r="AM4" s="11"/>
      <c r="AN4" s="11"/>
      <c r="AO4" s="11"/>
      <c r="AP4" s="11"/>
      <c r="AQ4" s="11"/>
      <c r="AR4" s="11"/>
      <c r="AS4" s="11"/>
      <c r="AT4" s="11"/>
      <c r="AU4" s="11"/>
      <c r="AV4" s="11"/>
      <c r="AW4" s="11"/>
      <c r="AX4" s="11"/>
      <c r="AY4" s="11"/>
      <c r="AZ4" s="11"/>
      <c r="BA4" s="11"/>
      <c r="BB4" s="11"/>
    </row>
    <row r="5" spans="1:54" s="10" customFormat="1" ht="15.75" x14ac:dyDescent="0.25">
      <c r="B5" s="37"/>
      <c r="C5" s="40"/>
      <c r="D5" s="40"/>
      <c r="E5" s="40"/>
      <c r="F5" s="40"/>
      <c r="G5" s="40"/>
      <c r="H5" s="40" t="s">
        <v>64</v>
      </c>
      <c r="I5" s="40" t="s">
        <v>60</v>
      </c>
      <c r="J5" s="124" t="s">
        <v>65</v>
      </c>
      <c r="K5" s="125"/>
      <c r="M5" s="37"/>
      <c r="N5" s="49"/>
      <c r="O5" s="40"/>
      <c r="P5" s="98"/>
      <c r="Q5" s="98"/>
      <c r="R5" s="38"/>
      <c r="S5" s="9"/>
      <c r="T5" s="121"/>
      <c r="U5" s="127"/>
      <c r="V5" s="110"/>
      <c r="AF5" s="11"/>
      <c r="AG5" s="11"/>
      <c r="AH5" s="11"/>
      <c r="AI5" s="11"/>
      <c r="AJ5" s="11"/>
      <c r="AK5" s="11"/>
      <c r="AL5" s="11"/>
      <c r="AM5" s="11"/>
      <c r="AN5" s="11"/>
      <c r="AO5" s="11"/>
      <c r="AP5" s="11"/>
      <c r="AQ5" s="11"/>
      <c r="AR5" s="11"/>
      <c r="AS5" s="11"/>
      <c r="AT5" s="11"/>
      <c r="AU5" s="11"/>
      <c r="AV5" s="11"/>
      <c r="AW5" s="11"/>
      <c r="AX5" s="11"/>
      <c r="AY5" s="11"/>
      <c r="AZ5" s="11"/>
      <c r="BA5" s="11"/>
      <c r="BB5" s="11"/>
    </row>
    <row r="6" spans="1:54" s="10" customFormat="1" ht="15.75" x14ac:dyDescent="0.25">
      <c r="B6" s="37"/>
      <c r="C6" s="40"/>
      <c r="D6" s="40"/>
      <c r="E6" s="40"/>
      <c r="F6" s="40"/>
      <c r="G6" s="40"/>
      <c r="H6" s="40"/>
      <c r="I6" s="40"/>
      <c r="J6" s="98"/>
      <c r="K6" s="38"/>
      <c r="M6" s="37"/>
      <c r="N6" s="49"/>
      <c r="O6" s="40"/>
      <c r="P6" s="98"/>
      <c r="Q6" s="98"/>
      <c r="R6" s="38"/>
      <c r="S6" s="9"/>
      <c r="T6" s="39"/>
      <c r="U6" s="39"/>
      <c r="V6" s="39"/>
      <c r="AF6" s="11"/>
      <c r="AG6" s="11"/>
      <c r="AH6" s="11"/>
      <c r="AI6" s="11"/>
      <c r="AJ6" s="11"/>
      <c r="AK6" s="11"/>
      <c r="AL6" s="11"/>
      <c r="AM6" s="11"/>
      <c r="AN6" s="11"/>
      <c r="AO6" s="11"/>
      <c r="AP6" s="11"/>
      <c r="AQ6" s="11"/>
      <c r="AR6" s="11"/>
      <c r="AS6" s="11"/>
      <c r="AT6" s="11"/>
      <c r="AU6" s="11"/>
      <c r="AV6" s="11"/>
      <c r="AW6" s="11"/>
      <c r="AX6" s="11"/>
      <c r="AY6" s="11"/>
      <c r="AZ6" s="11"/>
      <c r="BA6" s="11"/>
      <c r="BB6" s="11"/>
    </row>
    <row r="7" spans="1:54" x14ac:dyDescent="0.25">
      <c r="A7" s="27">
        <v>1</v>
      </c>
      <c r="B7" s="26" t="s">
        <v>32</v>
      </c>
      <c r="C7" s="52">
        <v>32</v>
      </c>
      <c r="D7" s="52"/>
      <c r="E7" s="52"/>
      <c r="F7" s="52"/>
      <c r="G7" s="52"/>
      <c r="H7" s="52"/>
      <c r="I7" s="52">
        <v>3</v>
      </c>
      <c r="J7" s="53"/>
      <c r="K7" s="54">
        <v>6</v>
      </c>
      <c r="L7" s="55"/>
      <c r="M7" s="56"/>
      <c r="N7" s="57"/>
      <c r="O7" s="52">
        <v>1</v>
      </c>
      <c r="P7" s="53"/>
      <c r="Q7" s="53">
        <v>1</v>
      </c>
      <c r="R7" s="54"/>
      <c r="S7" s="55"/>
      <c r="T7" s="58">
        <f>H7+I7+J7+K7+N7+P7+R7</f>
        <v>9</v>
      </c>
      <c r="U7" s="58">
        <f>C7*24+M7*24+O7*24+Q7*24+T7</f>
        <v>825</v>
      </c>
      <c r="V7" s="58">
        <f>U7/24</f>
        <v>34.375</v>
      </c>
      <c r="W7" s="50"/>
      <c r="AF7" s="12"/>
      <c r="AG7" s="12"/>
      <c r="AH7" s="12"/>
      <c r="AI7" s="12"/>
      <c r="AJ7" s="12"/>
      <c r="AK7" s="12"/>
      <c r="AL7" s="12"/>
      <c r="AM7" s="12"/>
      <c r="AN7" s="12"/>
      <c r="AO7" s="12"/>
      <c r="AP7" s="12"/>
      <c r="AQ7" s="12"/>
      <c r="AR7" s="12"/>
      <c r="AS7" s="12"/>
      <c r="AT7" s="12"/>
      <c r="AU7" s="12"/>
      <c r="AV7" s="12"/>
      <c r="AW7" s="12"/>
      <c r="AX7" s="12"/>
      <c r="AY7" s="12"/>
      <c r="AZ7" s="12"/>
      <c r="BA7" s="12"/>
      <c r="BB7" s="12"/>
    </row>
    <row r="8" spans="1:54" ht="19.5" thickBot="1" x14ac:dyDescent="0.3">
      <c r="A8" s="27">
        <f>A7+1</f>
        <v>2</v>
      </c>
      <c r="B8" s="42" t="s">
        <v>35</v>
      </c>
      <c r="C8" s="59">
        <f>43+41</f>
        <v>84</v>
      </c>
      <c r="D8" s="59"/>
      <c r="E8" s="59"/>
      <c r="F8" s="59"/>
      <c r="G8" s="59"/>
      <c r="H8" s="59"/>
      <c r="I8" s="59"/>
      <c r="J8" s="60"/>
      <c r="K8" s="61"/>
      <c r="L8" s="62"/>
      <c r="M8" s="63">
        <v>1</v>
      </c>
      <c r="N8" s="64"/>
      <c r="O8" s="65">
        <v>1</v>
      </c>
      <c r="P8" s="66">
        <v>12</v>
      </c>
      <c r="Q8" s="66">
        <v>1</v>
      </c>
      <c r="R8" s="67"/>
      <c r="S8" s="62"/>
      <c r="T8" s="68">
        <f t="shared" ref="T8:T41" si="0">H8+I8+J8+K8+N8+P8+R8</f>
        <v>12</v>
      </c>
      <c r="U8" s="69">
        <f>C8*24+M8*24+O8*24+Q8*24+T8</f>
        <v>2100</v>
      </c>
      <c r="V8" s="69">
        <f>U8/24</f>
        <v>87.5</v>
      </c>
      <c r="W8" s="50"/>
      <c r="AF8" s="12"/>
      <c r="AG8" s="12"/>
      <c r="AH8" s="12"/>
      <c r="AI8" s="12"/>
      <c r="AJ8" s="12"/>
      <c r="AK8" s="12"/>
      <c r="AL8" s="12"/>
      <c r="AM8" s="12"/>
      <c r="AN8" s="12"/>
      <c r="AO8" s="12"/>
      <c r="AP8" s="12"/>
      <c r="AQ8" s="12"/>
      <c r="AR8" s="12"/>
      <c r="AS8" s="12"/>
      <c r="AT8" s="12"/>
      <c r="AU8" s="12"/>
      <c r="AV8" s="12"/>
      <c r="AW8" s="12"/>
      <c r="AX8" s="12"/>
      <c r="AY8" s="12"/>
      <c r="AZ8" s="12"/>
      <c r="BA8" s="12"/>
      <c r="BB8" s="12"/>
    </row>
    <row r="9" spans="1:54" x14ac:dyDescent="0.25">
      <c r="A9" s="27">
        <f t="shared" ref="A9:A57" si="1">A8+1</f>
        <v>3</v>
      </c>
      <c r="B9" s="25" t="s">
        <v>33</v>
      </c>
      <c r="C9" s="70">
        <f>61+30</f>
        <v>91</v>
      </c>
      <c r="D9" s="70"/>
      <c r="E9" s="70"/>
      <c r="F9" s="70"/>
      <c r="G9" s="70"/>
      <c r="H9" s="70"/>
      <c r="I9" s="70"/>
      <c r="J9" s="71"/>
      <c r="K9" s="72"/>
      <c r="L9" s="55"/>
      <c r="M9" s="73"/>
      <c r="N9" s="74"/>
      <c r="O9" s="70"/>
      <c r="P9" s="71"/>
      <c r="Q9" s="71"/>
      <c r="R9" s="72"/>
      <c r="S9" s="55"/>
      <c r="T9" s="75">
        <f t="shared" si="0"/>
        <v>0</v>
      </c>
      <c r="U9" s="76">
        <f t="shared" ref="U9:U11" si="2">C9*24+M9*24+O9*24+Q9*24+T9</f>
        <v>2184</v>
      </c>
      <c r="V9" s="76">
        <f t="shared" ref="V9:V11" si="3">U9/24</f>
        <v>91</v>
      </c>
      <c r="W9" s="50"/>
      <c r="AF9" s="12"/>
      <c r="AG9" s="12"/>
      <c r="AH9" s="12"/>
      <c r="AI9" s="12"/>
      <c r="AJ9" s="12"/>
      <c r="AK9" s="12"/>
      <c r="AL9" s="12"/>
      <c r="AM9" s="12"/>
      <c r="AN9" s="12"/>
      <c r="AO9" s="12"/>
      <c r="AP9" s="12"/>
      <c r="AQ9" s="12"/>
      <c r="AR9" s="12"/>
      <c r="AS9" s="12"/>
      <c r="AT9" s="12"/>
      <c r="AU9" s="12"/>
      <c r="AV9" s="12"/>
      <c r="AW9" s="12"/>
      <c r="AX9" s="12"/>
      <c r="AY9" s="12"/>
      <c r="AZ9" s="12"/>
      <c r="BA9" s="12"/>
      <c r="BB9" s="12"/>
    </row>
    <row r="10" spans="1:54" x14ac:dyDescent="0.25">
      <c r="A10" s="27">
        <f t="shared" si="1"/>
        <v>4</v>
      </c>
      <c r="B10" s="26" t="s">
        <v>36</v>
      </c>
      <c r="C10" s="70">
        <f>36+10</f>
        <v>46</v>
      </c>
      <c r="D10" s="70"/>
      <c r="E10" s="70"/>
      <c r="F10" s="70"/>
      <c r="G10" s="70"/>
      <c r="H10" s="70"/>
      <c r="I10" s="70"/>
      <c r="J10" s="71"/>
      <c r="K10" s="72"/>
      <c r="L10" s="55"/>
      <c r="M10" s="73"/>
      <c r="N10" s="74"/>
      <c r="O10" s="70"/>
      <c r="P10" s="71"/>
      <c r="Q10" s="71"/>
      <c r="R10" s="72"/>
      <c r="S10" s="55"/>
      <c r="T10" s="58">
        <f t="shared" si="0"/>
        <v>0</v>
      </c>
      <c r="U10" s="58">
        <f t="shared" si="2"/>
        <v>1104</v>
      </c>
      <c r="V10" s="58">
        <f t="shared" si="3"/>
        <v>46</v>
      </c>
      <c r="W10" s="50"/>
      <c r="AF10" s="12"/>
      <c r="AG10" s="12"/>
      <c r="AH10" s="12"/>
      <c r="AI10" s="12"/>
      <c r="AJ10" s="12"/>
      <c r="AK10" s="12"/>
      <c r="AL10" s="12"/>
      <c r="AM10" s="12"/>
      <c r="AN10" s="12"/>
      <c r="AO10" s="12"/>
      <c r="AP10" s="12"/>
      <c r="AQ10" s="12"/>
      <c r="AR10" s="12"/>
      <c r="AS10" s="12"/>
      <c r="AT10" s="12"/>
      <c r="AU10" s="12"/>
      <c r="AV10" s="12"/>
      <c r="AW10" s="12"/>
      <c r="AX10" s="12"/>
      <c r="AY10" s="12"/>
      <c r="AZ10" s="12"/>
      <c r="BA10" s="12"/>
      <c r="BB10" s="12"/>
    </row>
    <row r="11" spans="1:54" x14ac:dyDescent="0.25">
      <c r="A11" s="27">
        <f t="shared" si="1"/>
        <v>5</v>
      </c>
      <c r="B11" s="26" t="s">
        <v>34</v>
      </c>
      <c r="C11" s="70">
        <v>9</v>
      </c>
      <c r="D11" s="70"/>
      <c r="E11" s="70"/>
      <c r="F11" s="70"/>
      <c r="G11" s="70"/>
      <c r="H11" s="70"/>
      <c r="I11" s="70"/>
      <c r="J11" s="71"/>
      <c r="K11" s="72">
        <v>2</v>
      </c>
      <c r="L11" s="55"/>
      <c r="M11" s="73"/>
      <c r="N11" s="74"/>
      <c r="O11" s="70"/>
      <c r="P11" s="71"/>
      <c r="Q11" s="71"/>
      <c r="R11" s="72"/>
      <c r="S11" s="55"/>
      <c r="T11" s="58">
        <f t="shared" si="0"/>
        <v>2</v>
      </c>
      <c r="U11" s="58">
        <f t="shared" si="2"/>
        <v>218</v>
      </c>
      <c r="V11" s="58">
        <f t="shared" si="3"/>
        <v>9.0833333333333339</v>
      </c>
      <c r="AF11" s="12"/>
      <c r="AG11" s="12"/>
      <c r="AH11" s="12"/>
      <c r="AI11" s="12"/>
      <c r="AJ11" s="12"/>
      <c r="AK11" s="12"/>
      <c r="AL11" s="12"/>
      <c r="AM11" s="12"/>
      <c r="AN11" s="12"/>
      <c r="AO11" s="12"/>
      <c r="AP11" s="12"/>
      <c r="AQ11" s="12"/>
      <c r="AR11" s="12"/>
      <c r="AS11" s="12"/>
      <c r="AT11" s="12"/>
      <c r="AU11" s="12"/>
      <c r="AV11" s="12"/>
      <c r="AW11" s="12"/>
      <c r="AX11" s="12"/>
      <c r="AY11" s="12"/>
      <c r="AZ11" s="12"/>
      <c r="BA11" s="12"/>
      <c r="BB11" s="12"/>
    </row>
    <row r="12" spans="1:54" s="13" customFormat="1" ht="19.5" thickBot="1" x14ac:dyDescent="0.3">
      <c r="A12" s="27">
        <v>7</v>
      </c>
      <c r="B12" s="42" t="s">
        <v>30</v>
      </c>
      <c r="C12" s="59">
        <f>1224+53+65+936+1080+29</f>
        <v>3387</v>
      </c>
      <c r="D12" s="59"/>
      <c r="E12" s="59"/>
      <c r="F12" s="59"/>
      <c r="G12" s="59"/>
      <c r="H12" s="59"/>
      <c r="I12" s="59"/>
      <c r="J12" s="60"/>
      <c r="K12" s="61"/>
      <c r="L12" s="62"/>
      <c r="M12" s="63">
        <v>13</v>
      </c>
      <c r="N12" s="64"/>
      <c r="O12" s="65">
        <v>9</v>
      </c>
      <c r="P12" s="66">
        <v>7</v>
      </c>
      <c r="Q12" s="66">
        <v>18</v>
      </c>
      <c r="R12" s="67">
        <v>4</v>
      </c>
      <c r="S12" s="62"/>
      <c r="T12" s="69">
        <f t="shared" si="0"/>
        <v>11</v>
      </c>
      <c r="U12" s="69">
        <f>C12*24+M12*24+O12*24+Q12*24+T12</f>
        <v>82259</v>
      </c>
      <c r="V12" s="69">
        <f>U12/24</f>
        <v>3427.4583333333335</v>
      </c>
      <c r="W12" s="9"/>
      <c r="X12" s="9"/>
      <c r="Y12" s="9"/>
      <c r="Z12" s="9"/>
      <c r="AA12" s="9"/>
      <c r="AB12" s="9"/>
      <c r="AC12" s="9"/>
      <c r="AD12" s="9"/>
      <c r="AE12" s="9"/>
      <c r="AF12" s="12"/>
      <c r="AG12" s="12"/>
      <c r="AH12" s="12"/>
      <c r="AI12" s="12"/>
      <c r="AJ12" s="12"/>
      <c r="AK12" s="12"/>
      <c r="AL12" s="12"/>
      <c r="AM12" s="12"/>
      <c r="AN12" s="12"/>
      <c r="AO12" s="12"/>
      <c r="AP12" s="12"/>
      <c r="AQ12" s="12"/>
      <c r="AR12" s="12"/>
      <c r="AS12" s="12"/>
      <c r="AT12" s="12"/>
      <c r="AU12" s="12"/>
      <c r="AV12" s="12"/>
      <c r="AW12" s="12"/>
      <c r="AX12" s="12"/>
      <c r="AY12" s="12"/>
      <c r="AZ12" s="12"/>
      <c r="BA12" s="12"/>
      <c r="BB12" s="12"/>
    </row>
    <row r="13" spans="1:54" x14ac:dyDescent="0.25">
      <c r="A13" s="27">
        <v>11</v>
      </c>
      <c r="B13" s="25" t="s">
        <v>1</v>
      </c>
      <c r="C13" s="70">
        <v>2</v>
      </c>
      <c r="D13" s="70"/>
      <c r="E13" s="70"/>
      <c r="F13" s="70"/>
      <c r="G13" s="70"/>
      <c r="H13" s="70">
        <v>16</v>
      </c>
      <c r="I13" s="70"/>
      <c r="J13" s="71"/>
      <c r="K13" s="72"/>
      <c r="L13" s="55"/>
      <c r="M13" s="73"/>
      <c r="N13" s="74"/>
      <c r="O13" s="70"/>
      <c r="P13" s="71"/>
      <c r="Q13" s="71"/>
      <c r="R13" s="72"/>
      <c r="S13" s="55"/>
      <c r="T13" s="76">
        <f t="shared" si="0"/>
        <v>16</v>
      </c>
      <c r="U13" s="76">
        <f>C13*24+M13*24+O13*24+Q13*24+T13</f>
        <v>64</v>
      </c>
      <c r="V13" s="76">
        <f>U13/24</f>
        <v>2.6666666666666665</v>
      </c>
      <c r="AF13" s="12"/>
      <c r="AG13" s="12"/>
      <c r="AH13" s="12"/>
      <c r="AI13" s="12"/>
      <c r="AJ13" s="12"/>
      <c r="AK13" s="12"/>
      <c r="AL13" s="12"/>
      <c r="AM13" s="12"/>
      <c r="AN13" s="12"/>
      <c r="AO13" s="12"/>
      <c r="AP13" s="12"/>
      <c r="AQ13" s="12"/>
      <c r="AR13" s="12"/>
      <c r="AS13" s="12"/>
      <c r="AT13" s="12"/>
      <c r="AU13" s="12"/>
      <c r="AV13" s="12"/>
      <c r="AW13" s="12"/>
      <c r="AX13" s="12"/>
      <c r="AY13" s="12"/>
      <c r="AZ13" s="12"/>
      <c r="BA13" s="12"/>
      <c r="BB13" s="12"/>
    </row>
    <row r="14" spans="1:54" x14ac:dyDescent="0.25">
      <c r="A14" s="27">
        <f t="shared" si="1"/>
        <v>12</v>
      </c>
      <c r="B14" s="26" t="s">
        <v>2</v>
      </c>
      <c r="C14" s="70">
        <v>2</v>
      </c>
      <c r="D14" s="70"/>
      <c r="E14" s="70"/>
      <c r="F14" s="70"/>
      <c r="G14" s="70"/>
      <c r="H14" s="70"/>
      <c r="I14" s="70"/>
      <c r="J14" s="71"/>
      <c r="K14" s="72"/>
      <c r="L14" s="55"/>
      <c r="M14" s="73"/>
      <c r="N14" s="74"/>
      <c r="O14" s="70"/>
      <c r="P14" s="71"/>
      <c r="Q14" s="71"/>
      <c r="R14" s="72"/>
      <c r="S14" s="55"/>
      <c r="T14" s="58">
        <f t="shared" si="0"/>
        <v>0</v>
      </c>
      <c r="U14" s="75">
        <f t="shared" ref="U14:U36" si="4">C14*24+M14*24+O14*24+Q14*24+T14</f>
        <v>48</v>
      </c>
      <c r="V14" s="75">
        <f t="shared" ref="V14:V36" si="5">U14/24</f>
        <v>2</v>
      </c>
      <c r="AF14" s="12"/>
      <c r="AG14" s="12"/>
      <c r="AH14" s="12"/>
      <c r="AI14" s="12"/>
      <c r="AJ14" s="12"/>
      <c r="AK14" s="12"/>
      <c r="AL14" s="12"/>
      <c r="AM14" s="12"/>
      <c r="AN14" s="12"/>
      <c r="AO14" s="12"/>
      <c r="AP14" s="12"/>
      <c r="AQ14" s="12"/>
      <c r="AR14" s="12"/>
      <c r="AS14" s="12"/>
      <c r="AT14" s="12"/>
      <c r="AU14" s="12"/>
      <c r="AV14" s="12"/>
      <c r="AW14" s="12"/>
      <c r="AX14" s="12"/>
      <c r="AY14" s="12"/>
      <c r="AZ14" s="12"/>
      <c r="BA14" s="12"/>
      <c r="BB14" s="12"/>
    </row>
    <row r="15" spans="1:54" x14ac:dyDescent="0.25">
      <c r="A15" s="27">
        <f t="shared" si="1"/>
        <v>13</v>
      </c>
      <c r="B15" s="26" t="s">
        <v>3</v>
      </c>
      <c r="C15" s="70"/>
      <c r="D15" s="70"/>
      <c r="E15" s="70"/>
      <c r="F15" s="70"/>
      <c r="G15" s="70"/>
      <c r="H15" s="70"/>
      <c r="I15" s="70"/>
      <c r="J15" s="71"/>
      <c r="K15" s="72"/>
      <c r="L15" s="55"/>
      <c r="M15" s="73"/>
      <c r="N15" s="74"/>
      <c r="O15" s="70"/>
      <c r="P15" s="71"/>
      <c r="Q15" s="71"/>
      <c r="R15" s="72"/>
      <c r="S15" s="55"/>
      <c r="T15" s="58">
        <f t="shared" si="0"/>
        <v>0</v>
      </c>
      <c r="U15" s="75">
        <f t="shared" si="4"/>
        <v>0</v>
      </c>
      <c r="V15" s="75">
        <f t="shared" si="5"/>
        <v>0</v>
      </c>
      <c r="AF15" s="12"/>
      <c r="AG15" s="12"/>
      <c r="AH15" s="12"/>
      <c r="AI15" s="12"/>
      <c r="AJ15" s="12"/>
      <c r="AK15" s="12"/>
      <c r="AL15" s="12"/>
      <c r="AM15" s="12"/>
      <c r="AN15" s="12"/>
      <c r="AO15" s="12"/>
      <c r="AP15" s="12"/>
      <c r="AQ15" s="12"/>
      <c r="AR15" s="12"/>
      <c r="AS15" s="12"/>
      <c r="AT15" s="12"/>
      <c r="AU15" s="12"/>
      <c r="AV15" s="12"/>
      <c r="AW15" s="12"/>
      <c r="AX15" s="12"/>
      <c r="AY15" s="12"/>
      <c r="AZ15" s="12"/>
      <c r="BA15" s="12"/>
      <c r="BB15" s="12"/>
    </row>
    <row r="16" spans="1:54" x14ac:dyDescent="0.25">
      <c r="A16" s="27">
        <f t="shared" si="1"/>
        <v>14</v>
      </c>
      <c r="B16" s="26" t="s">
        <v>4</v>
      </c>
      <c r="C16" s="70"/>
      <c r="D16" s="70"/>
      <c r="E16" s="70"/>
      <c r="F16" s="70"/>
      <c r="G16" s="70"/>
      <c r="H16" s="70"/>
      <c r="I16" s="70"/>
      <c r="J16" s="71"/>
      <c r="K16" s="72"/>
      <c r="L16" s="55"/>
      <c r="M16" s="73"/>
      <c r="N16" s="74"/>
      <c r="O16" s="70"/>
      <c r="P16" s="71"/>
      <c r="Q16" s="71"/>
      <c r="R16" s="72"/>
      <c r="S16" s="55"/>
      <c r="T16" s="58">
        <f t="shared" si="0"/>
        <v>0</v>
      </c>
      <c r="U16" s="75">
        <f t="shared" si="4"/>
        <v>0</v>
      </c>
      <c r="V16" s="75">
        <f t="shared" si="5"/>
        <v>0</v>
      </c>
      <c r="AF16" s="12"/>
      <c r="AG16" s="12"/>
      <c r="AH16" s="12"/>
      <c r="AI16" s="12"/>
      <c r="AJ16" s="12"/>
      <c r="AK16" s="12"/>
      <c r="AL16" s="12"/>
      <c r="AM16" s="12"/>
      <c r="AN16" s="12"/>
      <c r="AO16" s="12"/>
      <c r="AP16" s="12"/>
      <c r="AQ16" s="12"/>
      <c r="AR16" s="12"/>
      <c r="AS16" s="12"/>
      <c r="AT16" s="12"/>
      <c r="AU16" s="12"/>
      <c r="AV16" s="12"/>
      <c r="AW16" s="12"/>
      <c r="AX16" s="12"/>
      <c r="AY16" s="12"/>
      <c r="AZ16" s="12"/>
      <c r="BA16" s="12"/>
      <c r="BB16" s="12"/>
    </row>
    <row r="17" spans="1:54" x14ac:dyDescent="0.25">
      <c r="A17" s="27">
        <f t="shared" si="1"/>
        <v>15</v>
      </c>
      <c r="B17" s="26" t="s">
        <v>5</v>
      </c>
      <c r="C17" s="70"/>
      <c r="D17" s="70"/>
      <c r="E17" s="70"/>
      <c r="F17" s="70"/>
      <c r="G17" s="70"/>
      <c r="H17" s="70">
        <f>24*3</f>
        <v>72</v>
      </c>
      <c r="I17" s="70"/>
      <c r="J17" s="71"/>
      <c r="K17" s="72"/>
      <c r="L17" s="55"/>
      <c r="M17" s="73"/>
      <c r="N17" s="74"/>
      <c r="O17" s="70"/>
      <c r="P17" s="71"/>
      <c r="Q17" s="71"/>
      <c r="R17" s="72"/>
      <c r="S17" s="55"/>
      <c r="T17" s="58">
        <f t="shared" si="0"/>
        <v>72</v>
      </c>
      <c r="U17" s="75">
        <f t="shared" si="4"/>
        <v>72</v>
      </c>
      <c r="V17" s="75">
        <f t="shared" si="5"/>
        <v>3</v>
      </c>
      <c r="AF17" s="12"/>
      <c r="AG17" s="12"/>
      <c r="AH17" s="12"/>
      <c r="AI17" s="12"/>
      <c r="AJ17" s="12"/>
      <c r="AK17" s="12"/>
      <c r="AL17" s="12"/>
      <c r="AM17" s="12"/>
      <c r="AN17" s="12"/>
      <c r="AO17" s="12"/>
      <c r="AP17" s="12"/>
      <c r="AQ17" s="12"/>
      <c r="AR17" s="12"/>
      <c r="AS17" s="12"/>
      <c r="AT17" s="12"/>
      <c r="AU17" s="12"/>
      <c r="AV17" s="12"/>
      <c r="AW17" s="12"/>
      <c r="AX17" s="12"/>
      <c r="AY17" s="12"/>
      <c r="AZ17" s="12"/>
      <c r="BA17" s="12"/>
      <c r="BB17" s="12"/>
    </row>
    <row r="18" spans="1:54" hidden="1" x14ac:dyDescent="0.25">
      <c r="A18" s="27">
        <f t="shared" si="1"/>
        <v>16</v>
      </c>
      <c r="B18" s="26" t="s">
        <v>9</v>
      </c>
      <c r="C18" s="70"/>
      <c r="D18" s="70"/>
      <c r="E18" s="70"/>
      <c r="F18" s="70"/>
      <c r="G18" s="70"/>
      <c r="H18" s="70"/>
      <c r="I18" s="70"/>
      <c r="J18" s="71"/>
      <c r="K18" s="72"/>
      <c r="L18" s="55"/>
      <c r="M18" s="73"/>
      <c r="N18" s="74"/>
      <c r="O18" s="70"/>
      <c r="P18" s="71"/>
      <c r="Q18" s="71"/>
      <c r="R18" s="72"/>
      <c r="S18" s="55"/>
      <c r="T18" s="58">
        <f t="shared" si="0"/>
        <v>0</v>
      </c>
      <c r="U18" s="75">
        <f t="shared" si="4"/>
        <v>0</v>
      </c>
      <c r="V18" s="75">
        <f t="shared" si="5"/>
        <v>0</v>
      </c>
      <c r="AF18" s="12"/>
      <c r="AG18" s="12"/>
      <c r="AH18" s="12"/>
      <c r="AI18" s="12"/>
      <c r="AJ18" s="12"/>
      <c r="AK18" s="12"/>
      <c r="AL18" s="12"/>
      <c r="AM18" s="12"/>
      <c r="AN18" s="12"/>
      <c r="AO18" s="12"/>
      <c r="AP18" s="12"/>
      <c r="AQ18" s="12"/>
      <c r="AR18" s="12"/>
      <c r="AS18" s="12"/>
      <c r="AT18" s="12"/>
      <c r="AU18" s="12"/>
      <c r="AV18" s="12"/>
      <c r="AW18" s="12"/>
      <c r="AX18" s="12"/>
      <c r="AY18" s="12"/>
      <c r="AZ18" s="12"/>
      <c r="BA18" s="12"/>
      <c r="BB18" s="12"/>
    </row>
    <row r="19" spans="1:54" x14ac:dyDescent="0.25">
      <c r="A19" s="27">
        <v>16</v>
      </c>
      <c r="B19" s="26" t="s">
        <v>53</v>
      </c>
      <c r="C19" s="70">
        <v>2</v>
      </c>
      <c r="D19" s="70"/>
      <c r="E19" s="70"/>
      <c r="F19" s="70"/>
      <c r="G19" s="70"/>
      <c r="H19" s="70">
        <f>24+20</f>
        <v>44</v>
      </c>
      <c r="I19" s="70"/>
      <c r="J19" s="71"/>
      <c r="K19" s="72"/>
      <c r="L19" s="55"/>
      <c r="M19" s="73"/>
      <c r="N19" s="74"/>
      <c r="O19" s="70"/>
      <c r="P19" s="71"/>
      <c r="Q19" s="71"/>
      <c r="R19" s="72"/>
      <c r="S19" s="55"/>
      <c r="T19" s="58">
        <f t="shared" si="0"/>
        <v>44</v>
      </c>
      <c r="U19" s="75">
        <f t="shared" si="4"/>
        <v>92</v>
      </c>
      <c r="V19" s="75">
        <f t="shared" si="5"/>
        <v>3.8333333333333335</v>
      </c>
      <c r="AF19" s="12"/>
      <c r="AG19" s="12"/>
      <c r="AH19" s="12"/>
      <c r="AI19" s="12"/>
      <c r="AJ19" s="12"/>
      <c r="AK19" s="12"/>
      <c r="AL19" s="12"/>
      <c r="AM19" s="12"/>
      <c r="AN19" s="12"/>
      <c r="AO19" s="12"/>
      <c r="AP19" s="12"/>
      <c r="AQ19" s="12"/>
      <c r="AR19" s="12"/>
      <c r="AS19" s="12"/>
      <c r="AT19" s="12"/>
      <c r="AU19" s="12"/>
      <c r="AV19" s="12"/>
      <c r="AW19" s="12"/>
      <c r="AX19" s="12"/>
      <c r="AY19" s="12"/>
      <c r="AZ19" s="12"/>
      <c r="BA19" s="12"/>
      <c r="BB19" s="12"/>
    </row>
    <row r="20" spans="1:54" x14ac:dyDescent="0.25">
      <c r="A20" s="27">
        <f t="shared" si="1"/>
        <v>17</v>
      </c>
      <c r="B20" s="26" t="s">
        <v>6</v>
      </c>
      <c r="C20" s="70">
        <v>5</v>
      </c>
      <c r="D20" s="70"/>
      <c r="E20" s="70"/>
      <c r="F20" s="70"/>
      <c r="G20" s="70"/>
      <c r="H20" s="70"/>
      <c r="I20" s="70"/>
      <c r="J20" s="71"/>
      <c r="K20" s="72"/>
      <c r="L20" s="55"/>
      <c r="M20" s="73"/>
      <c r="N20" s="74"/>
      <c r="O20" s="70"/>
      <c r="P20" s="71"/>
      <c r="Q20" s="71"/>
      <c r="R20" s="72"/>
      <c r="S20" s="55"/>
      <c r="T20" s="58">
        <f t="shared" si="0"/>
        <v>0</v>
      </c>
      <c r="U20" s="75">
        <f t="shared" si="4"/>
        <v>120</v>
      </c>
      <c r="V20" s="75">
        <f t="shared" si="5"/>
        <v>5</v>
      </c>
      <c r="AF20" s="12"/>
      <c r="AG20" s="12"/>
      <c r="AH20" s="12"/>
      <c r="AI20" s="12"/>
      <c r="AJ20" s="12"/>
      <c r="AK20" s="12"/>
      <c r="AL20" s="12"/>
      <c r="AM20" s="12"/>
      <c r="AN20" s="12"/>
      <c r="AO20" s="12"/>
      <c r="AP20" s="12"/>
      <c r="AQ20" s="12"/>
      <c r="AR20" s="12"/>
      <c r="AS20" s="12"/>
      <c r="AT20" s="12"/>
      <c r="AU20" s="12"/>
      <c r="AV20" s="12"/>
      <c r="AW20" s="12"/>
      <c r="AX20" s="12"/>
      <c r="AY20" s="12"/>
      <c r="AZ20" s="12"/>
      <c r="BA20" s="12"/>
      <c r="BB20" s="12"/>
    </row>
    <row r="21" spans="1:54" x14ac:dyDescent="0.25">
      <c r="A21" s="27">
        <f t="shared" si="1"/>
        <v>18</v>
      </c>
      <c r="B21" s="26" t="s">
        <v>7</v>
      </c>
      <c r="C21" s="70"/>
      <c r="D21" s="70"/>
      <c r="E21" s="70"/>
      <c r="F21" s="70"/>
      <c r="G21" s="70"/>
      <c r="H21" s="70">
        <f>24*2</f>
        <v>48</v>
      </c>
      <c r="I21" s="70"/>
      <c r="J21" s="71"/>
      <c r="K21" s="72"/>
      <c r="L21" s="55"/>
      <c r="M21" s="73"/>
      <c r="N21" s="74"/>
      <c r="O21" s="70"/>
      <c r="P21" s="71"/>
      <c r="Q21" s="71"/>
      <c r="R21" s="72"/>
      <c r="S21" s="55"/>
      <c r="T21" s="58">
        <f t="shared" si="0"/>
        <v>48</v>
      </c>
      <c r="U21" s="75">
        <f t="shared" si="4"/>
        <v>48</v>
      </c>
      <c r="V21" s="75">
        <f t="shared" si="5"/>
        <v>2</v>
      </c>
      <c r="AF21" s="12"/>
      <c r="AG21" s="12"/>
      <c r="AH21" s="12"/>
      <c r="AI21" s="12"/>
      <c r="AJ21" s="12"/>
      <c r="AK21" s="12"/>
      <c r="AL21" s="12"/>
      <c r="AM21" s="12"/>
      <c r="AN21" s="12"/>
      <c r="AO21" s="12"/>
      <c r="AP21" s="12"/>
      <c r="AQ21" s="12"/>
      <c r="AR21" s="12"/>
      <c r="AS21" s="12"/>
      <c r="AT21" s="12"/>
      <c r="AU21" s="12"/>
      <c r="AV21" s="12"/>
      <c r="AW21" s="12"/>
      <c r="AX21" s="12"/>
      <c r="AY21" s="12"/>
      <c r="AZ21" s="12"/>
      <c r="BA21" s="12"/>
      <c r="BB21" s="12"/>
    </row>
    <row r="22" spans="1:54" s="13" customFormat="1" x14ac:dyDescent="0.25">
      <c r="A22" s="27">
        <f t="shared" si="1"/>
        <v>19</v>
      </c>
      <c r="B22" s="26" t="s">
        <v>54</v>
      </c>
      <c r="C22" s="70">
        <v>2</v>
      </c>
      <c r="D22" s="70"/>
      <c r="E22" s="70"/>
      <c r="F22" s="70"/>
      <c r="G22" s="70"/>
      <c r="H22" s="70"/>
      <c r="I22" s="70">
        <v>20</v>
      </c>
      <c r="J22" s="71"/>
      <c r="K22" s="72"/>
      <c r="L22" s="55"/>
      <c r="M22" s="73"/>
      <c r="N22" s="74"/>
      <c r="O22" s="70"/>
      <c r="P22" s="71"/>
      <c r="Q22" s="71"/>
      <c r="R22" s="72"/>
      <c r="S22" s="55"/>
      <c r="T22" s="58">
        <f t="shared" si="0"/>
        <v>20</v>
      </c>
      <c r="U22" s="75">
        <f t="shared" si="4"/>
        <v>68</v>
      </c>
      <c r="V22" s="75">
        <f t="shared" si="5"/>
        <v>2.8333333333333335</v>
      </c>
      <c r="W22" s="9"/>
      <c r="X22" s="9"/>
      <c r="Y22" s="9"/>
      <c r="Z22" s="9"/>
      <c r="AA22" s="9"/>
      <c r="AB22" s="9"/>
      <c r="AC22" s="9"/>
      <c r="AD22" s="9"/>
      <c r="AE22" s="9"/>
      <c r="AF22" s="12"/>
      <c r="AG22" s="12"/>
      <c r="AH22" s="12"/>
      <c r="AI22" s="12"/>
      <c r="AJ22" s="12"/>
      <c r="AK22" s="12"/>
      <c r="AL22" s="12"/>
      <c r="AM22" s="12"/>
      <c r="AN22" s="12"/>
      <c r="AO22" s="12"/>
      <c r="AP22" s="12"/>
      <c r="AQ22" s="12"/>
      <c r="AR22" s="12"/>
      <c r="AS22" s="12"/>
      <c r="AT22" s="12"/>
      <c r="AU22" s="12"/>
      <c r="AV22" s="12"/>
      <c r="AW22" s="12"/>
      <c r="AX22" s="12"/>
      <c r="AY22" s="12"/>
      <c r="AZ22" s="12"/>
      <c r="BA22" s="12"/>
      <c r="BB22" s="12"/>
    </row>
    <row r="23" spans="1:54" s="13" customFormat="1" x14ac:dyDescent="0.25">
      <c r="A23" s="27">
        <f t="shared" si="1"/>
        <v>20</v>
      </c>
      <c r="B23" s="26" t="s">
        <v>55</v>
      </c>
      <c r="C23" s="70"/>
      <c r="D23" s="70"/>
      <c r="E23" s="70"/>
      <c r="F23" s="70"/>
      <c r="G23" s="70"/>
      <c r="H23" s="70">
        <f>37*24+19</f>
        <v>907</v>
      </c>
      <c r="I23" s="70"/>
      <c r="J23" s="71"/>
      <c r="K23" s="72"/>
      <c r="L23" s="55"/>
      <c r="M23" s="73"/>
      <c r="N23" s="74"/>
      <c r="O23" s="70"/>
      <c r="P23" s="71"/>
      <c r="Q23" s="71"/>
      <c r="R23" s="72"/>
      <c r="S23" s="55"/>
      <c r="T23" s="58">
        <f t="shared" si="0"/>
        <v>907</v>
      </c>
      <c r="U23" s="75">
        <f t="shared" si="4"/>
        <v>907</v>
      </c>
      <c r="V23" s="75">
        <f t="shared" si="5"/>
        <v>37.791666666666664</v>
      </c>
      <c r="W23" s="9"/>
      <c r="X23" s="9"/>
      <c r="Y23" s="9"/>
      <c r="Z23" s="9"/>
      <c r="AA23" s="9"/>
      <c r="AB23" s="9"/>
      <c r="AC23" s="9"/>
      <c r="AD23" s="9"/>
      <c r="AE23" s="9"/>
      <c r="AF23" s="12"/>
      <c r="AG23" s="12"/>
      <c r="AH23" s="12"/>
      <c r="AI23" s="12"/>
      <c r="AJ23" s="12"/>
      <c r="AK23" s="12"/>
      <c r="AL23" s="12"/>
      <c r="AM23" s="12"/>
      <c r="AN23" s="12"/>
      <c r="AO23" s="12"/>
      <c r="AP23" s="12"/>
      <c r="AQ23" s="12"/>
      <c r="AR23" s="12"/>
      <c r="AS23" s="12"/>
      <c r="AT23" s="12"/>
      <c r="AU23" s="12"/>
      <c r="AV23" s="12"/>
      <c r="AW23" s="12"/>
      <c r="AX23" s="12"/>
      <c r="AY23" s="12"/>
      <c r="AZ23" s="12"/>
      <c r="BA23" s="12"/>
      <c r="BB23" s="12"/>
    </row>
    <row r="24" spans="1:54" x14ac:dyDescent="0.25">
      <c r="A24" s="27">
        <f t="shared" si="1"/>
        <v>21</v>
      </c>
      <c r="B24" s="26" t="s">
        <v>56</v>
      </c>
      <c r="C24" s="70">
        <v>2</v>
      </c>
      <c r="D24" s="70"/>
      <c r="E24" s="70"/>
      <c r="F24" s="70"/>
      <c r="G24" s="70"/>
      <c r="H24" s="70">
        <f>24*3</f>
        <v>72</v>
      </c>
      <c r="I24" s="70"/>
      <c r="J24" s="71"/>
      <c r="K24" s="72"/>
      <c r="L24" s="55"/>
      <c r="M24" s="73"/>
      <c r="N24" s="74"/>
      <c r="O24" s="70"/>
      <c r="P24" s="71"/>
      <c r="Q24" s="71"/>
      <c r="R24" s="72"/>
      <c r="S24" s="55"/>
      <c r="T24" s="58">
        <f t="shared" si="0"/>
        <v>72</v>
      </c>
      <c r="U24" s="75">
        <f t="shared" si="4"/>
        <v>120</v>
      </c>
      <c r="V24" s="75">
        <f t="shared" si="5"/>
        <v>5</v>
      </c>
      <c r="AF24" s="12"/>
      <c r="AG24" s="12"/>
      <c r="AH24" s="12"/>
      <c r="AI24" s="12"/>
      <c r="AJ24" s="12"/>
      <c r="AK24" s="12"/>
      <c r="AL24" s="12"/>
      <c r="AM24" s="12"/>
      <c r="AN24" s="12"/>
      <c r="AO24" s="12"/>
      <c r="AP24" s="12"/>
      <c r="AQ24" s="12"/>
      <c r="AR24" s="12"/>
      <c r="AS24" s="12"/>
      <c r="AT24" s="12"/>
      <c r="AU24" s="12"/>
      <c r="AV24" s="12"/>
      <c r="AW24" s="12"/>
      <c r="AX24" s="12"/>
      <c r="AY24" s="12"/>
      <c r="AZ24" s="12"/>
      <c r="BA24" s="12"/>
      <c r="BB24" s="12"/>
    </row>
    <row r="25" spans="1:54" x14ac:dyDescent="0.25">
      <c r="A25" s="27">
        <f t="shared" si="1"/>
        <v>22</v>
      </c>
      <c r="B25" s="26" t="s">
        <v>8</v>
      </c>
      <c r="C25" s="70">
        <v>51</v>
      </c>
      <c r="D25" s="70"/>
      <c r="E25" s="70"/>
      <c r="F25" s="70"/>
      <c r="G25" s="70"/>
      <c r="H25" s="70"/>
      <c r="I25" s="70"/>
      <c r="J25" s="71">
        <v>1</v>
      </c>
      <c r="K25" s="72"/>
      <c r="L25" s="55"/>
      <c r="M25" s="73">
        <v>1</v>
      </c>
      <c r="N25" s="74"/>
      <c r="O25" s="70">
        <v>1</v>
      </c>
      <c r="P25" s="71"/>
      <c r="Q25" s="71">
        <v>2</v>
      </c>
      <c r="R25" s="72"/>
      <c r="S25" s="55"/>
      <c r="T25" s="58">
        <f t="shared" si="0"/>
        <v>1</v>
      </c>
      <c r="U25" s="75">
        <f t="shared" si="4"/>
        <v>1321</v>
      </c>
      <c r="V25" s="75">
        <f t="shared" si="5"/>
        <v>55.041666666666664</v>
      </c>
      <c r="AY25" s="14" t="e">
        <f>#REF!-AY24</f>
        <v>#REF!</v>
      </c>
    </row>
    <row r="26" spans="1:54" s="13" customFormat="1" x14ac:dyDescent="0.25">
      <c r="A26" s="27">
        <f t="shared" si="1"/>
        <v>23</v>
      </c>
      <c r="B26" s="26" t="s">
        <v>10</v>
      </c>
      <c r="C26" s="70"/>
      <c r="D26" s="70"/>
      <c r="E26" s="70"/>
      <c r="F26" s="70"/>
      <c r="G26" s="70"/>
      <c r="H26" s="70"/>
      <c r="I26" s="70"/>
      <c r="J26" s="71"/>
      <c r="K26" s="72"/>
      <c r="L26" s="55"/>
      <c r="M26" s="73"/>
      <c r="N26" s="74"/>
      <c r="O26" s="70"/>
      <c r="P26" s="71"/>
      <c r="Q26" s="71"/>
      <c r="R26" s="72"/>
      <c r="S26" s="55"/>
      <c r="T26" s="58">
        <f t="shared" si="0"/>
        <v>0</v>
      </c>
      <c r="U26" s="75">
        <f t="shared" si="4"/>
        <v>0</v>
      </c>
      <c r="V26" s="75">
        <f t="shared" si="5"/>
        <v>0</v>
      </c>
      <c r="W26" s="9"/>
      <c r="X26" s="9"/>
      <c r="Y26" s="9"/>
      <c r="Z26" s="9"/>
      <c r="AA26" s="9"/>
      <c r="AB26" s="9"/>
      <c r="AC26" s="9"/>
      <c r="AD26" s="9"/>
      <c r="AE26" s="9"/>
    </row>
    <row r="27" spans="1:54" s="13" customFormat="1" x14ac:dyDescent="0.25">
      <c r="A27" s="27">
        <f t="shared" si="1"/>
        <v>24</v>
      </c>
      <c r="B27" s="26" t="s">
        <v>69</v>
      </c>
      <c r="C27" s="70">
        <v>4</v>
      </c>
      <c r="D27" s="70"/>
      <c r="E27" s="70"/>
      <c r="F27" s="70"/>
      <c r="G27" s="70"/>
      <c r="H27" s="70"/>
      <c r="I27" s="70"/>
      <c r="J27" s="71"/>
      <c r="K27" s="72"/>
      <c r="L27" s="55"/>
      <c r="M27" s="73"/>
      <c r="N27" s="74"/>
      <c r="O27" s="70"/>
      <c r="P27" s="71"/>
      <c r="Q27" s="71"/>
      <c r="R27" s="72"/>
      <c r="S27" s="55"/>
      <c r="T27" s="58">
        <f t="shared" si="0"/>
        <v>0</v>
      </c>
      <c r="U27" s="75">
        <f t="shared" si="4"/>
        <v>96</v>
      </c>
      <c r="V27" s="75">
        <f t="shared" si="5"/>
        <v>4</v>
      </c>
      <c r="W27" s="9"/>
      <c r="X27" s="9"/>
      <c r="Y27" s="9"/>
      <c r="Z27" s="9"/>
      <c r="AA27" s="9"/>
      <c r="AB27" s="9"/>
      <c r="AC27" s="9"/>
      <c r="AD27" s="9"/>
      <c r="AE27" s="9"/>
    </row>
    <row r="28" spans="1:54" s="13" customFormat="1" x14ac:dyDescent="0.25">
      <c r="A28" s="27">
        <f t="shared" si="1"/>
        <v>25</v>
      </c>
      <c r="B28" s="26" t="s">
        <v>11</v>
      </c>
      <c r="C28" s="70"/>
      <c r="D28" s="70"/>
      <c r="E28" s="70"/>
      <c r="F28" s="70"/>
      <c r="G28" s="70"/>
      <c r="H28" s="70"/>
      <c r="I28" s="70"/>
      <c r="J28" s="71"/>
      <c r="K28" s="72"/>
      <c r="L28" s="55"/>
      <c r="M28" s="73">
        <v>1</v>
      </c>
      <c r="N28" s="74"/>
      <c r="O28" s="70"/>
      <c r="P28" s="71"/>
      <c r="Q28" s="71">
        <v>4</v>
      </c>
      <c r="R28" s="72"/>
      <c r="S28" s="55"/>
      <c r="T28" s="58">
        <f t="shared" si="0"/>
        <v>0</v>
      </c>
      <c r="U28" s="75">
        <f t="shared" si="4"/>
        <v>120</v>
      </c>
      <c r="V28" s="75">
        <f t="shared" si="5"/>
        <v>5</v>
      </c>
      <c r="W28" s="9"/>
      <c r="X28" s="9"/>
      <c r="Y28" s="9"/>
      <c r="Z28" s="9"/>
      <c r="AA28" s="9"/>
      <c r="AB28" s="9"/>
      <c r="AC28" s="9"/>
      <c r="AD28" s="9"/>
      <c r="AE28" s="9"/>
    </row>
    <row r="29" spans="1:54" x14ac:dyDescent="0.25">
      <c r="A29" s="27">
        <f t="shared" si="1"/>
        <v>26</v>
      </c>
      <c r="B29" s="26" t="s">
        <v>13</v>
      </c>
      <c r="C29" s="70">
        <v>27</v>
      </c>
      <c r="D29" s="70"/>
      <c r="E29" s="70"/>
      <c r="F29" s="70"/>
      <c r="G29" s="70"/>
      <c r="H29" s="70"/>
      <c r="I29" s="70"/>
      <c r="J29" s="71">
        <v>5</v>
      </c>
      <c r="K29" s="72"/>
      <c r="L29" s="55"/>
      <c r="M29" s="73"/>
      <c r="N29" s="74"/>
      <c r="O29" s="70"/>
      <c r="P29" s="71"/>
      <c r="Q29" s="71">
        <v>1</v>
      </c>
      <c r="R29" s="72"/>
      <c r="S29" s="55"/>
      <c r="T29" s="58">
        <f t="shared" si="0"/>
        <v>5</v>
      </c>
      <c r="U29" s="75">
        <f t="shared" si="4"/>
        <v>677</v>
      </c>
      <c r="V29" s="75">
        <f t="shared" si="5"/>
        <v>28.208333333333332</v>
      </c>
    </row>
    <row r="30" spans="1:54" x14ac:dyDescent="0.25">
      <c r="A30" s="27">
        <f t="shared" si="1"/>
        <v>27</v>
      </c>
      <c r="B30" s="26" t="s">
        <v>15</v>
      </c>
      <c r="C30" s="70">
        <v>13</v>
      </c>
      <c r="D30" s="70"/>
      <c r="E30" s="70"/>
      <c r="F30" s="70"/>
      <c r="G30" s="70"/>
      <c r="H30" s="70"/>
      <c r="I30" s="70"/>
      <c r="J30" s="71"/>
      <c r="K30" s="72"/>
      <c r="L30" s="55"/>
      <c r="M30" s="73"/>
      <c r="N30" s="74"/>
      <c r="O30" s="70">
        <v>1</v>
      </c>
      <c r="P30" s="71"/>
      <c r="Q30" s="71">
        <v>1</v>
      </c>
      <c r="R30" s="72"/>
      <c r="S30" s="55"/>
      <c r="T30" s="58">
        <f t="shared" si="0"/>
        <v>0</v>
      </c>
      <c r="U30" s="75">
        <f t="shared" si="4"/>
        <v>360</v>
      </c>
      <c r="V30" s="75">
        <f t="shared" si="5"/>
        <v>15</v>
      </c>
    </row>
    <row r="31" spans="1:54" x14ac:dyDescent="0.25">
      <c r="A31" s="27">
        <f t="shared" si="1"/>
        <v>28</v>
      </c>
      <c r="B31" s="26" t="s">
        <v>12</v>
      </c>
      <c r="C31" s="70">
        <v>2</v>
      </c>
      <c r="D31" s="70"/>
      <c r="E31" s="70"/>
      <c r="F31" s="70"/>
      <c r="G31" s="70"/>
      <c r="H31" s="70"/>
      <c r="I31" s="70"/>
      <c r="J31" s="71"/>
      <c r="K31" s="72"/>
      <c r="L31" s="55"/>
      <c r="M31" s="73"/>
      <c r="N31" s="74"/>
      <c r="O31" s="70"/>
      <c r="P31" s="71"/>
      <c r="Q31" s="71"/>
      <c r="R31" s="72"/>
      <c r="S31" s="55"/>
      <c r="T31" s="58">
        <f t="shared" si="0"/>
        <v>0</v>
      </c>
      <c r="U31" s="75">
        <f t="shared" si="4"/>
        <v>48</v>
      </c>
      <c r="V31" s="75">
        <f t="shared" si="5"/>
        <v>2</v>
      </c>
    </row>
    <row r="32" spans="1:54" x14ac:dyDescent="0.25">
      <c r="A32" s="27">
        <f t="shared" si="1"/>
        <v>29</v>
      </c>
      <c r="B32" s="26" t="s">
        <v>14</v>
      </c>
      <c r="C32" s="70"/>
      <c r="D32" s="70"/>
      <c r="E32" s="70"/>
      <c r="F32" s="70"/>
      <c r="G32" s="70"/>
      <c r="H32" s="70"/>
      <c r="I32" s="70"/>
      <c r="J32" s="71"/>
      <c r="K32" s="72"/>
      <c r="L32" s="55"/>
      <c r="M32" s="73"/>
      <c r="N32" s="74"/>
      <c r="O32" s="70"/>
      <c r="P32" s="71"/>
      <c r="Q32" s="71"/>
      <c r="R32" s="72"/>
      <c r="S32" s="55"/>
      <c r="T32" s="58">
        <f t="shared" si="0"/>
        <v>0</v>
      </c>
      <c r="U32" s="75">
        <f t="shared" si="4"/>
        <v>0</v>
      </c>
      <c r="V32" s="75">
        <f t="shared" si="5"/>
        <v>0</v>
      </c>
    </row>
    <row r="33" spans="1:23" x14ac:dyDescent="0.25">
      <c r="A33" s="27">
        <f t="shared" si="1"/>
        <v>30</v>
      </c>
      <c r="B33" s="26" t="s">
        <v>16</v>
      </c>
      <c r="C33" s="70">
        <v>2</v>
      </c>
      <c r="D33" s="70"/>
      <c r="E33" s="70"/>
      <c r="F33" s="70"/>
      <c r="G33" s="70"/>
      <c r="H33" s="70"/>
      <c r="I33" s="70"/>
      <c r="J33" s="71"/>
      <c r="K33" s="72"/>
      <c r="L33" s="55"/>
      <c r="M33" s="73"/>
      <c r="N33" s="74"/>
      <c r="O33" s="70"/>
      <c r="P33" s="71"/>
      <c r="Q33" s="71"/>
      <c r="R33" s="72"/>
      <c r="S33" s="55"/>
      <c r="T33" s="58">
        <f t="shared" si="0"/>
        <v>0</v>
      </c>
      <c r="U33" s="75">
        <f t="shared" si="4"/>
        <v>48</v>
      </c>
      <c r="V33" s="75">
        <f t="shared" si="5"/>
        <v>2</v>
      </c>
    </row>
    <row r="34" spans="1:23" x14ac:dyDescent="0.25">
      <c r="A34" s="27">
        <f t="shared" si="1"/>
        <v>31</v>
      </c>
      <c r="B34" s="26" t="s">
        <v>17</v>
      </c>
      <c r="C34" s="70">
        <f>144+48</f>
        <v>192</v>
      </c>
      <c r="D34" s="70"/>
      <c r="E34" s="70"/>
      <c r="F34" s="70"/>
      <c r="G34" s="70"/>
      <c r="H34" s="70"/>
      <c r="I34" s="70">
        <v>1</v>
      </c>
      <c r="J34" s="71"/>
      <c r="K34" s="72">
        <v>1</v>
      </c>
      <c r="L34" s="55"/>
      <c r="M34" s="73">
        <v>2</v>
      </c>
      <c r="N34" s="74"/>
      <c r="O34" s="70">
        <v>2</v>
      </c>
      <c r="P34" s="71"/>
      <c r="Q34" s="71">
        <v>2</v>
      </c>
      <c r="R34" s="72"/>
      <c r="S34" s="55"/>
      <c r="T34" s="58">
        <f t="shared" si="0"/>
        <v>2</v>
      </c>
      <c r="U34" s="75">
        <f t="shared" si="4"/>
        <v>4754</v>
      </c>
      <c r="V34" s="75">
        <f t="shared" si="5"/>
        <v>198.08333333333334</v>
      </c>
    </row>
    <row r="35" spans="1:23" hidden="1" x14ac:dyDescent="0.25">
      <c r="A35" s="27">
        <f t="shared" si="1"/>
        <v>32</v>
      </c>
      <c r="B35" s="26" t="s">
        <v>25</v>
      </c>
      <c r="C35" s="70"/>
      <c r="D35" s="70"/>
      <c r="E35" s="70"/>
      <c r="F35" s="70"/>
      <c r="G35" s="70"/>
      <c r="H35" s="70"/>
      <c r="I35" s="70"/>
      <c r="J35" s="71"/>
      <c r="K35" s="72"/>
      <c r="L35" s="55"/>
      <c r="M35" s="73"/>
      <c r="N35" s="74"/>
      <c r="O35" s="70"/>
      <c r="P35" s="71"/>
      <c r="Q35" s="71"/>
      <c r="R35" s="72"/>
      <c r="S35" s="55"/>
      <c r="T35" s="58">
        <f t="shared" si="0"/>
        <v>0</v>
      </c>
      <c r="U35" s="75">
        <f t="shared" si="4"/>
        <v>0</v>
      </c>
      <c r="V35" s="75">
        <f t="shared" si="5"/>
        <v>0</v>
      </c>
    </row>
    <row r="36" spans="1:23" x14ac:dyDescent="0.25">
      <c r="A36" s="27">
        <f t="shared" si="1"/>
        <v>33</v>
      </c>
      <c r="B36" s="26" t="s">
        <v>18</v>
      </c>
      <c r="C36" s="70"/>
      <c r="D36" s="70"/>
      <c r="E36" s="70"/>
      <c r="F36" s="70"/>
      <c r="G36" s="70"/>
      <c r="H36" s="70"/>
      <c r="I36" s="70"/>
      <c r="J36" s="71"/>
      <c r="K36" s="72"/>
      <c r="L36" s="55"/>
      <c r="M36" s="73"/>
      <c r="N36" s="74"/>
      <c r="O36" s="70"/>
      <c r="P36" s="71"/>
      <c r="Q36" s="71"/>
      <c r="R36" s="72"/>
      <c r="S36" s="55"/>
      <c r="T36" s="58">
        <f t="shared" si="0"/>
        <v>0</v>
      </c>
      <c r="U36" s="75">
        <f t="shared" si="4"/>
        <v>0</v>
      </c>
      <c r="V36" s="75">
        <f t="shared" si="5"/>
        <v>0</v>
      </c>
    </row>
    <row r="37" spans="1:23" ht="19.5" thickBot="1" x14ac:dyDescent="0.3">
      <c r="A37" s="27">
        <f t="shared" si="1"/>
        <v>34</v>
      </c>
      <c r="B37" s="42" t="s">
        <v>19</v>
      </c>
      <c r="C37" s="59">
        <f>3132+94+71+108</f>
        <v>3405</v>
      </c>
      <c r="D37" s="59"/>
      <c r="E37" s="59"/>
      <c r="F37" s="59"/>
      <c r="G37" s="59"/>
      <c r="H37" s="59">
        <v>2</v>
      </c>
      <c r="I37" s="59">
        <v>2</v>
      </c>
      <c r="J37" s="60">
        <v>1</v>
      </c>
      <c r="K37" s="61">
        <f>6+2</f>
        <v>8</v>
      </c>
      <c r="L37" s="62"/>
      <c r="M37" s="63">
        <v>20</v>
      </c>
      <c r="N37" s="64"/>
      <c r="O37" s="65">
        <v>18</v>
      </c>
      <c r="P37" s="66"/>
      <c r="Q37" s="66">
        <v>95</v>
      </c>
      <c r="R37" s="67"/>
      <c r="S37" s="62"/>
      <c r="T37" s="77">
        <f t="shared" si="0"/>
        <v>13</v>
      </c>
      <c r="U37" s="77">
        <f>C37*6+M37*6+O37*6+Q37*6+T37</f>
        <v>21241</v>
      </c>
      <c r="V37" s="77">
        <f>U37/6</f>
        <v>3540.1666666666665</v>
      </c>
      <c r="W37" s="50"/>
    </row>
    <row r="38" spans="1:23" x14ac:dyDescent="0.25">
      <c r="A38" s="27">
        <f t="shared" si="1"/>
        <v>35</v>
      </c>
      <c r="B38" s="25" t="s">
        <v>20</v>
      </c>
      <c r="C38" s="70"/>
      <c r="D38" s="70"/>
      <c r="E38" s="70"/>
      <c r="F38" s="70"/>
      <c r="G38" s="70"/>
      <c r="H38" s="70"/>
      <c r="I38" s="70"/>
      <c r="J38" s="71"/>
      <c r="K38" s="72"/>
      <c r="L38" s="55"/>
      <c r="M38" s="73"/>
      <c r="N38" s="74"/>
      <c r="O38" s="70"/>
      <c r="P38" s="71"/>
      <c r="Q38" s="71"/>
      <c r="R38" s="72"/>
      <c r="S38" s="55"/>
      <c r="T38" s="75">
        <f t="shared" si="0"/>
        <v>0</v>
      </c>
      <c r="U38" s="75">
        <f>C38*24+M38*24+O38*24+Q38*24+T38</f>
        <v>0</v>
      </c>
      <c r="V38" s="75">
        <f>U38/24</f>
        <v>0</v>
      </c>
    </row>
    <row r="39" spans="1:23" x14ac:dyDescent="0.25">
      <c r="A39" s="27">
        <f t="shared" si="1"/>
        <v>36</v>
      </c>
      <c r="B39" s="51" t="s">
        <v>62</v>
      </c>
      <c r="C39" s="78"/>
      <c r="D39" s="78"/>
      <c r="E39" s="78"/>
      <c r="F39" s="78"/>
      <c r="G39" s="78"/>
      <c r="H39" s="78"/>
      <c r="I39" s="78"/>
      <c r="J39" s="79"/>
      <c r="K39" s="80"/>
      <c r="L39" s="55"/>
      <c r="M39" s="73"/>
      <c r="N39" s="74"/>
      <c r="O39" s="70"/>
      <c r="P39" s="71"/>
      <c r="Q39" s="71"/>
      <c r="R39" s="72"/>
      <c r="S39" s="95"/>
      <c r="T39" s="75">
        <f t="shared" si="0"/>
        <v>0</v>
      </c>
      <c r="U39" s="75">
        <f>C39*24+M39*24+O39*24+Q39*24+T39</f>
        <v>0</v>
      </c>
      <c r="V39" s="75">
        <f>U39/24</f>
        <v>0</v>
      </c>
    </row>
    <row r="40" spans="1:23" ht="19.5" thickBot="1" x14ac:dyDescent="0.3">
      <c r="A40" s="27">
        <f t="shared" si="1"/>
        <v>37</v>
      </c>
      <c r="B40" s="42" t="s">
        <v>21</v>
      </c>
      <c r="C40" s="59">
        <f>63+50</f>
        <v>113</v>
      </c>
      <c r="D40" s="59"/>
      <c r="E40" s="59"/>
      <c r="F40" s="59"/>
      <c r="G40" s="59"/>
      <c r="H40" s="59"/>
      <c r="I40" s="59"/>
      <c r="J40" s="60"/>
      <c r="K40" s="61">
        <v>20</v>
      </c>
      <c r="L40" s="62"/>
      <c r="M40" s="63">
        <v>2</v>
      </c>
      <c r="N40" s="64"/>
      <c r="O40" s="65">
        <v>2</v>
      </c>
      <c r="P40" s="66"/>
      <c r="Q40" s="66">
        <v>3</v>
      </c>
      <c r="R40" s="67"/>
      <c r="S40" s="62"/>
      <c r="T40" s="77">
        <f t="shared" si="0"/>
        <v>20</v>
      </c>
      <c r="U40" s="77">
        <f>C40*24+M40*24+O40*24+Q40*24+T40</f>
        <v>2900</v>
      </c>
      <c r="V40" s="77">
        <f>U40/24</f>
        <v>120.83333333333333</v>
      </c>
    </row>
    <row r="41" spans="1:23" ht="19.5" thickBot="1" x14ac:dyDescent="0.3">
      <c r="A41" s="27">
        <f t="shared" si="1"/>
        <v>38</v>
      </c>
      <c r="B41" s="43" t="s">
        <v>22</v>
      </c>
      <c r="C41" s="82"/>
      <c r="D41" s="82"/>
      <c r="E41" s="82"/>
      <c r="F41" s="82"/>
      <c r="G41" s="82"/>
      <c r="H41" s="82"/>
      <c r="I41" s="82"/>
      <c r="J41" s="83"/>
      <c r="K41" s="84"/>
      <c r="L41" s="85"/>
      <c r="M41" s="86">
        <v>3</v>
      </c>
      <c r="N41" s="87"/>
      <c r="O41" s="82">
        <v>3</v>
      </c>
      <c r="P41" s="83"/>
      <c r="Q41" s="83"/>
      <c r="R41" s="84"/>
      <c r="S41" s="85"/>
      <c r="T41" s="88">
        <f t="shared" si="0"/>
        <v>0</v>
      </c>
      <c r="U41" s="88">
        <f>C41*12+M41*12+O41*12+Q41*12+T41</f>
        <v>72</v>
      </c>
      <c r="V41" s="88">
        <f>U41/12</f>
        <v>6</v>
      </c>
    </row>
    <row r="42" spans="1:23" hidden="1" x14ac:dyDescent="0.25">
      <c r="A42" s="27">
        <f t="shared" si="1"/>
        <v>39</v>
      </c>
      <c r="B42" s="25" t="s">
        <v>29</v>
      </c>
      <c r="C42" s="70"/>
      <c r="D42" s="70"/>
      <c r="E42" s="70"/>
      <c r="F42" s="70"/>
      <c r="G42" s="70"/>
      <c r="H42" s="70"/>
      <c r="I42" s="70"/>
      <c r="J42" s="71"/>
      <c r="K42" s="72"/>
      <c r="L42" s="55"/>
      <c r="M42" s="73"/>
      <c r="N42" s="74"/>
      <c r="O42" s="70"/>
      <c r="P42" s="71"/>
      <c r="Q42" s="71"/>
      <c r="R42" s="72"/>
      <c r="S42" s="55"/>
      <c r="T42" s="75"/>
      <c r="U42" s="75"/>
      <c r="V42" s="75"/>
    </row>
    <row r="43" spans="1:23" ht="19.5" thickBot="1" x14ac:dyDescent="0.3">
      <c r="A43" s="27">
        <f t="shared" si="1"/>
        <v>40</v>
      </c>
      <c r="B43" s="42" t="s">
        <v>23</v>
      </c>
      <c r="C43" s="65">
        <f>8640+19764+10260</f>
        <v>38664</v>
      </c>
      <c r="D43" s="65"/>
      <c r="E43" s="65"/>
      <c r="F43" s="65"/>
      <c r="G43" s="65"/>
      <c r="H43" s="65">
        <v>6</v>
      </c>
      <c r="I43" s="65">
        <v>12</v>
      </c>
      <c r="J43" s="66">
        <f>13*6+2</f>
        <v>80</v>
      </c>
      <c r="K43" s="67">
        <f>71*6+2</f>
        <v>428</v>
      </c>
      <c r="L43" s="62"/>
      <c r="M43" s="63">
        <v>324</v>
      </c>
      <c r="N43" s="64"/>
      <c r="O43" s="65">
        <v>391</v>
      </c>
      <c r="P43" s="66"/>
      <c r="Q43" s="66">
        <v>509</v>
      </c>
      <c r="R43" s="67"/>
      <c r="S43" s="62"/>
      <c r="T43" s="77">
        <f t="shared" ref="T43" si="6">H43+I43+J43+K43+N43+P43+R43</f>
        <v>526</v>
      </c>
      <c r="U43" s="77">
        <f>C43*6+M43*6+O43*6+Q43*6+T43</f>
        <v>239854</v>
      </c>
      <c r="V43" s="77">
        <f>U43/6</f>
        <v>39975.666666666664</v>
      </c>
    </row>
    <row r="44" spans="1:23" hidden="1" x14ac:dyDescent="0.25">
      <c r="A44" s="27">
        <f t="shared" si="1"/>
        <v>41</v>
      </c>
      <c r="B44" s="25" t="s">
        <v>31</v>
      </c>
      <c r="C44" s="70"/>
      <c r="D44" s="70"/>
      <c r="E44" s="70"/>
      <c r="F44" s="70"/>
      <c r="G44" s="70"/>
      <c r="H44" s="70"/>
      <c r="I44" s="70"/>
      <c r="J44" s="71"/>
      <c r="K44" s="72"/>
      <c r="L44" s="55"/>
      <c r="M44" s="73"/>
      <c r="N44" s="74"/>
      <c r="O44" s="70"/>
      <c r="P44" s="71"/>
      <c r="Q44" s="71"/>
      <c r="R44" s="72"/>
      <c r="S44" s="55"/>
      <c r="T44" s="75"/>
      <c r="U44" s="75"/>
      <c r="V44" s="75"/>
    </row>
    <row r="45" spans="1:23" x14ac:dyDescent="0.25">
      <c r="A45" s="27">
        <f t="shared" si="1"/>
        <v>42</v>
      </c>
      <c r="B45" s="26" t="s">
        <v>24</v>
      </c>
      <c r="C45" s="70"/>
      <c r="D45" s="70"/>
      <c r="E45" s="70"/>
      <c r="F45" s="70"/>
      <c r="G45" s="70"/>
      <c r="H45" s="70"/>
      <c r="I45" s="70"/>
      <c r="J45" s="71"/>
      <c r="K45" s="72"/>
      <c r="L45" s="55"/>
      <c r="M45" s="73"/>
      <c r="N45" s="74"/>
      <c r="O45" s="70"/>
      <c r="P45" s="71"/>
      <c r="Q45" s="71"/>
      <c r="R45" s="72"/>
      <c r="S45" s="55"/>
      <c r="T45" s="75">
        <f t="shared" ref="T45:T54" si="7">H45+I45+J45+K45+N45+P45+R45</f>
        <v>0</v>
      </c>
      <c r="U45" s="75">
        <f>C45*24+M45*24+O45*24+Q45*24+T45</f>
        <v>0</v>
      </c>
      <c r="V45" s="75">
        <f>U45/24</f>
        <v>0</v>
      </c>
    </row>
    <row r="46" spans="1:23" x14ac:dyDescent="0.25">
      <c r="A46" s="27">
        <f t="shared" si="1"/>
        <v>43</v>
      </c>
      <c r="B46" s="26" t="s">
        <v>57</v>
      </c>
      <c r="C46" s="70"/>
      <c r="D46" s="70"/>
      <c r="E46" s="70"/>
      <c r="F46" s="70"/>
      <c r="G46" s="70"/>
      <c r="H46" s="70"/>
      <c r="I46" s="70"/>
      <c r="J46" s="71"/>
      <c r="K46" s="72"/>
      <c r="L46" s="55"/>
      <c r="M46" s="73"/>
      <c r="N46" s="74"/>
      <c r="O46" s="70"/>
      <c r="P46" s="71"/>
      <c r="Q46" s="71"/>
      <c r="R46" s="72"/>
      <c r="S46" s="55"/>
      <c r="T46" s="75">
        <f t="shared" si="7"/>
        <v>0</v>
      </c>
      <c r="U46" s="75">
        <f t="shared" ref="U46:U50" si="8">C46*24+M46*24+O46*24+Q46*24+T46</f>
        <v>0</v>
      </c>
      <c r="V46" s="75">
        <f t="shared" ref="V46:V54" si="9">U46/24</f>
        <v>0</v>
      </c>
    </row>
    <row r="47" spans="1:23" ht="19.5" thickBot="1" x14ac:dyDescent="0.3">
      <c r="A47" s="27">
        <f t="shared" si="1"/>
        <v>44</v>
      </c>
      <c r="B47" s="42" t="s">
        <v>25</v>
      </c>
      <c r="C47" s="65">
        <f>106+648+324+88+540+103+324+432+106</f>
        <v>2671</v>
      </c>
      <c r="D47" s="65"/>
      <c r="E47" s="65"/>
      <c r="F47" s="65"/>
      <c r="G47" s="65"/>
      <c r="H47" s="65">
        <v>1</v>
      </c>
      <c r="I47" s="65"/>
      <c r="J47" s="66"/>
      <c r="K47" s="67">
        <v>5</v>
      </c>
      <c r="L47" s="62"/>
      <c r="M47" s="63">
        <v>9</v>
      </c>
      <c r="N47" s="64"/>
      <c r="O47" s="65">
        <v>16</v>
      </c>
      <c r="P47" s="66"/>
      <c r="Q47" s="66">
        <v>5</v>
      </c>
      <c r="R47" s="67">
        <v>3</v>
      </c>
      <c r="S47" s="62"/>
      <c r="T47" s="77">
        <f t="shared" si="7"/>
        <v>9</v>
      </c>
      <c r="U47" s="77">
        <f>C47*6+M47*6+O47*6+Q47*6+T47</f>
        <v>16215</v>
      </c>
      <c r="V47" s="77">
        <f>U47/6</f>
        <v>2702.5</v>
      </c>
    </row>
    <row r="48" spans="1:23" x14ac:dyDescent="0.25">
      <c r="A48" s="27">
        <f t="shared" si="1"/>
        <v>45</v>
      </c>
      <c r="B48" s="25" t="s">
        <v>58</v>
      </c>
      <c r="C48" s="70"/>
      <c r="D48" s="70"/>
      <c r="E48" s="70"/>
      <c r="F48" s="70"/>
      <c r="G48" s="70"/>
      <c r="H48" s="70">
        <v>24</v>
      </c>
      <c r="I48" s="70"/>
      <c r="J48" s="71"/>
      <c r="K48" s="72"/>
      <c r="L48" s="55"/>
      <c r="M48" s="73"/>
      <c r="N48" s="74"/>
      <c r="O48" s="70"/>
      <c r="P48" s="71"/>
      <c r="Q48" s="71"/>
      <c r="R48" s="72"/>
      <c r="S48" s="55"/>
      <c r="T48" s="75">
        <f t="shared" si="7"/>
        <v>24</v>
      </c>
      <c r="U48" s="75">
        <f t="shared" si="8"/>
        <v>24</v>
      </c>
      <c r="V48" s="75">
        <f t="shared" si="9"/>
        <v>1</v>
      </c>
    </row>
    <row r="49" spans="1:22" x14ac:dyDescent="0.25">
      <c r="A49" s="27">
        <f t="shared" si="1"/>
        <v>46</v>
      </c>
      <c r="B49" s="26" t="s">
        <v>26</v>
      </c>
      <c r="C49" s="70">
        <v>10</v>
      </c>
      <c r="D49" s="70"/>
      <c r="E49" s="70"/>
      <c r="F49" s="70"/>
      <c r="G49" s="70"/>
      <c r="H49" s="70"/>
      <c r="I49" s="70"/>
      <c r="J49" s="71"/>
      <c r="K49" s="72"/>
      <c r="L49" s="55"/>
      <c r="M49" s="73"/>
      <c r="N49" s="74"/>
      <c r="O49" s="70"/>
      <c r="P49" s="71"/>
      <c r="Q49" s="71"/>
      <c r="R49" s="72"/>
      <c r="S49" s="55"/>
      <c r="T49" s="75">
        <f t="shared" si="7"/>
        <v>0</v>
      </c>
      <c r="U49" s="75">
        <f t="shared" si="8"/>
        <v>240</v>
      </c>
      <c r="V49" s="75">
        <f t="shared" si="9"/>
        <v>10</v>
      </c>
    </row>
    <row r="50" spans="1:22" x14ac:dyDescent="0.25">
      <c r="A50" s="27">
        <f t="shared" si="1"/>
        <v>47</v>
      </c>
      <c r="B50" s="26" t="s">
        <v>59</v>
      </c>
      <c r="C50" s="70"/>
      <c r="D50" s="70"/>
      <c r="E50" s="70"/>
      <c r="F50" s="70"/>
      <c r="G50" s="70"/>
      <c r="H50" s="70"/>
      <c r="I50" s="70"/>
      <c r="J50" s="71"/>
      <c r="K50" s="72"/>
      <c r="L50" s="55"/>
      <c r="M50" s="73"/>
      <c r="N50" s="74"/>
      <c r="O50" s="70"/>
      <c r="P50" s="71"/>
      <c r="Q50" s="71"/>
      <c r="R50" s="72"/>
      <c r="S50" s="55"/>
      <c r="T50" s="75">
        <f t="shared" si="7"/>
        <v>0</v>
      </c>
      <c r="U50" s="75">
        <f t="shared" si="8"/>
        <v>0</v>
      </c>
      <c r="V50" s="75">
        <f t="shared" si="9"/>
        <v>0</v>
      </c>
    </row>
    <row r="51" spans="1:22" ht="19.5" thickBot="1" x14ac:dyDescent="0.3">
      <c r="A51" s="27">
        <f t="shared" si="1"/>
        <v>48</v>
      </c>
      <c r="B51" s="42" t="s">
        <v>27</v>
      </c>
      <c r="C51" s="65">
        <v>34</v>
      </c>
      <c r="D51" s="65"/>
      <c r="E51" s="65"/>
      <c r="F51" s="65"/>
      <c r="G51" s="65"/>
      <c r="H51" s="65"/>
      <c r="I51" s="65"/>
      <c r="J51" s="66"/>
      <c r="K51" s="67"/>
      <c r="L51" s="62"/>
      <c r="M51" s="63"/>
      <c r="N51" s="64"/>
      <c r="O51" s="65"/>
      <c r="P51" s="66"/>
      <c r="Q51" s="66"/>
      <c r="R51" s="67"/>
      <c r="S51" s="62"/>
      <c r="T51" s="77">
        <f t="shared" si="7"/>
        <v>0</v>
      </c>
      <c r="U51" s="77">
        <f>C51*6+M51*6+O51*6+Q51*6+T51</f>
        <v>204</v>
      </c>
      <c r="V51" s="77">
        <f>U51/6</f>
        <v>34</v>
      </c>
    </row>
    <row r="52" spans="1:22" x14ac:dyDescent="0.25">
      <c r="A52" s="27">
        <f t="shared" si="1"/>
        <v>49</v>
      </c>
      <c r="B52" s="25" t="s">
        <v>28</v>
      </c>
      <c r="C52" s="70"/>
      <c r="D52" s="70"/>
      <c r="E52" s="70"/>
      <c r="F52" s="70"/>
      <c r="G52" s="70"/>
      <c r="H52" s="70"/>
      <c r="I52" s="70"/>
      <c r="J52" s="71"/>
      <c r="K52" s="72"/>
      <c r="L52" s="55"/>
      <c r="M52" s="73"/>
      <c r="N52" s="74"/>
      <c r="O52" s="70"/>
      <c r="P52" s="71"/>
      <c r="Q52" s="71"/>
      <c r="R52" s="72"/>
      <c r="S52" s="55"/>
      <c r="T52" s="75">
        <f t="shared" si="7"/>
        <v>0</v>
      </c>
      <c r="U52" s="75">
        <f t="shared" ref="U52:U54" si="10">C52*24+M52*24+O52*24+Q52*24+T52</f>
        <v>0</v>
      </c>
      <c r="V52" s="75">
        <f t="shared" si="9"/>
        <v>0</v>
      </c>
    </row>
    <row r="53" spans="1:22" x14ac:dyDescent="0.25">
      <c r="A53" s="27">
        <f t="shared" si="1"/>
        <v>50</v>
      </c>
      <c r="B53" s="26" t="s">
        <v>63</v>
      </c>
      <c r="C53" s="70">
        <v>6</v>
      </c>
      <c r="D53" s="70"/>
      <c r="E53" s="70"/>
      <c r="F53" s="70"/>
      <c r="G53" s="70"/>
      <c r="H53" s="70"/>
      <c r="I53" s="70"/>
      <c r="J53" s="71"/>
      <c r="K53" s="72"/>
      <c r="L53" s="55"/>
      <c r="M53" s="73"/>
      <c r="N53" s="74"/>
      <c r="O53" s="70"/>
      <c r="P53" s="71"/>
      <c r="Q53" s="71">
        <v>1</v>
      </c>
      <c r="R53" s="72"/>
      <c r="S53" s="55"/>
      <c r="T53" s="75">
        <f t="shared" si="7"/>
        <v>0</v>
      </c>
      <c r="U53" s="75">
        <f t="shared" si="10"/>
        <v>168</v>
      </c>
      <c r="V53" s="75">
        <f t="shared" si="9"/>
        <v>7</v>
      </c>
    </row>
    <row r="54" spans="1:22" x14ac:dyDescent="0.25">
      <c r="A54" s="27">
        <f t="shared" si="1"/>
        <v>51</v>
      </c>
      <c r="B54" s="26"/>
      <c r="C54" s="70"/>
      <c r="D54" s="70"/>
      <c r="E54" s="70"/>
      <c r="F54" s="70"/>
      <c r="G54" s="70"/>
      <c r="H54" s="70"/>
      <c r="I54" s="70"/>
      <c r="J54" s="71"/>
      <c r="K54" s="72"/>
      <c r="L54" s="55"/>
      <c r="M54" s="73"/>
      <c r="N54" s="74"/>
      <c r="O54" s="70"/>
      <c r="P54" s="71"/>
      <c r="Q54" s="71"/>
      <c r="R54" s="72"/>
      <c r="S54" s="55"/>
      <c r="T54" s="75">
        <f t="shared" si="7"/>
        <v>0</v>
      </c>
      <c r="U54" s="75">
        <f t="shared" si="10"/>
        <v>0</v>
      </c>
      <c r="V54" s="75">
        <f t="shared" si="9"/>
        <v>0</v>
      </c>
    </row>
    <row r="55" spans="1:22" x14ac:dyDescent="0.25">
      <c r="A55" s="27">
        <f t="shared" si="1"/>
        <v>52</v>
      </c>
      <c r="B55" s="26"/>
      <c r="C55" s="70"/>
      <c r="D55" s="70"/>
      <c r="E55" s="70"/>
      <c r="F55" s="70"/>
      <c r="G55" s="70"/>
      <c r="H55" s="70"/>
      <c r="I55" s="70"/>
      <c r="J55" s="71"/>
      <c r="K55" s="72"/>
      <c r="L55" s="55"/>
      <c r="M55" s="73"/>
      <c r="N55" s="74"/>
      <c r="O55" s="70"/>
      <c r="P55" s="71"/>
      <c r="Q55" s="71"/>
      <c r="R55" s="72"/>
      <c r="S55" s="55"/>
      <c r="T55" s="75"/>
      <c r="U55" s="75"/>
      <c r="V55" s="75"/>
    </row>
    <row r="56" spans="1:22" x14ac:dyDescent="0.25">
      <c r="A56" s="27">
        <f t="shared" si="1"/>
        <v>53</v>
      </c>
      <c r="B56" s="26"/>
      <c r="C56" s="70"/>
      <c r="D56" s="70"/>
      <c r="E56" s="70"/>
      <c r="F56" s="70"/>
      <c r="G56" s="70"/>
      <c r="H56" s="70"/>
      <c r="I56" s="70"/>
      <c r="J56" s="71"/>
      <c r="K56" s="72"/>
      <c r="L56" s="55"/>
      <c r="M56" s="73"/>
      <c r="N56" s="74"/>
      <c r="O56" s="70"/>
      <c r="P56" s="71"/>
      <c r="Q56" s="71"/>
      <c r="R56" s="72"/>
      <c r="S56" s="55"/>
      <c r="T56" s="75"/>
      <c r="U56" s="75"/>
      <c r="V56" s="75"/>
    </row>
    <row r="57" spans="1:22" x14ac:dyDescent="0.25">
      <c r="A57" s="27">
        <f t="shared" si="1"/>
        <v>54</v>
      </c>
      <c r="B57" s="26"/>
      <c r="C57" s="70"/>
      <c r="D57" s="70"/>
      <c r="E57" s="70"/>
      <c r="F57" s="70"/>
      <c r="G57" s="70"/>
      <c r="H57" s="70"/>
      <c r="I57" s="70"/>
      <c r="J57" s="71"/>
      <c r="K57" s="72"/>
      <c r="L57" s="55"/>
      <c r="M57" s="73"/>
      <c r="N57" s="74"/>
      <c r="O57" s="70"/>
      <c r="P57" s="71"/>
      <c r="Q57" s="71"/>
      <c r="R57" s="72"/>
      <c r="S57" s="55"/>
      <c r="T57" s="75"/>
      <c r="U57" s="75"/>
      <c r="V57" s="75"/>
    </row>
    <row r="58" spans="1:22" s="15" customFormat="1" ht="19.5" thickBot="1" x14ac:dyDescent="0.3">
      <c r="B58" s="29" t="s">
        <v>50</v>
      </c>
      <c r="C58" s="2">
        <f>SUM(C7:C57)</f>
        <v>48858</v>
      </c>
      <c r="D58" s="2"/>
      <c r="E58" s="2"/>
      <c r="F58" s="2">
        <f t="shared" ref="F58:K58" si="11">SUM(F7:F57)</f>
        <v>0</v>
      </c>
      <c r="G58" s="2">
        <f t="shared" si="11"/>
        <v>0</v>
      </c>
      <c r="H58" s="2">
        <f t="shared" si="11"/>
        <v>1192</v>
      </c>
      <c r="I58" s="6">
        <f t="shared" si="11"/>
        <v>38</v>
      </c>
      <c r="J58" s="6">
        <f t="shared" si="11"/>
        <v>87</v>
      </c>
      <c r="K58" s="6">
        <f t="shared" si="11"/>
        <v>470</v>
      </c>
      <c r="M58" s="5">
        <f t="shared" ref="M58:R58" si="12">SUM(M7:M57)</f>
        <v>376</v>
      </c>
      <c r="N58" s="5">
        <f t="shared" si="12"/>
        <v>0</v>
      </c>
      <c r="O58" s="5">
        <f t="shared" si="12"/>
        <v>445</v>
      </c>
      <c r="P58" s="5">
        <f t="shared" si="12"/>
        <v>19</v>
      </c>
      <c r="Q58" s="5">
        <f t="shared" si="12"/>
        <v>643</v>
      </c>
      <c r="R58" s="5">
        <f t="shared" si="12"/>
        <v>7</v>
      </c>
      <c r="S58" s="55"/>
      <c r="T58" s="4">
        <f>SUM(T7:T57)</f>
        <v>1813</v>
      </c>
      <c r="U58" s="90">
        <f>SUM(U7:U57)</f>
        <v>378571</v>
      </c>
      <c r="V58" s="4">
        <f>SUM(V7:V57)</f>
        <v>50466.041666666664</v>
      </c>
    </row>
    <row r="59" spans="1:22" ht="7.5" customHeight="1" thickBot="1" x14ac:dyDescent="0.3"/>
    <row r="60" spans="1:22" ht="19.5" thickBot="1" x14ac:dyDescent="0.3">
      <c r="B60" s="30" t="s">
        <v>37</v>
      </c>
      <c r="C60" s="113" t="s">
        <v>41</v>
      </c>
      <c r="D60" s="114"/>
      <c r="E60" s="114"/>
      <c r="F60" s="114"/>
      <c r="G60" s="114"/>
      <c r="H60" s="114"/>
      <c r="I60" s="114"/>
      <c r="J60" s="114"/>
      <c r="K60" s="115"/>
      <c r="U60" s="24" t="s">
        <v>51</v>
      </c>
    </row>
    <row r="61" spans="1:22" x14ac:dyDescent="0.25">
      <c r="B61" s="31" t="s">
        <v>17</v>
      </c>
      <c r="C61" s="19"/>
      <c r="D61" s="19"/>
      <c r="E61" s="19"/>
      <c r="F61" s="19"/>
      <c r="G61" s="19"/>
      <c r="H61" s="19"/>
      <c r="I61" s="19"/>
      <c r="J61" s="45"/>
      <c r="K61" s="20"/>
      <c r="U61" s="7"/>
    </row>
    <row r="62" spans="1:22" x14ac:dyDescent="0.25">
      <c r="B62" s="32" t="s">
        <v>45</v>
      </c>
      <c r="C62" s="1"/>
      <c r="D62" s="1"/>
      <c r="E62" s="1"/>
      <c r="F62" s="1"/>
      <c r="G62" s="1"/>
      <c r="H62" s="1"/>
      <c r="I62" s="1"/>
      <c r="J62" s="44"/>
      <c r="K62" s="21"/>
      <c r="U62" s="3"/>
    </row>
    <row r="63" spans="1:22" ht="19.5" thickBot="1" x14ac:dyDescent="0.3">
      <c r="B63" s="33" t="s">
        <v>44</v>
      </c>
      <c r="C63" s="22"/>
      <c r="D63" s="22"/>
      <c r="E63" s="22"/>
      <c r="F63" s="22"/>
      <c r="G63" s="22"/>
      <c r="H63" s="22"/>
      <c r="I63" s="22"/>
      <c r="J63" s="46"/>
      <c r="K63" s="23"/>
      <c r="U63" s="8"/>
    </row>
    <row r="64" spans="1:22" ht="7.5" customHeight="1" thickBot="1" x14ac:dyDescent="0.3"/>
    <row r="65" spans="2:21" x14ac:dyDescent="0.25">
      <c r="B65" s="31" t="s">
        <v>46</v>
      </c>
      <c r="C65" s="19"/>
      <c r="D65" s="19"/>
      <c r="E65" s="19"/>
      <c r="F65" s="19"/>
      <c r="G65" s="19"/>
      <c r="H65" s="19"/>
      <c r="I65" s="19"/>
      <c r="J65" s="45"/>
      <c r="K65" s="20"/>
      <c r="U65" s="7"/>
    </row>
    <row r="66" spans="2:21" x14ac:dyDescent="0.25">
      <c r="B66" s="32" t="s">
        <v>45</v>
      </c>
      <c r="C66" s="1"/>
      <c r="D66" s="1"/>
      <c r="E66" s="1"/>
      <c r="F66" s="1"/>
      <c r="G66" s="1"/>
      <c r="H66" s="1"/>
      <c r="I66" s="1"/>
      <c r="J66" s="44"/>
      <c r="K66" s="21"/>
      <c r="U66" s="3"/>
    </row>
    <row r="67" spans="2:21" ht="19.5" thickBot="1" x14ac:dyDescent="0.3">
      <c r="B67" s="33" t="s">
        <v>44</v>
      </c>
      <c r="C67" s="22"/>
      <c r="D67" s="22"/>
      <c r="E67" s="22"/>
      <c r="F67" s="22"/>
      <c r="G67" s="22"/>
      <c r="H67" s="22"/>
      <c r="I67" s="22"/>
      <c r="J67" s="46"/>
      <c r="K67" s="23"/>
      <c r="U67" s="8"/>
    </row>
    <row r="68" spans="2:21" ht="7.5" customHeight="1" thickBot="1" x14ac:dyDescent="0.3"/>
    <row r="69" spans="2:21" x14ac:dyDescent="0.25">
      <c r="B69" s="31" t="s">
        <v>38</v>
      </c>
      <c r="C69" s="19"/>
      <c r="D69" s="19"/>
      <c r="E69" s="19"/>
      <c r="F69" s="19"/>
      <c r="G69" s="19"/>
      <c r="H69" s="19"/>
      <c r="I69" s="19"/>
      <c r="J69" s="45"/>
      <c r="K69" s="20"/>
      <c r="U69" s="7"/>
    </row>
    <row r="70" spans="2:21" x14ac:dyDescent="0.25">
      <c r="B70" s="32" t="s">
        <v>45</v>
      </c>
      <c r="C70" s="1"/>
      <c r="D70" s="1"/>
      <c r="E70" s="1"/>
      <c r="F70" s="1"/>
      <c r="G70" s="1"/>
      <c r="H70" s="1"/>
      <c r="I70" s="1"/>
      <c r="J70" s="44"/>
      <c r="K70" s="21"/>
      <c r="U70" s="3"/>
    </row>
    <row r="71" spans="2:21" ht="19.5" thickBot="1" x14ac:dyDescent="0.3">
      <c r="B71" s="33" t="s">
        <v>44</v>
      </c>
      <c r="C71" s="22"/>
      <c r="D71" s="22"/>
      <c r="E71" s="22"/>
      <c r="F71" s="22"/>
      <c r="G71" s="22"/>
      <c r="H71" s="22"/>
      <c r="I71" s="22"/>
      <c r="J71" s="46"/>
      <c r="K71" s="23"/>
      <c r="U71" s="8"/>
    </row>
    <row r="72" spans="2:21" ht="7.5" customHeight="1" thickBot="1" x14ac:dyDescent="0.3"/>
    <row r="73" spans="2:21" x14ac:dyDescent="0.25">
      <c r="B73" s="31" t="s">
        <v>47</v>
      </c>
      <c r="C73" s="19"/>
      <c r="D73" s="19"/>
      <c r="E73" s="19"/>
      <c r="F73" s="19"/>
      <c r="G73" s="19"/>
      <c r="H73" s="19"/>
      <c r="I73" s="19"/>
      <c r="J73" s="45"/>
      <c r="K73" s="20"/>
      <c r="U73" s="7"/>
    </row>
    <row r="74" spans="2:21" x14ac:dyDescent="0.25">
      <c r="B74" s="32" t="s">
        <v>45</v>
      </c>
      <c r="C74" s="1"/>
      <c r="D74" s="1"/>
      <c r="E74" s="1"/>
      <c r="F74" s="1"/>
      <c r="G74" s="1"/>
      <c r="H74" s="1"/>
      <c r="I74" s="1"/>
      <c r="J74" s="44"/>
      <c r="K74" s="21"/>
      <c r="U74" s="3"/>
    </row>
    <row r="75" spans="2:21" ht="19.5" thickBot="1" x14ac:dyDescent="0.3">
      <c r="B75" s="33" t="s">
        <v>44</v>
      </c>
      <c r="C75" s="22"/>
      <c r="D75" s="22"/>
      <c r="E75" s="22"/>
      <c r="F75" s="22"/>
      <c r="G75" s="22"/>
      <c r="H75" s="22"/>
      <c r="I75" s="22"/>
      <c r="J75" s="46"/>
      <c r="K75" s="23"/>
      <c r="U75" s="8"/>
    </row>
    <row r="76" spans="2:21" ht="7.5" customHeight="1" thickBot="1" x14ac:dyDescent="0.3"/>
    <row r="77" spans="2:21" x14ac:dyDescent="0.25">
      <c r="B77" s="31" t="s">
        <v>48</v>
      </c>
      <c r="C77" s="19"/>
      <c r="D77" s="19"/>
      <c r="E77" s="19"/>
      <c r="F77" s="19"/>
      <c r="G77" s="19"/>
      <c r="H77" s="19"/>
      <c r="I77" s="19"/>
      <c r="J77" s="45"/>
      <c r="K77" s="20"/>
      <c r="U77" s="7"/>
    </row>
    <row r="78" spans="2:21" x14ac:dyDescent="0.25">
      <c r="B78" s="32" t="s">
        <v>45</v>
      </c>
      <c r="C78" s="1"/>
      <c r="D78" s="1"/>
      <c r="E78" s="1"/>
      <c r="F78" s="1"/>
      <c r="G78" s="1"/>
      <c r="H78" s="1"/>
      <c r="I78" s="1"/>
      <c r="J78" s="44"/>
      <c r="K78" s="21"/>
      <c r="U78" s="3"/>
    </row>
    <row r="79" spans="2:21" ht="19.5" thickBot="1" x14ac:dyDescent="0.3">
      <c r="B79" s="33" t="s">
        <v>44</v>
      </c>
      <c r="C79" s="22"/>
      <c r="D79" s="22"/>
      <c r="E79" s="22"/>
      <c r="F79" s="22"/>
      <c r="G79" s="22"/>
      <c r="H79" s="22"/>
      <c r="I79" s="22"/>
      <c r="J79" s="46"/>
      <c r="K79" s="23"/>
      <c r="U79" s="8"/>
    </row>
    <row r="80" spans="2:21" ht="7.5" customHeight="1" thickBot="1" x14ac:dyDescent="0.3"/>
    <row r="81" spans="2:21" ht="19.5" thickBot="1" x14ac:dyDescent="0.3">
      <c r="B81" s="30" t="s">
        <v>49</v>
      </c>
      <c r="C81" s="17"/>
      <c r="D81" s="17"/>
      <c r="E81" s="17"/>
      <c r="F81" s="17"/>
      <c r="G81" s="17"/>
      <c r="H81" s="17"/>
      <c r="I81" s="17"/>
      <c r="J81" s="47"/>
      <c r="K81" s="18"/>
      <c r="U81" s="16"/>
    </row>
  </sheetData>
  <mergeCells count="7">
    <mergeCell ref="V4:V5"/>
    <mergeCell ref="J5:K5"/>
    <mergeCell ref="C60:K60"/>
    <mergeCell ref="I1:U1"/>
    <mergeCell ref="C4:K4"/>
    <mergeCell ref="T4:T5"/>
    <mergeCell ref="U4:U5"/>
  </mergeCells>
  <printOptions horizontalCentered="1" verticalCentered="1"/>
  <pageMargins left="0.19685039370078741" right="0.19685039370078741" top="0.19685039370078741" bottom="0.19685039370078741" header="0.19685039370078741" footer="0.19685039370078741"/>
  <pageSetup paperSize="14" scale="70" orientation="portrait" horizontalDpi="360" verticalDpi="360" r:id="rId1"/>
  <colBreaks count="1" manualBreakCount="1">
    <brk id="24" max="80" man="1"/>
  </colBreaks>
</worksheet>
</file>

<file path=xl/worksheets/sheet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E90C1C8C-E747-496B-BE70-EA58545B1CAD}">
  <sheetPr>
    <pageSetUpPr fitToPage="1"/>
  </sheetPr>
  <dimension ref="A1:BB81"/>
  <sheetViews>
    <sheetView topLeftCell="A40" zoomScale="130" zoomScaleNormal="130" zoomScaleSheetLayoutView="115" workbookViewId="0">
      <selection activeCell="U58" sqref="U58"/>
    </sheetView>
  </sheetViews>
  <sheetFormatPr defaultColWidth="9.140625" defaultRowHeight="18.75" x14ac:dyDescent="0.25"/>
  <cols>
    <col min="1" max="1" width="4.140625" style="9" bestFit="1" customWidth="1"/>
    <col min="2" max="2" width="12.28515625" style="28" customWidth="1"/>
    <col min="3" max="6" width="10" style="9" customWidth="1"/>
    <col min="7" max="7" width="6.85546875" style="9" customWidth="1"/>
    <col min="8" max="8" width="7.5703125" style="9" bestFit="1" customWidth="1"/>
    <col min="9" max="9" width="6.7109375" style="9" bestFit="1" customWidth="1"/>
    <col min="10" max="10" width="6.85546875" style="9" customWidth="1"/>
    <col min="11" max="11" width="7.5703125" style="9" bestFit="1" customWidth="1"/>
    <col min="12" max="12" width="1.42578125" style="9" customWidth="1"/>
    <col min="13" max="13" width="10" style="9" customWidth="1"/>
    <col min="14" max="14" width="6.7109375" style="9" bestFit="1" customWidth="1"/>
    <col min="15" max="15" width="10" style="9" customWidth="1"/>
    <col min="16" max="16" width="5.5703125" style="9" customWidth="1"/>
    <col min="17" max="17" width="10" style="9" customWidth="1"/>
    <col min="18" max="18" width="6.7109375" style="9" bestFit="1" customWidth="1"/>
    <col min="19" max="19" width="1.42578125" style="9" customWidth="1"/>
    <col min="20" max="20" width="12.7109375" style="9" bestFit="1" customWidth="1"/>
    <col min="21" max="21" width="14.28515625" style="9" customWidth="1"/>
    <col min="22" max="22" width="19.5703125" style="9" bestFit="1" customWidth="1"/>
    <col min="23" max="49" width="7.28515625" style="9" customWidth="1"/>
    <col min="50" max="50" width="1.5703125" style="9" customWidth="1"/>
    <col min="51" max="51" width="9.42578125" style="9" customWidth="1"/>
    <col min="52" max="52" width="1.28515625" style="9" customWidth="1"/>
    <col min="53" max="53" width="12.7109375" style="9" bestFit="1" customWidth="1"/>
    <col min="54" max="54" width="10.28515625" style="9" bestFit="1" customWidth="1"/>
    <col min="55" max="16384" width="9.140625" style="9"/>
  </cols>
  <sheetData>
    <row r="1" spans="1:54" ht="15" customHeight="1" x14ac:dyDescent="0.25">
      <c r="B1" s="27" t="s">
        <v>42</v>
      </c>
      <c r="I1" s="116" t="s">
        <v>43</v>
      </c>
      <c r="J1" s="116"/>
      <c r="K1" s="116"/>
      <c r="L1" s="116"/>
      <c r="M1" s="116"/>
      <c r="N1" s="116"/>
      <c r="O1" s="116"/>
      <c r="P1" s="116"/>
      <c r="Q1" s="116"/>
      <c r="R1" s="116"/>
      <c r="S1" s="116"/>
      <c r="T1" s="116"/>
      <c r="U1" s="116"/>
    </row>
    <row r="2" spans="1:54" x14ac:dyDescent="0.25">
      <c r="B2" s="28" t="s">
        <v>78</v>
      </c>
    </row>
    <row r="3" spans="1:54" ht="19.5" thickBot="1" x14ac:dyDescent="0.3"/>
    <row r="4" spans="1:54" s="10" customFormat="1" ht="15.75" x14ac:dyDescent="0.25">
      <c r="B4" s="41" t="s">
        <v>52</v>
      </c>
      <c r="C4" s="117" t="s">
        <v>41</v>
      </c>
      <c r="D4" s="117"/>
      <c r="E4" s="117"/>
      <c r="F4" s="117"/>
      <c r="G4" s="117"/>
      <c r="H4" s="117"/>
      <c r="I4" s="117"/>
      <c r="J4" s="118"/>
      <c r="K4" s="119"/>
      <c r="M4" s="34" t="s">
        <v>0</v>
      </c>
      <c r="N4" s="48" t="s">
        <v>61</v>
      </c>
      <c r="O4" s="35" t="s">
        <v>39</v>
      </c>
      <c r="P4" s="48" t="s">
        <v>61</v>
      </c>
      <c r="Q4" s="36" t="s">
        <v>40</v>
      </c>
      <c r="R4" s="48" t="s">
        <v>61</v>
      </c>
      <c r="S4" s="9"/>
      <c r="T4" s="120" t="s">
        <v>68</v>
      </c>
      <c r="U4" s="126" t="s">
        <v>67</v>
      </c>
      <c r="V4" s="109" t="s">
        <v>66</v>
      </c>
      <c r="AF4" s="11"/>
      <c r="AG4" s="11"/>
      <c r="AH4" s="11"/>
      <c r="AI4" s="11"/>
      <c r="AJ4" s="11"/>
      <c r="AK4" s="11"/>
      <c r="AL4" s="11"/>
      <c r="AM4" s="11"/>
      <c r="AN4" s="11"/>
      <c r="AO4" s="11"/>
      <c r="AP4" s="11"/>
      <c r="AQ4" s="11"/>
      <c r="AR4" s="11"/>
      <c r="AS4" s="11"/>
      <c r="AT4" s="11"/>
      <c r="AU4" s="11"/>
      <c r="AV4" s="11"/>
      <c r="AW4" s="11"/>
      <c r="AX4" s="11"/>
      <c r="AY4" s="11"/>
      <c r="AZ4" s="11"/>
      <c r="BA4" s="11"/>
      <c r="BB4" s="11"/>
    </row>
    <row r="5" spans="1:54" s="10" customFormat="1" ht="15.75" x14ac:dyDescent="0.25">
      <c r="B5" s="37"/>
      <c r="C5" s="40"/>
      <c r="D5" s="40"/>
      <c r="E5" s="40"/>
      <c r="F5" s="40"/>
      <c r="G5" s="40"/>
      <c r="H5" s="40" t="s">
        <v>64</v>
      </c>
      <c r="I5" s="40" t="s">
        <v>60</v>
      </c>
      <c r="J5" s="124" t="s">
        <v>65</v>
      </c>
      <c r="K5" s="125"/>
      <c r="M5" s="37"/>
      <c r="N5" s="49"/>
      <c r="O5" s="40"/>
      <c r="P5" s="98"/>
      <c r="Q5" s="98"/>
      <c r="R5" s="38"/>
      <c r="S5" s="9"/>
      <c r="T5" s="121"/>
      <c r="U5" s="127"/>
      <c r="V5" s="110"/>
      <c r="AF5" s="11"/>
      <c r="AG5" s="11"/>
      <c r="AH5" s="11"/>
      <c r="AI5" s="11"/>
      <c r="AJ5" s="11"/>
      <c r="AK5" s="11"/>
      <c r="AL5" s="11"/>
      <c r="AM5" s="11"/>
      <c r="AN5" s="11"/>
      <c r="AO5" s="11"/>
      <c r="AP5" s="11"/>
      <c r="AQ5" s="11"/>
      <c r="AR5" s="11"/>
      <c r="AS5" s="11"/>
      <c r="AT5" s="11"/>
      <c r="AU5" s="11"/>
      <c r="AV5" s="11"/>
      <c r="AW5" s="11"/>
      <c r="AX5" s="11"/>
      <c r="AY5" s="11"/>
      <c r="AZ5" s="11"/>
      <c r="BA5" s="11"/>
      <c r="BB5" s="11"/>
    </row>
    <row r="6" spans="1:54" s="10" customFormat="1" ht="15.75" x14ac:dyDescent="0.25">
      <c r="B6" s="37"/>
      <c r="C6" s="40"/>
      <c r="D6" s="40"/>
      <c r="E6" s="40"/>
      <c r="F6" s="40"/>
      <c r="G6" s="40"/>
      <c r="H6" s="40"/>
      <c r="I6" s="40"/>
      <c r="J6" s="98"/>
      <c r="K6" s="38"/>
      <c r="M6" s="37"/>
      <c r="N6" s="49"/>
      <c r="O6" s="40"/>
      <c r="P6" s="98"/>
      <c r="Q6" s="98"/>
      <c r="R6" s="38"/>
      <c r="S6" s="9"/>
      <c r="T6" s="39"/>
      <c r="U6" s="39"/>
      <c r="V6" s="39"/>
      <c r="AF6" s="11"/>
      <c r="AG6" s="11"/>
      <c r="AH6" s="11"/>
      <c r="AI6" s="11"/>
      <c r="AJ6" s="11"/>
      <c r="AK6" s="11"/>
      <c r="AL6" s="11"/>
      <c r="AM6" s="11"/>
      <c r="AN6" s="11"/>
      <c r="AO6" s="11"/>
      <c r="AP6" s="11"/>
      <c r="AQ6" s="11"/>
      <c r="AR6" s="11"/>
      <c r="AS6" s="11"/>
      <c r="AT6" s="11"/>
      <c r="AU6" s="11"/>
      <c r="AV6" s="11"/>
      <c r="AW6" s="11"/>
      <c r="AX6" s="11"/>
      <c r="AY6" s="11"/>
      <c r="AZ6" s="11"/>
      <c r="BA6" s="11"/>
      <c r="BB6" s="11"/>
    </row>
    <row r="7" spans="1:54" x14ac:dyDescent="0.25">
      <c r="A7" s="27">
        <v>1</v>
      </c>
      <c r="B7" s="26" t="s">
        <v>32</v>
      </c>
      <c r="C7" s="52">
        <v>32</v>
      </c>
      <c r="D7" s="52"/>
      <c r="E7" s="52"/>
      <c r="F7" s="52"/>
      <c r="G7" s="52"/>
      <c r="H7" s="52"/>
      <c r="I7" s="52">
        <v>3</v>
      </c>
      <c r="J7" s="53"/>
      <c r="K7" s="54">
        <v>6</v>
      </c>
      <c r="L7" s="55"/>
      <c r="M7" s="56"/>
      <c r="N7" s="57"/>
      <c r="O7" s="52">
        <v>1</v>
      </c>
      <c r="P7" s="53"/>
      <c r="Q7" s="53">
        <v>1</v>
      </c>
      <c r="R7" s="54"/>
      <c r="S7" s="55"/>
      <c r="T7" s="58">
        <f>H7+I7+J7+K7+N7+P7+R7</f>
        <v>9</v>
      </c>
      <c r="U7" s="58">
        <f>C7*24+M7*24+O7*24+Q7*24+T7</f>
        <v>825</v>
      </c>
      <c r="V7" s="58">
        <f>U7/24</f>
        <v>34.375</v>
      </c>
      <c r="W7" s="50"/>
      <c r="AF7" s="12"/>
      <c r="AG7" s="12"/>
      <c r="AH7" s="12"/>
      <c r="AI7" s="12"/>
      <c r="AJ7" s="12"/>
      <c r="AK7" s="12"/>
      <c r="AL7" s="12"/>
      <c r="AM7" s="12"/>
      <c r="AN7" s="12"/>
      <c r="AO7" s="12"/>
      <c r="AP7" s="12"/>
      <c r="AQ7" s="12"/>
      <c r="AR7" s="12"/>
      <c r="AS7" s="12"/>
      <c r="AT7" s="12"/>
      <c r="AU7" s="12"/>
      <c r="AV7" s="12"/>
      <c r="AW7" s="12"/>
      <c r="AX7" s="12"/>
      <c r="AY7" s="12"/>
      <c r="AZ7" s="12"/>
      <c r="BA7" s="12"/>
      <c r="BB7" s="12"/>
    </row>
    <row r="8" spans="1:54" ht="19.5" thickBot="1" x14ac:dyDescent="0.3">
      <c r="A8" s="27">
        <f>A7+1</f>
        <v>2</v>
      </c>
      <c r="B8" s="42" t="s">
        <v>35</v>
      </c>
      <c r="C8" s="59">
        <f>41+43</f>
        <v>84</v>
      </c>
      <c r="D8" s="59"/>
      <c r="E8" s="59"/>
      <c r="F8" s="59"/>
      <c r="G8" s="59"/>
      <c r="H8" s="59"/>
      <c r="I8" s="59"/>
      <c r="J8" s="60"/>
      <c r="K8" s="61"/>
      <c r="L8" s="62"/>
      <c r="M8" s="63">
        <v>1</v>
      </c>
      <c r="N8" s="64"/>
      <c r="O8" s="65">
        <v>1</v>
      </c>
      <c r="P8" s="66">
        <v>12</v>
      </c>
      <c r="Q8" s="66">
        <v>1</v>
      </c>
      <c r="R8" s="67"/>
      <c r="S8" s="62"/>
      <c r="T8" s="68">
        <f t="shared" ref="T8:T41" si="0">H8+I8+J8+K8+N8+P8+R8</f>
        <v>12</v>
      </c>
      <c r="U8" s="69">
        <f>C8*24+M8*24+O8*24+Q8*24+T8</f>
        <v>2100</v>
      </c>
      <c r="V8" s="69">
        <f>U8/24</f>
        <v>87.5</v>
      </c>
      <c r="W8" s="50"/>
      <c r="AF8" s="12"/>
      <c r="AG8" s="12"/>
      <c r="AH8" s="12"/>
      <c r="AI8" s="12"/>
      <c r="AJ8" s="12"/>
      <c r="AK8" s="12"/>
      <c r="AL8" s="12"/>
      <c r="AM8" s="12"/>
      <c r="AN8" s="12"/>
      <c r="AO8" s="12"/>
      <c r="AP8" s="12"/>
      <c r="AQ8" s="12"/>
      <c r="AR8" s="12"/>
      <c r="AS8" s="12"/>
      <c r="AT8" s="12"/>
      <c r="AU8" s="12"/>
      <c r="AV8" s="12"/>
      <c r="AW8" s="12"/>
      <c r="AX8" s="12"/>
      <c r="AY8" s="12"/>
      <c r="AZ8" s="12"/>
      <c r="BA8" s="12"/>
      <c r="BB8" s="12"/>
    </row>
    <row r="9" spans="1:54" x14ac:dyDescent="0.25">
      <c r="A9" s="27">
        <f t="shared" ref="A9:A57" si="1">A8+1</f>
        <v>3</v>
      </c>
      <c r="B9" s="25" t="s">
        <v>33</v>
      </c>
      <c r="C9" s="70">
        <f>60+30</f>
        <v>90</v>
      </c>
      <c r="D9" s="70"/>
      <c r="E9" s="70"/>
      <c r="F9" s="70"/>
      <c r="G9" s="70"/>
      <c r="H9" s="70"/>
      <c r="I9" s="70"/>
      <c r="J9" s="71"/>
      <c r="K9" s="72"/>
      <c r="L9" s="55"/>
      <c r="M9" s="73"/>
      <c r="N9" s="74"/>
      <c r="O9" s="70">
        <v>1</v>
      </c>
      <c r="P9" s="71"/>
      <c r="Q9" s="71"/>
      <c r="R9" s="72"/>
      <c r="S9" s="55"/>
      <c r="T9" s="75">
        <f t="shared" si="0"/>
        <v>0</v>
      </c>
      <c r="U9" s="76">
        <f t="shared" ref="U9:U11" si="2">C9*24+M9*24+O9*24+Q9*24+T9</f>
        <v>2184</v>
      </c>
      <c r="V9" s="76">
        <f t="shared" ref="V9:V11" si="3">U9/24</f>
        <v>91</v>
      </c>
      <c r="W9" s="50"/>
      <c r="AF9" s="12"/>
      <c r="AG9" s="12"/>
      <c r="AH9" s="12"/>
      <c r="AI9" s="12"/>
      <c r="AJ9" s="12"/>
      <c r="AK9" s="12"/>
      <c r="AL9" s="12"/>
      <c r="AM9" s="12"/>
      <c r="AN9" s="12"/>
      <c r="AO9" s="12"/>
      <c r="AP9" s="12"/>
      <c r="AQ9" s="12"/>
      <c r="AR9" s="12"/>
      <c r="AS9" s="12"/>
      <c r="AT9" s="12"/>
      <c r="AU9" s="12"/>
      <c r="AV9" s="12"/>
      <c r="AW9" s="12"/>
      <c r="AX9" s="12"/>
      <c r="AY9" s="12"/>
      <c r="AZ9" s="12"/>
      <c r="BA9" s="12"/>
      <c r="BB9" s="12"/>
    </row>
    <row r="10" spans="1:54" x14ac:dyDescent="0.25">
      <c r="A10" s="27">
        <f t="shared" si="1"/>
        <v>4</v>
      </c>
      <c r="B10" s="26" t="s">
        <v>36</v>
      </c>
      <c r="C10" s="70">
        <f>36+10</f>
        <v>46</v>
      </c>
      <c r="D10" s="70"/>
      <c r="E10" s="70"/>
      <c r="F10" s="70"/>
      <c r="G10" s="70"/>
      <c r="H10" s="70"/>
      <c r="I10" s="70"/>
      <c r="J10" s="71"/>
      <c r="K10" s="72"/>
      <c r="L10" s="55"/>
      <c r="M10" s="73"/>
      <c r="N10" s="74"/>
      <c r="O10" s="70"/>
      <c r="P10" s="71"/>
      <c r="Q10" s="71"/>
      <c r="R10" s="72"/>
      <c r="S10" s="55"/>
      <c r="T10" s="58">
        <f t="shared" si="0"/>
        <v>0</v>
      </c>
      <c r="U10" s="58">
        <f t="shared" si="2"/>
        <v>1104</v>
      </c>
      <c r="V10" s="58">
        <f t="shared" si="3"/>
        <v>46</v>
      </c>
      <c r="W10" s="50"/>
      <c r="AF10" s="12"/>
      <c r="AG10" s="12"/>
      <c r="AH10" s="12"/>
      <c r="AI10" s="12"/>
      <c r="AJ10" s="12"/>
      <c r="AK10" s="12"/>
      <c r="AL10" s="12"/>
      <c r="AM10" s="12"/>
      <c r="AN10" s="12"/>
      <c r="AO10" s="12"/>
      <c r="AP10" s="12"/>
      <c r="AQ10" s="12"/>
      <c r="AR10" s="12"/>
      <c r="AS10" s="12"/>
      <c r="AT10" s="12"/>
      <c r="AU10" s="12"/>
      <c r="AV10" s="12"/>
      <c r="AW10" s="12"/>
      <c r="AX10" s="12"/>
      <c r="AY10" s="12"/>
      <c r="AZ10" s="12"/>
      <c r="BA10" s="12"/>
      <c r="BB10" s="12"/>
    </row>
    <row r="11" spans="1:54" x14ac:dyDescent="0.25">
      <c r="A11" s="27">
        <f t="shared" si="1"/>
        <v>5</v>
      </c>
      <c r="B11" s="26" t="s">
        <v>34</v>
      </c>
      <c r="C11" s="70">
        <v>9</v>
      </c>
      <c r="D11" s="70"/>
      <c r="E11" s="70"/>
      <c r="F11" s="70"/>
      <c r="G11" s="70"/>
      <c r="H11" s="70"/>
      <c r="I11" s="70"/>
      <c r="J11" s="71"/>
      <c r="K11" s="72">
        <v>2</v>
      </c>
      <c r="L11" s="55"/>
      <c r="M11" s="73"/>
      <c r="N11" s="74"/>
      <c r="O11" s="70"/>
      <c r="P11" s="71"/>
      <c r="Q11" s="71"/>
      <c r="R11" s="72"/>
      <c r="S11" s="55"/>
      <c r="T11" s="58">
        <f t="shared" si="0"/>
        <v>2</v>
      </c>
      <c r="U11" s="58">
        <f t="shared" si="2"/>
        <v>218</v>
      </c>
      <c r="V11" s="58">
        <f t="shared" si="3"/>
        <v>9.0833333333333339</v>
      </c>
      <c r="AF11" s="12"/>
      <c r="AG11" s="12"/>
      <c r="AH11" s="12"/>
      <c r="AI11" s="12"/>
      <c r="AJ11" s="12"/>
      <c r="AK11" s="12"/>
      <c r="AL11" s="12"/>
      <c r="AM11" s="12"/>
      <c r="AN11" s="12"/>
      <c r="AO11" s="12"/>
      <c r="AP11" s="12"/>
      <c r="AQ11" s="12"/>
      <c r="AR11" s="12"/>
      <c r="AS11" s="12"/>
      <c r="AT11" s="12"/>
      <c r="AU11" s="12"/>
      <c r="AV11" s="12"/>
      <c r="AW11" s="12"/>
      <c r="AX11" s="12"/>
      <c r="AY11" s="12"/>
      <c r="AZ11" s="12"/>
      <c r="BA11" s="12"/>
      <c r="BB11" s="12"/>
    </row>
    <row r="12" spans="1:54" s="13" customFormat="1" ht="19.5" thickBot="1" x14ac:dyDescent="0.3">
      <c r="A12" s="27">
        <v>7</v>
      </c>
      <c r="B12" s="42" t="s">
        <v>30</v>
      </c>
      <c r="C12" s="59">
        <f>1224+53+936+33+1080+29</f>
        <v>3355</v>
      </c>
      <c r="D12" s="59"/>
      <c r="E12" s="59"/>
      <c r="F12" s="59"/>
      <c r="G12" s="59"/>
      <c r="H12" s="59"/>
      <c r="I12" s="59"/>
      <c r="J12" s="60"/>
      <c r="K12" s="61"/>
      <c r="L12" s="62"/>
      <c r="M12" s="63">
        <v>9</v>
      </c>
      <c r="N12" s="64">
        <v>10</v>
      </c>
      <c r="O12" s="65">
        <v>10</v>
      </c>
      <c r="P12" s="66">
        <v>13</v>
      </c>
      <c r="Q12" s="66">
        <v>18</v>
      </c>
      <c r="R12" s="67">
        <v>1</v>
      </c>
      <c r="S12" s="62"/>
      <c r="T12" s="69">
        <f t="shared" si="0"/>
        <v>24</v>
      </c>
      <c r="U12" s="69">
        <f>C12*24+M12*24+O12*24+Q12*24+T12</f>
        <v>81432</v>
      </c>
      <c r="V12" s="69">
        <f>U12/24</f>
        <v>3393</v>
      </c>
      <c r="W12" s="9"/>
      <c r="X12" s="9"/>
      <c r="Y12" s="9"/>
      <c r="Z12" s="9"/>
      <c r="AA12" s="9"/>
      <c r="AB12" s="9"/>
      <c r="AC12" s="9"/>
      <c r="AD12" s="9"/>
      <c r="AE12" s="9"/>
      <c r="AF12" s="12"/>
      <c r="AG12" s="12"/>
      <c r="AH12" s="12"/>
      <c r="AI12" s="12"/>
      <c r="AJ12" s="12"/>
      <c r="AK12" s="12"/>
      <c r="AL12" s="12"/>
      <c r="AM12" s="12"/>
      <c r="AN12" s="12"/>
      <c r="AO12" s="12"/>
      <c r="AP12" s="12"/>
      <c r="AQ12" s="12"/>
      <c r="AR12" s="12"/>
      <c r="AS12" s="12"/>
      <c r="AT12" s="12"/>
      <c r="AU12" s="12"/>
      <c r="AV12" s="12"/>
      <c r="AW12" s="12"/>
      <c r="AX12" s="12"/>
      <c r="AY12" s="12"/>
      <c r="AZ12" s="12"/>
      <c r="BA12" s="12"/>
      <c r="BB12" s="12"/>
    </row>
    <row r="13" spans="1:54" x14ac:dyDescent="0.25">
      <c r="A13" s="27">
        <v>11</v>
      </c>
      <c r="B13" s="25" t="s">
        <v>1</v>
      </c>
      <c r="C13" s="70">
        <v>2</v>
      </c>
      <c r="D13" s="70"/>
      <c r="E13" s="70"/>
      <c r="F13" s="70"/>
      <c r="G13" s="70"/>
      <c r="H13" s="70">
        <v>16</v>
      </c>
      <c r="I13" s="70"/>
      <c r="J13" s="71"/>
      <c r="K13" s="72"/>
      <c r="L13" s="55"/>
      <c r="M13" s="73"/>
      <c r="N13" s="74"/>
      <c r="O13" s="70"/>
      <c r="P13" s="71"/>
      <c r="Q13" s="71"/>
      <c r="R13" s="72"/>
      <c r="S13" s="55"/>
      <c r="T13" s="76">
        <f t="shared" si="0"/>
        <v>16</v>
      </c>
      <c r="U13" s="76">
        <f>C13*24+M13*24+O13*24+Q13*24+T13</f>
        <v>64</v>
      </c>
      <c r="V13" s="76">
        <f>U13/24</f>
        <v>2.6666666666666665</v>
      </c>
      <c r="AF13" s="12"/>
      <c r="AG13" s="12"/>
      <c r="AH13" s="12"/>
      <c r="AI13" s="12"/>
      <c r="AJ13" s="12"/>
      <c r="AK13" s="12"/>
      <c r="AL13" s="12"/>
      <c r="AM13" s="12"/>
      <c r="AN13" s="12"/>
      <c r="AO13" s="12"/>
      <c r="AP13" s="12"/>
      <c r="AQ13" s="12"/>
      <c r="AR13" s="12"/>
      <c r="AS13" s="12"/>
      <c r="AT13" s="12"/>
      <c r="AU13" s="12"/>
      <c r="AV13" s="12"/>
      <c r="AW13" s="12"/>
      <c r="AX13" s="12"/>
      <c r="AY13" s="12"/>
      <c r="AZ13" s="12"/>
      <c r="BA13" s="12"/>
      <c r="BB13" s="12"/>
    </row>
    <row r="14" spans="1:54" x14ac:dyDescent="0.25">
      <c r="A14" s="27">
        <f t="shared" si="1"/>
        <v>12</v>
      </c>
      <c r="B14" s="26" t="s">
        <v>2</v>
      </c>
      <c r="C14" s="70">
        <v>2</v>
      </c>
      <c r="D14" s="70"/>
      <c r="E14" s="70"/>
      <c r="F14" s="70"/>
      <c r="G14" s="70"/>
      <c r="H14" s="70"/>
      <c r="I14" s="70"/>
      <c r="J14" s="71"/>
      <c r="K14" s="72"/>
      <c r="L14" s="55"/>
      <c r="M14" s="73"/>
      <c r="N14" s="74"/>
      <c r="O14" s="70"/>
      <c r="P14" s="71"/>
      <c r="Q14" s="71"/>
      <c r="R14" s="72"/>
      <c r="S14" s="55"/>
      <c r="T14" s="58">
        <f t="shared" si="0"/>
        <v>0</v>
      </c>
      <c r="U14" s="75">
        <f t="shared" ref="U14:U36" si="4">C14*24+M14*24+O14*24+Q14*24+T14</f>
        <v>48</v>
      </c>
      <c r="V14" s="75">
        <f t="shared" ref="V14:V36" si="5">U14/24</f>
        <v>2</v>
      </c>
      <c r="AF14" s="12"/>
      <c r="AG14" s="12"/>
      <c r="AH14" s="12"/>
      <c r="AI14" s="12"/>
      <c r="AJ14" s="12"/>
      <c r="AK14" s="12"/>
      <c r="AL14" s="12"/>
      <c r="AM14" s="12"/>
      <c r="AN14" s="12"/>
      <c r="AO14" s="12"/>
      <c r="AP14" s="12"/>
      <c r="AQ14" s="12"/>
      <c r="AR14" s="12"/>
      <c r="AS14" s="12"/>
      <c r="AT14" s="12"/>
      <c r="AU14" s="12"/>
      <c r="AV14" s="12"/>
      <c r="AW14" s="12"/>
      <c r="AX14" s="12"/>
      <c r="AY14" s="12"/>
      <c r="AZ14" s="12"/>
      <c r="BA14" s="12"/>
      <c r="BB14" s="12"/>
    </row>
    <row r="15" spans="1:54" x14ac:dyDescent="0.25">
      <c r="A15" s="27">
        <f t="shared" si="1"/>
        <v>13</v>
      </c>
      <c r="B15" s="26" t="s">
        <v>3</v>
      </c>
      <c r="C15" s="70"/>
      <c r="D15" s="70"/>
      <c r="E15" s="70"/>
      <c r="F15" s="70"/>
      <c r="G15" s="70"/>
      <c r="H15" s="70"/>
      <c r="I15" s="70"/>
      <c r="J15" s="71"/>
      <c r="K15" s="72"/>
      <c r="L15" s="55"/>
      <c r="M15" s="73"/>
      <c r="N15" s="74"/>
      <c r="O15" s="70"/>
      <c r="P15" s="71"/>
      <c r="Q15" s="71"/>
      <c r="R15" s="72"/>
      <c r="S15" s="55"/>
      <c r="T15" s="58">
        <f t="shared" si="0"/>
        <v>0</v>
      </c>
      <c r="U15" s="75">
        <f t="shared" si="4"/>
        <v>0</v>
      </c>
      <c r="V15" s="75">
        <f t="shared" si="5"/>
        <v>0</v>
      </c>
      <c r="AF15" s="12"/>
      <c r="AG15" s="12"/>
      <c r="AH15" s="12"/>
      <c r="AI15" s="12"/>
      <c r="AJ15" s="12"/>
      <c r="AK15" s="12"/>
      <c r="AL15" s="12"/>
      <c r="AM15" s="12"/>
      <c r="AN15" s="12"/>
      <c r="AO15" s="12"/>
      <c r="AP15" s="12"/>
      <c r="AQ15" s="12"/>
      <c r="AR15" s="12"/>
      <c r="AS15" s="12"/>
      <c r="AT15" s="12"/>
      <c r="AU15" s="12"/>
      <c r="AV15" s="12"/>
      <c r="AW15" s="12"/>
      <c r="AX15" s="12"/>
      <c r="AY15" s="12"/>
      <c r="AZ15" s="12"/>
      <c r="BA15" s="12"/>
      <c r="BB15" s="12"/>
    </row>
    <row r="16" spans="1:54" x14ac:dyDescent="0.25">
      <c r="A16" s="27">
        <f t="shared" si="1"/>
        <v>14</v>
      </c>
      <c r="B16" s="26" t="s">
        <v>4</v>
      </c>
      <c r="C16" s="70"/>
      <c r="D16" s="70"/>
      <c r="E16" s="70"/>
      <c r="F16" s="70"/>
      <c r="G16" s="70"/>
      <c r="H16" s="70"/>
      <c r="I16" s="70"/>
      <c r="J16" s="71"/>
      <c r="K16" s="72"/>
      <c r="L16" s="55"/>
      <c r="M16" s="73"/>
      <c r="N16" s="74"/>
      <c r="O16" s="70"/>
      <c r="P16" s="71"/>
      <c r="Q16" s="71"/>
      <c r="R16" s="72"/>
      <c r="S16" s="55"/>
      <c r="T16" s="58">
        <f t="shared" si="0"/>
        <v>0</v>
      </c>
      <c r="U16" s="75">
        <f t="shared" si="4"/>
        <v>0</v>
      </c>
      <c r="V16" s="75">
        <f t="shared" si="5"/>
        <v>0</v>
      </c>
      <c r="AF16" s="12"/>
      <c r="AG16" s="12"/>
      <c r="AH16" s="12"/>
      <c r="AI16" s="12"/>
      <c r="AJ16" s="12"/>
      <c r="AK16" s="12"/>
      <c r="AL16" s="12"/>
      <c r="AM16" s="12"/>
      <c r="AN16" s="12"/>
      <c r="AO16" s="12"/>
      <c r="AP16" s="12"/>
      <c r="AQ16" s="12"/>
      <c r="AR16" s="12"/>
      <c r="AS16" s="12"/>
      <c r="AT16" s="12"/>
      <c r="AU16" s="12"/>
      <c r="AV16" s="12"/>
      <c r="AW16" s="12"/>
      <c r="AX16" s="12"/>
      <c r="AY16" s="12"/>
      <c r="AZ16" s="12"/>
      <c r="BA16" s="12"/>
      <c r="BB16" s="12"/>
    </row>
    <row r="17" spans="1:54" x14ac:dyDescent="0.25">
      <c r="A17" s="27">
        <f t="shared" si="1"/>
        <v>15</v>
      </c>
      <c r="B17" s="26" t="s">
        <v>5</v>
      </c>
      <c r="C17" s="70"/>
      <c r="D17" s="70"/>
      <c r="E17" s="70"/>
      <c r="F17" s="70"/>
      <c r="G17" s="70"/>
      <c r="H17" s="70">
        <f>24*3</f>
        <v>72</v>
      </c>
      <c r="I17" s="70"/>
      <c r="J17" s="71"/>
      <c r="K17" s="72"/>
      <c r="L17" s="55"/>
      <c r="M17" s="73"/>
      <c r="N17" s="74"/>
      <c r="O17" s="70"/>
      <c r="P17" s="71"/>
      <c r="Q17" s="71"/>
      <c r="R17" s="72"/>
      <c r="S17" s="55"/>
      <c r="T17" s="58">
        <f t="shared" si="0"/>
        <v>72</v>
      </c>
      <c r="U17" s="75">
        <f t="shared" si="4"/>
        <v>72</v>
      </c>
      <c r="V17" s="75">
        <f t="shared" si="5"/>
        <v>3</v>
      </c>
      <c r="AF17" s="12"/>
      <c r="AG17" s="12"/>
      <c r="AH17" s="12"/>
      <c r="AI17" s="12"/>
      <c r="AJ17" s="12"/>
      <c r="AK17" s="12"/>
      <c r="AL17" s="12"/>
      <c r="AM17" s="12"/>
      <c r="AN17" s="12"/>
      <c r="AO17" s="12"/>
      <c r="AP17" s="12"/>
      <c r="AQ17" s="12"/>
      <c r="AR17" s="12"/>
      <c r="AS17" s="12"/>
      <c r="AT17" s="12"/>
      <c r="AU17" s="12"/>
      <c r="AV17" s="12"/>
      <c r="AW17" s="12"/>
      <c r="AX17" s="12"/>
      <c r="AY17" s="12"/>
      <c r="AZ17" s="12"/>
      <c r="BA17" s="12"/>
      <c r="BB17" s="12"/>
    </row>
    <row r="18" spans="1:54" hidden="1" x14ac:dyDescent="0.25">
      <c r="A18" s="27">
        <f t="shared" si="1"/>
        <v>16</v>
      </c>
      <c r="B18" s="26" t="s">
        <v>9</v>
      </c>
      <c r="C18" s="70"/>
      <c r="D18" s="70"/>
      <c r="E18" s="70"/>
      <c r="F18" s="70"/>
      <c r="G18" s="70"/>
      <c r="H18" s="70"/>
      <c r="I18" s="70"/>
      <c r="J18" s="71"/>
      <c r="K18" s="72"/>
      <c r="L18" s="55"/>
      <c r="M18" s="73"/>
      <c r="N18" s="74"/>
      <c r="O18" s="70"/>
      <c r="P18" s="71"/>
      <c r="Q18" s="71"/>
      <c r="R18" s="72"/>
      <c r="S18" s="55"/>
      <c r="T18" s="58">
        <f t="shared" si="0"/>
        <v>0</v>
      </c>
      <c r="U18" s="75">
        <f t="shared" si="4"/>
        <v>0</v>
      </c>
      <c r="V18" s="75">
        <f t="shared" si="5"/>
        <v>0</v>
      </c>
      <c r="AF18" s="12"/>
      <c r="AG18" s="12"/>
      <c r="AH18" s="12"/>
      <c r="AI18" s="12"/>
      <c r="AJ18" s="12"/>
      <c r="AK18" s="12"/>
      <c r="AL18" s="12"/>
      <c r="AM18" s="12"/>
      <c r="AN18" s="12"/>
      <c r="AO18" s="12"/>
      <c r="AP18" s="12"/>
      <c r="AQ18" s="12"/>
      <c r="AR18" s="12"/>
      <c r="AS18" s="12"/>
      <c r="AT18" s="12"/>
      <c r="AU18" s="12"/>
      <c r="AV18" s="12"/>
      <c r="AW18" s="12"/>
      <c r="AX18" s="12"/>
      <c r="AY18" s="12"/>
      <c r="AZ18" s="12"/>
      <c r="BA18" s="12"/>
      <c r="BB18" s="12"/>
    </row>
    <row r="19" spans="1:54" x14ac:dyDescent="0.25">
      <c r="A19" s="27">
        <v>16</v>
      </c>
      <c r="B19" s="26" t="s">
        <v>53</v>
      </c>
      <c r="C19" s="70">
        <v>2</v>
      </c>
      <c r="D19" s="70"/>
      <c r="E19" s="70"/>
      <c r="F19" s="70"/>
      <c r="G19" s="70"/>
      <c r="H19" s="70">
        <f>24+20</f>
        <v>44</v>
      </c>
      <c r="I19" s="70"/>
      <c r="J19" s="71"/>
      <c r="K19" s="72"/>
      <c r="L19" s="55"/>
      <c r="M19" s="73"/>
      <c r="N19" s="74"/>
      <c r="O19" s="70"/>
      <c r="P19" s="71"/>
      <c r="Q19" s="71"/>
      <c r="R19" s="72"/>
      <c r="S19" s="55"/>
      <c r="T19" s="58">
        <f t="shared" si="0"/>
        <v>44</v>
      </c>
      <c r="U19" s="75">
        <f t="shared" si="4"/>
        <v>92</v>
      </c>
      <c r="V19" s="75">
        <f t="shared" si="5"/>
        <v>3.8333333333333335</v>
      </c>
      <c r="AF19" s="12"/>
      <c r="AG19" s="12"/>
      <c r="AH19" s="12"/>
      <c r="AI19" s="12"/>
      <c r="AJ19" s="12"/>
      <c r="AK19" s="12"/>
      <c r="AL19" s="12"/>
      <c r="AM19" s="12"/>
      <c r="AN19" s="12"/>
      <c r="AO19" s="12"/>
      <c r="AP19" s="12"/>
      <c r="AQ19" s="12"/>
      <c r="AR19" s="12"/>
      <c r="AS19" s="12"/>
      <c r="AT19" s="12"/>
      <c r="AU19" s="12"/>
      <c r="AV19" s="12"/>
      <c r="AW19" s="12"/>
      <c r="AX19" s="12"/>
      <c r="AY19" s="12"/>
      <c r="AZ19" s="12"/>
      <c r="BA19" s="12"/>
      <c r="BB19" s="12"/>
    </row>
    <row r="20" spans="1:54" x14ac:dyDescent="0.25">
      <c r="A20" s="27">
        <f t="shared" si="1"/>
        <v>17</v>
      </c>
      <c r="B20" s="26" t="s">
        <v>6</v>
      </c>
      <c r="C20" s="70">
        <v>5</v>
      </c>
      <c r="D20" s="70"/>
      <c r="E20" s="70"/>
      <c r="F20" s="70"/>
      <c r="G20" s="70"/>
      <c r="H20" s="70"/>
      <c r="I20" s="70"/>
      <c r="J20" s="71"/>
      <c r="K20" s="72"/>
      <c r="L20" s="55"/>
      <c r="M20" s="73"/>
      <c r="N20" s="74"/>
      <c r="O20" s="70"/>
      <c r="P20" s="71"/>
      <c r="Q20" s="71"/>
      <c r="R20" s="72"/>
      <c r="S20" s="55"/>
      <c r="T20" s="58">
        <f t="shared" si="0"/>
        <v>0</v>
      </c>
      <c r="U20" s="75">
        <f t="shared" si="4"/>
        <v>120</v>
      </c>
      <c r="V20" s="75">
        <f t="shared" si="5"/>
        <v>5</v>
      </c>
      <c r="AF20" s="12"/>
      <c r="AG20" s="12"/>
      <c r="AH20" s="12"/>
      <c r="AI20" s="12"/>
      <c r="AJ20" s="12"/>
      <c r="AK20" s="12"/>
      <c r="AL20" s="12"/>
      <c r="AM20" s="12"/>
      <c r="AN20" s="12"/>
      <c r="AO20" s="12"/>
      <c r="AP20" s="12"/>
      <c r="AQ20" s="12"/>
      <c r="AR20" s="12"/>
      <c r="AS20" s="12"/>
      <c r="AT20" s="12"/>
      <c r="AU20" s="12"/>
      <c r="AV20" s="12"/>
      <c r="AW20" s="12"/>
      <c r="AX20" s="12"/>
      <c r="AY20" s="12"/>
      <c r="AZ20" s="12"/>
      <c r="BA20" s="12"/>
      <c r="BB20" s="12"/>
    </row>
    <row r="21" spans="1:54" x14ac:dyDescent="0.25">
      <c r="A21" s="27">
        <f t="shared" si="1"/>
        <v>18</v>
      </c>
      <c r="B21" s="26" t="s">
        <v>7</v>
      </c>
      <c r="C21" s="70"/>
      <c r="D21" s="70"/>
      <c r="E21" s="70"/>
      <c r="F21" s="70"/>
      <c r="G21" s="70"/>
      <c r="H21" s="70">
        <f>24*2</f>
        <v>48</v>
      </c>
      <c r="I21" s="70"/>
      <c r="J21" s="71"/>
      <c r="K21" s="72"/>
      <c r="L21" s="55"/>
      <c r="M21" s="73"/>
      <c r="N21" s="74"/>
      <c r="O21" s="70"/>
      <c r="P21" s="71"/>
      <c r="Q21" s="71"/>
      <c r="R21" s="72"/>
      <c r="S21" s="55"/>
      <c r="T21" s="58">
        <f t="shared" si="0"/>
        <v>48</v>
      </c>
      <c r="U21" s="75">
        <f t="shared" si="4"/>
        <v>48</v>
      </c>
      <c r="V21" s="75">
        <f t="shared" si="5"/>
        <v>2</v>
      </c>
      <c r="AF21" s="12"/>
      <c r="AG21" s="12"/>
      <c r="AH21" s="12"/>
      <c r="AI21" s="12"/>
      <c r="AJ21" s="12"/>
      <c r="AK21" s="12"/>
      <c r="AL21" s="12"/>
      <c r="AM21" s="12"/>
      <c r="AN21" s="12"/>
      <c r="AO21" s="12"/>
      <c r="AP21" s="12"/>
      <c r="AQ21" s="12"/>
      <c r="AR21" s="12"/>
      <c r="AS21" s="12"/>
      <c r="AT21" s="12"/>
      <c r="AU21" s="12"/>
      <c r="AV21" s="12"/>
      <c r="AW21" s="12"/>
      <c r="AX21" s="12"/>
      <c r="AY21" s="12"/>
      <c r="AZ21" s="12"/>
      <c r="BA21" s="12"/>
      <c r="BB21" s="12"/>
    </row>
    <row r="22" spans="1:54" s="13" customFormat="1" x14ac:dyDescent="0.25">
      <c r="A22" s="27">
        <f t="shared" si="1"/>
        <v>19</v>
      </c>
      <c r="B22" s="26" t="s">
        <v>54</v>
      </c>
      <c r="C22" s="70">
        <v>2</v>
      </c>
      <c r="D22" s="70"/>
      <c r="E22" s="70"/>
      <c r="F22" s="70"/>
      <c r="G22" s="70"/>
      <c r="H22" s="70"/>
      <c r="I22" s="70">
        <v>20</v>
      </c>
      <c r="J22" s="71"/>
      <c r="K22" s="72"/>
      <c r="L22" s="55"/>
      <c r="M22" s="73"/>
      <c r="N22" s="74"/>
      <c r="O22" s="70"/>
      <c r="P22" s="71"/>
      <c r="Q22" s="71"/>
      <c r="R22" s="72"/>
      <c r="S22" s="55"/>
      <c r="T22" s="58">
        <f t="shared" si="0"/>
        <v>20</v>
      </c>
      <c r="U22" s="75">
        <f t="shared" si="4"/>
        <v>68</v>
      </c>
      <c r="V22" s="75">
        <f t="shared" si="5"/>
        <v>2.8333333333333335</v>
      </c>
      <c r="W22" s="9"/>
      <c r="X22" s="9"/>
      <c r="Y22" s="9"/>
      <c r="Z22" s="9"/>
      <c r="AA22" s="9"/>
      <c r="AB22" s="9"/>
      <c r="AC22" s="9"/>
      <c r="AD22" s="9"/>
      <c r="AE22" s="9"/>
      <c r="AF22" s="12"/>
      <c r="AG22" s="12"/>
      <c r="AH22" s="12"/>
      <c r="AI22" s="12"/>
      <c r="AJ22" s="12"/>
      <c r="AK22" s="12"/>
      <c r="AL22" s="12"/>
      <c r="AM22" s="12"/>
      <c r="AN22" s="12"/>
      <c r="AO22" s="12"/>
      <c r="AP22" s="12"/>
      <c r="AQ22" s="12"/>
      <c r="AR22" s="12"/>
      <c r="AS22" s="12"/>
      <c r="AT22" s="12"/>
      <c r="AU22" s="12"/>
      <c r="AV22" s="12"/>
      <c r="AW22" s="12"/>
      <c r="AX22" s="12"/>
      <c r="AY22" s="12"/>
      <c r="AZ22" s="12"/>
      <c r="BA22" s="12"/>
      <c r="BB22" s="12"/>
    </row>
    <row r="23" spans="1:54" s="13" customFormat="1" x14ac:dyDescent="0.25">
      <c r="A23" s="27">
        <f t="shared" si="1"/>
        <v>20</v>
      </c>
      <c r="B23" s="26" t="s">
        <v>55</v>
      </c>
      <c r="C23" s="70"/>
      <c r="D23" s="70"/>
      <c r="E23" s="70"/>
      <c r="F23" s="70"/>
      <c r="G23" s="70"/>
      <c r="H23" s="70">
        <f>37*24+19</f>
        <v>907</v>
      </c>
      <c r="I23" s="70"/>
      <c r="J23" s="71"/>
      <c r="K23" s="72"/>
      <c r="L23" s="55"/>
      <c r="M23" s="73"/>
      <c r="N23" s="74"/>
      <c r="O23" s="70"/>
      <c r="P23" s="71"/>
      <c r="Q23" s="71"/>
      <c r="R23" s="72"/>
      <c r="S23" s="55"/>
      <c r="T23" s="58">
        <f t="shared" si="0"/>
        <v>907</v>
      </c>
      <c r="U23" s="75">
        <f t="shared" si="4"/>
        <v>907</v>
      </c>
      <c r="V23" s="75">
        <f t="shared" si="5"/>
        <v>37.791666666666664</v>
      </c>
      <c r="W23" s="9"/>
      <c r="X23" s="9"/>
      <c r="Y23" s="9"/>
      <c r="Z23" s="9"/>
      <c r="AA23" s="9"/>
      <c r="AB23" s="9"/>
      <c r="AC23" s="9"/>
      <c r="AD23" s="9"/>
      <c r="AE23" s="9"/>
      <c r="AF23" s="12"/>
      <c r="AG23" s="12"/>
      <c r="AH23" s="12"/>
      <c r="AI23" s="12"/>
      <c r="AJ23" s="12"/>
      <c r="AK23" s="12"/>
      <c r="AL23" s="12"/>
      <c r="AM23" s="12"/>
      <c r="AN23" s="12"/>
      <c r="AO23" s="12"/>
      <c r="AP23" s="12"/>
      <c r="AQ23" s="12"/>
      <c r="AR23" s="12"/>
      <c r="AS23" s="12"/>
      <c r="AT23" s="12"/>
      <c r="AU23" s="12"/>
      <c r="AV23" s="12"/>
      <c r="AW23" s="12"/>
      <c r="AX23" s="12"/>
      <c r="AY23" s="12"/>
      <c r="AZ23" s="12"/>
      <c r="BA23" s="12"/>
      <c r="BB23" s="12"/>
    </row>
    <row r="24" spans="1:54" x14ac:dyDescent="0.25">
      <c r="A24" s="27">
        <f t="shared" si="1"/>
        <v>21</v>
      </c>
      <c r="B24" s="26" t="s">
        <v>56</v>
      </c>
      <c r="C24" s="70">
        <v>2</v>
      </c>
      <c r="D24" s="70"/>
      <c r="E24" s="70"/>
      <c r="F24" s="70"/>
      <c r="G24" s="70"/>
      <c r="H24" s="70">
        <f>24*3</f>
        <v>72</v>
      </c>
      <c r="I24" s="70"/>
      <c r="J24" s="71"/>
      <c r="K24" s="72"/>
      <c r="L24" s="55"/>
      <c r="M24" s="73"/>
      <c r="N24" s="74"/>
      <c r="O24" s="70"/>
      <c r="P24" s="71"/>
      <c r="Q24" s="71"/>
      <c r="R24" s="72"/>
      <c r="S24" s="55"/>
      <c r="T24" s="58">
        <f t="shared" si="0"/>
        <v>72</v>
      </c>
      <c r="U24" s="75">
        <f t="shared" si="4"/>
        <v>120</v>
      </c>
      <c r="V24" s="75">
        <f t="shared" si="5"/>
        <v>5</v>
      </c>
      <c r="AF24" s="12"/>
      <c r="AG24" s="12"/>
      <c r="AH24" s="12"/>
      <c r="AI24" s="12"/>
      <c r="AJ24" s="12"/>
      <c r="AK24" s="12"/>
      <c r="AL24" s="12"/>
      <c r="AM24" s="12"/>
      <c r="AN24" s="12"/>
      <c r="AO24" s="12"/>
      <c r="AP24" s="12"/>
      <c r="AQ24" s="12"/>
      <c r="AR24" s="12"/>
      <c r="AS24" s="12"/>
      <c r="AT24" s="12"/>
      <c r="AU24" s="12"/>
      <c r="AV24" s="12"/>
      <c r="AW24" s="12"/>
      <c r="AX24" s="12"/>
      <c r="AY24" s="12"/>
      <c r="AZ24" s="12"/>
      <c r="BA24" s="12"/>
      <c r="BB24" s="12"/>
    </row>
    <row r="25" spans="1:54" x14ac:dyDescent="0.25">
      <c r="A25" s="27">
        <f t="shared" si="1"/>
        <v>22</v>
      </c>
      <c r="B25" s="26" t="s">
        <v>8</v>
      </c>
      <c r="C25" s="70">
        <v>51</v>
      </c>
      <c r="D25" s="70"/>
      <c r="E25" s="70"/>
      <c r="F25" s="70"/>
      <c r="G25" s="70"/>
      <c r="H25" s="70"/>
      <c r="I25" s="70"/>
      <c r="J25" s="71">
        <v>1</v>
      </c>
      <c r="K25" s="72"/>
      <c r="L25" s="55"/>
      <c r="M25" s="73">
        <v>1</v>
      </c>
      <c r="N25" s="74"/>
      <c r="O25" s="70">
        <v>1</v>
      </c>
      <c r="P25" s="71"/>
      <c r="Q25" s="71">
        <v>2</v>
      </c>
      <c r="R25" s="72"/>
      <c r="S25" s="55"/>
      <c r="T25" s="58">
        <f t="shared" si="0"/>
        <v>1</v>
      </c>
      <c r="U25" s="75">
        <f t="shared" si="4"/>
        <v>1321</v>
      </c>
      <c r="V25" s="75">
        <f t="shared" si="5"/>
        <v>55.041666666666664</v>
      </c>
      <c r="AY25" s="14" t="e">
        <f>#REF!-AY24</f>
        <v>#REF!</v>
      </c>
    </row>
    <row r="26" spans="1:54" s="13" customFormat="1" x14ac:dyDescent="0.25">
      <c r="A26" s="27">
        <f t="shared" si="1"/>
        <v>23</v>
      </c>
      <c r="B26" s="26" t="s">
        <v>10</v>
      </c>
      <c r="C26" s="70"/>
      <c r="D26" s="70"/>
      <c r="E26" s="70"/>
      <c r="F26" s="70"/>
      <c r="G26" s="70"/>
      <c r="H26" s="70">
        <f>5*24</f>
        <v>120</v>
      </c>
      <c r="I26" s="70"/>
      <c r="J26" s="71"/>
      <c r="K26" s="72"/>
      <c r="L26" s="55"/>
      <c r="M26" s="73"/>
      <c r="N26" s="74"/>
      <c r="O26" s="70"/>
      <c r="P26" s="71"/>
      <c r="Q26" s="71"/>
      <c r="R26" s="72"/>
      <c r="S26" s="55"/>
      <c r="T26" s="58">
        <f t="shared" si="0"/>
        <v>120</v>
      </c>
      <c r="U26" s="75">
        <f t="shared" si="4"/>
        <v>120</v>
      </c>
      <c r="V26" s="75">
        <f t="shared" si="5"/>
        <v>5</v>
      </c>
      <c r="W26" s="9"/>
      <c r="X26" s="9"/>
      <c r="Y26" s="9"/>
      <c r="Z26" s="9"/>
      <c r="AA26" s="9"/>
      <c r="AB26" s="9"/>
      <c r="AC26" s="9"/>
      <c r="AD26" s="9"/>
      <c r="AE26" s="9"/>
    </row>
    <row r="27" spans="1:54" s="13" customFormat="1" x14ac:dyDescent="0.25">
      <c r="A27" s="27">
        <f t="shared" si="1"/>
        <v>24</v>
      </c>
      <c r="B27" s="26" t="s">
        <v>69</v>
      </c>
      <c r="C27" s="70">
        <v>3</v>
      </c>
      <c r="D27" s="70"/>
      <c r="E27" s="70"/>
      <c r="F27" s="70"/>
      <c r="G27" s="70"/>
      <c r="H27" s="70"/>
      <c r="I27" s="70"/>
      <c r="J27" s="71"/>
      <c r="K27" s="72"/>
      <c r="L27" s="55"/>
      <c r="M27" s="73"/>
      <c r="N27" s="74"/>
      <c r="O27" s="70"/>
      <c r="P27" s="71"/>
      <c r="Q27" s="71"/>
      <c r="R27" s="72"/>
      <c r="S27" s="55"/>
      <c r="T27" s="58">
        <f t="shared" si="0"/>
        <v>0</v>
      </c>
      <c r="U27" s="75">
        <f t="shared" si="4"/>
        <v>72</v>
      </c>
      <c r="V27" s="75">
        <f t="shared" si="5"/>
        <v>3</v>
      </c>
      <c r="W27" s="9"/>
      <c r="X27" s="9"/>
      <c r="Y27" s="9"/>
      <c r="Z27" s="9"/>
      <c r="AA27" s="9"/>
      <c r="AB27" s="9"/>
      <c r="AC27" s="9"/>
      <c r="AD27" s="9"/>
      <c r="AE27" s="9"/>
    </row>
    <row r="28" spans="1:54" s="13" customFormat="1" x14ac:dyDescent="0.25">
      <c r="A28" s="27">
        <f t="shared" si="1"/>
        <v>25</v>
      </c>
      <c r="B28" s="26" t="s">
        <v>11</v>
      </c>
      <c r="C28" s="70"/>
      <c r="D28" s="70"/>
      <c r="E28" s="70"/>
      <c r="F28" s="70"/>
      <c r="G28" s="70"/>
      <c r="H28" s="70"/>
      <c r="I28" s="70"/>
      <c r="J28" s="71"/>
      <c r="K28" s="72"/>
      <c r="L28" s="55"/>
      <c r="M28" s="73"/>
      <c r="N28" s="74"/>
      <c r="O28" s="70"/>
      <c r="P28" s="71"/>
      <c r="Q28" s="71">
        <v>3</v>
      </c>
      <c r="R28" s="72"/>
      <c r="S28" s="55"/>
      <c r="T28" s="58">
        <f t="shared" si="0"/>
        <v>0</v>
      </c>
      <c r="U28" s="75">
        <f t="shared" si="4"/>
        <v>72</v>
      </c>
      <c r="V28" s="75">
        <f t="shared" si="5"/>
        <v>3</v>
      </c>
      <c r="W28" s="9"/>
      <c r="X28" s="9"/>
      <c r="Y28" s="9"/>
      <c r="Z28" s="9"/>
      <c r="AA28" s="9"/>
      <c r="AB28" s="9"/>
      <c r="AC28" s="9"/>
      <c r="AD28" s="9"/>
      <c r="AE28" s="9"/>
    </row>
    <row r="29" spans="1:54" x14ac:dyDescent="0.25">
      <c r="A29" s="27">
        <f t="shared" si="1"/>
        <v>26</v>
      </c>
      <c r="B29" s="26" t="s">
        <v>13</v>
      </c>
      <c r="C29" s="70">
        <v>27</v>
      </c>
      <c r="D29" s="70"/>
      <c r="E29" s="70"/>
      <c r="F29" s="70"/>
      <c r="G29" s="70"/>
      <c r="H29" s="70"/>
      <c r="I29" s="70">
        <v>5</v>
      </c>
      <c r="J29" s="71"/>
      <c r="K29" s="72"/>
      <c r="L29" s="55"/>
      <c r="M29" s="73"/>
      <c r="N29" s="74"/>
      <c r="O29" s="70"/>
      <c r="P29" s="71"/>
      <c r="Q29" s="71">
        <v>1</v>
      </c>
      <c r="R29" s="72"/>
      <c r="S29" s="55"/>
      <c r="T29" s="58">
        <f t="shared" si="0"/>
        <v>5</v>
      </c>
      <c r="U29" s="75">
        <f t="shared" si="4"/>
        <v>677</v>
      </c>
      <c r="V29" s="75">
        <f t="shared" si="5"/>
        <v>28.208333333333332</v>
      </c>
    </row>
    <row r="30" spans="1:54" x14ac:dyDescent="0.25">
      <c r="A30" s="27">
        <f t="shared" si="1"/>
        <v>27</v>
      </c>
      <c r="B30" s="26" t="s">
        <v>15</v>
      </c>
      <c r="C30" s="70">
        <v>13</v>
      </c>
      <c r="D30" s="70"/>
      <c r="E30" s="70"/>
      <c r="F30" s="70"/>
      <c r="G30" s="70"/>
      <c r="H30" s="70"/>
      <c r="I30" s="70"/>
      <c r="J30" s="71"/>
      <c r="K30" s="72"/>
      <c r="L30" s="55"/>
      <c r="M30" s="73"/>
      <c r="N30" s="74"/>
      <c r="O30" s="70">
        <v>1</v>
      </c>
      <c r="P30" s="71"/>
      <c r="Q30" s="71">
        <v>1</v>
      </c>
      <c r="R30" s="72"/>
      <c r="S30" s="55"/>
      <c r="T30" s="58">
        <f t="shared" si="0"/>
        <v>0</v>
      </c>
      <c r="U30" s="75">
        <f t="shared" si="4"/>
        <v>360</v>
      </c>
      <c r="V30" s="75">
        <f t="shared" si="5"/>
        <v>15</v>
      </c>
    </row>
    <row r="31" spans="1:54" x14ac:dyDescent="0.25">
      <c r="A31" s="27">
        <f t="shared" si="1"/>
        <v>28</v>
      </c>
      <c r="B31" s="26" t="s">
        <v>12</v>
      </c>
      <c r="C31" s="70">
        <v>2</v>
      </c>
      <c r="D31" s="70"/>
      <c r="E31" s="70"/>
      <c r="F31" s="70"/>
      <c r="G31" s="70"/>
      <c r="H31" s="70"/>
      <c r="I31" s="70"/>
      <c r="J31" s="71"/>
      <c r="K31" s="72"/>
      <c r="L31" s="55"/>
      <c r="M31" s="73"/>
      <c r="N31" s="74"/>
      <c r="O31" s="70"/>
      <c r="P31" s="71"/>
      <c r="Q31" s="71"/>
      <c r="R31" s="72"/>
      <c r="S31" s="55"/>
      <c r="T31" s="58">
        <f t="shared" si="0"/>
        <v>0</v>
      </c>
      <c r="U31" s="75">
        <f t="shared" si="4"/>
        <v>48</v>
      </c>
      <c r="V31" s="75">
        <f t="shared" si="5"/>
        <v>2</v>
      </c>
    </row>
    <row r="32" spans="1:54" x14ac:dyDescent="0.25">
      <c r="A32" s="27">
        <f t="shared" si="1"/>
        <v>29</v>
      </c>
      <c r="B32" s="26" t="s">
        <v>14</v>
      </c>
      <c r="C32" s="70"/>
      <c r="D32" s="70"/>
      <c r="E32" s="70"/>
      <c r="F32" s="70"/>
      <c r="G32" s="70"/>
      <c r="H32" s="70"/>
      <c r="I32" s="70"/>
      <c r="J32" s="71"/>
      <c r="K32" s="72"/>
      <c r="L32" s="55"/>
      <c r="M32" s="73"/>
      <c r="N32" s="74"/>
      <c r="O32" s="70"/>
      <c r="P32" s="71"/>
      <c r="Q32" s="71"/>
      <c r="R32" s="72"/>
      <c r="S32" s="55"/>
      <c r="T32" s="58">
        <f t="shared" si="0"/>
        <v>0</v>
      </c>
      <c r="U32" s="75">
        <f t="shared" si="4"/>
        <v>0</v>
      </c>
      <c r="V32" s="75">
        <f t="shared" si="5"/>
        <v>0</v>
      </c>
    </row>
    <row r="33" spans="1:23" x14ac:dyDescent="0.25">
      <c r="A33" s="27">
        <f t="shared" si="1"/>
        <v>30</v>
      </c>
      <c r="B33" s="26" t="s">
        <v>16</v>
      </c>
      <c r="C33" s="70">
        <v>1</v>
      </c>
      <c r="D33" s="70"/>
      <c r="E33" s="70"/>
      <c r="F33" s="70"/>
      <c r="G33" s="70"/>
      <c r="H33" s="70"/>
      <c r="I33" s="70"/>
      <c r="J33" s="71"/>
      <c r="K33" s="72"/>
      <c r="L33" s="55"/>
      <c r="M33" s="73">
        <v>1</v>
      </c>
      <c r="N33" s="74"/>
      <c r="O33" s="70"/>
      <c r="P33" s="71"/>
      <c r="Q33" s="71"/>
      <c r="R33" s="72"/>
      <c r="S33" s="55"/>
      <c r="T33" s="58">
        <f t="shared" si="0"/>
        <v>0</v>
      </c>
      <c r="U33" s="75">
        <f t="shared" si="4"/>
        <v>48</v>
      </c>
      <c r="V33" s="75">
        <f t="shared" si="5"/>
        <v>2</v>
      </c>
    </row>
    <row r="34" spans="1:23" x14ac:dyDescent="0.25">
      <c r="A34" s="27">
        <f t="shared" si="1"/>
        <v>31</v>
      </c>
      <c r="B34" s="26" t="s">
        <v>17</v>
      </c>
      <c r="C34" s="70">
        <f>144+46</f>
        <v>190</v>
      </c>
      <c r="D34" s="70"/>
      <c r="E34" s="70"/>
      <c r="F34" s="70"/>
      <c r="G34" s="70"/>
      <c r="H34" s="70"/>
      <c r="I34" s="70">
        <v>1</v>
      </c>
      <c r="J34" s="71"/>
      <c r="K34" s="72">
        <v>1</v>
      </c>
      <c r="L34" s="55"/>
      <c r="M34" s="73"/>
      <c r="N34" s="74"/>
      <c r="O34" s="70">
        <v>2</v>
      </c>
      <c r="P34" s="71"/>
      <c r="Q34" s="71">
        <v>2</v>
      </c>
      <c r="R34" s="72"/>
      <c r="S34" s="55"/>
      <c r="T34" s="58">
        <f t="shared" si="0"/>
        <v>2</v>
      </c>
      <c r="U34" s="75">
        <f t="shared" si="4"/>
        <v>4658</v>
      </c>
      <c r="V34" s="75">
        <f t="shared" si="5"/>
        <v>194.08333333333334</v>
      </c>
    </row>
    <row r="35" spans="1:23" hidden="1" x14ac:dyDescent="0.25">
      <c r="A35" s="27">
        <f t="shared" si="1"/>
        <v>32</v>
      </c>
      <c r="B35" s="26" t="s">
        <v>25</v>
      </c>
      <c r="C35" s="70"/>
      <c r="D35" s="70"/>
      <c r="E35" s="70"/>
      <c r="F35" s="70"/>
      <c r="G35" s="70"/>
      <c r="H35" s="70"/>
      <c r="I35" s="70"/>
      <c r="J35" s="71"/>
      <c r="K35" s="72"/>
      <c r="L35" s="55"/>
      <c r="M35" s="73"/>
      <c r="N35" s="74"/>
      <c r="O35" s="70"/>
      <c r="P35" s="71"/>
      <c r="Q35" s="71"/>
      <c r="R35" s="72"/>
      <c r="S35" s="55"/>
      <c r="T35" s="58">
        <f t="shared" si="0"/>
        <v>0</v>
      </c>
      <c r="U35" s="75">
        <f t="shared" si="4"/>
        <v>0</v>
      </c>
      <c r="V35" s="75">
        <f t="shared" si="5"/>
        <v>0</v>
      </c>
    </row>
    <row r="36" spans="1:23" x14ac:dyDescent="0.25">
      <c r="A36" s="27">
        <f t="shared" si="1"/>
        <v>33</v>
      </c>
      <c r="B36" s="26" t="s">
        <v>18</v>
      </c>
      <c r="C36" s="70"/>
      <c r="D36" s="70"/>
      <c r="E36" s="70"/>
      <c r="F36" s="70"/>
      <c r="G36" s="70"/>
      <c r="H36" s="70"/>
      <c r="I36" s="70"/>
      <c r="J36" s="71"/>
      <c r="K36" s="72"/>
      <c r="L36" s="55"/>
      <c r="M36" s="73"/>
      <c r="N36" s="74"/>
      <c r="O36" s="70"/>
      <c r="P36" s="71"/>
      <c r="Q36" s="71"/>
      <c r="R36" s="72"/>
      <c r="S36" s="55"/>
      <c r="T36" s="58">
        <f t="shared" si="0"/>
        <v>0</v>
      </c>
      <c r="U36" s="75">
        <f t="shared" si="4"/>
        <v>0</v>
      </c>
      <c r="V36" s="75">
        <f t="shared" si="5"/>
        <v>0</v>
      </c>
    </row>
    <row r="37" spans="1:23" ht="19.5" thickBot="1" x14ac:dyDescent="0.3">
      <c r="A37" s="27">
        <f t="shared" si="1"/>
        <v>34</v>
      </c>
      <c r="B37" s="42" t="s">
        <v>19</v>
      </c>
      <c r="C37" s="59">
        <f>108+3132+94</f>
        <v>3334</v>
      </c>
      <c r="D37" s="59"/>
      <c r="E37" s="59"/>
      <c r="F37" s="59"/>
      <c r="G37" s="59"/>
      <c r="H37" s="59">
        <v>1</v>
      </c>
      <c r="I37" s="59">
        <v>2</v>
      </c>
      <c r="J37" s="60">
        <v>2</v>
      </c>
      <c r="K37" s="61">
        <f>6+2</f>
        <v>8</v>
      </c>
      <c r="L37" s="62"/>
      <c r="M37" s="63">
        <v>20</v>
      </c>
      <c r="N37" s="64"/>
      <c r="O37" s="65">
        <v>36</v>
      </c>
      <c r="P37" s="66"/>
      <c r="Q37" s="66">
        <v>65</v>
      </c>
      <c r="R37" s="67"/>
      <c r="S37" s="62"/>
      <c r="T37" s="77">
        <f t="shared" si="0"/>
        <v>13</v>
      </c>
      <c r="U37" s="77">
        <f>C37*6+M37*6+O37*6+Q37*6+T37</f>
        <v>20743</v>
      </c>
      <c r="V37" s="77">
        <f>U37/6</f>
        <v>3457.1666666666665</v>
      </c>
      <c r="W37" s="50"/>
    </row>
    <row r="38" spans="1:23" x14ac:dyDescent="0.25">
      <c r="A38" s="27">
        <f t="shared" si="1"/>
        <v>35</v>
      </c>
      <c r="B38" s="25" t="s">
        <v>20</v>
      </c>
      <c r="C38" s="70"/>
      <c r="D38" s="70"/>
      <c r="E38" s="70"/>
      <c r="F38" s="70"/>
      <c r="G38" s="70"/>
      <c r="H38" s="70">
        <f>24*5</f>
        <v>120</v>
      </c>
      <c r="I38" s="70"/>
      <c r="J38" s="71"/>
      <c r="K38" s="72"/>
      <c r="L38" s="55"/>
      <c r="M38" s="73"/>
      <c r="N38" s="74"/>
      <c r="O38" s="70"/>
      <c r="P38" s="71"/>
      <c r="Q38" s="71"/>
      <c r="R38" s="72"/>
      <c r="S38" s="55"/>
      <c r="T38" s="75">
        <f t="shared" si="0"/>
        <v>120</v>
      </c>
      <c r="U38" s="75">
        <f>C38*24+M38*24+O38*24+Q38*24+T38</f>
        <v>120</v>
      </c>
      <c r="V38" s="75">
        <f>U38/24</f>
        <v>5</v>
      </c>
    </row>
    <row r="39" spans="1:23" x14ac:dyDescent="0.25">
      <c r="A39" s="27">
        <f t="shared" si="1"/>
        <v>36</v>
      </c>
      <c r="B39" s="51" t="s">
        <v>62</v>
      </c>
      <c r="C39" s="78"/>
      <c r="D39" s="78"/>
      <c r="E39" s="78"/>
      <c r="F39" s="78"/>
      <c r="G39" s="78"/>
      <c r="H39" s="78"/>
      <c r="I39" s="78"/>
      <c r="J39" s="79"/>
      <c r="K39" s="80"/>
      <c r="L39" s="55"/>
      <c r="M39" s="73"/>
      <c r="N39" s="74"/>
      <c r="O39" s="70"/>
      <c r="P39" s="71"/>
      <c r="Q39" s="71"/>
      <c r="R39" s="72"/>
      <c r="S39" s="95"/>
      <c r="T39" s="75">
        <f t="shared" si="0"/>
        <v>0</v>
      </c>
      <c r="U39" s="75">
        <f>C39*24+M39*24+O39*24+Q39*24+T39</f>
        <v>0</v>
      </c>
      <c r="V39" s="75">
        <f>U39/24</f>
        <v>0</v>
      </c>
    </row>
    <row r="40" spans="1:23" ht="19.5" thickBot="1" x14ac:dyDescent="0.3">
      <c r="A40" s="27">
        <f t="shared" si="1"/>
        <v>37</v>
      </c>
      <c r="B40" s="42" t="s">
        <v>21</v>
      </c>
      <c r="C40" s="59">
        <f>63+50</f>
        <v>113</v>
      </c>
      <c r="D40" s="59"/>
      <c r="E40" s="59"/>
      <c r="F40" s="59"/>
      <c r="G40" s="59"/>
      <c r="H40" s="59">
        <f>252*24</f>
        <v>6048</v>
      </c>
      <c r="I40" s="59"/>
      <c r="J40" s="60"/>
      <c r="K40" s="61">
        <v>20</v>
      </c>
      <c r="L40" s="62"/>
      <c r="M40" s="63"/>
      <c r="N40" s="64"/>
      <c r="O40" s="65">
        <v>2</v>
      </c>
      <c r="P40" s="66"/>
      <c r="Q40" s="66">
        <v>3</v>
      </c>
      <c r="R40" s="67"/>
      <c r="S40" s="62"/>
      <c r="T40" s="77">
        <f t="shared" si="0"/>
        <v>6068</v>
      </c>
      <c r="U40" s="77">
        <f>C40*24+M40*24+O40*24+Q40*24+T40</f>
        <v>8900</v>
      </c>
      <c r="V40" s="77">
        <f>U40/24</f>
        <v>370.83333333333331</v>
      </c>
    </row>
    <row r="41" spans="1:23" ht="19.5" thickBot="1" x14ac:dyDescent="0.3">
      <c r="A41" s="27">
        <f t="shared" si="1"/>
        <v>38</v>
      </c>
      <c r="B41" s="43" t="s">
        <v>22</v>
      </c>
      <c r="C41" s="82"/>
      <c r="D41" s="82"/>
      <c r="E41" s="82"/>
      <c r="F41" s="82"/>
      <c r="G41" s="82"/>
      <c r="H41" s="82">
        <f>576*12</f>
        <v>6912</v>
      </c>
      <c r="I41" s="82"/>
      <c r="J41" s="83"/>
      <c r="K41" s="84"/>
      <c r="L41" s="85"/>
      <c r="M41" s="86"/>
      <c r="N41" s="87"/>
      <c r="O41" s="82"/>
      <c r="P41" s="83"/>
      <c r="Q41" s="83"/>
      <c r="R41" s="84"/>
      <c r="S41" s="85"/>
      <c r="T41" s="88">
        <f t="shared" si="0"/>
        <v>6912</v>
      </c>
      <c r="U41" s="88">
        <f>C41*12+M41*12+O41*12+Q41*12+T41</f>
        <v>6912</v>
      </c>
      <c r="V41" s="88">
        <f>U41/12</f>
        <v>576</v>
      </c>
    </row>
    <row r="42" spans="1:23" hidden="1" x14ac:dyDescent="0.25">
      <c r="A42" s="27">
        <f t="shared" si="1"/>
        <v>39</v>
      </c>
      <c r="B42" s="25" t="s">
        <v>29</v>
      </c>
      <c r="C42" s="70"/>
      <c r="D42" s="70"/>
      <c r="E42" s="70"/>
      <c r="F42" s="70"/>
      <c r="G42" s="70"/>
      <c r="H42" s="70"/>
      <c r="I42" s="70"/>
      <c r="J42" s="71"/>
      <c r="K42" s="72"/>
      <c r="L42" s="55"/>
      <c r="M42" s="73"/>
      <c r="N42" s="74"/>
      <c r="O42" s="70"/>
      <c r="P42" s="71"/>
      <c r="Q42" s="71"/>
      <c r="R42" s="72"/>
      <c r="S42" s="55"/>
      <c r="T42" s="75"/>
      <c r="U42" s="75"/>
      <c r="V42" s="75"/>
    </row>
    <row r="43" spans="1:23" ht="19.5" thickBot="1" x14ac:dyDescent="0.3">
      <c r="A43" s="27">
        <f t="shared" si="1"/>
        <v>40</v>
      </c>
      <c r="B43" s="42" t="s">
        <v>23</v>
      </c>
      <c r="C43" s="65">
        <f>49+7344+19764+10260+756</f>
        <v>38173</v>
      </c>
      <c r="D43" s="65"/>
      <c r="E43" s="65"/>
      <c r="F43" s="65"/>
      <c r="G43" s="65"/>
      <c r="H43" s="65">
        <v>13</v>
      </c>
      <c r="I43" s="65">
        <v>12</v>
      </c>
      <c r="J43" s="66">
        <f>17*6</f>
        <v>102</v>
      </c>
      <c r="K43" s="67">
        <f>71*6+2</f>
        <v>428</v>
      </c>
      <c r="L43" s="62"/>
      <c r="M43" s="63">
        <v>350</v>
      </c>
      <c r="N43" s="64"/>
      <c r="O43" s="65">
        <v>430</v>
      </c>
      <c r="P43" s="66"/>
      <c r="Q43" s="66">
        <v>522</v>
      </c>
      <c r="R43" s="67"/>
      <c r="S43" s="62"/>
      <c r="T43" s="77">
        <f t="shared" ref="T43" si="6">H43+I43+J43+K43+N43+P43+R43</f>
        <v>555</v>
      </c>
      <c r="U43" s="77">
        <f>C43*6+M43*6+O43*6+Q43*6+T43</f>
        <v>237405</v>
      </c>
      <c r="V43" s="77">
        <f>U43/6</f>
        <v>39567.5</v>
      </c>
    </row>
    <row r="44" spans="1:23" hidden="1" x14ac:dyDescent="0.25">
      <c r="A44" s="27">
        <f t="shared" si="1"/>
        <v>41</v>
      </c>
      <c r="B44" s="25" t="s">
        <v>31</v>
      </c>
      <c r="C44" s="70"/>
      <c r="D44" s="70"/>
      <c r="E44" s="70"/>
      <c r="F44" s="70"/>
      <c r="G44" s="70"/>
      <c r="H44" s="70"/>
      <c r="I44" s="70"/>
      <c r="J44" s="71"/>
      <c r="K44" s="72"/>
      <c r="L44" s="55"/>
      <c r="M44" s="73"/>
      <c r="N44" s="74"/>
      <c r="O44" s="70"/>
      <c r="P44" s="71"/>
      <c r="Q44" s="71"/>
      <c r="R44" s="72"/>
      <c r="S44" s="55"/>
      <c r="T44" s="75"/>
      <c r="U44" s="75"/>
      <c r="V44" s="75"/>
    </row>
    <row r="45" spans="1:23" x14ac:dyDescent="0.25">
      <c r="A45" s="27">
        <f t="shared" si="1"/>
        <v>42</v>
      </c>
      <c r="B45" s="26" t="s">
        <v>24</v>
      </c>
      <c r="C45" s="70"/>
      <c r="D45" s="70"/>
      <c r="E45" s="70"/>
      <c r="F45" s="70"/>
      <c r="G45" s="70"/>
      <c r="H45" s="70">
        <f>5*24</f>
        <v>120</v>
      </c>
      <c r="I45" s="70"/>
      <c r="J45" s="71"/>
      <c r="K45" s="72"/>
      <c r="L45" s="55"/>
      <c r="M45" s="73"/>
      <c r="N45" s="74"/>
      <c r="O45" s="70"/>
      <c r="P45" s="71"/>
      <c r="Q45" s="71"/>
      <c r="R45" s="72"/>
      <c r="S45" s="55"/>
      <c r="T45" s="75">
        <f t="shared" ref="T45:T54" si="7">H45+I45+J45+K45+N45+P45+R45</f>
        <v>120</v>
      </c>
      <c r="U45" s="75">
        <f>C45*24+M45*24+O45*24+Q45*24+T45</f>
        <v>120</v>
      </c>
      <c r="V45" s="75">
        <f>U45/24</f>
        <v>5</v>
      </c>
    </row>
    <row r="46" spans="1:23" x14ac:dyDescent="0.25">
      <c r="A46" s="27">
        <f t="shared" si="1"/>
        <v>43</v>
      </c>
      <c r="B46" s="26" t="s">
        <v>57</v>
      </c>
      <c r="C46" s="70"/>
      <c r="D46" s="70"/>
      <c r="E46" s="70"/>
      <c r="F46" s="70"/>
      <c r="G46" s="70"/>
      <c r="H46" s="70"/>
      <c r="I46" s="70"/>
      <c r="J46" s="71"/>
      <c r="K46" s="72"/>
      <c r="L46" s="55"/>
      <c r="M46" s="73"/>
      <c r="N46" s="74"/>
      <c r="O46" s="70"/>
      <c r="P46" s="71"/>
      <c r="Q46" s="71"/>
      <c r="R46" s="72"/>
      <c r="S46" s="55"/>
      <c r="T46" s="75">
        <f t="shared" si="7"/>
        <v>0</v>
      </c>
      <c r="U46" s="75">
        <f t="shared" ref="U46:U50" si="8">C46*24+M46*24+O46*24+Q46*24+T46</f>
        <v>0</v>
      </c>
      <c r="V46" s="75">
        <f t="shared" ref="V46:V54" si="9">U46/24</f>
        <v>0</v>
      </c>
    </row>
    <row r="47" spans="1:23" ht="19.5" thickBot="1" x14ac:dyDescent="0.3">
      <c r="A47" s="27">
        <f t="shared" si="1"/>
        <v>44</v>
      </c>
      <c r="B47" s="42" t="s">
        <v>25</v>
      </c>
      <c r="C47" s="65">
        <f>106+648+324+88+540+103+324+432+106</f>
        <v>2671</v>
      </c>
      <c r="D47" s="65"/>
      <c r="E47" s="65"/>
      <c r="F47" s="65"/>
      <c r="G47" s="65"/>
      <c r="H47" s="65">
        <v>1</v>
      </c>
      <c r="I47" s="65"/>
      <c r="J47" s="66"/>
      <c r="K47" s="67">
        <v>5</v>
      </c>
      <c r="L47" s="62"/>
      <c r="M47" s="63">
        <v>3</v>
      </c>
      <c r="N47" s="64"/>
      <c r="O47" s="65">
        <v>16</v>
      </c>
      <c r="P47" s="66"/>
      <c r="Q47" s="66">
        <v>5</v>
      </c>
      <c r="R47" s="67">
        <v>3</v>
      </c>
      <c r="S47" s="62"/>
      <c r="T47" s="77">
        <f t="shared" si="7"/>
        <v>9</v>
      </c>
      <c r="U47" s="77">
        <f>C47*6+M47*6+O47*6+Q47*6+T47</f>
        <v>16179</v>
      </c>
      <c r="V47" s="77">
        <f>U47/6</f>
        <v>2696.5</v>
      </c>
    </row>
    <row r="48" spans="1:23" x14ac:dyDescent="0.25">
      <c r="A48" s="27">
        <f t="shared" si="1"/>
        <v>45</v>
      </c>
      <c r="B48" s="25" t="s">
        <v>58</v>
      </c>
      <c r="C48" s="70"/>
      <c r="D48" s="70"/>
      <c r="E48" s="70"/>
      <c r="F48" s="70"/>
      <c r="G48" s="70"/>
      <c r="H48" s="70">
        <v>24</v>
      </c>
      <c r="I48" s="70"/>
      <c r="J48" s="71"/>
      <c r="K48" s="72"/>
      <c r="L48" s="55"/>
      <c r="M48" s="73"/>
      <c r="N48" s="74"/>
      <c r="O48" s="70"/>
      <c r="P48" s="71"/>
      <c r="Q48" s="71"/>
      <c r="R48" s="72"/>
      <c r="S48" s="55"/>
      <c r="T48" s="75">
        <f t="shared" si="7"/>
        <v>24</v>
      </c>
      <c r="U48" s="75">
        <f t="shared" si="8"/>
        <v>24</v>
      </c>
      <c r="V48" s="75">
        <f t="shared" si="9"/>
        <v>1</v>
      </c>
    </row>
    <row r="49" spans="1:22" x14ac:dyDescent="0.25">
      <c r="A49" s="27">
        <f t="shared" si="1"/>
        <v>46</v>
      </c>
      <c r="B49" s="26" t="s">
        <v>26</v>
      </c>
      <c r="C49" s="70">
        <v>10</v>
      </c>
      <c r="D49" s="70"/>
      <c r="E49" s="70"/>
      <c r="F49" s="70"/>
      <c r="G49" s="70"/>
      <c r="H49" s="70"/>
      <c r="I49" s="70"/>
      <c r="J49" s="71"/>
      <c r="K49" s="72"/>
      <c r="L49" s="55"/>
      <c r="M49" s="73"/>
      <c r="N49" s="74"/>
      <c r="O49" s="70"/>
      <c r="P49" s="71"/>
      <c r="Q49" s="71"/>
      <c r="R49" s="72"/>
      <c r="S49" s="55"/>
      <c r="T49" s="75">
        <f t="shared" si="7"/>
        <v>0</v>
      </c>
      <c r="U49" s="75">
        <f t="shared" si="8"/>
        <v>240</v>
      </c>
      <c r="V49" s="75">
        <f t="shared" si="9"/>
        <v>10</v>
      </c>
    </row>
    <row r="50" spans="1:22" x14ac:dyDescent="0.25">
      <c r="A50" s="27">
        <f t="shared" si="1"/>
        <v>47</v>
      </c>
      <c r="B50" s="26" t="s">
        <v>59</v>
      </c>
      <c r="C50" s="70"/>
      <c r="D50" s="70"/>
      <c r="E50" s="70"/>
      <c r="F50" s="70"/>
      <c r="G50" s="70"/>
      <c r="H50" s="70"/>
      <c r="I50" s="70"/>
      <c r="J50" s="71"/>
      <c r="K50" s="72"/>
      <c r="L50" s="55"/>
      <c r="M50" s="73"/>
      <c r="N50" s="74"/>
      <c r="O50" s="70"/>
      <c r="P50" s="71"/>
      <c r="Q50" s="71"/>
      <c r="R50" s="72"/>
      <c r="S50" s="55"/>
      <c r="T50" s="75">
        <f t="shared" si="7"/>
        <v>0</v>
      </c>
      <c r="U50" s="75">
        <f t="shared" si="8"/>
        <v>0</v>
      </c>
      <c r="V50" s="75">
        <f t="shared" si="9"/>
        <v>0</v>
      </c>
    </row>
    <row r="51" spans="1:22" ht="19.5" thickBot="1" x14ac:dyDescent="0.3">
      <c r="A51" s="27">
        <f t="shared" si="1"/>
        <v>48</v>
      </c>
      <c r="B51" s="42" t="s">
        <v>27</v>
      </c>
      <c r="C51" s="65">
        <v>34</v>
      </c>
      <c r="D51" s="65"/>
      <c r="E51" s="65"/>
      <c r="F51" s="65"/>
      <c r="G51" s="65"/>
      <c r="H51" s="65"/>
      <c r="I51" s="65"/>
      <c r="J51" s="66"/>
      <c r="K51" s="67"/>
      <c r="L51" s="62"/>
      <c r="M51" s="63"/>
      <c r="N51" s="64"/>
      <c r="O51" s="65"/>
      <c r="P51" s="66"/>
      <c r="Q51" s="66"/>
      <c r="R51" s="67"/>
      <c r="S51" s="62"/>
      <c r="T51" s="77">
        <f t="shared" si="7"/>
        <v>0</v>
      </c>
      <c r="U51" s="77">
        <f>C51*6+M51*6+O51*6+Q51*6+T51</f>
        <v>204</v>
      </c>
      <c r="V51" s="77">
        <f>U51/6</f>
        <v>34</v>
      </c>
    </row>
    <row r="52" spans="1:22" x14ac:dyDescent="0.25">
      <c r="A52" s="27">
        <f t="shared" si="1"/>
        <v>49</v>
      </c>
      <c r="B52" s="25" t="s">
        <v>28</v>
      </c>
      <c r="C52" s="70"/>
      <c r="D52" s="70"/>
      <c r="E52" s="70"/>
      <c r="F52" s="70"/>
      <c r="G52" s="70"/>
      <c r="H52" s="70"/>
      <c r="I52" s="70"/>
      <c r="J52" s="71"/>
      <c r="K52" s="72"/>
      <c r="L52" s="55"/>
      <c r="M52" s="73"/>
      <c r="N52" s="74"/>
      <c r="O52" s="70"/>
      <c r="P52" s="71"/>
      <c r="Q52" s="71"/>
      <c r="R52" s="72"/>
      <c r="S52" s="55"/>
      <c r="T52" s="75">
        <f t="shared" si="7"/>
        <v>0</v>
      </c>
      <c r="U52" s="75">
        <f t="shared" ref="U52:U54" si="10">C52*24+M52*24+O52*24+Q52*24+T52</f>
        <v>0</v>
      </c>
      <c r="V52" s="75">
        <f t="shared" si="9"/>
        <v>0</v>
      </c>
    </row>
    <row r="53" spans="1:22" x14ac:dyDescent="0.25">
      <c r="A53" s="27">
        <f t="shared" si="1"/>
        <v>50</v>
      </c>
      <c r="B53" s="26" t="s">
        <v>63</v>
      </c>
      <c r="C53" s="70">
        <f>6+1</f>
        <v>7</v>
      </c>
      <c r="D53" s="70"/>
      <c r="E53" s="70"/>
      <c r="F53" s="70"/>
      <c r="G53" s="70"/>
      <c r="H53" s="70"/>
      <c r="I53" s="70"/>
      <c r="J53" s="71"/>
      <c r="K53" s="72"/>
      <c r="L53" s="55"/>
      <c r="M53" s="73"/>
      <c r="N53" s="74"/>
      <c r="O53" s="70"/>
      <c r="P53" s="71"/>
      <c r="Q53" s="71"/>
      <c r="R53" s="72"/>
      <c r="S53" s="55"/>
      <c r="T53" s="75">
        <f t="shared" si="7"/>
        <v>0</v>
      </c>
      <c r="U53" s="75">
        <f t="shared" si="10"/>
        <v>168</v>
      </c>
      <c r="V53" s="75">
        <f t="shared" si="9"/>
        <v>7</v>
      </c>
    </row>
    <row r="54" spans="1:22" x14ac:dyDescent="0.25">
      <c r="A54" s="27">
        <f t="shared" si="1"/>
        <v>51</v>
      </c>
      <c r="B54" s="26"/>
      <c r="C54" s="70"/>
      <c r="D54" s="70"/>
      <c r="E54" s="70"/>
      <c r="F54" s="70"/>
      <c r="G54" s="70"/>
      <c r="H54" s="70"/>
      <c r="I54" s="70"/>
      <c r="J54" s="71"/>
      <c r="K54" s="72"/>
      <c r="L54" s="55"/>
      <c r="M54" s="73"/>
      <c r="N54" s="74"/>
      <c r="O54" s="70"/>
      <c r="P54" s="71"/>
      <c r="Q54" s="71"/>
      <c r="R54" s="72"/>
      <c r="S54" s="55"/>
      <c r="T54" s="75">
        <f t="shared" si="7"/>
        <v>0</v>
      </c>
      <c r="U54" s="75">
        <f t="shared" si="10"/>
        <v>0</v>
      </c>
      <c r="V54" s="75">
        <f t="shared" si="9"/>
        <v>0</v>
      </c>
    </row>
    <row r="55" spans="1:22" x14ac:dyDescent="0.25">
      <c r="A55" s="27">
        <f t="shared" si="1"/>
        <v>52</v>
      </c>
      <c r="B55" s="26"/>
      <c r="C55" s="70"/>
      <c r="D55" s="70"/>
      <c r="E55" s="70"/>
      <c r="F55" s="70"/>
      <c r="G55" s="70"/>
      <c r="H55" s="70"/>
      <c r="I55" s="70"/>
      <c r="J55" s="71"/>
      <c r="K55" s="72"/>
      <c r="L55" s="55"/>
      <c r="M55" s="73"/>
      <c r="N55" s="74"/>
      <c r="O55" s="70"/>
      <c r="P55" s="71"/>
      <c r="Q55" s="71"/>
      <c r="R55" s="72"/>
      <c r="S55" s="55"/>
      <c r="T55" s="75"/>
      <c r="U55" s="75"/>
      <c r="V55" s="75"/>
    </row>
    <row r="56" spans="1:22" x14ac:dyDescent="0.25">
      <c r="A56" s="27">
        <f t="shared" si="1"/>
        <v>53</v>
      </c>
      <c r="B56" s="26"/>
      <c r="C56" s="70"/>
      <c r="D56" s="70"/>
      <c r="E56" s="70"/>
      <c r="F56" s="70"/>
      <c r="G56" s="70"/>
      <c r="H56" s="70"/>
      <c r="I56" s="70"/>
      <c r="J56" s="71"/>
      <c r="K56" s="72"/>
      <c r="L56" s="55"/>
      <c r="M56" s="73"/>
      <c r="N56" s="74"/>
      <c r="O56" s="70"/>
      <c r="P56" s="71"/>
      <c r="Q56" s="71"/>
      <c r="R56" s="72"/>
      <c r="S56" s="55"/>
      <c r="T56" s="75"/>
      <c r="U56" s="75"/>
      <c r="V56" s="75"/>
    </row>
    <row r="57" spans="1:22" x14ac:dyDescent="0.25">
      <c r="A57" s="27">
        <f t="shared" si="1"/>
        <v>54</v>
      </c>
      <c r="B57" s="26"/>
      <c r="C57" s="70"/>
      <c r="D57" s="70"/>
      <c r="E57" s="70"/>
      <c r="F57" s="70"/>
      <c r="G57" s="70"/>
      <c r="H57" s="70"/>
      <c r="I57" s="70"/>
      <c r="J57" s="71"/>
      <c r="K57" s="72"/>
      <c r="L57" s="55"/>
      <c r="M57" s="73"/>
      <c r="N57" s="74"/>
      <c r="O57" s="70"/>
      <c r="P57" s="71"/>
      <c r="Q57" s="71"/>
      <c r="R57" s="72"/>
      <c r="S57" s="55"/>
      <c r="T57" s="75"/>
      <c r="U57" s="75"/>
      <c r="V57" s="75"/>
    </row>
    <row r="58" spans="1:22" s="15" customFormat="1" ht="19.5" thickBot="1" x14ac:dyDescent="0.3">
      <c r="B58" s="29" t="s">
        <v>50</v>
      </c>
      <c r="C58" s="2">
        <f>SUM(C7:C57)</f>
        <v>48260</v>
      </c>
      <c r="D58" s="2"/>
      <c r="E58" s="2"/>
      <c r="F58" s="2">
        <f t="shared" ref="F58:K58" si="11">SUM(F7:F57)</f>
        <v>0</v>
      </c>
      <c r="G58" s="2">
        <f t="shared" si="11"/>
        <v>0</v>
      </c>
      <c r="H58" s="2">
        <f t="shared" si="11"/>
        <v>14518</v>
      </c>
      <c r="I58" s="6">
        <f t="shared" si="11"/>
        <v>43</v>
      </c>
      <c r="J58" s="6">
        <f t="shared" si="11"/>
        <v>105</v>
      </c>
      <c r="K58" s="6">
        <f t="shared" si="11"/>
        <v>470</v>
      </c>
      <c r="M58" s="5">
        <f t="shared" ref="M58:R58" si="12">SUM(M7:M57)</f>
        <v>385</v>
      </c>
      <c r="N58" s="5">
        <f t="shared" si="12"/>
        <v>10</v>
      </c>
      <c r="O58" s="5">
        <f t="shared" si="12"/>
        <v>501</v>
      </c>
      <c r="P58" s="5">
        <f t="shared" si="12"/>
        <v>25</v>
      </c>
      <c r="Q58" s="5">
        <f t="shared" si="12"/>
        <v>624</v>
      </c>
      <c r="R58" s="5">
        <f t="shared" si="12"/>
        <v>4</v>
      </c>
      <c r="S58" s="55"/>
      <c r="T58" s="4">
        <f>SUM(T7:T57)</f>
        <v>15175</v>
      </c>
      <c r="U58" s="90">
        <f>SUM(U7:U57)</f>
        <v>387793</v>
      </c>
      <c r="V58" s="4">
        <f>SUM(V7:V57)</f>
        <v>50762.416666666672</v>
      </c>
    </row>
    <row r="59" spans="1:22" ht="7.5" customHeight="1" thickBot="1" x14ac:dyDescent="0.3"/>
    <row r="60" spans="1:22" ht="19.5" thickBot="1" x14ac:dyDescent="0.3">
      <c r="B60" s="30" t="s">
        <v>37</v>
      </c>
      <c r="C60" s="113" t="s">
        <v>41</v>
      </c>
      <c r="D60" s="114"/>
      <c r="E60" s="114"/>
      <c r="F60" s="114"/>
      <c r="G60" s="114"/>
      <c r="H60" s="114"/>
      <c r="I60" s="114"/>
      <c r="J60" s="114"/>
      <c r="K60" s="115"/>
      <c r="U60" s="24" t="s">
        <v>51</v>
      </c>
    </row>
    <row r="61" spans="1:22" x14ac:dyDescent="0.25">
      <c r="B61" s="31" t="s">
        <v>17</v>
      </c>
      <c r="C61" s="19"/>
      <c r="D61" s="19"/>
      <c r="E61" s="19"/>
      <c r="F61" s="19"/>
      <c r="G61" s="19"/>
      <c r="H61" s="19"/>
      <c r="I61" s="19"/>
      <c r="J61" s="45"/>
      <c r="K61" s="20"/>
      <c r="U61" s="7"/>
    </row>
    <row r="62" spans="1:22" x14ac:dyDescent="0.25">
      <c r="B62" s="32" t="s">
        <v>45</v>
      </c>
      <c r="C62" s="1"/>
      <c r="D62" s="1"/>
      <c r="E62" s="1"/>
      <c r="F62" s="1"/>
      <c r="G62" s="1"/>
      <c r="H62" s="1"/>
      <c r="I62" s="1"/>
      <c r="J62" s="44"/>
      <c r="K62" s="21"/>
      <c r="U62" s="3"/>
    </row>
    <row r="63" spans="1:22" ht="19.5" thickBot="1" x14ac:dyDescent="0.3">
      <c r="B63" s="33" t="s">
        <v>44</v>
      </c>
      <c r="C63" s="22"/>
      <c r="D63" s="22"/>
      <c r="E63" s="22"/>
      <c r="F63" s="22"/>
      <c r="G63" s="22"/>
      <c r="H63" s="22"/>
      <c r="I63" s="22"/>
      <c r="J63" s="46"/>
      <c r="K63" s="23"/>
      <c r="U63" s="8"/>
    </row>
    <row r="64" spans="1:22" ht="7.5" customHeight="1" thickBot="1" x14ac:dyDescent="0.3"/>
    <row r="65" spans="2:21" x14ac:dyDescent="0.25">
      <c r="B65" s="31" t="s">
        <v>46</v>
      </c>
      <c r="C65" s="19"/>
      <c r="D65" s="19"/>
      <c r="E65" s="19"/>
      <c r="F65" s="19"/>
      <c r="G65" s="19"/>
      <c r="H65" s="19"/>
      <c r="I65" s="19"/>
      <c r="J65" s="45"/>
      <c r="K65" s="20"/>
      <c r="U65" s="7"/>
    </row>
    <row r="66" spans="2:21" x14ac:dyDescent="0.25">
      <c r="B66" s="32" t="s">
        <v>45</v>
      </c>
      <c r="C66" s="1"/>
      <c r="D66" s="1"/>
      <c r="E66" s="1"/>
      <c r="F66" s="1"/>
      <c r="G66" s="1"/>
      <c r="H66" s="1"/>
      <c r="I66" s="1"/>
      <c r="J66" s="44"/>
      <c r="K66" s="21"/>
      <c r="U66" s="3"/>
    </row>
    <row r="67" spans="2:21" ht="19.5" thickBot="1" x14ac:dyDescent="0.3">
      <c r="B67" s="33" t="s">
        <v>44</v>
      </c>
      <c r="C67" s="22"/>
      <c r="D67" s="22"/>
      <c r="E67" s="22"/>
      <c r="F67" s="22"/>
      <c r="G67" s="22"/>
      <c r="H67" s="22"/>
      <c r="I67" s="22"/>
      <c r="J67" s="46"/>
      <c r="K67" s="23"/>
      <c r="U67" s="8"/>
    </row>
    <row r="68" spans="2:21" ht="7.5" customHeight="1" thickBot="1" x14ac:dyDescent="0.3"/>
    <row r="69" spans="2:21" x14ac:dyDescent="0.25">
      <c r="B69" s="31" t="s">
        <v>38</v>
      </c>
      <c r="C69" s="19"/>
      <c r="D69" s="19"/>
      <c r="E69" s="19"/>
      <c r="F69" s="19"/>
      <c r="G69" s="19"/>
      <c r="H69" s="19"/>
      <c r="I69" s="19"/>
      <c r="J69" s="45"/>
      <c r="K69" s="20"/>
      <c r="U69" s="7"/>
    </row>
    <row r="70" spans="2:21" x14ac:dyDescent="0.25">
      <c r="B70" s="32" t="s">
        <v>45</v>
      </c>
      <c r="C70" s="1"/>
      <c r="D70" s="1"/>
      <c r="E70" s="1"/>
      <c r="F70" s="1"/>
      <c r="G70" s="1"/>
      <c r="H70" s="1"/>
      <c r="I70" s="1"/>
      <c r="J70" s="44"/>
      <c r="K70" s="21"/>
      <c r="U70" s="3"/>
    </row>
    <row r="71" spans="2:21" ht="19.5" thickBot="1" x14ac:dyDescent="0.3">
      <c r="B71" s="33" t="s">
        <v>44</v>
      </c>
      <c r="C71" s="22"/>
      <c r="D71" s="22"/>
      <c r="E71" s="22"/>
      <c r="F71" s="22"/>
      <c r="G71" s="22"/>
      <c r="H71" s="22"/>
      <c r="I71" s="22"/>
      <c r="J71" s="46"/>
      <c r="K71" s="23"/>
      <c r="U71" s="8"/>
    </row>
    <row r="72" spans="2:21" ht="7.5" customHeight="1" thickBot="1" x14ac:dyDescent="0.3"/>
    <row r="73" spans="2:21" x14ac:dyDescent="0.25">
      <c r="B73" s="31" t="s">
        <v>47</v>
      </c>
      <c r="C73" s="19"/>
      <c r="D73" s="19"/>
      <c r="E73" s="19"/>
      <c r="F73" s="19"/>
      <c r="G73" s="19"/>
      <c r="H73" s="19"/>
      <c r="I73" s="19"/>
      <c r="J73" s="45"/>
      <c r="K73" s="20"/>
      <c r="U73" s="7"/>
    </row>
    <row r="74" spans="2:21" x14ac:dyDescent="0.25">
      <c r="B74" s="32" t="s">
        <v>45</v>
      </c>
      <c r="C74" s="1"/>
      <c r="D74" s="1"/>
      <c r="E74" s="1"/>
      <c r="F74" s="1"/>
      <c r="G74" s="1"/>
      <c r="H74" s="1"/>
      <c r="I74" s="1"/>
      <c r="J74" s="44"/>
      <c r="K74" s="21"/>
      <c r="U74" s="3"/>
    </row>
    <row r="75" spans="2:21" ht="19.5" thickBot="1" x14ac:dyDescent="0.3">
      <c r="B75" s="33" t="s">
        <v>44</v>
      </c>
      <c r="C75" s="22"/>
      <c r="D75" s="22"/>
      <c r="E75" s="22"/>
      <c r="F75" s="22"/>
      <c r="G75" s="22"/>
      <c r="H75" s="22"/>
      <c r="I75" s="22"/>
      <c r="J75" s="46"/>
      <c r="K75" s="23"/>
      <c r="U75" s="8"/>
    </row>
    <row r="76" spans="2:21" ht="7.5" customHeight="1" thickBot="1" x14ac:dyDescent="0.3"/>
    <row r="77" spans="2:21" x14ac:dyDescent="0.25">
      <c r="B77" s="31" t="s">
        <v>48</v>
      </c>
      <c r="C77" s="19"/>
      <c r="D77" s="19"/>
      <c r="E77" s="19"/>
      <c r="F77" s="19"/>
      <c r="G77" s="19"/>
      <c r="H77" s="19"/>
      <c r="I77" s="19"/>
      <c r="J77" s="45"/>
      <c r="K77" s="20"/>
      <c r="U77" s="7"/>
    </row>
    <row r="78" spans="2:21" x14ac:dyDescent="0.25">
      <c r="B78" s="32" t="s">
        <v>45</v>
      </c>
      <c r="C78" s="1"/>
      <c r="D78" s="1"/>
      <c r="E78" s="1"/>
      <c r="F78" s="1"/>
      <c r="G78" s="1"/>
      <c r="H78" s="1"/>
      <c r="I78" s="1"/>
      <c r="J78" s="44"/>
      <c r="K78" s="21"/>
      <c r="U78" s="3"/>
    </row>
    <row r="79" spans="2:21" ht="19.5" thickBot="1" x14ac:dyDescent="0.3">
      <c r="B79" s="33" t="s">
        <v>44</v>
      </c>
      <c r="C79" s="22"/>
      <c r="D79" s="22"/>
      <c r="E79" s="22"/>
      <c r="F79" s="22"/>
      <c r="G79" s="22"/>
      <c r="H79" s="22"/>
      <c r="I79" s="22"/>
      <c r="J79" s="46"/>
      <c r="K79" s="23"/>
      <c r="U79" s="8"/>
    </row>
    <row r="80" spans="2:21" ht="7.5" customHeight="1" thickBot="1" x14ac:dyDescent="0.3"/>
    <row r="81" spans="2:21" ht="19.5" thickBot="1" x14ac:dyDescent="0.3">
      <c r="B81" s="30" t="s">
        <v>49</v>
      </c>
      <c r="C81" s="17"/>
      <c r="D81" s="17"/>
      <c r="E81" s="17"/>
      <c r="F81" s="17"/>
      <c r="G81" s="17"/>
      <c r="H81" s="17"/>
      <c r="I81" s="17"/>
      <c r="J81" s="47"/>
      <c r="K81" s="18"/>
      <c r="U81" s="16"/>
    </row>
  </sheetData>
  <mergeCells count="7">
    <mergeCell ref="V4:V5"/>
    <mergeCell ref="J5:K5"/>
    <mergeCell ref="C60:K60"/>
    <mergeCell ref="I1:U1"/>
    <mergeCell ref="C4:K4"/>
    <mergeCell ref="T4:T5"/>
    <mergeCell ref="U4:U5"/>
  </mergeCells>
  <printOptions horizontalCentered="1" verticalCentered="1"/>
  <pageMargins left="0.19685039370078741" right="0.19685039370078741" top="0.19685039370078741" bottom="0.19685039370078741" header="0.19685039370078741" footer="0.19685039370078741"/>
  <pageSetup paperSize="14" scale="70" orientation="portrait" horizontalDpi="360" verticalDpi="360" r:id="rId1"/>
  <colBreaks count="1" manualBreakCount="1">
    <brk id="24" max="80" man="1"/>
  </colBreaks>
</worksheet>
</file>

<file path=xl/worksheets/sheet10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7A23284-EB4A-4612-964A-73C557E65C8C}">
  <sheetPr>
    <pageSetUpPr fitToPage="1"/>
  </sheetPr>
  <dimension ref="A1:BB81"/>
  <sheetViews>
    <sheetView topLeftCell="F1" zoomScale="145" zoomScaleNormal="145" zoomScaleSheetLayoutView="115" workbookViewId="0">
      <selection activeCell="K12" sqref="K12"/>
    </sheetView>
  </sheetViews>
  <sheetFormatPr defaultColWidth="9.140625" defaultRowHeight="18.75" x14ac:dyDescent="0.25"/>
  <cols>
    <col min="1" max="1" width="4.140625" style="9" bestFit="1" customWidth="1"/>
    <col min="2" max="2" width="12.28515625" style="28" customWidth="1"/>
    <col min="3" max="6" width="10" style="9" customWidth="1"/>
    <col min="7" max="7" width="6.85546875" style="9" customWidth="1"/>
    <col min="8" max="8" width="7.5703125" style="9" bestFit="1" customWidth="1"/>
    <col min="9" max="9" width="6.7109375" style="9" bestFit="1" customWidth="1"/>
    <col min="10" max="10" width="6.85546875" style="9" customWidth="1"/>
    <col min="11" max="11" width="7.5703125" style="9" bestFit="1" customWidth="1"/>
    <col min="12" max="12" width="1.42578125" style="9" customWidth="1"/>
    <col min="13" max="13" width="10" style="9" customWidth="1"/>
    <col min="14" max="14" width="6.7109375" style="9" bestFit="1" customWidth="1"/>
    <col min="15" max="15" width="10" style="9" customWidth="1"/>
    <col min="16" max="16" width="5.5703125" style="9" customWidth="1"/>
    <col min="17" max="17" width="10" style="9" customWidth="1"/>
    <col min="18" max="18" width="6.7109375" style="9" bestFit="1" customWidth="1"/>
    <col min="19" max="19" width="1.42578125" style="9" customWidth="1"/>
    <col min="20" max="20" width="12.7109375" style="9" bestFit="1" customWidth="1"/>
    <col min="21" max="21" width="14.28515625" style="9" customWidth="1"/>
    <col min="22" max="22" width="19.5703125" style="9" bestFit="1" customWidth="1"/>
    <col min="23" max="49" width="7.28515625" style="9" customWidth="1"/>
    <col min="50" max="50" width="1.5703125" style="9" customWidth="1"/>
    <col min="51" max="51" width="9.42578125" style="9" customWidth="1"/>
    <col min="52" max="52" width="1.28515625" style="9" customWidth="1"/>
    <col min="53" max="53" width="12.7109375" style="9" bestFit="1" customWidth="1"/>
    <col min="54" max="54" width="10.28515625" style="9" bestFit="1" customWidth="1"/>
    <col min="55" max="16384" width="9.140625" style="9"/>
  </cols>
  <sheetData>
    <row r="1" spans="1:54" ht="15" customHeight="1" x14ac:dyDescent="0.25">
      <c r="B1" s="27" t="s">
        <v>42</v>
      </c>
      <c r="I1" s="116" t="s">
        <v>43</v>
      </c>
      <c r="J1" s="116"/>
      <c r="K1" s="116"/>
      <c r="L1" s="116"/>
      <c r="M1" s="116"/>
      <c r="N1" s="116"/>
      <c r="O1" s="116"/>
      <c r="P1" s="116"/>
      <c r="Q1" s="116"/>
      <c r="R1" s="116"/>
      <c r="S1" s="116"/>
      <c r="T1" s="116"/>
      <c r="U1" s="116"/>
    </row>
    <row r="2" spans="1:54" x14ac:dyDescent="0.25">
      <c r="B2" s="28" t="s">
        <v>79</v>
      </c>
    </row>
    <row r="3" spans="1:54" ht="19.5" thickBot="1" x14ac:dyDescent="0.3"/>
    <row r="4" spans="1:54" s="10" customFormat="1" ht="15.75" x14ac:dyDescent="0.25">
      <c r="B4" s="41" t="s">
        <v>52</v>
      </c>
      <c r="C4" s="117" t="s">
        <v>41</v>
      </c>
      <c r="D4" s="117"/>
      <c r="E4" s="117"/>
      <c r="F4" s="117"/>
      <c r="G4" s="117"/>
      <c r="H4" s="117"/>
      <c r="I4" s="117"/>
      <c r="J4" s="118"/>
      <c r="K4" s="119"/>
      <c r="M4" s="34" t="s">
        <v>0</v>
      </c>
      <c r="N4" s="48" t="s">
        <v>61</v>
      </c>
      <c r="O4" s="35" t="s">
        <v>39</v>
      </c>
      <c r="P4" s="48" t="s">
        <v>61</v>
      </c>
      <c r="Q4" s="36" t="s">
        <v>40</v>
      </c>
      <c r="R4" s="48" t="s">
        <v>61</v>
      </c>
      <c r="S4" s="9"/>
      <c r="T4" s="120" t="s">
        <v>68</v>
      </c>
      <c r="U4" s="126" t="s">
        <v>67</v>
      </c>
      <c r="V4" s="109" t="s">
        <v>66</v>
      </c>
      <c r="AF4" s="11"/>
      <c r="AG4" s="11"/>
      <c r="AH4" s="11"/>
      <c r="AI4" s="11"/>
      <c r="AJ4" s="11"/>
      <c r="AK4" s="11"/>
      <c r="AL4" s="11"/>
      <c r="AM4" s="11"/>
      <c r="AN4" s="11"/>
      <c r="AO4" s="11"/>
      <c r="AP4" s="11"/>
      <c r="AQ4" s="11"/>
      <c r="AR4" s="11"/>
      <c r="AS4" s="11"/>
      <c r="AT4" s="11"/>
      <c r="AU4" s="11"/>
      <c r="AV4" s="11"/>
      <c r="AW4" s="11"/>
      <c r="AX4" s="11"/>
      <c r="AY4" s="11"/>
      <c r="AZ4" s="11"/>
      <c r="BA4" s="11"/>
      <c r="BB4" s="11"/>
    </row>
    <row r="5" spans="1:54" s="10" customFormat="1" ht="15.75" x14ac:dyDescent="0.25">
      <c r="B5" s="37"/>
      <c r="C5" s="40"/>
      <c r="D5" s="40"/>
      <c r="E5" s="40"/>
      <c r="F5" s="40"/>
      <c r="G5" s="40"/>
      <c r="H5" s="40" t="s">
        <v>64</v>
      </c>
      <c r="I5" s="40" t="s">
        <v>60</v>
      </c>
      <c r="J5" s="124" t="s">
        <v>65</v>
      </c>
      <c r="K5" s="125"/>
      <c r="M5" s="37"/>
      <c r="N5" s="49"/>
      <c r="O5" s="40"/>
      <c r="P5" s="99"/>
      <c r="Q5" s="99"/>
      <c r="R5" s="38"/>
      <c r="S5" s="9"/>
      <c r="T5" s="121"/>
      <c r="U5" s="127"/>
      <c r="V5" s="110"/>
      <c r="AF5" s="11"/>
      <c r="AG5" s="11"/>
      <c r="AH5" s="11"/>
      <c r="AI5" s="11"/>
      <c r="AJ5" s="11"/>
      <c r="AK5" s="11"/>
      <c r="AL5" s="11"/>
      <c r="AM5" s="11"/>
      <c r="AN5" s="11"/>
      <c r="AO5" s="11"/>
      <c r="AP5" s="11"/>
      <c r="AQ5" s="11"/>
      <c r="AR5" s="11"/>
      <c r="AS5" s="11"/>
      <c r="AT5" s="11"/>
      <c r="AU5" s="11"/>
      <c r="AV5" s="11"/>
      <c r="AW5" s="11"/>
      <c r="AX5" s="11"/>
      <c r="AY5" s="11"/>
      <c r="AZ5" s="11"/>
      <c r="BA5" s="11"/>
      <c r="BB5" s="11"/>
    </row>
    <row r="6" spans="1:54" s="10" customFormat="1" ht="15.75" x14ac:dyDescent="0.25">
      <c r="B6" s="37"/>
      <c r="C6" s="40"/>
      <c r="D6" s="40"/>
      <c r="E6" s="40"/>
      <c r="F6" s="40"/>
      <c r="G6" s="40"/>
      <c r="H6" s="40"/>
      <c r="I6" s="40"/>
      <c r="J6" s="99"/>
      <c r="K6" s="38"/>
      <c r="M6" s="37"/>
      <c r="N6" s="49"/>
      <c r="O6" s="40"/>
      <c r="P6" s="99"/>
      <c r="Q6" s="99"/>
      <c r="R6" s="38"/>
      <c r="S6" s="9"/>
      <c r="T6" s="39"/>
      <c r="U6" s="39"/>
      <c r="V6" s="39"/>
      <c r="AF6" s="11"/>
      <c r="AG6" s="11"/>
      <c r="AH6" s="11"/>
      <c r="AI6" s="11"/>
      <c r="AJ6" s="11"/>
      <c r="AK6" s="11"/>
      <c r="AL6" s="11"/>
      <c r="AM6" s="11"/>
      <c r="AN6" s="11"/>
      <c r="AO6" s="11"/>
      <c r="AP6" s="11"/>
      <c r="AQ6" s="11"/>
      <c r="AR6" s="11"/>
      <c r="AS6" s="11"/>
      <c r="AT6" s="11"/>
      <c r="AU6" s="11"/>
      <c r="AV6" s="11"/>
      <c r="AW6" s="11"/>
      <c r="AX6" s="11"/>
      <c r="AY6" s="11"/>
      <c r="AZ6" s="11"/>
      <c r="BA6" s="11"/>
      <c r="BB6" s="11"/>
    </row>
    <row r="7" spans="1:54" x14ac:dyDescent="0.25">
      <c r="A7" s="27">
        <v>1</v>
      </c>
      <c r="B7" s="26" t="s">
        <v>32</v>
      </c>
      <c r="C7" s="52">
        <v>32</v>
      </c>
      <c r="D7" s="52"/>
      <c r="E7" s="52"/>
      <c r="F7" s="52"/>
      <c r="G7" s="52"/>
      <c r="H7" s="52"/>
      <c r="I7" s="52">
        <v>3</v>
      </c>
      <c r="J7" s="53"/>
      <c r="K7" s="54">
        <v>6</v>
      </c>
      <c r="L7" s="55"/>
      <c r="M7" s="56"/>
      <c r="N7" s="57"/>
      <c r="O7" s="52">
        <v>1</v>
      </c>
      <c r="P7" s="53"/>
      <c r="Q7" s="53"/>
      <c r="R7" s="54"/>
      <c r="S7" s="55"/>
      <c r="T7" s="58">
        <f>H7+I7+J7+K7+N7+P7+R7</f>
        <v>9</v>
      </c>
      <c r="U7" s="58">
        <f>C7*24+M7*24+O7*24+Q7*24+T7</f>
        <v>801</v>
      </c>
      <c r="V7" s="58">
        <f>U7/24</f>
        <v>33.375</v>
      </c>
      <c r="W7" s="50"/>
      <c r="AF7" s="12"/>
      <c r="AG7" s="12"/>
      <c r="AH7" s="12"/>
      <c r="AI7" s="12"/>
      <c r="AJ7" s="12"/>
      <c r="AK7" s="12"/>
      <c r="AL7" s="12"/>
      <c r="AM7" s="12"/>
      <c r="AN7" s="12"/>
      <c r="AO7" s="12"/>
      <c r="AP7" s="12"/>
      <c r="AQ7" s="12"/>
      <c r="AR7" s="12"/>
      <c r="AS7" s="12"/>
      <c r="AT7" s="12"/>
      <c r="AU7" s="12"/>
      <c r="AV7" s="12"/>
      <c r="AW7" s="12"/>
      <c r="AX7" s="12"/>
      <c r="AY7" s="12"/>
      <c r="AZ7" s="12"/>
      <c r="BA7" s="12"/>
      <c r="BB7" s="12"/>
    </row>
    <row r="8" spans="1:54" ht="19.5" thickBot="1" x14ac:dyDescent="0.3">
      <c r="A8" s="27">
        <f>A7+1</f>
        <v>2</v>
      </c>
      <c r="B8" s="42" t="s">
        <v>35</v>
      </c>
      <c r="C8" s="59">
        <f>41+43</f>
        <v>84</v>
      </c>
      <c r="D8" s="59"/>
      <c r="E8" s="59"/>
      <c r="F8" s="59"/>
      <c r="G8" s="59"/>
      <c r="H8" s="59"/>
      <c r="I8" s="59"/>
      <c r="J8" s="60"/>
      <c r="K8" s="61"/>
      <c r="L8" s="62"/>
      <c r="M8" s="63">
        <v>1</v>
      </c>
      <c r="N8" s="64"/>
      <c r="O8" s="65">
        <v>1</v>
      </c>
      <c r="P8" s="66">
        <v>12</v>
      </c>
      <c r="Q8" s="66">
        <v>1</v>
      </c>
      <c r="R8" s="67"/>
      <c r="S8" s="62"/>
      <c r="T8" s="68">
        <f t="shared" ref="T8:T41" si="0">H8+I8+J8+K8+N8+P8+R8</f>
        <v>12</v>
      </c>
      <c r="U8" s="69">
        <f>C8*24+M8*24+O8*24+Q8*24+T8</f>
        <v>2100</v>
      </c>
      <c r="V8" s="69">
        <f>U8/24</f>
        <v>87.5</v>
      </c>
      <c r="W8" s="50"/>
      <c r="AF8" s="12"/>
      <c r="AG8" s="12"/>
      <c r="AH8" s="12"/>
      <c r="AI8" s="12"/>
      <c r="AJ8" s="12"/>
      <c r="AK8" s="12"/>
      <c r="AL8" s="12"/>
      <c r="AM8" s="12"/>
      <c r="AN8" s="12"/>
      <c r="AO8" s="12"/>
      <c r="AP8" s="12"/>
      <c r="AQ8" s="12"/>
      <c r="AR8" s="12"/>
      <c r="AS8" s="12"/>
      <c r="AT8" s="12"/>
      <c r="AU8" s="12"/>
      <c r="AV8" s="12"/>
      <c r="AW8" s="12"/>
      <c r="AX8" s="12"/>
      <c r="AY8" s="12"/>
      <c r="AZ8" s="12"/>
      <c r="BA8" s="12"/>
      <c r="BB8" s="12"/>
    </row>
    <row r="9" spans="1:54" x14ac:dyDescent="0.25">
      <c r="A9" s="27">
        <f t="shared" ref="A9:A57" si="1">A8+1</f>
        <v>3</v>
      </c>
      <c r="B9" s="25" t="s">
        <v>33</v>
      </c>
      <c r="C9" s="70">
        <f>60+30</f>
        <v>90</v>
      </c>
      <c r="D9" s="70"/>
      <c r="E9" s="70"/>
      <c r="F9" s="70"/>
      <c r="G9" s="70"/>
      <c r="H9" s="70"/>
      <c r="I9" s="70"/>
      <c r="J9" s="71"/>
      <c r="K9" s="72"/>
      <c r="L9" s="55"/>
      <c r="M9" s="73"/>
      <c r="N9" s="74"/>
      <c r="O9" s="70">
        <v>1</v>
      </c>
      <c r="P9" s="71"/>
      <c r="Q9" s="71"/>
      <c r="R9" s="72"/>
      <c r="S9" s="55"/>
      <c r="T9" s="75">
        <f t="shared" si="0"/>
        <v>0</v>
      </c>
      <c r="U9" s="76">
        <f t="shared" ref="U9:U11" si="2">C9*24+M9*24+O9*24+Q9*24+T9</f>
        <v>2184</v>
      </c>
      <c r="V9" s="76">
        <f t="shared" ref="V9:V11" si="3">U9/24</f>
        <v>91</v>
      </c>
      <c r="W9" s="50"/>
      <c r="AF9" s="12"/>
      <c r="AG9" s="12"/>
      <c r="AH9" s="12"/>
      <c r="AI9" s="12"/>
      <c r="AJ9" s="12"/>
      <c r="AK9" s="12"/>
      <c r="AL9" s="12"/>
      <c r="AM9" s="12"/>
      <c r="AN9" s="12"/>
      <c r="AO9" s="12"/>
      <c r="AP9" s="12"/>
      <c r="AQ9" s="12"/>
      <c r="AR9" s="12"/>
      <c r="AS9" s="12"/>
      <c r="AT9" s="12"/>
      <c r="AU9" s="12"/>
      <c r="AV9" s="12"/>
      <c r="AW9" s="12"/>
      <c r="AX9" s="12"/>
      <c r="AY9" s="12"/>
      <c r="AZ9" s="12"/>
      <c r="BA9" s="12"/>
      <c r="BB9" s="12"/>
    </row>
    <row r="10" spans="1:54" x14ac:dyDescent="0.25">
      <c r="A10" s="27">
        <f t="shared" si="1"/>
        <v>4</v>
      </c>
      <c r="B10" s="26" t="s">
        <v>36</v>
      </c>
      <c r="C10" s="70">
        <f>34+10</f>
        <v>44</v>
      </c>
      <c r="D10" s="70"/>
      <c r="E10" s="70"/>
      <c r="F10" s="70"/>
      <c r="G10" s="70"/>
      <c r="H10" s="70"/>
      <c r="I10" s="70"/>
      <c r="J10" s="71"/>
      <c r="K10" s="72"/>
      <c r="L10" s="55"/>
      <c r="M10" s="73"/>
      <c r="N10" s="74"/>
      <c r="O10" s="70"/>
      <c r="P10" s="71"/>
      <c r="Q10" s="71">
        <v>2</v>
      </c>
      <c r="R10" s="72"/>
      <c r="S10" s="55"/>
      <c r="T10" s="58">
        <f t="shared" si="0"/>
        <v>0</v>
      </c>
      <c r="U10" s="58">
        <f t="shared" si="2"/>
        <v>1104</v>
      </c>
      <c r="V10" s="58">
        <f t="shared" si="3"/>
        <v>46</v>
      </c>
      <c r="W10" s="50"/>
      <c r="AF10" s="12"/>
      <c r="AG10" s="12"/>
      <c r="AH10" s="12"/>
      <c r="AI10" s="12"/>
      <c r="AJ10" s="12"/>
      <c r="AK10" s="12"/>
      <c r="AL10" s="12"/>
      <c r="AM10" s="12"/>
      <c r="AN10" s="12"/>
      <c r="AO10" s="12"/>
      <c r="AP10" s="12"/>
      <c r="AQ10" s="12"/>
      <c r="AR10" s="12"/>
      <c r="AS10" s="12"/>
      <c r="AT10" s="12"/>
      <c r="AU10" s="12"/>
      <c r="AV10" s="12"/>
      <c r="AW10" s="12"/>
      <c r="AX10" s="12"/>
      <c r="AY10" s="12"/>
      <c r="AZ10" s="12"/>
      <c r="BA10" s="12"/>
      <c r="BB10" s="12"/>
    </row>
    <row r="11" spans="1:54" x14ac:dyDescent="0.25">
      <c r="A11" s="27">
        <f t="shared" si="1"/>
        <v>5</v>
      </c>
      <c r="B11" s="26" t="s">
        <v>34</v>
      </c>
      <c r="C11" s="70">
        <v>9</v>
      </c>
      <c r="D11" s="70"/>
      <c r="E11" s="70"/>
      <c r="F11" s="70"/>
      <c r="G11" s="70"/>
      <c r="H11" s="70"/>
      <c r="I11" s="70"/>
      <c r="J11" s="71"/>
      <c r="K11" s="72">
        <v>2</v>
      </c>
      <c r="L11" s="55"/>
      <c r="M11" s="73"/>
      <c r="N11" s="74"/>
      <c r="O11" s="70"/>
      <c r="P11" s="71"/>
      <c r="Q11" s="71"/>
      <c r="R11" s="72"/>
      <c r="S11" s="55"/>
      <c r="T11" s="58">
        <f t="shared" si="0"/>
        <v>2</v>
      </c>
      <c r="U11" s="58">
        <f t="shared" si="2"/>
        <v>218</v>
      </c>
      <c r="V11" s="58">
        <f t="shared" si="3"/>
        <v>9.0833333333333339</v>
      </c>
      <c r="AF11" s="12"/>
      <c r="AG11" s="12"/>
      <c r="AH11" s="12"/>
      <c r="AI11" s="12"/>
      <c r="AJ11" s="12"/>
      <c r="AK11" s="12"/>
      <c r="AL11" s="12"/>
      <c r="AM11" s="12"/>
      <c r="AN11" s="12"/>
      <c r="AO11" s="12"/>
      <c r="AP11" s="12"/>
      <c r="AQ11" s="12"/>
      <c r="AR11" s="12"/>
      <c r="AS11" s="12"/>
      <c r="AT11" s="12"/>
      <c r="AU11" s="12"/>
      <c r="AV11" s="12"/>
      <c r="AW11" s="12"/>
      <c r="AX11" s="12"/>
      <c r="AY11" s="12"/>
      <c r="AZ11" s="12"/>
      <c r="BA11" s="12"/>
      <c r="BB11" s="12"/>
    </row>
    <row r="12" spans="1:54" s="13" customFormat="1" ht="19.5" thickBot="1" x14ac:dyDescent="0.3">
      <c r="A12" s="27">
        <v>7</v>
      </c>
      <c r="B12" s="42" t="s">
        <v>30</v>
      </c>
      <c r="C12" s="59">
        <f>1224+53+3+936+1080+29</f>
        <v>3325</v>
      </c>
      <c r="D12" s="59"/>
      <c r="E12" s="59"/>
      <c r="F12" s="59"/>
      <c r="G12" s="59"/>
      <c r="H12" s="59"/>
      <c r="I12" s="59"/>
      <c r="J12" s="60"/>
      <c r="K12" s="61"/>
      <c r="L12" s="62"/>
      <c r="M12" s="63">
        <v>10</v>
      </c>
      <c r="N12" s="64"/>
      <c r="O12" s="65">
        <v>10</v>
      </c>
      <c r="P12" s="66"/>
      <c r="Q12" s="66">
        <v>20</v>
      </c>
      <c r="R12" s="67">
        <v>13</v>
      </c>
      <c r="S12" s="62"/>
      <c r="T12" s="69">
        <f t="shared" si="0"/>
        <v>13</v>
      </c>
      <c r="U12" s="69">
        <f>C12*24+M12*24+O12*24+Q12*24+T12</f>
        <v>80773</v>
      </c>
      <c r="V12" s="69">
        <f>U12/24</f>
        <v>3365.5416666666665</v>
      </c>
      <c r="W12" s="9"/>
      <c r="X12" s="9"/>
      <c r="Y12" s="9"/>
      <c r="Z12" s="9"/>
      <c r="AA12" s="9"/>
      <c r="AB12" s="9"/>
      <c r="AC12" s="9"/>
      <c r="AD12" s="9"/>
      <c r="AE12" s="9"/>
      <c r="AF12" s="12"/>
      <c r="AG12" s="12"/>
      <c r="AH12" s="12"/>
      <c r="AI12" s="12"/>
      <c r="AJ12" s="12"/>
      <c r="AK12" s="12"/>
      <c r="AL12" s="12"/>
      <c r="AM12" s="12"/>
      <c r="AN12" s="12"/>
      <c r="AO12" s="12"/>
      <c r="AP12" s="12"/>
      <c r="AQ12" s="12"/>
      <c r="AR12" s="12"/>
      <c r="AS12" s="12"/>
      <c r="AT12" s="12"/>
      <c r="AU12" s="12"/>
      <c r="AV12" s="12"/>
      <c r="AW12" s="12"/>
      <c r="AX12" s="12"/>
      <c r="AY12" s="12"/>
      <c r="AZ12" s="12"/>
      <c r="BA12" s="12"/>
      <c r="BB12" s="12"/>
    </row>
    <row r="13" spans="1:54" x14ac:dyDescent="0.25">
      <c r="A13" s="27">
        <v>11</v>
      </c>
      <c r="B13" s="25" t="s">
        <v>1</v>
      </c>
      <c r="C13" s="70">
        <v>2</v>
      </c>
      <c r="D13" s="70"/>
      <c r="E13" s="70"/>
      <c r="F13" s="70"/>
      <c r="G13" s="70"/>
      <c r="H13" s="70">
        <v>16</v>
      </c>
      <c r="I13" s="70"/>
      <c r="J13" s="71"/>
      <c r="K13" s="72"/>
      <c r="L13" s="55"/>
      <c r="M13" s="73"/>
      <c r="N13" s="74"/>
      <c r="O13" s="70"/>
      <c r="P13" s="71"/>
      <c r="Q13" s="71"/>
      <c r="R13" s="72"/>
      <c r="S13" s="55"/>
      <c r="T13" s="76">
        <f t="shared" si="0"/>
        <v>16</v>
      </c>
      <c r="U13" s="76">
        <f>C13*24+M13*24+O13*24+Q13*24+T13</f>
        <v>64</v>
      </c>
      <c r="V13" s="76">
        <f>U13/24</f>
        <v>2.6666666666666665</v>
      </c>
      <c r="AF13" s="12"/>
      <c r="AG13" s="12"/>
      <c r="AH13" s="12"/>
      <c r="AI13" s="12"/>
      <c r="AJ13" s="12"/>
      <c r="AK13" s="12"/>
      <c r="AL13" s="12"/>
      <c r="AM13" s="12"/>
      <c r="AN13" s="12"/>
      <c r="AO13" s="12"/>
      <c r="AP13" s="12"/>
      <c r="AQ13" s="12"/>
      <c r="AR13" s="12"/>
      <c r="AS13" s="12"/>
      <c r="AT13" s="12"/>
      <c r="AU13" s="12"/>
      <c r="AV13" s="12"/>
      <c r="AW13" s="12"/>
      <c r="AX13" s="12"/>
      <c r="AY13" s="12"/>
      <c r="AZ13" s="12"/>
      <c r="BA13" s="12"/>
      <c r="BB13" s="12"/>
    </row>
    <row r="14" spans="1:54" x14ac:dyDescent="0.25">
      <c r="A14" s="27">
        <f t="shared" si="1"/>
        <v>12</v>
      </c>
      <c r="B14" s="26" t="s">
        <v>2</v>
      </c>
      <c r="C14" s="70">
        <v>2</v>
      </c>
      <c r="D14" s="70"/>
      <c r="E14" s="70"/>
      <c r="F14" s="70"/>
      <c r="G14" s="70"/>
      <c r="H14" s="70"/>
      <c r="I14" s="70"/>
      <c r="J14" s="71"/>
      <c r="K14" s="72"/>
      <c r="L14" s="55"/>
      <c r="M14" s="73"/>
      <c r="N14" s="74"/>
      <c r="O14" s="70"/>
      <c r="P14" s="71"/>
      <c r="Q14" s="71"/>
      <c r="R14" s="72"/>
      <c r="S14" s="55"/>
      <c r="T14" s="58">
        <f t="shared" si="0"/>
        <v>0</v>
      </c>
      <c r="U14" s="75">
        <f t="shared" ref="U14:U36" si="4">C14*24+M14*24+O14*24+Q14*24+T14</f>
        <v>48</v>
      </c>
      <c r="V14" s="75">
        <f t="shared" ref="V14:V36" si="5">U14/24</f>
        <v>2</v>
      </c>
      <c r="AF14" s="12"/>
      <c r="AG14" s="12"/>
      <c r="AH14" s="12"/>
      <c r="AI14" s="12"/>
      <c r="AJ14" s="12"/>
      <c r="AK14" s="12"/>
      <c r="AL14" s="12"/>
      <c r="AM14" s="12"/>
      <c r="AN14" s="12"/>
      <c r="AO14" s="12"/>
      <c r="AP14" s="12"/>
      <c r="AQ14" s="12"/>
      <c r="AR14" s="12"/>
      <c r="AS14" s="12"/>
      <c r="AT14" s="12"/>
      <c r="AU14" s="12"/>
      <c r="AV14" s="12"/>
      <c r="AW14" s="12"/>
      <c r="AX14" s="12"/>
      <c r="AY14" s="12"/>
      <c r="AZ14" s="12"/>
      <c r="BA14" s="12"/>
      <c r="BB14" s="12"/>
    </row>
    <row r="15" spans="1:54" x14ac:dyDescent="0.25">
      <c r="A15" s="27">
        <f t="shared" si="1"/>
        <v>13</v>
      </c>
      <c r="B15" s="26" t="s">
        <v>3</v>
      </c>
      <c r="C15" s="70"/>
      <c r="D15" s="70"/>
      <c r="E15" s="70"/>
      <c r="F15" s="70"/>
      <c r="G15" s="70"/>
      <c r="H15" s="70"/>
      <c r="I15" s="70"/>
      <c r="J15" s="71"/>
      <c r="K15" s="72"/>
      <c r="L15" s="55"/>
      <c r="M15" s="73"/>
      <c r="N15" s="74"/>
      <c r="O15" s="70"/>
      <c r="P15" s="71"/>
      <c r="Q15" s="71"/>
      <c r="R15" s="72"/>
      <c r="S15" s="55"/>
      <c r="T15" s="58">
        <f t="shared" si="0"/>
        <v>0</v>
      </c>
      <c r="U15" s="75">
        <f t="shared" si="4"/>
        <v>0</v>
      </c>
      <c r="V15" s="75">
        <f t="shared" si="5"/>
        <v>0</v>
      </c>
      <c r="AF15" s="12"/>
      <c r="AG15" s="12"/>
      <c r="AH15" s="12"/>
      <c r="AI15" s="12"/>
      <c r="AJ15" s="12"/>
      <c r="AK15" s="12"/>
      <c r="AL15" s="12"/>
      <c r="AM15" s="12"/>
      <c r="AN15" s="12"/>
      <c r="AO15" s="12"/>
      <c r="AP15" s="12"/>
      <c r="AQ15" s="12"/>
      <c r="AR15" s="12"/>
      <c r="AS15" s="12"/>
      <c r="AT15" s="12"/>
      <c r="AU15" s="12"/>
      <c r="AV15" s="12"/>
      <c r="AW15" s="12"/>
      <c r="AX15" s="12"/>
      <c r="AY15" s="12"/>
      <c r="AZ15" s="12"/>
      <c r="BA15" s="12"/>
      <c r="BB15" s="12"/>
    </row>
    <row r="16" spans="1:54" x14ac:dyDescent="0.25">
      <c r="A16" s="27">
        <f t="shared" si="1"/>
        <v>14</v>
      </c>
      <c r="B16" s="26" t="s">
        <v>4</v>
      </c>
      <c r="C16" s="70"/>
      <c r="D16" s="70"/>
      <c r="E16" s="70"/>
      <c r="F16" s="70"/>
      <c r="G16" s="70"/>
      <c r="H16" s="70"/>
      <c r="I16" s="70"/>
      <c r="J16" s="71"/>
      <c r="K16" s="72"/>
      <c r="L16" s="55"/>
      <c r="M16" s="73"/>
      <c r="N16" s="74"/>
      <c r="O16" s="70"/>
      <c r="P16" s="71"/>
      <c r="Q16" s="71"/>
      <c r="R16" s="72"/>
      <c r="S16" s="55"/>
      <c r="T16" s="58">
        <f t="shared" si="0"/>
        <v>0</v>
      </c>
      <c r="U16" s="75">
        <f t="shared" si="4"/>
        <v>0</v>
      </c>
      <c r="V16" s="75">
        <f t="shared" si="5"/>
        <v>0</v>
      </c>
      <c r="AF16" s="12"/>
      <c r="AG16" s="12"/>
      <c r="AH16" s="12"/>
      <c r="AI16" s="12"/>
      <c r="AJ16" s="12"/>
      <c r="AK16" s="12"/>
      <c r="AL16" s="12"/>
      <c r="AM16" s="12"/>
      <c r="AN16" s="12"/>
      <c r="AO16" s="12"/>
      <c r="AP16" s="12"/>
      <c r="AQ16" s="12"/>
      <c r="AR16" s="12"/>
      <c r="AS16" s="12"/>
      <c r="AT16" s="12"/>
      <c r="AU16" s="12"/>
      <c r="AV16" s="12"/>
      <c r="AW16" s="12"/>
      <c r="AX16" s="12"/>
      <c r="AY16" s="12"/>
      <c r="AZ16" s="12"/>
      <c r="BA16" s="12"/>
      <c r="BB16" s="12"/>
    </row>
    <row r="17" spans="1:54" x14ac:dyDescent="0.25">
      <c r="A17" s="27">
        <f t="shared" si="1"/>
        <v>15</v>
      </c>
      <c r="B17" s="26" t="s">
        <v>5</v>
      </c>
      <c r="C17" s="70"/>
      <c r="D17" s="70"/>
      <c r="E17" s="70"/>
      <c r="F17" s="70"/>
      <c r="G17" s="70"/>
      <c r="H17" s="70">
        <f>3*24</f>
        <v>72</v>
      </c>
      <c r="I17" s="70"/>
      <c r="J17" s="71"/>
      <c r="K17" s="72"/>
      <c r="L17" s="55"/>
      <c r="M17" s="73"/>
      <c r="N17" s="74"/>
      <c r="O17" s="70"/>
      <c r="P17" s="71"/>
      <c r="Q17" s="71"/>
      <c r="R17" s="72"/>
      <c r="S17" s="55"/>
      <c r="T17" s="58">
        <f t="shared" si="0"/>
        <v>72</v>
      </c>
      <c r="U17" s="75">
        <f t="shared" si="4"/>
        <v>72</v>
      </c>
      <c r="V17" s="75">
        <f t="shared" si="5"/>
        <v>3</v>
      </c>
      <c r="AF17" s="12"/>
      <c r="AG17" s="12"/>
      <c r="AH17" s="12"/>
      <c r="AI17" s="12"/>
      <c r="AJ17" s="12"/>
      <c r="AK17" s="12"/>
      <c r="AL17" s="12"/>
      <c r="AM17" s="12"/>
      <c r="AN17" s="12"/>
      <c r="AO17" s="12"/>
      <c r="AP17" s="12"/>
      <c r="AQ17" s="12"/>
      <c r="AR17" s="12"/>
      <c r="AS17" s="12"/>
      <c r="AT17" s="12"/>
      <c r="AU17" s="12"/>
      <c r="AV17" s="12"/>
      <c r="AW17" s="12"/>
      <c r="AX17" s="12"/>
      <c r="AY17" s="12"/>
      <c r="AZ17" s="12"/>
      <c r="BA17" s="12"/>
      <c r="BB17" s="12"/>
    </row>
    <row r="18" spans="1:54" hidden="1" x14ac:dyDescent="0.25">
      <c r="A18" s="27">
        <f t="shared" si="1"/>
        <v>16</v>
      </c>
      <c r="B18" s="26" t="s">
        <v>9</v>
      </c>
      <c r="C18" s="70"/>
      <c r="D18" s="70"/>
      <c r="E18" s="70"/>
      <c r="F18" s="70"/>
      <c r="G18" s="70"/>
      <c r="H18" s="70"/>
      <c r="I18" s="70"/>
      <c r="J18" s="71"/>
      <c r="K18" s="72"/>
      <c r="L18" s="55"/>
      <c r="M18" s="73"/>
      <c r="N18" s="74"/>
      <c r="O18" s="70"/>
      <c r="P18" s="71"/>
      <c r="Q18" s="71"/>
      <c r="R18" s="72"/>
      <c r="S18" s="55"/>
      <c r="T18" s="58">
        <f t="shared" si="0"/>
        <v>0</v>
      </c>
      <c r="U18" s="75">
        <f t="shared" si="4"/>
        <v>0</v>
      </c>
      <c r="V18" s="75">
        <f t="shared" si="5"/>
        <v>0</v>
      </c>
      <c r="AF18" s="12"/>
      <c r="AG18" s="12"/>
      <c r="AH18" s="12"/>
      <c r="AI18" s="12"/>
      <c r="AJ18" s="12"/>
      <c r="AK18" s="12"/>
      <c r="AL18" s="12"/>
      <c r="AM18" s="12"/>
      <c r="AN18" s="12"/>
      <c r="AO18" s="12"/>
      <c r="AP18" s="12"/>
      <c r="AQ18" s="12"/>
      <c r="AR18" s="12"/>
      <c r="AS18" s="12"/>
      <c r="AT18" s="12"/>
      <c r="AU18" s="12"/>
      <c r="AV18" s="12"/>
      <c r="AW18" s="12"/>
      <c r="AX18" s="12"/>
      <c r="AY18" s="12"/>
      <c r="AZ18" s="12"/>
      <c r="BA18" s="12"/>
      <c r="BB18" s="12"/>
    </row>
    <row r="19" spans="1:54" x14ac:dyDescent="0.25">
      <c r="A19" s="27">
        <v>16</v>
      </c>
      <c r="B19" s="26" t="s">
        <v>53</v>
      </c>
      <c r="C19" s="70">
        <v>2</v>
      </c>
      <c r="D19" s="70"/>
      <c r="E19" s="70"/>
      <c r="F19" s="70"/>
      <c r="G19" s="70"/>
      <c r="H19" s="70">
        <f>24+20</f>
        <v>44</v>
      </c>
      <c r="I19" s="70"/>
      <c r="J19" s="71"/>
      <c r="K19" s="72"/>
      <c r="L19" s="55"/>
      <c r="M19" s="73"/>
      <c r="N19" s="74"/>
      <c r="O19" s="70"/>
      <c r="P19" s="71"/>
      <c r="Q19" s="71"/>
      <c r="R19" s="72"/>
      <c r="S19" s="55"/>
      <c r="T19" s="58">
        <f t="shared" si="0"/>
        <v>44</v>
      </c>
      <c r="U19" s="75">
        <f t="shared" si="4"/>
        <v>92</v>
      </c>
      <c r="V19" s="75">
        <f t="shared" si="5"/>
        <v>3.8333333333333335</v>
      </c>
      <c r="AF19" s="12"/>
      <c r="AG19" s="12"/>
      <c r="AH19" s="12"/>
      <c r="AI19" s="12"/>
      <c r="AJ19" s="12"/>
      <c r="AK19" s="12"/>
      <c r="AL19" s="12"/>
      <c r="AM19" s="12"/>
      <c r="AN19" s="12"/>
      <c r="AO19" s="12"/>
      <c r="AP19" s="12"/>
      <c r="AQ19" s="12"/>
      <c r="AR19" s="12"/>
      <c r="AS19" s="12"/>
      <c r="AT19" s="12"/>
      <c r="AU19" s="12"/>
      <c r="AV19" s="12"/>
      <c r="AW19" s="12"/>
      <c r="AX19" s="12"/>
      <c r="AY19" s="12"/>
      <c r="AZ19" s="12"/>
      <c r="BA19" s="12"/>
      <c r="BB19" s="12"/>
    </row>
    <row r="20" spans="1:54" x14ac:dyDescent="0.25">
      <c r="A20" s="27">
        <f t="shared" si="1"/>
        <v>17</v>
      </c>
      <c r="B20" s="26" t="s">
        <v>6</v>
      </c>
      <c r="C20" s="70">
        <v>5</v>
      </c>
      <c r="D20" s="70"/>
      <c r="E20" s="70"/>
      <c r="F20" s="70"/>
      <c r="G20" s="70"/>
      <c r="H20" s="70"/>
      <c r="I20" s="70"/>
      <c r="J20" s="71"/>
      <c r="K20" s="72"/>
      <c r="L20" s="55"/>
      <c r="M20" s="73"/>
      <c r="N20" s="74"/>
      <c r="O20" s="70"/>
      <c r="P20" s="71"/>
      <c r="Q20" s="71"/>
      <c r="R20" s="72"/>
      <c r="S20" s="55"/>
      <c r="T20" s="58">
        <f t="shared" si="0"/>
        <v>0</v>
      </c>
      <c r="U20" s="75">
        <f t="shared" si="4"/>
        <v>120</v>
      </c>
      <c r="V20" s="75">
        <f t="shared" si="5"/>
        <v>5</v>
      </c>
      <c r="AF20" s="12"/>
      <c r="AG20" s="12"/>
      <c r="AH20" s="12"/>
      <c r="AI20" s="12"/>
      <c r="AJ20" s="12"/>
      <c r="AK20" s="12"/>
      <c r="AL20" s="12"/>
      <c r="AM20" s="12"/>
      <c r="AN20" s="12"/>
      <c r="AO20" s="12"/>
      <c r="AP20" s="12"/>
      <c r="AQ20" s="12"/>
      <c r="AR20" s="12"/>
      <c r="AS20" s="12"/>
      <c r="AT20" s="12"/>
      <c r="AU20" s="12"/>
      <c r="AV20" s="12"/>
      <c r="AW20" s="12"/>
      <c r="AX20" s="12"/>
      <c r="AY20" s="12"/>
      <c r="AZ20" s="12"/>
      <c r="BA20" s="12"/>
      <c r="BB20" s="12"/>
    </row>
    <row r="21" spans="1:54" x14ac:dyDescent="0.25">
      <c r="A21" s="27">
        <f t="shared" si="1"/>
        <v>18</v>
      </c>
      <c r="B21" s="26" t="s">
        <v>7</v>
      </c>
      <c r="C21" s="70"/>
      <c r="D21" s="70"/>
      <c r="E21" s="70"/>
      <c r="F21" s="70"/>
      <c r="G21" s="70"/>
      <c r="H21" s="70">
        <f>24*2</f>
        <v>48</v>
      </c>
      <c r="I21" s="70"/>
      <c r="J21" s="71"/>
      <c r="K21" s="72"/>
      <c r="L21" s="55"/>
      <c r="M21" s="73"/>
      <c r="N21" s="74"/>
      <c r="O21" s="70"/>
      <c r="P21" s="71"/>
      <c r="Q21" s="71"/>
      <c r="R21" s="72"/>
      <c r="S21" s="55"/>
      <c r="T21" s="58">
        <f t="shared" si="0"/>
        <v>48</v>
      </c>
      <c r="U21" s="75">
        <f t="shared" si="4"/>
        <v>48</v>
      </c>
      <c r="V21" s="75">
        <f t="shared" si="5"/>
        <v>2</v>
      </c>
      <c r="AF21" s="12"/>
      <c r="AG21" s="12"/>
      <c r="AH21" s="12"/>
      <c r="AI21" s="12"/>
      <c r="AJ21" s="12"/>
      <c r="AK21" s="12"/>
      <c r="AL21" s="12"/>
      <c r="AM21" s="12"/>
      <c r="AN21" s="12"/>
      <c r="AO21" s="12"/>
      <c r="AP21" s="12"/>
      <c r="AQ21" s="12"/>
      <c r="AR21" s="12"/>
      <c r="AS21" s="12"/>
      <c r="AT21" s="12"/>
      <c r="AU21" s="12"/>
      <c r="AV21" s="12"/>
      <c r="AW21" s="12"/>
      <c r="AX21" s="12"/>
      <c r="AY21" s="12"/>
      <c r="AZ21" s="12"/>
      <c r="BA21" s="12"/>
      <c r="BB21" s="12"/>
    </row>
    <row r="22" spans="1:54" s="13" customFormat="1" x14ac:dyDescent="0.25">
      <c r="A22" s="27">
        <f t="shared" si="1"/>
        <v>19</v>
      </c>
      <c r="B22" s="26" t="s">
        <v>54</v>
      </c>
      <c r="C22" s="70">
        <v>2</v>
      </c>
      <c r="D22" s="70"/>
      <c r="E22" s="70"/>
      <c r="F22" s="70"/>
      <c r="G22" s="70"/>
      <c r="H22" s="70"/>
      <c r="I22" s="70">
        <v>20</v>
      </c>
      <c r="J22" s="71"/>
      <c r="K22" s="72"/>
      <c r="L22" s="55"/>
      <c r="M22" s="73"/>
      <c r="N22" s="74"/>
      <c r="O22" s="70"/>
      <c r="P22" s="71"/>
      <c r="Q22" s="71"/>
      <c r="R22" s="72"/>
      <c r="S22" s="55"/>
      <c r="T22" s="58">
        <f t="shared" si="0"/>
        <v>20</v>
      </c>
      <c r="U22" s="75">
        <f t="shared" si="4"/>
        <v>68</v>
      </c>
      <c r="V22" s="75">
        <f t="shared" si="5"/>
        <v>2.8333333333333335</v>
      </c>
      <c r="W22" s="9"/>
      <c r="X22" s="9"/>
      <c r="Y22" s="9"/>
      <c r="Z22" s="9"/>
      <c r="AA22" s="9"/>
      <c r="AB22" s="9"/>
      <c r="AC22" s="9"/>
      <c r="AD22" s="9"/>
      <c r="AE22" s="9"/>
      <c r="AF22" s="12"/>
      <c r="AG22" s="12"/>
      <c r="AH22" s="12"/>
      <c r="AI22" s="12"/>
      <c r="AJ22" s="12"/>
      <c r="AK22" s="12"/>
      <c r="AL22" s="12"/>
      <c r="AM22" s="12"/>
      <c r="AN22" s="12"/>
      <c r="AO22" s="12"/>
      <c r="AP22" s="12"/>
      <c r="AQ22" s="12"/>
      <c r="AR22" s="12"/>
      <c r="AS22" s="12"/>
      <c r="AT22" s="12"/>
      <c r="AU22" s="12"/>
      <c r="AV22" s="12"/>
      <c r="AW22" s="12"/>
      <c r="AX22" s="12"/>
      <c r="AY22" s="12"/>
      <c r="AZ22" s="12"/>
      <c r="BA22" s="12"/>
      <c r="BB22" s="12"/>
    </row>
    <row r="23" spans="1:54" s="13" customFormat="1" x14ac:dyDescent="0.25">
      <c r="A23" s="27">
        <f t="shared" si="1"/>
        <v>20</v>
      </c>
      <c r="B23" s="26" t="s">
        <v>55</v>
      </c>
      <c r="C23" s="70"/>
      <c r="D23" s="70"/>
      <c r="E23" s="70"/>
      <c r="F23" s="70"/>
      <c r="G23" s="70"/>
      <c r="H23" s="70">
        <f>37*24+19</f>
        <v>907</v>
      </c>
      <c r="I23" s="70"/>
      <c r="J23" s="71"/>
      <c r="K23" s="72"/>
      <c r="L23" s="55"/>
      <c r="M23" s="73"/>
      <c r="N23" s="74"/>
      <c r="O23" s="70"/>
      <c r="P23" s="71"/>
      <c r="Q23" s="71"/>
      <c r="R23" s="72"/>
      <c r="S23" s="55"/>
      <c r="T23" s="58">
        <f t="shared" si="0"/>
        <v>907</v>
      </c>
      <c r="U23" s="75">
        <f t="shared" si="4"/>
        <v>907</v>
      </c>
      <c r="V23" s="75">
        <f t="shared" si="5"/>
        <v>37.791666666666664</v>
      </c>
      <c r="W23" s="9"/>
      <c r="X23" s="9"/>
      <c r="Y23" s="9"/>
      <c r="Z23" s="9"/>
      <c r="AA23" s="9"/>
      <c r="AB23" s="9"/>
      <c r="AC23" s="9"/>
      <c r="AD23" s="9"/>
      <c r="AE23" s="9"/>
      <c r="AF23" s="12"/>
      <c r="AG23" s="12"/>
      <c r="AH23" s="12"/>
      <c r="AI23" s="12"/>
      <c r="AJ23" s="12"/>
      <c r="AK23" s="12"/>
      <c r="AL23" s="12"/>
      <c r="AM23" s="12"/>
      <c r="AN23" s="12"/>
      <c r="AO23" s="12"/>
      <c r="AP23" s="12"/>
      <c r="AQ23" s="12"/>
      <c r="AR23" s="12"/>
      <c r="AS23" s="12"/>
      <c r="AT23" s="12"/>
      <c r="AU23" s="12"/>
      <c r="AV23" s="12"/>
      <c r="AW23" s="12"/>
      <c r="AX23" s="12"/>
      <c r="AY23" s="12"/>
      <c r="AZ23" s="12"/>
      <c r="BA23" s="12"/>
      <c r="BB23" s="12"/>
    </row>
    <row r="24" spans="1:54" x14ac:dyDescent="0.25">
      <c r="A24" s="27">
        <f t="shared" si="1"/>
        <v>21</v>
      </c>
      <c r="B24" s="26" t="s">
        <v>56</v>
      </c>
      <c r="C24" s="70">
        <v>2</v>
      </c>
      <c r="D24" s="70"/>
      <c r="E24" s="70"/>
      <c r="F24" s="70"/>
      <c r="G24" s="70"/>
      <c r="H24" s="70">
        <f>24*3</f>
        <v>72</v>
      </c>
      <c r="I24" s="70"/>
      <c r="J24" s="71"/>
      <c r="K24" s="72"/>
      <c r="L24" s="55"/>
      <c r="M24" s="73"/>
      <c r="N24" s="74"/>
      <c r="O24" s="70"/>
      <c r="P24" s="71"/>
      <c r="Q24" s="71"/>
      <c r="R24" s="72"/>
      <c r="S24" s="55"/>
      <c r="T24" s="58">
        <f t="shared" si="0"/>
        <v>72</v>
      </c>
      <c r="U24" s="75">
        <f t="shared" si="4"/>
        <v>120</v>
      </c>
      <c r="V24" s="75">
        <f t="shared" si="5"/>
        <v>5</v>
      </c>
      <c r="AF24" s="12"/>
      <c r="AG24" s="12"/>
      <c r="AH24" s="12"/>
      <c r="AI24" s="12"/>
      <c r="AJ24" s="12"/>
      <c r="AK24" s="12"/>
      <c r="AL24" s="12"/>
      <c r="AM24" s="12"/>
      <c r="AN24" s="12"/>
      <c r="AO24" s="12"/>
      <c r="AP24" s="12"/>
      <c r="AQ24" s="12"/>
      <c r="AR24" s="12"/>
      <c r="AS24" s="12"/>
      <c r="AT24" s="12"/>
      <c r="AU24" s="12"/>
      <c r="AV24" s="12"/>
      <c r="AW24" s="12"/>
      <c r="AX24" s="12"/>
      <c r="AY24" s="12"/>
      <c r="AZ24" s="12"/>
      <c r="BA24" s="12"/>
      <c r="BB24" s="12"/>
    </row>
    <row r="25" spans="1:54" x14ac:dyDescent="0.25">
      <c r="A25" s="27">
        <f t="shared" si="1"/>
        <v>22</v>
      </c>
      <c r="B25" s="26" t="s">
        <v>8</v>
      </c>
      <c r="C25" s="70">
        <v>49</v>
      </c>
      <c r="D25" s="70"/>
      <c r="E25" s="70"/>
      <c r="F25" s="70"/>
      <c r="G25" s="70"/>
      <c r="H25" s="70"/>
      <c r="I25" s="70"/>
      <c r="J25" s="71">
        <v>1</v>
      </c>
      <c r="K25" s="72"/>
      <c r="L25" s="55"/>
      <c r="M25" s="73">
        <v>1</v>
      </c>
      <c r="N25" s="74"/>
      <c r="O25" s="70">
        <v>1</v>
      </c>
      <c r="P25" s="71"/>
      <c r="Q25" s="71">
        <v>2</v>
      </c>
      <c r="R25" s="72"/>
      <c r="S25" s="55"/>
      <c r="T25" s="58">
        <f t="shared" si="0"/>
        <v>1</v>
      </c>
      <c r="U25" s="75">
        <f t="shared" si="4"/>
        <v>1273</v>
      </c>
      <c r="V25" s="75">
        <f t="shared" si="5"/>
        <v>53.041666666666664</v>
      </c>
      <c r="AY25" s="14" t="e">
        <f>#REF!-AY24</f>
        <v>#REF!</v>
      </c>
    </row>
    <row r="26" spans="1:54" s="13" customFormat="1" x14ac:dyDescent="0.25">
      <c r="A26" s="27">
        <f t="shared" si="1"/>
        <v>23</v>
      </c>
      <c r="B26" s="26" t="s">
        <v>10</v>
      </c>
      <c r="C26" s="70">
        <v>5</v>
      </c>
      <c r="D26" s="70"/>
      <c r="E26" s="70"/>
      <c r="F26" s="70"/>
      <c r="G26" s="70"/>
      <c r="H26" s="70"/>
      <c r="I26" s="70"/>
      <c r="J26" s="71"/>
      <c r="K26" s="72"/>
      <c r="L26" s="55"/>
      <c r="M26" s="73"/>
      <c r="N26" s="74"/>
      <c r="O26" s="70"/>
      <c r="P26" s="71"/>
      <c r="Q26" s="71"/>
      <c r="R26" s="72"/>
      <c r="S26" s="55"/>
      <c r="T26" s="58">
        <f t="shared" si="0"/>
        <v>0</v>
      </c>
      <c r="U26" s="75">
        <f t="shared" si="4"/>
        <v>120</v>
      </c>
      <c r="V26" s="75">
        <f t="shared" si="5"/>
        <v>5</v>
      </c>
      <c r="W26" s="9"/>
      <c r="X26" s="9"/>
      <c r="Y26" s="9"/>
      <c r="Z26" s="9"/>
      <c r="AA26" s="9"/>
      <c r="AB26" s="9"/>
      <c r="AC26" s="9"/>
      <c r="AD26" s="9"/>
      <c r="AE26" s="9"/>
    </row>
    <row r="27" spans="1:54" s="13" customFormat="1" x14ac:dyDescent="0.25">
      <c r="A27" s="27">
        <f t="shared" si="1"/>
        <v>24</v>
      </c>
      <c r="B27" s="26" t="s">
        <v>69</v>
      </c>
      <c r="C27" s="70">
        <v>3</v>
      </c>
      <c r="D27" s="70"/>
      <c r="E27" s="70"/>
      <c r="F27" s="70"/>
      <c r="G27" s="70"/>
      <c r="H27" s="70"/>
      <c r="I27" s="70"/>
      <c r="J27" s="71"/>
      <c r="K27" s="72"/>
      <c r="L27" s="55"/>
      <c r="M27" s="73"/>
      <c r="N27" s="74"/>
      <c r="O27" s="70"/>
      <c r="P27" s="71"/>
      <c r="Q27" s="71"/>
      <c r="R27" s="72"/>
      <c r="S27" s="55"/>
      <c r="T27" s="58">
        <f t="shared" si="0"/>
        <v>0</v>
      </c>
      <c r="U27" s="75">
        <f t="shared" si="4"/>
        <v>72</v>
      </c>
      <c r="V27" s="75">
        <f t="shared" si="5"/>
        <v>3</v>
      </c>
      <c r="W27" s="9"/>
      <c r="X27" s="9"/>
      <c r="Y27" s="9"/>
      <c r="Z27" s="9"/>
      <c r="AA27" s="9"/>
      <c r="AB27" s="9"/>
      <c r="AC27" s="9"/>
      <c r="AD27" s="9"/>
      <c r="AE27" s="9"/>
    </row>
    <row r="28" spans="1:54" s="13" customFormat="1" x14ac:dyDescent="0.25">
      <c r="A28" s="27">
        <f t="shared" si="1"/>
        <v>25</v>
      </c>
      <c r="B28" s="26" t="s">
        <v>11</v>
      </c>
      <c r="C28" s="70"/>
      <c r="D28" s="70"/>
      <c r="E28" s="70"/>
      <c r="F28" s="70"/>
      <c r="G28" s="70"/>
      <c r="H28" s="70"/>
      <c r="I28" s="70"/>
      <c r="J28" s="71"/>
      <c r="K28" s="72"/>
      <c r="L28" s="55"/>
      <c r="M28" s="73"/>
      <c r="N28" s="74"/>
      <c r="O28" s="70"/>
      <c r="P28" s="71"/>
      <c r="Q28" s="71"/>
      <c r="R28" s="72"/>
      <c r="S28" s="55"/>
      <c r="T28" s="58">
        <f t="shared" si="0"/>
        <v>0</v>
      </c>
      <c r="U28" s="75">
        <f t="shared" si="4"/>
        <v>0</v>
      </c>
      <c r="V28" s="75">
        <f t="shared" si="5"/>
        <v>0</v>
      </c>
      <c r="W28" s="9"/>
      <c r="X28" s="9"/>
      <c r="Y28" s="9"/>
      <c r="Z28" s="9"/>
      <c r="AA28" s="9"/>
      <c r="AB28" s="9"/>
      <c r="AC28" s="9"/>
      <c r="AD28" s="9"/>
      <c r="AE28" s="9"/>
    </row>
    <row r="29" spans="1:54" x14ac:dyDescent="0.25">
      <c r="A29" s="27">
        <f t="shared" si="1"/>
        <v>26</v>
      </c>
      <c r="B29" s="26" t="s">
        <v>13</v>
      </c>
      <c r="C29" s="70">
        <v>26</v>
      </c>
      <c r="D29" s="70"/>
      <c r="E29" s="70"/>
      <c r="F29" s="70"/>
      <c r="G29" s="70"/>
      <c r="H29" s="70"/>
      <c r="I29" s="70"/>
      <c r="J29" s="71">
        <v>5</v>
      </c>
      <c r="K29" s="72"/>
      <c r="L29" s="55">
        <v>1</v>
      </c>
      <c r="M29" s="73">
        <v>1</v>
      </c>
      <c r="N29" s="74"/>
      <c r="O29" s="70"/>
      <c r="P29" s="71"/>
      <c r="Q29" s="71"/>
      <c r="R29" s="72"/>
      <c r="S29" s="55"/>
      <c r="T29" s="58">
        <f t="shared" si="0"/>
        <v>5</v>
      </c>
      <c r="U29" s="75">
        <f t="shared" si="4"/>
        <v>653</v>
      </c>
      <c r="V29" s="75">
        <f t="shared" si="5"/>
        <v>27.208333333333332</v>
      </c>
    </row>
    <row r="30" spans="1:54" x14ac:dyDescent="0.25">
      <c r="A30" s="27">
        <f t="shared" si="1"/>
        <v>27</v>
      </c>
      <c r="B30" s="26" t="s">
        <v>15</v>
      </c>
      <c r="C30" s="70">
        <v>13</v>
      </c>
      <c r="D30" s="70"/>
      <c r="E30" s="70"/>
      <c r="F30" s="70"/>
      <c r="G30" s="70"/>
      <c r="H30" s="70"/>
      <c r="I30" s="70"/>
      <c r="J30" s="71"/>
      <c r="K30" s="72"/>
      <c r="L30" s="55"/>
      <c r="M30" s="73"/>
      <c r="N30" s="74"/>
      <c r="O30" s="70">
        <v>1</v>
      </c>
      <c r="P30" s="71"/>
      <c r="Q30" s="71"/>
      <c r="R30" s="72"/>
      <c r="S30" s="55"/>
      <c r="T30" s="58">
        <f t="shared" si="0"/>
        <v>0</v>
      </c>
      <c r="U30" s="75">
        <f t="shared" si="4"/>
        <v>336</v>
      </c>
      <c r="V30" s="75">
        <f t="shared" si="5"/>
        <v>14</v>
      </c>
    </row>
    <row r="31" spans="1:54" x14ac:dyDescent="0.25">
      <c r="A31" s="27">
        <f t="shared" si="1"/>
        <v>28</v>
      </c>
      <c r="B31" s="26" t="s">
        <v>12</v>
      </c>
      <c r="C31" s="70">
        <v>1</v>
      </c>
      <c r="D31" s="70"/>
      <c r="E31" s="70"/>
      <c r="F31" s="70"/>
      <c r="G31" s="70"/>
      <c r="H31" s="70"/>
      <c r="I31" s="70"/>
      <c r="J31" s="71"/>
      <c r="K31" s="72"/>
      <c r="L31" s="55"/>
      <c r="M31" s="73"/>
      <c r="N31" s="74"/>
      <c r="O31" s="70"/>
      <c r="P31" s="71"/>
      <c r="Q31" s="71">
        <v>1</v>
      </c>
      <c r="R31" s="72"/>
      <c r="S31" s="55"/>
      <c r="T31" s="58">
        <f t="shared" si="0"/>
        <v>0</v>
      </c>
      <c r="U31" s="75">
        <f t="shared" si="4"/>
        <v>48</v>
      </c>
      <c r="V31" s="75">
        <f t="shared" si="5"/>
        <v>2</v>
      </c>
    </row>
    <row r="32" spans="1:54" x14ac:dyDescent="0.25">
      <c r="A32" s="27">
        <f t="shared" si="1"/>
        <v>29</v>
      </c>
      <c r="B32" s="26" t="s">
        <v>14</v>
      </c>
      <c r="C32" s="70"/>
      <c r="D32" s="70"/>
      <c r="E32" s="70"/>
      <c r="F32" s="70"/>
      <c r="G32" s="70"/>
      <c r="H32" s="70"/>
      <c r="I32" s="70"/>
      <c r="J32" s="71"/>
      <c r="K32" s="72"/>
      <c r="L32" s="55"/>
      <c r="M32" s="73"/>
      <c r="N32" s="74"/>
      <c r="O32" s="70"/>
      <c r="P32" s="71"/>
      <c r="Q32" s="71"/>
      <c r="R32" s="72"/>
      <c r="S32" s="55"/>
      <c r="T32" s="58">
        <f t="shared" si="0"/>
        <v>0</v>
      </c>
      <c r="U32" s="75">
        <f t="shared" si="4"/>
        <v>0</v>
      </c>
      <c r="V32" s="75">
        <f t="shared" si="5"/>
        <v>0</v>
      </c>
    </row>
    <row r="33" spans="1:23" x14ac:dyDescent="0.25">
      <c r="A33" s="27">
        <f t="shared" si="1"/>
        <v>30</v>
      </c>
      <c r="B33" s="26" t="s">
        <v>16</v>
      </c>
      <c r="C33" s="70">
        <v>1</v>
      </c>
      <c r="D33" s="70"/>
      <c r="E33" s="70"/>
      <c r="F33" s="70"/>
      <c r="G33" s="70"/>
      <c r="H33" s="70"/>
      <c r="I33" s="70"/>
      <c r="J33" s="71"/>
      <c r="K33" s="72"/>
      <c r="L33" s="55"/>
      <c r="M33" s="73">
        <v>1</v>
      </c>
      <c r="N33" s="74"/>
      <c r="O33" s="70"/>
      <c r="P33" s="71"/>
      <c r="Q33" s="71"/>
      <c r="R33" s="72"/>
      <c r="S33" s="55"/>
      <c r="T33" s="58">
        <f t="shared" si="0"/>
        <v>0</v>
      </c>
      <c r="U33" s="75">
        <f t="shared" si="4"/>
        <v>48</v>
      </c>
      <c r="V33" s="75">
        <f t="shared" si="5"/>
        <v>2</v>
      </c>
    </row>
    <row r="34" spans="1:23" x14ac:dyDescent="0.25">
      <c r="A34" s="27">
        <f t="shared" si="1"/>
        <v>31</v>
      </c>
      <c r="B34" s="26" t="s">
        <v>17</v>
      </c>
      <c r="C34" s="70">
        <f>45+144</f>
        <v>189</v>
      </c>
      <c r="D34" s="70"/>
      <c r="E34" s="70"/>
      <c r="F34" s="70"/>
      <c r="G34" s="70"/>
      <c r="H34" s="70"/>
      <c r="I34" s="70">
        <v>1</v>
      </c>
      <c r="J34" s="71"/>
      <c r="K34" s="72">
        <v>1</v>
      </c>
      <c r="L34" s="55"/>
      <c r="M34" s="73">
        <v>1</v>
      </c>
      <c r="N34" s="74"/>
      <c r="O34" s="70">
        <v>2</v>
      </c>
      <c r="P34" s="71"/>
      <c r="Q34" s="71">
        <v>2</v>
      </c>
      <c r="R34" s="72"/>
      <c r="S34" s="55"/>
      <c r="T34" s="58">
        <f t="shared" si="0"/>
        <v>2</v>
      </c>
      <c r="U34" s="75">
        <f t="shared" si="4"/>
        <v>4658</v>
      </c>
      <c r="V34" s="75">
        <f t="shared" si="5"/>
        <v>194.08333333333334</v>
      </c>
    </row>
    <row r="35" spans="1:23" hidden="1" x14ac:dyDescent="0.25">
      <c r="A35" s="27">
        <f t="shared" si="1"/>
        <v>32</v>
      </c>
      <c r="B35" s="26" t="s">
        <v>25</v>
      </c>
      <c r="C35" s="70"/>
      <c r="D35" s="70"/>
      <c r="E35" s="70"/>
      <c r="F35" s="70"/>
      <c r="G35" s="70"/>
      <c r="H35" s="70"/>
      <c r="I35" s="70"/>
      <c r="J35" s="71"/>
      <c r="K35" s="72"/>
      <c r="L35" s="55"/>
      <c r="M35" s="73"/>
      <c r="N35" s="74"/>
      <c r="O35" s="70"/>
      <c r="P35" s="71"/>
      <c r="Q35" s="71"/>
      <c r="R35" s="72"/>
      <c r="S35" s="55"/>
      <c r="T35" s="58">
        <f t="shared" si="0"/>
        <v>0</v>
      </c>
      <c r="U35" s="75">
        <f t="shared" si="4"/>
        <v>0</v>
      </c>
      <c r="V35" s="75">
        <f t="shared" si="5"/>
        <v>0</v>
      </c>
    </row>
    <row r="36" spans="1:23" x14ac:dyDescent="0.25">
      <c r="A36" s="27">
        <f t="shared" si="1"/>
        <v>33</v>
      </c>
      <c r="B36" s="26" t="s">
        <v>18</v>
      </c>
      <c r="C36" s="70"/>
      <c r="D36" s="70"/>
      <c r="E36" s="70"/>
      <c r="F36" s="70"/>
      <c r="G36" s="70"/>
      <c r="H36" s="70"/>
      <c r="I36" s="70"/>
      <c r="J36" s="71"/>
      <c r="K36" s="72"/>
      <c r="L36" s="55"/>
      <c r="M36" s="73"/>
      <c r="N36" s="74"/>
      <c r="O36" s="70"/>
      <c r="P36" s="71"/>
      <c r="Q36" s="71"/>
      <c r="R36" s="72"/>
      <c r="S36" s="55"/>
      <c r="T36" s="58">
        <f t="shared" si="0"/>
        <v>0</v>
      </c>
      <c r="U36" s="75">
        <f t="shared" si="4"/>
        <v>0</v>
      </c>
      <c r="V36" s="75">
        <f t="shared" si="5"/>
        <v>0</v>
      </c>
    </row>
    <row r="37" spans="1:23" ht="19.5" thickBot="1" x14ac:dyDescent="0.3">
      <c r="A37" s="27">
        <f t="shared" si="1"/>
        <v>34</v>
      </c>
      <c r="B37" s="42" t="s">
        <v>19</v>
      </c>
      <c r="C37" s="59">
        <f>3132+62</f>
        <v>3194</v>
      </c>
      <c r="D37" s="59"/>
      <c r="E37" s="59"/>
      <c r="F37" s="59"/>
      <c r="G37" s="59"/>
      <c r="H37" s="59">
        <v>4</v>
      </c>
      <c r="I37" s="59">
        <v>2</v>
      </c>
      <c r="J37" s="60">
        <v>5</v>
      </c>
      <c r="K37" s="61">
        <f>6+2</f>
        <v>8</v>
      </c>
      <c r="L37" s="62"/>
      <c r="M37" s="63">
        <v>20</v>
      </c>
      <c r="N37" s="64"/>
      <c r="O37" s="65">
        <v>26</v>
      </c>
      <c r="P37" s="66"/>
      <c r="Q37" s="66">
        <v>121</v>
      </c>
      <c r="R37" s="67"/>
      <c r="S37" s="62"/>
      <c r="T37" s="77">
        <f t="shared" si="0"/>
        <v>19</v>
      </c>
      <c r="U37" s="77">
        <f>C37*6+M37*6+O37*6+Q37*6+T37</f>
        <v>20185</v>
      </c>
      <c r="V37" s="77">
        <f>U37/6</f>
        <v>3364.1666666666665</v>
      </c>
      <c r="W37" s="50"/>
    </row>
    <row r="38" spans="1:23" x14ac:dyDescent="0.25">
      <c r="A38" s="27">
        <f t="shared" si="1"/>
        <v>35</v>
      </c>
      <c r="B38" s="25" t="s">
        <v>20</v>
      </c>
      <c r="C38" s="70">
        <v>3</v>
      </c>
      <c r="D38" s="70"/>
      <c r="E38" s="70"/>
      <c r="F38" s="70"/>
      <c r="G38" s="70"/>
      <c r="H38" s="70"/>
      <c r="I38" s="70"/>
      <c r="J38" s="71"/>
      <c r="K38" s="72"/>
      <c r="L38" s="55"/>
      <c r="M38" s="73"/>
      <c r="N38" s="74"/>
      <c r="O38" s="70"/>
      <c r="P38" s="71"/>
      <c r="Q38" s="71">
        <v>2</v>
      </c>
      <c r="R38" s="72"/>
      <c r="S38" s="55"/>
      <c r="T38" s="75">
        <f t="shared" si="0"/>
        <v>0</v>
      </c>
      <c r="U38" s="75">
        <f>C38*24+M38*24+O38*24+Q38*24+T38</f>
        <v>120</v>
      </c>
      <c r="V38" s="75">
        <f>U38/24</f>
        <v>5</v>
      </c>
    </row>
    <row r="39" spans="1:23" x14ac:dyDescent="0.25">
      <c r="A39" s="27">
        <f t="shared" si="1"/>
        <v>36</v>
      </c>
      <c r="B39" s="51" t="s">
        <v>62</v>
      </c>
      <c r="C39" s="78"/>
      <c r="D39" s="78"/>
      <c r="E39" s="78"/>
      <c r="F39" s="78"/>
      <c r="G39" s="78"/>
      <c r="H39" s="78"/>
      <c r="I39" s="78"/>
      <c r="J39" s="79"/>
      <c r="K39" s="80"/>
      <c r="L39" s="55"/>
      <c r="M39" s="73"/>
      <c r="N39" s="74"/>
      <c r="O39" s="70"/>
      <c r="P39" s="71"/>
      <c r="Q39" s="71"/>
      <c r="R39" s="72"/>
      <c r="S39" s="95"/>
      <c r="T39" s="75">
        <f t="shared" si="0"/>
        <v>0</v>
      </c>
      <c r="U39" s="75">
        <f>C39*24+M39*24+O39*24+Q39*24+T39</f>
        <v>0</v>
      </c>
      <c r="V39" s="75">
        <f>U39/24</f>
        <v>0</v>
      </c>
    </row>
    <row r="40" spans="1:23" ht="19.5" thickBot="1" x14ac:dyDescent="0.3">
      <c r="A40" s="27">
        <f t="shared" si="1"/>
        <v>37</v>
      </c>
      <c r="B40" s="42" t="s">
        <v>21</v>
      </c>
      <c r="C40" s="59">
        <f>50+315</f>
        <v>365</v>
      </c>
      <c r="D40" s="59"/>
      <c r="E40" s="59"/>
      <c r="F40" s="59"/>
      <c r="G40" s="59"/>
      <c r="H40" s="59"/>
      <c r="I40" s="59"/>
      <c r="J40" s="60"/>
      <c r="K40" s="61">
        <v>20</v>
      </c>
      <c r="L40" s="62"/>
      <c r="M40" s="63"/>
      <c r="N40" s="64"/>
      <c r="O40" s="65">
        <v>2</v>
      </c>
      <c r="P40" s="66"/>
      <c r="Q40" s="66">
        <v>1</v>
      </c>
      <c r="R40" s="67"/>
      <c r="S40" s="62"/>
      <c r="T40" s="77">
        <f t="shared" si="0"/>
        <v>20</v>
      </c>
      <c r="U40" s="77">
        <f>C40*24+M40*24+O40*24+Q40*24+T40</f>
        <v>8852</v>
      </c>
      <c r="V40" s="77">
        <f>U40/24</f>
        <v>368.83333333333331</v>
      </c>
    </row>
    <row r="41" spans="1:23" ht="19.5" thickBot="1" x14ac:dyDescent="0.3">
      <c r="A41" s="27">
        <f t="shared" si="1"/>
        <v>38</v>
      </c>
      <c r="B41" s="43" t="s">
        <v>22</v>
      </c>
      <c r="C41" s="82">
        <f>480+51</f>
        <v>531</v>
      </c>
      <c r="D41" s="82"/>
      <c r="E41" s="82"/>
      <c r="F41" s="82"/>
      <c r="G41" s="82"/>
      <c r="H41" s="82"/>
      <c r="I41" s="82"/>
      <c r="J41" s="83"/>
      <c r="K41" s="84"/>
      <c r="L41" s="85"/>
      <c r="M41" s="86">
        <v>5</v>
      </c>
      <c r="N41" s="87"/>
      <c r="O41" s="82">
        <v>10</v>
      </c>
      <c r="P41" s="83"/>
      <c r="Q41" s="83">
        <v>20</v>
      </c>
      <c r="R41" s="84"/>
      <c r="S41" s="85"/>
      <c r="T41" s="88">
        <f t="shared" si="0"/>
        <v>0</v>
      </c>
      <c r="U41" s="88">
        <f>C41*12+M41*12+O41*12+Q41*12+T41</f>
        <v>6792</v>
      </c>
      <c r="V41" s="88">
        <f>U41/12</f>
        <v>566</v>
      </c>
    </row>
    <row r="42" spans="1:23" hidden="1" x14ac:dyDescent="0.25">
      <c r="A42" s="27">
        <f t="shared" si="1"/>
        <v>39</v>
      </c>
      <c r="B42" s="25" t="s">
        <v>29</v>
      </c>
      <c r="C42" s="70"/>
      <c r="D42" s="70"/>
      <c r="E42" s="70"/>
      <c r="F42" s="70"/>
      <c r="G42" s="70"/>
      <c r="H42" s="70"/>
      <c r="I42" s="70"/>
      <c r="J42" s="71"/>
      <c r="K42" s="72"/>
      <c r="L42" s="55"/>
      <c r="M42" s="73"/>
      <c r="N42" s="74"/>
      <c r="O42" s="70"/>
      <c r="P42" s="71"/>
      <c r="Q42" s="71"/>
      <c r="R42" s="72"/>
      <c r="S42" s="55"/>
      <c r="T42" s="75"/>
      <c r="U42" s="75"/>
      <c r="V42" s="75"/>
    </row>
    <row r="43" spans="1:23" ht="19.5" thickBot="1" x14ac:dyDescent="0.3">
      <c r="A43" s="27">
        <f t="shared" si="1"/>
        <v>40</v>
      </c>
      <c r="B43" s="42" t="s">
        <v>23</v>
      </c>
      <c r="C43" s="65">
        <f>50+6912+19764+10260</f>
        <v>36986</v>
      </c>
      <c r="D43" s="65"/>
      <c r="E43" s="65"/>
      <c r="F43" s="65"/>
      <c r="G43" s="65"/>
      <c r="H43" s="65">
        <v>1</v>
      </c>
      <c r="I43" s="65">
        <v>12</v>
      </c>
      <c r="J43" s="66">
        <f>18*6</f>
        <v>108</v>
      </c>
      <c r="K43" s="67">
        <f>71*6+2</f>
        <v>428</v>
      </c>
      <c r="L43" s="62"/>
      <c r="M43" s="63">
        <v>366</v>
      </c>
      <c r="N43" s="64"/>
      <c r="O43" s="65">
        <v>392</v>
      </c>
      <c r="P43" s="66"/>
      <c r="Q43" s="66">
        <v>446</v>
      </c>
      <c r="R43" s="67"/>
      <c r="S43" s="62"/>
      <c r="T43" s="77">
        <f t="shared" ref="T43" si="6">H43+I43+J43+K43+N43+P43+R43</f>
        <v>549</v>
      </c>
      <c r="U43" s="77">
        <f>C43*6+M43*6+O43*6+Q43*6+T43</f>
        <v>229689</v>
      </c>
      <c r="V43" s="77">
        <f>U43/6</f>
        <v>38281.5</v>
      </c>
    </row>
    <row r="44" spans="1:23" hidden="1" x14ac:dyDescent="0.25">
      <c r="A44" s="27">
        <f t="shared" si="1"/>
        <v>41</v>
      </c>
      <c r="B44" s="25" t="s">
        <v>31</v>
      </c>
      <c r="C44" s="70"/>
      <c r="D44" s="70"/>
      <c r="E44" s="70"/>
      <c r="F44" s="70"/>
      <c r="G44" s="70"/>
      <c r="H44" s="70"/>
      <c r="I44" s="70"/>
      <c r="J44" s="71"/>
      <c r="K44" s="72"/>
      <c r="L44" s="55"/>
      <c r="M44" s="73"/>
      <c r="N44" s="74"/>
      <c r="O44" s="70"/>
      <c r="P44" s="71"/>
      <c r="Q44" s="71"/>
      <c r="R44" s="72"/>
      <c r="S44" s="55"/>
      <c r="T44" s="75"/>
      <c r="U44" s="75"/>
      <c r="V44" s="75"/>
    </row>
    <row r="45" spans="1:23" x14ac:dyDescent="0.25">
      <c r="A45" s="27">
        <f t="shared" si="1"/>
        <v>42</v>
      </c>
      <c r="B45" s="26" t="s">
        <v>24</v>
      </c>
      <c r="C45" s="70">
        <v>4</v>
      </c>
      <c r="D45" s="70"/>
      <c r="E45" s="70"/>
      <c r="F45" s="70"/>
      <c r="G45" s="70"/>
      <c r="H45" s="70"/>
      <c r="I45" s="70"/>
      <c r="J45" s="71"/>
      <c r="K45" s="72"/>
      <c r="L45" s="55"/>
      <c r="M45" s="73"/>
      <c r="N45" s="74"/>
      <c r="O45" s="70"/>
      <c r="P45" s="71"/>
      <c r="Q45" s="71">
        <v>1</v>
      </c>
      <c r="R45" s="72"/>
      <c r="S45" s="55"/>
      <c r="T45" s="75">
        <f t="shared" ref="T45:T54" si="7">H45+I45+J45+K45+N45+P45+R45</f>
        <v>0</v>
      </c>
      <c r="U45" s="75">
        <f>C45*24+M45*24+O45*24+Q45*24+T45</f>
        <v>120</v>
      </c>
      <c r="V45" s="75">
        <f>U45/24</f>
        <v>5</v>
      </c>
    </row>
    <row r="46" spans="1:23" x14ac:dyDescent="0.25">
      <c r="A46" s="27">
        <f t="shared" si="1"/>
        <v>43</v>
      </c>
      <c r="B46" s="26" t="s">
        <v>57</v>
      </c>
      <c r="C46" s="70"/>
      <c r="D46" s="70"/>
      <c r="E46" s="70"/>
      <c r="F46" s="70"/>
      <c r="G46" s="70"/>
      <c r="H46" s="70"/>
      <c r="I46" s="70"/>
      <c r="J46" s="71"/>
      <c r="K46" s="72"/>
      <c r="L46" s="55"/>
      <c r="M46" s="73"/>
      <c r="N46" s="74"/>
      <c r="O46" s="70"/>
      <c r="P46" s="71"/>
      <c r="Q46" s="71"/>
      <c r="R46" s="72"/>
      <c r="S46" s="55"/>
      <c r="T46" s="75">
        <f t="shared" si="7"/>
        <v>0</v>
      </c>
      <c r="U46" s="75">
        <f t="shared" ref="U46:U50" si="8">C46*24+M46*24+O46*24+Q46*24+T46</f>
        <v>0</v>
      </c>
      <c r="V46" s="75">
        <f t="shared" ref="V46:V54" si="9">U46/24</f>
        <v>0</v>
      </c>
    </row>
    <row r="47" spans="1:23" ht="19.5" thickBot="1" x14ac:dyDescent="0.3">
      <c r="A47" s="27">
        <f t="shared" si="1"/>
        <v>44</v>
      </c>
      <c r="B47" s="42" t="s">
        <v>25</v>
      </c>
      <c r="C47" s="65">
        <f>104+648+324+88+540+103+324+432+106</f>
        <v>2669</v>
      </c>
      <c r="D47" s="65"/>
      <c r="E47" s="65"/>
      <c r="F47" s="65"/>
      <c r="G47" s="65"/>
      <c r="H47" s="65">
        <v>1</v>
      </c>
      <c r="I47" s="65"/>
      <c r="J47" s="66"/>
      <c r="K47" s="67">
        <v>5</v>
      </c>
      <c r="L47" s="62"/>
      <c r="M47" s="63"/>
      <c r="N47" s="64"/>
      <c r="O47" s="65">
        <v>16</v>
      </c>
      <c r="P47" s="66"/>
      <c r="Q47" s="66">
        <v>5</v>
      </c>
      <c r="R47" s="67">
        <v>3</v>
      </c>
      <c r="S47" s="62"/>
      <c r="T47" s="77">
        <f t="shared" si="7"/>
        <v>9</v>
      </c>
      <c r="U47" s="77">
        <f>C47*6+M47*6+O47*6+Q47*6+T47</f>
        <v>16149</v>
      </c>
      <c r="V47" s="77">
        <f>U47/6</f>
        <v>2691.5</v>
      </c>
    </row>
    <row r="48" spans="1:23" x14ac:dyDescent="0.25">
      <c r="A48" s="27">
        <f t="shared" si="1"/>
        <v>45</v>
      </c>
      <c r="B48" s="25" t="s">
        <v>58</v>
      </c>
      <c r="C48" s="70"/>
      <c r="D48" s="70"/>
      <c r="E48" s="70"/>
      <c r="F48" s="70"/>
      <c r="G48" s="70"/>
      <c r="H48" s="70">
        <v>24</v>
      </c>
      <c r="I48" s="70"/>
      <c r="J48" s="71"/>
      <c r="K48" s="72"/>
      <c r="L48" s="55"/>
      <c r="M48" s="73"/>
      <c r="N48" s="74"/>
      <c r="O48" s="70"/>
      <c r="P48" s="71"/>
      <c r="Q48" s="71"/>
      <c r="R48" s="72"/>
      <c r="S48" s="55"/>
      <c r="T48" s="75">
        <f t="shared" si="7"/>
        <v>24</v>
      </c>
      <c r="U48" s="75">
        <f t="shared" si="8"/>
        <v>24</v>
      </c>
      <c r="V48" s="75">
        <f t="shared" si="9"/>
        <v>1</v>
      </c>
    </row>
    <row r="49" spans="1:22" x14ac:dyDescent="0.25">
      <c r="A49" s="27">
        <f t="shared" si="1"/>
        <v>46</v>
      </c>
      <c r="B49" s="26" t="s">
        <v>26</v>
      </c>
      <c r="C49" s="70"/>
      <c r="D49" s="70"/>
      <c r="E49" s="70"/>
      <c r="F49" s="70"/>
      <c r="G49" s="70"/>
      <c r="H49" s="70"/>
      <c r="I49" s="70"/>
      <c r="J49" s="71"/>
      <c r="K49" s="72"/>
      <c r="L49" s="55"/>
      <c r="M49" s="73"/>
      <c r="N49" s="74"/>
      <c r="O49" s="70"/>
      <c r="P49" s="71"/>
      <c r="Q49" s="71">
        <v>10</v>
      </c>
      <c r="R49" s="72"/>
      <c r="S49" s="55"/>
      <c r="T49" s="75">
        <f t="shared" si="7"/>
        <v>0</v>
      </c>
      <c r="U49" s="75">
        <f t="shared" si="8"/>
        <v>240</v>
      </c>
      <c r="V49" s="75">
        <f t="shared" si="9"/>
        <v>10</v>
      </c>
    </row>
    <row r="50" spans="1:22" x14ac:dyDescent="0.25">
      <c r="A50" s="27">
        <f t="shared" si="1"/>
        <v>47</v>
      </c>
      <c r="B50" s="26" t="s">
        <v>59</v>
      </c>
      <c r="C50" s="70"/>
      <c r="D50" s="70"/>
      <c r="E50" s="70"/>
      <c r="F50" s="70"/>
      <c r="G50" s="70"/>
      <c r="H50" s="70"/>
      <c r="I50" s="70"/>
      <c r="J50" s="71"/>
      <c r="K50" s="72"/>
      <c r="L50" s="55"/>
      <c r="M50" s="73"/>
      <c r="N50" s="74"/>
      <c r="O50" s="70"/>
      <c r="P50" s="71"/>
      <c r="Q50" s="71"/>
      <c r="R50" s="72"/>
      <c r="S50" s="55"/>
      <c r="T50" s="75">
        <f t="shared" si="7"/>
        <v>0</v>
      </c>
      <c r="U50" s="75">
        <f t="shared" si="8"/>
        <v>0</v>
      </c>
      <c r="V50" s="75">
        <f t="shared" si="9"/>
        <v>0</v>
      </c>
    </row>
    <row r="51" spans="1:22" ht="19.5" thickBot="1" x14ac:dyDescent="0.3">
      <c r="A51" s="27">
        <f t="shared" si="1"/>
        <v>48</v>
      </c>
      <c r="B51" s="42" t="s">
        <v>27</v>
      </c>
      <c r="C51" s="65">
        <v>34</v>
      </c>
      <c r="D51" s="65"/>
      <c r="E51" s="65"/>
      <c r="F51" s="65"/>
      <c r="G51" s="65"/>
      <c r="H51" s="65"/>
      <c r="I51" s="65"/>
      <c r="J51" s="66"/>
      <c r="K51" s="67"/>
      <c r="L51" s="62"/>
      <c r="M51" s="63"/>
      <c r="N51" s="64"/>
      <c r="O51" s="65"/>
      <c r="P51" s="66"/>
      <c r="Q51" s="66"/>
      <c r="R51" s="67"/>
      <c r="S51" s="62"/>
      <c r="T51" s="77">
        <f t="shared" si="7"/>
        <v>0</v>
      </c>
      <c r="U51" s="77">
        <f>C51*6+M51*6+O51*6+Q51*6+T51</f>
        <v>204</v>
      </c>
      <c r="V51" s="77">
        <f>U51/6</f>
        <v>34</v>
      </c>
    </row>
    <row r="52" spans="1:22" x14ac:dyDescent="0.25">
      <c r="A52" s="27">
        <f t="shared" si="1"/>
        <v>49</v>
      </c>
      <c r="B52" s="25" t="s">
        <v>28</v>
      </c>
      <c r="C52" s="70"/>
      <c r="D52" s="70"/>
      <c r="E52" s="70"/>
      <c r="F52" s="70"/>
      <c r="G52" s="70"/>
      <c r="H52" s="70"/>
      <c r="I52" s="70"/>
      <c r="J52" s="71"/>
      <c r="K52" s="72"/>
      <c r="L52" s="55"/>
      <c r="M52" s="73"/>
      <c r="N52" s="74"/>
      <c r="O52" s="70"/>
      <c r="P52" s="71"/>
      <c r="Q52" s="71"/>
      <c r="R52" s="72"/>
      <c r="S52" s="55"/>
      <c r="T52" s="75">
        <f t="shared" si="7"/>
        <v>0</v>
      </c>
      <c r="U52" s="75">
        <f t="shared" ref="U52:U54" si="10">C52*24+M52*24+O52*24+Q52*24+T52</f>
        <v>0</v>
      </c>
      <c r="V52" s="75">
        <f t="shared" si="9"/>
        <v>0</v>
      </c>
    </row>
    <row r="53" spans="1:22" x14ac:dyDescent="0.25">
      <c r="A53" s="27">
        <f t="shared" si="1"/>
        <v>50</v>
      </c>
      <c r="B53" s="26" t="s">
        <v>63</v>
      </c>
      <c r="C53" s="70">
        <v>7</v>
      </c>
      <c r="D53" s="70"/>
      <c r="E53" s="70"/>
      <c r="F53" s="70"/>
      <c r="G53" s="70"/>
      <c r="H53" s="70"/>
      <c r="I53" s="70"/>
      <c r="J53" s="71"/>
      <c r="K53" s="72"/>
      <c r="L53" s="55"/>
      <c r="M53" s="73"/>
      <c r="N53" s="74"/>
      <c r="O53" s="70"/>
      <c r="P53" s="71"/>
      <c r="Q53" s="71"/>
      <c r="R53" s="72"/>
      <c r="S53" s="55"/>
      <c r="T53" s="75">
        <f t="shared" si="7"/>
        <v>0</v>
      </c>
      <c r="U53" s="75">
        <f t="shared" si="10"/>
        <v>168</v>
      </c>
      <c r="V53" s="75">
        <f t="shared" si="9"/>
        <v>7</v>
      </c>
    </row>
    <row r="54" spans="1:22" x14ac:dyDescent="0.25">
      <c r="A54" s="27">
        <f t="shared" si="1"/>
        <v>51</v>
      </c>
      <c r="B54" s="26"/>
      <c r="C54" s="70"/>
      <c r="D54" s="70"/>
      <c r="E54" s="70"/>
      <c r="F54" s="70"/>
      <c r="G54" s="70"/>
      <c r="H54" s="70"/>
      <c r="I54" s="70"/>
      <c r="J54" s="71"/>
      <c r="K54" s="72"/>
      <c r="L54" s="55"/>
      <c r="M54" s="73"/>
      <c r="N54" s="74"/>
      <c r="O54" s="70"/>
      <c r="P54" s="71"/>
      <c r="Q54" s="71"/>
      <c r="R54" s="72"/>
      <c r="S54" s="55"/>
      <c r="T54" s="75">
        <f t="shared" si="7"/>
        <v>0</v>
      </c>
      <c r="U54" s="75">
        <f t="shared" si="10"/>
        <v>0</v>
      </c>
      <c r="V54" s="75">
        <f t="shared" si="9"/>
        <v>0</v>
      </c>
    </row>
    <row r="55" spans="1:22" x14ac:dyDescent="0.25">
      <c r="A55" s="27">
        <f t="shared" si="1"/>
        <v>52</v>
      </c>
      <c r="B55" s="26"/>
      <c r="C55" s="70"/>
      <c r="D55" s="70"/>
      <c r="E55" s="70"/>
      <c r="F55" s="70"/>
      <c r="G55" s="70"/>
      <c r="H55" s="70"/>
      <c r="I55" s="70"/>
      <c r="J55" s="71"/>
      <c r="K55" s="72"/>
      <c r="L55" s="55"/>
      <c r="M55" s="73"/>
      <c r="N55" s="74"/>
      <c r="O55" s="70"/>
      <c r="P55" s="71"/>
      <c r="Q55" s="71"/>
      <c r="R55" s="72"/>
      <c r="S55" s="55"/>
      <c r="T55" s="75"/>
      <c r="U55" s="75"/>
      <c r="V55" s="75"/>
    </row>
    <row r="56" spans="1:22" x14ac:dyDescent="0.25">
      <c r="A56" s="27">
        <f t="shared" si="1"/>
        <v>53</v>
      </c>
      <c r="B56" s="26"/>
      <c r="C56" s="70"/>
      <c r="D56" s="70"/>
      <c r="E56" s="70"/>
      <c r="F56" s="70"/>
      <c r="G56" s="70"/>
      <c r="H56" s="70"/>
      <c r="I56" s="70"/>
      <c r="J56" s="71"/>
      <c r="K56" s="72"/>
      <c r="L56" s="55"/>
      <c r="M56" s="73"/>
      <c r="N56" s="74"/>
      <c r="O56" s="70"/>
      <c r="P56" s="71"/>
      <c r="Q56" s="71"/>
      <c r="R56" s="72"/>
      <c r="S56" s="55"/>
      <c r="T56" s="75"/>
      <c r="U56" s="75"/>
      <c r="V56" s="75"/>
    </row>
    <row r="57" spans="1:22" x14ac:dyDescent="0.25">
      <c r="A57" s="27">
        <f t="shared" si="1"/>
        <v>54</v>
      </c>
      <c r="B57" s="26"/>
      <c r="C57" s="70"/>
      <c r="D57" s="70"/>
      <c r="E57" s="70"/>
      <c r="F57" s="70"/>
      <c r="G57" s="70"/>
      <c r="H57" s="70"/>
      <c r="I57" s="70"/>
      <c r="J57" s="71"/>
      <c r="K57" s="72"/>
      <c r="L57" s="55"/>
      <c r="M57" s="73"/>
      <c r="N57" s="74"/>
      <c r="O57" s="70"/>
      <c r="P57" s="71"/>
      <c r="Q57" s="71"/>
      <c r="R57" s="72"/>
      <c r="S57" s="55"/>
      <c r="T57" s="75"/>
      <c r="U57" s="75"/>
      <c r="V57" s="75"/>
    </row>
    <row r="58" spans="1:22" s="15" customFormat="1" ht="19.5" thickBot="1" x14ac:dyDescent="0.3">
      <c r="B58" s="29" t="s">
        <v>50</v>
      </c>
      <c r="C58" s="2">
        <f>SUM(C7:C57)</f>
        <v>47679</v>
      </c>
      <c r="D58" s="2"/>
      <c r="E58" s="2"/>
      <c r="F58" s="2">
        <f t="shared" ref="F58:K58" si="11">SUM(F7:F57)</f>
        <v>0</v>
      </c>
      <c r="G58" s="2">
        <f t="shared" si="11"/>
        <v>0</v>
      </c>
      <c r="H58" s="2">
        <f t="shared" si="11"/>
        <v>1189</v>
      </c>
      <c r="I58" s="6">
        <f t="shared" si="11"/>
        <v>38</v>
      </c>
      <c r="J58" s="6">
        <f t="shared" si="11"/>
        <v>119</v>
      </c>
      <c r="K58" s="6">
        <f t="shared" si="11"/>
        <v>470</v>
      </c>
      <c r="M58" s="5">
        <f t="shared" ref="M58:R58" si="12">SUM(M7:M57)</f>
        <v>406</v>
      </c>
      <c r="N58" s="5">
        <f t="shared" si="12"/>
        <v>0</v>
      </c>
      <c r="O58" s="5">
        <f t="shared" si="12"/>
        <v>463</v>
      </c>
      <c r="P58" s="5">
        <f t="shared" si="12"/>
        <v>12</v>
      </c>
      <c r="Q58" s="5">
        <f t="shared" si="12"/>
        <v>634</v>
      </c>
      <c r="R58" s="5">
        <f t="shared" si="12"/>
        <v>16</v>
      </c>
      <c r="S58" s="55"/>
      <c r="T58" s="4">
        <f>SUM(T7:T57)</f>
        <v>1844</v>
      </c>
      <c r="U58" s="90">
        <f>SUM(U7:U57)</f>
        <v>378470</v>
      </c>
      <c r="V58" s="4">
        <f>SUM(V7:V57)</f>
        <v>49330.958333333328</v>
      </c>
    </row>
    <row r="59" spans="1:22" ht="7.5" customHeight="1" thickBot="1" x14ac:dyDescent="0.3"/>
    <row r="60" spans="1:22" ht="19.5" thickBot="1" x14ac:dyDescent="0.3">
      <c r="B60" s="30" t="s">
        <v>37</v>
      </c>
      <c r="C60" s="113" t="s">
        <v>41</v>
      </c>
      <c r="D60" s="114"/>
      <c r="E60" s="114"/>
      <c r="F60" s="114"/>
      <c r="G60" s="114"/>
      <c r="H60" s="114"/>
      <c r="I60" s="114"/>
      <c r="J60" s="114"/>
      <c r="K60" s="115"/>
      <c r="U60" s="24" t="s">
        <v>51</v>
      </c>
    </row>
    <row r="61" spans="1:22" x14ac:dyDescent="0.25">
      <c r="B61" s="31" t="s">
        <v>17</v>
      </c>
      <c r="C61" s="19"/>
      <c r="D61" s="19"/>
      <c r="E61" s="19"/>
      <c r="F61" s="19"/>
      <c r="G61" s="19"/>
      <c r="H61" s="19"/>
      <c r="I61" s="19"/>
      <c r="J61" s="45"/>
      <c r="K61" s="20"/>
      <c r="U61" s="7"/>
    </row>
    <row r="62" spans="1:22" x14ac:dyDescent="0.25">
      <c r="B62" s="32" t="s">
        <v>45</v>
      </c>
      <c r="C62" s="1"/>
      <c r="D62" s="1"/>
      <c r="E62" s="1"/>
      <c r="F62" s="1"/>
      <c r="G62" s="1"/>
      <c r="H62" s="1"/>
      <c r="I62" s="1"/>
      <c r="J62" s="44"/>
      <c r="K62" s="21"/>
      <c r="U62" s="3"/>
    </row>
    <row r="63" spans="1:22" ht="19.5" thickBot="1" x14ac:dyDescent="0.3">
      <c r="B63" s="33" t="s">
        <v>44</v>
      </c>
      <c r="C63" s="22"/>
      <c r="D63" s="22"/>
      <c r="E63" s="22"/>
      <c r="F63" s="22"/>
      <c r="G63" s="22"/>
      <c r="H63" s="22"/>
      <c r="I63" s="22"/>
      <c r="J63" s="46"/>
      <c r="K63" s="23"/>
      <c r="U63" s="8"/>
    </row>
    <row r="64" spans="1:22" ht="7.5" customHeight="1" thickBot="1" x14ac:dyDescent="0.3"/>
    <row r="65" spans="2:21" x14ac:dyDescent="0.25">
      <c r="B65" s="31" t="s">
        <v>46</v>
      </c>
      <c r="C65" s="19"/>
      <c r="D65" s="19"/>
      <c r="E65" s="19"/>
      <c r="F65" s="19"/>
      <c r="G65" s="19"/>
      <c r="H65" s="19"/>
      <c r="I65" s="19"/>
      <c r="J65" s="45"/>
      <c r="K65" s="20"/>
      <c r="U65" s="7"/>
    </row>
    <row r="66" spans="2:21" x14ac:dyDescent="0.25">
      <c r="B66" s="32" t="s">
        <v>45</v>
      </c>
      <c r="C66" s="1"/>
      <c r="D66" s="1"/>
      <c r="E66" s="1"/>
      <c r="F66" s="1"/>
      <c r="G66" s="1"/>
      <c r="H66" s="1"/>
      <c r="I66" s="1"/>
      <c r="J66" s="44"/>
      <c r="K66" s="21"/>
      <c r="U66" s="3"/>
    </row>
    <row r="67" spans="2:21" ht="19.5" thickBot="1" x14ac:dyDescent="0.3">
      <c r="B67" s="33" t="s">
        <v>44</v>
      </c>
      <c r="C67" s="22"/>
      <c r="D67" s="22"/>
      <c r="E67" s="22"/>
      <c r="F67" s="22"/>
      <c r="G67" s="22"/>
      <c r="H67" s="22"/>
      <c r="I67" s="22"/>
      <c r="J67" s="46"/>
      <c r="K67" s="23"/>
      <c r="U67" s="8"/>
    </row>
    <row r="68" spans="2:21" ht="7.5" customHeight="1" thickBot="1" x14ac:dyDescent="0.3"/>
    <row r="69" spans="2:21" x14ac:dyDescent="0.25">
      <c r="B69" s="31" t="s">
        <v>38</v>
      </c>
      <c r="C69" s="19"/>
      <c r="D69" s="19"/>
      <c r="E69" s="19"/>
      <c r="F69" s="19"/>
      <c r="G69" s="19"/>
      <c r="H69" s="19"/>
      <c r="I69" s="19"/>
      <c r="J69" s="45"/>
      <c r="K69" s="20"/>
      <c r="U69" s="7"/>
    </row>
    <row r="70" spans="2:21" x14ac:dyDescent="0.25">
      <c r="B70" s="32" t="s">
        <v>45</v>
      </c>
      <c r="C70" s="1"/>
      <c r="D70" s="1"/>
      <c r="E70" s="1"/>
      <c r="F70" s="1"/>
      <c r="G70" s="1"/>
      <c r="H70" s="1"/>
      <c r="I70" s="1"/>
      <c r="J70" s="44"/>
      <c r="K70" s="21"/>
      <c r="U70" s="3"/>
    </row>
    <row r="71" spans="2:21" ht="19.5" thickBot="1" x14ac:dyDescent="0.3">
      <c r="B71" s="33" t="s">
        <v>44</v>
      </c>
      <c r="C71" s="22"/>
      <c r="D71" s="22"/>
      <c r="E71" s="22"/>
      <c r="F71" s="22"/>
      <c r="G71" s="22"/>
      <c r="H71" s="22"/>
      <c r="I71" s="22"/>
      <c r="J71" s="46"/>
      <c r="K71" s="23"/>
      <c r="U71" s="8"/>
    </row>
    <row r="72" spans="2:21" ht="7.5" customHeight="1" thickBot="1" x14ac:dyDescent="0.3"/>
    <row r="73" spans="2:21" x14ac:dyDescent="0.25">
      <c r="B73" s="31" t="s">
        <v>47</v>
      </c>
      <c r="C73" s="19"/>
      <c r="D73" s="19"/>
      <c r="E73" s="19"/>
      <c r="F73" s="19"/>
      <c r="G73" s="19"/>
      <c r="H73" s="19"/>
      <c r="I73" s="19"/>
      <c r="J73" s="45"/>
      <c r="K73" s="20"/>
      <c r="U73" s="7"/>
    </row>
    <row r="74" spans="2:21" x14ac:dyDescent="0.25">
      <c r="B74" s="32" t="s">
        <v>45</v>
      </c>
      <c r="C74" s="1"/>
      <c r="D74" s="1"/>
      <c r="E74" s="1"/>
      <c r="F74" s="1"/>
      <c r="G74" s="1"/>
      <c r="H74" s="1"/>
      <c r="I74" s="1"/>
      <c r="J74" s="44"/>
      <c r="K74" s="21"/>
      <c r="U74" s="3"/>
    </row>
    <row r="75" spans="2:21" ht="19.5" thickBot="1" x14ac:dyDescent="0.3">
      <c r="B75" s="33" t="s">
        <v>44</v>
      </c>
      <c r="C75" s="22"/>
      <c r="D75" s="22"/>
      <c r="E75" s="22"/>
      <c r="F75" s="22"/>
      <c r="G75" s="22"/>
      <c r="H75" s="22"/>
      <c r="I75" s="22"/>
      <c r="J75" s="46"/>
      <c r="K75" s="23"/>
      <c r="U75" s="8"/>
    </row>
    <row r="76" spans="2:21" ht="7.5" customHeight="1" thickBot="1" x14ac:dyDescent="0.3"/>
    <row r="77" spans="2:21" x14ac:dyDescent="0.25">
      <c r="B77" s="31" t="s">
        <v>48</v>
      </c>
      <c r="C77" s="19"/>
      <c r="D77" s="19"/>
      <c r="E77" s="19"/>
      <c r="F77" s="19"/>
      <c r="G77" s="19"/>
      <c r="H77" s="19"/>
      <c r="I77" s="19"/>
      <c r="J77" s="45"/>
      <c r="K77" s="20"/>
      <c r="U77" s="7"/>
    </row>
    <row r="78" spans="2:21" x14ac:dyDescent="0.25">
      <c r="B78" s="32" t="s">
        <v>45</v>
      </c>
      <c r="C78" s="1"/>
      <c r="D78" s="1"/>
      <c r="E78" s="1"/>
      <c r="F78" s="1"/>
      <c r="G78" s="1"/>
      <c r="H78" s="1"/>
      <c r="I78" s="1"/>
      <c r="J78" s="44"/>
      <c r="K78" s="21"/>
      <c r="U78" s="3"/>
    </row>
    <row r="79" spans="2:21" ht="19.5" thickBot="1" x14ac:dyDescent="0.3">
      <c r="B79" s="33" t="s">
        <v>44</v>
      </c>
      <c r="C79" s="22"/>
      <c r="D79" s="22"/>
      <c r="E79" s="22"/>
      <c r="F79" s="22"/>
      <c r="G79" s="22"/>
      <c r="H79" s="22"/>
      <c r="I79" s="22"/>
      <c r="J79" s="46"/>
      <c r="K79" s="23"/>
      <c r="U79" s="8"/>
    </row>
    <row r="80" spans="2:21" ht="7.5" customHeight="1" thickBot="1" x14ac:dyDescent="0.3"/>
    <row r="81" spans="2:21" ht="19.5" thickBot="1" x14ac:dyDescent="0.3">
      <c r="B81" s="30" t="s">
        <v>49</v>
      </c>
      <c r="C81" s="17"/>
      <c r="D81" s="17"/>
      <c r="E81" s="17"/>
      <c r="F81" s="17"/>
      <c r="G81" s="17"/>
      <c r="H81" s="17"/>
      <c r="I81" s="17"/>
      <c r="J81" s="47"/>
      <c r="K81" s="18"/>
      <c r="U81" s="16"/>
    </row>
  </sheetData>
  <mergeCells count="7">
    <mergeCell ref="V4:V5"/>
    <mergeCell ref="J5:K5"/>
    <mergeCell ref="C60:K60"/>
    <mergeCell ref="I1:U1"/>
    <mergeCell ref="C4:K4"/>
    <mergeCell ref="T4:T5"/>
    <mergeCell ref="U4:U5"/>
  </mergeCells>
  <printOptions horizontalCentered="1" verticalCentered="1"/>
  <pageMargins left="0.19685039370078741" right="0.19685039370078741" top="0.19685039370078741" bottom="0.19685039370078741" header="0.19685039370078741" footer="0.19685039370078741"/>
  <pageSetup paperSize="14" scale="70" orientation="portrait" horizontalDpi="360" verticalDpi="360" r:id="rId1"/>
  <colBreaks count="1" manualBreakCount="1">
    <brk id="24" max="80" man="1"/>
  </colBreaks>
</worksheet>
</file>

<file path=xl/worksheets/sheet1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1F079C06-E62C-42C5-88C1-76D904E97AA1}">
  <sheetPr>
    <pageSetUpPr fitToPage="1"/>
  </sheetPr>
  <dimension ref="A1:BB81"/>
  <sheetViews>
    <sheetView topLeftCell="A33" zoomScale="130" zoomScaleNormal="130" zoomScaleSheetLayoutView="115" workbookViewId="0">
      <selection activeCell="K37" sqref="K37"/>
    </sheetView>
  </sheetViews>
  <sheetFormatPr defaultColWidth="9.140625" defaultRowHeight="18.75" x14ac:dyDescent="0.25"/>
  <cols>
    <col min="1" max="1" width="4.140625" style="9" bestFit="1" customWidth="1"/>
    <col min="2" max="2" width="12.28515625" style="28" customWidth="1"/>
    <col min="3" max="6" width="10" style="9" customWidth="1"/>
    <col min="7" max="7" width="6.85546875" style="9" customWidth="1"/>
    <col min="8" max="8" width="7.5703125" style="9" bestFit="1" customWidth="1"/>
    <col min="9" max="9" width="6.7109375" style="9" bestFit="1" customWidth="1"/>
    <col min="10" max="10" width="6.85546875" style="9" customWidth="1"/>
    <col min="11" max="11" width="7.5703125" style="9" bestFit="1" customWidth="1"/>
    <col min="12" max="12" width="1.42578125" style="9" customWidth="1"/>
    <col min="13" max="13" width="10" style="9" customWidth="1"/>
    <col min="14" max="14" width="6.7109375" style="9" bestFit="1" customWidth="1"/>
    <col min="15" max="15" width="10" style="9" customWidth="1"/>
    <col min="16" max="16" width="5.5703125" style="9" customWidth="1"/>
    <col min="17" max="17" width="10" style="9" customWidth="1"/>
    <col min="18" max="18" width="6.7109375" style="9" bestFit="1" customWidth="1"/>
    <col min="19" max="19" width="1.42578125" style="9" customWidth="1"/>
    <col min="20" max="20" width="12.7109375" style="9" bestFit="1" customWidth="1"/>
    <col min="21" max="21" width="14.28515625" style="9" customWidth="1"/>
    <col min="22" max="22" width="19.5703125" style="9" bestFit="1" customWidth="1"/>
    <col min="23" max="49" width="7.28515625" style="9" customWidth="1"/>
    <col min="50" max="50" width="1.5703125" style="9" customWidth="1"/>
    <col min="51" max="51" width="9.42578125" style="9" customWidth="1"/>
    <col min="52" max="52" width="1.28515625" style="9" customWidth="1"/>
    <col min="53" max="53" width="12.7109375" style="9" bestFit="1" customWidth="1"/>
    <col min="54" max="54" width="10.28515625" style="9" bestFit="1" customWidth="1"/>
    <col min="55" max="16384" width="9.140625" style="9"/>
  </cols>
  <sheetData>
    <row r="1" spans="1:54" ht="15" customHeight="1" x14ac:dyDescent="0.25">
      <c r="B1" s="27" t="s">
        <v>42</v>
      </c>
      <c r="I1" s="116" t="s">
        <v>43</v>
      </c>
      <c r="J1" s="116"/>
      <c r="K1" s="116"/>
      <c r="L1" s="116"/>
      <c r="M1" s="116"/>
      <c r="N1" s="116"/>
      <c r="O1" s="116"/>
      <c r="P1" s="116"/>
      <c r="Q1" s="116"/>
      <c r="R1" s="116"/>
      <c r="S1" s="116"/>
      <c r="T1" s="116"/>
      <c r="U1" s="116"/>
    </row>
    <row r="2" spans="1:54" x14ac:dyDescent="0.25">
      <c r="B2" s="28" t="s">
        <v>80</v>
      </c>
    </row>
    <row r="3" spans="1:54" ht="19.5" thickBot="1" x14ac:dyDescent="0.3"/>
    <row r="4" spans="1:54" s="10" customFormat="1" ht="15.75" x14ac:dyDescent="0.25">
      <c r="B4" s="41" t="s">
        <v>52</v>
      </c>
      <c r="C4" s="117" t="s">
        <v>41</v>
      </c>
      <c r="D4" s="117"/>
      <c r="E4" s="117"/>
      <c r="F4" s="117"/>
      <c r="G4" s="117"/>
      <c r="H4" s="117"/>
      <c r="I4" s="117"/>
      <c r="J4" s="118"/>
      <c r="K4" s="119"/>
      <c r="M4" s="34" t="s">
        <v>0</v>
      </c>
      <c r="N4" s="48" t="s">
        <v>61</v>
      </c>
      <c r="O4" s="35" t="s">
        <v>39</v>
      </c>
      <c r="P4" s="48" t="s">
        <v>61</v>
      </c>
      <c r="Q4" s="36" t="s">
        <v>40</v>
      </c>
      <c r="R4" s="48" t="s">
        <v>61</v>
      </c>
      <c r="S4" s="9"/>
      <c r="T4" s="120" t="s">
        <v>68</v>
      </c>
      <c r="U4" s="126" t="s">
        <v>67</v>
      </c>
      <c r="V4" s="109" t="s">
        <v>66</v>
      </c>
      <c r="AF4" s="11"/>
      <c r="AG4" s="11"/>
      <c r="AH4" s="11"/>
      <c r="AI4" s="11"/>
      <c r="AJ4" s="11"/>
      <c r="AK4" s="11"/>
      <c r="AL4" s="11"/>
      <c r="AM4" s="11"/>
      <c r="AN4" s="11"/>
      <c r="AO4" s="11"/>
      <c r="AP4" s="11"/>
      <c r="AQ4" s="11"/>
      <c r="AR4" s="11"/>
      <c r="AS4" s="11"/>
      <c r="AT4" s="11"/>
      <c r="AU4" s="11"/>
      <c r="AV4" s="11"/>
      <c r="AW4" s="11"/>
      <c r="AX4" s="11"/>
      <c r="AY4" s="11"/>
      <c r="AZ4" s="11"/>
      <c r="BA4" s="11"/>
      <c r="BB4" s="11"/>
    </row>
    <row r="5" spans="1:54" s="10" customFormat="1" ht="15.75" x14ac:dyDescent="0.25">
      <c r="B5" s="37"/>
      <c r="C5" s="40"/>
      <c r="D5" s="40"/>
      <c r="E5" s="40"/>
      <c r="F5" s="40"/>
      <c r="G5" s="40"/>
      <c r="H5" s="40" t="s">
        <v>64</v>
      </c>
      <c r="I5" s="40" t="s">
        <v>60</v>
      </c>
      <c r="J5" s="124" t="s">
        <v>65</v>
      </c>
      <c r="K5" s="125"/>
      <c r="M5" s="37"/>
      <c r="N5" s="49"/>
      <c r="O5" s="40"/>
      <c r="P5" s="99"/>
      <c r="Q5" s="99"/>
      <c r="R5" s="38"/>
      <c r="S5" s="9"/>
      <c r="T5" s="121"/>
      <c r="U5" s="127"/>
      <c r="V5" s="110"/>
      <c r="AF5" s="11"/>
      <c r="AG5" s="11"/>
      <c r="AH5" s="11"/>
      <c r="AI5" s="11"/>
      <c r="AJ5" s="11"/>
      <c r="AK5" s="11"/>
      <c r="AL5" s="11"/>
      <c r="AM5" s="11"/>
      <c r="AN5" s="11"/>
      <c r="AO5" s="11"/>
      <c r="AP5" s="11"/>
      <c r="AQ5" s="11"/>
      <c r="AR5" s="11"/>
      <c r="AS5" s="11"/>
      <c r="AT5" s="11"/>
      <c r="AU5" s="11"/>
      <c r="AV5" s="11"/>
      <c r="AW5" s="11"/>
      <c r="AX5" s="11"/>
      <c r="AY5" s="11"/>
      <c r="AZ5" s="11"/>
      <c r="BA5" s="11"/>
      <c r="BB5" s="11"/>
    </row>
    <row r="6" spans="1:54" s="10" customFormat="1" ht="15.75" x14ac:dyDescent="0.25">
      <c r="B6" s="37"/>
      <c r="C6" s="40"/>
      <c r="D6" s="40"/>
      <c r="E6" s="40"/>
      <c r="F6" s="40"/>
      <c r="G6" s="40"/>
      <c r="H6" s="40"/>
      <c r="I6" s="40"/>
      <c r="J6" s="99"/>
      <c r="K6" s="38"/>
      <c r="M6" s="37"/>
      <c r="N6" s="49"/>
      <c r="O6" s="40"/>
      <c r="P6" s="99"/>
      <c r="Q6" s="99"/>
      <c r="R6" s="38"/>
      <c r="S6" s="9"/>
      <c r="T6" s="39"/>
      <c r="U6" s="39"/>
      <c r="V6" s="39"/>
      <c r="AF6" s="11"/>
      <c r="AG6" s="11"/>
      <c r="AH6" s="11"/>
      <c r="AI6" s="11"/>
      <c r="AJ6" s="11"/>
      <c r="AK6" s="11"/>
      <c r="AL6" s="11"/>
      <c r="AM6" s="11"/>
      <c r="AN6" s="11"/>
      <c r="AO6" s="11"/>
      <c r="AP6" s="11"/>
      <c r="AQ6" s="11"/>
      <c r="AR6" s="11"/>
      <c r="AS6" s="11"/>
      <c r="AT6" s="11"/>
      <c r="AU6" s="11"/>
      <c r="AV6" s="11"/>
      <c r="AW6" s="11"/>
      <c r="AX6" s="11"/>
      <c r="AY6" s="11"/>
      <c r="AZ6" s="11"/>
      <c r="BA6" s="11"/>
      <c r="BB6" s="11"/>
    </row>
    <row r="7" spans="1:54" x14ac:dyDescent="0.25">
      <c r="A7" s="27">
        <v>1</v>
      </c>
      <c r="B7" s="26" t="s">
        <v>32</v>
      </c>
      <c r="C7" s="52">
        <v>32</v>
      </c>
      <c r="D7" s="52"/>
      <c r="E7" s="52"/>
      <c r="F7" s="52"/>
      <c r="G7" s="52"/>
      <c r="H7" s="52"/>
      <c r="I7" s="52">
        <v>3</v>
      </c>
      <c r="J7" s="53"/>
      <c r="K7" s="54">
        <v>6</v>
      </c>
      <c r="L7" s="55"/>
      <c r="M7" s="56"/>
      <c r="N7" s="57"/>
      <c r="O7" s="52">
        <v>1</v>
      </c>
      <c r="P7" s="53"/>
      <c r="Q7" s="53"/>
      <c r="R7" s="54"/>
      <c r="S7" s="55"/>
      <c r="T7" s="58">
        <f>H7+I7+J7+K7+N7+P7+R7</f>
        <v>9</v>
      </c>
      <c r="U7" s="58">
        <f>C7*24+M7*24+O7*24+Q7*24+T7</f>
        <v>801</v>
      </c>
      <c r="V7" s="58">
        <f>U7/24</f>
        <v>33.375</v>
      </c>
      <c r="W7" s="50"/>
      <c r="AF7" s="12"/>
      <c r="AG7" s="12"/>
      <c r="AH7" s="12"/>
      <c r="AI7" s="12"/>
      <c r="AJ7" s="12"/>
      <c r="AK7" s="12"/>
      <c r="AL7" s="12"/>
      <c r="AM7" s="12"/>
      <c r="AN7" s="12"/>
      <c r="AO7" s="12"/>
      <c r="AP7" s="12"/>
      <c r="AQ7" s="12"/>
      <c r="AR7" s="12"/>
      <c r="AS7" s="12"/>
      <c r="AT7" s="12"/>
      <c r="AU7" s="12"/>
      <c r="AV7" s="12"/>
      <c r="AW7" s="12"/>
      <c r="AX7" s="12"/>
      <c r="AY7" s="12"/>
      <c r="AZ7" s="12"/>
      <c r="BA7" s="12"/>
      <c r="BB7" s="12"/>
    </row>
    <row r="8" spans="1:54" ht="19.5" thickBot="1" x14ac:dyDescent="0.3">
      <c r="A8" s="27">
        <f>A7+1</f>
        <v>2</v>
      </c>
      <c r="B8" s="42" t="s">
        <v>35</v>
      </c>
      <c r="C8" s="59">
        <f>41+43</f>
        <v>84</v>
      </c>
      <c r="D8" s="59"/>
      <c r="E8" s="59"/>
      <c r="F8" s="59"/>
      <c r="G8" s="59"/>
      <c r="H8" s="59"/>
      <c r="I8" s="59"/>
      <c r="J8" s="60"/>
      <c r="K8" s="61"/>
      <c r="L8" s="62"/>
      <c r="M8" s="63">
        <v>1</v>
      </c>
      <c r="N8" s="64"/>
      <c r="O8" s="65">
        <v>1</v>
      </c>
      <c r="P8" s="66">
        <v>12</v>
      </c>
      <c r="Q8" s="66">
        <v>1</v>
      </c>
      <c r="R8" s="67"/>
      <c r="S8" s="62"/>
      <c r="T8" s="68">
        <f t="shared" ref="T8:T41" si="0">H8+I8+J8+K8+N8+P8+R8</f>
        <v>12</v>
      </c>
      <c r="U8" s="69">
        <f>C8*24+M8*24+O8*24+Q8*24+T8</f>
        <v>2100</v>
      </c>
      <c r="V8" s="69">
        <f>U8/24</f>
        <v>87.5</v>
      </c>
      <c r="W8" s="50"/>
      <c r="AF8" s="12"/>
      <c r="AG8" s="12"/>
      <c r="AH8" s="12"/>
      <c r="AI8" s="12"/>
      <c r="AJ8" s="12"/>
      <c r="AK8" s="12"/>
      <c r="AL8" s="12"/>
      <c r="AM8" s="12"/>
      <c r="AN8" s="12"/>
      <c r="AO8" s="12"/>
      <c r="AP8" s="12"/>
      <c r="AQ8" s="12"/>
      <c r="AR8" s="12"/>
      <c r="AS8" s="12"/>
      <c r="AT8" s="12"/>
      <c r="AU8" s="12"/>
      <c r="AV8" s="12"/>
      <c r="AW8" s="12"/>
      <c r="AX8" s="12"/>
      <c r="AY8" s="12"/>
      <c r="AZ8" s="12"/>
      <c r="BA8" s="12"/>
      <c r="BB8" s="12"/>
    </row>
    <row r="9" spans="1:54" x14ac:dyDescent="0.25">
      <c r="A9" s="27">
        <f t="shared" ref="A9:A57" si="1">A8+1</f>
        <v>3</v>
      </c>
      <c r="B9" s="25" t="s">
        <v>33</v>
      </c>
      <c r="C9" s="70">
        <f>59+30</f>
        <v>89</v>
      </c>
      <c r="D9" s="70"/>
      <c r="E9" s="70"/>
      <c r="F9" s="70"/>
      <c r="G9" s="70"/>
      <c r="H9" s="70"/>
      <c r="I9" s="70"/>
      <c r="J9" s="71"/>
      <c r="K9" s="72"/>
      <c r="L9" s="55"/>
      <c r="M9" s="73"/>
      <c r="N9" s="74"/>
      <c r="O9" s="70">
        <v>1</v>
      </c>
      <c r="P9" s="71"/>
      <c r="Q9" s="71">
        <v>1</v>
      </c>
      <c r="R9" s="72"/>
      <c r="S9" s="55"/>
      <c r="T9" s="75">
        <f t="shared" si="0"/>
        <v>0</v>
      </c>
      <c r="U9" s="76">
        <f t="shared" ref="U9:U11" si="2">C9*24+M9*24+O9*24+Q9*24+T9</f>
        <v>2184</v>
      </c>
      <c r="V9" s="76">
        <f t="shared" ref="V9:V11" si="3">U9/24</f>
        <v>91</v>
      </c>
      <c r="W9" s="50"/>
      <c r="AF9" s="12"/>
      <c r="AG9" s="12"/>
      <c r="AH9" s="12"/>
      <c r="AI9" s="12"/>
      <c r="AJ9" s="12"/>
      <c r="AK9" s="12"/>
      <c r="AL9" s="12"/>
      <c r="AM9" s="12"/>
      <c r="AN9" s="12"/>
      <c r="AO9" s="12"/>
      <c r="AP9" s="12"/>
      <c r="AQ9" s="12"/>
      <c r="AR9" s="12"/>
      <c r="AS9" s="12"/>
      <c r="AT9" s="12"/>
      <c r="AU9" s="12"/>
      <c r="AV9" s="12"/>
      <c r="AW9" s="12"/>
      <c r="AX9" s="12"/>
      <c r="AY9" s="12"/>
      <c r="AZ9" s="12"/>
      <c r="BA9" s="12"/>
      <c r="BB9" s="12"/>
    </row>
    <row r="10" spans="1:54" x14ac:dyDescent="0.25">
      <c r="A10" s="27">
        <f t="shared" si="1"/>
        <v>4</v>
      </c>
      <c r="B10" s="26" t="s">
        <v>36</v>
      </c>
      <c r="C10" s="70">
        <f>33+10</f>
        <v>43</v>
      </c>
      <c r="D10" s="70"/>
      <c r="E10" s="70"/>
      <c r="F10" s="70"/>
      <c r="G10" s="70"/>
      <c r="H10" s="70"/>
      <c r="I10" s="70"/>
      <c r="J10" s="71"/>
      <c r="K10" s="72"/>
      <c r="L10" s="55"/>
      <c r="M10" s="73"/>
      <c r="N10" s="74"/>
      <c r="O10" s="70"/>
      <c r="P10" s="71"/>
      <c r="Q10" s="71">
        <v>1</v>
      </c>
      <c r="R10" s="72"/>
      <c r="S10" s="55"/>
      <c r="T10" s="58">
        <f t="shared" si="0"/>
        <v>0</v>
      </c>
      <c r="U10" s="58">
        <f t="shared" si="2"/>
        <v>1056</v>
      </c>
      <c r="V10" s="58">
        <f t="shared" si="3"/>
        <v>44</v>
      </c>
      <c r="W10" s="50"/>
      <c r="AF10" s="12"/>
      <c r="AG10" s="12"/>
      <c r="AH10" s="12"/>
      <c r="AI10" s="12"/>
      <c r="AJ10" s="12"/>
      <c r="AK10" s="12"/>
      <c r="AL10" s="12"/>
      <c r="AM10" s="12"/>
      <c r="AN10" s="12"/>
      <c r="AO10" s="12"/>
      <c r="AP10" s="12"/>
      <c r="AQ10" s="12"/>
      <c r="AR10" s="12"/>
      <c r="AS10" s="12"/>
      <c r="AT10" s="12"/>
      <c r="AU10" s="12"/>
      <c r="AV10" s="12"/>
      <c r="AW10" s="12"/>
      <c r="AX10" s="12"/>
      <c r="AY10" s="12"/>
      <c r="AZ10" s="12"/>
      <c r="BA10" s="12"/>
      <c r="BB10" s="12"/>
    </row>
    <row r="11" spans="1:54" x14ac:dyDescent="0.25">
      <c r="A11" s="27">
        <f t="shared" si="1"/>
        <v>5</v>
      </c>
      <c r="B11" s="26" t="s">
        <v>34</v>
      </c>
      <c r="C11" s="70">
        <v>9</v>
      </c>
      <c r="D11" s="70"/>
      <c r="E11" s="70"/>
      <c r="F11" s="70"/>
      <c r="G11" s="70"/>
      <c r="H11" s="70"/>
      <c r="I11" s="70"/>
      <c r="J11" s="71"/>
      <c r="K11" s="72">
        <v>2</v>
      </c>
      <c r="L11" s="55"/>
      <c r="M11" s="73"/>
      <c r="N11" s="74"/>
      <c r="O11" s="70"/>
      <c r="P11" s="71"/>
      <c r="Q11" s="71"/>
      <c r="R11" s="72"/>
      <c r="S11" s="55"/>
      <c r="T11" s="58">
        <f t="shared" si="0"/>
        <v>2</v>
      </c>
      <c r="U11" s="58">
        <f t="shared" si="2"/>
        <v>218</v>
      </c>
      <c r="V11" s="58">
        <f t="shared" si="3"/>
        <v>9.0833333333333339</v>
      </c>
      <c r="AF11" s="12"/>
      <c r="AG11" s="12"/>
      <c r="AH11" s="12"/>
      <c r="AI11" s="12"/>
      <c r="AJ11" s="12"/>
      <c r="AK11" s="12"/>
      <c r="AL11" s="12"/>
      <c r="AM11" s="12"/>
      <c r="AN11" s="12"/>
      <c r="AO11" s="12"/>
      <c r="AP11" s="12"/>
      <c r="AQ11" s="12"/>
      <c r="AR11" s="12"/>
      <c r="AS11" s="12"/>
      <c r="AT11" s="12"/>
      <c r="AU11" s="12"/>
      <c r="AV11" s="12"/>
      <c r="AW11" s="12"/>
      <c r="AX11" s="12"/>
      <c r="AY11" s="12"/>
      <c r="AZ11" s="12"/>
      <c r="BA11" s="12"/>
      <c r="BB11" s="12"/>
    </row>
    <row r="12" spans="1:54" s="13" customFormat="1" ht="19.5" thickBot="1" x14ac:dyDescent="0.3">
      <c r="A12" s="27">
        <v>7</v>
      </c>
      <c r="B12" s="42" t="s">
        <v>30</v>
      </c>
      <c r="C12" s="59">
        <f>1224+53+864+50+1080+29</f>
        <v>3300</v>
      </c>
      <c r="D12" s="59"/>
      <c r="E12" s="59"/>
      <c r="F12" s="59"/>
      <c r="G12" s="59"/>
      <c r="H12" s="59"/>
      <c r="I12" s="59"/>
      <c r="J12" s="60"/>
      <c r="K12" s="61"/>
      <c r="L12" s="62"/>
      <c r="M12" s="63">
        <v>7</v>
      </c>
      <c r="N12" s="64"/>
      <c r="O12" s="65">
        <v>11</v>
      </c>
      <c r="P12" s="66">
        <v>14</v>
      </c>
      <c r="Q12" s="66">
        <v>19</v>
      </c>
      <c r="R12" s="67">
        <v>11</v>
      </c>
      <c r="S12" s="62"/>
      <c r="T12" s="69">
        <f t="shared" si="0"/>
        <v>25</v>
      </c>
      <c r="U12" s="69">
        <f>C12*24+M12*24+O12*24+Q12*24+T12</f>
        <v>80113</v>
      </c>
      <c r="V12" s="69">
        <f>U12/24</f>
        <v>3338.0416666666665</v>
      </c>
      <c r="W12" s="9"/>
      <c r="X12" s="9"/>
      <c r="Y12" s="9"/>
      <c r="Z12" s="9"/>
      <c r="AA12" s="9"/>
      <c r="AB12" s="9"/>
      <c r="AC12" s="9"/>
      <c r="AD12" s="9"/>
      <c r="AE12" s="9"/>
      <c r="AF12" s="12"/>
      <c r="AG12" s="12"/>
      <c r="AH12" s="12"/>
      <c r="AI12" s="12"/>
      <c r="AJ12" s="12"/>
      <c r="AK12" s="12"/>
      <c r="AL12" s="12"/>
      <c r="AM12" s="12"/>
      <c r="AN12" s="12"/>
      <c r="AO12" s="12"/>
      <c r="AP12" s="12"/>
      <c r="AQ12" s="12"/>
      <c r="AR12" s="12"/>
      <c r="AS12" s="12"/>
      <c r="AT12" s="12"/>
      <c r="AU12" s="12"/>
      <c r="AV12" s="12"/>
      <c r="AW12" s="12"/>
      <c r="AX12" s="12"/>
      <c r="AY12" s="12"/>
      <c r="AZ12" s="12"/>
      <c r="BA12" s="12"/>
      <c r="BB12" s="12"/>
    </row>
    <row r="13" spans="1:54" x14ac:dyDescent="0.25">
      <c r="A13" s="27">
        <v>11</v>
      </c>
      <c r="B13" s="25" t="s">
        <v>1</v>
      </c>
      <c r="C13" s="70">
        <v>2</v>
      </c>
      <c r="D13" s="70"/>
      <c r="E13" s="70"/>
      <c r="F13" s="70"/>
      <c r="G13" s="70"/>
      <c r="H13" s="70">
        <v>16</v>
      </c>
      <c r="I13" s="70"/>
      <c r="J13" s="71"/>
      <c r="K13" s="72"/>
      <c r="L13" s="55"/>
      <c r="M13" s="73"/>
      <c r="N13" s="74"/>
      <c r="O13" s="70"/>
      <c r="P13" s="71"/>
      <c r="Q13" s="71"/>
      <c r="R13" s="72"/>
      <c r="S13" s="55"/>
      <c r="T13" s="76">
        <f t="shared" si="0"/>
        <v>16</v>
      </c>
      <c r="U13" s="76">
        <f>C13*24+M13*24+O13*24+Q13*24+T13</f>
        <v>64</v>
      </c>
      <c r="V13" s="76">
        <f>U13/24</f>
        <v>2.6666666666666665</v>
      </c>
      <c r="AF13" s="12"/>
      <c r="AG13" s="12"/>
      <c r="AH13" s="12"/>
      <c r="AI13" s="12"/>
      <c r="AJ13" s="12"/>
      <c r="AK13" s="12"/>
      <c r="AL13" s="12"/>
      <c r="AM13" s="12"/>
      <c r="AN13" s="12"/>
      <c r="AO13" s="12"/>
      <c r="AP13" s="12"/>
      <c r="AQ13" s="12"/>
      <c r="AR13" s="12"/>
      <c r="AS13" s="12"/>
      <c r="AT13" s="12"/>
      <c r="AU13" s="12"/>
      <c r="AV13" s="12"/>
      <c r="AW13" s="12"/>
      <c r="AX13" s="12"/>
      <c r="AY13" s="12"/>
      <c r="AZ13" s="12"/>
      <c r="BA13" s="12"/>
      <c r="BB13" s="12"/>
    </row>
    <row r="14" spans="1:54" x14ac:dyDescent="0.25">
      <c r="A14" s="27">
        <f t="shared" si="1"/>
        <v>12</v>
      </c>
      <c r="B14" s="26" t="s">
        <v>2</v>
      </c>
      <c r="C14" s="70">
        <v>2</v>
      </c>
      <c r="D14" s="70"/>
      <c r="E14" s="70"/>
      <c r="F14" s="70"/>
      <c r="G14" s="70"/>
      <c r="H14" s="70"/>
      <c r="I14" s="70"/>
      <c r="J14" s="71"/>
      <c r="K14" s="72"/>
      <c r="L14" s="55"/>
      <c r="M14" s="73"/>
      <c r="N14" s="74"/>
      <c r="O14" s="70"/>
      <c r="P14" s="71"/>
      <c r="Q14" s="71"/>
      <c r="R14" s="72"/>
      <c r="S14" s="55"/>
      <c r="T14" s="58">
        <f t="shared" si="0"/>
        <v>0</v>
      </c>
      <c r="U14" s="75">
        <f t="shared" ref="U14:U36" si="4">C14*24+M14*24+O14*24+Q14*24+T14</f>
        <v>48</v>
      </c>
      <c r="V14" s="75">
        <f t="shared" ref="V14:V36" si="5">U14/24</f>
        <v>2</v>
      </c>
      <c r="AF14" s="12"/>
      <c r="AG14" s="12"/>
      <c r="AH14" s="12"/>
      <c r="AI14" s="12"/>
      <c r="AJ14" s="12"/>
      <c r="AK14" s="12"/>
      <c r="AL14" s="12"/>
      <c r="AM14" s="12"/>
      <c r="AN14" s="12"/>
      <c r="AO14" s="12"/>
      <c r="AP14" s="12"/>
      <c r="AQ14" s="12"/>
      <c r="AR14" s="12"/>
      <c r="AS14" s="12"/>
      <c r="AT14" s="12"/>
      <c r="AU14" s="12"/>
      <c r="AV14" s="12"/>
      <c r="AW14" s="12"/>
      <c r="AX14" s="12"/>
      <c r="AY14" s="12"/>
      <c r="AZ14" s="12"/>
      <c r="BA14" s="12"/>
      <c r="BB14" s="12"/>
    </row>
    <row r="15" spans="1:54" x14ac:dyDescent="0.25">
      <c r="A15" s="27">
        <f t="shared" si="1"/>
        <v>13</v>
      </c>
      <c r="B15" s="26" t="s">
        <v>3</v>
      </c>
      <c r="C15" s="70"/>
      <c r="D15" s="70"/>
      <c r="E15" s="70"/>
      <c r="F15" s="70"/>
      <c r="G15" s="70"/>
      <c r="H15" s="70"/>
      <c r="I15" s="70"/>
      <c r="J15" s="71"/>
      <c r="K15" s="72"/>
      <c r="L15" s="55"/>
      <c r="M15" s="73"/>
      <c r="N15" s="74"/>
      <c r="O15" s="70"/>
      <c r="P15" s="71"/>
      <c r="Q15" s="71"/>
      <c r="R15" s="72"/>
      <c r="S15" s="55"/>
      <c r="T15" s="58">
        <f t="shared" si="0"/>
        <v>0</v>
      </c>
      <c r="U15" s="75">
        <f t="shared" si="4"/>
        <v>0</v>
      </c>
      <c r="V15" s="75">
        <f t="shared" si="5"/>
        <v>0</v>
      </c>
      <c r="AF15" s="12"/>
      <c r="AG15" s="12"/>
      <c r="AH15" s="12"/>
      <c r="AI15" s="12"/>
      <c r="AJ15" s="12"/>
      <c r="AK15" s="12"/>
      <c r="AL15" s="12"/>
      <c r="AM15" s="12"/>
      <c r="AN15" s="12"/>
      <c r="AO15" s="12"/>
      <c r="AP15" s="12"/>
      <c r="AQ15" s="12"/>
      <c r="AR15" s="12"/>
      <c r="AS15" s="12"/>
      <c r="AT15" s="12"/>
      <c r="AU15" s="12"/>
      <c r="AV15" s="12"/>
      <c r="AW15" s="12"/>
      <c r="AX15" s="12"/>
      <c r="AY15" s="12"/>
      <c r="AZ15" s="12"/>
      <c r="BA15" s="12"/>
      <c r="BB15" s="12"/>
    </row>
    <row r="16" spans="1:54" x14ac:dyDescent="0.25">
      <c r="A16" s="27">
        <f t="shared" si="1"/>
        <v>14</v>
      </c>
      <c r="B16" s="26" t="s">
        <v>4</v>
      </c>
      <c r="C16" s="70"/>
      <c r="D16" s="70"/>
      <c r="E16" s="70"/>
      <c r="F16" s="70"/>
      <c r="G16" s="70"/>
      <c r="H16" s="70"/>
      <c r="I16" s="70"/>
      <c r="J16" s="71"/>
      <c r="K16" s="72"/>
      <c r="L16" s="55"/>
      <c r="M16" s="73"/>
      <c r="N16" s="74"/>
      <c r="O16" s="70"/>
      <c r="P16" s="71"/>
      <c r="Q16" s="71"/>
      <c r="R16" s="72"/>
      <c r="S16" s="55"/>
      <c r="T16" s="58">
        <f t="shared" si="0"/>
        <v>0</v>
      </c>
      <c r="U16" s="75">
        <f t="shared" si="4"/>
        <v>0</v>
      </c>
      <c r="V16" s="75">
        <f t="shared" si="5"/>
        <v>0</v>
      </c>
      <c r="AF16" s="12"/>
      <c r="AG16" s="12"/>
      <c r="AH16" s="12"/>
      <c r="AI16" s="12"/>
      <c r="AJ16" s="12"/>
      <c r="AK16" s="12"/>
      <c r="AL16" s="12"/>
      <c r="AM16" s="12"/>
      <c r="AN16" s="12"/>
      <c r="AO16" s="12"/>
      <c r="AP16" s="12"/>
      <c r="AQ16" s="12"/>
      <c r="AR16" s="12"/>
      <c r="AS16" s="12"/>
      <c r="AT16" s="12"/>
      <c r="AU16" s="12"/>
      <c r="AV16" s="12"/>
      <c r="AW16" s="12"/>
      <c r="AX16" s="12"/>
      <c r="AY16" s="12"/>
      <c r="AZ16" s="12"/>
      <c r="BA16" s="12"/>
      <c r="BB16" s="12"/>
    </row>
    <row r="17" spans="1:54" x14ac:dyDescent="0.25">
      <c r="A17" s="27">
        <f t="shared" si="1"/>
        <v>15</v>
      </c>
      <c r="B17" s="26" t="s">
        <v>5</v>
      </c>
      <c r="C17" s="70"/>
      <c r="D17" s="70"/>
      <c r="E17" s="70"/>
      <c r="F17" s="70"/>
      <c r="G17" s="70"/>
      <c r="H17" s="70">
        <f>3*24</f>
        <v>72</v>
      </c>
      <c r="I17" s="70"/>
      <c r="J17" s="71"/>
      <c r="K17" s="72"/>
      <c r="L17" s="55"/>
      <c r="M17" s="73"/>
      <c r="N17" s="74"/>
      <c r="O17" s="70"/>
      <c r="P17" s="71"/>
      <c r="Q17" s="71"/>
      <c r="R17" s="72"/>
      <c r="S17" s="55"/>
      <c r="T17" s="58">
        <f t="shared" si="0"/>
        <v>72</v>
      </c>
      <c r="U17" s="75">
        <f t="shared" si="4"/>
        <v>72</v>
      </c>
      <c r="V17" s="75">
        <f t="shared" si="5"/>
        <v>3</v>
      </c>
      <c r="AF17" s="12"/>
      <c r="AG17" s="12"/>
      <c r="AH17" s="12"/>
      <c r="AI17" s="12"/>
      <c r="AJ17" s="12"/>
      <c r="AK17" s="12"/>
      <c r="AL17" s="12"/>
      <c r="AM17" s="12"/>
      <c r="AN17" s="12"/>
      <c r="AO17" s="12"/>
      <c r="AP17" s="12"/>
      <c r="AQ17" s="12"/>
      <c r="AR17" s="12"/>
      <c r="AS17" s="12"/>
      <c r="AT17" s="12"/>
      <c r="AU17" s="12"/>
      <c r="AV17" s="12"/>
      <c r="AW17" s="12"/>
      <c r="AX17" s="12"/>
      <c r="AY17" s="12"/>
      <c r="AZ17" s="12"/>
      <c r="BA17" s="12"/>
      <c r="BB17" s="12"/>
    </row>
    <row r="18" spans="1:54" hidden="1" x14ac:dyDescent="0.25">
      <c r="A18" s="27">
        <f t="shared" si="1"/>
        <v>16</v>
      </c>
      <c r="B18" s="26" t="s">
        <v>9</v>
      </c>
      <c r="C18" s="70"/>
      <c r="D18" s="70"/>
      <c r="E18" s="70"/>
      <c r="F18" s="70"/>
      <c r="G18" s="70"/>
      <c r="H18" s="70"/>
      <c r="I18" s="70"/>
      <c r="J18" s="71"/>
      <c r="K18" s="72"/>
      <c r="L18" s="55"/>
      <c r="M18" s="73"/>
      <c r="N18" s="74"/>
      <c r="O18" s="70"/>
      <c r="P18" s="71"/>
      <c r="Q18" s="71"/>
      <c r="R18" s="72"/>
      <c r="S18" s="55"/>
      <c r="T18" s="58">
        <f t="shared" si="0"/>
        <v>0</v>
      </c>
      <c r="U18" s="75">
        <f t="shared" si="4"/>
        <v>0</v>
      </c>
      <c r="V18" s="75">
        <f t="shared" si="5"/>
        <v>0</v>
      </c>
      <c r="AF18" s="12"/>
      <c r="AG18" s="12"/>
      <c r="AH18" s="12"/>
      <c r="AI18" s="12"/>
      <c r="AJ18" s="12"/>
      <c r="AK18" s="12"/>
      <c r="AL18" s="12"/>
      <c r="AM18" s="12"/>
      <c r="AN18" s="12"/>
      <c r="AO18" s="12"/>
      <c r="AP18" s="12"/>
      <c r="AQ18" s="12"/>
      <c r="AR18" s="12"/>
      <c r="AS18" s="12"/>
      <c r="AT18" s="12"/>
      <c r="AU18" s="12"/>
      <c r="AV18" s="12"/>
      <c r="AW18" s="12"/>
      <c r="AX18" s="12"/>
      <c r="AY18" s="12"/>
      <c r="AZ18" s="12"/>
      <c r="BA18" s="12"/>
      <c r="BB18" s="12"/>
    </row>
    <row r="19" spans="1:54" x14ac:dyDescent="0.25">
      <c r="A19" s="27">
        <v>16</v>
      </c>
      <c r="B19" s="26" t="s">
        <v>53</v>
      </c>
      <c r="C19" s="70">
        <v>2</v>
      </c>
      <c r="D19" s="70"/>
      <c r="E19" s="70"/>
      <c r="F19" s="70"/>
      <c r="G19" s="70"/>
      <c r="H19" s="70">
        <f>24+20</f>
        <v>44</v>
      </c>
      <c r="I19" s="70"/>
      <c r="J19" s="71"/>
      <c r="K19" s="72"/>
      <c r="L19" s="55"/>
      <c r="M19" s="73"/>
      <c r="N19" s="74"/>
      <c r="O19" s="70"/>
      <c r="P19" s="71"/>
      <c r="Q19" s="71"/>
      <c r="R19" s="72"/>
      <c r="S19" s="55"/>
      <c r="T19" s="58">
        <f t="shared" si="0"/>
        <v>44</v>
      </c>
      <c r="U19" s="75">
        <f t="shared" si="4"/>
        <v>92</v>
      </c>
      <c r="V19" s="75">
        <f t="shared" si="5"/>
        <v>3.8333333333333335</v>
      </c>
      <c r="AF19" s="12"/>
      <c r="AG19" s="12"/>
      <c r="AH19" s="12"/>
      <c r="AI19" s="12"/>
      <c r="AJ19" s="12"/>
      <c r="AK19" s="12"/>
      <c r="AL19" s="12"/>
      <c r="AM19" s="12"/>
      <c r="AN19" s="12"/>
      <c r="AO19" s="12"/>
      <c r="AP19" s="12"/>
      <c r="AQ19" s="12"/>
      <c r="AR19" s="12"/>
      <c r="AS19" s="12"/>
      <c r="AT19" s="12"/>
      <c r="AU19" s="12"/>
      <c r="AV19" s="12"/>
      <c r="AW19" s="12"/>
      <c r="AX19" s="12"/>
      <c r="AY19" s="12"/>
      <c r="AZ19" s="12"/>
      <c r="BA19" s="12"/>
      <c r="BB19" s="12"/>
    </row>
    <row r="20" spans="1:54" x14ac:dyDescent="0.25">
      <c r="A20" s="27">
        <f t="shared" si="1"/>
        <v>17</v>
      </c>
      <c r="B20" s="26" t="s">
        <v>6</v>
      </c>
      <c r="C20" s="70">
        <v>5</v>
      </c>
      <c r="D20" s="70"/>
      <c r="E20" s="70"/>
      <c r="F20" s="70"/>
      <c r="G20" s="70"/>
      <c r="H20" s="70"/>
      <c r="I20" s="70"/>
      <c r="J20" s="71"/>
      <c r="K20" s="72"/>
      <c r="L20" s="55"/>
      <c r="M20" s="73"/>
      <c r="N20" s="74"/>
      <c r="O20" s="70"/>
      <c r="P20" s="71"/>
      <c r="Q20" s="71"/>
      <c r="R20" s="72"/>
      <c r="S20" s="55"/>
      <c r="T20" s="58">
        <f t="shared" si="0"/>
        <v>0</v>
      </c>
      <c r="U20" s="75">
        <f t="shared" si="4"/>
        <v>120</v>
      </c>
      <c r="V20" s="75">
        <f t="shared" si="5"/>
        <v>5</v>
      </c>
      <c r="AF20" s="12"/>
      <c r="AG20" s="12"/>
      <c r="AH20" s="12"/>
      <c r="AI20" s="12"/>
      <c r="AJ20" s="12"/>
      <c r="AK20" s="12"/>
      <c r="AL20" s="12"/>
      <c r="AM20" s="12"/>
      <c r="AN20" s="12"/>
      <c r="AO20" s="12"/>
      <c r="AP20" s="12"/>
      <c r="AQ20" s="12"/>
      <c r="AR20" s="12"/>
      <c r="AS20" s="12"/>
      <c r="AT20" s="12"/>
      <c r="AU20" s="12"/>
      <c r="AV20" s="12"/>
      <c r="AW20" s="12"/>
      <c r="AX20" s="12"/>
      <c r="AY20" s="12"/>
      <c r="AZ20" s="12"/>
      <c r="BA20" s="12"/>
      <c r="BB20" s="12"/>
    </row>
    <row r="21" spans="1:54" x14ac:dyDescent="0.25">
      <c r="A21" s="27">
        <f t="shared" si="1"/>
        <v>18</v>
      </c>
      <c r="B21" s="26" t="s">
        <v>7</v>
      </c>
      <c r="C21" s="70"/>
      <c r="D21" s="70"/>
      <c r="E21" s="70"/>
      <c r="F21" s="70"/>
      <c r="G21" s="70"/>
      <c r="H21" s="70">
        <f>24*2</f>
        <v>48</v>
      </c>
      <c r="I21" s="70"/>
      <c r="J21" s="71"/>
      <c r="K21" s="72"/>
      <c r="L21" s="55"/>
      <c r="M21" s="73"/>
      <c r="N21" s="74"/>
      <c r="O21" s="70"/>
      <c r="P21" s="71"/>
      <c r="Q21" s="71"/>
      <c r="R21" s="72"/>
      <c r="S21" s="55"/>
      <c r="T21" s="58">
        <f t="shared" si="0"/>
        <v>48</v>
      </c>
      <c r="U21" s="75">
        <f t="shared" si="4"/>
        <v>48</v>
      </c>
      <c r="V21" s="75">
        <f t="shared" si="5"/>
        <v>2</v>
      </c>
      <c r="AF21" s="12"/>
      <c r="AG21" s="12"/>
      <c r="AH21" s="12"/>
      <c r="AI21" s="12"/>
      <c r="AJ21" s="12"/>
      <c r="AK21" s="12"/>
      <c r="AL21" s="12"/>
      <c r="AM21" s="12"/>
      <c r="AN21" s="12"/>
      <c r="AO21" s="12"/>
      <c r="AP21" s="12"/>
      <c r="AQ21" s="12"/>
      <c r="AR21" s="12"/>
      <c r="AS21" s="12"/>
      <c r="AT21" s="12"/>
      <c r="AU21" s="12"/>
      <c r="AV21" s="12"/>
      <c r="AW21" s="12"/>
      <c r="AX21" s="12"/>
      <c r="AY21" s="12"/>
      <c r="AZ21" s="12"/>
      <c r="BA21" s="12"/>
      <c r="BB21" s="12"/>
    </row>
    <row r="22" spans="1:54" s="13" customFormat="1" x14ac:dyDescent="0.25">
      <c r="A22" s="27">
        <f t="shared" si="1"/>
        <v>19</v>
      </c>
      <c r="B22" s="26" t="s">
        <v>54</v>
      </c>
      <c r="C22" s="70">
        <v>2</v>
      </c>
      <c r="D22" s="70"/>
      <c r="E22" s="70"/>
      <c r="F22" s="70"/>
      <c r="G22" s="70"/>
      <c r="H22" s="70"/>
      <c r="I22" s="70">
        <v>20</v>
      </c>
      <c r="J22" s="71"/>
      <c r="K22" s="72"/>
      <c r="L22" s="55"/>
      <c r="M22" s="73"/>
      <c r="N22" s="74"/>
      <c r="O22" s="70"/>
      <c r="P22" s="71"/>
      <c r="Q22" s="71"/>
      <c r="R22" s="72"/>
      <c r="S22" s="55"/>
      <c r="T22" s="58">
        <f t="shared" si="0"/>
        <v>20</v>
      </c>
      <c r="U22" s="75">
        <f t="shared" si="4"/>
        <v>68</v>
      </c>
      <c r="V22" s="75">
        <f t="shared" si="5"/>
        <v>2.8333333333333335</v>
      </c>
      <c r="W22" s="9"/>
      <c r="X22" s="9"/>
      <c r="Y22" s="9"/>
      <c r="Z22" s="9"/>
      <c r="AA22" s="9"/>
      <c r="AB22" s="9"/>
      <c r="AC22" s="9"/>
      <c r="AD22" s="9"/>
      <c r="AE22" s="9"/>
      <c r="AF22" s="12"/>
      <c r="AG22" s="12"/>
      <c r="AH22" s="12"/>
      <c r="AI22" s="12"/>
      <c r="AJ22" s="12"/>
      <c r="AK22" s="12"/>
      <c r="AL22" s="12"/>
      <c r="AM22" s="12"/>
      <c r="AN22" s="12"/>
      <c r="AO22" s="12"/>
      <c r="AP22" s="12"/>
      <c r="AQ22" s="12"/>
      <c r="AR22" s="12"/>
      <c r="AS22" s="12"/>
      <c r="AT22" s="12"/>
      <c r="AU22" s="12"/>
      <c r="AV22" s="12"/>
      <c r="AW22" s="12"/>
      <c r="AX22" s="12"/>
      <c r="AY22" s="12"/>
      <c r="AZ22" s="12"/>
      <c r="BA22" s="12"/>
      <c r="BB22" s="12"/>
    </row>
    <row r="23" spans="1:54" s="13" customFormat="1" x14ac:dyDescent="0.25">
      <c r="A23" s="27">
        <f t="shared" si="1"/>
        <v>20</v>
      </c>
      <c r="B23" s="26" t="s">
        <v>55</v>
      </c>
      <c r="C23" s="70"/>
      <c r="D23" s="70"/>
      <c r="E23" s="70"/>
      <c r="F23" s="70"/>
      <c r="G23" s="70"/>
      <c r="H23" s="70">
        <f>37*24+19</f>
        <v>907</v>
      </c>
      <c r="I23" s="70"/>
      <c r="J23" s="71"/>
      <c r="K23" s="72"/>
      <c r="L23" s="55"/>
      <c r="M23" s="73"/>
      <c r="N23" s="74"/>
      <c r="O23" s="70"/>
      <c r="P23" s="71"/>
      <c r="Q23" s="71"/>
      <c r="R23" s="72"/>
      <c r="S23" s="55"/>
      <c r="T23" s="58">
        <f t="shared" si="0"/>
        <v>907</v>
      </c>
      <c r="U23" s="75">
        <f t="shared" si="4"/>
        <v>907</v>
      </c>
      <c r="V23" s="75">
        <f t="shared" si="5"/>
        <v>37.791666666666664</v>
      </c>
      <c r="W23" s="9"/>
      <c r="X23" s="9"/>
      <c r="Y23" s="9"/>
      <c r="Z23" s="9"/>
      <c r="AA23" s="9"/>
      <c r="AB23" s="9"/>
      <c r="AC23" s="9"/>
      <c r="AD23" s="9"/>
      <c r="AE23" s="9"/>
      <c r="AF23" s="12"/>
      <c r="AG23" s="12"/>
      <c r="AH23" s="12"/>
      <c r="AI23" s="12"/>
      <c r="AJ23" s="12"/>
      <c r="AK23" s="12"/>
      <c r="AL23" s="12"/>
      <c r="AM23" s="12"/>
      <c r="AN23" s="12"/>
      <c r="AO23" s="12"/>
      <c r="AP23" s="12"/>
      <c r="AQ23" s="12"/>
      <c r="AR23" s="12"/>
      <c r="AS23" s="12"/>
      <c r="AT23" s="12"/>
      <c r="AU23" s="12"/>
      <c r="AV23" s="12"/>
      <c r="AW23" s="12"/>
      <c r="AX23" s="12"/>
      <c r="AY23" s="12"/>
      <c r="AZ23" s="12"/>
      <c r="BA23" s="12"/>
      <c r="BB23" s="12"/>
    </row>
    <row r="24" spans="1:54" x14ac:dyDescent="0.25">
      <c r="A24" s="27">
        <f t="shared" si="1"/>
        <v>21</v>
      </c>
      <c r="B24" s="26" t="s">
        <v>56</v>
      </c>
      <c r="C24" s="70">
        <v>2</v>
      </c>
      <c r="D24" s="70"/>
      <c r="E24" s="70"/>
      <c r="F24" s="70"/>
      <c r="G24" s="70"/>
      <c r="H24" s="70">
        <f>3*24</f>
        <v>72</v>
      </c>
      <c r="I24" s="70"/>
      <c r="J24" s="71"/>
      <c r="K24" s="72"/>
      <c r="L24" s="55"/>
      <c r="M24" s="73"/>
      <c r="N24" s="74"/>
      <c r="O24" s="70"/>
      <c r="P24" s="71"/>
      <c r="Q24" s="71"/>
      <c r="R24" s="72"/>
      <c r="S24" s="55"/>
      <c r="T24" s="58">
        <f t="shared" si="0"/>
        <v>72</v>
      </c>
      <c r="U24" s="75">
        <f t="shared" si="4"/>
        <v>120</v>
      </c>
      <c r="V24" s="75">
        <f t="shared" si="5"/>
        <v>5</v>
      </c>
      <c r="AF24" s="12"/>
      <c r="AG24" s="12"/>
      <c r="AH24" s="12"/>
      <c r="AI24" s="12"/>
      <c r="AJ24" s="12"/>
      <c r="AK24" s="12"/>
      <c r="AL24" s="12"/>
      <c r="AM24" s="12"/>
      <c r="AN24" s="12"/>
      <c r="AO24" s="12"/>
      <c r="AP24" s="12"/>
      <c r="AQ24" s="12"/>
      <c r="AR24" s="12"/>
      <c r="AS24" s="12"/>
      <c r="AT24" s="12"/>
      <c r="AU24" s="12"/>
      <c r="AV24" s="12"/>
      <c r="AW24" s="12"/>
      <c r="AX24" s="12"/>
      <c r="AY24" s="12"/>
      <c r="AZ24" s="12"/>
      <c r="BA24" s="12"/>
      <c r="BB24" s="12"/>
    </row>
    <row r="25" spans="1:54" x14ac:dyDescent="0.25">
      <c r="A25" s="27">
        <f t="shared" si="1"/>
        <v>22</v>
      </c>
      <c r="B25" s="26" t="s">
        <v>8</v>
      </c>
      <c r="C25" s="70">
        <v>47</v>
      </c>
      <c r="D25" s="70"/>
      <c r="E25" s="70"/>
      <c r="F25" s="70"/>
      <c r="G25" s="70"/>
      <c r="H25" s="70"/>
      <c r="I25" s="70"/>
      <c r="J25" s="71"/>
      <c r="K25" s="72">
        <v>1</v>
      </c>
      <c r="L25" s="55"/>
      <c r="M25" s="73">
        <v>1</v>
      </c>
      <c r="N25" s="74"/>
      <c r="O25" s="70">
        <v>1</v>
      </c>
      <c r="P25" s="71"/>
      <c r="Q25" s="71"/>
      <c r="R25" s="72"/>
      <c r="S25" s="55"/>
      <c r="T25" s="58">
        <f t="shared" si="0"/>
        <v>1</v>
      </c>
      <c r="U25" s="75">
        <f t="shared" si="4"/>
        <v>1177</v>
      </c>
      <c r="V25" s="75">
        <f t="shared" si="5"/>
        <v>49.041666666666664</v>
      </c>
      <c r="AY25" s="14" t="e">
        <f>#REF!-AY24</f>
        <v>#REF!</v>
      </c>
    </row>
    <row r="26" spans="1:54" s="13" customFormat="1" x14ac:dyDescent="0.25">
      <c r="A26" s="27">
        <f t="shared" si="1"/>
        <v>23</v>
      </c>
      <c r="B26" s="26" t="s">
        <v>10</v>
      </c>
      <c r="C26" s="70">
        <v>1</v>
      </c>
      <c r="D26" s="70"/>
      <c r="E26" s="70"/>
      <c r="F26" s="70"/>
      <c r="G26" s="70"/>
      <c r="H26" s="70"/>
      <c r="I26" s="70"/>
      <c r="J26" s="71"/>
      <c r="K26" s="72"/>
      <c r="L26" s="55"/>
      <c r="M26" s="73"/>
      <c r="N26" s="74"/>
      <c r="O26" s="70">
        <v>1</v>
      </c>
      <c r="P26" s="71"/>
      <c r="Q26" s="71">
        <v>3</v>
      </c>
      <c r="R26" s="72"/>
      <c r="S26" s="55"/>
      <c r="T26" s="58">
        <f t="shared" si="0"/>
        <v>0</v>
      </c>
      <c r="U26" s="75">
        <f t="shared" si="4"/>
        <v>120</v>
      </c>
      <c r="V26" s="75">
        <f t="shared" si="5"/>
        <v>5</v>
      </c>
      <c r="W26" s="9"/>
      <c r="X26" s="9"/>
      <c r="Y26" s="9"/>
      <c r="Z26" s="9"/>
      <c r="AA26" s="9"/>
      <c r="AB26" s="9"/>
      <c r="AC26" s="9"/>
      <c r="AD26" s="9"/>
      <c r="AE26" s="9"/>
    </row>
    <row r="27" spans="1:54" s="13" customFormat="1" x14ac:dyDescent="0.25">
      <c r="A27" s="27">
        <f t="shared" si="1"/>
        <v>24</v>
      </c>
      <c r="B27" s="26" t="s">
        <v>69</v>
      </c>
      <c r="C27" s="70">
        <v>3</v>
      </c>
      <c r="D27" s="70"/>
      <c r="E27" s="70"/>
      <c r="F27" s="70"/>
      <c r="G27" s="70"/>
      <c r="H27" s="70"/>
      <c r="I27" s="70"/>
      <c r="J27" s="71"/>
      <c r="K27" s="72"/>
      <c r="L27" s="55"/>
      <c r="M27" s="73"/>
      <c r="N27" s="74"/>
      <c r="O27" s="70"/>
      <c r="P27" s="71"/>
      <c r="Q27" s="71"/>
      <c r="R27" s="72"/>
      <c r="S27" s="55"/>
      <c r="T27" s="58">
        <f t="shared" si="0"/>
        <v>0</v>
      </c>
      <c r="U27" s="75">
        <f t="shared" si="4"/>
        <v>72</v>
      </c>
      <c r="V27" s="75">
        <f t="shared" si="5"/>
        <v>3</v>
      </c>
      <c r="W27" s="9"/>
      <c r="X27" s="9"/>
      <c r="Y27" s="9"/>
      <c r="Z27" s="9"/>
      <c r="AA27" s="9"/>
      <c r="AB27" s="9"/>
      <c r="AC27" s="9"/>
      <c r="AD27" s="9"/>
      <c r="AE27" s="9"/>
    </row>
    <row r="28" spans="1:54" s="13" customFormat="1" x14ac:dyDescent="0.25">
      <c r="A28" s="27">
        <f t="shared" si="1"/>
        <v>25</v>
      </c>
      <c r="B28" s="26" t="s">
        <v>11</v>
      </c>
      <c r="C28" s="70"/>
      <c r="D28" s="70"/>
      <c r="E28" s="70"/>
      <c r="F28" s="70"/>
      <c r="G28" s="70"/>
      <c r="H28" s="70"/>
      <c r="I28" s="70"/>
      <c r="J28" s="71"/>
      <c r="K28" s="72"/>
      <c r="L28" s="55"/>
      <c r="M28" s="73"/>
      <c r="N28" s="74"/>
      <c r="O28" s="70"/>
      <c r="P28" s="71"/>
      <c r="Q28" s="71"/>
      <c r="R28" s="72"/>
      <c r="S28" s="55"/>
      <c r="T28" s="58">
        <f t="shared" si="0"/>
        <v>0</v>
      </c>
      <c r="U28" s="75">
        <f t="shared" si="4"/>
        <v>0</v>
      </c>
      <c r="V28" s="75">
        <f t="shared" si="5"/>
        <v>0</v>
      </c>
      <c r="W28" s="9"/>
      <c r="X28" s="9"/>
      <c r="Y28" s="9"/>
      <c r="Z28" s="9"/>
      <c r="AA28" s="9"/>
      <c r="AB28" s="9"/>
      <c r="AC28" s="9"/>
      <c r="AD28" s="9"/>
      <c r="AE28" s="9"/>
    </row>
    <row r="29" spans="1:54" x14ac:dyDescent="0.25">
      <c r="A29" s="27">
        <f t="shared" si="1"/>
        <v>26</v>
      </c>
      <c r="B29" s="26" t="s">
        <v>13</v>
      </c>
      <c r="C29" s="70">
        <v>25</v>
      </c>
      <c r="D29" s="70"/>
      <c r="E29" s="70"/>
      <c r="F29" s="70"/>
      <c r="G29" s="70"/>
      <c r="H29" s="70"/>
      <c r="I29" s="70">
        <v>5</v>
      </c>
      <c r="J29" s="71"/>
      <c r="K29" s="72"/>
      <c r="L29" s="55"/>
      <c r="M29" s="73"/>
      <c r="N29" s="74"/>
      <c r="O29" s="70">
        <v>1</v>
      </c>
      <c r="P29" s="71"/>
      <c r="Q29" s="71"/>
      <c r="R29" s="72"/>
      <c r="S29" s="55"/>
      <c r="T29" s="58">
        <f t="shared" si="0"/>
        <v>5</v>
      </c>
      <c r="U29" s="75">
        <f t="shared" si="4"/>
        <v>629</v>
      </c>
      <c r="V29" s="75">
        <f t="shared" si="5"/>
        <v>26.208333333333332</v>
      </c>
    </row>
    <row r="30" spans="1:54" x14ac:dyDescent="0.25">
      <c r="A30" s="27">
        <f t="shared" si="1"/>
        <v>27</v>
      </c>
      <c r="B30" s="26" t="s">
        <v>15</v>
      </c>
      <c r="C30" s="70">
        <v>11</v>
      </c>
      <c r="D30" s="70"/>
      <c r="E30" s="70"/>
      <c r="F30" s="70"/>
      <c r="G30" s="70"/>
      <c r="H30" s="70"/>
      <c r="I30" s="70"/>
      <c r="J30" s="71"/>
      <c r="K30" s="72"/>
      <c r="L30" s="55"/>
      <c r="M30" s="73"/>
      <c r="N30" s="74"/>
      <c r="O30" s="70">
        <v>1</v>
      </c>
      <c r="P30" s="71"/>
      <c r="Q30" s="71"/>
      <c r="R30" s="72"/>
      <c r="S30" s="55"/>
      <c r="T30" s="58">
        <f t="shared" si="0"/>
        <v>0</v>
      </c>
      <c r="U30" s="75">
        <f t="shared" si="4"/>
        <v>288</v>
      </c>
      <c r="V30" s="75">
        <f t="shared" si="5"/>
        <v>12</v>
      </c>
    </row>
    <row r="31" spans="1:54" x14ac:dyDescent="0.25">
      <c r="A31" s="27">
        <f t="shared" si="1"/>
        <v>28</v>
      </c>
      <c r="B31" s="26" t="s">
        <v>12</v>
      </c>
      <c r="C31" s="70"/>
      <c r="D31" s="70"/>
      <c r="E31" s="70"/>
      <c r="F31" s="70"/>
      <c r="G31" s="70"/>
      <c r="H31" s="70"/>
      <c r="I31" s="70"/>
      <c r="J31" s="71"/>
      <c r="K31" s="72"/>
      <c r="L31" s="55"/>
      <c r="M31" s="73">
        <v>1</v>
      </c>
      <c r="N31" s="74"/>
      <c r="O31" s="70"/>
      <c r="P31" s="71"/>
      <c r="Q31" s="71"/>
      <c r="R31" s="72"/>
      <c r="S31" s="55"/>
      <c r="T31" s="58">
        <f t="shared" si="0"/>
        <v>0</v>
      </c>
      <c r="U31" s="75">
        <f t="shared" si="4"/>
        <v>24</v>
      </c>
      <c r="V31" s="75">
        <f t="shared" si="5"/>
        <v>1</v>
      </c>
    </row>
    <row r="32" spans="1:54" x14ac:dyDescent="0.25">
      <c r="A32" s="27">
        <f t="shared" si="1"/>
        <v>29</v>
      </c>
      <c r="B32" s="26" t="s">
        <v>14</v>
      </c>
      <c r="C32" s="70"/>
      <c r="D32" s="70"/>
      <c r="E32" s="70"/>
      <c r="F32" s="70"/>
      <c r="G32" s="70"/>
      <c r="H32" s="70"/>
      <c r="I32" s="70"/>
      <c r="J32" s="71"/>
      <c r="K32" s="72"/>
      <c r="L32" s="55"/>
      <c r="M32" s="73"/>
      <c r="N32" s="74"/>
      <c r="O32" s="70"/>
      <c r="P32" s="71"/>
      <c r="Q32" s="71"/>
      <c r="R32" s="72"/>
      <c r="S32" s="55"/>
      <c r="T32" s="58">
        <f t="shared" si="0"/>
        <v>0</v>
      </c>
      <c r="U32" s="75">
        <f t="shared" si="4"/>
        <v>0</v>
      </c>
      <c r="V32" s="75">
        <f t="shared" si="5"/>
        <v>0</v>
      </c>
    </row>
    <row r="33" spans="1:23" x14ac:dyDescent="0.25">
      <c r="A33" s="27">
        <f t="shared" si="1"/>
        <v>30</v>
      </c>
      <c r="B33" s="26" t="s">
        <v>16</v>
      </c>
      <c r="C33" s="70">
        <v>1</v>
      </c>
      <c r="D33" s="70"/>
      <c r="E33" s="70"/>
      <c r="F33" s="70"/>
      <c r="G33" s="70"/>
      <c r="H33" s="70"/>
      <c r="I33" s="70"/>
      <c r="J33" s="71"/>
      <c r="K33" s="72"/>
      <c r="L33" s="55"/>
      <c r="M33" s="73">
        <v>1</v>
      </c>
      <c r="N33" s="74"/>
      <c r="O33" s="70"/>
      <c r="P33" s="71"/>
      <c r="Q33" s="71"/>
      <c r="R33" s="72"/>
      <c r="S33" s="55"/>
      <c r="T33" s="58">
        <f t="shared" si="0"/>
        <v>0</v>
      </c>
      <c r="U33" s="75">
        <f t="shared" si="4"/>
        <v>48</v>
      </c>
      <c r="V33" s="75">
        <f t="shared" si="5"/>
        <v>2</v>
      </c>
    </row>
    <row r="34" spans="1:23" x14ac:dyDescent="0.25">
      <c r="A34" s="27">
        <f t="shared" si="1"/>
        <v>31</v>
      </c>
      <c r="B34" s="26" t="s">
        <v>17</v>
      </c>
      <c r="C34" s="70">
        <f>42+144</f>
        <v>186</v>
      </c>
      <c r="D34" s="70"/>
      <c r="E34" s="70"/>
      <c r="F34" s="70"/>
      <c r="G34" s="70"/>
      <c r="H34" s="70"/>
      <c r="I34" s="70">
        <v>1</v>
      </c>
      <c r="J34" s="71"/>
      <c r="K34" s="72">
        <v>1</v>
      </c>
      <c r="L34" s="55"/>
      <c r="M34" s="73"/>
      <c r="N34" s="74"/>
      <c r="O34" s="70">
        <v>2</v>
      </c>
      <c r="P34" s="71"/>
      <c r="Q34" s="71">
        <v>2</v>
      </c>
      <c r="R34" s="72"/>
      <c r="S34" s="55"/>
      <c r="T34" s="58">
        <f t="shared" si="0"/>
        <v>2</v>
      </c>
      <c r="U34" s="75">
        <f t="shared" si="4"/>
        <v>4562</v>
      </c>
      <c r="V34" s="75">
        <f t="shared" si="5"/>
        <v>190.08333333333334</v>
      </c>
    </row>
    <row r="35" spans="1:23" hidden="1" x14ac:dyDescent="0.25">
      <c r="A35" s="27">
        <f t="shared" si="1"/>
        <v>32</v>
      </c>
      <c r="B35" s="26" t="s">
        <v>25</v>
      </c>
      <c r="C35" s="70"/>
      <c r="D35" s="70"/>
      <c r="E35" s="70"/>
      <c r="F35" s="70"/>
      <c r="G35" s="70"/>
      <c r="H35" s="70"/>
      <c r="I35" s="70"/>
      <c r="J35" s="71"/>
      <c r="K35" s="72"/>
      <c r="L35" s="55"/>
      <c r="M35" s="73"/>
      <c r="N35" s="74"/>
      <c r="O35" s="70"/>
      <c r="P35" s="71"/>
      <c r="Q35" s="71"/>
      <c r="R35" s="72"/>
      <c r="S35" s="55"/>
      <c r="T35" s="58">
        <f t="shared" si="0"/>
        <v>0</v>
      </c>
      <c r="U35" s="75">
        <f t="shared" si="4"/>
        <v>0</v>
      </c>
      <c r="V35" s="75">
        <f t="shared" si="5"/>
        <v>0</v>
      </c>
    </row>
    <row r="36" spans="1:23" x14ac:dyDescent="0.25">
      <c r="A36" s="27">
        <f t="shared" si="1"/>
        <v>33</v>
      </c>
      <c r="B36" s="26" t="s">
        <v>18</v>
      </c>
      <c r="C36" s="70"/>
      <c r="D36" s="70"/>
      <c r="E36" s="70"/>
      <c r="F36" s="70"/>
      <c r="G36" s="70"/>
      <c r="H36" s="70"/>
      <c r="I36" s="70"/>
      <c r="J36" s="71"/>
      <c r="K36" s="72"/>
      <c r="L36" s="55"/>
      <c r="M36" s="73"/>
      <c r="N36" s="74"/>
      <c r="O36" s="70"/>
      <c r="P36" s="71"/>
      <c r="Q36" s="71"/>
      <c r="R36" s="72"/>
      <c r="S36" s="55"/>
      <c r="T36" s="58">
        <f t="shared" si="0"/>
        <v>0</v>
      </c>
      <c r="U36" s="75">
        <f t="shared" si="4"/>
        <v>0</v>
      </c>
      <c r="V36" s="75">
        <f t="shared" si="5"/>
        <v>0</v>
      </c>
    </row>
    <row r="37" spans="1:23" ht="19.5" thickBot="1" x14ac:dyDescent="0.3">
      <c r="A37" s="27">
        <f t="shared" si="1"/>
        <v>34</v>
      </c>
      <c r="B37" s="42" t="s">
        <v>19</v>
      </c>
      <c r="C37" s="59">
        <f>3024+22</f>
        <v>3046</v>
      </c>
      <c r="D37" s="59"/>
      <c r="E37" s="59"/>
      <c r="F37" s="59"/>
      <c r="G37" s="59"/>
      <c r="H37" s="59">
        <v>4</v>
      </c>
      <c r="I37" s="59">
        <v>2</v>
      </c>
      <c r="J37" s="60">
        <v>5</v>
      </c>
      <c r="K37" s="61">
        <f>1*6+2</f>
        <v>8</v>
      </c>
      <c r="L37" s="62"/>
      <c r="M37" s="63">
        <v>20</v>
      </c>
      <c r="N37" s="64"/>
      <c r="O37" s="65">
        <v>20</v>
      </c>
      <c r="P37" s="66"/>
      <c r="Q37" s="66">
        <v>121</v>
      </c>
      <c r="R37" s="67"/>
      <c r="S37" s="62"/>
      <c r="T37" s="77">
        <f t="shared" si="0"/>
        <v>19</v>
      </c>
      <c r="U37" s="77">
        <f>C37*6+M37*6+O37*6+Q37*6+T37</f>
        <v>19261</v>
      </c>
      <c r="V37" s="77">
        <f>U37/6</f>
        <v>3210.1666666666665</v>
      </c>
      <c r="W37" s="50"/>
    </row>
    <row r="38" spans="1:23" x14ac:dyDescent="0.25">
      <c r="A38" s="27">
        <f t="shared" si="1"/>
        <v>35</v>
      </c>
      <c r="B38" s="25" t="s">
        <v>20</v>
      </c>
      <c r="C38" s="70"/>
      <c r="D38" s="70"/>
      <c r="E38" s="70"/>
      <c r="F38" s="70"/>
      <c r="G38" s="70"/>
      <c r="H38" s="70"/>
      <c r="I38" s="70"/>
      <c r="J38" s="71"/>
      <c r="K38" s="72"/>
      <c r="L38" s="55"/>
      <c r="M38" s="73"/>
      <c r="N38" s="74"/>
      <c r="O38" s="70">
        <v>1</v>
      </c>
      <c r="P38" s="71"/>
      <c r="Q38" s="71">
        <v>3</v>
      </c>
      <c r="R38" s="72"/>
      <c r="S38" s="55"/>
      <c r="T38" s="75">
        <f t="shared" si="0"/>
        <v>0</v>
      </c>
      <c r="U38" s="75">
        <f>C38*24+M38*24+O38*24+Q38*24+T38</f>
        <v>96</v>
      </c>
      <c r="V38" s="75">
        <f>U38/24</f>
        <v>4</v>
      </c>
    </row>
    <row r="39" spans="1:23" x14ac:dyDescent="0.25">
      <c r="A39" s="27">
        <f t="shared" si="1"/>
        <v>36</v>
      </c>
      <c r="B39" s="51" t="s">
        <v>62</v>
      </c>
      <c r="C39" s="78"/>
      <c r="D39" s="78"/>
      <c r="E39" s="78"/>
      <c r="F39" s="78"/>
      <c r="G39" s="78"/>
      <c r="H39" s="78"/>
      <c r="I39" s="78"/>
      <c r="J39" s="79"/>
      <c r="K39" s="80"/>
      <c r="L39" s="55"/>
      <c r="M39" s="73"/>
      <c r="N39" s="74"/>
      <c r="O39" s="70"/>
      <c r="P39" s="71"/>
      <c r="Q39" s="71"/>
      <c r="R39" s="72"/>
      <c r="S39" s="95"/>
      <c r="T39" s="75">
        <f t="shared" si="0"/>
        <v>0</v>
      </c>
      <c r="U39" s="75">
        <f>C39*24+M39*24+O39*24+Q39*24+T39</f>
        <v>0</v>
      </c>
      <c r="V39" s="75">
        <f>U39/24</f>
        <v>0</v>
      </c>
    </row>
    <row r="40" spans="1:23" ht="19.5" thickBot="1" x14ac:dyDescent="0.3">
      <c r="A40" s="27">
        <f t="shared" si="1"/>
        <v>37</v>
      </c>
      <c r="B40" s="42" t="s">
        <v>21</v>
      </c>
      <c r="C40" s="59">
        <f>252+58</f>
        <v>310</v>
      </c>
      <c r="D40" s="59"/>
      <c r="E40" s="59"/>
      <c r="F40" s="59"/>
      <c r="G40" s="59"/>
      <c r="H40" s="59"/>
      <c r="I40" s="59"/>
      <c r="J40" s="60"/>
      <c r="K40" s="61">
        <v>20</v>
      </c>
      <c r="L40" s="62"/>
      <c r="M40" s="63"/>
      <c r="N40" s="64"/>
      <c r="O40" s="65">
        <v>2</v>
      </c>
      <c r="P40" s="66"/>
      <c r="Q40" s="66">
        <v>1</v>
      </c>
      <c r="R40" s="67"/>
      <c r="S40" s="62"/>
      <c r="T40" s="77">
        <f t="shared" si="0"/>
        <v>20</v>
      </c>
      <c r="U40" s="77">
        <f>C40*24+M40*24+O40*24+Q40*24+T40</f>
        <v>7532</v>
      </c>
      <c r="V40" s="77">
        <f>U40/24</f>
        <v>313.83333333333331</v>
      </c>
    </row>
    <row r="41" spans="1:23" ht="19.5" thickBot="1" x14ac:dyDescent="0.3">
      <c r="A41" s="27">
        <f t="shared" si="1"/>
        <v>38</v>
      </c>
      <c r="B41" s="43" t="s">
        <v>22</v>
      </c>
      <c r="C41" s="82">
        <f>480+11</f>
        <v>491</v>
      </c>
      <c r="D41" s="82"/>
      <c r="E41" s="82"/>
      <c r="F41" s="82"/>
      <c r="G41" s="82"/>
      <c r="H41" s="82"/>
      <c r="I41" s="82"/>
      <c r="J41" s="83"/>
      <c r="K41" s="84"/>
      <c r="L41" s="85"/>
      <c r="M41" s="86">
        <v>10</v>
      </c>
      <c r="N41" s="87"/>
      <c r="O41" s="82">
        <v>10</v>
      </c>
      <c r="P41" s="83"/>
      <c r="Q41" s="83">
        <v>25</v>
      </c>
      <c r="R41" s="84"/>
      <c r="S41" s="85"/>
      <c r="T41" s="88">
        <f t="shared" si="0"/>
        <v>0</v>
      </c>
      <c r="U41" s="88">
        <f>C41*12+M41*12+O41*12+Q41*12+T41</f>
        <v>6432</v>
      </c>
      <c r="V41" s="88">
        <f>U41/12</f>
        <v>536</v>
      </c>
    </row>
    <row r="42" spans="1:23" hidden="1" x14ac:dyDescent="0.25">
      <c r="A42" s="27">
        <f t="shared" si="1"/>
        <v>39</v>
      </c>
      <c r="B42" s="25" t="s">
        <v>29</v>
      </c>
      <c r="C42" s="70"/>
      <c r="D42" s="70"/>
      <c r="E42" s="70"/>
      <c r="F42" s="70"/>
      <c r="G42" s="70"/>
      <c r="H42" s="70"/>
      <c r="I42" s="70"/>
      <c r="J42" s="71"/>
      <c r="K42" s="72"/>
      <c r="L42" s="55"/>
      <c r="M42" s="73"/>
      <c r="N42" s="74"/>
      <c r="O42" s="70"/>
      <c r="P42" s="71"/>
      <c r="Q42" s="71"/>
      <c r="R42" s="72"/>
      <c r="S42" s="55"/>
      <c r="T42" s="75"/>
      <c r="U42" s="75"/>
      <c r="V42" s="75"/>
    </row>
    <row r="43" spans="1:23" ht="19.5" thickBot="1" x14ac:dyDescent="0.3">
      <c r="A43" s="27">
        <f t="shared" si="1"/>
        <v>40</v>
      </c>
      <c r="B43" s="42" t="s">
        <v>23</v>
      </c>
      <c r="C43" s="65">
        <f>5832+19764+10260+29</f>
        <v>35885</v>
      </c>
      <c r="D43" s="65"/>
      <c r="E43" s="65"/>
      <c r="F43" s="65"/>
      <c r="G43" s="65"/>
      <c r="H43" s="65">
        <v>1</v>
      </c>
      <c r="I43" s="65">
        <v>12</v>
      </c>
      <c r="J43" s="66">
        <f>19*6</f>
        <v>114</v>
      </c>
      <c r="K43" s="67">
        <f>71*6+2</f>
        <v>428</v>
      </c>
      <c r="L43" s="62"/>
      <c r="M43" s="63">
        <v>364</v>
      </c>
      <c r="N43" s="64"/>
      <c r="O43" s="65">
        <v>371</v>
      </c>
      <c r="P43" s="66"/>
      <c r="Q43" s="66">
        <v>508</v>
      </c>
      <c r="R43" s="67"/>
      <c r="S43" s="62"/>
      <c r="T43" s="77">
        <f t="shared" ref="T43" si="6">H43+I43+J43+K43+N43+P43+R43</f>
        <v>555</v>
      </c>
      <c r="U43" s="77">
        <f>C43*6+M43*6+O43*6+Q43*6+T43</f>
        <v>223323</v>
      </c>
      <c r="V43" s="77">
        <f>U43/6</f>
        <v>37220.5</v>
      </c>
    </row>
    <row r="44" spans="1:23" hidden="1" x14ac:dyDescent="0.25">
      <c r="A44" s="27">
        <f t="shared" si="1"/>
        <v>41</v>
      </c>
      <c r="B44" s="25" t="s">
        <v>31</v>
      </c>
      <c r="C44" s="70"/>
      <c r="D44" s="70"/>
      <c r="E44" s="70"/>
      <c r="F44" s="70"/>
      <c r="G44" s="70"/>
      <c r="H44" s="70"/>
      <c r="I44" s="70"/>
      <c r="J44" s="71"/>
      <c r="K44" s="72"/>
      <c r="L44" s="55"/>
      <c r="M44" s="73"/>
      <c r="N44" s="74"/>
      <c r="O44" s="70"/>
      <c r="P44" s="71"/>
      <c r="Q44" s="71"/>
      <c r="R44" s="72"/>
      <c r="S44" s="55"/>
      <c r="T44" s="75"/>
      <c r="U44" s="75"/>
      <c r="V44" s="75"/>
    </row>
    <row r="45" spans="1:23" x14ac:dyDescent="0.25">
      <c r="A45" s="27">
        <f t="shared" si="1"/>
        <v>42</v>
      </c>
      <c r="B45" s="26" t="s">
        <v>24</v>
      </c>
      <c r="C45" s="70"/>
      <c r="D45" s="70"/>
      <c r="E45" s="70"/>
      <c r="F45" s="70"/>
      <c r="G45" s="70"/>
      <c r="H45" s="70"/>
      <c r="I45" s="70"/>
      <c r="J45" s="71"/>
      <c r="K45" s="72"/>
      <c r="L45" s="55"/>
      <c r="M45" s="73">
        <v>1</v>
      </c>
      <c r="N45" s="74"/>
      <c r="O45" s="70">
        <v>1</v>
      </c>
      <c r="P45" s="71"/>
      <c r="Q45" s="71">
        <v>3</v>
      </c>
      <c r="R45" s="72"/>
      <c r="S45" s="55"/>
      <c r="T45" s="75">
        <f t="shared" ref="T45:T54" si="7">H45+I45+J45+K45+N45+P45+R45</f>
        <v>0</v>
      </c>
      <c r="U45" s="75">
        <f>C45*24+M45*24+O45*24+Q45*24+T45</f>
        <v>120</v>
      </c>
      <c r="V45" s="75">
        <f>U45/24</f>
        <v>5</v>
      </c>
    </row>
    <row r="46" spans="1:23" x14ac:dyDescent="0.25">
      <c r="A46" s="27">
        <f t="shared" si="1"/>
        <v>43</v>
      </c>
      <c r="B46" s="26" t="s">
        <v>57</v>
      </c>
      <c r="C46" s="70"/>
      <c r="D46" s="70"/>
      <c r="E46" s="70"/>
      <c r="F46" s="70"/>
      <c r="G46" s="70"/>
      <c r="H46" s="70"/>
      <c r="I46" s="70"/>
      <c r="J46" s="71"/>
      <c r="K46" s="72"/>
      <c r="L46" s="55"/>
      <c r="M46" s="73"/>
      <c r="N46" s="74"/>
      <c r="O46" s="70"/>
      <c r="P46" s="71"/>
      <c r="Q46" s="71"/>
      <c r="R46" s="72"/>
      <c r="S46" s="55"/>
      <c r="T46" s="75">
        <f t="shared" si="7"/>
        <v>0</v>
      </c>
      <c r="U46" s="75">
        <f t="shared" ref="U46:U50" si="8">C46*24+M46*24+O46*24+Q46*24+T46</f>
        <v>0</v>
      </c>
      <c r="V46" s="75">
        <f t="shared" ref="V46:V54" si="9">U46/24</f>
        <v>0</v>
      </c>
    </row>
    <row r="47" spans="1:23" ht="19.5" thickBot="1" x14ac:dyDescent="0.3">
      <c r="A47" s="27">
        <f t="shared" si="1"/>
        <v>44</v>
      </c>
      <c r="B47" s="42" t="s">
        <v>25</v>
      </c>
      <c r="C47" s="65">
        <f>99+648+324+88+540+103+324+432+106</f>
        <v>2664</v>
      </c>
      <c r="D47" s="65"/>
      <c r="E47" s="65"/>
      <c r="F47" s="65"/>
      <c r="G47" s="65"/>
      <c r="H47" s="65">
        <v>1</v>
      </c>
      <c r="I47" s="65"/>
      <c r="J47" s="66"/>
      <c r="K47" s="67">
        <v>5</v>
      </c>
      <c r="L47" s="62"/>
      <c r="M47" s="63">
        <v>5</v>
      </c>
      <c r="N47" s="64"/>
      <c r="O47" s="65">
        <v>16</v>
      </c>
      <c r="P47" s="66"/>
      <c r="Q47" s="66">
        <v>5</v>
      </c>
      <c r="R47" s="67">
        <v>3</v>
      </c>
      <c r="S47" s="62"/>
      <c r="T47" s="77">
        <f t="shared" si="7"/>
        <v>9</v>
      </c>
      <c r="U47" s="77">
        <f>C47*6+M47*6+O47*6+Q47*6+T47</f>
        <v>16149</v>
      </c>
      <c r="V47" s="77">
        <f>U47/6</f>
        <v>2691.5</v>
      </c>
    </row>
    <row r="48" spans="1:23" x14ac:dyDescent="0.25">
      <c r="A48" s="27">
        <f t="shared" si="1"/>
        <v>45</v>
      </c>
      <c r="B48" s="25" t="s">
        <v>58</v>
      </c>
      <c r="C48" s="70"/>
      <c r="D48" s="70"/>
      <c r="E48" s="70"/>
      <c r="F48" s="70"/>
      <c r="G48" s="70"/>
      <c r="H48" s="70">
        <v>24</v>
      </c>
      <c r="I48" s="70"/>
      <c r="J48" s="71"/>
      <c r="K48" s="72"/>
      <c r="L48" s="55"/>
      <c r="M48" s="73"/>
      <c r="N48" s="74"/>
      <c r="O48" s="70"/>
      <c r="P48" s="71"/>
      <c r="Q48" s="71"/>
      <c r="R48" s="72"/>
      <c r="S48" s="55"/>
      <c r="T48" s="75">
        <f t="shared" si="7"/>
        <v>24</v>
      </c>
      <c r="U48" s="75">
        <f t="shared" si="8"/>
        <v>24</v>
      </c>
      <c r="V48" s="75">
        <f t="shared" si="9"/>
        <v>1</v>
      </c>
    </row>
    <row r="49" spans="1:22" x14ac:dyDescent="0.25">
      <c r="A49" s="27">
        <f t="shared" si="1"/>
        <v>46</v>
      </c>
      <c r="B49" s="26" t="s">
        <v>26</v>
      </c>
      <c r="C49" s="70"/>
      <c r="D49" s="70"/>
      <c r="E49" s="70"/>
      <c r="F49" s="70"/>
      <c r="G49" s="70"/>
      <c r="H49" s="70"/>
      <c r="I49" s="70"/>
      <c r="J49" s="71"/>
      <c r="K49" s="72"/>
      <c r="L49" s="55"/>
      <c r="M49" s="73"/>
      <c r="N49" s="74"/>
      <c r="O49" s="70"/>
      <c r="P49" s="71"/>
      <c r="Q49" s="71"/>
      <c r="R49" s="72"/>
      <c r="S49" s="55"/>
      <c r="T49" s="75">
        <f t="shared" si="7"/>
        <v>0</v>
      </c>
      <c r="U49" s="75">
        <f t="shared" si="8"/>
        <v>0</v>
      </c>
      <c r="V49" s="75">
        <f t="shared" si="9"/>
        <v>0</v>
      </c>
    </row>
    <row r="50" spans="1:22" x14ac:dyDescent="0.25">
      <c r="A50" s="27">
        <f t="shared" si="1"/>
        <v>47</v>
      </c>
      <c r="B50" s="26" t="s">
        <v>59</v>
      </c>
      <c r="C50" s="70"/>
      <c r="D50" s="70"/>
      <c r="E50" s="70"/>
      <c r="F50" s="70"/>
      <c r="G50" s="70"/>
      <c r="H50" s="70"/>
      <c r="I50" s="70"/>
      <c r="J50" s="71"/>
      <c r="K50" s="72"/>
      <c r="L50" s="55"/>
      <c r="M50" s="73"/>
      <c r="N50" s="74"/>
      <c r="O50" s="70"/>
      <c r="P50" s="71"/>
      <c r="Q50" s="71"/>
      <c r="R50" s="72"/>
      <c r="S50" s="55"/>
      <c r="T50" s="75">
        <f t="shared" si="7"/>
        <v>0</v>
      </c>
      <c r="U50" s="75">
        <f t="shared" si="8"/>
        <v>0</v>
      </c>
      <c r="V50" s="75">
        <f t="shared" si="9"/>
        <v>0</v>
      </c>
    </row>
    <row r="51" spans="1:22" ht="19.5" thickBot="1" x14ac:dyDescent="0.3">
      <c r="A51" s="27">
        <f t="shared" si="1"/>
        <v>48</v>
      </c>
      <c r="B51" s="42" t="s">
        <v>27</v>
      </c>
      <c r="C51" s="65">
        <v>34</v>
      </c>
      <c r="D51" s="65"/>
      <c r="E51" s="65"/>
      <c r="F51" s="65"/>
      <c r="G51" s="65"/>
      <c r="H51" s="65"/>
      <c r="I51" s="65"/>
      <c r="J51" s="66"/>
      <c r="K51" s="67"/>
      <c r="L51" s="62"/>
      <c r="M51" s="63"/>
      <c r="N51" s="64"/>
      <c r="O51" s="65"/>
      <c r="P51" s="66"/>
      <c r="Q51" s="66"/>
      <c r="R51" s="67"/>
      <c r="S51" s="62"/>
      <c r="T51" s="77">
        <f t="shared" si="7"/>
        <v>0</v>
      </c>
      <c r="U51" s="77">
        <f>C51*6+M51*6+O51*6+Q51*6+T51</f>
        <v>204</v>
      </c>
      <c r="V51" s="77">
        <f>U51/6</f>
        <v>34</v>
      </c>
    </row>
    <row r="52" spans="1:22" x14ac:dyDescent="0.25">
      <c r="A52" s="27">
        <f t="shared" si="1"/>
        <v>49</v>
      </c>
      <c r="B52" s="25" t="s">
        <v>28</v>
      </c>
      <c r="C52" s="70"/>
      <c r="D52" s="70"/>
      <c r="E52" s="70"/>
      <c r="F52" s="70"/>
      <c r="G52" s="70"/>
      <c r="H52" s="70"/>
      <c r="I52" s="70"/>
      <c r="J52" s="71"/>
      <c r="K52" s="72"/>
      <c r="L52" s="55"/>
      <c r="M52" s="73"/>
      <c r="N52" s="74"/>
      <c r="O52" s="70"/>
      <c r="P52" s="71"/>
      <c r="Q52" s="71"/>
      <c r="R52" s="72"/>
      <c r="S52" s="55"/>
      <c r="T52" s="75">
        <f t="shared" si="7"/>
        <v>0</v>
      </c>
      <c r="U52" s="75">
        <f t="shared" ref="U52:U54" si="10">C52*24+M52*24+O52*24+Q52*24+T52</f>
        <v>0</v>
      </c>
      <c r="V52" s="75">
        <f t="shared" si="9"/>
        <v>0</v>
      </c>
    </row>
    <row r="53" spans="1:22" x14ac:dyDescent="0.25">
      <c r="A53" s="27">
        <f t="shared" si="1"/>
        <v>50</v>
      </c>
      <c r="B53" s="26" t="s">
        <v>63</v>
      </c>
      <c r="C53" s="70">
        <v>7</v>
      </c>
      <c r="D53" s="70"/>
      <c r="E53" s="70"/>
      <c r="F53" s="70"/>
      <c r="G53" s="70"/>
      <c r="H53" s="70"/>
      <c r="I53" s="70"/>
      <c r="J53" s="71"/>
      <c r="K53" s="72"/>
      <c r="L53" s="55"/>
      <c r="M53" s="73"/>
      <c r="N53" s="74"/>
      <c r="O53" s="70"/>
      <c r="P53" s="71"/>
      <c r="Q53" s="71"/>
      <c r="R53" s="72"/>
      <c r="S53" s="55"/>
      <c r="T53" s="75">
        <f t="shared" si="7"/>
        <v>0</v>
      </c>
      <c r="U53" s="75">
        <f t="shared" si="10"/>
        <v>168</v>
      </c>
      <c r="V53" s="75">
        <f t="shared" si="9"/>
        <v>7</v>
      </c>
    </row>
    <row r="54" spans="1:22" x14ac:dyDescent="0.25">
      <c r="A54" s="27">
        <f t="shared" si="1"/>
        <v>51</v>
      </c>
      <c r="B54" s="26"/>
      <c r="C54" s="70"/>
      <c r="D54" s="70"/>
      <c r="E54" s="70"/>
      <c r="F54" s="70"/>
      <c r="G54" s="70"/>
      <c r="H54" s="70"/>
      <c r="I54" s="70"/>
      <c r="J54" s="71"/>
      <c r="K54" s="72"/>
      <c r="L54" s="55"/>
      <c r="M54" s="73"/>
      <c r="N54" s="74"/>
      <c r="O54" s="70"/>
      <c r="P54" s="71"/>
      <c r="Q54" s="71"/>
      <c r="R54" s="72"/>
      <c r="S54" s="55"/>
      <c r="T54" s="75">
        <f t="shared" si="7"/>
        <v>0</v>
      </c>
      <c r="U54" s="75">
        <f t="shared" si="10"/>
        <v>0</v>
      </c>
      <c r="V54" s="75">
        <f t="shared" si="9"/>
        <v>0</v>
      </c>
    </row>
    <row r="55" spans="1:22" x14ac:dyDescent="0.25">
      <c r="A55" s="27">
        <f t="shared" si="1"/>
        <v>52</v>
      </c>
      <c r="B55" s="26"/>
      <c r="C55" s="70"/>
      <c r="D55" s="70"/>
      <c r="E55" s="70"/>
      <c r="F55" s="70"/>
      <c r="G55" s="70"/>
      <c r="H55" s="70"/>
      <c r="I55" s="70"/>
      <c r="J55" s="71"/>
      <c r="K55" s="72"/>
      <c r="L55" s="55"/>
      <c r="M55" s="73"/>
      <c r="N55" s="74"/>
      <c r="O55" s="70"/>
      <c r="P55" s="71"/>
      <c r="Q55" s="71"/>
      <c r="R55" s="72"/>
      <c r="S55" s="55"/>
      <c r="T55" s="75"/>
      <c r="U55" s="75"/>
      <c r="V55" s="75"/>
    </row>
    <row r="56" spans="1:22" x14ac:dyDescent="0.25">
      <c r="A56" s="27">
        <f t="shared" si="1"/>
        <v>53</v>
      </c>
      <c r="B56" s="26"/>
      <c r="C56" s="70"/>
      <c r="D56" s="70"/>
      <c r="E56" s="70"/>
      <c r="F56" s="70"/>
      <c r="G56" s="70"/>
      <c r="H56" s="70"/>
      <c r="I56" s="70"/>
      <c r="J56" s="71"/>
      <c r="K56" s="72"/>
      <c r="L56" s="55"/>
      <c r="M56" s="73"/>
      <c r="N56" s="74"/>
      <c r="O56" s="70"/>
      <c r="P56" s="71"/>
      <c r="Q56" s="71"/>
      <c r="R56" s="72"/>
      <c r="S56" s="55"/>
      <c r="T56" s="75"/>
      <c r="U56" s="75"/>
      <c r="V56" s="75"/>
    </row>
    <row r="57" spans="1:22" x14ac:dyDescent="0.25">
      <c r="A57" s="27">
        <f t="shared" si="1"/>
        <v>54</v>
      </c>
      <c r="B57" s="26"/>
      <c r="C57" s="70"/>
      <c r="D57" s="70"/>
      <c r="E57" s="70"/>
      <c r="F57" s="70"/>
      <c r="G57" s="70"/>
      <c r="H57" s="70"/>
      <c r="I57" s="70"/>
      <c r="J57" s="71"/>
      <c r="K57" s="72"/>
      <c r="L57" s="55"/>
      <c r="M57" s="73"/>
      <c r="N57" s="74"/>
      <c r="O57" s="70"/>
      <c r="P57" s="71"/>
      <c r="Q57" s="71"/>
      <c r="R57" s="72"/>
      <c r="S57" s="55"/>
      <c r="T57" s="75"/>
      <c r="U57" s="75"/>
      <c r="V57" s="75"/>
    </row>
    <row r="58" spans="1:22" s="15" customFormat="1" ht="19.5" thickBot="1" x14ac:dyDescent="0.3">
      <c r="B58" s="29" t="s">
        <v>50</v>
      </c>
      <c r="C58" s="2">
        <f>SUM(C7:C57)</f>
        <v>46283</v>
      </c>
      <c r="D58" s="2"/>
      <c r="E58" s="2"/>
      <c r="F58" s="2">
        <f t="shared" ref="F58:K58" si="11">SUM(F7:F57)</f>
        <v>0</v>
      </c>
      <c r="G58" s="2">
        <f t="shared" si="11"/>
        <v>0</v>
      </c>
      <c r="H58" s="2">
        <f t="shared" si="11"/>
        <v>1189</v>
      </c>
      <c r="I58" s="6">
        <f t="shared" si="11"/>
        <v>43</v>
      </c>
      <c r="J58" s="6">
        <f t="shared" si="11"/>
        <v>119</v>
      </c>
      <c r="K58" s="6">
        <f t="shared" si="11"/>
        <v>471</v>
      </c>
      <c r="M58" s="5">
        <f t="shared" ref="M58:R58" si="12">SUM(M7:M57)</f>
        <v>411</v>
      </c>
      <c r="N58" s="5">
        <f t="shared" si="12"/>
        <v>0</v>
      </c>
      <c r="O58" s="5">
        <f t="shared" si="12"/>
        <v>441</v>
      </c>
      <c r="P58" s="5">
        <f t="shared" si="12"/>
        <v>26</v>
      </c>
      <c r="Q58" s="5">
        <f t="shared" si="12"/>
        <v>693</v>
      </c>
      <c r="R58" s="5">
        <f t="shared" si="12"/>
        <v>14</v>
      </c>
      <c r="S58" s="55"/>
      <c r="T58" s="4">
        <f>SUM(T7:T57)</f>
        <v>1862</v>
      </c>
      <c r="U58" s="90">
        <f>SUM(U7:U57)</f>
        <v>368240</v>
      </c>
      <c r="V58" s="4">
        <f>SUM(V7:V57)</f>
        <v>47978.458333333336</v>
      </c>
    </row>
    <row r="59" spans="1:22" ht="7.5" customHeight="1" thickBot="1" x14ac:dyDescent="0.3"/>
    <row r="60" spans="1:22" ht="19.5" thickBot="1" x14ac:dyDescent="0.3">
      <c r="B60" s="30" t="s">
        <v>37</v>
      </c>
      <c r="C60" s="113" t="s">
        <v>41</v>
      </c>
      <c r="D60" s="114"/>
      <c r="E60" s="114"/>
      <c r="F60" s="114"/>
      <c r="G60" s="114"/>
      <c r="H60" s="114"/>
      <c r="I60" s="114"/>
      <c r="J60" s="114"/>
      <c r="K60" s="115"/>
      <c r="U60" s="24" t="s">
        <v>51</v>
      </c>
    </row>
    <row r="61" spans="1:22" x14ac:dyDescent="0.25">
      <c r="B61" s="31" t="s">
        <v>17</v>
      </c>
      <c r="C61" s="19"/>
      <c r="D61" s="19"/>
      <c r="E61" s="19"/>
      <c r="F61" s="19"/>
      <c r="G61" s="19"/>
      <c r="H61" s="19"/>
      <c r="I61" s="19"/>
      <c r="J61" s="45"/>
      <c r="K61" s="20"/>
      <c r="U61" s="7"/>
    </row>
    <row r="62" spans="1:22" x14ac:dyDescent="0.25">
      <c r="B62" s="32" t="s">
        <v>45</v>
      </c>
      <c r="C62" s="1"/>
      <c r="D62" s="1"/>
      <c r="E62" s="1"/>
      <c r="F62" s="1"/>
      <c r="G62" s="1"/>
      <c r="H62" s="1"/>
      <c r="I62" s="1"/>
      <c r="J62" s="44"/>
      <c r="K62" s="21"/>
      <c r="U62" s="3"/>
    </row>
    <row r="63" spans="1:22" ht="19.5" thickBot="1" x14ac:dyDescent="0.3">
      <c r="B63" s="33" t="s">
        <v>44</v>
      </c>
      <c r="C63" s="22"/>
      <c r="D63" s="22"/>
      <c r="E63" s="22"/>
      <c r="F63" s="22"/>
      <c r="G63" s="22"/>
      <c r="H63" s="22"/>
      <c r="I63" s="22"/>
      <c r="J63" s="46"/>
      <c r="K63" s="23"/>
      <c r="U63" s="8"/>
    </row>
    <row r="64" spans="1:22" ht="7.5" customHeight="1" thickBot="1" x14ac:dyDescent="0.3"/>
    <row r="65" spans="2:21" x14ac:dyDescent="0.25">
      <c r="B65" s="31" t="s">
        <v>46</v>
      </c>
      <c r="C65" s="19"/>
      <c r="D65" s="19"/>
      <c r="E65" s="19"/>
      <c r="F65" s="19"/>
      <c r="G65" s="19"/>
      <c r="H65" s="19"/>
      <c r="I65" s="19"/>
      <c r="J65" s="45"/>
      <c r="K65" s="20"/>
      <c r="U65" s="7"/>
    </row>
    <row r="66" spans="2:21" x14ac:dyDescent="0.25">
      <c r="B66" s="32" t="s">
        <v>45</v>
      </c>
      <c r="C66" s="1"/>
      <c r="D66" s="1"/>
      <c r="E66" s="1"/>
      <c r="F66" s="1"/>
      <c r="G66" s="1"/>
      <c r="H66" s="1"/>
      <c r="I66" s="1"/>
      <c r="J66" s="44"/>
      <c r="K66" s="21"/>
      <c r="U66" s="3"/>
    </row>
    <row r="67" spans="2:21" ht="19.5" thickBot="1" x14ac:dyDescent="0.3">
      <c r="B67" s="33" t="s">
        <v>44</v>
      </c>
      <c r="C67" s="22"/>
      <c r="D67" s="22"/>
      <c r="E67" s="22"/>
      <c r="F67" s="22"/>
      <c r="G67" s="22"/>
      <c r="H67" s="22"/>
      <c r="I67" s="22"/>
      <c r="J67" s="46"/>
      <c r="K67" s="23"/>
      <c r="U67" s="8"/>
    </row>
    <row r="68" spans="2:21" ht="7.5" customHeight="1" thickBot="1" x14ac:dyDescent="0.3"/>
    <row r="69" spans="2:21" x14ac:dyDescent="0.25">
      <c r="B69" s="31" t="s">
        <v>38</v>
      </c>
      <c r="C69" s="19"/>
      <c r="D69" s="19"/>
      <c r="E69" s="19"/>
      <c r="F69" s="19"/>
      <c r="G69" s="19"/>
      <c r="H69" s="19"/>
      <c r="I69" s="19"/>
      <c r="J69" s="45"/>
      <c r="K69" s="20"/>
      <c r="U69" s="7"/>
    </row>
    <row r="70" spans="2:21" x14ac:dyDescent="0.25">
      <c r="B70" s="32" t="s">
        <v>45</v>
      </c>
      <c r="C70" s="1"/>
      <c r="D70" s="1"/>
      <c r="E70" s="1"/>
      <c r="F70" s="1"/>
      <c r="G70" s="1"/>
      <c r="H70" s="1"/>
      <c r="I70" s="1"/>
      <c r="J70" s="44"/>
      <c r="K70" s="21"/>
      <c r="U70" s="3"/>
    </row>
    <row r="71" spans="2:21" ht="19.5" thickBot="1" x14ac:dyDescent="0.3">
      <c r="B71" s="33" t="s">
        <v>44</v>
      </c>
      <c r="C71" s="22"/>
      <c r="D71" s="22"/>
      <c r="E71" s="22"/>
      <c r="F71" s="22"/>
      <c r="G71" s="22"/>
      <c r="H71" s="22"/>
      <c r="I71" s="22"/>
      <c r="J71" s="46"/>
      <c r="K71" s="23"/>
      <c r="U71" s="8"/>
    </row>
    <row r="72" spans="2:21" ht="7.5" customHeight="1" thickBot="1" x14ac:dyDescent="0.3"/>
    <row r="73" spans="2:21" x14ac:dyDescent="0.25">
      <c r="B73" s="31" t="s">
        <v>47</v>
      </c>
      <c r="C73" s="19"/>
      <c r="D73" s="19"/>
      <c r="E73" s="19"/>
      <c r="F73" s="19"/>
      <c r="G73" s="19"/>
      <c r="H73" s="19"/>
      <c r="I73" s="19"/>
      <c r="J73" s="45"/>
      <c r="K73" s="20"/>
      <c r="U73" s="7"/>
    </row>
    <row r="74" spans="2:21" x14ac:dyDescent="0.25">
      <c r="B74" s="32" t="s">
        <v>45</v>
      </c>
      <c r="C74" s="1"/>
      <c r="D74" s="1"/>
      <c r="E74" s="1"/>
      <c r="F74" s="1"/>
      <c r="G74" s="1"/>
      <c r="H74" s="1"/>
      <c r="I74" s="1"/>
      <c r="J74" s="44"/>
      <c r="K74" s="21"/>
      <c r="U74" s="3"/>
    </row>
    <row r="75" spans="2:21" ht="19.5" thickBot="1" x14ac:dyDescent="0.3">
      <c r="B75" s="33" t="s">
        <v>44</v>
      </c>
      <c r="C75" s="22"/>
      <c r="D75" s="22"/>
      <c r="E75" s="22"/>
      <c r="F75" s="22"/>
      <c r="G75" s="22"/>
      <c r="H75" s="22"/>
      <c r="I75" s="22"/>
      <c r="J75" s="46"/>
      <c r="K75" s="23"/>
      <c r="U75" s="8"/>
    </row>
    <row r="76" spans="2:21" ht="7.5" customHeight="1" thickBot="1" x14ac:dyDescent="0.3"/>
    <row r="77" spans="2:21" x14ac:dyDescent="0.25">
      <c r="B77" s="31" t="s">
        <v>48</v>
      </c>
      <c r="C77" s="19"/>
      <c r="D77" s="19"/>
      <c r="E77" s="19"/>
      <c r="F77" s="19"/>
      <c r="G77" s="19"/>
      <c r="H77" s="19"/>
      <c r="I77" s="19"/>
      <c r="J77" s="45"/>
      <c r="K77" s="20"/>
      <c r="U77" s="7"/>
    </row>
    <row r="78" spans="2:21" x14ac:dyDescent="0.25">
      <c r="B78" s="32" t="s">
        <v>45</v>
      </c>
      <c r="C78" s="1"/>
      <c r="D78" s="1"/>
      <c r="E78" s="1"/>
      <c r="F78" s="1"/>
      <c r="G78" s="1"/>
      <c r="H78" s="1"/>
      <c r="I78" s="1"/>
      <c r="J78" s="44"/>
      <c r="K78" s="21"/>
      <c r="U78" s="3"/>
    </row>
    <row r="79" spans="2:21" ht="19.5" thickBot="1" x14ac:dyDescent="0.3">
      <c r="B79" s="33" t="s">
        <v>44</v>
      </c>
      <c r="C79" s="22"/>
      <c r="D79" s="22"/>
      <c r="E79" s="22"/>
      <c r="F79" s="22"/>
      <c r="G79" s="22"/>
      <c r="H79" s="22"/>
      <c r="I79" s="22"/>
      <c r="J79" s="46"/>
      <c r="K79" s="23"/>
      <c r="U79" s="8"/>
    </row>
    <row r="80" spans="2:21" ht="7.5" customHeight="1" thickBot="1" x14ac:dyDescent="0.3"/>
    <row r="81" spans="2:21" ht="19.5" thickBot="1" x14ac:dyDescent="0.3">
      <c r="B81" s="30" t="s">
        <v>49</v>
      </c>
      <c r="C81" s="17"/>
      <c r="D81" s="17"/>
      <c r="E81" s="17"/>
      <c r="F81" s="17"/>
      <c r="G81" s="17"/>
      <c r="H81" s="17"/>
      <c r="I81" s="17"/>
      <c r="J81" s="47"/>
      <c r="K81" s="18"/>
      <c r="U81" s="16"/>
    </row>
  </sheetData>
  <mergeCells count="7">
    <mergeCell ref="V4:V5"/>
    <mergeCell ref="J5:K5"/>
    <mergeCell ref="C60:K60"/>
    <mergeCell ref="I1:U1"/>
    <mergeCell ref="C4:K4"/>
    <mergeCell ref="T4:T5"/>
    <mergeCell ref="U4:U5"/>
  </mergeCells>
  <printOptions horizontalCentered="1" verticalCentered="1"/>
  <pageMargins left="0.19685039370078741" right="0.19685039370078741" top="0.19685039370078741" bottom="0.19685039370078741" header="0.19685039370078741" footer="0.19685039370078741"/>
  <pageSetup paperSize="14" scale="70" orientation="portrait" horizontalDpi="360" verticalDpi="360" r:id="rId1"/>
  <colBreaks count="1" manualBreakCount="1">
    <brk id="24" max="80" man="1"/>
  </colBreaks>
</worksheet>
</file>

<file path=xl/worksheets/sheet1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E8E246DA-E4EC-459B-9B45-F48443AEA5FB}">
  <sheetPr>
    <pageSetUpPr fitToPage="1"/>
  </sheetPr>
  <dimension ref="A1:BB81"/>
  <sheetViews>
    <sheetView zoomScale="98" zoomScaleNormal="98" zoomScaleSheetLayoutView="115" workbookViewId="0">
      <selection activeCell="Y41" sqref="Y41"/>
    </sheetView>
  </sheetViews>
  <sheetFormatPr defaultColWidth="9.140625" defaultRowHeight="18.75" x14ac:dyDescent="0.25"/>
  <cols>
    <col min="1" max="1" width="4.140625" style="9" bestFit="1" customWidth="1"/>
    <col min="2" max="2" width="12.28515625" style="28" customWidth="1"/>
    <col min="3" max="6" width="10" style="9" customWidth="1"/>
    <col min="7" max="7" width="6.85546875" style="9" customWidth="1"/>
    <col min="8" max="8" width="7.5703125" style="9" bestFit="1" customWidth="1"/>
    <col min="9" max="9" width="6.7109375" style="9" bestFit="1" customWidth="1"/>
    <col min="10" max="10" width="6.85546875" style="9" customWidth="1"/>
    <col min="11" max="11" width="7.5703125" style="9" bestFit="1" customWidth="1"/>
    <col min="12" max="12" width="1.42578125" style="9" customWidth="1"/>
    <col min="13" max="13" width="10" style="9" customWidth="1"/>
    <col min="14" max="14" width="6.7109375" style="9" bestFit="1" customWidth="1"/>
    <col min="15" max="15" width="10" style="9" customWidth="1"/>
    <col min="16" max="16" width="5.5703125" style="9" customWidth="1"/>
    <col min="17" max="17" width="10" style="9" customWidth="1"/>
    <col min="18" max="18" width="6.7109375" style="9" bestFit="1" customWidth="1"/>
    <col min="19" max="19" width="1.42578125" style="9" customWidth="1"/>
    <col min="20" max="20" width="12.7109375" style="9" bestFit="1" customWidth="1"/>
    <col min="21" max="21" width="14.28515625" style="9" customWidth="1"/>
    <col min="22" max="22" width="19.5703125" style="9" bestFit="1" customWidth="1"/>
    <col min="23" max="49" width="7.28515625" style="9" customWidth="1"/>
    <col min="50" max="50" width="1.5703125" style="9" customWidth="1"/>
    <col min="51" max="51" width="9.42578125" style="9" customWidth="1"/>
    <col min="52" max="52" width="1.28515625" style="9" customWidth="1"/>
    <col min="53" max="53" width="12.7109375" style="9" bestFit="1" customWidth="1"/>
    <col min="54" max="54" width="10.28515625" style="9" bestFit="1" customWidth="1"/>
    <col min="55" max="16384" width="9.140625" style="9"/>
  </cols>
  <sheetData>
    <row r="1" spans="1:54" ht="15" customHeight="1" x14ac:dyDescent="0.25">
      <c r="B1" s="27" t="s">
        <v>42</v>
      </c>
      <c r="I1" s="116" t="s">
        <v>43</v>
      </c>
      <c r="J1" s="116"/>
      <c r="K1" s="116"/>
      <c r="L1" s="116"/>
      <c r="M1" s="116"/>
      <c r="N1" s="116"/>
      <c r="O1" s="116"/>
      <c r="P1" s="116"/>
      <c r="Q1" s="116"/>
      <c r="R1" s="116"/>
      <c r="S1" s="116"/>
      <c r="T1" s="116"/>
      <c r="U1" s="116"/>
    </row>
    <row r="2" spans="1:54" x14ac:dyDescent="0.25">
      <c r="B2" s="28" t="s">
        <v>81</v>
      </c>
    </row>
    <row r="3" spans="1:54" ht="19.5" thickBot="1" x14ac:dyDescent="0.3"/>
    <row r="4" spans="1:54" s="10" customFormat="1" ht="15.75" x14ac:dyDescent="0.25">
      <c r="B4" s="41" t="s">
        <v>52</v>
      </c>
      <c r="C4" s="117" t="s">
        <v>41</v>
      </c>
      <c r="D4" s="117"/>
      <c r="E4" s="117"/>
      <c r="F4" s="117"/>
      <c r="G4" s="117"/>
      <c r="H4" s="117"/>
      <c r="I4" s="117"/>
      <c r="J4" s="118"/>
      <c r="K4" s="119"/>
      <c r="M4" s="34" t="s">
        <v>0</v>
      </c>
      <c r="N4" s="48" t="s">
        <v>61</v>
      </c>
      <c r="O4" s="35" t="s">
        <v>39</v>
      </c>
      <c r="P4" s="48" t="s">
        <v>61</v>
      </c>
      <c r="Q4" s="36" t="s">
        <v>40</v>
      </c>
      <c r="R4" s="48" t="s">
        <v>61</v>
      </c>
      <c r="S4" s="9"/>
      <c r="T4" s="120" t="s">
        <v>68</v>
      </c>
      <c r="U4" s="126" t="s">
        <v>67</v>
      </c>
      <c r="V4" s="109" t="s">
        <v>66</v>
      </c>
      <c r="AF4" s="11"/>
      <c r="AG4" s="11"/>
      <c r="AH4" s="11"/>
      <c r="AI4" s="11"/>
      <c r="AJ4" s="11"/>
      <c r="AK4" s="11"/>
      <c r="AL4" s="11"/>
      <c r="AM4" s="11"/>
      <c r="AN4" s="11"/>
      <c r="AO4" s="11"/>
      <c r="AP4" s="11"/>
      <c r="AQ4" s="11"/>
      <c r="AR4" s="11"/>
      <c r="AS4" s="11"/>
      <c r="AT4" s="11"/>
      <c r="AU4" s="11"/>
      <c r="AV4" s="11"/>
      <c r="AW4" s="11"/>
      <c r="AX4" s="11"/>
      <c r="AY4" s="11"/>
      <c r="AZ4" s="11"/>
      <c r="BA4" s="11"/>
      <c r="BB4" s="11"/>
    </row>
    <row r="5" spans="1:54" s="10" customFormat="1" ht="15.75" x14ac:dyDescent="0.25">
      <c r="B5" s="37"/>
      <c r="C5" s="40"/>
      <c r="D5" s="40"/>
      <c r="E5" s="40"/>
      <c r="F5" s="40"/>
      <c r="G5" s="40"/>
      <c r="H5" s="40" t="s">
        <v>64</v>
      </c>
      <c r="I5" s="40" t="s">
        <v>60</v>
      </c>
      <c r="J5" s="124" t="s">
        <v>65</v>
      </c>
      <c r="K5" s="125"/>
      <c r="M5" s="37"/>
      <c r="N5" s="49"/>
      <c r="O5" s="40"/>
      <c r="P5" s="99"/>
      <c r="Q5" s="99"/>
      <c r="R5" s="38"/>
      <c r="S5" s="9"/>
      <c r="T5" s="121"/>
      <c r="U5" s="127"/>
      <c r="V5" s="110"/>
      <c r="AF5" s="11"/>
      <c r="AG5" s="11"/>
      <c r="AH5" s="11"/>
      <c r="AI5" s="11"/>
      <c r="AJ5" s="11"/>
      <c r="AK5" s="11"/>
      <c r="AL5" s="11"/>
      <c r="AM5" s="11"/>
      <c r="AN5" s="11"/>
      <c r="AO5" s="11"/>
      <c r="AP5" s="11"/>
      <c r="AQ5" s="11"/>
      <c r="AR5" s="11"/>
      <c r="AS5" s="11"/>
      <c r="AT5" s="11"/>
      <c r="AU5" s="11"/>
      <c r="AV5" s="11"/>
      <c r="AW5" s="11"/>
      <c r="AX5" s="11"/>
      <c r="AY5" s="11"/>
      <c r="AZ5" s="11"/>
      <c r="BA5" s="11"/>
      <c r="BB5" s="11"/>
    </row>
    <row r="6" spans="1:54" s="10" customFormat="1" ht="15.75" x14ac:dyDescent="0.25">
      <c r="B6" s="37"/>
      <c r="C6" s="40"/>
      <c r="D6" s="40"/>
      <c r="E6" s="40"/>
      <c r="F6" s="40"/>
      <c r="G6" s="40"/>
      <c r="H6" s="40"/>
      <c r="I6" s="40"/>
      <c r="J6" s="99"/>
      <c r="K6" s="38"/>
      <c r="M6" s="37"/>
      <c r="N6" s="49"/>
      <c r="O6" s="40"/>
      <c r="P6" s="99"/>
      <c r="Q6" s="99"/>
      <c r="R6" s="38"/>
      <c r="S6" s="9"/>
      <c r="T6" s="39"/>
      <c r="U6" s="39"/>
      <c r="V6" s="39"/>
      <c r="AF6" s="11"/>
      <c r="AG6" s="11"/>
      <c r="AH6" s="11"/>
      <c r="AI6" s="11"/>
      <c r="AJ6" s="11"/>
      <c r="AK6" s="11"/>
      <c r="AL6" s="11"/>
      <c r="AM6" s="11"/>
      <c r="AN6" s="11"/>
      <c r="AO6" s="11"/>
      <c r="AP6" s="11"/>
      <c r="AQ6" s="11"/>
      <c r="AR6" s="11"/>
      <c r="AS6" s="11"/>
      <c r="AT6" s="11"/>
      <c r="AU6" s="11"/>
      <c r="AV6" s="11"/>
      <c r="AW6" s="11"/>
      <c r="AX6" s="11"/>
      <c r="AY6" s="11"/>
      <c r="AZ6" s="11"/>
      <c r="BA6" s="11"/>
      <c r="BB6" s="11"/>
    </row>
    <row r="7" spans="1:54" x14ac:dyDescent="0.25">
      <c r="A7" s="27">
        <v>1</v>
      </c>
      <c r="B7" s="26" t="s">
        <v>32</v>
      </c>
      <c r="C7" s="52">
        <v>32</v>
      </c>
      <c r="D7" s="52"/>
      <c r="E7" s="52"/>
      <c r="F7" s="52"/>
      <c r="G7" s="52"/>
      <c r="H7" s="52"/>
      <c r="I7" s="52">
        <v>3</v>
      </c>
      <c r="J7" s="53"/>
      <c r="K7" s="54">
        <v>6</v>
      </c>
      <c r="L7" s="55"/>
      <c r="M7" s="56"/>
      <c r="N7" s="57"/>
      <c r="O7" s="52">
        <v>1</v>
      </c>
      <c r="P7" s="53"/>
      <c r="Q7" s="53"/>
      <c r="R7" s="54"/>
      <c r="S7" s="55"/>
      <c r="T7" s="58">
        <f>H7+I7+J7+K7+N7+P7+R7</f>
        <v>9</v>
      </c>
      <c r="U7" s="58">
        <f>C7*24+M7*24+O7*24+Q7*24+T7</f>
        <v>801</v>
      </c>
      <c r="V7" s="58">
        <f>U7/24</f>
        <v>33.375</v>
      </c>
      <c r="W7" s="50"/>
      <c r="AF7" s="12"/>
      <c r="AG7" s="12"/>
      <c r="AH7" s="12"/>
      <c r="AI7" s="12"/>
      <c r="AJ7" s="12"/>
      <c r="AK7" s="12"/>
      <c r="AL7" s="12"/>
      <c r="AM7" s="12"/>
      <c r="AN7" s="12"/>
      <c r="AO7" s="12"/>
      <c r="AP7" s="12"/>
      <c r="AQ7" s="12"/>
      <c r="AR7" s="12"/>
      <c r="AS7" s="12"/>
      <c r="AT7" s="12"/>
      <c r="AU7" s="12"/>
      <c r="AV7" s="12"/>
      <c r="AW7" s="12"/>
      <c r="AX7" s="12"/>
      <c r="AY7" s="12"/>
      <c r="AZ7" s="12"/>
      <c r="BA7" s="12"/>
      <c r="BB7" s="12"/>
    </row>
    <row r="8" spans="1:54" ht="19.5" thickBot="1" x14ac:dyDescent="0.3">
      <c r="A8" s="27">
        <f>A7+1</f>
        <v>2</v>
      </c>
      <c r="B8" s="42" t="s">
        <v>35</v>
      </c>
      <c r="C8" s="59">
        <f>41+43</f>
        <v>84</v>
      </c>
      <c r="D8" s="59"/>
      <c r="E8" s="59"/>
      <c r="F8" s="59"/>
      <c r="G8" s="59"/>
      <c r="H8" s="59"/>
      <c r="I8" s="59"/>
      <c r="J8" s="60"/>
      <c r="K8" s="61"/>
      <c r="L8" s="62"/>
      <c r="M8" s="63"/>
      <c r="N8" s="64"/>
      <c r="O8" s="65">
        <v>1</v>
      </c>
      <c r="P8" s="66">
        <v>12</v>
      </c>
      <c r="Q8" s="66">
        <v>1</v>
      </c>
      <c r="R8" s="67"/>
      <c r="S8" s="62"/>
      <c r="T8" s="68">
        <f t="shared" ref="T8:T41" si="0">H8+I8+J8+K8+N8+P8+R8</f>
        <v>12</v>
      </c>
      <c r="U8" s="69">
        <f>C8*24+M8*24+O8*24+Q8*24+T8</f>
        <v>2076</v>
      </c>
      <c r="V8" s="69">
        <f>U8/24</f>
        <v>86.5</v>
      </c>
      <c r="W8" s="50"/>
      <c r="AF8" s="12"/>
      <c r="AG8" s="12"/>
      <c r="AH8" s="12"/>
      <c r="AI8" s="12"/>
      <c r="AJ8" s="12"/>
      <c r="AK8" s="12"/>
      <c r="AL8" s="12"/>
      <c r="AM8" s="12"/>
      <c r="AN8" s="12"/>
      <c r="AO8" s="12"/>
      <c r="AP8" s="12"/>
      <c r="AQ8" s="12"/>
      <c r="AR8" s="12"/>
      <c r="AS8" s="12"/>
      <c r="AT8" s="12"/>
      <c r="AU8" s="12"/>
      <c r="AV8" s="12"/>
      <c r="AW8" s="12"/>
      <c r="AX8" s="12"/>
      <c r="AY8" s="12"/>
      <c r="AZ8" s="12"/>
      <c r="BA8" s="12"/>
      <c r="BB8" s="12"/>
    </row>
    <row r="9" spans="1:54" x14ac:dyDescent="0.25">
      <c r="A9" s="27">
        <f t="shared" ref="A9:A57" si="1">A8+1</f>
        <v>3</v>
      </c>
      <c r="B9" s="25" t="s">
        <v>33</v>
      </c>
      <c r="C9" s="70">
        <f>59+30</f>
        <v>89</v>
      </c>
      <c r="D9" s="70"/>
      <c r="E9" s="70"/>
      <c r="F9" s="70"/>
      <c r="G9" s="70"/>
      <c r="H9" s="70"/>
      <c r="I9" s="70"/>
      <c r="J9" s="71"/>
      <c r="K9" s="72"/>
      <c r="L9" s="55"/>
      <c r="M9" s="73"/>
      <c r="N9" s="74"/>
      <c r="O9" s="70">
        <v>1</v>
      </c>
      <c r="P9" s="71"/>
      <c r="Q9" s="71">
        <v>1</v>
      </c>
      <c r="R9" s="72"/>
      <c r="S9" s="55"/>
      <c r="T9" s="75">
        <f t="shared" si="0"/>
        <v>0</v>
      </c>
      <c r="U9" s="76">
        <f t="shared" ref="U9:U11" si="2">C9*24+M9*24+O9*24+Q9*24+T9</f>
        <v>2184</v>
      </c>
      <c r="V9" s="76">
        <f t="shared" ref="V9:V11" si="3">U9/24</f>
        <v>91</v>
      </c>
      <c r="W9" s="50"/>
      <c r="AF9" s="12"/>
      <c r="AG9" s="12"/>
      <c r="AH9" s="12"/>
      <c r="AI9" s="12"/>
      <c r="AJ9" s="12"/>
      <c r="AK9" s="12"/>
      <c r="AL9" s="12"/>
      <c r="AM9" s="12"/>
      <c r="AN9" s="12"/>
      <c r="AO9" s="12"/>
      <c r="AP9" s="12"/>
      <c r="AQ9" s="12"/>
      <c r="AR9" s="12"/>
      <c r="AS9" s="12"/>
      <c r="AT9" s="12"/>
      <c r="AU9" s="12"/>
      <c r="AV9" s="12"/>
      <c r="AW9" s="12"/>
      <c r="AX9" s="12"/>
      <c r="AY9" s="12"/>
      <c r="AZ9" s="12"/>
      <c r="BA9" s="12"/>
      <c r="BB9" s="12"/>
    </row>
    <row r="10" spans="1:54" x14ac:dyDescent="0.25">
      <c r="A10" s="27">
        <f t="shared" si="1"/>
        <v>4</v>
      </c>
      <c r="B10" s="26" t="s">
        <v>36</v>
      </c>
      <c r="C10" s="70">
        <f>31+10</f>
        <v>41</v>
      </c>
      <c r="D10" s="70"/>
      <c r="E10" s="70"/>
      <c r="F10" s="70"/>
      <c r="G10" s="70"/>
      <c r="H10" s="70"/>
      <c r="I10" s="70"/>
      <c r="J10" s="71"/>
      <c r="K10" s="72"/>
      <c r="L10" s="55"/>
      <c r="M10" s="73"/>
      <c r="N10" s="74"/>
      <c r="O10" s="70"/>
      <c r="P10" s="71"/>
      <c r="Q10" s="71"/>
      <c r="R10" s="72"/>
      <c r="S10" s="55"/>
      <c r="T10" s="58">
        <f t="shared" si="0"/>
        <v>0</v>
      </c>
      <c r="U10" s="58">
        <f t="shared" si="2"/>
        <v>984</v>
      </c>
      <c r="V10" s="58">
        <f t="shared" si="3"/>
        <v>41</v>
      </c>
      <c r="W10" s="50"/>
      <c r="AF10" s="12"/>
      <c r="AG10" s="12"/>
      <c r="AH10" s="12"/>
      <c r="AI10" s="12"/>
      <c r="AJ10" s="12"/>
      <c r="AK10" s="12"/>
      <c r="AL10" s="12"/>
      <c r="AM10" s="12"/>
      <c r="AN10" s="12"/>
      <c r="AO10" s="12"/>
      <c r="AP10" s="12"/>
      <c r="AQ10" s="12"/>
      <c r="AR10" s="12"/>
      <c r="AS10" s="12"/>
      <c r="AT10" s="12"/>
      <c r="AU10" s="12"/>
      <c r="AV10" s="12"/>
      <c r="AW10" s="12"/>
      <c r="AX10" s="12"/>
      <c r="AY10" s="12"/>
      <c r="AZ10" s="12"/>
      <c r="BA10" s="12"/>
      <c r="BB10" s="12"/>
    </row>
    <row r="11" spans="1:54" x14ac:dyDescent="0.25">
      <c r="A11" s="27">
        <f t="shared" si="1"/>
        <v>5</v>
      </c>
      <c r="B11" s="26" t="s">
        <v>34</v>
      </c>
      <c r="C11" s="70">
        <v>9</v>
      </c>
      <c r="D11" s="70"/>
      <c r="E11" s="70"/>
      <c r="F11" s="70"/>
      <c r="G11" s="70"/>
      <c r="H11" s="70"/>
      <c r="I11" s="70"/>
      <c r="J11" s="71"/>
      <c r="K11" s="72">
        <v>2</v>
      </c>
      <c r="L11" s="55"/>
      <c r="M11" s="73"/>
      <c r="N11" s="74"/>
      <c r="O11" s="70"/>
      <c r="P11" s="71"/>
      <c r="Q11" s="71"/>
      <c r="R11" s="72"/>
      <c r="S11" s="55"/>
      <c r="T11" s="58">
        <f t="shared" si="0"/>
        <v>2</v>
      </c>
      <c r="U11" s="58">
        <f t="shared" si="2"/>
        <v>218</v>
      </c>
      <c r="V11" s="58">
        <f t="shared" si="3"/>
        <v>9.0833333333333339</v>
      </c>
      <c r="AF11" s="12"/>
      <c r="AG11" s="12"/>
      <c r="AH11" s="12"/>
      <c r="AI11" s="12"/>
      <c r="AJ11" s="12"/>
      <c r="AK11" s="12"/>
      <c r="AL11" s="12"/>
      <c r="AM11" s="12"/>
      <c r="AN11" s="12"/>
      <c r="AO11" s="12"/>
      <c r="AP11" s="12"/>
      <c r="AQ11" s="12"/>
      <c r="AR11" s="12"/>
      <c r="AS11" s="12"/>
      <c r="AT11" s="12"/>
      <c r="AU11" s="12"/>
      <c r="AV11" s="12"/>
      <c r="AW11" s="12"/>
      <c r="AX11" s="12"/>
      <c r="AY11" s="12"/>
      <c r="AZ11" s="12"/>
      <c r="BA11" s="12"/>
      <c r="BB11" s="12"/>
    </row>
    <row r="12" spans="1:54" s="13" customFormat="1" ht="19.5" thickBot="1" x14ac:dyDescent="0.3">
      <c r="A12" s="27">
        <v>7</v>
      </c>
      <c r="B12" s="42" t="s">
        <v>30</v>
      </c>
      <c r="C12" s="59">
        <f>1224+53+1080+29+864+26</f>
        <v>3276</v>
      </c>
      <c r="D12" s="59"/>
      <c r="E12" s="59"/>
      <c r="F12" s="59"/>
      <c r="G12" s="59"/>
      <c r="H12" s="59"/>
      <c r="I12" s="59"/>
      <c r="J12" s="60"/>
      <c r="K12" s="61"/>
      <c r="L12" s="62"/>
      <c r="M12" s="63">
        <v>4</v>
      </c>
      <c r="N12" s="64">
        <v>9</v>
      </c>
      <c r="O12" s="65">
        <v>2</v>
      </c>
      <c r="P12" s="66">
        <v>12</v>
      </c>
      <c r="Q12" s="66">
        <v>26</v>
      </c>
      <c r="R12" s="67">
        <v>6</v>
      </c>
      <c r="S12" s="62"/>
      <c r="T12" s="69">
        <f t="shared" si="0"/>
        <v>27</v>
      </c>
      <c r="U12" s="69">
        <f>C12*24+M12*24+O12*24+Q12*24+T12</f>
        <v>79419</v>
      </c>
      <c r="V12" s="69">
        <f>U12/24</f>
        <v>3309.125</v>
      </c>
      <c r="W12" s="9"/>
      <c r="X12" s="9"/>
      <c r="Y12" s="9"/>
      <c r="Z12" s="9"/>
      <c r="AA12" s="9"/>
      <c r="AB12" s="9"/>
      <c r="AC12" s="9"/>
      <c r="AD12" s="9"/>
      <c r="AE12" s="9"/>
      <c r="AF12" s="12"/>
      <c r="AG12" s="12"/>
      <c r="AH12" s="12"/>
      <c r="AI12" s="12"/>
      <c r="AJ12" s="12"/>
      <c r="AK12" s="12"/>
      <c r="AL12" s="12"/>
      <c r="AM12" s="12"/>
      <c r="AN12" s="12"/>
      <c r="AO12" s="12"/>
      <c r="AP12" s="12"/>
      <c r="AQ12" s="12"/>
      <c r="AR12" s="12"/>
      <c r="AS12" s="12"/>
      <c r="AT12" s="12"/>
      <c r="AU12" s="12"/>
      <c r="AV12" s="12"/>
      <c r="AW12" s="12"/>
      <c r="AX12" s="12"/>
      <c r="AY12" s="12"/>
      <c r="AZ12" s="12"/>
      <c r="BA12" s="12"/>
      <c r="BB12" s="12"/>
    </row>
    <row r="13" spans="1:54" x14ac:dyDescent="0.25">
      <c r="A13" s="27">
        <v>11</v>
      </c>
      <c r="B13" s="25" t="s">
        <v>1</v>
      </c>
      <c r="C13" s="70">
        <v>2</v>
      </c>
      <c r="D13" s="70"/>
      <c r="E13" s="70"/>
      <c r="F13" s="70"/>
      <c r="G13" s="70"/>
      <c r="H13" s="70">
        <f>16</f>
        <v>16</v>
      </c>
      <c r="I13" s="70"/>
      <c r="J13" s="71"/>
      <c r="K13" s="72"/>
      <c r="L13" s="55"/>
      <c r="M13" s="73"/>
      <c r="N13" s="74"/>
      <c r="O13" s="70"/>
      <c r="P13" s="71"/>
      <c r="Q13" s="71"/>
      <c r="R13" s="72"/>
      <c r="S13" s="55"/>
      <c r="T13" s="76">
        <f t="shared" si="0"/>
        <v>16</v>
      </c>
      <c r="U13" s="76">
        <f>C13*24+M13*24+O13*24+Q13*24+T13</f>
        <v>64</v>
      </c>
      <c r="V13" s="76">
        <f>U13/24</f>
        <v>2.6666666666666665</v>
      </c>
      <c r="AF13" s="12"/>
      <c r="AG13" s="12"/>
      <c r="AH13" s="12"/>
      <c r="AI13" s="12"/>
      <c r="AJ13" s="12"/>
      <c r="AK13" s="12"/>
      <c r="AL13" s="12"/>
      <c r="AM13" s="12"/>
      <c r="AN13" s="12"/>
      <c r="AO13" s="12"/>
      <c r="AP13" s="12"/>
      <c r="AQ13" s="12"/>
      <c r="AR13" s="12"/>
      <c r="AS13" s="12"/>
      <c r="AT13" s="12"/>
      <c r="AU13" s="12"/>
      <c r="AV13" s="12"/>
      <c r="AW13" s="12"/>
      <c r="AX13" s="12"/>
      <c r="AY13" s="12"/>
      <c r="AZ13" s="12"/>
      <c r="BA13" s="12"/>
      <c r="BB13" s="12"/>
    </row>
    <row r="14" spans="1:54" x14ac:dyDescent="0.25">
      <c r="A14" s="27">
        <f t="shared" si="1"/>
        <v>12</v>
      </c>
      <c r="B14" s="26" t="s">
        <v>2</v>
      </c>
      <c r="C14" s="70">
        <v>2</v>
      </c>
      <c r="D14" s="70"/>
      <c r="E14" s="70"/>
      <c r="F14" s="70"/>
      <c r="G14" s="70"/>
      <c r="H14" s="70"/>
      <c r="I14" s="70"/>
      <c r="J14" s="71"/>
      <c r="K14" s="72"/>
      <c r="L14" s="55"/>
      <c r="M14" s="73"/>
      <c r="N14" s="74"/>
      <c r="O14" s="70"/>
      <c r="P14" s="71"/>
      <c r="Q14" s="71"/>
      <c r="R14" s="72"/>
      <c r="S14" s="55"/>
      <c r="T14" s="58">
        <f t="shared" si="0"/>
        <v>0</v>
      </c>
      <c r="U14" s="75">
        <f t="shared" ref="U14:U36" si="4">C14*24+M14*24+O14*24+Q14*24+T14</f>
        <v>48</v>
      </c>
      <c r="V14" s="75">
        <f t="shared" ref="V14:V36" si="5">U14/24</f>
        <v>2</v>
      </c>
      <c r="AF14" s="12"/>
      <c r="AG14" s="12"/>
      <c r="AH14" s="12"/>
      <c r="AI14" s="12"/>
      <c r="AJ14" s="12"/>
      <c r="AK14" s="12"/>
      <c r="AL14" s="12"/>
      <c r="AM14" s="12"/>
      <c r="AN14" s="12"/>
      <c r="AO14" s="12"/>
      <c r="AP14" s="12"/>
      <c r="AQ14" s="12"/>
      <c r="AR14" s="12"/>
      <c r="AS14" s="12"/>
      <c r="AT14" s="12"/>
      <c r="AU14" s="12"/>
      <c r="AV14" s="12"/>
      <c r="AW14" s="12"/>
      <c r="AX14" s="12"/>
      <c r="AY14" s="12"/>
      <c r="AZ14" s="12"/>
      <c r="BA14" s="12"/>
      <c r="BB14" s="12"/>
    </row>
    <row r="15" spans="1:54" x14ac:dyDescent="0.25">
      <c r="A15" s="27">
        <f t="shared" si="1"/>
        <v>13</v>
      </c>
      <c r="B15" s="26" t="s">
        <v>3</v>
      </c>
      <c r="C15" s="70"/>
      <c r="D15" s="70"/>
      <c r="E15" s="70"/>
      <c r="F15" s="70"/>
      <c r="G15" s="70"/>
      <c r="H15" s="70"/>
      <c r="I15" s="70"/>
      <c r="J15" s="71"/>
      <c r="K15" s="72"/>
      <c r="L15" s="55"/>
      <c r="M15" s="73"/>
      <c r="N15" s="74"/>
      <c r="O15" s="70"/>
      <c r="P15" s="71"/>
      <c r="Q15" s="71"/>
      <c r="R15" s="72"/>
      <c r="S15" s="55"/>
      <c r="T15" s="58">
        <f t="shared" si="0"/>
        <v>0</v>
      </c>
      <c r="U15" s="75">
        <f t="shared" si="4"/>
        <v>0</v>
      </c>
      <c r="V15" s="75">
        <f t="shared" si="5"/>
        <v>0</v>
      </c>
      <c r="AF15" s="12"/>
      <c r="AG15" s="12"/>
      <c r="AH15" s="12"/>
      <c r="AI15" s="12"/>
      <c r="AJ15" s="12"/>
      <c r="AK15" s="12"/>
      <c r="AL15" s="12"/>
      <c r="AM15" s="12"/>
      <c r="AN15" s="12"/>
      <c r="AO15" s="12"/>
      <c r="AP15" s="12"/>
      <c r="AQ15" s="12"/>
      <c r="AR15" s="12"/>
      <c r="AS15" s="12"/>
      <c r="AT15" s="12"/>
      <c r="AU15" s="12"/>
      <c r="AV15" s="12"/>
      <c r="AW15" s="12"/>
      <c r="AX15" s="12"/>
      <c r="AY15" s="12"/>
      <c r="AZ15" s="12"/>
      <c r="BA15" s="12"/>
      <c r="BB15" s="12"/>
    </row>
    <row r="16" spans="1:54" x14ac:dyDescent="0.25">
      <c r="A16" s="27">
        <f t="shared" si="1"/>
        <v>14</v>
      </c>
      <c r="B16" s="26" t="s">
        <v>4</v>
      </c>
      <c r="C16" s="70"/>
      <c r="D16" s="70"/>
      <c r="E16" s="70"/>
      <c r="F16" s="70"/>
      <c r="G16" s="70"/>
      <c r="H16" s="70"/>
      <c r="I16" s="70"/>
      <c r="J16" s="71"/>
      <c r="K16" s="72"/>
      <c r="L16" s="55"/>
      <c r="M16" s="73"/>
      <c r="N16" s="74"/>
      <c r="O16" s="70"/>
      <c r="P16" s="71"/>
      <c r="Q16" s="71"/>
      <c r="R16" s="72"/>
      <c r="S16" s="55"/>
      <c r="T16" s="58">
        <f t="shared" si="0"/>
        <v>0</v>
      </c>
      <c r="U16" s="75">
        <f t="shared" si="4"/>
        <v>0</v>
      </c>
      <c r="V16" s="75">
        <f t="shared" si="5"/>
        <v>0</v>
      </c>
      <c r="AF16" s="12"/>
      <c r="AG16" s="12"/>
      <c r="AH16" s="12"/>
      <c r="AI16" s="12"/>
      <c r="AJ16" s="12"/>
      <c r="AK16" s="12"/>
      <c r="AL16" s="12"/>
      <c r="AM16" s="12"/>
      <c r="AN16" s="12"/>
      <c r="AO16" s="12"/>
      <c r="AP16" s="12"/>
      <c r="AQ16" s="12"/>
      <c r="AR16" s="12"/>
      <c r="AS16" s="12"/>
      <c r="AT16" s="12"/>
      <c r="AU16" s="12"/>
      <c r="AV16" s="12"/>
      <c r="AW16" s="12"/>
      <c r="AX16" s="12"/>
      <c r="AY16" s="12"/>
      <c r="AZ16" s="12"/>
      <c r="BA16" s="12"/>
      <c r="BB16" s="12"/>
    </row>
    <row r="17" spans="1:54" x14ac:dyDescent="0.25">
      <c r="A17" s="27">
        <f t="shared" si="1"/>
        <v>15</v>
      </c>
      <c r="B17" s="26" t="s">
        <v>5</v>
      </c>
      <c r="C17" s="70"/>
      <c r="D17" s="70"/>
      <c r="E17" s="70"/>
      <c r="F17" s="70"/>
      <c r="G17" s="70"/>
      <c r="H17" s="70">
        <f>3*24</f>
        <v>72</v>
      </c>
      <c r="I17" s="70"/>
      <c r="J17" s="71"/>
      <c r="K17" s="72"/>
      <c r="L17" s="55"/>
      <c r="M17" s="73"/>
      <c r="N17" s="74"/>
      <c r="O17" s="70"/>
      <c r="P17" s="71"/>
      <c r="Q17" s="71"/>
      <c r="R17" s="72"/>
      <c r="S17" s="55"/>
      <c r="T17" s="58">
        <f t="shared" si="0"/>
        <v>72</v>
      </c>
      <c r="U17" s="75">
        <f t="shared" si="4"/>
        <v>72</v>
      </c>
      <c r="V17" s="75">
        <f t="shared" si="5"/>
        <v>3</v>
      </c>
      <c r="AF17" s="12"/>
      <c r="AG17" s="12"/>
      <c r="AH17" s="12"/>
      <c r="AI17" s="12"/>
      <c r="AJ17" s="12"/>
      <c r="AK17" s="12"/>
      <c r="AL17" s="12"/>
      <c r="AM17" s="12"/>
      <c r="AN17" s="12"/>
      <c r="AO17" s="12"/>
      <c r="AP17" s="12"/>
      <c r="AQ17" s="12"/>
      <c r="AR17" s="12"/>
      <c r="AS17" s="12"/>
      <c r="AT17" s="12"/>
      <c r="AU17" s="12"/>
      <c r="AV17" s="12"/>
      <c r="AW17" s="12"/>
      <c r="AX17" s="12"/>
      <c r="AY17" s="12"/>
      <c r="AZ17" s="12"/>
      <c r="BA17" s="12"/>
      <c r="BB17" s="12"/>
    </row>
    <row r="18" spans="1:54" hidden="1" x14ac:dyDescent="0.25">
      <c r="A18" s="27">
        <f t="shared" si="1"/>
        <v>16</v>
      </c>
      <c r="B18" s="26" t="s">
        <v>9</v>
      </c>
      <c r="C18" s="70"/>
      <c r="D18" s="70"/>
      <c r="E18" s="70"/>
      <c r="F18" s="70"/>
      <c r="G18" s="70"/>
      <c r="H18" s="70"/>
      <c r="I18" s="70"/>
      <c r="J18" s="71"/>
      <c r="K18" s="72"/>
      <c r="L18" s="55"/>
      <c r="M18" s="73"/>
      <c r="N18" s="74"/>
      <c r="O18" s="70"/>
      <c r="P18" s="71"/>
      <c r="Q18" s="71"/>
      <c r="R18" s="72"/>
      <c r="S18" s="55"/>
      <c r="T18" s="58">
        <f t="shared" si="0"/>
        <v>0</v>
      </c>
      <c r="U18" s="75">
        <f t="shared" si="4"/>
        <v>0</v>
      </c>
      <c r="V18" s="75">
        <f t="shared" si="5"/>
        <v>0</v>
      </c>
      <c r="AF18" s="12"/>
      <c r="AG18" s="12"/>
      <c r="AH18" s="12"/>
      <c r="AI18" s="12"/>
      <c r="AJ18" s="12"/>
      <c r="AK18" s="12"/>
      <c r="AL18" s="12"/>
      <c r="AM18" s="12"/>
      <c r="AN18" s="12"/>
      <c r="AO18" s="12"/>
      <c r="AP18" s="12"/>
      <c r="AQ18" s="12"/>
      <c r="AR18" s="12"/>
      <c r="AS18" s="12"/>
      <c r="AT18" s="12"/>
      <c r="AU18" s="12"/>
      <c r="AV18" s="12"/>
      <c r="AW18" s="12"/>
      <c r="AX18" s="12"/>
      <c r="AY18" s="12"/>
      <c r="AZ18" s="12"/>
      <c r="BA18" s="12"/>
      <c r="BB18" s="12"/>
    </row>
    <row r="19" spans="1:54" x14ac:dyDescent="0.25">
      <c r="A19" s="27">
        <v>16</v>
      </c>
      <c r="B19" s="26" t="s">
        <v>53</v>
      </c>
      <c r="C19" s="70">
        <v>2</v>
      </c>
      <c r="D19" s="70"/>
      <c r="E19" s="70"/>
      <c r="F19" s="70"/>
      <c r="G19" s="70"/>
      <c r="H19" s="70">
        <f>20+24</f>
        <v>44</v>
      </c>
      <c r="I19" s="70"/>
      <c r="J19" s="71"/>
      <c r="K19" s="72"/>
      <c r="L19" s="55"/>
      <c r="M19" s="73"/>
      <c r="N19" s="74"/>
      <c r="O19" s="70"/>
      <c r="P19" s="71"/>
      <c r="Q19" s="71"/>
      <c r="R19" s="72"/>
      <c r="S19" s="55"/>
      <c r="T19" s="58">
        <f t="shared" si="0"/>
        <v>44</v>
      </c>
      <c r="U19" s="75">
        <f t="shared" si="4"/>
        <v>92</v>
      </c>
      <c r="V19" s="75">
        <f t="shared" si="5"/>
        <v>3.8333333333333335</v>
      </c>
      <c r="AF19" s="12"/>
      <c r="AG19" s="12"/>
      <c r="AH19" s="12"/>
      <c r="AI19" s="12"/>
      <c r="AJ19" s="12"/>
      <c r="AK19" s="12"/>
      <c r="AL19" s="12"/>
      <c r="AM19" s="12"/>
      <c r="AN19" s="12"/>
      <c r="AO19" s="12"/>
      <c r="AP19" s="12"/>
      <c r="AQ19" s="12"/>
      <c r="AR19" s="12"/>
      <c r="AS19" s="12"/>
      <c r="AT19" s="12"/>
      <c r="AU19" s="12"/>
      <c r="AV19" s="12"/>
      <c r="AW19" s="12"/>
      <c r="AX19" s="12"/>
      <c r="AY19" s="12"/>
      <c r="AZ19" s="12"/>
      <c r="BA19" s="12"/>
      <c r="BB19" s="12"/>
    </row>
    <row r="20" spans="1:54" x14ac:dyDescent="0.25">
      <c r="A20" s="27">
        <f t="shared" si="1"/>
        <v>17</v>
      </c>
      <c r="B20" s="26" t="s">
        <v>6</v>
      </c>
      <c r="C20" s="70">
        <v>5</v>
      </c>
      <c r="D20" s="70"/>
      <c r="E20" s="70"/>
      <c r="F20" s="70"/>
      <c r="G20" s="70"/>
      <c r="H20" s="70"/>
      <c r="I20" s="70"/>
      <c r="J20" s="71"/>
      <c r="K20" s="72"/>
      <c r="L20" s="55"/>
      <c r="M20" s="73"/>
      <c r="N20" s="74"/>
      <c r="O20" s="70"/>
      <c r="P20" s="71"/>
      <c r="Q20" s="71"/>
      <c r="R20" s="72"/>
      <c r="S20" s="55"/>
      <c r="T20" s="58">
        <f t="shared" si="0"/>
        <v>0</v>
      </c>
      <c r="U20" s="75">
        <f t="shared" si="4"/>
        <v>120</v>
      </c>
      <c r="V20" s="75">
        <f t="shared" si="5"/>
        <v>5</v>
      </c>
      <c r="AF20" s="12"/>
      <c r="AG20" s="12"/>
      <c r="AH20" s="12"/>
      <c r="AI20" s="12"/>
      <c r="AJ20" s="12"/>
      <c r="AK20" s="12"/>
      <c r="AL20" s="12"/>
      <c r="AM20" s="12"/>
      <c r="AN20" s="12"/>
      <c r="AO20" s="12"/>
      <c r="AP20" s="12"/>
      <c r="AQ20" s="12"/>
      <c r="AR20" s="12"/>
      <c r="AS20" s="12"/>
      <c r="AT20" s="12"/>
      <c r="AU20" s="12"/>
      <c r="AV20" s="12"/>
      <c r="AW20" s="12"/>
      <c r="AX20" s="12"/>
      <c r="AY20" s="12"/>
      <c r="AZ20" s="12"/>
      <c r="BA20" s="12"/>
      <c r="BB20" s="12"/>
    </row>
    <row r="21" spans="1:54" x14ac:dyDescent="0.25">
      <c r="A21" s="27">
        <f t="shared" si="1"/>
        <v>18</v>
      </c>
      <c r="B21" s="26" t="s">
        <v>7</v>
      </c>
      <c r="C21" s="70"/>
      <c r="D21" s="70"/>
      <c r="E21" s="70"/>
      <c r="F21" s="70"/>
      <c r="G21" s="70"/>
      <c r="H21" s="70">
        <f>2*24</f>
        <v>48</v>
      </c>
      <c r="I21" s="70"/>
      <c r="J21" s="71"/>
      <c r="K21" s="72"/>
      <c r="L21" s="55"/>
      <c r="M21" s="73"/>
      <c r="N21" s="74"/>
      <c r="O21" s="70"/>
      <c r="P21" s="71"/>
      <c r="Q21" s="71"/>
      <c r="R21" s="72"/>
      <c r="S21" s="55"/>
      <c r="T21" s="58">
        <f t="shared" si="0"/>
        <v>48</v>
      </c>
      <c r="U21" s="75">
        <f t="shared" si="4"/>
        <v>48</v>
      </c>
      <c r="V21" s="75">
        <f t="shared" si="5"/>
        <v>2</v>
      </c>
      <c r="AF21" s="12"/>
      <c r="AG21" s="12"/>
      <c r="AH21" s="12"/>
      <c r="AI21" s="12"/>
      <c r="AJ21" s="12"/>
      <c r="AK21" s="12"/>
      <c r="AL21" s="12"/>
      <c r="AM21" s="12"/>
      <c r="AN21" s="12"/>
      <c r="AO21" s="12"/>
      <c r="AP21" s="12"/>
      <c r="AQ21" s="12"/>
      <c r="AR21" s="12"/>
      <c r="AS21" s="12"/>
      <c r="AT21" s="12"/>
      <c r="AU21" s="12"/>
      <c r="AV21" s="12"/>
      <c r="AW21" s="12"/>
      <c r="AX21" s="12"/>
      <c r="AY21" s="12"/>
      <c r="AZ21" s="12"/>
      <c r="BA21" s="12"/>
      <c r="BB21" s="12"/>
    </row>
    <row r="22" spans="1:54" s="13" customFormat="1" x14ac:dyDescent="0.25">
      <c r="A22" s="27">
        <f t="shared" si="1"/>
        <v>19</v>
      </c>
      <c r="B22" s="26" t="s">
        <v>54</v>
      </c>
      <c r="C22" s="70">
        <v>2</v>
      </c>
      <c r="D22" s="70"/>
      <c r="E22" s="70"/>
      <c r="F22" s="70"/>
      <c r="G22" s="70"/>
      <c r="H22" s="70"/>
      <c r="I22" s="70">
        <v>20</v>
      </c>
      <c r="J22" s="71"/>
      <c r="K22" s="72"/>
      <c r="L22" s="55"/>
      <c r="M22" s="73"/>
      <c r="N22" s="74"/>
      <c r="O22" s="70"/>
      <c r="P22" s="71"/>
      <c r="Q22" s="71"/>
      <c r="R22" s="72"/>
      <c r="S22" s="55"/>
      <c r="T22" s="58">
        <f t="shared" si="0"/>
        <v>20</v>
      </c>
      <c r="U22" s="75">
        <f t="shared" si="4"/>
        <v>68</v>
      </c>
      <c r="V22" s="75">
        <f t="shared" si="5"/>
        <v>2.8333333333333335</v>
      </c>
      <c r="W22" s="9"/>
      <c r="X22" s="9"/>
      <c r="Y22" s="9"/>
      <c r="Z22" s="9"/>
      <c r="AA22" s="9"/>
      <c r="AB22" s="9"/>
      <c r="AC22" s="9"/>
      <c r="AD22" s="9"/>
      <c r="AE22" s="9"/>
      <c r="AF22" s="12"/>
      <c r="AG22" s="12"/>
      <c r="AH22" s="12"/>
      <c r="AI22" s="12"/>
      <c r="AJ22" s="12"/>
      <c r="AK22" s="12"/>
      <c r="AL22" s="12"/>
      <c r="AM22" s="12"/>
      <c r="AN22" s="12"/>
      <c r="AO22" s="12"/>
      <c r="AP22" s="12"/>
      <c r="AQ22" s="12"/>
      <c r="AR22" s="12"/>
      <c r="AS22" s="12"/>
      <c r="AT22" s="12"/>
      <c r="AU22" s="12"/>
      <c r="AV22" s="12"/>
      <c r="AW22" s="12"/>
      <c r="AX22" s="12"/>
      <c r="AY22" s="12"/>
      <c r="AZ22" s="12"/>
      <c r="BA22" s="12"/>
      <c r="BB22" s="12"/>
    </row>
    <row r="23" spans="1:54" s="13" customFormat="1" x14ac:dyDescent="0.25">
      <c r="A23" s="27">
        <f t="shared" si="1"/>
        <v>20</v>
      </c>
      <c r="B23" s="26" t="s">
        <v>55</v>
      </c>
      <c r="C23" s="70"/>
      <c r="D23" s="70"/>
      <c r="E23" s="70"/>
      <c r="F23" s="70"/>
      <c r="G23" s="70"/>
      <c r="H23" s="70">
        <f>37*24+19</f>
        <v>907</v>
      </c>
      <c r="I23" s="70"/>
      <c r="J23" s="71"/>
      <c r="K23" s="72"/>
      <c r="L23" s="55"/>
      <c r="M23" s="73"/>
      <c r="N23" s="74"/>
      <c r="O23" s="70"/>
      <c r="P23" s="71"/>
      <c r="Q23" s="71"/>
      <c r="R23" s="72"/>
      <c r="S23" s="55"/>
      <c r="T23" s="58">
        <f t="shared" si="0"/>
        <v>907</v>
      </c>
      <c r="U23" s="75">
        <f t="shared" si="4"/>
        <v>907</v>
      </c>
      <c r="V23" s="75">
        <f t="shared" si="5"/>
        <v>37.791666666666664</v>
      </c>
      <c r="W23" s="9"/>
      <c r="X23" s="9"/>
      <c r="Y23" s="9"/>
      <c r="Z23" s="9"/>
      <c r="AA23" s="9"/>
      <c r="AB23" s="9"/>
      <c r="AC23" s="9"/>
      <c r="AD23" s="9"/>
      <c r="AE23" s="9"/>
      <c r="AF23" s="12"/>
      <c r="AG23" s="12"/>
      <c r="AH23" s="12"/>
      <c r="AI23" s="12"/>
      <c r="AJ23" s="12"/>
      <c r="AK23" s="12"/>
      <c r="AL23" s="12"/>
      <c r="AM23" s="12"/>
      <c r="AN23" s="12"/>
      <c r="AO23" s="12"/>
      <c r="AP23" s="12"/>
      <c r="AQ23" s="12"/>
      <c r="AR23" s="12"/>
      <c r="AS23" s="12"/>
      <c r="AT23" s="12"/>
      <c r="AU23" s="12"/>
      <c r="AV23" s="12"/>
      <c r="AW23" s="12"/>
      <c r="AX23" s="12"/>
      <c r="AY23" s="12"/>
      <c r="AZ23" s="12"/>
      <c r="BA23" s="12"/>
      <c r="BB23" s="12"/>
    </row>
    <row r="24" spans="1:54" x14ac:dyDescent="0.25">
      <c r="A24" s="27">
        <f t="shared" si="1"/>
        <v>21</v>
      </c>
      <c r="B24" s="26" t="s">
        <v>56</v>
      </c>
      <c r="C24" s="70">
        <v>2</v>
      </c>
      <c r="D24" s="70"/>
      <c r="E24" s="70"/>
      <c r="F24" s="70"/>
      <c r="G24" s="70"/>
      <c r="H24" s="70">
        <f>3*24</f>
        <v>72</v>
      </c>
      <c r="I24" s="70"/>
      <c r="J24" s="71"/>
      <c r="K24" s="72"/>
      <c r="L24" s="55"/>
      <c r="M24" s="73"/>
      <c r="N24" s="74"/>
      <c r="O24" s="70"/>
      <c r="P24" s="71"/>
      <c r="Q24" s="71"/>
      <c r="R24" s="72"/>
      <c r="S24" s="55"/>
      <c r="T24" s="58">
        <f t="shared" si="0"/>
        <v>72</v>
      </c>
      <c r="U24" s="75">
        <f t="shared" si="4"/>
        <v>120</v>
      </c>
      <c r="V24" s="75">
        <f t="shared" si="5"/>
        <v>5</v>
      </c>
      <c r="AF24" s="12"/>
      <c r="AG24" s="12"/>
      <c r="AH24" s="12"/>
      <c r="AI24" s="12"/>
      <c r="AJ24" s="12"/>
      <c r="AK24" s="12"/>
      <c r="AL24" s="12"/>
      <c r="AM24" s="12"/>
      <c r="AN24" s="12"/>
      <c r="AO24" s="12"/>
      <c r="AP24" s="12"/>
      <c r="AQ24" s="12"/>
      <c r="AR24" s="12"/>
      <c r="AS24" s="12"/>
      <c r="AT24" s="12"/>
      <c r="AU24" s="12"/>
      <c r="AV24" s="12"/>
      <c r="AW24" s="12"/>
      <c r="AX24" s="12"/>
      <c r="AY24" s="12"/>
      <c r="AZ24" s="12"/>
      <c r="BA24" s="12"/>
      <c r="BB24" s="12"/>
    </row>
    <row r="25" spans="1:54" x14ac:dyDescent="0.25">
      <c r="A25" s="27">
        <f t="shared" si="1"/>
        <v>22</v>
      </c>
      <c r="B25" s="26" t="s">
        <v>8</v>
      </c>
      <c r="C25" s="70">
        <v>42</v>
      </c>
      <c r="D25" s="70"/>
      <c r="E25" s="70"/>
      <c r="F25" s="70"/>
      <c r="G25" s="70"/>
      <c r="H25" s="70"/>
      <c r="I25" s="70">
        <v>1</v>
      </c>
      <c r="J25" s="71"/>
      <c r="K25" s="72"/>
      <c r="L25" s="55"/>
      <c r="M25" s="73">
        <v>1</v>
      </c>
      <c r="N25" s="74"/>
      <c r="O25" s="70">
        <v>1</v>
      </c>
      <c r="P25" s="71"/>
      <c r="Q25" s="71">
        <v>5</v>
      </c>
      <c r="R25" s="72"/>
      <c r="S25" s="55"/>
      <c r="T25" s="58">
        <f t="shared" si="0"/>
        <v>1</v>
      </c>
      <c r="U25" s="75">
        <f t="shared" si="4"/>
        <v>1177</v>
      </c>
      <c r="V25" s="75">
        <f t="shared" si="5"/>
        <v>49.041666666666664</v>
      </c>
      <c r="AY25" s="14" t="e">
        <f>#REF!-AY24</f>
        <v>#REF!</v>
      </c>
    </row>
    <row r="26" spans="1:54" s="13" customFormat="1" x14ac:dyDescent="0.25">
      <c r="A26" s="27">
        <f t="shared" si="1"/>
        <v>23</v>
      </c>
      <c r="B26" s="26" t="s">
        <v>10</v>
      </c>
      <c r="C26" s="70">
        <v>1</v>
      </c>
      <c r="D26" s="70"/>
      <c r="E26" s="70"/>
      <c r="F26" s="70"/>
      <c r="G26" s="70"/>
      <c r="H26" s="70"/>
      <c r="I26" s="70"/>
      <c r="J26" s="71"/>
      <c r="K26" s="72"/>
      <c r="L26" s="55"/>
      <c r="M26" s="73"/>
      <c r="N26" s="74"/>
      <c r="O26" s="70">
        <v>1</v>
      </c>
      <c r="P26" s="71"/>
      <c r="Q26" s="71"/>
      <c r="R26" s="72"/>
      <c r="S26" s="55"/>
      <c r="T26" s="58">
        <f t="shared" si="0"/>
        <v>0</v>
      </c>
      <c r="U26" s="75">
        <f t="shared" si="4"/>
        <v>48</v>
      </c>
      <c r="V26" s="75">
        <f t="shared" si="5"/>
        <v>2</v>
      </c>
      <c r="W26" s="9"/>
      <c r="X26" s="9"/>
      <c r="Y26" s="9"/>
      <c r="Z26" s="9"/>
      <c r="AA26" s="9"/>
      <c r="AB26" s="9"/>
      <c r="AC26" s="9"/>
      <c r="AD26" s="9"/>
      <c r="AE26" s="9"/>
    </row>
    <row r="27" spans="1:54" s="13" customFormat="1" x14ac:dyDescent="0.25">
      <c r="A27" s="27">
        <f t="shared" si="1"/>
        <v>24</v>
      </c>
      <c r="B27" s="26" t="s">
        <v>69</v>
      </c>
      <c r="C27" s="70">
        <v>3</v>
      </c>
      <c r="D27" s="70"/>
      <c r="E27" s="70"/>
      <c r="F27" s="70"/>
      <c r="G27" s="70"/>
      <c r="H27" s="70"/>
      <c r="I27" s="70"/>
      <c r="J27" s="71"/>
      <c r="K27" s="72"/>
      <c r="L27" s="55"/>
      <c r="M27" s="73"/>
      <c r="N27" s="74"/>
      <c r="O27" s="70"/>
      <c r="P27" s="71"/>
      <c r="Q27" s="71"/>
      <c r="R27" s="72"/>
      <c r="S27" s="55"/>
      <c r="T27" s="58">
        <f t="shared" si="0"/>
        <v>0</v>
      </c>
      <c r="U27" s="75">
        <f t="shared" si="4"/>
        <v>72</v>
      </c>
      <c r="V27" s="75">
        <f t="shared" si="5"/>
        <v>3</v>
      </c>
      <c r="W27" s="9"/>
      <c r="X27" s="9"/>
      <c r="Y27" s="9"/>
      <c r="Z27" s="9"/>
      <c r="AA27" s="9"/>
      <c r="AB27" s="9"/>
      <c r="AC27" s="9"/>
      <c r="AD27" s="9"/>
      <c r="AE27" s="9"/>
    </row>
    <row r="28" spans="1:54" s="13" customFormat="1" x14ac:dyDescent="0.25">
      <c r="A28" s="27">
        <f t="shared" si="1"/>
        <v>25</v>
      </c>
      <c r="B28" s="26" t="s">
        <v>11</v>
      </c>
      <c r="C28" s="70"/>
      <c r="D28" s="70"/>
      <c r="E28" s="70"/>
      <c r="F28" s="70"/>
      <c r="G28" s="70"/>
      <c r="H28" s="70"/>
      <c r="I28" s="70"/>
      <c r="J28" s="71"/>
      <c r="K28" s="72"/>
      <c r="L28" s="55"/>
      <c r="M28" s="73"/>
      <c r="N28" s="74"/>
      <c r="O28" s="70"/>
      <c r="P28" s="71"/>
      <c r="Q28" s="71"/>
      <c r="R28" s="72"/>
      <c r="S28" s="55"/>
      <c r="T28" s="58">
        <f t="shared" si="0"/>
        <v>0</v>
      </c>
      <c r="U28" s="75">
        <f t="shared" si="4"/>
        <v>0</v>
      </c>
      <c r="V28" s="75">
        <f t="shared" si="5"/>
        <v>0</v>
      </c>
      <c r="W28" s="9"/>
      <c r="X28" s="9"/>
      <c r="Y28" s="9"/>
      <c r="Z28" s="9"/>
      <c r="AA28" s="9"/>
      <c r="AB28" s="9"/>
      <c r="AC28" s="9"/>
      <c r="AD28" s="9"/>
      <c r="AE28" s="9"/>
    </row>
    <row r="29" spans="1:54" x14ac:dyDescent="0.25">
      <c r="A29" s="27">
        <f t="shared" si="1"/>
        <v>26</v>
      </c>
      <c r="B29" s="26" t="s">
        <v>13</v>
      </c>
      <c r="C29" s="70">
        <v>23</v>
      </c>
      <c r="D29" s="70"/>
      <c r="E29" s="70"/>
      <c r="F29" s="70"/>
      <c r="G29" s="70"/>
      <c r="H29" s="70"/>
      <c r="I29" s="70">
        <v>5</v>
      </c>
      <c r="J29" s="71"/>
      <c r="K29" s="72"/>
      <c r="L29" s="55"/>
      <c r="M29" s="73"/>
      <c r="N29" s="74"/>
      <c r="O29" s="70">
        <v>1</v>
      </c>
      <c r="P29" s="71"/>
      <c r="Q29" s="71">
        <v>2</v>
      </c>
      <c r="R29" s="72"/>
      <c r="S29" s="55"/>
      <c r="T29" s="58">
        <f t="shared" si="0"/>
        <v>5</v>
      </c>
      <c r="U29" s="75">
        <f t="shared" si="4"/>
        <v>629</v>
      </c>
      <c r="V29" s="75">
        <f t="shared" si="5"/>
        <v>26.208333333333332</v>
      </c>
    </row>
    <row r="30" spans="1:54" x14ac:dyDescent="0.25">
      <c r="A30" s="27">
        <f t="shared" si="1"/>
        <v>27</v>
      </c>
      <c r="B30" s="26" t="s">
        <v>15</v>
      </c>
      <c r="C30" s="70">
        <v>9</v>
      </c>
      <c r="D30" s="70"/>
      <c r="E30" s="70"/>
      <c r="F30" s="70"/>
      <c r="G30" s="70"/>
      <c r="H30" s="70"/>
      <c r="I30" s="70"/>
      <c r="J30" s="71"/>
      <c r="K30" s="72"/>
      <c r="L30" s="55"/>
      <c r="M30" s="73"/>
      <c r="N30" s="74"/>
      <c r="O30" s="70">
        <v>1</v>
      </c>
      <c r="P30" s="71"/>
      <c r="Q30" s="71">
        <v>2</v>
      </c>
      <c r="R30" s="72"/>
      <c r="S30" s="55"/>
      <c r="T30" s="58">
        <f t="shared" si="0"/>
        <v>0</v>
      </c>
      <c r="U30" s="75">
        <f t="shared" si="4"/>
        <v>288</v>
      </c>
      <c r="V30" s="75">
        <f t="shared" si="5"/>
        <v>12</v>
      </c>
    </row>
    <row r="31" spans="1:54" x14ac:dyDescent="0.25">
      <c r="A31" s="27">
        <f t="shared" si="1"/>
        <v>28</v>
      </c>
      <c r="B31" s="26" t="s">
        <v>12</v>
      </c>
      <c r="C31" s="70"/>
      <c r="D31" s="70"/>
      <c r="E31" s="70"/>
      <c r="F31" s="70"/>
      <c r="G31" s="70"/>
      <c r="H31" s="70"/>
      <c r="I31" s="70"/>
      <c r="J31" s="71"/>
      <c r="K31" s="72"/>
      <c r="L31" s="55"/>
      <c r="M31" s="73"/>
      <c r="N31" s="74"/>
      <c r="O31" s="70"/>
      <c r="P31" s="71"/>
      <c r="Q31" s="71"/>
      <c r="R31" s="72"/>
      <c r="S31" s="55"/>
      <c r="T31" s="58">
        <f t="shared" si="0"/>
        <v>0</v>
      </c>
      <c r="U31" s="75">
        <f t="shared" si="4"/>
        <v>0</v>
      </c>
      <c r="V31" s="75">
        <f t="shared" si="5"/>
        <v>0</v>
      </c>
    </row>
    <row r="32" spans="1:54" x14ac:dyDescent="0.25">
      <c r="A32" s="27">
        <f t="shared" si="1"/>
        <v>29</v>
      </c>
      <c r="B32" s="26" t="s">
        <v>14</v>
      </c>
      <c r="C32" s="70"/>
      <c r="D32" s="70"/>
      <c r="E32" s="70"/>
      <c r="F32" s="70"/>
      <c r="G32" s="70"/>
      <c r="H32" s="70"/>
      <c r="I32" s="70"/>
      <c r="J32" s="71"/>
      <c r="K32" s="72"/>
      <c r="L32" s="55"/>
      <c r="M32" s="73"/>
      <c r="N32" s="74"/>
      <c r="O32" s="70"/>
      <c r="P32" s="71"/>
      <c r="Q32" s="71"/>
      <c r="R32" s="72"/>
      <c r="S32" s="55"/>
      <c r="T32" s="58">
        <f t="shared" si="0"/>
        <v>0</v>
      </c>
      <c r="U32" s="75">
        <f t="shared" si="4"/>
        <v>0</v>
      </c>
      <c r="V32" s="75">
        <f t="shared" si="5"/>
        <v>0</v>
      </c>
    </row>
    <row r="33" spans="1:23" x14ac:dyDescent="0.25">
      <c r="A33" s="27">
        <f t="shared" si="1"/>
        <v>30</v>
      </c>
      <c r="B33" s="26" t="s">
        <v>16</v>
      </c>
      <c r="C33" s="70">
        <v>1</v>
      </c>
      <c r="D33" s="70"/>
      <c r="E33" s="70"/>
      <c r="F33" s="70"/>
      <c r="G33" s="70"/>
      <c r="H33" s="70"/>
      <c r="I33" s="70"/>
      <c r="J33" s="71"/>
      <c r="K33" s="72"/>
      <c r="L33" s="55"/>
      <c r="M33" s="73">
        <v>1</v>
      </c>
      <c r="N33" s="74"/>
      <c r="O33" s="70"/>
      <c r="P33" s="71"/>
      <c r="Q33" s="71"/>
      <c r="R33" s="72"/>
      <c r="S33" s="55"/>
      <c r="T33" s="58">
        <f t="shared" si="0"/>
        <v>0</v>
      </c>
      <c r="U33" s="75">
        <f t="shared" si="4"/>
        <v>48</v>
      </c>
      <c r="V33" s="75">
        <f t="shared" si="5"/>
        <v>2</v>
      </c>
    </row>
    <row r="34" spans="1:23" x14ac:dyDescent="0.25">
      <c r="A34" s="27">
        <f t="shared" si="1"/>
        <v>31</v>
      </c>
      <c r="B34" s="26" t="s">
        <v>17</v>
      </c>
      <c r="C34" s="70">
        <f>42+144</f>
        <v>186</v>
      </c>
      <c r="D34" s="70"/>
      <c r="E34" s="70"/>
      <c r="F34" s="70"/>
      <c r="G34" s="70"/>
      <c r="H34" s="70"/>
      <c r="I34" s="70">
        <v>1</v>
      </c>
      <c r="J34" s="71"/>
      <c r="K34" s="72">
        <v>1</v>
      </c>
      <c r="L34" s="55"/>
      <c r="M34" s="73"/>
      <c r="N34" s="74"/>
      <c r="O34" s="70">
        <v>2</v>
      </c>
      <c r="P34" s="71"/>
      <c r="Q34" s="71">
        <v>1</v>
      </c>
      <c r="R34" s="72"/>
      <c r="S34" s="55"/>
      <c r="T34" s="58">
        <f t="shared" si="0"/>
        <v>2</v>
      </c>
      <c r="U34" s="75">
        <f t="shared" si="4"/>
        <v>4538</v>
      </c>
      <c r="V34" s="75">
        <f t="shared" si="5"/>
        <v>189.08333333333334</v>
      </c>
    </row>
    <row r="35" spans="1:23" hidden="1" x14ac:dyDescent="0.25">
      <c r="A35" s="27">
        <f t="shared" si="1"/>
        <v>32</v>
      </c>
      <c r="B35" s="26" t="s">
        <v>25</v>
      </c>
      <c r="C35" s="70"/>
      <c r="D35" s="70"/>
      <c r="E35" s="70"/>
      <c r="F35" s="70"/>
      <c r="G35" s="70"/>
      <c r="H35" s="70"/>
      <c r="I35" s="70"/>
      <c r="J35" s="71"/>
      <c r="K35" s="72"/>
      <c r="L35" s="55"/>
      <c r="M35" s="73"/>
      <c r="N35" s="74"/>
      <c r="O35" s="70"/>
      <c r="P35" s="71"/>
      <c r="Q35" s="71"/>
      <c r="R35" s="72"/>
      <c r="S35" s="55"/>
      <c r="T35" s="58">
        <f t="shared" si="0"/>
        <v>0</v>
      </c>
      <c r="U35" s="75">
        <f t="shared" si="4"/>
        <v>0</v>
      </c>
      <c r="V35" s="75">
        <f t="shared" si="5"/>
        <v>0</v>
      </c>
    </row>
    <row r="36" spans="1:23" x14ac:dyDescent="0.25">
      <c r="A36" s="27">
        <f t="shared" si="1"/>
        <v>33</v>
      </c>
      <c r="B36" s="26" t="s">
        <v>18</v>
      </c>
      <c r="C36" s="70"/>
      <c r="D36" s="70"/>
      <c r="E36" s="70"/>
      <c r="F36" s="70"/>
      <c r="G36" s="70"/>
      <c r="H36" s="70"/>
      <c r="I36" s="70"/>
      <c r="J36" s="71"/>
      <c r="K36" s="72"/>
      <c r="L36" s="55"/>
      <c r="M36" s="73"/>
      <c r="N36" s="74"/>
      <c r="O36" s="70"/>
      <c r="P36" s="71"/>
      <c r="Q36" s="71"/>
      <c r="R36" s="72"/>
      <c r="S36" s="55"/>
      <c r="T36" s="58">
        <f t="shared" si="0"/>
        <v>0</v>
      </c>
      <c r="U36" s="75">
        <f t="shared" si="4"/>
        <v>0</v>
      </c>
      <c r="V36" s="75">
        <f t="shared" si="5"/>
        <v>0</v>
      </c>
    </row>
    <row r="37" spans="1:23" ht="19.5" thickBot="1" x14ac:dyDescent="0.3">
      <c r="A37" s="27">
        <f t="shared" si="1"/>
        <v>34</v>
      </c>
      <c r="B37" s="42" t="s">
        <v>19</v>
      </c>
      <c r="C37" s="59">
        <f>22+3024</f>
        <v>3046</v>
      </c>
      <c r="D37" s="59"/>
      <c r="E37" s="59"/>
      <c r="F37" s="59"/>
      <c r="G37" s="59"/>
      <c r="H37" s="59">
        <v>4</v>
      </c>
      <c r="I37" s="59">
        <v>2</v>
      </c>
      <c r="J37" s="60">
        <v>5</v>
      </c>
      <c r="K37" s="61">
        <f>6+2</f>
        <v>8</v>
      </c>
      <c r="L37" s="62"/>
      <c r="M37" s="63">
        <v>6</v>
      </c>
      <c r="N37" s="64"/>
      <c r="O37" s="65">
        <v>10</v>
      </c>
      <c r="P37" s="66"/>
      <c r="Q37" s="66">
        <v>41</v>
      </c>
      <c r="R37" s="67"/>
      <c r="S37" s="62"/>
      <c r="T37" s="77">
        <f t="shared" si="0"/>
        <v>19</v>
      </c>
      <c r="U37" s="77">
        <f>C37*6+M37*6+O37*6+Q37*6+T37</f>
        <v>18637</v>
      </c>
      <c r="V37" s="77">
        <f>U37/6</f>
        <v>3106.1666666666665</v>
      </c>
      <c r="W37" s="50"/>
    </row>
    <row r="38" spans="1:23" x14ac:dyDescent="0.25">
      <c r="A38" s="27">
        <f t="shared" si="1"/>
        <v>35</v>
      </c>
      <c r="B38" s="25" t="s">
        <v>20</v>
      </c>
      <c r="C38" s="70"/>
      <c r="D38" s="70"/>
      <c r="E38" s="70"/>
      <c r="F38" s="70"/>
      <c r="G38" s="70"/>
      <c r="H38" s="70"/>
      <c r="I38" s="70"/>
      <c r="J38" s="71"/>
      <c r="K38" s="72"/>
      <c r="L38" s="55"/>
      <c r="M38" s="73"/>
      <c r="N38" s="74"/>
      <c r="O38" s="70">
        <v>1</v>
      </c>
      <c r="P38" s="71"/>
      <c r="Q38" s="71"/>
      <c r="R38" s="72"/>
      <c r="S38" s="55"/>
      <c r="T38" s="75">
        <f t="shared" si="0"/>
        <v>0</v>
      </c>
      <c r="U38" s="75">
        <f>C38*24+M38*24+O38*24+Q38*24+T38</f>
        <v>24</v>
      </c>
      <c r="V38" s="75">
        <f>U38/24</f>
        <v>1</v>
      </c>
    </row>
    <row r="39" spans="1:23" x14ac:dyDescent="0.25">
      <c r="A39" s="27">
        <f t="shared" si="1"/>
        <v>36</v>
      </c>
      <c r="B39" s="51" t="s">
        <v>62</v>
      </c>
      <c r="C39" s="78"/>
      <c r="D39" s="78"/>
      <c r="E39" s="78"/>
      <c r="F39" s="78"/>
      <c r="G39" s="78"/>
      <c r="H39" s="78"/>
      <c r="I39" s="78"/>
      <c r="J39" s="79"/>
      <c r="K39" s="80"/>
      <c r="L39" s="55"/>
      <c r="M39" s="73"/>
      <c r="N39" s="74"/>
      <c r="O39" s="70"/>
      <c r="P39" s="71"/>
      <c r="Q39" s="71"/>
      <c r="R39" s="72"/>
      <c r="S39" s="95"/>
      <c r="T39" s="75">
        <f t="shared" si="0"/>
        <v>0</v>
      </c>
      <c r="U39" s="75">
        <f>C39*24+M39*24+O39*24+Q39*24+T39</f>
        <v>0</v>
      </c>
      <c r="V39" s="75">
        <f>U39/24</f>
        <v>0</v>
      </c>
    </row>
    <row r="40" spans="1:23" ht="19.5" thickBot="1" x14ac:dyDescent="0.3">
      <c r="A40" s="27">
        <f t="shared" si="1"/>
        <v>37</v>
      </c>
      <c r="B40" s="42" t="s">
        <v>21</v>
      </c>
      <c r="C40" s="59">
        <f>252+58</f>
        <v>310</v>
      </c>
      <c r="D40" s="59"/>
      <c r="E40" s="59"/>
      <c r="F40" s="59"/>
      <c r="G40" s="59"/>
      <c r="H40" s="59"/>
      <c r="I40" s="59"/>
      <c r="J40" s="60"/>
      <c r="K40" s="61">
        <v>20</v>
      </c>
      <c r="L40" s="62"/>
      <c r="M40" s="63"/>
      <c r="N40" s="64"/>
      <c r="O40" s="65">
        <v>2</v>
      </c>
      <c r="P40" s="66"/>
      <c r="Q40" s="66"/>
      <c r="R40" s="67"/>
      <c r="S40" s="62"/>
      <c r="T40" s="77">
        <f t="shared" si="0"/>
        <v>20</v>
      </c>
      <c r="U40" s="77">
        <f>C40*24+M40*24+O40*24+Q40*24+T40</f>
        <v>7508</v>
      </c>
      <c r="V40" s="77">
        <f>U40/24</f>
        <v>312.83333333333331</v>
      </c>
    </row>
    <row r="41" spans="1:23" ht="19.5" thickBot="1" x14ac:dyDescent="0.3">
      <c r="A41" s="27">
        <f t="shared" si="1"/>
        <v>38</v>
      </c>
      <c r="B41" s="43" t="s">
        <v>22</v>
      </c>
      <c r="C41" s="82">
        <f>384+59</f>
        <v>443</v>
      </c>
      <c r="D41" s="82"/>
      <c r="E41" s="82"/>
      <c r="F41" s="82"/>
      <c r="G41" s="82"/>
      <c r="H41" s="82"/>
      <c r="I41" s="82"/>
      <c r="J41" s="83"/>
      <c r="K41" s="84"/>
      <c r="L41" s="85"/>
      <c r="M41" s="86"/>
      <c r="N41" s="87"/>
      <c r="O41" s="82">
        <v>8</v>
      </c>
      <c r="P41" s="83"/>
      <c r="Q41" s="83">
        <v>48</v>
      </c>
      <c r="R41" s="84"/>
      <c r="S41" s="85"/>
      <c r="T41" s="88">
        <f t="shared" si="0"/>
        <v>0</v>
      </c>
      <c r="U41" s="88">
        <f>C41*12+M41*12+O41*12+Q41*12+T41</f>
        <v>5988</v>
      </c>
      <c r="V41" s="88">
        <f>U41/12</f>
        <v>499</v>
      </c>
    </row>
    <row r="42" spans="1:23" hidden="1" x14ac:dyDescent="0.25">
      <c r="A42" s="27">
        <f t="shared" si="1"/>
        <v>39</v>
      </c>
      <c r="B42" s="25" t="s">
        <v>29</v>
      </c>
      <c r="C42" s="70"/>
      <c r="D42" s="70"/>
      <c r="E42" s="70"/>
      <c r="F42" s="70"/>
      <c r="G42" s="70"/>
      <c r="H42" s="70"/>
      <c r="I42" s="70"/>
      <c r="J42" s="71"/>
      <c r="K42" s="72"/>
      <c r="L42" s="55"/>
      <c r="M42" s="73"/>
      <c r="N42" s="74"/>
      <c r="O42" s="70"/>
      <c r="P42" s="71"/>
      <c r="Q42" s="71"/>
      <c r="R42" s="72"/>
      <c r="S42" s="55"/>
      <c r="T42" s="75"/>
      <c r="U42" s="75"/>
      <c r="V42" s="75"/>
    </row>
    <row r="43" spans="1:23" ht="19.5" thickBot="1" x14ac:dyDescent="0.3">
      <c r="A43" s="27">
        <f t="shared" si="1"/>
        <v>40</v>
      </c>
      <c r="B43" s="42" t="s">
        <v>23</v>
      </c>
      <c r="C43" s="65">
        <f>29+5076+19764+10260</f>
        <v>35129</v>
      </c>
      <c r="D43" s="65"/>
      <c r="E43" s="65"/>
      <c r="F43" s="65"/>
      <c r="G43" s="65"/>
      <c r="H43" s="65">
        <v>7</v>
      </c>
      <c r="I43" s="65">
        <v>12</v>
      </c>
      <c r="J43" s="66">
        <f>20*6</f>
        <v>120</v>
      </c>
      <c r="K43" s="67">
        <f>71*6+2</f>
        <v>428</v>
      </c>
      <c r="L43" s="62"/>
      <c r="M43" s="63">
        <v>59</v>
      </c>
      <c r="N43" s="64"/>
      <c r="O43" s="65">
        <v>83</v>
      </c>
      <c r="P43" s="66"/>
      <c r="Q43" s="66">
        <v>649</v>
      </c>
      <c r="R43" s="67"/>
      <c r="S43" s="62"/>
      <c r="T43" s="77">
        <f t="shared" ref="T43" si="6">H43+I43+J43+K43+N43+P43+R43</f>
        <v>567</v>
      </c>
      <c r="U43" s="77">
        <f>C43*6+M43*6+O43*6+Q43*6+T43</f>
        <v>216087</v>
      </c>
      <c r="V43" s="77">
        <f>U43/6</f>
        <v>36014.5</v>
      </c>
    </row>
    <row r="44" spans="1:23" hidden="1" x14ac:dyDescent="0.25">
      <c r="A44" s="27">
        <f t="shared" si="1"/>
        <v>41</v>
      </c>
      <c r="B44" s="25" t="s">
        <v>31</v>
      </c>
      <c r="C44" s="70"/>
      <c r="D44" s="70"/>
      <c r="E44" s="70"/>
      <c r="F44" s="70"/>
      <c r="G44" s="70"/>
      <c r="H44" s="70"/>
      <c r="I44" s="70"/>
      <c r="J44" s="71"/>
      <c r="K44" s="72"/>
      <c r="L44" s="55"/>
      <c r="M44" s="73"/>
      <c r="N44" s="74"/>
      <c r="O44" s="70"/>
      <c r="P44" s="71"/>
      <c r="Q44" s="71"/>
      <c r="R44" s="72"/>
      <c r="S44" s="55"/>
      <c r="T44" s="75"/>
      <c r="U44" s="75"/>
      <c r="V44" s="75"/>
    </row>
    <row r="45" spans="1:23" x14ac:dyDescent="0.25">
      <c r="A45" s="27">
        <f t="shared" si="1"/>
        <v>42</v>
      </c>
      <c r="B45" s="26" t="s">
        <v>24</v>
      </c>
      <c r="C45" s="70"/>
      <c r="D45" s="70"/>
      <c r="E45" s="70"/>
      <c r="F45" s="70"/>
      <c r="G45" s="70"/>
      <c r="H45" s="70"/>
      <c r="I45" s="70"/>
      <c r="J45" s="71"/>
      <c r="K45" s="72"/>
      <c r="L45" s="55"/>
      <c r="M45" s="73"/>
      <c r="N45" s="74"/>
      <c r="O45" s="70">
        <v>1</v>
      </c>
      <c r="P45" s="71"/>
      <c r="Q45" s="71"/>
      <c r="R45" s="72"/>
      <c r="S45" s="55"/>
      <c r="T45" s="75">
        <f t="shared" ref="T45:T54" si="7">H45+I45+J45+K45+N45+P45+R45</f>
        <v>0</v>
      </c>
      <c r="U45" s="75">
        <f>C45*24+M45*24+O45*24+Q45*24+T45</f>
        <v>24</v>
      </c>
      <c r="V45" s="75">
        <f>U45/24</f>
        <v>1</v>
      </c>
    </row>
    <row r="46" spans="1:23" x14ac:dyDescent="0.25">
      <c r="A46" s="27">
        <f t="shared" si="1"/>
        <v>43</v>
      </c>
      <c r="B46" s="26" t="s">
        <v>57</v>
      </c>
      <c r="C46" s="70"/>
      <c r="D46" s="70"/>
      <c r="E46" s="70"/>
      <c r="F46" s="70"/>
      <c r="G46" s="70"/>
      <c r="H46" s="70"/>
      <c r="I46" s="70"/>
      <c r="J46" s="71"/>
      <c r="K46" s="72"/>
      <c r="L46" s="55"/>
      <c r="M46" s="73"/>
      <c r="N46" s="74"/>
      <c r="O46" s="70"/>
      <c r="P46" s="71"/>
      <c r="Q46" s="71"/>
      <c r="R46" s="72"/>
      <c r="S46" s="55"/>
      <c r="T46" s="75">
        <f t="shared" si="7"/>
        <v>0</v>
      </c>
      <c r="U46" s="75">
        <f t="shared" ref="U46:U50" si="8">C46*24+M46*24+O46*24+Q46*24+T46</f>
        <v>0</v>
      </c>
      <c r="V46" s="75">
        <f t="shared" ref="V46:V54" si="9">U46/24</f>
        <v>0</v>
      </c>
    </row>
    <row r="47" spans="1:23" ht="19.5" thickBot="1" x14ac:dyDescent="0.3">
      <c r="A47" s="27">
        <f t="shared" si="1"/>
        <v>44</v>
      </c>
      <c r="B47" s="42" t="s">
        <v>25</v>
      </c>
      <c r="C47" s="65">
        <f>99+648+324+88+540+103+324+432+106</f>
        <v>2664</v>
      </c>
      <c r="D47" s="65"/>
      <c r="E47" s="65"/>
      <c r="F47" s="65"/>
      <c r="G47" s="65"/>
      <c r="H47" s="65">
        <v>1</v>
      </c>
      <c r="I47" s="65"/>
      <c r="J47" s="66"/>
      <c r="K47" s="67">
        <v>5</v>
      </c>
      <c r="L47" s="62"/>
      <c r="M47" s="63"/>
      <c r="N47" s="64"/>
      <c r="O47" s="65">
        <v>16</v>
      </c>
      <c r="P47" s="66"/>
      <c r="Q47" s="66">
        <v>5</v>
      </c>
      <c r="R47" s="67">
        <v>3</v>
      </c>
      <c r="S47" s="62"/>
      <c r="T47" s="77">
        <f t="shared" si="7"/>
        <v>9</v>
      </c>
      <c r="U47" s="77">
        <f>C47*6+M47*6+O47*6+Q47*6+T47</f>
        <v>16119</v>
      </c>
      <c r="V47" s="77">
        <f>U47/6</f>
        <v>2686.5</v>
      </c>
    </row>
    <row r="48" spans="1:23" x14ac:dyDescent="0.25">
      <c r="A48" s="27">
        <f t="shared" si="1"/>
        <v>45</v>
      </c>
      <c r="B48" s="25" t="s">
        <v>58</v>
      </c>
      <c r="C48" s="70"/>
      <c r="D48" s="70"/>
      <c r="E48" s="70"/>
      <c r="F48" s="70"/>
      <c r="G48" s="70"/>
      <c r="H48" s="70">
        <v>24</v>
      </c>
      <c r="I48" s="70"/>
      <c r="J48" s="71"/>
      <c r="K48" s="72"/>
      <c r="L48" s="55"/>
      <c r="M48" s="73"/>
      <c r="N48" s="74"/>
      <c r="O48" s="70"/>
      <c r="P48" s="71"/>
      <c r="Q48" s="71"/>
      <c r="R48" s="72"/>
      <c r="S48" s="55"/>
      <c r="T48" s="75">
        <f t="shared" si="7"/>
        <v>24</v>
      </c>
      <c r="U48" s="75">
        <f t="shared" si="8"/>
        <v>24</v>
      </c>
      <c r="V48" s="75">
        <f t="shared" si="9"/>
        <v>1</v>
      </c>
    </row>
    <row r="49" spans="1:22" x14ac:dyDescent="0.25">
      <c r="A49" s="27">
        <f t="shared" si="1"/>
        <v>46</v>
      </c>
      <c r="B49" s="26" t="s">
        <v>26</v>
      </c>
      <c r="C49" s="70"/>
      <c r="D49" s="70"/>
      <c r="E49" s="70"/>
      <c r="F49" s="70"/>
      <c r="G49" s="70"/>
      <c r="H49" s="70"/>
      <c r="I49" s="70"/>
      <c r="J49" s="71"/>
      <c r="K49" s="72"/>
      <c r="L49" s="55"/>
      <c r="M49" s="73"/>
      <c r="N49" s="74"/>
      <c r="O49" s="70"/>
      <c r="P49" s="71"/>
      <c r="Q49" s="71"/>
      <c r="R49" s="72"/>
      <c r="S49" s="55"/>
      <c r="T49" s="75">
        <f t="shared" si="7"/>
        <v>0</v>
      </c>
      <c r="U49" s="75">
        <f t="shared" si="8"/>
        <v>0</v>
      </c>
      <c r="V49" s="75">
        <f t="shared" si="9"/>
        <v>0</v>
      </c>
    </row>
    <row r="50" spans="1:22" x14ac:dyDescent="0.25">
      <c r="A50" s="27">
        <f t="shared" si="1"/>
        <v>47</v>
      </c>
      <c r="B50" s="26" t="s">
        <v>59</v>
      </c>
      <c r="C50" s="70"/>
      <c r="D50" s="70"/>
      <c r="E50" s="70"/>
      <c r="F50" s="70"/>
      <c r="G50" s="70"/>
      <c r="H50" s="70"/>
      <c r="I50" s="70"/>
      <c r="J50" s="71"/>
      <c r="K50" s="72"/>
      <c r="L50" s="55"/>
      <c r="M50" s="73"/>
      <c r="N50" s="74"/>
      <c r="O50" s="70"/>
      <c r="P50" s="71"/>
      <c r="Q50" s="71"/>
      <c r="R50" s="72"/>
      <c r="S50" s="55"/>
      <c r="T50" s="75">
        <f t="shared" si="7"/>
        <v>0</v>
      </c>
      <c r="U50" s="75">
        <f t="shared" si="8"/>
        <v>0</v>
      </c>
      <c r="V50" s="75">
        <f t="shared" si="9"/>
        <v>0</v>
      </c>
    </row>
    <row r="51" spans="1:22" ht="19.5" thickBot="1" x14ac:dyDescent="0.3">
      <c r="A51" s="27">
        <f t="shared" si="1"/>
        <v>48</v>
      </c>
      <c r="B51" s="42" t="s">
        <v>27</v>
      </c>
      <c r="C51" s="65">
        <v>34</v>
      </c>
      <c r="D51" s="65"/>
      <c r="E51" s="65"/>
      <c r="F51" s="65"/>
      <c r="G51" s="65"/>
      <c r="H51" s="65"/>
      <c r="I51" s="65"/>
      <c r="J51" s="66"/>
      <c r="K51" s="67"/>
      <c r="L51" s="62"/>
      <c r="M51" s="63"/>
      <c r="N51" s="64"/>
      <c r="O51" s="65"/>
      <c r="P51" s="66"/>
      <c r="Q51" s="66"/>
      <c r="R51" s="67"/>
      <c r="S51" s="62"/>
      <c r="T51" s="77">
        <f t="shared" si="7"/>
        <v>0</v>
      </c>
      <c r="U51" s="77">
        <f>C51*6+M51*6+O51*6+Q51*6+T51</f>
        <v>204</v>
      </c>
      <c r="V51" s="77">
        <f>U51/6</f>
        <v>34</v>
      </c>
    </row>
    <row r="52" spans="1:22" x14ac:dyDescent="0.25">
      <c r="A52" s="27">
        <f t="shared" si="1"/>
        <v>49</v>
      </c>
      <c r="B52" s="25" t="s">
        <v>28</v>
      </c>
      <c r="C52" s="70"/>
      <c r="D52" s="70"/>
      <c r="E52" s="70"/>
      <c r="F52" s="70"/>
      <c r="G52" s="70"/>
      <c r="H52" s="70"/>
      <c r="I52" s="70"/>
      <c r="J52" s="71"/>
      <c r="K52" s="72"/>
      <c r="L52" s="55"/>
      <c r="M52" s="73"/>
      <c r="N52" s="74"/>
      <c r="O52" s="70"/>
      <c r="P52" s="71"/>
      <c r="Q52" s="71"/>
      <c r="R52" s="72"/>
      <c r="S52" s="55"/>
      <c r="T52" s="75">
        <f t="shared" si="7"/>
        <v>0</v>
      </c>
      <c r="U52" s="75">
        <f t="shared" ref="U52:U54" si="10">C52*24+M52*24+O52*24+Q52*24+T52</f>
        <v>0</v>
      </c>
      <c r="V52" s="75">
        <f t="shared" si="9"/>
        <v>0</v>
      </c>
    </row>
    <row r="53" spans="1:22" x14ac:dyDescent="0.25">
      <c r="A53" s="27">
        <f t="shared" si="1"/>
        <v>50</v>
      </c>
      <c r="B53" s="26" t="s">
        <v>63</v>
      </c>
      <c r="C53" s="70">
        <v>7</v>
      </c>
      <c r="D53" s="70"/>
      <c r="E53" s="70"/>
      <c r="F53" s="70"/>
      <c r="G53" s="70"/>
      <c r="H53" s="70"/>
      <c r="I53" s="70"/>
      <c r="J53" s="71"/>
      <c r="K53" s="72"/>
      <c r="L53" s="55"/>
      <c r="M53" s="73"/>
      <c r="N53" s="74"/>
      <c r="O53" s="70"/>
      <c r="P53" s="71"/>
      <c r="Q53" s="71"/>
      <c r="R53" s="72"/>
      <c r="S53" s="55"/>
      <c r="T53" s="75">
        <f t="shared" si="7"/>
        <v>0</v>
      </c>
      <c r="U53" s="75">
        <f t="shared" si="10"/>
        <v>168</v>
      </c>
      <c r="V53" s="75">
        <f t="shared" si="9"/>
        <v>7</v>
      </c>
    </row>
    <row r="54" spans="1:22" x14ac:dyDescent="0.25">
      <c r="A54" s="27">
        <f t="shared" si="1"/>
        <v>51</v>
      </c>
      <c r="B54" s="26"/>
      <c r="C54" s="70"/>
      <c r="D54" s="70"/>
      <c r="E54" s="70"/>
      <c r="F54" s="70"/>
      <c r="G54" s="70"/>
      <c r="H54" s="70"/>
      <c r="I54" s="70"/>
      <c r="J54" s="71"/>
      <c r="K54" s="72"/>
      <c r="L54" s="55"/>
      <c r="M54" s="73"/>
      <c r="N54" s="74"/>
      <c r="O54" s="70"/>
      <c r="P54" s="71"/>
      <c r="Q54" s="71"/>
      <c r="R54" s="72"/>
      <c r="S54" s="55"/>
      <c r="T54" s="75">
        <f t="shared" si="7"/>
        <v>0</v>
      </c>
      <c r="U54" s="75">
        <f t="shared" si="10"/>
        <v>0</v>
      </c>
      <c r="V54" s="75">
        <f t="shared" si="9"/>
        <v>0</v>
      </c>
    </row>
    <row r="55" spans="1:22" x14ac:dyDescent="0.25">
      <c r="A55" s="27">
        <f t="shared" si="1"/>
        <v>52</v>
      </c>
      <c r="B55" s="26"/>
      <c r="C55" s="70"/>
      <c r="D55" s="70"/>
      <c r="E55" s="70"/>
      <c r="F55" s="70"/>
      <c r="G55" s="70"/>
      <c r="H55" s="70"/>
      <c r="I55" s="70"/>
      <c r="J55" s="71"/>
      <c r="K55" s="72"/>
      <c r="L55" s="55"/>
      <c r="M55" s="73"/>
      <c r="N55" s="74"/>
      <c r="O55" s="70"/>
      <c r="P55" s="71"/>
      <c r="Q55" s="71"/>
      <c r="R55" s="72"/>
      <c r="S55" s="55"/>
      <c r="T55" s="75"/>
      <c r="U55" s="75"/>
      <c r="V55" s="75"/>
    </row>
    <row r="56" spans="1:22" x14ac:dyDescent="0.25">
      <c r="A56" s="27">
        <f t="shared" si="1"/>
        <v>53</v>
      </c>
      <c r="B56" s="26"/>
      <c r="C56" s="70"/>
      <c r="D56" s="70"/>
      <c r="E56" s="70"/>
      <c r="F56" s="70"/>
      <c r="G56" s="70"/>
      <c r="H56" s="70"/>
      <c r="I56" s="70"/>
      <c r="J56" s="71"/>
      <c r="K56" s="72"/>
      <c r="L56" s="55"/>
      <c r="M56" s="73"/>
      <c r="N56" s="74"/>
      <c r="O56" s="70"/>
      <c r="P56" s="71"/>
      <c r="Q56" s="71"/>
      <c r="R56" s="72"/>
      <c r="S56" s="55"/>
      <c r="T56" s="75"/>
      <c r="U56" s="75"/>
      <c r="V56" s="75"/>
    </row>
    <row r="57" spans="1:22" x14ac:dyDescent="0.25">
      <c r="A57" s="27">
        <f t="shared" si="1"/>
        <v>54</v>
      </c>
      <c r="B57" s="26"/>
      <c r="C57" s="70"/>
      <c r="D57" s="70"/>
      <c r="E57" s="70"/>
      <c r="F57" s="70"/>
      <c r="G57" s="70"/>
      <c r="H57" s="70"/>
      <c r="I57" s="70"/>
      <c r="J57" s="71"/>
      <c r="K57" s="72"/>
      <c r="L57" s="55"/>
      <c r="M57" s="73"/>
      <c r="N57" s="74"/>
      <c r="O57" s="70"/>
      <c r="P57" s="71"/>
      <c r="Q57" s="71"/>
      <c r="R57" s="72"/>
      <c r="S57" s="55"/>
      <c r="T57" s="75"/>
      <c r="U57" s="75"/>
      <c r="V57" s="75"/>
    </row>
    <row r="58" spans="1:22" s="15" customFormat="1" ht="19.5" thickBot="1" x14ac:dyDescent="0.3">
      <c r="B58" s="29" t="s">
        <v>50</v>
      </c>
      <c r="C58" s="2">
        <f>SUM(C7:C57)</f>
        <v>45444</v>
      </c>
      <c r="D58" s="2"/>
      <c r="E58" s="2"/>
      <c r="F58" s="2">
        <f t="shared" ref="F58:K58" si="11">SUM(F7:F57)</f>
        <v>0</v>
      </c>
      <c r="G58" s="2">
        <f t="shared" si="11"/>
        <v>0</v>
      </c>
      <c r="H58" s="2">
        <f t="shared" si="11"/>
        <v>1195</v>
      </c>
      <c r="I58" s="6">
        <f t="shared" si="11"/>
        <v>44</v>
      </c>
      <c r="J58" s="6">
        <f t="shared" si="11"/>
        <v>125</v>
      </c>
      <c r="K58" s="6">
        <f t="shared" si="11"/>
        <v>470</v>
      </c>
      <c r="M58" s="5">
        <f t="shared" ref="M58:R58" si="12">SUM(M7:M57)</f>
        <v>71</v>
      </c>
      <c r="N58" s="5">
        <f t="shared" si="12"/>
        <v>9</v>
      </c>
      <c r="O58" s="5">
        <f t="shared" si="12"/>
        <v>132</v>
      </c>
      <c r="P58" s="5">
        <f t="shared" si="12"/>
        <v>24</v>
      </c>
      <c r="Q58" s="5">
        <f t="shared" si="12"/>
        <v>781</v>
      </c>
      <c r="R58" s="5">
        <f t="shared" si="12"/>
        <v>9</v>
      </c>
      <c r="S58" s="55"/>
      <c r="T58" s="4">
        <f>SUM(T7:T57)</f>
        <v>1876</v>
      </c>
      <c r="U58" s="90">
        <f>SUM(U7:U57)</f>
        <v>358804</v>
      </c>
      <c r="V58" s="4">
        <f>SUM(V7:V57)</f>
        <v>46580.541666666664</v>
      </c>
    </row>
    <row r="59" spans="1:22" ht="7.5" customHeight="1" thickBot="1" x14ac:dyDescent="0.3"/>
    <row r="60" spans="1:22" ht="19.5" thickBot="1" x14ac:dyDescent="0.3">
      <c r="B60" s="30" t="s">
        <v>37</v>
      </c>
      <c r="C60" s="113" t="s">
        <v>41</v>
      </c>
      <c r="D60" s="114"/>
      <c r="E60" s="114"/>
      <c r="F60" s="114"/>
      <c r="G60" s="114"/>
      <c r="H60" s="114"/>
      <c r="I60" s="114"/>
      <c r="J60" s="114"/>
      <c r="K60" s="115"/>
      <c r="U60" s="24" t="s">
        <v>51</v>
      </c>
    </row>
    <row r="61" spans="1:22" x14ac:dyDescent="0.25">
      <c r="B61" s="31" t="s">
        <v>17</v>
      </c>
      <c r="C61" s="19"/>
      <c r="D61" s="19"/>
      <c r="E61" s="19"/>
      <c r="F61" s="19"/>
      <c r="G61" s="19"/>
      <c r="H61" s="19"/>
      <c r="I61" s="19"/>
      <c r="J61" s="45"/>
      <c r="K61" s="20"/>
      <c r="U61" s="7"/>
    </row>
    <row r="62" spans="1:22" x14ac:dyDescent="0.25">
      <c r="B62" s="32" t="s">
        <v>45</v>
      </c>
      <c r="C62" s="1"/>
      <c r="D62" s="1"/>
      <c r="E62" s="1"/>
      <c r="F62" s="1"/>
      <c r="G62" s="1"/>
      <c r="H62" s="1"/>
      <c r="I62" s="1"/>
      <c r="J62" s="44"/>
      <c r="K62" s="21"/>
      <c r="U62" s="3"/>
    </row>
    <row r="63" spans="1:22" ht="19.5" thickBot="1" x14ac:dyDescent="0.3">
      <c r="B63" s="33" t="s">
        <v>44</v>
      </c>
      <c r="C63" s="22"/>
      <c r="D63" s="22"/>
      <c r="E63" s="22"/>
      <c r="F63" s="22"/>
      <c r="G63" s="22"/>
      <c r="H63" s="22"/>
      <c r="I63" s="22"/>
      <c r="J63" s="46"/>
      <c r="K63" s="23"/>
      <c r="U63" s="8"/>
    </row>
    <row r="64" spans="1:22" ht="7.5" customHeight="1" thickBot="1" x14ac:dyDescent="0.3"/>
    <row r="65" spans="2:21" x14ac:dyDescent="0.25">
      <c r="B65" s="31" t="s">
        <v>46</v>
      </c>
      <c r="C65" s="19"/>
      <c r="D65" s="19"/>
      <c r="E65" s="19"/>
      <c r="F65" s="19"/>
      <c r="G65" s="19"/>
      <c r="H65" s="19"/>
      <c r="I65" s="19"/>
      <c r="J65" s="45"/>
      <c r="K65" s="20"/>
      <c r="U65" s="7"/>
    </row>
    <row r="66" spans="2:21" x14ac:dyDescent="0.25">
      <c r="B66" s="32" t="s">
        <v>45</v>
      </c>
      <c r="C66" s="1"/>
      <c r="D66" s="1"/>
      <c r="E66" s="1"/>
      <c r="F66" s="1"/>
      <c r="G66" s="1"/>
      <c r="H66" s="1"/>
      <c r="I66" s="1"/>
      <c r="J66" s="44"/>
      <c r="K66" s="21"/>
      <c r="U66" s="3"/>
    </row>
    <row r="67" spans="2:21" ht="19.5" thickBot="1" x14ac:dyDescent="0.3">
      <c r="B67" s="33" t="s">
        <v>44</v>
      </c>
      <c r="C67" s="22"/>
      <c r="D67" s="22"/>
      <c r="E67" s="22"/>
      <c r="F67" s="22"/>
      <c r="G67" s="22"/>
      <c r="H67" s="22"/>
      <c r="I67" s="22"/>
      <c r="J67" s="46"/>
      <c r="K67" s="23"/>
      <c r="U67" s="8"/>
    </row>
    <row r="68" spans="2:21" ht="7.5" customHeight="1" thickBot="1" x14ac:dyDescent="0.3"/>
    <row r="69" spans="2:21" x14ac:dyDescent="0.25">
      <c r="B69" s="31" t="s">
        <v>38</v>
      </c>
      <c r="C69" s="19"/>
      <c r="D69" s="19"/>
      <c r="E69" s="19"/>
      <c r="F69" s="19"/>
      <c r="G69" s="19"/>
      <c r="H69" s="19"/>
      <c r="I69" s="19"/>
      <c r="J69" s="45"/>
      <c r="K69" s="20"/>
      <c r="U69" s="7"/>
    </row>
    <row r="70" spans="2:21" x14ac:dyDescent="0.25">
      <c r="B70" s="32" t="s">
        <v>45</v>
      </c>
      <c r="C70" s="1"/>
      <c r="D70" s="1"/>
      <c r="E70" s="1"/>
      <c r="F70" s="1"/>
      <c r="G70" s="1"/>
      <c r="H70" s="1"/>
      <c r="I70" s="1"/>
      <c r="J70" s="44"/>
      <c r="K70" s="21"/>
      <c r="U70" s="3"/>
    </row>
    <row r="71" spans="2:21" ht="19.5" thickBot="1" x14ac:dyDescent="0.3">
      <c r="B71" s="33" t="s">
        <v>44</v>
      </c>
      <c r="C71" s="22"/>
      <c r="D71" s="22"/>
      <c r="E71" s="22"/>
      <c r="F71" s="22"/>
      <c r="G71" s="22"/>
      <c r="H71" s="22"/>
      <c r="I71" s="22"/>
      <c r="J71" s="46"/>
      <c r="K71" s="23"/>
      <c r="U71" s="8"/>
    </row>
    <row r="72" spans="2:21" ht="7.5" customHeight="1" thickBot="1" x14ac:dyDescent="0.3"/>
    <row r="73" spans="2:21" x14ac:dyDescent="0.25">
      <c r="B73" s="31" t="s">
        <v>47</v>
      </c>
      <c r="C73" s="19"/>
      <c r="D73" s="19"/>
      <c r="E73" s="19"/>
      <c r="F73" s="19"/>
      <c r="G73" s="19"/>
      <c r="H73" s="19"/>
      <c r="I73" s="19"/>
      <c r="J73" s="45"/>
      <c r="K73" s="20"/>
      <c r="U73" s="7"/>
    </row>
    <row r="74" spans="2:21" x14ac:dyDescent="0.25">
      <c r="B74" s="32" t="s">
        <v>45</v>
      </c>
      <c r="C74" s="1"/>
      <c r="D74" s="1"/>
      <c r="E74" s="1"/>
      <c r="F74" s="1"/>
      <c r="G74" s="1"/>
      <c r="H74" s="1"/>
      <c r="I74" s="1"/>
      <c r="J74" s="44"/>
      <c r="K74" s="21"/>
      <c r="U74" s="3"/>
    </row>
    <row r="75" spans="2:21" ht="19.5" thickBot="1" x14ac:dyDescent="0.3">
      <c r="B75" s="33" t="s">
        <v>44</v>
      </c>
      <c r="C75" s="22"/>
      <c r="D75" s="22"/>
      <c r="E75" s="22"/>
      <c r="F75" s="22"/>
      <c r="G75" s="22"/>
      <c r="H75" s="22"/>
      <c r="I75" s="22"/>
      <c r="J75" s="46"/>
      <c r="K75" s="23"/>
      <c r="U75" s="8"/>
    </row>
    <row r="76" spans="2:21" ht="7.5" customHeight="1" thickBot="1" x14ac:dyDescent="0.3"/>
    <row r="77" spans="2:21" x14ac:dyDescent="0.25">
      <c r="B77" s="31" t="s">
        <v>48</v>
      </c>
      <c r="C77" s="19"/>
      <c r="D77" s="19"/>
      <c r="E77" s="19"/>
      <c r="F77" s="19"/>
      <c r="G77" s="19"/>
      <c r="H77" s="19"/>
      <c r="I77" s="19"/>
      <c r="J77" s="45"/>
      <c r="K77" s="20"/>
      <c r="U77" s="7"/>
    </row>
    <row r="78" spans="2:21" x14ac:dyDescent="0.25">
      <c r="B78" s="32" t="s">
        <v>45</v>
      </c>
      <c r="C78" s="1"/>
      <c r="D78" s="1"/>
      <c r="E78" s="1"/>
      <c r="F78" s="1"/>
      <c r="G78" s="1"/>
      <c r="H78" s="1"/>
      <c r="I78" s="1"/>
      <c r="J78" s="44"/>
      <c r="K78" s="21"/>
      <c r="U78" s="3"/>
    </row>
    <row r="79" spans="2:21" ht="19.5" thickBot="1" x14ac:dyDescent="0.3">
      <c r="B79" s="33" t="s">
        <v>44</v>
      </c>
      <c r="C79" s="22"/>
      <c r="D79" s="22"/>
      <c r="E79" s="22"/>
      <c r="F79" s="22"/>
      <c r="G79" s="22"/>
      <c r="H79" s="22"/>
      <c r="I79" s="22"/>
      <c r="J79" s="46"/>
      <c r="K79" s="23"/>
      <c r="U79" s="8"/>
    </row>
    <row r="80" spans="2:21" ht="7.5" customHeight="1" thickBot="1" x14ac:dyDescent="0.3"/>
    <row r="81" spans="2:21" ht="19.5" thickBot="1" x14ac:dyDescent="0.3">
      <c r="B81" s="30" t="s">
        <v>49</v>
      </c>
      <c r="C81" s="17"/>
      <c r="D81" s="17"/>
      <c r="E81" s="17"/>
      <c r="F81" s="17"/>
      <c r="G81" s="17"/>
      <c r="H81" s="17"/>
      <c r="I81" s="17"/>
      <c r="J81" s="47"/>
      <c r="K81" s="18"/>
      <c r="U81" s="16"/>
    </row>
  </sheetData>
  <mergeCells count="7">
    <mergeCell ref="V4:V5"/>
    <mergeCell ref="J5:K5"/>
    <mergeCell ref="C60:K60"/>
    <mergeCell ref="I1:U1"/>
    <mergeCell ref="C4:K4"/>
    <mergeCell ref="T4:T5"/>
    <mergeCell ref="U4:U5"/>
  </mergeCells>
  <printOptions horizontalCentered="1" verticalCentered="1"/>
  <pageMargins left="0.19685039370078741" right="0.19685039370078741" top="0.19685039370078741" bottom="0.19685039370078741" header="0.19685039370078741" footer="0.19685039370078741"/>
  <pageSetup paperSize="14" scale="70" orientation="portrait" horizontalDpi="360" verticalDpi="360" r:id="rId1"/>
  <colBreaks count="1" manualBreakCount="1">
    <brk id="24" max="80" man="1"/>
  </colBreaks>
</worksheet>
</file>

<file path=xl/worksheets/sheet1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E781345A-7049-41C1-9AF7-510409E4FE33}">
  <sheetPr>
    <pageSetUpPr fitToPage="1"/>
  </sheetPr>
  <dimension ref="A1:BB81"/>
  <sheetViews>
    <sheetView zoomScale="91" zoomScaleNormal="91" zoomScaleSheetLayoutView="115" workbookViewId="0">
      <selection activeCell="A12" sqref="A12"/>
    </sheetView>
  </sheetViews>
  <sheetFormatPr defaultColWidth="9.140625" defaultRowHeight="18.75" x14ac:dyDescent="0.25"/>
  <cols>
    <col min="1" max="1" width="4.140625" style="9" bestFit="1" customWidth="1"/>
    <col min="2" max="2" width="12.28515625" style="28" customWidth="1"/>
    <col min="3" max="6" width="10" style="9" customWidth="1"/>
    <col min="7" max="7" width="6.85546875" style="9" customWidth="1"/>
    <col min="8" max="8" width="7.5703125" style="9" bestFit="1" customWidth="1"/>
    <col min="9" max="9" width="6.7109375" style="9" bestFit="1" customWidth="1"/>
    <col min="10" max="10" width="6.85546875" style="9" customWidth="1"/>
    <col min="11" max="11" width="7.5703125" style="9" bestFit="1" customWidth="1"/>
    <col min="12" max="12" width="1.42578125" style="9" customWidth="1"/>
    <col min="13" max="13" width="10" style="9" customWidth="1"/>
    <col min="14" max="14" width="6.7109375" style="9" bestFit="1" customWidth="1"/>
    <col min="15" max="15" width="10" style="9" customWidth="1"/>
    <col min="16" max="16" width="5.5703125" style="9" customWidth="1"/>
    <col min="17" max="17" width="10" style="9" customWidth="1"/>
    <col min="18" max="18" width="6.7109375" style="9" bestFit="1" customWidth="1"/>
    <col min="19" max="19" width="1.42578125" style="9" customWidth="1"/>
    <col min="20" max="20" width="12.7109375" style="9" bestFit="1" customWidth="1"/>
    <col min="21" max="21" width="14.28515625" style="9" customWidth="1"/>
    <col min="22" max="22" width="19.5703125" style="9" bestFit="1" customWidth="1"/>
    <col min="23" max="49" width="7.28515625" style="9" customWidth="1"/>
    <col min="50" max="50" width="1.5703125" style="9" customWidth="1"/>
    <col min="51" max="51" width="9.42578125" style="9" customWidth="1"/>
    <col min="52" max="52" width="1.28515625" style="9" customWidth="1"/>
    <col min="53" max="53" width="12.7109375" style="9" bestFit="1" customWidth="1"/>
    <col min="54" max="54" width="10.28515625" style="9" bestFit="1" customWidth="1"/>
    <col min="55" max="16384" width="9.140625" style="9"/>
  </cols>
  <sheetData>
    <row r="1" spans="1:54" ht="15" customHeight="1" x14ac:dyDescent="0.25">
      <c r="B1" s="27" t="s">
        <v>42</v>
      </c>
      <c r="I1" s="116" t="s">
        <v>43</v>
      </c>
      <c r="J1" s="116"/>
      <c r="K1" s="116"/>
      <c r="L1" s="116"/>
      <c r="M1" s="116"/>
      <c r="N1" s="116"/>
      <c r="O1" s="116"/>
      <c r="P1" s="116"/>
      <c r="Q1" s="116"/>
      <c r="R1" s="116"/>
      <c r="S1" s="116"/>
      <c r="T1" s="116"/>
      <c r="U1" s="116"/>
    </row>
    <row r="2" spans="1:54" x14ac:dyDescent="0.25">
      <c r="B2" s="28" t="s">
        <v>82</v>
      </c>
    </row>
    <row r="3" spans="1:54" ht="19.5" thickBot="1" x14ac:dyDescent="0.3"/>
    <row r="4" spans="1:54" s="10" customFormat="1" ht="15.75" x14ac:dyDescent="0.25">
      <c r="B4" s="41" t="s">
        <v>52</v>
      </c>
      <c r="C4" s="117" t="s">
        <v>41</v>
      </c>
      <c r="D4" s="117"/>
      <c r="E4" s="117"/>
      <c r="F4" s="117"/>
      <c r="G4" s="117"/>
      <c r="H4" s="117"/>
      <c r="I4" s="117"/>
      <c r="J4" s="118"/>
      <c r="K4" s="119"/>
      <c r="M4" s="34" t="s">
        <v>0</v>
      </c>
      <c r="N4" s="48" t="s">
        <v>61</v>
      </c>
      <c r="O4" s="35" t="s">
        <v>39</v>
      </c>
      <c r="P4" s="48" t="s">
        <v>61</v>
      </c>
      <c r="Q4" s="36" t="s">
        <v>40</v>
      </c>
      <c r="R4" s="48" t="s">
        <v>61</v>
      </c>
      <c r="S4" s="9"/>
      <c r="T4" s="120" t="s">
        <v>68</v>
      </c>
      <c r="U4" s="126" t="s">
        <v>67</v>
      </c>
      <c r="V4" s="109" t="s">
        <v>66</v>
      </c>
      <c r="AF4" s="11"/>
      <c r="AG4" s="11"/>
      <c r="AH4" s="11"/>
      <c r="AI4" s="11"/>
      <c r="AJ4" s="11"/>
      <c r="AK4" s="11"/>
      <c r="AL4" s="11"/>
      <c r="AM4" s="11"/>
      <c r="AN4" s="11"/>
      <c r="AO4" s="11"/>
      <c r="AP4" s="11"/>
      <c r="AQ4" s="11"/>
      <c r="AR4" s="11"/>
      <c r="AS4" s="11"/>
      <c r="AT4" s="11"/>
      <c r="AU4" s="11"/>
      <c r="AV4" s="11"/>
      <c r="AW4" s="11"/>
      <c r="AX4" s="11"/>
      <c r="AY4" s="11"/>
      <c r="AZ4" s="11"/>
      <c r="BA4" s="11"/>
      <c r="BB4" s="11"/>
    </row>
    <row r="5" spans="1:54" s="10" customFormat="1" ht="15.75" x14ac:dyDescent="0.25">
      <c r="B5" s="37"/>
      <c r="C5" s="40"/>
      <c r="D5" s="40"/>
      <c r="E5" s="40"/>
      <c r="F5" s="40"/>
      <c r="G5" s="40"/>
      <c r="H5" s="40" t="s">
        <v>64</v>
      </c>
      <c r="I5" s="40" t="s">
        <v>60</v>
      </c>
      <c r="J5" s="124" t="s">
        <v>65</v>
      </c>
      <c r="K5" s="125"/>
      <c r="M5" s="37"/>
      <c r="N5" s="49"/>
      <c r="O5" s="40"/>
      <c r="P5" s="99"/>
      <c r="Q5" s="99"/>
      <c r="R5" s="38"/>
      <c r="S5" s="9"/>
      <c r="T5" s="121"/>
      <c r="U5" s="127"/>
      <c r="V5" s="110"/>
      <c r="AF5" s="11"/>
      <c r="AG5" s="11"/>
      <c r="AH5" s="11"/>
      <c r="AI5" s="11"/>
      <c r="AJ5" s="11"/>
      <c r="AK5" s="11"/>
      <c r="AL5" s="11"/>
      <c r="AM5" s="11"/>
      <c r="AN5" s="11"/>
      <c r="AO5" s="11"/>
      <c r="AP5" s="11"/>
      <c r="AQ5" s="11"/>
      <c r="AR5" s="11"/>
      <c r="AS5" s="11"/>
      <c r="AT5" s="11"/>
      <c r="AU5" s="11"/>
      <c r="AV5" s="11"/>
      <c r="AW5" s="11"/>
      <c r="AX5" s="11"/>
      <c r="AY5" s="11"/>
      <c r="AZ5" s="11"/>
      <c r="BA5" s="11"/>
      <c r="BB5" s="11"/>
    </row>
    <row r="6" spans="1:54" s="10" customFormat="1" ht="15.75" x14ac:dyDescent="0.25">
      <c r="B6" s="37"/>
      <c r="C6" s="40"/>
      <c r="D6" s="40"/>
      <c r="E6" s="40"/>
      <c r="F6" s="40"/>
      <c r="G6" s="40"/>
      <c r="H6" s="40"/>
      <c r="I6" s="40"/>
      <c r="J6" s="99"/>
      <c r="K6" s="38"/>
      <c r="M6" s="37"/>
      <c r="N6" s="49"/>
      <c r="O6" s="40"/>
      <c r="P6" s="99"/>
      <c r="Q6" s="99"/>
      <c r="R6" s="38"/>
      <c r="S6" s="9"/>
      <c r="T6" s="39"/>
      <c r="U6" s="39"/>
      <c r="V6" s="39"/>
      <c r="AF6" s="11"/>
      <c r="AG6" s="11"/>
      <c r="AH6" s="11"/>
      <c r="AI6" s="11"/>
      <c r="AJ6" s="11"/>
      <c r="AK6" s="11"/>
      <c r="AL6" s="11"/>
      <c r="AM6" s="11"/>
      <c r="AN6" s="11"/>
      <c r="AO6" s="11"/>
      <c r="AP6" s="11"/>
      <c r="AQ6" s="11"/>
      <c r="AR6" s="11"/>
      <c r="AS6" s="11"/>
      <c r="AT6" s="11"/>
      <c r="AU6" s="11"/>
      <c r="AV6" s="11"/>
      <c r="AW6" s="11"/>
      <c r="AX6" s="11"/>
      <c r="AY6" s="11"/>
      <c r="AZ6" s="11"/>
      <c r="BA6" s="11"/>
      <c r="BB6" s="11"/>
    </row>
    <row r="7" spans="1:54" x14ac:dyDescent="0.25">
      <c r="A7" s="27">
        <v>1</v>
      </c>
      <c r="B7" s="26" t="s">
        <v>32</v>
      </c>
      <c r="C7" s="52">
        <v>32</v>
      </c>
      <c r="D7" s="52"/>
      <c r="E7" s="52"/>
      <c r="F7" s="52"/>
      <c r="G7" s="52"/>
      <c r="H7" s="52"/>
      <c r="I7" s="52">
        <v>3</v>
      </c>
      <c r="J7" s="53"/>
      <c r="K7" s="54">
        <v>6</v>
      </c>
      <c r="L7" s="55"/>
      <c r="M7" s="56"/>
      <c r="N7" s="57"/>
      <c r="O7" s="52">
        <v>1</v>
      </c>
      <c r="P7" s="53"/>
      <c r="Q7" s="53"/>
      <c r="R7" s="54"/>
      <c r="S7" s="55"/>
      <c r="T7" s="58">
        <f>H7+I7+J7+K7+N7+P7+R7</f>
        <v>9</v>
      </c>
      <c r="U7" s="58">
        <f>C7*24+M7*24+O7*24+Q7*24+T7</f>
        <v>801</v>
      </c>
      <c r="V7" s="58">
        <f>U7/24</f>
        <v>33.375</v>
      </c>
      <c r="W7" s="50"/>
      <c r="AF7" s="12"/>
      <c r="AG7" s="12"/>
      <c r="AH7" s="12"/>
      <c r="AI7" s="12"/>
      <c r="AJ7" s="12"/>
      <c r="AK7" s="12"/>
      <c r="AL7" s="12"/>
      <c r="AM7" s="12"/>
      <c r="AN7" s="12"/>
      <c r="AO7" s="12"/>
      <c r="AP7" s="12"/>
      <c r="AQ7" s="12"/>
      <c r="AR7" s="12"/>
      <c r="AS7" s="12"/>
      <c r="AT7" s="12"/>
      <c r="AU7" s="12"/>
      <c r="AV7" s="12"/>
      <c r="AW7" s="12"/>
      <c r="AX7" s="12"/>
      <c r="AY7" s="12"/>
      <c r="AZ7" s="12"/>
      <c r="BA7" s="12"/>
      <c r="BB7" s="12"/>
    </row>
    <row r="8" spans="1:54" ht="19.5" thickBot="1" x14ac:dyDescent="0.3">
      <c r="A8" s="27">
        <f>A7+1</f>
        <v>2</v>
      </c>
      <c r="B8" s="42" t="s">
        <v>35</v>
      </c>
      <c r="C8" s="59">
        <f>41+43</f>
        <v>84</v>
      </c>
      <c r="D8" s="59"/>
      <c r="E8" s="59"/>
      <c r="F8" s="59"/>
      <c r="G8" s="59"/>
      <c r="H8" s="59"/>
      <c r="I8" s="59"/>
      <c r="J8" s="60"/>
      <c r="K8" s="61"/>
      <c r="L8" s="62"/>
      <c r="M8" s="63"/>
      <c r="N8" s="64"/>
      <c r="O8" s="65">
        <v>1</v>
      </c>
      <c r="P8" s="66">
        <v>12</v>
      </c>
      <c r="Q8" s="66">
        <v>1</v>
      </c>
      <c r="R8" s="67"/>
      <c r="S8" s="62"/>
      <c r="T8" s="68">
        <f t="shared" ref="T8:T41" si="0">H8+I8+J8+K8+N8+P8+R8</f>
        <v>12</v>
      </c>
      <c r="U8" s="69">
        <f>C8*24+M8*24+O8*24+Q8*24+T8</f>
        <v>2076</v>
      </c>
      <c r="V8" s="69">
        <f>U8/24</f>
        <v>86.5</v>
      </c>
      <c r="W8" s="50"/>
      <c r="AF8" s="12"/>
      <c r="AG8" s="12"/>
      <c r="AH8" s="12"/>
      <c r="AI8" s="12"/>
      <c r="AJ8" s="12"/>
      <c r="AK8" s="12"/>
      <c r="AL8" s="12"/>
      <c r="AM8" s="12"/>
      <c r="AN8" s="12"/>
      <c r="AO8" s="12"/>
      <c r="AP8" s="12"/>
      <c r="AQ8" s="12"/>
      <c r="AR8" s="12"/>
      <c r="AS8" s="12"/>
      <c r="AT8" s="12"/>
      <c r="AU8" s="12"/>
      <c r="AV8" s="12"/>
      <c r="AW8" s="12"/>
      <c r="AX8" s="12"/>
      <c r="AY8" s="12"/>
      <c r="AZ8" s="12"/>
      <c r="BA8" s="12"/>
      <c r="BB8" s="12"/>
    </row>
    <row r="9" spans="1:54" x14ac:dyDescent="0.25">
      <c r="A9" s="27">
        <f t="shared" ref="A9:A57" si="1">A8+1</f>
        <v>3</v>
      </c>
      <c r="B9" s="25" t="s">
        <v>33</v>
      </c>
      <c r="C9" s="70">
        <f>59+30</f>
        <v>89</v>
      </c>
      <c r="D9" s="70"/>
      <c r="E9" s="70"/>
      <c r="F9" s="70"/>
      <c r="G9" s="70"/>
      <c r="H9" s="70"/>
      <c r="I9" s="70"/>
      <c r="J9" s="71"/>
      <c r="K9" s="72"/>
      <c r="L9" s="55"/>
      <c r="M9" s="73"/>
      <c r="N9" s="74"/>
      <c r="O9" s="70">
        <v>1</v>
      </c>
      <c r="P9" s="71"/>
      <c r="Q9" s="71">
        <v>1</v>
      </c>
      <c r="R9" s="72"/>
      <c r="S9" s="55"/>
      <c r="T9" s="75">
        <f t="shared" si="0"/>
        <v>0</v>
      </c>
      <c r="U9" s="76">
        <f t="shared" ref="U9:U11" si="2">C9*24+M9*24+O9*24+Q9*24+T9</f>
        <v>2184</v>
      </c>
      <c r="V9" s="76">
        <f t="shared" ref="V9:V11" si="3">U9/24</f>
        <v>91</v>
      </c>
      <c r="W9" s="50"/>
      <c r="AF9" s="12"/>
      <c r="AG9" s="12"/>
      <c r="AH9" s="12"/>
      <c r="AI9" s="12"/>
      <c r="AJ9" s="12"/>
      <c r="AK9" s="12"/>
      <c r="AL9" s="12"/>
      <c r="AM9" s="12"/>
      <c r="AN9" s="12"/>
      <c r="AO9" s="12"/>
      <c r="AP9" s="12"/>
      <c r="AQ9" s="12"/>
      <c r="AR9" s="12"/>
      <c r="AS9" s="12"/>
      <c r="AT9" s="12"/>
      <c r="AU9" s="12"/>
      <c r="AV9" s="12"/>
      <c r="AW9" s="12"/>
      <c r="AX9" s="12"/>
      <c r="AY9" s="12"/>
      <c r="AZ9" s="12"/>
      <c r="BA9" s="12"/>
      <c r="BB9" s="12"/>
    </row>
    <row r="10" spans="1:54" x14ac:dyDescent="0.25">
      <c r="A10" s="27">
        <f t="shared" si="1"/>
        <v>4</v>
      </c>
      <c r="B10" s="26" t="s">
        <v>36</v>
      </c>
      <c r="C10" s="70">
        <f>31+10</f>
        <v>41</v>
      </c>
      <c r="D10" s="70"/>
      <c r="E10" s="70"/>
      <c r="F10" s="70"/>
      <c r="G10" s="70"/>
      <c r="H10" s="70"/>
      <c r="I10" s="70"/>
      <c r="J10" s="71"/>
      <c r="K10" s="72"/>
      <c r="L10" s="55"/>
      <c r="M10" s="73"/>
      <c r="N10" s="74"/>
      <c r="O10" s="70"/>
      <c r="P10" s="71"/>
      <c r="Q10" s="71"/>
      <c r="R10" s="72"/>
      <c r="S10" s="55"/>
      <c r="T10" s="58">
        <f t="shared" si="0"/>
        <v>0</v>
      </c>
      <c r="U10" s="58">
        <f t="shared" si="2"/>
        <v>984</v>
      </c>
      <c r="V10" s="58">
        <f t="shared" si="3"/>
        <v>41</v>
      </c>
      <c r="W10" s="50"/>
      <c r="AF10" s="12"/>
      <c r="AG10" s="12"/>
      <c r="AH10" s="12"/>
      <c r="AI10" s="12"/>
      <c r="AJ10" s="12"/>
      <c r="AK10" s="12"/>
      <c r="AL10" s="12"/>
      <c r="AM10" s="12"/>
      <c r="AN10" s="12"/>
      <c r="AO10" s="12"/>
      <c r="AP10" s="12"/>
      <c r="AQ10" s="12"/>
      <c r="AR10" s="12"/>
      <c r="AS10" s="12"/>
      <c r="AT10" s="12"/>
      <c r="AU10" s="12"/>
      <c r="AV10" s="12"/>
      <c r="AW10" s="12"/>
      <c r="AX10" s="12"/>
      <c r="AY10" s="12"/>
      <c r="AZ10" s="12"/>
      <c r="BA10" s="12"/>
      <c r="BB10" s="12"/>
    </row>
    <row r="11" spans="1:54" x14ac:dyDescent="0.25">
      <c r="A11" s="27">
        <f t="shared" si="1"/>
        <v>5</v>
      </c>
      <c r="B11" s="26" t="s">
        <v>34</v>
      </c>
      <c r="C11" s="70">
        <v>9</v>
      </c>
      <c r="D11" s="70"/>
      <c r="E11" s="70"/>
      <c r="F11" s="70"/>
      <c r="G11" s="70"/>
      <c r="H11" s="70"/>
      <c r="I11" s="70"/>
      <c r="J11" s="71"/>
      <c r="K11" s="72">
        <v>2</v>
      </c>
      <c r="L11" s="55"/>
      <c r="M11" s="73"/>
      <c r="N11" s="74"/>
      <c r="O11" s="70"/>
      <c r="P11" s="71"/>
      <c r="Q11" s="71"/>
      <c r="R11" s="72"/>
      <c r="S11" s="55"/>
      <c r="T11" s="58">
        <f t="shared" si="0"/>
        <v>2</v>
      </c>
      <c r="U11" s="58">
        <f t="shared" si="2"/>
        <v>218</v>
      </c>
      <c r="V11" s="58">
        <f t="shared" si="3"/>
        <v>9.0833333333333339</v>
      </c>
      <c r="AF11" s="12"/>
      <c r="AG11" s="12"/>
      <c r="AH11" s="12"/>
      <c r="AI11" s="12"/>
      <c r="AJ11" s="12"/>
      <c r="AK11" s="12"/>
      <c r="AL11" s="12"/>
      <c r="AM11" s="12"/>
      <c r="AN11" s="12"/>
      <c r="AO11" s="12"/>
      <c r="AP11" s="12"/>
      <c r="AQ11" s="12"/>
      <c r="AR11" s="12"/>
      <c r="AS11" s="12"/>
      <c r="AT11" s="12"/>
      <c r="AU11" s="12"/>
      <c r="AV11" s="12"/>
      <c r="AW11" s="12"/>
      <c r="AX11" s="12"/>
      <c r="AY11" s="12"/>
      <c r="AZ11" s="12"/>
      <c r="BA11" s="12"/>
      <c r="BB11" s="12"/>
    </row>
    <row r="12" spans="1:54" s="13" customFormat="1" ht="19.5" thickBot="1" x14ac:dyDescent="0.3">
      <c r="A12" s="27">
        <v>7</v>
      </c>
      <c r="B12" s="42" t="s">
        <v>30</v>
      </c>
      <c r="C12" s="59">
        <f>1224+53+1080+29+864+26</f>
        <v>3276</v>
      </c>
      <c r="D12" s="59"/>
      <c r="E12" s="59"/>
      <c r="F12" s="59"/>
      <c r="G12" s="59"/>
      <c r="H12" s="59"/>
      <c r="I12" s="59"/>
      <c r="J12" s="60"/>
      <c r="K12" s="61"/>
      <c r="L12" s="62"/>
      <c r="M12" s="63">
        <v>4</v>
      </c>
      <c r="N12" s="64">
        <v>9</v>
      </c>
      <c r="O12" s="65">
        <v>2</v>
      </c>
      <c r="P12" s="66">
        <v>12</v>
      </c>
      <c r="Q12" s="66">
        <v>26</v>
      </c>
      <c r="R12" s="67">
        <v>6</v>
      </c>
      <c r="S12" s="62"/>
      <c r="T12" s="69">
        <f t="shared" si="0"/>
        <v>27</v>
      </c>
      <c r="U12" s="69">
        <f>C12*24+M12*24+O12*24+Q12*24+T12</f>
        <v>79419</v>
      </c>
      <c r="V12" s="69">
        <f>U12/24</f>
        <v>3309.125</v>
      </c>
      <c r="W12" s="9"/>
      <c r="X12" s="9"/>
      <c r="Y12" s="9"/>
      <c r="Z12" s="9"/>
      <c r="AA12" s="9"/>
      <c r="AB12" s="9"/>
      <c r="AC12" s="9"/>
      <c r="AD12" s="9"/>
      <c r="AE12" s="9"/>
      <c r="AF12" s="12"/>
      <c r="AG12" s="12"/>
      <c r="AH12" s="12"/>
      <c r="AI12" s="12"/>
      <c r="AJ12" s="12"/>
      <c r="AK12" s="12"/>
      <c r="AL12" s="12"/>
      <c r="AM12" s="12"/>
      <c r="AN12" s="12"/>
      <c r="AO12" s="12"/>
      <c r="AP12" s="12"/>
      <c r="AQ12" s="12"/>
      <c r="AR12" s="12"/>
      <c r="AS12" s="12"/>
      <c r="AT12" s="12"/>
      <c r="AU12" s="12"/>
      <c r="AV12" s="12"/>
      <c r="AW12" s="12"/>
      <c r="AX12" s="12"/>
      <c r="AY12" s="12"/>
      <c r="AZ12" s="12"/>
      <c r="BA12" s="12"/>
      <c r="BB12" s="12"/>
    </row>
    <row r="13" spans="1:54" x14ac:dyDescent="0.25">
      <c r="A13" s="27">
        <v>11</v>
      </c>
      <c r="B13" s="25" t="s">
        <v>1</v>
      </c>
      <c r="C13" s="70">
        <v>2</v>
      </c>
      <c r="D13" s="70"/>
      <c r="E13" s="70"/>
      <c r="F13" s="70"/>
      <c r="G13" s="70"/>
      <c r="H13" s="70">
        <v>16</v>
      </c>
      <c r="I13" s="70"/>
      <c r="J13" s="71"/>
      <c r="K13" s="72"/>
      <c r="L13" s="55"/>
      <c r="M13" s="73"/>
      <c r="N13" s="74"/>
      <c r="O13" s="70"/>
      <c r="P13" s="71"/>
      <c r="Q13" s="71"/>
      <c r="R13" s="72"/>
      <c r="S13" s="55"/>
      <c r="T13" s="76">
        <f t="shared" si="0"/>
        <v>16</v>
      </c>
      <c r="U13" s="76">
        <f>C13*24+M13*24+O13*24+Q13*24+T13</f>
        <v>64</v>
      </c>
      <c r="V13" s="76">
        <f>U13/24</f>
        <v>2.6666666666666665</v>
      </c>
      <c r="AF13" s="12"/>
      <c r="AG13" s="12"/>
      <c r="AH13" s="12"/>
      <c r="AI13" s="12"/>
      <c r="AJ13" s="12"/>
      <c r="AK13" s="12"/>
      <c r="AL13" s="12"/>
      <c r="AM13" s="12"/>
      <c r="AN13" s="12"/>
      <c r="AO13" s="12"/>
      <c r="AP13" s="12"/>
      <c r="AQ13" s="12"/>
      <c r="AR13" s="12"/>
      <c r="AS13" s="12"/>
      <c r="AT13" s="12"/>
      <c r="AU13" s="12"/>
      <c r="AV13" s="12"/>
      <c r="AW13" s="12"/>
      <c r="AX13" s="12"/>
      <c r="AY13" s="12"/>
      <c r="AZ13" s="12"/>
      <c r="BA13" s="12"/>
      <c r="BB13" s="12"/>
    </row>
    <row r="14" spans="1:54" x14ac:dyDescent="0.25">
      <c r="A14" s="27">
        <f t="shared" si="1"/>
        <v>12</v>
      </c>
      <c r="B14" s="26" t="s">
        <v>2</v>
      </c>
      <c r="C14" s="70">
        <v>2</v>
      </c>
      <c r="D14" s="70"/>
      <c r="E14" s="70"/>
      <c r="F14" s="70"/>
      <c r="G14" s="70"/>
      <c r="H14" s="70"/>
      <c r="I14" s="70"/>
      <c r="J14" s="71"/>
      <c r="K14" s="72"/>
      <c r="L14" s="55"/>
      <c r="M14" s="73"/>
      <c r="N14" s="74"/>
      <c r="O14" s="70"/>
      <c r="P14" s="71"/>
      <c r="Q14" s="71"/>
      <c r="R14" s="72"/>
      <c r="S14" s="55"/>
      <c r="T14" s="58">
        <f t="shared" si="0"/>
        <v>0</v>
      </c>
      <c r="U14" s="75">
        <f t="shared" ref="U14:U36" si="4">C14*24+M14*24+O14*24+Q14*24+T14</f>
        <v>48</v>
      </c>
      <c r="V14" s="75">
        <f t="shared" ref="V14:V36" si="5">U14/24</f>
        <v>2</v>
      </c>
      <c r="AF14" s="12"/>
      <c r="AG14" s="12"/>
      <c r="AH14" s="12"/>
      <c r="AI14" s="12"/>
      <c r="AJ14" s="12"/>
      <c r="AK14" s="12"/>
      <c r="AL14" s="12"/>
      <c r="AM14" s="12"/>
      <c r="AN14" s="12"/>
      <c r="AO14" s="12"/>
      <c r="AP14" s="12"/>
      <c r="AQ14" s="12"/>
      <c r="AR14" s="12"/>
      <c r="AS14" s="12"/>
      <c r="AT14" s="12"/>
      <c r="AU14" s="12"/>
      <c r="AV14" s="12"/>
      <c r="AW14" s="12"/>
      <c r="AX14" s="12"/>
      <c r="AY14" s="12"/>
      <c r="AZ14" s="12"/>
      <c r="BA14" s="12"/>
      <c r="BB14" s="12"/>
    </row>
    <row r="15" spans="1:54" x14ac:dyDescent="0.25">
      <c r="A15" s="27">
        <f t="shared" si="1"/>
        <v>13</v>
      </c>
      <c r="B15" s="26" t="s">
        <v>3</v>
      </c>
      <c r="C15" s="70"/>
      <c r="D15" s="70"/>
      <c r="E15" s="70"/>
      <c r="F15" s="70"/>
      <c r="G15" s="70"/>
      <c r="H15" s="70"/>
      <c r="I15" s="70"/>
      <c r="J15" s="71"/>
      <c r="K15" s="72"/>
      <c r="L15" s="55"/>
      <c r="M15" s="73"/>
      <c r="N15" s="74"/>
      <c r="O15" s="70"/>
      <c r="P15" s="71"/>
      <c r="Q15" s="71"/>
      <c r="R15" s="72"/>
      <c r="S15" s="55"/>
      <c r="T15" s="58">
        <f t="shared" si="0"/>
        <v>0</v>
      </c>
      <c r="U15" s="75">
        <f t="shared" si="4"/>
        <v>0</v>
      </c>
      <c r="V15" s="75">
        <f t="shared" si="5"/>
        <v>0</v>
      </c>
      <c r="AF15" s="12"/>
      <c r="AG15" s="12"/>
      <c r="AH15" s="12"/>
      <c r="AI15" s="12"/>
      <c r="AJ15" s="12"/>
      <c r="AK15" s="12"/>
      <c r="AL15" s="12"/>
      <c r="AM15" s="12"/>
      <c r="AN15" s="12"/>
      <c r="AO15" s="12"/>
      <c r="AP15" s="12"/>
      <c r="AQ15" s="12"/>
      <c r="AR15" s="12"/>
      <c r="AS15" s="12"/>
      <c r="AT15" s="12"/>
      <c r="AU15" s="12"/>
      <c r="AV15" s="12"/>
      <c r="AW15" s="12"/>
      <c r="AX15" s="12"/>
      <c r="AY15" s="12"/>
      <c r="AZ15" s="12"/>
      <c r="BA15" s="12"/>
      <c r="BB15" s="12"/>
    </row>
    <row r="16" spans="1:54" x14ac:dyDescent="0.25">
      <c r="A16" s="27">
        <f t="shared" si="1"/>
        <v>14</v>
      </c>
      <c r="B16" s="26" t="s">
        <v>4</v>
      </c>
      <c r="C16" s="70"/>
      <c r="D16" s="70"/>
      <c r="E16" s="70"/>
      <c r="F16" s="70"/>
      <c r="G16" s="70"/>
      <c r="H16" s="70"/>
      <c r="I16" s="70"/>
      <c r="J16" s="71"/>
      <c r="K16" s="72"/>
      <c r="L16" s="55"/>
      <c r="M16" s="73"/>
      <c r="N16" s="74"/>
      <c r="O16" s="70"/>
      <c r="P16" s="71"/>
      <c r="Q16" s="71"/>
      <c r="R16" s="72"/>
      <c r="S16" s="55"/>
      <c r="T16" s="58">
        <f t="shared" si="0"/>
        <v>0</v>
      </c>
      <c r="U16" s="75">
        <f t="shared" si="4"/>
        <v>0</v>
      </c>
      <c r="V16" s="75">
        <f t="shared" si="5"/>
        <v>0</v>
      </c>
      <c r="AF16" s="12"/>
      <c r="AG16" s="12"/>
      <c r="AH16" s="12"/>
      <c r="AI16" s="12"/>
      <c r="AJ16" s="12"/>
      <c r="AK16" s="12"/>
      <c r="AL16" s="12"/>
      <c r="AM16" s="12"/>
      <c r="AN16" s="12"/>
      <c r="AO16" s="12"/>
      <c r="AP16" s="12"/>
      <c r="AQ16" s="12"/>
      <c r="AR16" s="12"/>
      <c r="AS16" s="12"/>
      <c r="AT16" s="12"/>
      <c r="AU16" s="12"/>
      <c r="AV16" s="12"/>
      <c r="AW16" s="12"/>
      <c r="AX16" s="12"/>
      <c r="AY16" s="12"/>
      <c r="AZ16" s="12"/>
      <c r="BA16" s="12"/>
      <c r="BB16" s="12"/>
    </row>
    <row r="17" spans="1:54" x14ac:dyDescent="0.25">
      <c r="A17" s="27">
        <f t="shared" si="1"/>
        <v>15</v>
      </c>
      <c r="B17" s="26" t="s">
        <v>5</v>
      </c>
      <c r="C17" s="70"/>
      <c r="D17" s="70"/>
      <c r="E17" s="70"/>
      <c r="F17" s="70"/>
      <c r="G17" s="70"/>
      <c r="H17" s="70">
        <f>3*24</f>
        <v>72</v>
      </c>
      <c r="I17" s="70"/>
      <c r="J17" s="71"/>
      <c r="K17" s="72"/>
      <c r="L17" s="55"/>
      <c r="M17" s="73"/>
      <c r="N17" s="74"/>
      <c r="O17" s="70"/>
      <c r="P17" s="71"/>
      <c r="Q17" s="71"/>
      <c r="R17" s="72"/>
      <c r="S17" s="55"/>
      <c r="T17" s="58">
        <f t="shared" si="0"/>
        <v>72</v>
      </c>
      <c r="U17" s="75">
        <f t="shared" si="4"/>
        <v>72</v>
      </c>
      <c r="V17" s="75">
        <f t="shared" si="5"/>
        <v>3</v>
      </c>
      <c r="AF17" s="12"/>
      <c r="AG17" s="12"/>
      <c r="AH17" s="12"/>
      <c r="AI17" s="12"/>
      <c r="AJ17" s="12"/>
      <c r="AK17" s="12"/>
      <c r="AL17" s="12"/>
      <c r="AM17" s="12"/>
      <c r="AN17" s="12"/>
      <c r="AO17" s="12"/>
      <c r="AP17" s="12"/>
      <c r="AQ17" s="12"/>
      <c r="AR17" s="12"/>
      <c r="AS17" s="12"/>
      <c r="AT17" s="12"/>
      <c r="AU17" s="12"/>
      <c r="AV17" s="12"/>
      <c r="AW17" s="12"/>
      <c r="AX17" s="12"/>
      <c r="AY17" s="12"/>
      <c r="AZ17" s="12"/>
      <c r="BA17" s="12"/>
      <c r="BB17" s="12"/>
    </row>
    <row r="18" spans="1:54" hidden="1" x14ac:dyDescent="0.25">
      <c r="A18" s="27">
        <f t="shared" si="1"/>
        <v>16</v>
      </c>
      <c r="B18" s="26" t="s">
        <v>9</v>
      </c>
      <c r="C18" s="70"/>
      <c r="D18" s="70"/>
      <c r="E18" s="70"/>
      <c r="F18" s="70"/>
      <c r="G18" s="70"/>
      <c r="H18" s="70"/>
      <c r="I18" s="70"/>
      <c r="J18" s="71"/>
      <c r="K18" s="72"/>
      <c r="L18" s="55"/>
      <c r="M18" s="73"/>
      <c r="N18" s="74"/>
      <c r="O18" s="70"/>
      <c r="P18" s="71"/>
      <c r="Q18" s="71"/>
      <c r="R18" s="72"/>
      <c r="S18" s="55"/>
      <c r="T18" s="58">
        <f t="shared" si="0"/>
        <v>0</v>
      </c>
      <c r="U18" s="75">
        <f t="shared" si="4"/>
        <v>0</v>
      </c>
      <c r="V18" s="75">
        <f t="shared" si="5"/>
        <v>0</v>
      </c>
      <c r="AF18" s="12"/>
      <c r="AG18" s="12"/>
      <c r="AH18" s="12"/>
      <c r="AI18" s="12"/>
      <c r="AJ18" s="12"/>
      <c r="AK18" s="12"/>
      <c r="AL18" s="12"/>
      <c r="AM18" s="12"/>
      <c r="AN18" s="12"/>
      <c r="AO18" s="12"/>
      <c r="AP18" s="12"/>
      <c r="AQ18" s="12"/>
      <c r="AR18" s="12"/>
      <c r="AS18" s="12"/>
      <c r="AT18" s="12"/>
      <c r="AU18" s="12"/>
      <c r="AV18" s="12"/>
      <c r="AW18" s="12"/>
      <c r="AX18" s="12"/>
      <c r="AY18" s="12"/>
      <c r="AZ18" s="12"/>
      <c r="BA18" s="12"/>
      <c r="BB18" s="12"/>
    </row>
    <row r="19" spans="1:54" x14ac:dyDescent="0.25">
      <c r="A19" s="27">
        <v>16</v>
      </c>
      <c r="B19" s="26" t="s">
        <v>53</v>
      </c>
      <c r="C19" s="70">
        <v>2</v>
      </c>
      <c r="D19" s="70"/>
      <c r="E19" s="70"/>
      <c r="F19" s="70"/>
      <c r="G19" s="70"/>
      <c r="H19" s="70">
        <f>20+24</f>
        <v>44</v>
      </c>
      <c r="I19" s="70"/>
      <c r="J19" s="71"/>
      <c r="K19" s="72"/>
      <c r="L19" s="55"/>
      <c r="M19" s="73"/>
      <c r="N19" s="74"/>
      <c r="O19" s="70"/>
      <c r="P19" s="71"/>
      <c r="Q19" s="71"/>
      <c r="R19" s="72"/>
      <c r="S19" s="55"/>
      <c r="T19" s="58">
        <f t="shared" si="0"/>
        <v>44</v>
      </c>
      <c r="U19" s="75">
        <f t="shared" si="4"/>
        <v>92</v>
      </c>
      <c r="V19" s="75">
        <f t="shared" si="5"/>
        <v>3.8333333333333335</v>
      </c>
      <c r="AF19" s="12"/>
      <c r="AG19" s="12"/>
      <c r="AH19" s="12"/>
      <c r="AI19" s="12"/>
      <c r="AJ19" s="12"/>
      <c r="AK19" s="12"/>
      <c r="AL19" s="12"/>
      <c r="AM19" s="12"/>
      <c r="AN19" s="12"/>
      <c r="AO19" s="12"/>
      <c r="AP19" s="12"/>
      <c r="AQ19" s="12"/>
      <c r="AR19" s="12"/>
      <c r="AS19" s="12"/>
      <c r="AT19" s="12"/>
      <c r="AU19" s="12"/>
      <c r="AV19" s="12"/>
      <c r="AW19" s="12"/>
      <c r="AX19" s="12"/>
      <c r="AY19" s="12"/>
      <c r="AZ19" s="12"/>
      <c r="BA19" s="12"/>
      <c r="BB19" s="12"/>
    </row>
    <row r="20" spans="1:54" x14ac:dyDescent="0.25">
      <c r="A20" s="27">
        <f t="shared" si="1"/>
        <v>17</v>
      </c>
      <c r="B20" s="26" t="s">
        <v>6</v>
      </c>
      <c r="C20" s="70">
        <v>5</v>
      </c>
      <c r="D20" s="70"/>
      <c r="E20" s="70"/>
      <c r="F20" s="70"/>
      <c r="G20" s="70"/>
      <c r="H20" s="70"/>
      <c r="I20" s="70"/>
      <c r="J20" s="71"/>
      <c r="K20" s="72"/>
      <c r="L20" s="55"/>
      <c r="M20" s="73"/>
      <c r="N20" s="74"/>
      <c r="O20" s="70"/>
      <c r="P20" s="71"/>
      <c r="Q20" s="71"/>
      <c r="R20" s="72"/>
      <c r="S20" s="55"/>
      <c r="T20" s="58">
        <f t="shared" si="0"/>
        <v>0</v>
      </c>
      <c r="U20" s="75">
        <f t="shared" si="4"/>
        <v>120</v>
      </c>
      <c r="V20" s="75">
        <f t="shared" si="5"/>
        <v>5</v>
      </c>
      <c r="AF20" s="12"/>
      <c r="AG20" s="12"/>
      <c r="AH20" s="12"/>
      <c r="AI20" s="12"/>
      <c r="AJ20" s="12"/>
      <c r="AK20" s="12"/>
      <c r="AL20" s="12"/>
      <c r="AM20" s="12"/>
      <c r="AN20" s="12"/>
      <c r="AO20" s="12"/>
      <c r="AP20" s="12"/>
      <c r="AQ20" s="12"/>
      <c r="AR20" s="12"/>
      <c r="AS20" s="12"/>
      <c r="AT20" s="12"/>
      <c r="AU20" s="12"/>
      <c r="AV20" s="12"/>
      <c r="AW20" s="12"/>
      <c r="AX20" s="12"/>
      <c r="AY20" s="12"/>
      <c r="AZ20" s="12"/>
      <c r="BA20" s="12"/>
      <c r="BB20" s="12"/>
    </row>
    <row r="21" spans="1:54" x14ac:dyDescent="0.25">
      <c r="A21" s="27">
        <f t="shared" si="1"/>
        <v>18</v>
      </c>
      <c r="B21" s="26" t="s">
        <v>7</v>
      </c>
      <c r="C21" s="70"/>
      <c r="D21" s="70"/>
      <c r="E21" s="70"/>
      <c r="F21" s="70"/>
      <c r="G21" s="70"/>
      <c r="H21" s="70">
        <f>2*24</f>
        <v>48</v>
      </c>
      <c r="I21" s="70"/>
      <c r="J21" s="71"/>
      <c r="K21" s="72"/>
      <c r="L21" s="55"/>
      <c r="M21" s="73"/>
      <c r="N21" s="74"/>
      <c r="O21" s="70"/>
      <c r="P21" s="71"/>
      <c r="Q21" s="71"/>
      <c r="R21" s="72"/>
      <c r="S21" s="55"/>
      <c r="T21" s="58">
        <f t="shared" si="0"/>
        <v>48</v>
      </c>
      <c r="U21" s="75">
        <f t="shared" si="4"/>
        <v>48</v>
      </c>
      <c r="V21" s="75">
        <f t="shared" si="5"/>
        <v>2</v>
      </c>
      <c r="AF21" s="12"/>
      <c r="AG21" s="12"/>
      <c r="AH21" s="12"/>
      <c r="AI21" s="12"/>
      <c r="AJ21" s="12"/>
      <c r="AK21" s="12"/>
      <c r="AL21" s="12"/>
      <c r="AM21" s="12"/>
      <c r="AN21" s="12"/>
      <c r="AO21" s="12"/>
      <c r="AP21" s="12"/>
      <c r="AQ21" s="12"/>
      <c r="AR21" s="12"/>
      <c r="AS21" s="12"/>
      <c r="AT21" s="12"/>
      <c r="AU21" s="12"/>
      <c r="AV21" s="12"/>
      <c r="AW21" s="12"/>
      <c r="AX21" s="12"/>
      <c r="AY21" s="12"/>
      <c r="AZ21" s="12"/>
      <c r="BA21" s="12"/>
      <c r="BB21" s="12"/>
    </row>
    <row r="22" spans="1:54" s="13" customFormat="1" x14ac:dyDescent="0.25">
      <c r="A22" s="27">
        <f t="shared" si="1"/>
        <v>19</v>
      </c>
      <c r="B22" s="26" t="s">
        <v>54</v>
      </c>
      <c r="C22" s="70">
        <v>2</v>
      </c>
      <c r="D22" s="70"/>
      <c r="E22" s="70"/>
      <c r="F22" s="70"/>
      <c r="G22" s="70"/>
      <c r="H22" s="70"/>
      <c r="I22" s="70">
        <v>20</v>
      </c>
      <c r="J22" s="71"/>
      <c r="K22" s="72"/>
      <c r="L22" s="55"/>
      <c r="M22" s="73"/>
      <c r="N22" s="74"/>
      <c r="O22" s="70"/>
      <c r="P22" s="71"/>
      <c r="Q22" s="71"/>
      <c r="R22" s="72"/>
      <c r="S22" s="55"/>
      <c r="T22" s="58">
        <f t="shared" si="0"/>
        <v>20</v>
      </c>
      <c r="U22" s="75">
        <f t="shared" si="4"/>
        <v>68</v>
      </c>
      <c r="V22" s="75">
        <f t="shared" si="5"/>
        <v>2.8333333333333335</v>
      </c>
      <c r="W22" s="9"/>
      <c r="X22" s="9"/>
      <c r="Y22" s="9"/>
      <c r="Z22" s="9"/>
      <c r="AA22" s="9"/>
      <c r="AB22" s="9"/>
      <c r="AC22" s="9"/>
      <c r="AD22" s="9"/>
      <c r="AE22" s="9"/>
      <c r="AF22" s="12"/>
      <c r="AG22" s="12"/>
      <c r="AH22" s="12"/>
      <c r="AI22" s="12"/>
      <c r="AJ22" s="12"/>
      <c r="AK22" s="12"/>
      <c r="AL22" s="12"/>
      <c r="AM22" s="12"/>
      <c r="AN22" s="12"/>
      <c r="AO22" s="12"/>
      <c r="AP22" s="12"/>
      <c r="AQ22" s="12"/>
      <c r="AR22" s="12"/>
      <c r="AS22" s="12"/>
      <c r="AT22" s="12"/>
      <c r="AU22" s="12"/>
      <c r="AV22" s="12"/>
      <c r="AW22" s="12"/>
      <c r="AX22" s="12"/>
      <c r="AY22" s="12"/>
      <c r="AZ22" s="12"/>
      <c r="BA22" s="12"/>
      <c r="BB22" s="12"/>
    </row>
    <row r="23" spans="1:54" s="13" customFormat="1" x14ac:dyDescent="0.25">
      <c r="A23" s="27">
        <f t="shared" si="1"/>
        <v>20</v>
      </c>
      <c r="B23" s="26" t="s">
        <v>55</v>
      </c>
      <c r="C23" s="70"/>
      <c r="D23" s="70"/>
      <c r="E23" s="70"/>
      <c r="F23" s="70"/>
      <c r="G23" s="70"/>
      <c r="H23" s="70">
        <f>37*24+19</f>
        <v>907</v>
      </c>
      <c r="I23" s="70"/>
      <c r="J23" s="71"/>
      <c r="K23" s="72"/>
      <c r="L23" s="55"/>
      <c r="M23" s="73"/>
      <c r="N23" s="74"/>
      <c r="O23" s="70"/>
      <c r="P23" s="71"/>
      <c r="Q23" s="71"/>
      <c r="R23" s="72"/>
      <c r="S23" s="55"/>
      <c r="T23" s="58">
        <f t="shared" si="0"/>
        <v>907</v>
      </c>
      <c r="U23" s="75">
        <f t="shared" si="4"/>
        <v>907</v>
      </c>
      <c r="V23" s="75">
        <f t="shared" si="5"/>
        <v>37.791666666666664</v>
      </c>
      <c r="W23" s="9"/>
      <c r="X23" s="9"/>
      <c r="Y23" s="9"/>
      <c r="Z23" s="9"/>
      <c r="AA23" s="9"/>
      <c r="AB23" s="9"/>
      <c r="AC23" s="9"/>
      <c r="AD23" s="9"/>
      <c r="AE23" s="9"/>
      <c r="AF23" s="12"/>
      <c r="AG23" s="12"/>
      <c r="AH23" s="12"/>
      <c r="AI23" s="12"/>
      <c r="AJ23" s="12"/>
      <c r="AK23" s="12"/>
      <c r="AL23" s="12"/>
      <c r="AM23" s="12"/>
      <c r="AN23" s="12"/>
      <c r="AO23" s="12"/>
      <c r="AP23" s="12"/>
      <c r="AQ23" s="12"/>
      <c r="AR23" s="12"/>
      <c r="AS23" s="12"/>
      <c r="AT23" s="12"/>
      <c r="AU23" s="12"/>
      <c r="AV23" s="12"/>
      <c r="AW23" s="12"/>
      <c r="AX23" s="12"/>
      <c r="AY23" s="12"/>
      <c r="AZ23" s="12"/>
      <c r="BA23" s="12"/>
      <c r="BB23" s="12"/>
    </row>
    <row r="24" spans="1:54" x14ac:dyDescent="0.25">
      <c r="A24" s="27">
        <f t="shared" si="1"/>
        <v>21</v>
      </c>
      <c r="B24" s="26" t="s">
        <v>56</v>
      </c>
      <c r="C24" s="70">
        <v>2</v>
      </c>
      <c r="D24" s="70"/>
      <c r="E24" s="70"/>
      <c r="F24" s="70"/>
      <c r="G24" s="70"/>
      <c r="H24" s="70">
        <f>3*24</f>
        <v>72</v>
      </c>
      <c r="I24" s="70"/>
      <c r="J24" s="71"/>
      <c r="K24" s="72"/>
      <c r="L24" s="55"/>
      <c r="M24" s="73"/>
      <c r="N24" s="74"/>
      <c r="O24" s="70"/>
      <c r="P24" s="71"/>
      <c r="Q24" s="71"/>
      <c r="R24" s="72"/>
      <c r="S24" s="55"/>
      <c r="T24" s="58">
        <f t="shared" si="0"/>
        <v>72</v>
      </c>
      <c r="U24" s="75">
        <f t="shared" si="4"/>
        <v>120</v>
      </c>
      <c r="V24" s="75">
        <f t="shared" si="5"/>
        <v>5</v>
      </c>
      <c r="AF24" s="12"/>
      <c r="AG24" s="12"/>
      <c r="AH24" s="12"/>
      <c r="AI24" s="12"/>
      <c r="AJ24" s="12"/>
      <c r="AK24" s="12"/>
      <c r="AL24" s="12"/>
      <c r="AM24" s="12"/>
      <c r="AN24" s="12"/>
      <c r="AO24" s="12"/>
      <c r="AP24" s="12"/>
      <c r="AQ24" s="12"/>
      <c r="AR24" s="12"/>
      <c r="AS24" s="12"/>
      <c r="AT24" s="12"/>
      <c r="AU24" s="12"/>
      <c r="AV24" s="12"/>
      <c r="AW24" s="12"/>
      <c r="AX24" s="12"/>
      <c r="AY24" s="12"/>
      <c r="AZ24" s="12"/>
      <c r="BA24" s="12"/>
      <c r="BB24" s="12"/>
    </row>
    <row r="25" spans="1:54" x14ac:dyDescent="0.25">
      <c r="A25" s="27">
        <f t="shared" si="1"/>
        <v>22</v>
      </c>
      <c r="B25" s="26" t="s">
        <v>8</v>
      </c>
      <c r="C25" s="70">
        <v>42</v>
      </c>
      <c r="D25" s="70"/>
      <c r="E25" s="70"/>
      <c r="F25" s="70"/>
      <c r="G25" s="70"/>
      <c r="H25" s="70"/>
      <c r="I25" s="70">
        <v>1</v>
      </c>
      <c r="J25" s="71"/>
      <c r="K25" s="72"/>
      <c r="L25" s="55"/>
      <c r="M25" s="73">
        <v>1</v>
      </c>
      <c r="N25" s="74"/>
      <c r="O25" s="70">
        <v>1</v>
      </c>
      <c r="P25" s="71"/>
      <c r="Q25" s="71">
        <v>5</v>
      </c>
      <c r="R25" s="72"/>
      <c r="S25" s="55"/>
      <c r="T25" s="58">
        <f t="shared" si="0"/>
        <v>1</v>
      </c>
      <c r="U25" s="75">
        <f t="shared" si="4"/>
        <v>1177</v>
      </c>
      <c r="V25" s="75">
        <f t="shared" si="5"/>
        <v>49.041666666666664</v>
      </c>
      <c r="AY25" s="14" t="e">
        <f>#REF!-AY24</f>
        <v>#REF!</v>
      </c>
    </row>
    <row r="26" spans="1:54" s="13" customFormat="1" x14ac:dyDescent="0.25">
      <c r="A26" s="27">
        <f t="shared" si="1"/>
        <v>23</v>
      </c>
      <c r="B26" s="26" t="s">
        <v>10</v>
      </c>
      <c r="C26" s="70">
        <v>1</v>
      </c>
      <c r="D26" s="70"/>
      <c r="E26" s="70"/>
      <c r="F26" s="70"/>
      <c r="G26" s="70"/>
      <c r="H26" s="70"/>
      <c r="I26" s="70"/>
      <c r="J26" s="71"/>
      <c r="K26" s="72"/>
      <c r="L26" s="55"/>
      <c r="M26" s="73"/>
      <c r="N26" s="74"/>
      <c r="O26" s="70">
        <v>1</v>
      </c>
      <c r="P26" s="71"/>
      <c r="Q26" s="71"/>
      <c r="R26" s="72"/>
      <c r="S26" s="55"/>
      <c r="T26" s="58">
        <f t="shared" si="0"/>
        <v>0</v>
      </c>
      <c r="U26" s="75">
        <f t="shared" si="4"/>
        <v>48</v>
      </c>
      <c r="V26" s="75">
        <f t="shared" si="5"/>
        <v>2</v>
      </c>
      <c r="W26" s="9"/>
      <c r="X26" s="9"/>
      <c r="Y26" s="9"/>
      <c r="Z26" s="9"/>
      <c r="AA26" s="9"/>
      <c r="AB26" s="9"/>
      <c r="AC26" s="9"/>
      <c r="AD26" s="9"/>
      <c r="AE26" s="9"/>
    </row>
    <row r="27" spans="1:54" s="13" customFormat="1" x14ac:dyDescent="0.25">
      <c r="A27" s="27">
        <f t="shared" si="1"/>
        <v>24</v>
      </c>
      <c r="B27" s="26" t="s">
        <v>69</v>
      </c>
      <c r="C27" s="70">
        <v>3</v>
      </c>
      <c r="D27" s="70"/>
      <c r="E27" s="70"/>
      <c r="F27" s="70"/>
      <c r="G27" s="70"/>
      <c r="H27" s="70"/>
      <c r="I27" s="70"/>
      <c r="J27" s="71"/>
      <c r="K27" s="72"/>
      <c r="L27" s="55"/>
      <c r="M27" s="73"/>
      <c r="N27" s="74"/>
      <c r="O27" s="70"/>
      <c r="P27" s="71"/>
      <c r="Q27" s="71"/>
      <c r="R27" s="72"/>
      <c r="S27" s="55"/>
      <c r="T27" s="58">
        <f t="shared" si="0"/>
        <v>0</v>
      </c>
      <c r="U27" s="75">
        <f t="shared" si="4"/>
        <v>72</v>
      </c>
      <c r="V27" s="75">
        <f t="shared" si="5"/>
        <v>3</v>
      </c>
      <c r="W27" s="9"/>
      <c r="X27" s="9"/>
      <c r="Y27" s="9"/>
      <c r="Z27" s="9"/>
      <c r="AA27" s="9"/>
      <c r="AB27" s="9"/>
      <c r="AC27" s="9"/>
      <c r="AD27" s="9"/>
      <c r="AE27" s="9"/>
    </row>
    <row r="28" spans="1:54" s="13" customFormat="1" x14ac:dyDescent="0.25">
      <c r="A28" s="27">
        <f t="shared" si="1"/>
        <v>25</v>
      </c>
      <c r="B28" s="26" t="s">
        <v>11</v>
      </c>
      <c r="C28" s="70"/>
      <c r="D28" s="70"/>
      <c r="E28" s="70"/>
      <c r="F28" s="70"/>
      <c r="G28" s="70"/>
      <c r="H28" s="70"/>
      <c r="I28" s="70"/>
      <c r="J28" s="71"/>
      <c r="K28" s="72"/>
      <c r="L28" s="55"/>
      <c r="M28" s="73"/>
      <c r="N28" s="74"/>
      <c r="O28" s="70"/>
      <c r="P28" s="71"/>
      <c r="Q28" s="71"/>
      <c r="R28" s="72"/>
      <c r="S28" s="55"/>
      <c r="T28" s="58">
        <f t="shared" si="0"/>
        <v>0</v>
      </c>
      <c r="U28" s="75">
        <f t="shared" si="4"/>
        <v>0</v>
      </c>
      <c r="V28" s="75">
        <f t="shared" si="5"/>
        <v>0</v>
      </c>
      <c r="W28" s="9"/>
      <c r="X28" s="9"/>
      <c r="Y28" s="9"/>
      <c r="Z28" s="9"/>
      <c r="AA28" s="9"/>
      <c r="AB28" s="9"/>
      <c r="AC28" s="9"/>
      <c r="AD28" s="9"/>
      <c r="AE28" s="9"/>
    </row>
    <row r="29" spans="1:54" x14ac:dyDescent="0.25">
      <c r="A29" s="27">
        <f t="shared" si="1"/>
        <v>26</v>
      </c>
      <c r="B29" s="26" t="s">
        <v>13</v>
      </c>
      <c r="C29" s="70">
        <v>23</v>
      </c>
      <c r="D29" s="70"/>
      <c r="E29" s="70"/>
      <c r="F29" s="70"/>
      <c r="G29" s="70"/>
      <c r="H29" s="70"/>
      <c r="I29" s="70">
        <v>5</v>
      </c>
      <c r="J29" s="71"/>
      <c r="K29" s="72"/>
      <c r="L29" s="55"/>
      <c r="M29" s="73"/>
      <c r="N29" s="74"/>
      <c r="O29" s="70">
        <v>1</v>
      </c>
      <c r="P29" s="71"/>
      <c r="Q29" s="71">
        <v>2</v>
      </c>
      <c r="R29" s="72"/>
      <c r="S29" s="55"/>
      <c r="T29" s="58">
        <f t="shared" si="0"/>
        <v>5</v>
      </c>
      <c r="U29" s="75">
        <f t="shared" si="4"/>
        <v>629</v>
      </c>
      <c r="V29" s="75">
        <f t="shared" si="5"/>
        <v>26.208333333333332</v>
      </c>
    </row>
    <row r="30" spans="1:54" x14ac:dyDescent="0.25">
      <c r="A30" s="27">
        <f t="shared" si="1"/>
        <v>27</v>
      </c>
      <c r="B30" s="26" t="s">
        <v>15</v>
      </c>
      <c r="C30" s="70">
        <v>9</v>
      </c>
      <c r="D30" s="70"/>
      <c r="E30" s="70"/>
      <c r="F30" s="70"/>
      <c r="G30" s="70"/>
      <c r="H30" s="70"/>
      <c r="I30" s="70"/>
      <c r="J30" s="71"/>
      <c r="K30" s="72"/>
      <c r="L30" s="55"/>
      <c r="M30" s="73"/>
      <c r="N30" s="74"/>
      <c r="O30" s="70">
        <v>1</v>
      </c>
      <c r="P30" s="71"/>
      <c r="Q30" s="71">
        <v>2</v>
      </c>
      <c r="R30" s="72"/>
      <c r="S30" s="55"/>
      <c r="T30" s="58">
        <f t="shared" si="0"/>
        <v>0</v>
      </c>
      <c r="U30" s="75">
        <f t="shared" si="4"/>
        <v>288</v>
      </c>
      <c r="V30" s="75">
        <f t="shared" si="5"/>
        <v>12</v>
      </c>
    </row>
    <row r="31" spans="1:54" x14ac:dyDescent="0.25">
      <c r="A31" s="27">
        <f t="shared" si="1"/>
        <v>28</v>
      </c>
      <c r="B31" s="26" t="s">
        <v>12</v>
      </c>
      <c r="C31" s="70"/>
      <c r="D31" s="70"/>
      <c r="E31" s="70"/>
      <c r="F31" s="70"/>
      <c r="G31" s="70"/>
      <c r="H31" s="70"/>
      <c r="I31" s="70"/>
      <c r="J31" s="71"/>
      <c r="K31" s="72"/>
      <c r="L31" s="55"/>
      <c r="M31" s="73"/>
      <c r="N31" s="74"/>
      <c r="O31" s="70"/>
      <c r="P31" s="71"/>
      <c r="Q31" s="71"/>
      <c r="R31" s="72"/>
      <c r="S31" s="55"/>
      <c r="T31" s="58">
        <f t="shared" si="0"/>
        <v>0</v>
      </c>
      <c r="U31" s="75">
        <f t="shared" si="4"/>
        <v>0</v>
      </c>
      <c r="V31" s="75">
        <f t="shared" si="5"/>
        <v>0</v>
      </c>
    </row>
    <row r="32" spans="1:54" x14ac:dyDescent="0.25">
      <c r="A32" s="27">
        <f t="shared" si="1"/>
        <v>29</v>
      </c>
      <c r="B32" s="26" t="s">
        <v>14</v>
      </c>
      <c r="C32" s="70"/>
      <c r="D32" s="70"/>
      <c r="E32" s="70"/>
      <c r="F32" s="70"/>
      <c r="G32" s="70"/>
      <c r="H32" s="70"/>
      <c r="I32" s="70"/>
      <c r="J32" s="71"/>
      <c r="K32" s="72"/>
      <c r="L32" s="55"/>
      <c r="M32" s="73"/>
      <c r="N32" s="74"/>
      <c r="O32" s="70"/>
      <c r="P32" s="71"/>
      <c r="Q32" s="71"/>
      <c r="R32" s="72"/>
      <c r="S32" s="55"/>
      <c r="T32" s="58">
        <f t="shared" si="0"/>
        <v>0</v>
      </c>
      <c r="U32" s="75">
        <f t="shared" si="4"/>
        <v>0</v>
      </c>
      <c r="V32" s="75">
        <f t="shared" si="5"/>
        <v>0</v>
      </c>
    </row>
    <row r="33" spans="1:23" x14ac:dyDescent="0.25">
      <c r="A33" s="27">
        <f t="shared" si="1"/>
        <v>30</v>
      </c>
      <c r="B33" s="26" t="s">
        <v>16</v>
      </c>
      <c r="C33" s="70">
        <v>1</v>
      </c>
      <c r="D33" s="70"/>
      <c r="E33" s="70"/>
      <c r="F33" s="70"/>
      <c r="G33" s="70"/>
      <c r="H33" s="70"/>
      <c r="I33" s="70"/>
      <c r="J33" s="71"/>
      <c r="K33" s="72"/>
      <c r="L33" s="55"/>
      <c r="M33" s="73">
        <v>1</v>
      </c>
      <c r="N33" s="74"/>
      <c r="O33" s="70"/>
      <c r="P33" s="71"/>
      <c r="Q33" s="71"/>
      <c r="R33" s="72"/>
      <c r="S33" s="55"/>
      <c r="T33" s="58">
        <f t="shared" si="0"/>
        <v>0</v>
      </c>
      <c r="U33" s="75">
        <f t="shared" si="4"/>
        <v>48</v>
      </c>
      <c r="V33" s="75">
        <f t="shared" si="5"/>
        <v>2</v>
      </c>
    </row>
    <row r="34" spans="1:23" x14ac:dyDescent="0.25">
      <c r="A34" s="27">
        <f t="shared" si="1"/>
        <v>31</v>
      </c>
      <c r="B34" s="26" t="s">
        <v>17</v>
      </c>
      <c r="C34" s="70">
        <f>42+144</f>
        <v>186</v>
      </c>
      <c r="D34" s="70"/>
      <c r="E34" s="70"/>
      <c r="F34" s="70"/>
      <c r="G34" s="70"/>
      <c r="H34" s="70"/>
      <c r="I34" s="70">
        <v>1</v>
      </c>
      <c r="J34" s="71"/>
      <c r="K34" s="72">
        <v>1</v>
      </c>
      <c r="L34" s="55"/>
      <c r="M34" s="73"/>
      <c r="N34" s="74"/>
      <c r="O34" s="70">
        <v>2</v>
      </c>
      <c r="P34" s="71"/>
      <c r="Q34" s="71">
        <v>1</v>
      </c>
      <c r="R34" s="72"/>
      <c r="S34" s="55"/>
      <c r="T34" s="58">
        <f t="shared" si="0"/>
        <v>2</v>
      </c>
      <c r="U34" s="75">
        <f t="shared" si="4"/>
        <v>4538</v>
      </c>
      <c r="V34" s="75">
        <f t="shared" si="5"/>
        <v>189.08333333333334</v>
      </c>
    </row>
    <row r="35" spans="1:23" hidden="1" x14ac:dyDescent="0.25">
      <c r="A35" s="27">
        <f t="shared" si="1"/>
        <v>32</v>
      </c>
      <c r="B35" s="26" t="s">
        <v>25</v>
      </c>
      <c r="C35" s="70"/>
      <c r="D35" s="70"/>
      <c r="E35" s="70"/>
      <c r="F35" s="70"/>
      <c r="G35" s="70"/>
      <c r="H35" s="70"/>
      <c r="I35" s="70"/>
      <c r="J35" s="71"/>
      <c r="K35" s="72"/>
      <c r="L35" s="55"/>
      <c r="M35" s="73"/>
      <c r="N35" s="74"/>
      <c r="O35" s="70"/>
      <c r="P35" s="71"/>
      <c r="Q35" s="71"/>
      <c r="R35" s="72"/>
      <c r="S35" s="55"/>
      <c r="T35" s="58">
        <f t="shared" si="0"/>
        <v>0</v>
      </c>
      <c r="U35" s="75">
        <f t="shared" si="4"/>
        <v>0</v>
      </c>
      <c r="V35" s="75">
        <f t="shared" si="5"/>
        <v>0</v>
      </c>
    </row>
    <row r="36" spans="1:23" x14ac:dyDescent="0.25">
      <c r="A36" s="27">
        <f t="shared" si="1"/>
        <v>33</v>
      </c>
      <c r="B36" s="26" t="s">
        <v>18</v>
      </c>
      <c r="C36" s="70"/>
      <c r="D36" s="70"/>
      <c r="E36" s="70"/>
      <c r="F36" s="70"/>
      <c r="G36" s="70"/>
      <c r="H36" s="70"/>
      <c r="I36" s="70"/>
      <c r="J36" s="71"/>
      <c r="K36" s="72"/>
      <c r="L36" s="55"/>
      <c r="M36" s="73"/>
      <c r="N36" s="74"/>
      <c r="O36" s="70"/>
      <c r="P36" s="71"/>
      <c r="Q36" s="71"/>
      <c r="R36" s="72"/>
      <c r="S36" s="55"/>
      <c r="T36" s="58">
        <f t="shared" si="0"/>
        <v>0</v>
      </c>
      <c r="U36" s="75">
        <f t="shared" si="4"/>
        <v>0</v>
      </c>
      <c r="V36" s="75">
        <f t="shared" si="5"/>
        <v>0</v>
      </c>
    </row>
    <row r="37" spans="1:23" ht="19.5" thickBot="1" x14ac:dyDescent="0.3">
      <c r="A37" s="27">
        <f t="shared" si="1"/>
        <v>34</v>
      </c>
      <c r="B37" s="42" t="s">
        <v>19</v>
      </c>
      <c r="C37" s="59">
        <f>22+3024</f>
        <v>3046</v>
      </c>
      <c r="D37" s="59"/>
      <c r="E37" s="59"/>
      <c r="F37" s="59"/>
      <c r="G37" s="59"/>
      <c r="H37" s="59">
        <v>4</v>
      </c>
      <c r="I37" s="59">
        <v>2</v>
      </c>
      <c r="J37" s="60">
        <v>5</v>
      </c>
      <c r="K37" s="61">
        <f>6+2</f>
        <v>8</v>
      </c>
      <c r="L37" s="62"/>
      <c r="M37" s="63">
        <v>6</v>
      </c>
      <c r="N37" s="64"/>
      <c r="O37" s="65">
        <v>10</v>
      </c>
      <c r="P37" s="66"/>
      <c r="Q37" s="66">
        <v>41</v>
      </c>
      <c r="R37" s="67"/>
      <c r="S37" s="62"/>
      <c r="T37" s="77">
        <f t="shared" si="0"/>
        <v>19</v>
      </c>
      <c r="U37" s="77">
        <f>C37*6+M37*6+O37*6+Q37*6+T37</f>
        <v>18637</v>
      </c>
      <c r="V37" s="77">
        <f>U37/6</f>
        <v>3106.1666666666665</v>
      </c>
      <c r="W37" s="50"/>
    </row>
    <row r="38" spans="1:23" x14ac:dyDescent="0.25">
      <c r="A38" s="27">
        <f t="shared" si="1"/>
        <v>35</v>
      </c>
      <c r="B38" s="25" t="s">
        <v>20</v>
      </c>
      <c r="C38" s="70"/>
      <c r="D38" s="70"/>
      <c r="E38" s="70"/>
      <c r="F38" s="70"/>
      <c r="G38" s="70"/>
      <c r="H38" s="70"/>
      <c r="I38" s="70"/>
      <c r="J38" s="71"/>
      <c r="K38" s="72"/>
      <c r="L38" s="55"/>
      <c r="M38" s="73"/>
      <c r="N38" s="74"/>
      <c r="O38" s="70">
        <v>1</v>
      </c>
      <c r="P38" s="71"/>
      <c r="Q38" s="71"/>
      <c r="R38" s="72"/>
      <c r="S38" s="55"/>
      <c r="T38" s="75">
        <f t="shared" si="0"/>
        <v>0</v>
      </c>
      <c r="U38" s="75">
        <f>C38*24+M38*24+O38*24+Q38*24+T38</f>
        <v>24</v>
      </c>
      <c r="V38" s="75">
        <f>U38/24</f>
        <v>1</v>
      </c>
    </row>
    <row r="39" spans="1:23" x14ac:dyDescent="0.25">
      <c r="A39" s="27">
        <f t="shared" si="1"/>
        <v>36</v>
      </c>
      <c r="B39" s="51" t="s">
        <v>62</v>
      </c>
      <c r="C39" s="78"/>
      <c r="D39" s="78"/>
      <c r="E39" s="78"/>
      <c r="F39" s="78"/>
      <c r="G39" s="78"/>
      <c r="H39" s="78"/>
      <c r="I39" s="78"/>
      <c r="J39" s="79"/>
      <c r="K39" s="80"/>
      <c r="L39" s="55"/>
      <c r="M39" s="73"/>
      <c r="N39" s="74"/>
      <c r="O39" s="70"/>
      <c r="P39" s="71"/>
      <c r="Q39" s="71"/>
      <c r="R39" s="72"/>
      <c r="S39" s="95"/>
      <c r="T39" s="75">
        <f t="shared" si="0"/>
        <v>0</v>
      </c>
      <c r="U39" s="75">
        <f>C39*24+M39*24+O39*24+Q39*24+T39</f>
        <v>0</v>
      </c>
      <c r="V39" s="75">
        <f>U39/24</f>
        <v>0</v>
      </c>
    </row>
    <row r="40" spans="1:23" ht="19.5" thickBot="1" x14ac:dyDescent="0.3">
      <c r="A40" s="27">
        <f t="shared" si="1"/>
        <v>37</v>
      </c>
      <c r="B40" s="42" t="s">
        <v>21</v>
      </c>
      <c r="C40" s="59">
        <f>252+58</f>
        <v>310</v>
      </c>
      <c r="D40" s="59"/>
      <c r="E40" s="59"/>
      <c r="F40" s="59"/>
      <c r="G40" s="59"/>
      <c r="H40" s="59"/>
      <c r="I40" s="59"/>
      <c r="J40" s="60"/>
      <c r="K40" s="61">
        <v>20</v>
      </c>
      <c r="L40" s="62"/>
      <c r="M40" s="63"/>
      <c r="N40" s="64"/>
      <c r="O40" s="65">
        <v>2</v>
      </c>
      <c r="P40" s="66"/>
      <c r="Q40" s="66"/>
      <c r="R40" s="67"/>
      <c r="S40" s="62"/>
      <c r="T40" s="77">
        <f t="shared" si="0"/>
        <v>20</v>
      </c>
      <c r="U40" s="77">
        <f>C40*24+M40*24+O40*24+Q40*24+T40</f>
        <v>7508</v>
      </c>
      <c r="V40" s="77">
        <f>U40/24</f>
        <v>312.83333333333331</v>
      </c>
    </row>
    <row r="41" spans="1:23" ht="19.5" thickBot="1" x14ac:dyDescent="0.3">
      <c r="A41" s="27">
        <f t="shared" si="1"/>
        <v>38</v>
      </c>
      <c r="B41" s="43" t="s">
        <v>22</v>
      </c>
      <c r="C41" s="82">
        <f>384+59</f>
        <v>443</v>
      </c>
      <c r="D41" s="82"/>
      <c r="E41" s="82"/>
      <c r="F41" s="82"/>
      <c r="G41" s="82"/>
      <c r="H41" s="82"/>
      <c r="I41" s="82"/>
      <c r="J41" s="83"/>
      <c r="K41" s="84"/>
      <c r="L41" s="85"/>
      <c r="M41" s="86"/>
      <c r="N41" s="87"/>
      <c r="O41" s="82">
        <v>8</v>
      </c>
      <c r="P41" s="83"/>
      <c r="Q41" s="83">
        <v>48</v>
      </c>
      <c r="R41" s="84"/>
      <c r="S41" s="85"/>
      <c r="T41" s="88">
        <f t="shared" si="0"/>
        <v>0</v>
      </c>
      <c r="U41" s="88">
        <f>C41*12+M41*12+O41*12+Q41*12+T41</f>
        <v>5988</v>
      </c>
      <c r="V41" s="88">
        <f>U41/12</f>
        <v>499</v>
      </c>
    </row>
    <row r="42" spans="1:23" hidden="1" x14ac:dyDescent="0.25">
      <c r="A42" s="27">
        <f t="shared" si="1"/>
        <v>39</v>
      </c>
      <c r="B42" s="25" t="s">
        <v>29</v>
      </c>
      <c r="C42" s="70"/>
      <c r="D42" s="70"/>
      <c r="E42" s="70"/>
      <c r="F42" s="70"/>
      <c r="G42" s="70"/>
      <c r="H42" s="70"/>
      <c r="I42" s="70"/>
      <c r="J42" s="71"/>
      <c r="K42" s="72"/>
      <c r="L42" s="55"/>
      <c r="M42" s="73"/>
      <c r="N42" s="74"/>
      <c r="O42" s="70"/>
      <c r="P42" s="71"/>
      <c r="Q42" s="71"/>
      <c r="R42" s="72"/>
      <c r="S42" s="55"/>
      <c r="T42" s="75"/>
      <c r="U42" s="75"/>
      <c r="V42" s="75"/>
    </row>
    <row r="43" spans="1:23" ht="19.5" thickBot="1" x14ac:dyDescent="0.3">
      <c r="A43" s="27">
        <f t="shared" si="1"/>
        <v>40</v>
      </c>
      <c r="B43" s="42" t="s">
        <v>23</v>
      </c>
      <c r="C43" s="65">
        <f>29+5076+19764+10260</f>
        <v>35129</v>
      </c>
      <c r="D43" s="65"/>
      <c r="E43" s="65"/>
      <c r="F43" s="65"/>
      <c r="G43" s="65"/>
      <c r="H43" s="65">
        <v>7</v>
      </c>
      <c r="I43" s="65">
        <v>12</v>
      </c>
      <c r="J43" s="66">
        <f>20*6</f>
        <v>120</v>
      </c>
      <c r="K43" s="67">
        <f>71*6+2</f>
        <v>428</v>
      </c>
      <c r="L43" s="62"/>
      <c r="M43" s="63">
        <v>59</v>
      </c>
      <c r="N43" s="64"/>
      <c r="O43" s="65">
        <v>83</v>
      </c>
      <c r="P43" s="66"/>
      <c r="Q43" s="66">
        <v>649</v>
      </c>
      <c r="R43" s="67"/>
      <c r="S43" s="62"/>
      <c r="T43" s="77">
        <f t="shared" ref="T43" si="6">H43+I43+J43+K43+N43+P43+R43</f>
        <v>567</v>
      </c>
      <c r="U43" s="77">
        <f>C43*6+M43*6+O43*6+Q43*6+T43</f>
        <v>216087</v>
      </c>
      <c r="V43" s="77">
        <f>U43/6</f>
        <v>36014.5</v>
      </c>
    </row>
    <row r="44" spans="1:23" hidden="1" x14ac:dyDescent="0.25">
      <c r="A44" s="27">
        <f t="shared" si="1"/>
        <v>41</v>
      </c>
      <c r="B44" s="25" t="s">
        <v>31</v>
      </c>
      <c r="C44" s="70"/>
      <c r="D44" s="70"/>
      <c r="E44" s="70"/>
      <c r="F44" s="70"/>
      <c r="G44" s="70"/>
      <c r="H44" s="70"/>
      <c r="I44" s="70"/>
      <c r="J44" s="71"/>
      <c r="K44" s="72"/>
      <c r="L44" s="55"/>
      <c r="M44" s="73"/>
      <c r="N44" s="74"/>
      <c r="O44" s="70"/>
      <c r="P44" s="71"/>
      <c r="Q44" s="71"/>
      <c r="R44" s="72"/>
      <c r="S44" s="55"/>
      <c r="T44" s="75"/>
      <c r="U44" s="75"/>
      <c r="V44" s="75"/>
    </row>
    <row r="45" spans="1:23" x14ac:dyDescent="0.25">
      <c r="A45" s="27">
        <f t="shared" si="1"/>
        <v>42</v>
      </c>
      <c r="B45" s="26" t="s">
        <v>24</v>
      </c>
      <c r="C45" s="70"/>
      <c r="D45" s="70"/>
      <c r="E45" s="70"/>
      <c r="F45" s="70"/>
      <c r="G45" s="70"/>
      <c r="H45" s="70"/>
      <c r="I45" s="70"/>
      <c r="J45" s="71"/>
      <c r="K45" s="72"/>
      <c r="L45" s="55"/>
      <c r="M45" s="73"/>
      <c r="N45" s="74"/>
      <c r="O45" s="70">
        <v>1</v>
      </c>
      <c r="P45" s="71"/>
      <c r="Q45" s="71"/>
      <c r="R45" s="72"/>
      <c r="S45" s="55"/>
      <c r="T45" s="75">
        <f t="shared" ref="T45:T54" si="7">H45+I45+J45+K45+N45+P45+R45</f>
        <v>0</v>
      </c>
      <c r="U45" s="75">
        <f>C45*24+M45*24+O45*24+Q45*24+T45</f>
        <v>24</v>
      </c>
      <c r="V45" s="75">
        <f>U45/24</f>
        <v>1</v>
      </c>
    </row>
    <row r="46" spans="1:23" x14ac:dyDescent="0.25">
      <c r="A46" s="27">
        <f t="shared" si="1"/>
        <v>43</v>
      </c>
      <c r="B46" s="26" t="s">
        <v>57</v>
      </c>
      <c r="C46" s="70"/>
      <c r="D46" s="70"/>
      <c r="E46" s="70"/>
      <c r="F46" s="70"/>
      <c r="G46" s="70"/>
      <c r="H46" s="70"/>
      <c r="I46" s="70"/>
      <c r="J46" s="71"/>
      <c r="K46" s="72"/>
      <c r="L46" s="55"/>
      <c r="M46" s="73"/>
      <c r="N46" s="74"/>
      <c r="O46" s="70"/>
      <c r="P46" s="71"/>
      <c r="Q46" s="71"/>
      <c r="R46" s="72"/>
      <c r="S46" s="55"/>
      <c r="T46" s="75">
        <f t="shared" si="7"/>
        <v>0</v>
      </c>
      <c r="U46" s="75">
        <f t="shared" ref="U46:U50" si="8">C46*24+M46*24+O46*24+Q46*24+T46</f>
        <v>0</v>
      </c>
      <c r="V46" s="75">
        <f t="shared" ref="V46:V54" si="9">U46/24</f>
        <v>0</v>
      </c>
    </row>
    <row r="47" spans="1:23" ht="19.5" thickBot="1" x14ac:dyDescent="0.3">
      <c r="A47" s="27">
        <f t="shared" si="1"/>
        <v>44</v>
      </c>
      <c r="B47" s="42" t="s">
        <v>25</v>
      </c>
      <c r="C47" s="65">
        <f>99+648+324+88+540+103+324+432+106</f>
        <v>2664</v>
      </c>
      <c r="D47" s="65"/>
      <c r="E47" s="65"/>
      <c r="F47" s="65"/>
      <c r="G47" s="65"/>
      <c r="H47" s="65">
        <v>1</v>
      </c>
      <c r="I47" s="65"/>
      <c r="J47" s="66"/>
      <c r="K47" s="67">
        <v>5</v>
      </c>
      <c r="L47" s="62"/>
      <c r="M47" s="63"/>
      <c r="N47" s="64"/>
      <c r="O47" s="65">
        <v>16</v>
      </c>
      <c r="P47" s="66"/>
      <c r="Q47" s="66">
        <v>5</v>
      </c>
      <c r="R47" s="67">
        <v>3</v>
      </c>
      <c r="S47" s="62"/>
      <c r="T47" s="77">
        <f t="shared" si="7"/>
        <v>9</v>
      </c>
      <c r="U47" s="77">
        <f>C47*6+M47*6+O47*6+Q47*6+T47</f>
        <v>16119</v>
      </c>
      <c r="V47" s="77">
        <f>U47/6</f>
        <v>2686.5</v>
      </c>
    </row>
    <row r="48" spans="1:23" x14ac:dyDescent="0.25">
      <c r="A48" s="27">
        <f t="shared" si="1"/>
        <v>45</v>
      </c>
      <c r="B48" s="25" t="s">
        <v>58</v>
      </c>
      <c r="C48" s="70"/>
      <c r="D48" s="70"/>
      <c r="E48" s="70"/>
      <c r="F48" s="70"/>
      <c r="G48" s="70"/>
      <c r="H48" s="70">
        <v>24</v>
      </c>
      <c r="I48" s="70"/>
      <c r="J48" s="71"/>
      <c r="K48" s="72"/>
      <c r="L48" s="55"/>
      <c r="M48" s="73"/>
      <c r="N48" s="74"/>
      <c r="O48" s="70"/>
      <c r="P48" s="71"/>
      <c r="Q48" s="71"/>
      <c r="R48" s="72"/>
      <c r="S48" s="55"/>
      <c r="T48" s="75">
        <f t="shared" si="7"/>
        <v>24</v>
      </c>
      <c r="U48" s="75">
        <f t="shared" si="8"/>
        <v>24</v>
      </c>
      <c r="V48" s="75">
        <f t="shared" si="9"/>
        <v>1</v>
      </c>
    </row>
    <row r="49" spans="1:22" x14ac:dyDescent="0.25">
      <c r="A49" s="27">
        <f t="shared" si="1"/>
        <v>46</v>
      </c>
      <c r="B49" s="26" t="s">
        <v>26</v>
      </c>
      <c r="C49" s="70"/>
      <c r="D49" s="70"/>
      <c r="E49" s="70"/>
      <c r="F49" s="70"/>
      <c r="G49" s="70"/>
      <c r="H49" s="70"/>
      <c r="I49" s="70"/>
      <c r="J49" s="71"/>
      <c r="K49" s="72"/>
      <c r="L49" s="55"/>
      <c r="M49" s="73"/>
      <c r="N49" s="74"/>
      <c r="O49" s="70"/>
      <c r="P49" s="71"/>
      <c r="Q49" s="71"/>
      <c r="R49" s="72"/>
      <c r="S49" s="55"/>
      <c r="T49" s="75">
        <f t="shared" si="7"/>
        <v>0</v>
      </c>
      <c r="U49" s="75">
        <f t="shared" si="8"/>
        <v>0</v>
      </c>
      <c r="V49" s="75">
        <f t="shared" si="9"/>
        <v>0</v>
      </c>
    </row>
    <row r="50" spans="1:22" x14ac:dyDescent="0.25">
      <c r="A50" s="27">
        <f t="shared" si="1"/>
        <v>47</v>
      </c>
      <c r="B50" s="26" t="s">
        <v>59</v>
      </c>
      <c r="C50" s="70"/>
      <c r="D50" s="70"/>
      <c r="E50" s="70"/>
      <c r="F50" s="70"/>
      <c r="G50" s="70"/>
      <c r="H50" s="70"/>
      <c r="I50" s="70"/>
      <c r="J50" s="71"/>
      <c r="K50" s="72"/>
      <c r="L50" s="55"/>
      <c r="M50" s="73"/>
      <c r="N50" s="74"/>
      <c r="O50" s="70"/>
      <c r="P50" s="71"/>
      <c r="Q50" s="71"/>
      <c r="R50" s="72"/>
      <c r="S50" s="55"/>
      <c r="T50" s="75">
        <f t="shared" si="7"/>
        <v>0</v>
      </c>
      <c r="U50" s="75">
        <f t="shared" si="8"/>
        <v>0</v>
      </c>
      <c r="V50" s="75">
        <f t="shared" si="9"/>
        <v>0</v>
      </c>
    </row>
    <row r="51" spans="1:22" ht="19.5" thickBot="1" x14ac:dyDescent="0.3">
      <c r="A51" s="27">
        <f t="shared" si="1"/>
        <v>48</v>
      </c>
      <c r="B51" s="42" t="s">
        <v>27</v>
      </c>
      <c r="C51" s="65">
        <v>34</v>
      </c>
      <c r="D51" s="65"/>
      <c r="E51" s="65"/>
      <c r="F51" s="65"/>
      <c r="G51" s="65"/>
      <c r="H51" s="65"/>
      <c r="I51" s="65"/>
      <c r="J51" s="66"/>
      <c r="K51" s="67"/>
      <c r="L51" s="62"/>
      <c r="M51" s="63"/>
      <c r="N51" s="64"/>
      <c r="O51" s="65"/>
      <c r="P51" s="66"/>
      <c r="Q51" s="66"/>
      <c r="R51" s="67"/>
      <c r="S51" s="62"/>
      <c r="T51" s="77">
        <f t="shared" si="7"/>
        <v>0</v>
      </c>
      <c r="U51" s="77">
        <f>C51*6+M51*6+O51*6+Q51*6+T51</f>
        <v>204</v>
      </c>
      <c r="V51" s="77">
        <f>U51/6</f>
        <v>34</v>
      </c>
    </row>
    <row r="52" spans="1:22" x14ac:dyDescent="0.25">
      <c r="A52" s="27">
        <f t="shared" si="1"/>
        <v>49</v>
      </c>
      <c r="B52" s="25" t="s">
        <v>28</v>
      </c>
      <c r="C52" s="70"/>
      <c r="D52" s="70"/>
      <c r="E52" s="70"/>
      <c r="F52" s="70"/>
      <c r="G52" s="70"/>
      <c r="H52" s="70"/>
      <c r="I52" s="70"/>
      <c r="J52" s="71"/>
      <c r="K52" s="72"/>
      <c r="L52" s="55"/>
      <c r="M52" s="73"/>
      <c r="N52" s="74"/>
      <c r="O52" s="70"/>
      <c r="P52" s="71"/>
      <c r="Q52" s="71"/>
      <c r="R52" s="72"/>
      <c r="S52" s="55"/>
      <c r="T52" s="75">
        <f t="shared" si="7"/>
        <v>0</v>
      </c>
      <c r="U52" s="75">
        <f t="shared" ref="U52:U54" si="10">C52*24+M52*24+O52*24+Q52*24+T52</f>
        <v>0</v>
      </c>
      <c r="V52" s="75">
        <f t="shared" si="9"/>
        <v>0</v>
      </c>
    </row>
    <row r="53" spans="1:22" x14ac:dyDescent="0.25">
      <c r="A53" s="27">
        <f t="shared" si="1"/>
        <v>50</v>
      </c>
      <c r="B53" s="26" t="s">
        <v>63</v>
      </c>
      <c r="C53" s="70">
        <v>7</v>
      </c>
      <c r="D53" s="70"/>
      <c r="E53" s="70"/>
      <c r="F53" s="70"/>
      <c r="G53" s="70"/>
      <c r="H53" s="70"/>
      <c r="I53" s="70"/>
      <c r="J53" s="71"/>
      <c r="K53" s="72"/>
      <c r="L53" s="55"/>
      <c r="M53" s="73"/>
      <c r="N53" s="74"/>
      <c r="O53" s="70"/>
      <c r="P53" s="71"/>
      <c r="Q53" s="71"/>
      <c r="R53" s="72"/>
      <c r="S53" s="55"/>
      <c r="T53" s="75">
        <f t="shared" si="7"/>
        <v>0</v>
      </c>
      <c r="U53" s="75">
        <f t="shared" si="10"/>
        <v>168</v>
      </c>
      <c r="V53" s="75">
        <f t="shared" si="9"/>
        <v>7</v>
      </c>
    </row>
    <row r="54" spans="1:22" x14ac:dyDescent="0.25">
      <c r="A54" s="27">
        <f t="shared" si="1"/>
        <v>51</v>
      </c>
      <c r="B54" s="26"/>
      <c r="C54" s="70"/>
      <c r="D54" s="70"/>
      <c r="E54" s="70"/>
      <c r="F54" s="70"/>
      <c r="G54" s="70"/>
      <c r="H54" s="70"/>
      <c r="I54" s="70"/>
      <c r="J54" s="71"/>
      <c r="K54" s="72"/>
      <c r="L54" s="55"/>
      <c r="M54" s="73"/>
      <c r="N54" s="74"/>
      <c r="O54" s="70"/>
      <c r="P54" s="71"/>
      <c r="Q54" s="71"/>
      <c r="R54" s="72"/>
      <c r="S54" s="55"/>
      <c r="T54" s="75">
        <f t="shared" si="7"/>
        <v>0</v>
      </c>
      <c r="U54" s="75">
        <f t="shared" si="10"/>
        <v>0</v>
      </c>
      <c r="V54" s="75">
        <f t="shared" si="9"/>
        <v>0</v>
      </c>
    </row>
    <row r="55" spans="1:22" x14ac:dyDescent="0.25">
      <c r="A55" s="27">
        <f t="shared" si="1"/>
        <v>52</v>
      </c>
      <c r="B55" s="26"/>
      <c r="C55" s="70"/>
      <c r="D55" s="70"/>
      <c r="E55" s="70"/>
      <c r="F55" s="70"/>
      <c r="G55" s="70"/>
      <c r="H55" s="70"/>
      <c r="I55" s="70"/>
      <c r="J55" s="71"/>
      <c r="K55" s="72"/>
      <c r="L55" s="55"/>
      <c r="M55" s="73"/>
      <c r="N55" s="74"/>
      <c r="O55" s="70"/>
      <c r="P55" s="71"/>
      <c r="Q55" s="71"/>
      <c r="R55" s="72"/>
      <c r="S55" s="55"/>
      <c r="T55" s="75"/>
      <c r="U55" s="75"/>
      <c r="V55" s="75"/>
    </row>
    <row r="56" spans="1:22" x14ac:dyDescent="0.25">
      <c r="A56" s="27">
        <f t="shared" si="1"/>
        <v>53</v>
      </c>
      <c r="B56" s="26"/>
      <c r="C56" s="70"/>
      <c r="D56" s="70"/>
      <c r="E56" s="70"/>
      <c r="F56" s="70"/>
      <c r="G56" s="70"/>
      <c r="H56" s="70"/>
      <c r="I56" s="70"/>
      <c r="J56" s="71"/>
      <c r="K56" s="72"/>
      <c r="L56" s="55"/>
      <c r="M56" s="73"/>
      <c r="N56" s="74"/>
      <c r="O56" s="70"/>
      <c r="P56" s="71"/>
      <c r="Q56" s="71"/>
      <c r="R56" s="72"/>
      <c r="S56" s="55"/>
      <c r="T56" s="75"/>
      <c r="U56" s="75"/>
      <c r="V56" s="75"/>
    </row>
    <row r="57" spans="1:22" x14ac:dyDescent="0.25">
      <c r="A57" s="27">
        <f t="shared" si="1"/>
        <v>54</v>
      </c>
      <c r="B57" s="26"/>
      <c r="C57" s="70"/>
      <c r="D57" s="70"/>
      <c r="E57" s="70"/>
      <c r="F57" s="70"/>
      <c r="G57" s="70"/>
      <c r="H57" s="70"/>
      <c r="I57" s="70"/>
      <c r="J57" s="71"/>
      <c r="K57" s="72"/>
      <c r="L57" s="55"/>
      <c r="M57" s="73"/>
      <c r="N57" s="74"/>
      <c r="O57" s="70"/>
      <c r="P57" s="71"/>
      <c r="Q57" s="71"/>
      <c r="R57" s="72"/>
      <c r="S57" s="55"/>
      <c r="T57" s="75"/>
      <c r="U57" s="75"/>
      <c r="V57" s="75"/>
    </row>
    <row r="58" spans="1:22" s="15" customFormat="1" ht="19.5" thickBot="1" x14ac:dyDescent="0.3">
      <c r="B58" s="29" t="s">
        <v>50</v>
      </c>
      <c r="C58" s="2">
        <f>SUM(C7:C57)</f>
        <v>45444</v>
      </c>
      <c r="D58" s="2"/>
      <c r="E58" s="2"/>
      <c r="F58" s="2">
        <f t="shared" ref="F58:K58" si="11">SUM(F7:F57)</f>
        <v>0</v>
      </c>
      <c r="G58" s="2">
        <f t="shared" si="11"/>
        <v>0</v>
      </c>
      <c r="H58" s="2">
        <f t="shared" si="11"/>
        <v>1195</v>
      </c>
      <c r="I58" s="6">
        <f t="shared" si="11"/>
        <v>44</v>
      </c>
      <c r="J58" s="6">
        <f t="shared" si="11"/>
        <v>125</v>
      </c>
      <c r="K58" s="6">
        <f t="shared" si="11"/>
        <v>470</v>
      </c>
      <c r="M58" s="5">
        <f t="shared" ref="M58:R58" si="12">SUM(M7:M57)</f>
        <v>71</v>
      </c>
      <c r="N58" s="5">
        <f t="shared" si="12"/>
        <v>9</v>
      </c>
      <c r="O58" s="5">
        <f t="shared" si="12"/>
        <v>132</v>
      </c>
      <c r="P58" s="5">
        <f t="shared" si="12"/>
        <v>24</v>
      </c>
      <c r="Q58" s="5">
        <f t="shared" si="12"/>
        <v>781</v>
      </c>
      <c r="R58" s="5">
        <f t="shared" si="12"/>
        <v>9</v>
      </c>
      <c r="S58" s="55"/>
      <c r="T58" s="4">
        <f>SUM(T7:T57)</f>
        <v>1876</v>
      </c>
      <c r="U58" s="90">
        <f>SUM(U7:U57)</f>
        <v>358804</v>
      </c>
      <c r="V58" s="4">
        <f>SUM(V7:V57)</f>
        <v>46580.541666666664</v>
      </c>
    </row>
    <row r="59" spans="1:22" ht="7.5" customHeight="1" thickBot="1" x14ac:dyDescent="0.3"/>
    <row r="60" spans="1:22" ht="19.5" thickBot="1" x14ac:dyDescent="0.3">
      <c r="B60" s="30" t="s">
        <v>37</v>
      </c>
      <c r="C60" s="113" t="s">
        <v>41</v>
      </c>
      <c r="D60" s="114"/>
      <c r="E60" s="114"/>
      <c r="F60" s="114"/>
      <c r="G60" s="114"/>
      <c r="H60" s="114"/>
      <c r="I60" s="114"/>
      <c r="J60" s="114"/>
      <c r="K60" s="115"/>
      <c r="U60" s="24" t="s">
        <v>51</v>
      </c>
    </row>
    <row r="61" spans="1:22" x14ac:dyDescent="0.25">
      <c r="B61" s="31" t="s">
        <v>17</v>
      </c>
      <c r="C61" s="19"/>
      <c r="D61" s="19"/>
      <c r="E61" s="19"/>
      <c r="F61" s="19"/>
      <c r="G61" s="19"/>
      <c r="H61" s="19"/>
      <c r="I61" s="19"/>
      <c r="J61" s="45"/>
      <c r="K61" s="20"/>
      <c r="U61" s="7"/>
    </row>
    <row r="62" spans="1:22" x14ac:dyDescent="0.25">
      <c r="B62" s="32" t="s">
        <v>45</v>
      </c>
      <c r="C62" s="1"/>
      <c r="D62" s="1"/>
      <c r="E62" s="1"/>
      <c r="F62" s="1"/>
      <c r="G62" s="1"/>
      <c r="H62" s="1"/>
      <c r="I62" s="1"/>
      <c r="J62" s="44"/>
      <c r="K62" s="21"/>
      <c r="U62" s="3"/>
    </row>
    <row r="63" spans="1:22" ht="19.5" thickBot="1" x14ac:dyDescent="0.3">
      <c r="B63" s="33" t="s">
        <v>44</v>
      </c>
      <c r="C63" s="22"/>
      <c r="D63" s="22"/>
      <c r="E63" s="22"/>
      <c r="F63" s="22"/>
      <c r="G63" s="22"/>
      <c r="H63" s="22"/>
      <c r="I63" s="22"/>
      <c r="J63" s="46"/>
      <c r="K63" s="23"/>
      <c r="U63" s="8"/>
    </row>
    <row r="64" spans="1:22" ht="7.5" customHeight="1" thickBot="1" x14ac:dyDescent="0.3"/>
    <row r="65" spans="2:21" x14ac:dyDescent="0.25">
      <c r="B65" s="31" t="s">
        <v>46</v>
      </c>
      <c r="C65" s="19"/>
      <c r="D65" s="19"/>
      <c r="E65" s="19"/>
      <c r="F65" s="19"/>
      <c r="G65" s="19"/>
      <c r="H65" s="19"/>
      <c r="I65" s="19"/>
      <c r="J65" s="45"/>
      <c r="K65" s="20"/>
      <c r="U65" s="7"/>
    </row>
    <row r="66" spans="2:21" x14ac:dyDescent="0.25">
      <c r="B66" s="32" t="s">
        <v>45</v>
      </c>
      <c r="C66" s="1"/>
      <c r="D66" s="1"/>
      <c r="E66" s="1"/>
      <c r="F66" s="1"/>
      <c r="G66" s="1"/>
      <c r="H66" s="1"/>
      <c r="I66" s="1"/>
      <c r="J66" s="44"/>
      <c r="K66" s="21"/>
      <c r="U66" s="3"/>
    </row>
    <row r="67" spans="2:21" ht="19.5" thickBot="1" x14ac:dyDescent="0.3">
      <c r="B67" s="33" t="s">
        <v>44</v>
      </c>
      <c r="C67" s="22"/>
      <c r="D67" s="22"/>
      <c r="E67" s="22"/>
      <c r="F67" s="22"/>
      <c r="G67" s="22"/>
      <c r="H67" s="22"/>
      <c r="I67" s="22"/>
      <c r="J67" s="46"/>
      <c r="K67" s="23"/>
      <c r="U67" s="8"/>
    </row>
    <row r="68" spans="2:21" ht="7.5" customHeight="1" thickBot="1" x14ac:dyDescent="0.3"/>
    <row r="69" spans="2:21" x14ac:dyDescent="0.25">
      <c r="B69" s="31" t="s">
        <v>38</v>
      </c>
      <c r="C69" s="19"/>
      <c r="D69" s="19"/>
      <c r="E69" s="19"/>
      <c r="F69" s="19"/>
      <c r="G69" s="19"/>
      <c r="H69" s="19"/>
      <c r="I69" s="19"/>
      <c r="J69" s="45"/>
      <c r="K69" s="20"/>
      <c r="U69" s="7"/>
    </row>
    <row r="70" spans="2:21" x14ac:dyDescent="0.25">
      <c r="B70" s="32" t="s">
        <v>45</v>
      </c>
      <c r="C70" s="1"/>
      <c r="D70" s="1"/>
      <c r="E70" s="1"/>
      <c r="F70" s="1"/>
      <c r="G70" s="1"/>
      <c r="H70" s="1"/>
      <c r="I70" s="1"/>
      <c r="J70" s="44"/>
      <c r="K70" s="21"/>
      <c r="U70" s="3"/>
    </row>
    <row r="71" spans="2:21" ht="19.5" thickBot="1" x14ac:dyDescent="0.3">
      <c r="B71" s="33" t="s">
        <v>44</v>
      </c>
      <c r="C71" s="22"/>
      <c r="D71" s="22"/>
      <c r="E71" s="22"/>
      <c r="F71" s="22"/>
      <c r="G71" s="22"/>
      <c r="H71" s="22"/>
      <c r="I71" s="22"/>
      <c r="J71" s="46"/>
      <c r="K71" s="23"/>
      <c r="U71" s="8"/>
    </row>
    <row r="72" spans="2:21" ht="7.5" customHeight="1" thickBot="1" x14ac:dyDescent="0.3"/>
    <row r="73" spans="2:21" x14ac:dyDescent="0.25">
      <c r="B73" s="31" t="s">
        <v>47</v>
      </c>
      <c r="C73" s="19"/>
      <c r="D73" s="19"/>
      <c r="E73" s="19"/>
      <c r="F73" s="19"/>
      <c r="G73" s="19"/>
      <c r="H73" s="19"/>
      <c r="I73" s="19"/>
      <c r="J73" s="45"/>
      <c r="K73" s="20"/>
      <c r="U73" s="7"/>
    </row>
    <row r="74" spans="2:21" x14ac:dyDescent="0.25">
      <c r="B74" s="32" t="s">
        <v>45</v>
      </c>
      <c r="C74" s="1"/>
      <c r="D74" s="1"/>
      <c r="E74" s="1"/>
      <c r="F74" s="1"/>
      <c r="G74" s="1"/>
      <c r="H74" s="1"/>
      <c r="I74" s="1"/>
      <c r="J74" s="44"/>
      <c r="K74" s="21"/>
      <c r="U74" s="3"/>
    </row>
    <row r="75" spans="2:21" ht="19.5" thickBot="1" x14ac:dyDescent="0.3">
      <c r="B75" s="33" t="s">
        <v>44</v>
      </c>
      <c r="C75" s="22"/>
      <c r="D75" s="22"/>
      <c r="E75" s="22"/>
      <c r="F75" s="22"/>
      <c r="G75" s="22"/>
      <c r="H75" s="22"/>
      <c r="I75" s="22"/>
      <c r="J75" s="46"/>
      <c r="K75" s="23"/>
      <c r="U75" s="8"/>
    </row>
    <row r="76" spans="2:21" ht="7.5" customHeight="1" thickBot="1" x14ac:dyDescent="0.3"/>
    <row r="77" spans="2:21" x14ac:dyDescent="0.25">
      <c r="B77" s="31" t="s">
        <v>48</v>
      </c>
      <c r="C77" s="19"/>
      <c r="D77" s="19"/>
      <c r="E77" s="19"/>
      <c r="F77" s="19"/>
      <c r="G77" s="19"/>
      <c r="H77" s="19"/>
      <c r="I77" s="19"/>
      <c r="J77" s="45"/>
      <c r="K77" s="20"/>
      <c r="U77" s="7"/>
    </row>
    <row r="78" spans="2:21" x14ac:dyDescent="0.25">
      <c r="B78" s="32" t="s">
        <v>45</v>
      </c>
      <c r="C78" s="1"/>
      <c r="D78" s="1"/>
      <c r="E78" s="1"/>
      <c r="F78" s="1"/>
      <c r="G78" s="1"/>
      <c r="H78" s="1"/>
      <c r="I78" s="1"/>
      <c r="J78" s="44"/>
      <c r="K78" s="21"/>
      <c r="U78" s="3"/>
    </row>
    <row r="79" spans="2:21" ht="19.5" thickBot="1" x14ac:dyDescent="0.3">
      <c r="B79" s="33" t="s">
        <v>44</v>
      </c>
      <c r="C79" s="22"/>
      <c r="D79" s="22"/>
      <c r="E79" s="22"/>
      <c r="F79" s="22"/>
      <c r="G79" s="22"/>
      <c r="H79" s="22"/>
      <c r="I79" s="22"/>
      <c r="J79" s="46"/>
      <c r="K79" s="23"/>
      <c r="U79" s="8"/>
    </row>
    <row r="80" spans="2:21" ht="7.5" customHeight="1" thickBot="1" x14ac:dyDescent="0.3"/>
    <row r="81" spans="2:21" ht="19.5" thickBot="1" x14ac:dyDescent="0.3">
      <c r="B81" s="30" t="s">
        <v>49</v>
      </c>
      <c r="C81" s="17"/>
      <c r="D81" s="17"/>
      <c r="E81" s="17"/>
      <c r="F81" s="17"/>
      <c r="G81" s="17"/>
      <c r="H81" s="17"/>
      <c r="I81" s="17"/>
      <c r="J81" s="47"/>
      <c r="K81" s="18"/>
      <c r="U81" s="16"/>
    </row>
  </sheetData>
  <mergeCells count="7">
    <mergeCell ref="V4:V5"/>
    <mergeCell ref="J5:K5"/>
    <mergeCell ref="C60:K60"/>
    <mergeCell ref="I1:U1"/>
    <mergeCell ref="C4:K4"/>
    <mergeCell ref="T4:T5"/>
    <mergeCell ref="U4:U5"/>
  </mergeCells>
  <printOptions horizontalCentered="1" verticalCentered="1"/>
  <pageMargins left="0.19685039370078741" right="0.19685039370078741" top="0.19685039370078741" bottom="0.19685039370078741" header="0.19685039370078741" footer="0.19685039370078741"/>
  <pageSetup paperSize="14" scale="70" orientation="portrait" horizontalDpi="360" verticalDpi="360" r:id="rId1"/>
  <colBreaks count="1" manualBreakCount="1">
    <brk id="24" max="80" man="1"/>
  </colBreaks>
</worksheet>
</file>

<file path=xl/worksheets/sheet1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10404419-184F-4CE3-BF04-EDA1B752AE66}">
  <sheetPr>
    <pageSetUpPr fitToPage="1"/>
  </sheetPr>
  <dimension ref="A1:BB81"/>
  <sheetViews>
    <sheetView zoomScale="91" zoomScaleNormal="91" zoomScaleSheetLayoutView="115" workbookViewId="0">
      <selection activeCell="B3" sqref="B3"/>
    </sheetView>
  </sheetViews>
  <sheetFormatPr defaultColWidth="9.140625" defaultRowHeight="18.75" x14ac:dyDescent="0.25"/>
  <cols>
    <col min="1" max="1" width="4.140625" style="9" bestFit="1" customWidth="1"/>
    <col min="2" max="2" width="12.28515625" style="28" customWidth="1"/>
    <col min="3" max="6" width="10" style="9" customWidth="1"/>
    <col min="7" max="7" width="6.85546875" style="9" customWidth="1"/>
    <col min="8" max="8" width="7.5703125" style="9" bestFit="1" customWidth="1"/>
    <col min="9" max="9" width="6.7109375" style="9" bestFit="1" customWidth="1"/>
    <col min="10" max="10" width="6.85546875" style="9" customWidth="1"/>
    <col min="11" max="11" width="7.5703125" style="9" bestFit="1" customWidth="1"/>
    <col min="12" max="12" width="1.42578125" style="9" customWidth="1"/>
    <col min="13" max="13" width="10" style="9" customWidth="1"/>
    <col min="14" max="14" width="6.7109375" style="9" bestFit="1" customWidth="1"/>
    <col min="15" max="15" width="10" style="9" customWidth="1"/>
    <col min="16" max="16" width="5.5703125" style="9" customWidth="1"/>
    <col min="17" max="17" width="10" style="9" customWidth="1"/>
    <col min="18" max="18" width="6.7109375" style="9" bestFit="1" customWidth="1"/>
    <col min="19" max="19" width="1.42578125" style="9" customWidth="1"/>
    <col min="20" max="20" width="12.7109375" style="9" bestFit="1" customWidth="1"/>
    <col min="21" max="21" width="14.28515625" style="9" customWidth="1"/>
    <col min="22" max="22" width="19.5703125" style="9" bestFit="1" customWidth="1"/>
    <col min="23" max="49" width="7.28515625" style="9" customWidth="1"/>
    <col min="50" max="50" width="1.5703125" style="9" customWidth="1"/>
    <col min="51" max="51" width="9.42578125" style="9" customWidth="1"/>
    <col min="52" max="52" width="1.28515625" style="9" customWidth="1"/>
    <col min="53" max="53" width="12.7109375" style="9" bestFit="1" customWidth="1"/>
    <col min="54" max="54" width="10.28515625" style="9" bestFit="1" customWidth="1"/>
    <col min="55" max="16384" width="9.140625" style="9"/>
  </cols>
  <sheetData>
    <row r="1" spans="1:54" ht="15" customHeight="1" x14ac:dyDescent="0.25">
      <c r="B1" s="27" t="s">
        <v>42</v>
      </c>
      <c r="I1" s="116" t="s">
        <v>43</v>
      </c>
      <c r="J1" s="116"/>
      <c r="K1" s="116"/>
      <c r="L1" s="116"/>
      <c r="M1" s="116"/>
      <c r="N1" s="116"/>
      <c r="O1" s="116"/>
      <c r="P1" s="116"/>
      <c r="Q1" s="116"/>
      <c r="R1" s="116"/>
      <c r="S1" s="116"/>
      <c r="T1" s="116"/>
      <c r="U1" s="116"/>
    </row>
    <row r="2" spans="1:54" x14ac:dyDescent="0.25">
      <c r="B2" s="28" t="s">
        <v>85</v>
      </c>
    </row>
    <row r="3" spans="1:54" ht="19.5" thickBot="1" x14ac:dyDescent="0.3"/>
    <row r="4" spans="1:54" s="10" customFormat="1" ht="15.75" x14ac:dyDescent="0.25">
      <c r="B4" s="41" t="s">
        <v>52</v>
      </c>
      <c r="C4" s="117" t="s">
        <v>41</v>
      </c>
      <c r="D4" s="117"/>
      <c r="E4" s="117"/>
      <c r="F4" s="117"/>
      <c r="G4" s="117"/>
      <c r="H4" s="117"/>
      <c r="I4" s="117"/>
      <c r="J4" s="118"/>
      <c r="K4" s="119"/>
      <c r="M4" s="34" t="s">
        <v>0</v>
      </c>
      <c r="N4" s="48" t="s">
        <v>61</v>
      </c>
      <c r="O4" s="35" t="s">
        <v>39</v>
      </c>
      <c r="P4" s="48" t="s">
        <v>61</v>
      </c>
      <c r="Q4" s="36" t="s">
        <v>40</v>
      </c>
      <c r="R4" s="48" t="s">
        <v>61</v>
      </c>
      <c r="S4" s="9"/>
      <c r="T4" s="120" t="s">
        <v>68</v>
      </c>
      <c r="U4" s="126" t="s">
        <v>67</v>
      </c>
      <c r="V4" s="109" t="s">
        <v>66</v>
      </c>
      <c r="AF4" s="11"/>
      <c r="AG4" s="11"/>
      <c r="AH4" s="11"/>
      <c r="AI4" s="11"/>
      <c r="AJ4" s="11"/>
      <c r="AK4" s="11"/>
      <c r="AL4" s="11"/>
      <c r="AM4" s="11"/>
      <c r="AN4" s="11"/>
      <c r="AO4" s="11"/>
      <c r="AP4" s="11"/>
      <c r="AQ4" s="11"/>
      <c r="AR4" s="11"/>
      <c r="AS4" s="11"/>
      <c r="AT4" s="11"/>
      <c r="AU4" s="11"/>
      <c r="AV4" s="11"/>
      <c r="AW4" s="11"/>
      <c r="AX4" s="11"/>
      <c r="AY4" s="11"/>
      <c r="AZ4" s="11"/>
      <c r="BA4" s="11"/>
      <c r="BB4" s="11"/>
    </row>
    <row r="5" spans="1:54" s="10" customFormat="1" ht="15.75" x14ac:dyDescent="0.25">
      <c r="B5" s="37"/>
      <c r="C5" s="40"/>
      <c r="D5" s="40"/>
      <c r="E5" s="40"/>
      <c r="F5" s="40"/>
      <c r="G5" s="40"/>
      <c r="H5" s="40" t="s">
        <v>64</v>
      </c>
      <c r="I5" s="40" t="s">
        <v>60</v>
      </c>
      <c r="J5" s="124" t="s">
        <v>65</v>
      </c>
      <c r="K5" s="125"/>
      <c r="M5" s="37"/>
      <c r="N5" s="49"/>
      <c r="O5" s="40"/>
      <c r="P5" s="100"/>
      <c r="Q5" s="100"/>
      <c r="R5" s="38"/>
      <c r="S5" s="9"/>
      <c r="T5" s="121"/>
      <c r="U5" s="127"/>
      <c r="V5" s="110"/>
      <c r="AF5" s="11"/>
      <c r="AG5" s="11"/>
      <c r="AH5" s="11"/>
      <c r="AI5" s="11"/>
      <c r="AJ5" s="11"/>
      <c r="AK5" s="11"/>
      <c r="AL5" s="11"/>
      <c r="AM5" s="11"/>
      <c r="AN5" s="11"/>
      <c r="AO5" s="11"/>
      <c r="AP5" s="11"/>
      <c r="AQ5" s="11"/>
      <c r="AR5" s="11"/>
      <c r="AS5" s="11"/>
      <c r="AT5" s="11"/>
      <c r="AU5" s="11"/>
      <c r="AV5" s="11"/>
      <c r="AW5" s="11"/>
      <c r="AX5" s="11"/>
      <c r="AY5" s="11"/>
      <c r="AZ5" s="11"/>
      <c r="BA5" s="11"/>
      <c r="BB5" s="11"/>
    </row>
    <row r="6" spans="1:54" s="10" customFormat="1" ht="15.75" x14ac:dyDescent="0.25">
      <c r="B6" s="37"/>
      <c r="C6" s="40"/>
      <c r="D6" s="40"/>
      <c r="E6" s="40"/>
      <c r="F6" s="40"/>
      <c r="G6" s="40"/>
      <c r="H6" s="40"/>
      <c r="I6" s="40"/>
      <c r="J6" s="100"/>
      <c r="K6" s="38"/>
      <c r="M6" s="37"/>
      <c r="N6" s="49"/>
      <c r="O6" s="40"/>
      <c r="P6" s="100"/>
      <c r="Q6" s="100"/>
      <c r="R6" s="38"/>
      <c r="S6" s="9"/>
      <c r="T6" s="39"/>
      <c r="U6" s="39"/>
      <c r="V6" s="39"/>
      <c r="AF6" s="11"/>
      <c r="AG6" s="11"/>
      <c r="AH6" s="11"/>
      <c r="AI6" s="11"/>
      <c r="AJ6" s="11"/>
      <c r="AK6" s="11"/>
      <c r="AL6" s="11"/>
      <c r="AM6" s="11"/>
      <c r="AN6" s="11"/>
      <c r="AO6" s="11"/>
      <c r="AP6" s="11"/>
      <c r="AQ6" s="11"/>
      <c r="AR6" s="11"/>
      <c r="AS6" s="11"/>
      <c r="AT6" s="11"/>
      <c r="AU6" s="11"/>
      <c r="AV6" s="11"/>
      <c r="AW6" s="11"/>
      <c r="AX6" s="11"/>
      <c r="AY6" s="11"/>
      <c r="AZ6" s="11"/>
      <c r="BA6" s="11"/>
      <c r="BB6" s="11"/>
    </row>
    <row r="7" spans="1:54" x14ac:dyDescent="0.25">
      <c r="A7" s="27">
        <v>1</v>
      </c>
      <c r="B7" s="26" t="s">
        <v>32</v>
      </c>
      <c r="C7" s="52">
        <v>32</v>
      </c>
      <c r="D7" s="52"/>
      <c r="E7" s="52"/>
      <c r="F7" s="52"/>
      <c r="G7" s="52"/>
      <c r="H7" s="52"/>
      <c r="I7" s="52">
        <v>3</v>
      </c>
      <c r="J7" s="53"/>
      <c r="K7" s="54">
        <v>6</v>
      </c>
      <c r="L7" s="55"/>
      <c r="M7" s="56"/>
      <c r="N7" s="57"/>
      <c r="O7" s="52">
        <v>1</v>
      </c>
      <c r="P7" s="53"/>
      <c r="Q7" s="53"/>
      <c r="R7" s="54"/>
      <c r="S7" s="55"/>
      <c r="T7" s="58">
        <f>H7+I7+J7+K7+N7+P7+R7</f>
        <v>9</v>
      </c>
      <c r="U7" s="58">
        <f>C7*24+M7*24+O7*24+Q7*24+T7</f>
        <v>801</v>
      </c>
      <c r="V7" s="58">
        <f>U7/24</f>
        <v>33.375</v>
      </c>
      <c r="W7" s="50"/>
      <c r="AF7" s="12"/>
      <c r="AG7" s="12"/>
      <c r="AH7" s="12"/>
      <c r="AI7" s="12"/>
      <c r="AJ7" s="12"/>
      <c r="AK7" s="12"/>
      <c r="AL7" s="12"/>
      <c r="AM7" s="12"/>
      <c r="AN7" s="12"/>
      <c r="AO7" s="12"/>
      <c r="AP7" s="12"/>
      <c r="AQ7" s="12"/>
      <c r="AR7" s="12"/>
      <c r="AS7" s="12"/>
      <c r="AT7" s="12"/>
      <c r="AU7" s="12"/>
      <c r="AV7" s="12"/>
      <c r="AW7" s="12"/>
      <c r="AX7" s="12"/>
      <c r="AY7" s="12"/>
      <c r="AZ7" s="12"/>
      <c r="BA7" s="12"/>
      <c r="BB7" s="12"/>
    </row>
    <row r="8" spans="1:54" ht="19.5" thickBot="1" x14ac:dyDescent="0.3">
      <c r="A8" s="27">
        <f>A7+1</f>
        <v>2</v>
      </c>
      <c r="B8" s="42" t="s">
        <v>35</v>
      </c>
      <c r="C8" s="59">
        <f>40+37</f>
        <v>77</v>
      </c>
      <c r="D8" s="59"/>
      <c r="E8" s="59"/>
      <c r="F8" s="59"/>
      <c r="G8" s="59"/>
      <c r="H8" s="59"/>
      <c r="I8" s="59"/>
      <c r="J8" s="60"/>
      <c r="K8" s="61"/>
      <c r="L8" s="62"/>
      <c r="M8" s="63"/>
      <c r="N8" s="64"/>
      <c r="O8" s="65">
        <v>1</v>
      </c>
      <c r="P8" s="66">
        <v>12</v>
      </c>
      <c r="Q8" s="66">
        <v>2</v>
      </c>
      <c r="R8" s="67"/>
      <c r="S8" s="62"/>
      <c r="T8" s="68">
        <f t="shared" ref="T8:T41" si="0">H8+I8+J8+K8+N8+P8+R8</f>
        <v>12</v>
      </c>
      <c r="U8" s="69">
        <f>C8*24+M8*24+O8*24+Q8*24+T8</f>
        <v>1932</v>
      </c>
      <c r="V8" s="69">
        <f>U8/24</f>
        <v>80.5</v>
      </c>
      <c r="W8" s="50"/>
      <c r="AF8" s="12"/>
      <c r="AG8" s="12"/>
      <c r="AH8" s="12"/>
      <c r="AI8" s="12"/>
      <c r="AJ8" s="12"/>
      <c r="AK8" s="12"/>
      <c r="AL8" s="12"/>
      <c r="AM8" s="12"/>
      <c r="AN8" s="12"/>
      <c r="AO8" s="12"/>
      <c r="AP8" s="12"/>
      <c r="AQ8" s="12"/>
      <c r="AR8" s="12"/>
      <c r="AS8" s="12"/>
      <c r="AT8" s="12"/>
      <c r="AU8" s="12"/>
      <c r="AV8" s="12"/>
      <c r="AW8" s="12"/>
      <c r="AX8" s="12"/>
      <c r="AY8" s="12"/>
      <c r="AZ8" s="12"/>
      <c r="BA8" s="12"/>
      <c r="BB8" s="12"/>
    </row>
    <row r="9" spans="1:54" x14ac:dyDescent="0.25">
      <c r="A9" s="27">
        <f t="shared" ref="A9:A57" si="1">A8+1</f>
        <v>3</v>
      </c>
      <c r="B9" s="25" t="s">
        <v>33</v>
      </c>
      <c r="C9" s="70">
        <f>57+30</f>
        <v>87</v>
      </c>
      <c r="D9" s="70"/>
      <c r="E9" s="70"/>
      <c r="F9" s="70"/>
      <c r="G9" s="70"/>
      <c r="H9" s="70"/>
      <c r="I9" s="70"/>
      <c r="J9" s="71"/>
      <c r="K9" s="72"/>
      <c r="L9" s="55"/>
      <c r="M9" s="73"/>
      <c r="N9" s="74"/>
      <c r="O9" s="70">
        <v>1</v>
      </c>
      <c r="P9" s="71"/>
      <c r="Q9" s="71"/>
      <c r="R9" s="72"/>
      <c r="S9" s="55"/>
      <c r="T9" s="75">
        <f t="shared" si="0"/>
        <v>0</v>
      </c>
      <c r="U9" s="76">
        <f t="shared" ref="U9:U11" si="2">C9*24+M9*24+O9*24+Q9*24+T9</f>
        <v>2112</v>
      </c>
      <c r="V9" s="76">
        <f t="shared" ref="V9:V11" si="3">U9/24</f>
        <v>88</v>
      </c>
      <c r="W9" s="50"/>
      <c r="AF9" s="12"/>
      <c r="AG9" s="12"/>
      <c r="AH9" s="12"/>
      <c r="AI9" s="12"/>
      <c r="AJ9" s="12"/>
      <c r="AK9" s="12"/>
      <c r="AL9" s="12"/>
      <c r="AM9" s="12"/>
      <c r="AN9" s="12"/>
      <c r="AO9" s="12"/>
      <c r="AP9" s="12"/>
      <c r="AQ9" s="12"/>
      <c r="AR9" s="12"/>
      <c r="AS9" s="12"/>
      <c r="AT9" s="12"/>
      <c r="AU9" s="12"/>
      <c r="AV9" s="12"/>
      <c r="AW9" s="12"/>
      <c r="AX9" s="12"/>
      <c r="AY9" s="12"/>
      <c r="AZ9" s="12"/>
      <c r="BA9" s="12"/>
      <c r="BB9" s="12"/>
    </row>
    <row r="10" spans="1:54" x14ac:dyDescent="0.25">
      <c r="A10" s="27">
        <f t="shared" si="1"/>
        <v>4</v>
      </c>
      <c r="B10" s="26" t="s">
        <v>36</v>
      </c>
      <c r="C10" s="70">
        <f>26+10</f>
        <v>36</v>
      </c>
      <c r="D10" s="70"/>
      <c r="E10" s="70"/>
      <c r="F10" s="70"/>
      <c r="G10" s="70"/>
      <c r="H10" s="70"/>
      <c r="I10" s="70"/>
      <c r="J10" s="71"/>
      <c r="K10" s="72"/>
      <c r="L10" s="55"/>
      <c r="M10" s="73"/>
      <c r="N10" s="74"/>
      <c r="O10" s="70">
        <v>1</v>
      </c>
      <c r="P10" s="71"/>
      <c r="Q10" s="71">
        <v>1</v>
      </c>
      <c r="R10" s="72"/>
      <c r="S10" s="55"/>
      <c r="T10" s="58">
        <f t="shared" si="0"/>
        <v>0</v>
      </c>
      <c r="U10" s="58">
        <f t="shared" si="2"/>
        <v>912</v>
      </c>
      <c r="V10" s="58">
        <f t="shared" si="3"/>
        <v>38</v>
      </c>
      <c r="W10" s="50"/>
      <c r="AF10" s="12"/>
      <c r="AG10" s="12"/>
      <c r="AH10" s="12"/>
      <c r="AI10" s="12"/>
      <c r="AJ10" s="12"/>
      <c r="AK10" s="12"/>
      <c r="AL10" s="12"/>
      <c r="AM10" s="12"/>
      <c r="AN10" s="12"/>
      <c r="AO10" s="12"/>
      <c r="AP10" s="12"/>
      <c r="AQ10" s="12"/>
      <c r="AR10" s="12"/>
      <c r="AS10" s="12"/>
      <c r="AT10" s="12"/>
      <c r="AU10" s="12"/>
      <c r="AV10" s="12"/>
      <c r="AW10" s="12"/>
      <c r="AX10" s="12"/>
      <c r="AY10" s="12"/>
      <c r="AZ10" s="12"/>
      <c r="BA10" s="12"/>
      <c r="BB10" s="12"/>
    </row>
    <row r="11" spans="1:54" x14ac:dyDescent="0.25">
      <c r="A11" s="27">
        <f t="shared" si="1"/>
        <v>5</v>
      </c>
      <c r="B11" s="26" t="s">
        <v>34</v>
      </c>
      <c r="C11" s="70">
        <v>9</v>
      </c>
      <c r="D11" s="70"/>
      <c r="E11" s="70"/>
      <c r="F11" s="70"/>
      <c r="G11" s="70"/>
      <c r="H11" s="70"/>
      <c r="I11" s="70"/>
      <c r="J11" s="71"/>
      <c r="K11" s="72">
        <v>2</v>
      </c>
      <c r="L11" s="55"/>
      <c r="M11" s="73"/>
      <c r="N11" s="74"/>
      <c r="O11" s="70"/>
      <c r="P11" s="71"/>
      <c r="Q11" s="71"/>
      <c r="R11" s="72"/>
      <c r="S11" s="55"/>
      <c r="T11" s="58">
        <f t="shared" si="0"/>
        <v>2</v>
      </c>
      <c r="U11" s="58">
        <f t="shared" si="2"/>
        <v>218</v>
      </c>
      <c r="V11" s="58">
        <f t="shared" si="3"/>
        <v>9.0833333333333339</v>
      </c>
      <c r="AF11" s="12"/>
      <c r="AG11" s="12"/>
      <c r="AH11" s="12"/>
      <c r="AI11" s="12"/>
      <c r="AJ11" s="12"/>
      <c r="AK11" s="12"/>
      <c r="AL11" s="12"/>
      <c r="AM11" s="12"/>
      <c r="AN11" s="12"/>
      <c r="AO11" s="12"/>
      <c r="AP11" s="12"/>
      <c r="AQ11" s="12"/>
      <c r="AR11" s="12"/>
      <c r="AS11" s="12"/>
      <c r="AT11" s="12"/>
      <c r="AU11" s="12"/>
      <c r="AV11" s="12"/>
      <c r="AW11" s="12"/>
      <c r="AX11" s="12"/>
      <c r="AY11" s="12"/>
      <c r="AZ11" s="12"/>
      <c r="BA11" s="12"/>
      <c r="BB11" s="12"/>
    </row>
    <row r="12" spans="1:54" s="13" customFormat="1" ht="19.5" thickBot="1" x14ac:dyDescent="0.3">
      <c r="A12" s="27">
        <v>7</v>
      </c>
      <c r="B12" s="42" t="s">
        <v>30</v>
      </c>
      <c r="C12" s="59">
        <f>1224+53+792+7+1080+29</f>
        <v>3185</v>
      </c>
      <c r="D12" s="59"/>
      <c r="E12" s="59"/>
      <c r="F12" s="59"/>
      <c r="G12" s="59"/>
      <c r="H12" s="59"/>
      <c r="I12" s="59"/>
      <c r="J12" s="60"/>
      <c r="K12" s="61"/>
      <c r="L12" s="62"/>
      <c r="M12" s="63">
        <v>25</v>
      </c>
      <c r="N12" s="64">
        <v>4</v>
      </c>
      <c r="O12" s="65">
        <v>10</v>
      </c>
      <c r="P12" s="66">
        <v>18</v>
      </c>
      <c r="Q12" s="66">
        <v>24</v>
      </c>
      <c r="R12" s="67">
        <v>5</v>
      </c>
      <c r="S12" s="62"/>
      <c r="T12" s="69">
        <f t="shared" si="0"/>
        <v>27</v>
      </c>
      <c r="U12" s="69">
        <f>C12*24+M12*24+O12*24+Q12*24+T12</f>
        <v>77883</v>
      </c>
      <c r="V12" s="69">
        <f>U12/24</f>
        <v>3245.125</v>
      </c>
      <c r="W12" s="9"/>
      <c r="X12" s="9"/>
      <c r="Y12" s="9"/>
      <c r="Z12" s="9"/>
      <c r="AA12" s="9"/>
      <c r="AB12" s="9"/>
      <c r="AC12" s="9"/>
      <c r="AD12" s="9"/>
      <c r="AE12" s="9"/>
      <c r="AF12" s="12"/>
      <c r="AG12" s="12"/>
      <c r="AH12" s="12"/>
      <c r="AI12" s="12"/>
      <c r="AJ12" s="12"/>
      <c r="AK12" s="12"/>
      <c r="AL12" s="12"/>
      <c r="AM12" s="12"/>
      <c r="AN12" s="12"/>
      <c r="AO12" s="12"/>
      <c r="AP12" s="12"/>
      <c r="AQ12" s="12"/>
      <c r="AR12" s="12"/>
      <c r="AS12" s="12"/>
      <c r="AT12" s="12"/>
      <c r="AU12" s="12"/>
      <c r="AV12" s="12"/>
      <c r="AW12" s="12"/>
      <c r="AX12" s="12"/>
      <c r="AY12" s="12"/>
      <c r="AZ12" s="12"/>
      <c r="BA12" s="12"/>
      <c r="BB12" s="12"/>
    </row>
    <row r="13" spans="1:54" x14ac:dyDescent="0.25">
      <c r="A13" s="27">
        <v>11</v>
      </c>
      <c r="B13" s="25" t="s">
        <v>1</v>
      </c>
      <c r="C13" s="70">
        <v>2</v>
      </c>
      <c r="D13" s="70"/>
      <c r="E13" s="70"/>
      <c r="F13" s="70"/>
      <c r="G13" s="70"/>
      <c r="H13" s="70">
        <v>16</v>
      </c>
      <c r="I13" s="70"/>
      <c r="J13" s="71"/>
      <c r="K13" s="72"/>
      <c r="L13" s="55"/>
      <c r="M13" s="73"/>
      <c r="N13" s="74"/>
      <c r="O13" s="70"/>
      <c r="P13" s="71"/>
      <c r="Q13" s="71"/>
      <c r="R13" s="72"/>
      <c r="S13" s="55"/>
      <c r="T13" s="76">
        <f t="shared" si="0"/>
        <v>16</v>
      </c>
      <c r="U13" s="76">
        <f>C13*24+M13*24+O13*24+Q13*24+T13</f>
        <v>64</v>
      </c>
      <c r="V13" s="76">
        <f>U13/24</f>
        <v>2.6666666666666665</v>
      </c>
      <c r="AF13" s="12"/>
      <c r="AG13" s="12"/>
      <c r="AH13" s="12"/>
      <c r="AI13" s="12"/>
      <c r="AJ13" s="12"/>
      <c r="AK13" s="12"/>
      <c r="AL13" s="12"/>
      <c r="AM13" s="12"/>
      <c r="AN13" s="12"/>
      <c r="AO13" s="12"/>
      <c r="AP13" s="12"/>
      <c r="AQ13" s="12"/>
      <c r="AR13" s="12"/>
      <c r="AS13" s="12"/>
      <c r="AT13" s="12"/>
      <c r="AU13" s="12"/>
      <c r="AV13" s="12"/>
      <c r="AW13" s="12"/>
      <c r="AX13" s="12"/>
      <c r="AY13" s="12"/>
      <c r="AZ13" s="12"/>
      <c r="BA13" s="12"/>
      <c r="BB13" s="12"/>
    </row>
    <row r="14" spans="1:54" x14ac:dyDescent="0.25">
      <c r="A14" s="27">
        <f t="shared" si="1"/>
        <v>12</v>
      </c>
      <c r="B14" s="26" t="s">
        <v>2</v>
      </c>
      <c r="C14" s="70">
        <v>2</v>
      </c>
      <c r="D14" s="70"/>
      <c r="E14" s="70"/>
      <c r="F14" s="70"/>
      <c r="G14" s="70"/>
      <c r="H14" s="70"/>
      <c r="I14" s="70"/>
      <c r="J14" s="71"/>
      <c r="K14" s="72"/>
      <c r="L14" s="55"/>
      <c r="M14" s="73"/>
      <c r="N14" s="74"/>
      <c r="O14" s="70"/>
      <c r="P14" s="71"/>
      <c r="Q14" s="71"/>
      <c r="R14" s="72"/>
      <c r="S14" s="55"/>
      <c r="T14" s="58">
        <f t="shared" si="0"/>
        <v>0</v>
      </c>
      <c r="U14" s="75">
        <f t="shared" ref="U14:U36" si="4">C14*24+M14*24+O14*24+Q14*24+T14</f>
        <v>48</v>
      </c>
      <c r="V14" s="75">
        <f t="shared" ref="V14:V36" si="5">U14/24</f>
        <v>2</v>
      </c>
      <c r="AF14" s="12"/>
      <c r="AG14" s="12"/>
      <c r="AH14" s="12"/>
      <c r="AI14" s="12"/>
      <c r="AJ14" s="12"/>
      <c r="AK14" s="12"/>
      <c r="AL14" s="12"/>
      <c r="AM14" s="12"/>
      <c r="AN14" s="12"/>
      <c r="AO14" s="12"/>
      <c r="AP14" s="12"/>
      <c r="AQ14" s="12"/>
      <c r="AR14" s="12"/>
      <c r="AS14" s="12"/>
      <c r="AT14" s="12"/>
      <c r="AU14" s="12"/>
      <c r="AV14" s="12"/>
      <c r="AW14" s="12"/>
      <c r="AX14" s="12"/>
      <c r="AY14" s="12"/>
      <c r="AZ14" s="12"/>
      <c r="BA14" s="12"/>
      <c r="BB14" s="12"/>
    </row>
    <row r="15" spans="1:54" x14ac:dyDescent="0.25">
      <c r="A15" s="27">
        <f t="shared" si="1"/>
        <v>13</v>
      </c>
      <c r="B15" s="26" t="s">
        <v>3</v>
      </c>
      <c r="C15" s="70"/>
      <c r="D15" s="70"/>
      <c r="E15" s="70"/>
      <c r="F15" s="70"/>
      <c r="G15" s="70"/>
      <c r="H15" s="70"/>
      <c r="I15" s="70"/>
      <c r="J15" s="71"/>
      <c r="K15" s="72"/>
      <c r="L15" s="55"/>
      <c r="M15" s="73"/>
      <c r="N15" s="74"/>
      <c r="O15" s="70"/>
      <c r="P15" s="71"/>
      <c r="Q15" s="71"/>
      <c r="R15" s="72"/>
      <c r="S15" s="55"/>
      <c r="T15" s="58">
        <f t="shared" si="0"/>
        <v>0</v>
      </c>
      <c r="U15" s="75">
        <f t="shared" si="4"/>
        <v>0</v>
      </c>
      <c r="V15" s="75">
        <f t="shared" si="5"/>
        <v>0</v>
      </c>
      <c r="AF15" s="12"/>
      <c r="AG15" s="12"/>
      <c r="AH15" s="12"/>
      <c r="AI15" s="12"/>
      <c r="AJ15" s="12"/>
      <c r="AK15" s="12"/>
      <c r="AL15" s="12"/>
      <c r="AM15" s="12"/>
      <c r="AN15" s="12"/>
      <c r="AO15" s="12"/>
      <c r="AP15" s="12"/>
      <c r="AQ15" s="12"/>
      <c r="AR15" s="12"/>
      <c r="AS15" s="12"/>
      <c r="AT15" s="12"/>
      <c r="AU15" s="12"/>
      <c r="AV15" s="12"/>
      <c r="AW15" s="12"/>
      <c r="AX15" s="12"/>
      <c r="AY15" s="12"/>
      <c r="AZ15" s="12"/>
      <c r="BA15" s="12"/>
      <c r="BB15" s="12"/>
    </row>
    <row r="16" spans="1:54" x14ac:dyDescent="0.25">
      <c r="A16" s="27">
        <f t="shared" si="1"/>
        <v>14</v>
      </c>
      <c r="B16" s="26" t="s">
        <v>4</v>
      </c>
      <c r="C16" s="70"/>
      <c r="D16" s="70"/>
      <c r="E16" s="70"/>
      <c r="F16" s="70"/>
      <c r="G16" s="70"/>
      <c r="H16" s="70"/>
      <c r="I16" s="70"/>
      <c r="J16" s="71"/>
      <c r="K16" s="72"/>
      <c r="L16" s="55"/>
      <c r="M16" s="73"/>
      <c r="N16" s="74"/>
      <c r="O16" s="70"/>
      <c r="P16" s="71"/>
      <c r="Q16" s="71"/>
      <c r="R16" s="72"/>
      <c r="S16" s="55"/>
      <c r="T16" s="58">
        <f t="shared" si="0"/>
        <v>0</v>
      </c>
      <c r="U16" s="75">
        <f t="shared" si="4"/>
        <v>0</v>
      </c>
      <c r="V16" s="75">
        <f t="shared" si="5"/>
        <v>0</v>
      </c>
      <c r="AF16" s="12"/>
      <c r="AG16" s="12"/>
      <c r="AH16" s="12"/>
      <c r="AI16" s="12"/>
      <c r="AJ16" s="12"/>
      <c r="AK16" s="12"/>
      <c r="AL16" s="12"/>
      <c r="AM16" s="12"/>
      <c r="AN16" s="12"/>
      <c r="AO16" s="12"/>
      <c r="AP16" s="12"/>
      <c r="AQ16" s="12"/>
      <c r="AR16" s="12"/>
      <c r="AS16" s="12"/>
      <c r="AT16" s="12"/>
      <c r="AU16" s="12"/>
      <c r="AV16" s="12"/>
      <c r="AW16" s="12"/>
      <c r="AX16" s="12"/>
      <c r="AY16" s="12"/>
      <c r="AZ16" s="12"/>
      <c r="BA16" s="12"/>
      <c r="BB16" s="12"/>
    </row>
    <row r="17" spans="1:54" x14ac:dyDescent="0.25">
      <c r="A17" s="27">
        <f t="shared" si="1"/>
        <v>15</v>
      </c>
      <c r="B17" s="26" t="s">
        <v>5</v>
      </c>
      <c r="C17" s="70"/>
      <c r="D17" s="70"/>
      <c r="E17" s="70"/>
      <c r="F17" s="70"/>
      <c r="G17" s="70"/>
      <c r="H17" s="70">
        <f>3*24</f>
        <v>72</v>
      </c>
      <c r="I17" s="70"/>
      <c r="J17" s="71"/>
      <c r="K17" s="72"/>
      <c r="L17" s="55"/>
      <c r="M17" s="73"/>
      <c r="N17" s="74"/>
      <c r="O17" s="70"/>
      <c r="P17" s="71"/>
      <c r="Q17" s="71"/>
      <c r="R17" s="72"/>
      <c r="S17" s="55"/>
      <c r="T17" s="58">
        <f t="shared" si="0"/>
        <v>72</v>
      </c>
      <c r="U17" s="75">
        <f t="shared" si="4"/>
        <v>72</v>
      </c>
      <c r="V17" s="75">
        <f t="shared" si="5"/>
        <v>3</v>
      </c>
      <c r="AF17" s="12"/>
      <c r="AG17" s="12"/>
      <c r="AH17" s="12"/>
      <c r="AI17" s="12"/>
      <c r="AJ17" s="12"/>
      <c r="AK17" s="12"/>
      <c r="AL17" s="12"/>
      <c r="AM17" s="12"/>
      <c r="AN17" s="12"/>
      <c r="AO17" s="12"/>
      <c r="AP17" s="12"/>
      <c r="AQ17" s="12"/>
      <c r="AR17" s="12"/>
      <c r="AS17" s="12"/>
      <c r="AT17" s="12"/>
      <c r="AU17" s="12"/>
      <c r="AV17" s="12"/>
      <c r="AW17" s="12"/>
      <c r="AX17" s="12"/>
      <c r="AY17" s="12"/>
      <c r="AZ17" s="12"/>
      <c r="BA17" s="12"/>
      <c r="BB17" s="12"/>
    </row>
    <row r="18" spans="1:54" hidden="1" x14ac:dyDescent="0.25">
      <c r="A18" s="27">
        <f t="shared" si="1"/>
        <v>16</v>
      </c>
      <c r="B18" s="26" t="s">
        <v>9</v>
      </c>
      <c r="C18" s="70"/>
      <c r="D18" s="70"/>
      <c r="E18" s="70"/>
      <c r="F18" s="70"/>
      <c r="G18" s="70"/>
      <c r="H18" s="70"/>
      <c r="I18" s="70"/>
      <c r="J18" s="71"/>
      <c r="K18" s="72"/>
      <c r="L18" s="55"/>
      <c r="M18" s="73"/>
      <c r="N18" s="74"/>
      <c r="O18" s="70"/>
      <c r="P18" s="71"/>
      <c r="Q18" s="71"/>
      <c r="R18" s="72"/>
      <c r="S18" s="55"/>
      <c r="T18" s="58">
        <f t="shared" si="0"/>
        <v>0</v>
      </c>
      <c r="U18" s="75">
        <f t="shared" si="4"/>
        <v>0</v>
      </c>
      <c r="V18" s="75">
        <f t="shared" si="5"/>
        <v>0</v>
      </c>
      <c r="AF18" s="12"/>
      <c r="AG18" s="12"/>
      <c r="AH18" s="12"/>
      <c r="AI18" s="12"/>
      <c r="AJ18" s="12"/>
      <c r="AK18" s="12"/>
      <c r="AL18" s="12"/>
      <c r="AM18" s="12"/>
      <c r="AN18" s="12"/>
      <c r="AO18" s="12"/>
      <c r="AP18" s="12"/>
      <c r="AQ18" s="12"/>
      <c r="AR18" s="12"/>
      <c r="AS18" s="12"/>
      <c r="AT18" s="12"/>
      <c r="AU18" s="12"/>
      <c r="AV18" s="12"/>
      <c r="AW18" s="12"/>
      <c r="AX18" s="12"/>
      <c r="AY18" s="12"/>
      <c r="AZ18" s="12"/>
      <c r="BA18" s="12"/>
      <c r="BB18" s="12"/>
    </row>
    <row r="19" spans="1:54" x14ac:dyDescent="0.25">
      <c r="A19" s="27">
        <v>16</v>
      </c>
      <c r="B19" s="26" t="s">
        <v>53</v>
      </c>
      <c r="C19" s="70">
        <v>2</v>
      </c>
      <c r="D19" s="70"/>
      <c r="E19" s="70"/>
      <c r="F19" s="70"/>
      <c r="G19" s="70"/>
      <c r="H19" s="70">
        <f>20+24</f>
        <v>44</v>
      </c>
      <c r="I19" s="70"/>
      <c r="J19" s="71"/>
      <c r="K19" s="72"/>
      <c r="L19" s="55"/>
      <c r="M19" s="73"/>
      <c r="N19" s="74"/>
      <c r="O19" s="70"/>
      <c r="P19" s="71"/>
      <c r="Q19" s="71"/>
      <c r="R19" s="72"/>
      <c r="S19" s="55"/>
      <c r="T19" s="58">
        <f t="shared" si="0"/>
        <v>44</v>
      </c>
      <c r="U19" s="75">
        <f t="shared" si="4"/>
        <v>92</v>
      </c>
      <c r="V19" s="75">
        <f t="shared" si="5"/>
        <v>3.8333333333333335</v>
      </c>
      <c r="AF19" s="12"/>
      <c r="AG19" s="12"/>
      <c r="AH19" s="12"/>
      <c r="AI19" s="12"/>
      <c r="AJ19" s="12"/>
      <c r="AK19" s="12"/>
      <c r="AL19" s="12"/>
      <c r="AM19" s="12"/>
      <c r="AN19" s="12"/>
      <c r="AO19" s="12"/>
      <c r="AP19" s="12"/>
      <c r="AQ19" s="12"/>
      <c r="AR19" s="12"/>
      <c r="AS19" s="12"/>
      <c r="AT19" s="12"/>
      <c r="AU19" s="12"/>
      <c r="AV19" s="12"/>
      <c r="AW19" s="12"/>
      <c r="AX19" s="12"/>
      <c r="AY19" s="12"/>
      <c r="AZ19" s="12"/>
      <c r="BA19" s="12"/>
      <c r="BB19" s="12"/>
    </row>
    <row r="20" spans="1:54" x14ac:dyDescent="0.25">
      <c r="A20" s="27">
        <f t="shared" si="1"/>
        <v>17</v>
      </c>
      <c r="B20" s="26" t="s">
        <v>6</v>
      </c>
      <c r="C20" s="70">
        <v>5</v>
      </c>
      <c r="D20" s="70"/>
      <c r="E20" s="70"/>
      <c r="F20" s="70"/>
      <c r="G20" s="70"/>
      <c r="H20" s="70"/>
      <c r="I20" s="70"/>
      <c r="J20" s="71"/>
      <c r="K20" s="72"/>
      <c r="L20" s="55"/>
      <c r="M20" s="73"/>
      <c r="N20" s="74"/>
      <c r="O20" s="70"/>
      <c r="P20" s="71"/>
      <c r="Q20" s="71"/>
      <c r="R20" s="72"/>
      <c r="S20" s="55"/>
      <c r="T20" s="58">
        <f t="shared" si="0"/>
        <v>0</v>
      </c>
      <c r="U20" s="75">
        <f t="shared" si="4"/>
        <v>120</v>
      </c>
      <c r="V20" s="75">
        <f t="shared" si="5"/>
        <v>5</v>
      </c>
      <c r="AF20" s="12"/>
      <c r="AG20" s="12"/>
      <c r="AH20" s="12"/>
      <c r="AI20" s="12"/>
      <c r="AJ20" s="12"/>
      <c r="AK20" s="12"/>
      <c r="AL20" s="12"/>
      <c r="AM20" s="12"/>
      <c r="AN20" s="12"/>
      <c r="AO20" s="12"/>
      <c r="AP20" s="12"/>
      <c r="AQ20" s="12"/>
      <c r="AR20" s="12"/>
      <c r="AS20" s="12"/>
      <c r="AT20" s="12"/>
      <c r="AU20" s="12"/>
      <c r="AV20" s="12"/>
      <c r="AW20" s="12"/>
      <c r="AX20" s="12"/>
      <c r="AY20" s="12"/>
      <c r="AZ20" s="12"/>
      <c r="BA20" s="12"/>
      <c r="BB20" s="12"/>
    </row>
    <row r="21" spans="1:54" x14ac:dyDescent="0.25">
      <c r="A21" s="27">
        <f t="shared" si="1"/>
        <v>18</v>
      </c>
      <c r="B21" s="26" t="s">
        <v>7</v>
      </c>
      <c r="C21" s="70"/>
      <c r="D21" s="70"/>
      <c r="E21" s="70"/>
      <c r="F21" s="70"/>
      <c r="G21" s="70"/>
      <c r="H21" s="70">
        <f>2*24</f>
        <v>48</v>
      </c>
      <c r="I21" s="70"/>
      <c r="J21" s="71"/>
      <c r="K21" s="72"/>
      <c r="L21" s="55"/>
      <c r="M21" s="73"/>
      <c r="N21" s="74"/>
      <c r="O21" s="70"/>
      <c r="P21" s="71"/>
      <c r="Q21" s="71"/>
      <c r="R21" s="72"/>
      <c r="S21" s="55"/>
      <c r="T21" s="58">
        <f t="shared" si="0"/>
        <v>48</v>
      </c>
      <c r="U21" s="75">
        <f t="shared" si="4"/>
        <v>48</v>
      </c>
      <c r="V21" s="75">
        <f t="shared" si="5"/>
        <v>2</v>
      </c>
      <c r="AF21" s="12"/>
      <c r="AG21" s="12"/>
      <c r="AH21" s="12"/>
      <c r="AI21" s="12"/>
      <c r="AJ21" s="12"/>
      <c r="AK21" s="12"/>
      <c r="AL21" s="12"/>
      <c r="AM21" s="12"/>
      <c r="AN21" s="12"/>
      <c r="AO21" s="12"/>
      <c r="AP21" s="12"/>
      <c r="AQ21" s="12"/>
      <c r="AR21" s="12"/>
      <c r="AS21" s="12"/>
      <c r="AT21" s="12"/>
      <c r="AU21" s="12"/>
      <c r="AV21" s="12"/>
      <c r="AW21" s="12"/>
      <c r="AX21" s="12"/>
      <c r="AY21" s="12"/>
      <c r="AZ21" s="12"/>
      <c r="BA21" s="12"/>
      <c r="BB21" s="12"/>
    </row>
    <row r="22" spans="1:54" s="13" customFormat="1" x14ac:dyDescent="0.25">
      <c r="A22" s="27">
        <f t="shared" si="1"/>
        <v>19</v>
      </c>
      <c r="B22" s="26" t="s">
        <v>54</v>
      </c>
      <c r="C22" s="70">
        <v>2</v>
      </c>
      <c r="D22" s="70"/>
      <c r="E22" s="70"/>
      <c r="F22" s="70"/>
      <c r="G22" s="70"/>
      <c r="H22" s="70"/>
      <c r="I22" s="70">
        <v>20</v>
      </c>
      <c r="J22" s="71"/>
      <c r="K22" s="72"/>
      <c r="L22" s="55"/>
      <c r="M22" s="73"/>
      <c r="N22" s="74"/>
      <c r="O22" s="70"/>
      <c r="P22" s="71"/>
      <c r="Q22" s="71"/>
      <c r="R22" s="72"/>
      <c r="S22" s="55"/>
      <c r="T22" s="58">
        <f t="shared" si="0"/>
        <v>20</v>
      </c>
      <c r="U22" s="75">
        <f t="shared" si="4"/>
        <v>68</v>
      </c>
      <c r="V22" s="75">
        <f t="shared" si="5"/>
        <v>2.8333333333333335</v>
      </c>
      <c r="W22" s="9"/>
      <c r="X22" s="9"/>
      <c r="Y22" s="9"/>
      <c r="Z22" s="9"/>
      <c r="AA22" s="9"/>
      <c r="AB22" s="9"/>
      <c r="AC22" s="9"/>
      <c r="AD22" s="9"/>
      <c r="AE22" s="9"/>
      <c r="AF22" s="12"/>
      <c r="AG22" s="12"/>
      <c r="AH22" s="12"/>
      <c r="AI22" s="12"/>
      <c r="AJ22" s="12"/>
      <c r="AK22" s="12"/>
      <c r="AL22" s="12"/>
      <c r="AM22" s="12"/>
      <c r="AN22" s="12"/>
      <c r="AO22" s="12"/>
      <c r="AP22" s="12"/>
      <c r="AQ22" s="12"/>
      <c r="AR22" s="12"/>
      <c r="AS22" s="12"/>
      <c r="AT22" s="12"/>
      <c r="AU22" s="12"/>
      <c r="AV22" s="12"/>
      <c r="AW22" s="12"/>
      <c r="AX22" s="12"/>
      <c r="AY22" s="12"/>
      <c r="AZ22" s="12"/>
      <c r="BA22" s="12"/>
      <c r="BB22" s="12"/>
    </row>
    <row r="23" spans="1:54" s="13" customFormat="1" x14ac:dyDescent="0.25">
      <c r="A23" s="27">
        <f t="shared" si="1"/>
        <v>20</v>
      </c>
      <c r="B23" s="26" t="s">
        <v>55</v>
      </c>
      <c r="C23" s="70"/>
      <c r="D23" s="70"/>
      <c r="E23" s="70"/>
      <c r="F23" s="70"/>
      <c r="G23" s="70"/>
      <c r="H23" s="70">
        <f>37*24+19</f>
        <v>907</v>
      </c>
      <c r="I23" s="70"/>
      <c r="J23" s="71"/>
      <c r="K23" s="72"/>
      <c r="L23" s="55"/>
      <c r="M23" s="73"/>
      <c r="N23" s="74"/>
      <c r="O23" s="70"/>
      <c r="P23" s="71"/>
      <c r="Q23" s="71"/>
      <c r="R23" s="72"/>
      <c r="S23" s="55"/>
      <c r="T23" s="58">
        <f t="shared" si="0"/>
        <v>907</v>
      </c>
      <c r="U23" s="75">
        <f t="shared" si="4"/>
        <v>907</v>
      </c>
      <c r="V23" s="75">
        <f t="shared" si="5"/>
        <v>37.791666666666664</v>
      </c>
      <c r="W23" s="9"/>
      <c r="X23" s="9"/>
      <c r="Y23" s="9"/>
      <c r="Z23" s="9"/>
      <c r="AA23" s="9"/>
      <c r="AB23" s="9"/>
      <c r="AC23" s="9"/>
      <c r="AD23" s="9"/>
      <c r="AE23" s="9"/>
      <c r="AF23" s="12"/>
      <c r="AG23" s="12"/>
      <c r="AH23" s="12"/>
      <c r="AI23" s="12"/>
      <c r="AJ23" s="12"/>
      <c r="AK23" s="12"/>
      <c r="AL23" s="12"/>
      <c r="AM23" s="12"/>
      <c r="AN23" s="12"/>
      <c r="AO23" s="12"/>
      <c r="AP23" s="12"/>
      <c r="AQ23" s="12"/>
      <c r="AR23" s="12"/>
      <c r="AS23" s="12"/>
      <c r="AT23" s="12"/>
      <c r="AU23" s="12"/>
      <c r="AV23" s="12"/>
      <c r="AW23" s="12"/>
      <c r="AX23" s="12"/>
      <c r="AY23" s="12"/>
      <c r="AZ23" s="12"/>
      <c r="BA23" s="12"/>
      <c r="BB23" s="12"/>
    </row>
    <row r="24" spans="1:54" x14ac:dyDescent="0.25">
      <c r="A24" s="27">
        <f t="shared" si="1"/>
        <v>21</v>
      </c>
      <c r="B24" s="26" t="s">
        <v>56</v>
      </c>
      <c r="C24" s="70">
        <v>2</v>
      </c>
      <c r="D24" s="70"/>
      <c r="E24" s="70"/>
      <c r="F24" s="70"/>
      <c r="G24" s="70"/>
      <c r="H24" s="70">
        <f>3*24</f>
        <v>72</v>
      </c>
      <c r="I24" s="70"/>
      <c r="J24" s="71"/>
      <c r="K24" s="72"/>
      <c r="L24" s="55"/>
      <c r="M24" s="73"/>
      <c r="N24" s="74"/>
      <c r="O24" s="70"/>
      <c r="P24" s="71"/>
      <c r="Q24" s="71"/>
      <c r="R24" s="72"/>
      <c r="S24" s="55"/>
      <c r="T24" s="58">
        <f t="shared" si="0"/>
        <v>72</v>
      </c>
      <c r="U24" s="75">
        <f t="shared" si="4"/>
        <v>120</v>
      </c>
      <c r="V24" s="75">
        <f t="shared" si="5"/>
        <v>5</v>
      </c>
      <c r="AF24" s="12"/>
      <c r="AG24" s="12"/>
      <c r="AH24" s="12"/>
      <c r="AI24" s="12"/>
      <c r="AJ24" s="12"/>
      <c r="AK24" s="12"/>
      <c r="AL24" s="12"/>
      <c r="AM24" s="12"/>
      <c r="AN24" s="12"/>
      <c r="AO24" s="12"/>
      <c r="AP24" s="12"/>
      <c r="AQ24" s="12"/>
      <c r="AR24" s="12"/>
      <c r="AS24" s="12"/>
      <c r="AT24" s="12"/>
      <c r="AU24" s="12"/>
      <c r="AV24" s="12"/>
      <c r="AW24" s="12"/>
      <c r="AX24" s="12"/>
      <c r="AY24" s="12"/>
      <c r="AZ24" s="12"/>
      <c r="BA24" s="12"/>
      <c r="BB24" s="12"/>
    </row>
    <row r="25" spans="1:54" x14ac:dyDescent="0.25">
      <c r="A25" s="27">
        <f t="shared" si="1"/>
        <v>22</v>
      </c>
      <c r="B25" s="26" t="s">
        <v>8</v>
      </c>
      <c r="C25" s="70">
        <v>41</v>
      </c>
      <c r="D25" s="70"/>
      <c r="E25" s="70"/>
      <c r="F25" s="70"/>
      <c r="G25" s="70"/>
      <c r="H25" s="70"/>
      <c r="I25" s="70">
        <v>1</v>
      </c>
      <c r="J25" s="71"/>
      <c r="K25" s="72"/>
      <c r="L25" s="55"/>
      <c r="M25" s="73">
        <v>1</v>
      </c>
      <c r="N25" s="74"/>
      <c r="O25" s="70">
        <v>1</v>
      </c>
      <c r="P25" s="71"/>
      <c r="Q25" s="71"/>
      <c r="R25" s="72"/>
      <c r="S25" s="55"/>
      <c r="T25" s="58">
        <f t="shared" si="0"/>
        <v>1</v>
      </c>
      <c r="U25" s="75">
        <f t="shared" si="4"/>
        <v>1033</v>
      </c>
      <c r="V25" s="75">
        <f t="shared" si="5"/>
        <v>43.041666666666664</v>
      </c>
      <c r="AY25" s="14" t="e">
        <f>#REF!-AY24</f>
        <v>#REF!</v>
      </c>
    </row>
    <row r="26" spans="1:54" s="13" customFormat="1" x14ac:dyDescent="0.25">
      <c r="A26" s="27">
        <f t="shared" si="1"/>
        <v>23</v>
      </c>
      <c r="B26" s="26" t="s">
        <v>10</v>
      </c>
      <c r="C26" s="70"/>
      <c r="D26" s="70"/>
      <c r="E26" s="70"/>
      <c r="F26" s="70"/>
      <c r="G26" s="70"/>
      <c r="H26" s="70"/>
      <c r="I26" s="70"/>
      <c r="J26" s="71"/>
      <c r="K26" s="72"/>
      <c r="L26" s="55"/>
      <c r="M26" s="73"/>
      <c r="N26" s="74"/>
      <c r="O26" s="70"/>
      <c r="P26" s="71"/>
      <c r="Q26" s="71">
        <v>1</v>
      </c>
      <c r="R26" s="72"/>
      <c r="S26" s="55"/>
      <c r="T26" s="58">
        <f t="shared" si="0"/>
        <v>0</v>
      </c>
      <c r="U26" s="75">
        <f t="shared" si="4"/>
        <v>24</v>
      </c>
      <c r="V26" s="75">
        <f t="shared" si="5"/>
        <v>1</v>
      </c>
      <c r="W26" s="9"/>
      <c r="X26" s="9"/>
      <c r="Y26" s="9"/>
      <c r="Z26" s="9"/>
      <c r="AA26" s="9"/>
      <c r="AB26" s="9"/>
      <c r="AC26" s="9"/>
      <c r="AD26" s="9"/>
      <c r="AE26" s="9"/>
    </row>
    <row r="27" spans="1:54" s="13" customFormat="1" x14ac:dyDescent="0.25">
      <c r="A27" s="27">
        <f t="shared" si="1"/>
        <v>24</v>
      </c>
      <c r="B27" s="26" t="s">
        <v>69</v>
      </c>
      <c r="C27" s="70">
        <v>3</v>
      </c>
      <c r="D27" s="70"/>
      <c r="E27" s="70"/>
      <c r="F27" s="70"/>
      <c r="G27" s="70"/>
      <c r="H27" s="70"/>
      <c r="I27" s="70"/>
      <c r="J27" s="71"/>
      <c r="K27" s="72"/>
      <c r="L27" s="55"/>
      <c r="M27" s="73"/>
      <c r="N27" s="74"/>
      <c r="O27" s="70"/>
      <c r="P27" s="71"/>
      <c r="Q27" s="71"/>
      <c r="R27" s="72"/>
      <c r="S27" s="55"/>
      <c r="T27" s="58">
        <f t="shared" si="0"/>
        <v>0</v>
      </c>
      <c r="U27" s="75">
        <f t="shared" si="4"/>
        <v>72</v>
      </c>
      <c r="V27" s="75">
        <f t="shared" si="5"/>
        <v>3</v>
      </c>
      <c r="W27" s="9"/>
      <c r="X27" s="9"/>
      <c r="Y27" s="9"/>
      <c r="Z27" s="9"/>
      <c r="AA27" s="9"/>
      <c r="AB27" s="9"/>
      <c r="AC27" s="9"/>
      <c r="AD27" s="9"/>
      <c r="AE27" s="9"/>
    </row>
    <row r="28" spans="1:54" s="13" customFormat="1" x14ac:dyDescent="0.25">
      <c r="A28" s="27">
        <f t="shared" si="1"/>
        <v>25</v>
      </c>
      <c r="B28" s="26" t="s">
        <v>11</v>
      </c>
      <c r="C28" s="70"/>
      <c r="D28" s="70"/>
      <c r="E28" s="70"/>
      <c r="F28" s="70"/>
      <c r="G28" s="70"/>
      <c r="H28" s="70"/>
      <c r="I28" s="70"/>
      <c r="J28" s="71"/>
      <c r="K28" s="72"/>
      <c r="L28" s="55"/>
      <c r="M28" s="73"/>
      <c r="N28" s="74"/>
      <c r="O28" s="70"/>
      <c r="P28" s="71"/>
      <c r="Q28" s="71"/>
      <c r="R28" s="72"/>
      <c r="S28" s="55"/>
      <c r="T28" s="58">
        <f t="shared" si="0"/>
        <v>0</v>
      </c>
      <c r="U28" s="75">
        <f t="shared" si="4"/>
        <v>0</v>
      </c>
      <c r="V28" s="75">
        <f t="shared" si="5"/>
        <v>0</v>
      </c>
      <c r="W28" s="9"/>
      <c r="X28" s="9"/>
      <c r="Y28" s="9"/>
      <c r="Z28" s="9"/>
      <c r="AA28" s="9"/>
      <c r="AB28" s="9"/>
      <c r="AC28" s="9"/>
      <c r="AD28" s="9"/>
      <c r="AE28" s="9"/>
    </row>
    <row r="29" spans="1:54" x14ac:dyDescent="0.25">
      <c r="A29" s="27">
        <f t="shared" si="1"/>
        <v>26</v>
      </c>
      <c r="B29" s="26" t="s">
        <v>13</v>
      </c>
      <c r="C29" s="70">
        <v>21</v>
      </c>
      <c r="D29" s="70"/>
      <c r="E29" s="70"/>
      <c r="F29" s="70"/>
      <c r="G29" s="70"/>
      <c r="H29" s="70"/>
      <c r="I29" s="70">
        <v>5</v>
      </c>
      <c r="J29" s="71"/>
      <c r="K29" s="72"/>
      <c r="L29" s="55"/>
      <c r="M29" s="73"/>
      <c r="N29" s="74"/>
      <c r="O29" s="70">
        <v>1</v>
      </c>
      <c r="P29" s="71"/>
      <c r="Q29" s="71">
        <v>1</v>
      </c>
      <c r="R29" s="72"/>
      <c r="S29" s="55"/>
      <c r="T29" s="58">
        <f t="shared" si="0"/>
        <v>5</v>
      </c>
      <c r="U29" s="75">
        <f t="shared" si="4"/>
        <v>557</v>
      </c>
      <c r="V29" s="75">
        <f t="shared" si="5"/>
        <v>23.208333333333332</v>
      </c>
    </row>
    <row r="30" spans="1:54" x14ac:dyDescent="0.25">
      <c r="A30" s="27">
        <f t="shared" si="1"/>
        <v>27</v>
      </c>
      <c r="B30" s="26" t="s">
        <v>15</v>
      </c>
      <c r="C30" s="70">
        <v>9</v>
      </c>
      <c r="D30" s="70"/>
      <c r="E30" s="70"/>
      <c r="F30" s="70"/>
      <c r="G30" s="70"/>
      <c r="H30" s="70"/>
      <c r="I30" s="70"/>
      <c r="J30" s="71"/>
      <c r="K30" s="72"/>
      <c r="L30" s="55"/>
      <c r="M30" s="73"/>
      <c r="N30" s="74"/>
      <c r="O30" s="70">
        <v>1</v>
      </c>
      <c r="P30" s="71"/>
      <c r="Q30" s="71">
        <v>1</v>
      </c>
      <c r="R30" s="72"/>
      <c r="S30" s="55"/>
      <c r="T30" s="58">
        <f t="shared" si="0"/>
        <v>0</v>
      </c>
      <c r="U30" s="75">
        <f t="shared" si="4"/>
        <v>264</v>
      </c>
      <c r="V30" s="75">
        <f t="shared" si="5"/>
        <v>11</v>
      </c>
    </row>
    <row r="31" spans="1:54" x14ac:dyDescent="0.25">
      <c r="A31" s="27">
        <f t="shared" si="1"/>
        <v>28</v>
      </c>
      <c r="B31" s="26" t="s">
        <v>12</v>
      </c>
      <c r="C31" s="70"/>
      <c r="D31" s="70"/>
      <c r="E31" s="70"/>
      <c r="F31" s="70"/>
      <c r="G31" s="70"/>
      <c r="H31" s="70"/>
      <c r="I31" s="70"/>
      <c r="J31" s="71"/>
      <c r="K31" s="72"/>
      <c r="L31" s="55"/>
      <c r="M31" s="73"/>
      <c r="N31" s="74"/>
      <c r="O31" s="70"/>
      <c r="P31" s="71"/>
      <c r="Q31" s="71"/>
      <c r="R31" s="72"/>
      <c r="S31" s="55"/>
      <c r="T31" s="58">
        <f t="shared" si="0"/>
        <v>0</v>
      </c>
      <c r="U31" s="75">
        <f t="shared" si="4"/>
        <v>0</v>
      </c>
      <c r="V31" s="75">
        <f t="shared" si="5"/>
        <v>0</v>
      </c>
    </row>
    <row r="32" spans="1:54" x14ac:dyDescent="0.25">
      <c r="A32" s="27">
        <f t="shared" si="1"/>
        <v>29</v>
      </c>
      <c r="B32" s="26" t="s">
        <v>14</v>
      </c>
      <c r="C32" s="70"/>
      <c r="D32" s="70"/>
      <c r="E32" s="70"/>
      <c r="F32" s="70"/>
      <c r="G32" s="70"/>
      <c r="H32" s="70"/>
      <c r="I32" s="70"/>
      <c r="J32" s="71"/>
      <c r="K32" s="72"/>
      <c r="L32" s="55"/>
      <c r="M32" s="73"/>
      <c r="N32" s="74"/>
      <c r="O32" s="70"/>
      <c r="P32" s="71"/>
      <c r="Q32" s="71"/>
      <c r="R32" s="72"/>
      <c r="S32" s="55"/>
      <c r="T32" s="58">
        <f t="shared" si="0"/>
        <v>0</v>
      </c>
      <c r="U32" s="75">
        <f t="shared" si="4"/>
        <v>0</v>
      </c>
      <c r="V32" s="75">
        <f t="shared" si="5"/>
        <v>0</v>
      </c>
    </row>
    <row r="33" spans="1:23" x14ac:dyDescent="0.25">
      <c r="A33" s="27">
        <f t="shared" si="1"/>
        <v>30</v>
      </c>
      <c r="B33" s="26" t="s">
        <v>16</v>
      </c>
      <c r="C33" s="70"/>
      <c r="D33" s="70"/>
      <c r="E33" s="70"/>
      <c r="F33" s="70"/>
      <c r="G33" s="70"/>
      <c r="H33" s="70"/>
      <c r="I33" s="70"/>
      <c r="J33" s="71"/>
      <c r="K33" s="72"/>
      <c r="L33" s="55"/>
      <c r="M33" s="73">
        <v>1</v>
      </c>
      <c r="N33" s="74"/>
      <c r="O33" s="70"/>
      <c r="P33" s="71"/>
      <c r="Q33" s="71"/>
      <c r="R33" s="72"/>
      <c r="S33" s="55"/>
      <c r="T33" s="58">
        <f t="shared" si="0"/>
        <v>0</v>
      </c>
      <c r="U33" s="75">
        <f t="shared" si="4"/>
        <v>24</v>
      </c>
      <c r="V33" s="75">
        <f t="shared" si="5"/>
        <v>1</v>
      </c>
    </row>
    <row r="34" spans="1:23" x14ac:dyDescent="0.25">
      <c r="A34" s="27">
        <f t="shared" si="1"/>
        <v>31</v>
      </c>
      <c r="B34" s="26" t="s">
        <v>17</v>
      </c>
      <c r="C34" s="70">
        <f>144+36</f>
        <v>180</v>
      </c>
      <c r="D34" s="70"/>
      <c r="E34" s="70"/>
      <c r="F34" s="70"/>
      <c r="G34" s="70"/>
      <c r="H34" s="70"/>
      <c r="I34" s="70">
        <v>1</v>
      </c>
      <c r="J34" s="71"/>
      <c r="K34" s="72">
        <v>1</v>
      </c>
      <c r="L34" s="55"/>
      <c r="M34" s="73"/>
      <c r="N34" s="74"/>
      <c r="O34" s="70">
        <v>2</v>
      </c>
      <c r="P34" s="71"/>
      <c r="Q34" s="71"/>
      <c r="R34" s="72"/>
      <c r="S34" s="55"/>
      <c r="T34" s="58">
        <f t="shared" si="0"/>
        <v>2</v>
      </c>
      <c r="U34" s="75">
        <f t="shared" si="4"/>
        <v>4370</v>
      </c>
      <c r="V34" s="75">
        <f t="shared" si="5"/>
        <v>182.08333333333334</v>
      </c>
    </row>
    <row r="35" spans="1:23" hidden="1" x14ac:dyDescent="0.25">
      <c r="A35" s="27">
        <f t="shared" si="1"/>
        <v>32</v>
      </c>
      <c r="B35" s="26" t="s">
        <v>25</v>
      </c>
      <c r="C35" s="70"/>
      <c r="D35" s="70"/>
      <c r="E35" s="70"/>
      <c r="F35" s="70"/>
      <c r="G35" s="70"/>
      <c r="H35" s="70"/>
      <c r="I35" s="70"/>
      <c r="J35" s="71"/>
      <c r="K35" s="72"/>
      <c r="L35" s="55"/>
      <c r="M35" s="73"/>
      <c r="N35" s="74"/>
      <c r="O35" s="70"/>
      <c r="P35" s="71"/>
      <c r="Q35" s="71"/>
      <c r="R35" s="72"/>
      <c r="S35" s="55"/>
      <c r="T35" s="58">
        <f t="shared" si="0"/>
        <v>0</v>
      </c>
      <c r="U35" s="75">
        <f t="shared" si="4"/>
        <v>0</v>
      </c>
      <c r="V35" s="75">
        <f t="shared" si="5"/>
        <v>0</v>
      </c>
    </row>
    <row r="36" spans="1:23" x14ac:dyDescent="0.25">
      <c r="A36" s="27">
        <f t="shared" si="1"/>
        <v>33</v>
      </c>
      <c r="B36" s="26" t="s">
        <v>18</v>
      </c>
      <c r="C36" s="70"/>
      <c r="D36" s="70"/>
      <c r="E36" s="70"/>
      <c r="F36" s="70"/>
      <c r="G36" s="70"/>
      <c r="H36" s="70"/>
      <c r="I36" s="70"/>
      <c r="J36" s="71"/>
      <c r="K36" s="72"/>
      <c r="L36" s="55"/>
      <c r="M36" s="73"/>
      <c r="N36" s="74"/>
      <c r="O36" s="70"/>
      <c r="P36" s="71"/>
      <c r="Q36" s="71"/>
      <c r="R36" s="72"/>
      <c r="S36" s="55"/>
      <c r="T36" s="58">
        <f t="shared" si="0"/>
        <v>0</v>
      </c>
      <c r="U36" s="75">
        <f t="shared" si="4"/>
        <v>0</v>
      </c>
      <c r="V36" s="75">
        <f t="shared" si="5"/>
        <v>0</v>
      </c>
    </row>
    <row r="37" spans="1:23" ht="19.5" thickBot="1" x14ac:dyDescent="0.3">
      <c r="A37" s="27">
        <f t="shared" si="1"/>
        <v>34</v>
      </c>
      <c r="B37" s="42" t="s">
        <v>19</v>
      </c>
      <c r="C37" s="59">
        <f>2592+79</f>
        <v>2671</v>
      </c>
      <c r="D37" s="59"/>
      <c r="E37" s="59"/>
      <c r="F37" s="59"/>
      <c r="G37" s="59"/>
      <c r="H37" s="59">
        <v>4</v>
      </c>
      <c r="I37" s="59">
        <v>2</v>
      </c>
      <c r="J37" s="60">
        <v>5</v>
      </c>
      <c r="K37" s="61">
        <f>1*6+2</f>
        <v>8</v>
      </c>
      <c r="L37" s="62"/>
      <c r="M37" s="63">
        <v>40</v>
      </c>
      <c r="N37" s="64"/>
      <c r="O37" s="65">
        <v>29</v>
      </c>
      <c r="P37" s="66"/>
      <c r="Q37" s="66">
        <v>101</v>
      </c>
      <c r="R37" s="67"/>
      <c r="S37" s="62"/>
      <c r="T37" s="77">
        <f t="shared" si="0"/>
        <v>19</v>
      </c>
      <c r="U37" s="77">
        <f>C37*6+M37*6+O37*6+Q37*6+T37</f>
        <v>17065</v>
      </c>
      <c r="V37" s="77">
        <f>U37/6</f>
        <v>2844.1666666666665</v>
      </c>
      <c r="W37" s="50"/>
    </row>
    <row r="38" spans="1:23" x14ac:dyDescent="0.25">
      <c r="A38" s="27">
        <f t="shared" si="1"/>
        <v>35</v>
      </c>
      <c r="B38" s="25" t="s">
        <v>20</v>
      </c>
      <c r="C38" s="70"/>
      <c r="D38" s="70"/>
      <c r="E38" s="70"/>
      <c r="F38" s="70"/>
      <c r="G38" s="70"/>
      <c r="H38" s="70"/>
      <c r="I38" s="70"/>
      <c r="J38" s="71"/>
      <c r="K38" s="72"/>
      <c r="L38" s="55"/>
      <c r="M38" s="73"/>
      <c r="N38" s="74"/>
      <c r="O38" s="70"/>
      <c r="P38" s="71"/>
      <c r="Q38" s="71"/>
      <c r="R38" s="72"/>
      <c r="S38" s="55"/>
      <c r="T38" s="75">
        <f t="shared" si="0"/>
        <v>0</v>
      </c>
      <c r="U38" s="75">
        <f>C38*24+M38*24+O38*24+Q38*24+T38</f>
        <v>0</v>
      </c>
      <c r="V38" s="75">
        <f>U38/24</f>
        <v>0</v>
      </c>
    </row>
    <row r="39" spans="1:23" x14ac:dyDescent="0.25">
      <c r="A39" s="27">
        <f t="shared" si="1"/>
        <v>36</v>
      </c>
      <c r="B39" s="51" t="s">
        <v>62</v>
      </c>
      <c r="C39" s="78"/>
      <c r="D39" s="78"/>
      <c r="E39" s="78"/>
      <c r="F39" s="78"/>
      <c r="G39" s="78"/>
      <c r="H39" s="78"/>
      <c r="I39" s="78"/>
      <c r="J39" s="79"/>
      <c r="K39" s="80"/>
      <c r="L39" s="55"/>
      <c r="M39" s="73"/>
      <c r="N39" s="74"/>
      <c r="O39" s="70"/>
      <c r="P39" s="71"/>
      <c r="Q39" s="71"/>
      <c r="R39" s="72"/>
      <c r="S39" s="95"/>
      <c r="T39" s="75">
        <f t="shared" si="0"/>
        <v>0</v>
      </c>
      <c r="U39" s="75">
        <f>C39*24+M39*24+O39*24+Q39*24+T39</f>
        <v>0</v>
      </c>
      <c r="V39" s="75">
        <f>U39/24</f>
        <v>0</v>
      </c>
    </row>
    <row r="40" spans="1:23" ht="19.5" thickBot="1" x14ac:dyDescent="0.3">
      <c r="A40" s="27">
        <f t="shared" si="1"/>
        <v>37</v>
      </c>
      <c r="B40" s="42" t="s">
        <v>21</v>
      </c>
      <c r="C40" s="59">
        <f>252+53</f>
        <v>305</v>
      </c>
      <c r="D40" s="59"/>
      <c r="E40" s="59"/>
      <c r="F40" s="59"/>
      <c r="G40" s="59"/>
      <c r="H40" s="59"/>
      <c r="I40" s="59"/>
      <c r="J40" s="60"/>
      <c r="K40" s="61">
        <v>20</v>
      </c>
      <c r="L40" s="62"/>
      <c r="M40" s="63"/>
      <c r="N40" s="64"/>
      <c r="O40" s="65">
        <v>2</v>
      </c>
      <c r="P40" s="66"/>
      <c r="Q40" s="66"/>
      <c r="R40" s="67"/>
      <c r="S40" s="62"/>
      <c r="T40" s="77">
        <f t="shared" si="0"/>
        <v>20</v>
      </c>
      <c r="U40" s="77">
        <f>C40*24+M40*24+O40*24+Q40*24+T40</f>
        <v>7388</v>
      </c>
      <c r="V40" s="77">
        <f>U40/24</f>
        <v>307.83333333333331</v>
      </c>
    </row>
    <row r="41" spans="1:23" ht="19.5" thickBot="1" x14ac:dyDescent="0.3">
      <c r="A41" s="27">
        <f t="shared" si="1"/>
        <v>38</v>
      </c>
      <c r="B41" s="43" t="s">
        <v>22</v>
      </c>
      <c r="C41" s="82">
        <f>384+27</f>
        <v>411</v>
      </c>
      <c r="D41" s="82"/>
      <c r="E41" s="82"/>
      <c r="F41" s="82"/>
      <c r="G41" s="82"/>
      <c r="H41" s="82"/>
      <c r="I41" s="82"/>
      <c r="J41" s="83"/>
      <c r="K41" s="84"/>
      <c r="L41" s="85"/>
      <c r="M41" s="86">
        <v>7</v>
      </c>
      <c r="N41" s="87"/>
      <c r="O41" s="82">
        <v>8</v>
      </c>
      <c r="P41" s="83"/>
      <c r="Q41" s="83">
        <v>20</v>
      </c>
      <c r="R41" s="84"/>
      <c r="S41" s="85"/>
      <c r="T41" s="88">
        <f t="shared" si="0"/>
        <v>0</v>
      </c>
      <c r="U41" s="88">
        <f>C41*12+M41*12+O41*12+Q41*12+T41</f>
        <v>5352</v>
      </c>
      <c r="V41" s="88">
        <f>U41/12</f>
        <v>446</v>
      </c>
    </row>
    <row r="42" spans="1:23" hidden="1" x14ac:dyDescent="0.25">
      <c r="A42" s="27">
        <f t="shared" si="1"/>
        <v>39</v>
      </c>
      <c r="B42" s="25" t="s">
        <v>29</v>
      </c>
      <c r="C42" s="70"/>
      <c r="D42" s="70"/>
      <c r="E42" s="70"/>
      <c r="F42" s="70"/>
      <c r="G42" s="70"/>
      <c r="H42" s="70"/>
      <c r="I42" s="70"/>
      <c r="J42" s="71"/>
      <c r="K42" s="72"/>
      <c r="L42" s="55"/>
      <c r="M42" s="73"/>
      <c r="N42" s="74"/>
      <c r="O42" s="70"/>
      <c r="P42" s="71"/>
      <c r="Q42" s="71"/>
      <c r="R42" s="72"/>
      <c r="S42" s="55"/>
      <c r="T42" s="75"/>
      <c r="U42" s="75"/>
      <c r="V42" s="75"/>
    </row>
    <row r="43" spans="1:23" ht="19.5" thickBot="1" x14ac:dyDescent="0.3">
      <c r="A43" s="27">
        <f t="shared" si="1"/>
        <v>40</v>
      </c>
      <c r="B43" s="42" t="s">
        <v>23</v>
      </c>
      <c r="C43" s="65">
        <f>5832+19764+10260</f>
        <v>35856</v>
      </c>
      <c r="D43" s="65"/>
      <c r="E43" s="65"/>
      <c r="F43" s="65"/>
      <c r="G43" s="65"/>
      <c r="H43" s="65">
        <v>10</v>
      </c>
      <c r="I43" s="65">
        <v>12</v>
      </c>
      <c r="J43" s="66">
        <f>22*6+3</f>
        <v>135</v>
      </c>
      <c r="K43" s="67">
        <f>71*6+2</f>
        <v>428</v>
      </c>
      <c r="L43" s="62"/>
      <c r="M43" s="63">
        <v>759</v>
      </c>
      <c r="N43" s="64"/>
      <c r="O43" s="65">
        <v>444</v>
      </c>
      <c r="P43" s="66"/>
      <c r="Q43" s="66">
        <v>506</v>
      </c>
      <c r="R43" s="67"/>
      <c r="S43" s="62"/>
      <c r="T43" s="77">
        <f t="shared" ref="T43" si="6">H43+I43+J43+K43+N43+P43+R43</f>
        <v>585</v>
      </c>
      <c r="U43" s="77">
        <f>C43*6+M43*6+O43*6+Q43*6+T43</f>
        <v>225975</v>
      </c>
      <c r="V43" s="77">
        <f>U43/6</f>
        <v>37662.5</v>
      </c>
    </row>
    <row r="44" spans="1:23" hidden="1" x14ac:dyDescent="0.25">
      <c r="A44" s="27">
        <f t="shared" si="1"/>
        <v>41</v>
      </c>
      <c r="B44" s="25" t="s">
        <v>31</v>
      </c>
      <c r="C44" s="70"/>
      <c r="D44" s="70"/>
      <c r="E44" s="70"/>
      <c r="F44" s="70"/>
      <c r="G44" s="70"/>
      <c r="H44" s="70"/>
      <c r="I44" s="70"/>
      <c r="J44" s="71"/>
      <c r="K44" s="72"/>
      <c r="L44" s="55"/>
      <c r="M44" s="73"/>
      <c r="N44" s="74"/>
      <c r="O44" s="70"/>
      <c r="P44" s="71"/>
      <c r="Q44" s="71"/>
      <c r="R44" s="72"/>
      <c r="S44" s="55"/>
      <c r="T44" s="75"/>
      <c r="U44" s="75"/>
      <c r="V44" s="75"/>
    </row>
    <row r="45" spans="1:23" x14ac:dyDescent="0.25">
      <c r="A45" s="27">
        <f t="shared" si="1"/>
        <v>42</v>
      </c>
      <c r="B45" s="26" t="s">
        <v>24</v>
      </c>
      <c r="C45" s="70"/>
      <c r="D45" s="70"/>
      <c r="E45" s="70"/>
      <c r="F45" s="70"/>
      <c r="G45" s="70"/>
      <c r="H45" s="70"/>
      <c r="I45" s="70"/>
      <c r="J45" s="71"/>
      <c r="K45" s="72"/>
      <c r="L45" s="55"/>
      <c r="M45" s="73"/>
      <c r="N45" s="74"/>
      <c r="O45" s="70"/>
      <c r="P45" s="71"/>
      <c r="Q45" s="71"/>
      <c r="R45" s="72"/>
      <c r="S45" s="55"/>
      <c r="T45" s="75">
        <f t="shared" ref="T45:T54" si="7">H45+I45+J45+K45+N45+P45+R45</f>
        <v>0</v>
      </c>
      <c r="U45" s="75">
        <f>C45*24+M45*24+O45*24+Q45*24+T45</f>
        <v>0</v>
      </c>
      <c r="V45" s="75">
        <f>U45/24</f>
        <v>0</v>
      </c>
    </row>
    <row r="46" spans="1:23" x14ac:dyDescent="0.25">
      <c r="A46" s="27">
        <f t="shared" si="1"/>
        <v>43</v>
      </c>
      <c r="B46" s="26" t="s">
        <v>57</v>
      </c>
      <c r="C46" s="70"/>
      <c r="D46" s="70"/>
      <c r="E46" s="70"/>
      <c r="F46" s="70"/>
      <c r="G46" s="70"/>
      <c r="H46" s="70"/>
      <c r="I46" s="70"/>
      <c r="J46" s="71"/>
      <c r="K46" s="72"/>
      <c r="L46" s="55"/>
      <c r="M46" s="73"/>
      <c r="N46" s="74"/>
      <c r="O46" s="70"/>
      <c r="P46" s="71"/>
      <c r="Q46" s="71"/>
      <c r="R46" s="72"/>
      <c r="S46" s="55"/>
      <c r="T46" s="75">
        <f t="shared" si="7"/>
        <v>0</v>
      </c>
      <c r="U46" s="75">
        <f t="shared" ref="U46:U50" si="8">C46*24+M46*24+O46*24+Q46*24+T46</f>
        <v>0</v>
      </c>
      <c r="V46" s="75">
        <f t="shared" ref="V46:V54" si="9">U46/24</f>
        <v>0</v>
      </c>
    </row>
    <row r="47" spans="1:23" ht="19.5" thickBot="1" x14ac:dyDescent="0.3">
      <c r="A47" s="27">
        <f t="shared" si="1"/>
        <v>44</v>
      </c>
      <c r="B47" s="42" t="s">
        <v>25</v>
      </c>
      <c r="C47" s="65">
        <f>94+648+324+88+540+103+324+432+106</f>
        <v>2659</v>
      </c>
      <c r="D47" s="65"/>
      <c r="E47" s="65"/>
      <c r="F47" s="65"/>
      <c r="G47" s="65"/>
      <c r="H47" s="65">
        <v>1</v>
      </c>
      <c r="I47" s="65"/>
      <c r="J47" s="66"/>
      <c r="K47" s="67">
        <v>5</v>
      </c>
      <c r="L47" s="62"/>
      <c r="M47" s="63">
        <v>5</v>
      </c>
      <c r="N47" s="64"/>
      <c r="O47" s="65">
        <v>16</v>
      </c>
      <c r="P47" s="66"/>
      <c r="Q47" s="66">
        <v>5</v>
      </c>
      <c r="R47" s="67">
        <v>3</v>
      </c>
      <c r="S47" s="62"/>
      <c r="T47" s="77">
        <f t="shared" si="7"/>
        <v>9</v>
      </c>
      <c r="U47" s="77">
        <f>C47*6+M47*6+O47*6+Q47*6+T47</f>
        <v>16119</v>
      </c>
      <c r="V47" s="77">
        <f>U47/6</f>
        <v>2686.5</v>
      </c>
    </row>
    <row r="48" spans="1:23" x14ac:dyDescent="0.25">
      <c r="A48" s="27">
        <f t="shared" si="1"/>
        <v>45</v>
      </c>
      <c r="B48" s="25" t="s">
        <v>58</v>
      </c>
      <c r="C48" s="70"/>
      <c r="D48" s="70"/>
      <c r="E48" s="70"/>
      <c r="F48" s="70"/>
      <c r="G48" s="70"/>
      <c r="H48" s="70">
        <v>24</v>
      </c>
      <c r="I48" s="70"/>
      <c r="J48" s="71"/>
      <c r="K48" s="72"/>
      <c r="L48" s="55"/>
      <c r="M48" s="73"/>
      <c r="N48" s="74"/>
      <c r="O48" s="70"/>
      <c r="P48" s="71"/>
      <c r="Q48" s="71"/>
      <c r="R48" s="72"/>
      <c r="S48" s="55"/>
      <c r="T48" s="75">
        <f t="shared" si="7"/>
        <v>24</v>
      </c>
      <c r="U48" s="75">
        <f t="shared" si="8"/>
        <v>24</v>
      </c>
      <c r="V48" s="75">
        <f t="shared" si="9"/>
        <v>1</v>
      </c>
    </row>
    <row r="49" spans="1:22" x14ac:dyDescent="0.25">
      <c r="A49" s="27">
        <f t="shared" si="1"/>
        <v>46</v>
      </c>
      <c r="B49" s="26" t="s">
        <v>26</v>
      </c>
      <c r="C49" s="70"/>
      <c r="D49" s="70"/>
      <c r="E49" s="70"/>
      <c r="F49" s="70"/>
      <c r="G49" s="70"/>
      <c r="H49" s="70"/>
      <c r="I49" s="70"/>
      <c r="J49" s="71"/>
      <c r="K49" s="72"/>
      <c r="L49" s="55"/>
      <c r="M49" s="73"/>
      <c r="N49" s="74"/>
      <c r="O49" s="70"/>
      <c r="P49" s="71"/>
      <c r="Q49" s="71"/>
      <c r="R49" s="72"/>
      <c r="S49" s="55"/>
      <c r="T49" s="75">
        <f t="shared" si="7"/>
        <v>0</v>
      </c>
      <c r="U49" s="75">
        <f t="shared" si="8"/>
        <v>0</v>
      </c>
      <c r="V49" s="75">
        <f t="shared" si="9"/>
        <v>0</v>
      </c>
    </row>
    <row r="50" spans="1:22" x14ac:dyDescent="0.25">
      <c r="A50" s="27">
        <f t="shared" si="1"/>
        <v>47</v>
      </c>
      <c r="B50" s="26" t="s">
        <v>59</v>
      </c>
      <c r="C50" s="70"/>
      <c r="D50" s="70"/>
      <c r="E50" s="70"/>
      <c r="F50" s="70"/>
      <c r="G50" s="70"/>
      <c r="H50" s="70"/>
      <c r="I50" s="70"/>
      <c r="J50" s="71"/>
      <c r="K50" s="72"/>
      <c r="L50" s="55"/>
      <c r="M50" s="73"/>
      <c r="N50" s="74"/>
      <c r="O50" s="70"/>
      <c r="P50" s="71"/>
      <c r="Q50" s="71"/>
      <c r="R50" s="72"/>
      <c r="S50" s="55"/>
      <c r="T50" s="75">
        <f t="shared" si="7"/>
        <v>0</v>
      </c>
      <c r="U50" s="75">
        <f t="shared" si="8"/>
        <v>0</v>
      </c>
      <c r="V50" s="75">
        <f t="shared" si="9"/>
        <v>0</v>
      </c>
    </row>
    <row r="51" spans="1:22" ht="19.5" thickBot="1" x14ac:dyDescent="0.3">
      <c r="A51" s="27">
        <f t="shared" si="1"/>
        <v>48</v>
      </c>
      <c r="B51" s="42" t="s">
        <v>27</v>
      </c>
      <c r="C51" s="65">
        <v>34</v>
      </c>
      <c r="D51" s="65"/>
      <c r="E51" s="65"/>
      <c r="F51" s="65"/>
      <c r="G51" s="65"/>
      <c r="H51" s="65"/>
      <c r="I51" s="65"/>
      <c r="J51" s="66"/>
      <c r="K51" s="67"/>
      <c r="L51" s="62"/>
      <c r="M51" s="63"/>
      <c r="N51" s="64"/>
      <c r="O51" s="65"/>
      <c r="P51" s="66"/>
      <c r="Q51" s="66"/>
      <c r="R51" s="67"/>
      <c r="S51" s="62"/>
      <c r="T51" s="77">
        <f t="shared" si="7"/>
        <v>0</v>
      </c>
      <c r="U51" s="77">
        <f>C51*6+M51*6+O51*6+Q51*6+T51</f>
        <v>204</v>
      </c>
      <c r="V51" s="77">
        <f>U51/6</f>
        <v>34</v>
      </c>
    </row>
    <row r="52" spans="1:22" x14ac:dyDescent="0.25">
      <c r="A52" s="27">
        <f t="shared" si="1"/>
        <v>49</v>
      </c>
      <c r="B52" s="25" t="s">
        <v>28</v>
      </c>
      <c r="C52" s="70"/>
      <c r="D52" s="70"/>
      <c r="E52" s="70"/>
      <c r="F52" s="70"/>
      <c r="G52" s="70"/>
      <c r="H52" s="70"/>
      <c r="I52" s="70"/>
      <c r="J52" s="71"/>
      <c r="K52" s="72"/>
      <c r="L52" s="55"/>
      <c r="M52" s="73"/>
      <c r="N52" s="74"/>
      <c r="O52" s="70"/>
      <c r="P52" s="71"/>
      <c r="Q52" s="71"/>
      <c r="R52" s="72"/>
      <c r="S52" s="55"/>
      <c r="T52" s="75">
        <f t="shared" si="7"/>
        <v>0</v>
      </c>
      <c r="U52" s="75">
        <f t="shared" ref="U52:U54" si="10">C52*24+M52*24+O52*24+Q52*24+T52</f>
        <v>0</v>
      </c>
      <c r="V52" s="75">
        <f t="shared" si="9"/>
        <v>0</v>
      </c>
    </row>
    <row r="53" spans="1:22" x14ac:dyDescent="0.25">
      <c r="A53" s="27">
        <f t="shared" si="1"/>
        <v>50</v>
      </c>
      <c r="B53" s="26" t="s">
        <v>63</v>
      </c>
      <c r="C53" s="70">
        <v>7</v>
      </c>
      <c r="D53" s="70"/>
      <c r="E53" s="70"/>
      <c r="F53" s="70"/>
      <c r="G53" s="70"/>
      <c r="H53" s="70"/>
      <c r="I53" s="70"/>
      <c r="J53" s="71"/>
      <c r="K53" s="72"/>
      <c r="L53" s="55"/>
      <c r="M53" s="73"/>
      <c r="N53" s="74"/>
      <c r="O53" s="70"/>
      <c r="P53" s="71"/>
      <c r="Q53" s="71"/>
      <c r="R53" s="72"/>
      <c r="S53" s="55"/>
      <c r="T53" s="75">
        <f t="shared" si="7"/>
        <v>0</v>
      </c>
      <c r="U53" s="75">
        <f t="shared" si="10"/>
        <v>168</v>
      </c>
      <c r="V53" s="75">
        <f t="shared" si="9"/>
        <v>7</v>
      </c>
    </row>
    <row r="54" spans="1:22" x14ac:dyDescent="0.25">
      <c r="A54" s="27">
        <f t="shared" si="1"/>
        <v>51</v>
      </c>
      <c r="B54" s="26"/>
      <c r="C54" s="70"/>
      <c r="D54" s="70"/>
      <c r="E54" s="70"/>
      <c r="F54" s="70"/>
      <c r="G54" s="70"/>
      <c r="H54" s="70"/>
      <c r="I54" s="70"/>
      <c r="J54" s="71"/>
      <c r="K54" s="72"/>
      <c r="L54" s="55"/>
      <c r="M54" s="73"/>
      <c r="N54" s="74"/>
      <c r="O54" s="70"/>
      <c r="P54" s="71"/>
      <c r="Q54" s="71"/>
      <c r="R54" s="72"/>
      <c r="S54" s="55"/>
      <c r="T54" s="75">
        <f t="shared" si="7"/>
        <v>0</v>
      </c>
      <c r="U54" s="75">
        <f t="shared" si="10"/>
        <v>0</v>
      </c>
      <c r="V54" s="75">
        <f t="shared" si="9"/>
        <v>0</v>
      </c>
    </row>
    <row r="55" spans="1:22" x14ac:dyDescent="0.25">
      <c r="A55" s="27">
        <f t="shared" si="1"/>
        <v>52</v>
      </c>
      <c r="B55" s="26"/>
      <c r="C55" s="70"/>
      <c r="D55" s="70"/>
      <c r="E55" s="70"/>
      <c r="F55" s="70"/>
      <c r="G55" s="70"/>
      <c r="H55" s="70"/>
      <c r="I55" s="70"/>
      <c r="J55" s="71"/>
      <c r="K55" s="72"/>
      <c r="L55" s="55"/>
      <c r="M55" s="73"/>
      <c r="N55" s="74"/>
      <c r="O55" s="70"/>
      <c r="P55" s="71"/>
      <c r="Q55" s="71"/>
      <c r="R55" s="72"/>
      <c r="S55" s="55"/>
      <c r="T55" s="75"/>
      <c r="U55" s="75"/>
      <c r="V55" s="75"/>
    </row>
    <row r="56" spans="1:22" x14ac:dyDescent="0.25">
      <c r="A56" s="27">
        <f t="shared" si="1"/>
        <v>53</v>
      </c>
      <c r="B56" s="26"/>
      <c r="C56" s="70"/>
      <c r="D56" s="70"/>
      <c r="E56" s="70"/>
      <c r="F56" s="70"/>
      <c r="G56" s="70"/>
      <c r="H56" s="70"/>
      <c r="I56" s="70"/>
      <c r="J56" s="71"/>
      <c r="K56" s="72"/>
      <c r="L56" s="55"/>
      <c r="M56" s="73"/>
      <c r="N56" s="74"/>
      <c r="O56" s="70"/>
      <c r="P56" s="71"/>
      <c r="Q56" s="71"/>
      <c r="R56" s="72"/>
      <c r="S56" s="55"/>
      <c r="T56" s="75"/>
      <c r="U56" s="75"/>
      <c r="V56" s="75"/>
    </row>
    <row r="57" spans="1:22" x14ac:dyDescent="0.25">
      <c r="A57" s="27">
        <f t="shared" si="1"/>
        <v>54</v>
      </c>
      <c r="B57" s="26"/>
      <c r="C57" s="70"/>
      <c r="D57" s="70"/>
      <c r="E57" s="70"/>
      <c r="F57" s="70"/>
      <c r="G57" s="70"/>
      <c r="H57" s="70"/>
      <c r="I57" s="70"/>
      <c r="J57" s="71"/>
      <c r="K57" s="72"/>
      <c r="L57" s="55"/>
      <c r="M57" s="73"/>
      <c r="N57" s="74"/>
      <c r="O57" s="70"/>
      <c r="P57" s="71"/>
      <c r="Q57" s="71"/>
      <c r="R57" s="72"/>
      <c r="S57" s="55"/>
      <c r="T57" s="75"/>
      <c r="U57" s="75"/>
      <c r="V57" s="75"/>
    </row>
    <row r="58" spans="1:22" s="15" customFormat="1" ht="19.5" thickBot="1" x14ac:dyDescent="0.3">
      <c r="B58" s="29" t="s">
        <v>50</v>
      </c>
      <c r="C58" s="2">
        <f>SUM(C7:C57)</f>
        <v>45638</v>
      </c>
      <c r="D58" s="2"/>
      <c r="E58" s="2"/>
      <c r="F58" s="2">
        <f t="shared" ref="F58:K58" si="11">SUM(F7:F57)</f>
        <v>0</v>
      </c>
      <c r="G58" s="2">
        <f t="shared" si="11"/>
        <v>0</v>
      </c>
      <c r="H58" s="2">
        <f t="shared" si="11"/>
        <v>1198</v>
      </c>
      <c r="I58" s="6">
        <f t="shared" si="11"/>
        <v>44</v>
      </c>
      <c r="J58" s="6">
        <f t="shared" si="11"/>
        <v>140</v>
      </c>
      <c r="K58" s="6">
        <f t="shared" si="11"/>
        <v>470</v>
      </c>
      <c r="M58" s="5">
        <f t="shared" ref="M58:R58" si="12">SUM(M7:M57)</f>
        <v>838</v>
      </c>
      <c r="N58" s="5">
        <f t="shared" si="12"/>
        <v>4</v>
      </c>
      <c r="O58" s="5">
        <f t="shared" si="12"/>
        <v>518</v>
      </c>
      <c r="P58" s="5">
        <f t="shared" si="12"/>
        <v>30</v>
      </c>
      <c r="Q58" s="5">
        <f t="shared" si="12"/>
        <v>662</v>
      </c>
      <c r="R58" s="5">
        <f t="shared" si="12"/>
        <v>8</v>
      </c>
      <c r="S58" s="55"/>
      <c r="T58" s="4">
        <f>SUM(T7:T57)</f>
        <v>1894</v>
      </c>
      <c r="U58" s="90">
        <f>SUM(U7:U57)</f>
        <v>364036</v>
      </c>
      <c r="V58" s="4">
        <f>SUM(V7:V57)</f>
        <v>47811.541666666664</v>
      </c>
    </row>
    <row r="59" spans="1:22" ht="7.5" customHeight="1" thickBot="1" x14ac:dyDescent="0.3"/>
    <row r="60" spans="1:22" ht="19.5" thickBot="1" x14ac:dyDescent="0.3">
      <c r="B60" s="30" t="s">
        <v>37</v>
      </c>
      <c r="C60" s="113" t="s">
        <v>41</v>
      </c>
      <c r="D60" s="114"/>
      <c r="E60" s="114"/>
      <c r="F60" s="114"/>
      <c r="G60" s="114"/>
      <c r="H60" s="114"/>
      <c r="I60" s="114"/>
      <c r="J60" s="114"/>
      <c r="K60" s="115"/>
      <c r="U60" s="24" t="s">
        <v>51</v>
      </c>
    </row>
    <row r="61" spans="1:22" x14ac:dyDescent="0.25">
      <c r="B61" s="31" t="s">
        <v>17</v>
      </c>
      <c r="C61" s="19"/>
      <c r="D61" s="19"/>
      <c r="E61" s="19"/>
      <c r="F61" s="19"/>
      <c r="G61" s="19"/>
      <c r="H61" s="19"/>
      <c r="I61" s="19"/>
      <c r="J61" s="45"/>
      <c r="K61" s="20"/>
      <c r="U61" s="7"/>
    </row>
    <row r="62" spans="1:22" x14ac:dyDescent="0.25">
      <c r="B62" s="32" t="s">
        <v>45</v>
      </c>
      <c r="C62" s="1"/>
      <c r="D62" s="1"/>
      <c r="E62" s="1"/>
      <c r="F62" s="1"/>
      <c r="G62" s="1"/>
      <c r="H62" s="1"/>
      <c r="I62" s="1"/>
      <c r="J62" s="44"/>
      <c r="K62" s="21"/>
      <c r="U62" s="3"/>
    </row>
    <row r="63" spans="1:22" ht="19.5" thickBot="1" x14ac:dyDescent="0.3">
      <c r="B63" s="33" t="s">
        <v>44</v>
      </c>
      <c r="C63" s="22"/>
      <c r="D63" s="22"/>
      <c r="E63" s="22"/>
      <c r="F63" s="22"/>
      <c r="G63" s="22"/>
      <c r="H63" s="22"/>
      <c r="I63" s="22"/>
      <c r="J63" s="46"/>
      <c r="K63" s="23"/>
      <c r="U63" s="8"/>
    </row>
    <row r="64" spans="1:22" ht="7.5" customHeight="1" thickBot="1" x14ac:dyDescent="0.3"/>
    <row r="65" spans="2:21" x14ac:dyDescent="0.25">
      <c r="B65" s="31" t="s">
        <v>46</v>
      </c>
      <c r="C65" s="19"/>
      <c r="D65" s="19"/>
      <c r="E65" s="19"/>
      <c r="F65" s="19"/>
      <c r="G65" s="19"/>
      <c r="H65" s="19"/>
      <c r="I65" s="19"/>
      <c r="J65" s="45"/>
      <c r="K65" s="20"/>
      <c r="U65" s="7"/>
    </row>
    <row r="66" spans="2:21" x14ac:dyDescent="0.25">
      <c r="B66" s="32" t="s">
        <v>45</v>
      </c>
      <c r="C66" s="1"/>
      <c r="D66" s="1"/>
      <c r="E66" s="1"/>
      <c r="F66" s="1"/>
      <c r="G66" s="1"/>
      <c r="H66" s="1"/>
      <c r="I66" s="1"/>
      <c r="J66" s="44"/>
      <c r="K66" s="21"/>
      <c r="U66" s="3"/>
    </row>
    <row r="67" spans="2:21" ht="19.5" thickBot="1" x14ac:dyDescent="0.3">
      <c r="B67" s="33" t="s">
        <v>44</v>
      </c>
      <c r="C67" s="22"/>
      <c r="D67" s="22"/>
      <c r="E67" s="22"/>
      <c r="F67" s="22"/>
      <c r="G67" s="22"/>
      <c r="H67" s="22"/>
      <c r="I67" s="22"/>
      <c r="J67" s="46"/>
      <c r="K67" s="23"/>
      <c r="U67" s="8"/>
    </row>
    <row r="68" spans="2:21" ht="7.5" customHeight="1" thickBot="1" x14ac:dyDescent="0.3"/>
    <row r="69" spans="2:21" x14ac:dyDescent="0.25">
      <c r="B69" s="31" t="s">
        <v>38</v>
      </c>
      <c r="C69" s="19"/>
      <c r="D69" s="19"/>
      <c r="E69" s="19"/>
      <c r="F69" s="19"/>
      <c r="G69" s="19"/>
      <c r="H69" s="19"/>
      <c r="I69" s="19"/>
      <c r="J69" s="45"/>
      <c r="K69" s="20"/>
      <c r="U69" s="7"/>
    </row>
    <row r="70" spans="2:21" x14ac:dyDescent="0.25">
      <c r="B70" s="32" t="s">
        <v>45</v>
      </c>
      <c r="C70" s="1"/>
      <c r="D70" s="1"/>
      <c r="E70" s="1"/>
      <c r="F70" s="1"/>
      <c r="G70" s="1"/>
      <c r="H70" s="1"/>
      <c r="I70" s="1"/>
      <c r="J70" s="44"/>
      <c r="K70" s="21"/>
      <c r="U70" s="3"/>
    </row>
    <row r="71" spans="2:21" ht="19.5" thickBot="1" x14ac:dyDescent="0.3">
      <c r="B71" s="33" t="s">
        <v>44</v>
      </c>
      <c r="C71" s="22"/>
      <c r="D71" s="22"/>
      <c r="E71" s="22"/>
      <c r="F71" s="22"/>
      <c r="G71" s="22"/>
      <c r="H71" s="22"/>
      <c r="I71" s="22"/>
      <c r="J71" s="46"/>
      <c r="K71" s="23"/>
      <c r="U71" s="8"/>
    </row>
    <row r="72" spans="2:21" ht="7.5" customHeight="1" thickBot="1" x14ac:dyDescent="0.3"/>
    <row r="73" spans="2:21" x14ac:dyDescent="0.25">
      <c r="B73" s="31" t="s">
        <v>47</v>
      </c>
      <c r="C73" s="19"/>
      <c r="D73" s="19"/>
      <c r="E73" s="19"/>
      <c r="F73" s="19"/>
      <c r="G73" s="19"/>
      <c r="H73" s="19"/>
      <c r="I73" s="19"/>
      <c r="J73" s="45"/>
      <c r="K73" s="20"/>
      <c r="U73" s="7"/>
    </row>
    <row r="74" spans="2:21" x14ac:dyDescent="0.25">
      <c r="B74" s="32" t="s">
        <v>45</v>
      </c>
      <c r="C74" s="1"/>
      <c r="D74" s="1"/>
      <c r="E74" s="1"/>
      <c r="F74" s="1"/>
      <c r="G74" s="1"/>
      <c r="H74" s="1"/>
      <c r="I74" s="1"/>
      <c r="J74" s="44"/>
      <c r="K74" s="21"/>
      <c r="U74" s="3"/>
    </row>
    <row r="75" spans="2:21" ht="19.5" thickBot="1" x14ac:dyDescent="0.3">
      <c r="B75" s="33" t="s">
        <v>44</v>
      </c>
      <c r="C75" s="22"/>
      <c r="D75" s="22"/>
      <c r="E75" s="22"/>
      <c r="F75" s="22"/>
      <c r="G75" s="22"/>
      <c r="H75" s="22"/>
      <c r="I75" s="22"/>
      <c r="J75" s="46"/>
      <c r="K75" s="23"/>
      <c r="U75" s="8"/>
    </row>
    <row r="76" spans="2:21" ht="7.5" customHeight="1" thickBot="1" x14ac:dyDescent="0.3"/>
    <row r="77" spans="2:21" x14ac:dyDescent="0.25">
      <c r="B77" s="31" t="s">
        <v>48</v>
      </c>
      <c r="C77" s="19"/>
      <c r="D77" s="19"/>
      <c r="E77" s="19"/>
      <c r="F77" s="19"/>
      <c r="G77" s="19"/>
      <c r="H77" s="19"/>
      <c r="I77" s="19"/>
      <c r="J77" s="45"/>
      <c r="K77" s="20"/>
      <c r="U77" s="7"/>
    </row>
    <row r="78" spans="2:21" x14ac:dyDescent="0.25">
      <c r="B78" s="32" t="s">
        <v>45</v>
      </c>
      <c r="C78" s="1"/>
      <c r="D78" s="1"/>
      <c r="E78" s="1"/>
      <c r="F78" s="1"/>
      <c r="G78" s="1"/>
      <c r="H78" s="1"/>
      <c r="I78" s="1"/>
      <c r="J78" s="44"/>
      <c r="K78" s="21"/>
      <c r="U78" s="3"/>
    </row>
    <row r="79" spans="2:21" ht="19.5" thickBot="1" x14ac:dyDescent="0.3">
      <c r="B79" s="33" t="s">
        <v>44</v>
      </c>
      <c r="C79" s="22"/>
      <c r="D79" s="22"/>
      <c r="E79" s="22"/>
      <c r="F79" s="22"/>
      <c r="G79" s="22"/>
      <c r="H79" s="22"/>
      <c r="I79" s="22"/>
      <c r="J79" s="46"/>
      <c r="K79" s="23"/>
      <c r="U79" s="8"/>
    </row>
    <row r="80" spans="2:21" ht="7.5" customHeight="1" thickBot="1" x14ac:dyDescent="0.3"/>
    <row r="81" spans="2:21" ht="19.5" thickBot="1" x14ac:dyDescent="0.3">
      <c r="B81" s="30" t="s">
        <v>49</v>
      </c>
      <c r="C81" s="17"/>
      <c r="D81" s="17"/>
      <c r="E81" s="17"/>
      <c r="F81" s="17"/>
      <c r="G81" s="17"/>
      <c r="H81" s="17"/>
      <c r="I81" s="17"/>
      <c r="J81" s="47"/>
      <c r="K81" s="18"/>
      <c r="U81" s="16"/>
    </row>
  </sheetData>
  <mergeCells count="7">
    <mergeCell ref="V4:V5"/>
    <mergeCell ref="J5:K5"/>
    <mergeCell ref="C60:K60"/>
    <mergeCell ref="I1:U1"/>
    <mergeCell ref="C4:K4"/>
    <mergeCell ref="T4:T5"/>
    <mergeCell ref="U4:U5"/>
  </mergeCells>
  <printOptions horizontalCentered="1" verticalCentered="1"/>
  <pageMargins left="0.19685039370078741" right="0.19685039370078741" top="0.19685039370078741" bottom="0.19685039370078741" header="0.19685039370078741" footer="0.19685039370078741"/>
  <pageSetup paperSize="14" scale="70" orientation="portrait" horizontalDpi="360" verticalDpi="360" r:id="rId1"/>
  <colBreaks count="1" manualBreakCount="1">
    <brk id="24" max="80" man="1"/>
  </colBreaks>
</worksheet>
</file>

<file path=xl/worksheets/sheet1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6785A562-FC08-4F6D-8F24-EB56A0E8599E}">
  <sheetPr>
    <pageSetUpPr fitToPage="1"/>
  </sheetPr>
  <dimension ref="A1:BB81"/>
  <sheetViews>
    <sheetView zoomScale="91" zoomScaleNormal="91" zoomScaleSheetLayoutView="115" workbookViewId="0">
      <selection activeCell="B3" sqref="B3"/>
    </sheetView>
  </sheetViews>
  <sheetFormatPr defaultColWidth="9.140625" defaultRowHeight="18.75" x14ac:dyDescent="0.25"/>
  <cols>
    <col min="1" max="1" width="4.140625" style="9" bestFit="1" customWidth="1"/>
    <col min="2" max="2" width="12.28515625" style="28" customWidth="1"/>
    <col min="3" max="6" width="10" style="9" customWidth="1"/>
    <col min="7" max="7" width="6.85546875" style="9" customWidth="1"/>
    <col min="8" max="8" width="7.5703125" style="9" bestFit="1" customWidth="1"/>
    <col min="9" max="9" width="6.7109375" style="9" bestFit="1" customWidth="1"/>
    <col min="10" max="10" width="6.85546875" style="9" customWidth="1"/>
    <col min="11" max="11" width="7.5703125" style="9" bestFit="1" customWidth="1"/>
    <col min="12" max="12" width="1.42578125" style="9" customWidth="1"/>
    <col min="13" max="13" width="10" style="9" customWidth="1"/>
    <col min="14" max="14" width="6.7109375" style="9" bestFit="1" customWidth="1"/>
    <col min="15" max="15" width="10" style="9" customWidth="1"/>
    <col min="16" max="16" width="5.5703125" style="9" customWidth="1"/>
    <col min="17" max="17" width="10" style="9" customWidth="1"/>
    <col min="18" max="18" width="6.7109375" style="9" bestFit="1" customWidth="1"/>
    <col min="19" max="19" width="1.42578125" style="9" customWidth="1"/>
    <col min="20" max="20" width="12.7109375" style="9" bestFit="1" customWidth="1"/>
    <col min="21" max="21" width="14.28515625" style="9" customWidth="1"/>
    <col min="22" max="22" width="19.5703125" style="9" bestFit="1" customWidth="1"/>
    <col min="23" max="49" width="7.28515625" style="9" customWidth="1"/>
    <col min="50" max="50" width="1.5703125" style="9" customWidth="1"/>
    <col min="51" max="51" width="9.42578125" style="9" customWidth="1"/>
    <col min="52" max="52" width="1.28515625" style="9" customWidth="1"/>
    <col min="53" max="53" width="12.7109375" style="9" bestFit="1" customWidth="1"/>
    <col min="54" max="54" width="10.28515625" style="9" bestFit="1" customWidth="1"/>
    <col min="55" max="16384" width="9.140625" style="9"/>
  </cols>
  <sheetData>
    <row r="1" spans="1:54" ht="15" customHeight="1" x14ac:dyDescent="0.25">
      <c r="B1" s="27" t="s">
        <v>42</v>
      </c>
      <c r="I1" s="116" t="s">
        <v>43</v>
      </c>
      <c r="J1" s="116"/>
      <c r="K1" s="116"/>
      <c r="L1" s="116"/>
      <c r="M1" s="116"/>
      <c r="N1" s="116"/>
      <c r="O1" s="116"/>
      <c r="P1" s="116"/>
      <c r="Q1" s="116"/>
      <c r="R1" s="116"/>
      <c r="S1" s="116"/>
      <c r="T1" s="116"/>
      <c r="U1" s="116"/>
    </row>
    <row r="2" spans="1:54" x14ac:dyDescent="0.25">
      <c r="B2" s="28" t="s">
        <v>84</v>
      </c>
    </row>
    <row r="3" spans="1:54" ht="19.5" thickBot="1" x14ac:dyDescent="0.3"/>
    <row r="4" spans="1:54" s="10" customFormat="1" ht="15.75" x14ac:dyDescent="0.25">
      <c r="B4" s="41" t="s">
        <v>52</v>
      </c>
      <c r="C4" s="117" t="s">
        <v>41</v>
      </c>
      <c r="D4" s="117"/>
      <c r="E4" s="117"/>
      <c r="F4" s="117"/>
      <c r="G4" s="117"/>
      <c r="H4" s="117"/>
      <c r="I4" s="117"/>
      <c r="J4" s="118"/>
      <c r="K4" s="119"/>
      <c r="M4" s="34" t="s">
        <v>0</v>
      </c>
      <c r="N4" s="48" t="s">
        <v>61</v>
      </c>
      <c r="O4" s="35" t="s">
        <v>39</v>
      </c>
      <c r="P4" s="48" t="s">
        <v>61</v>
      </c>
      <c r="Q4" s="36" t="s">
        <v>40</v>
      </c>
      <c r="R4" s="48" t="s">
        <v>61</v>
      </c>
      <c r="S4" s="9"/>
      <c r="T4" s="120" t="s">
        <v>68</v>
      </c>
      <c r="U4" s="126" t="s">
        <v>67</v>
      </c>
      <c r="V4" s="109" t="s">
        <v>66</v>
      </c>
      <c r="AF4" s="11"/>
      <c r="AG4" s="11"/>
      <c r="AH4" s="11"/>
      <c r="AI4" s="11"/>
      <c r="AJ4" s="11"/>
      <c r="AK4" s="11"/>
      <c r="AL4" s="11"/>
      <c r="AM4" s="11"/>
      <c r="AN4" s="11"/>
      <c r="AO4" s="11"/>
      <c r="AP4" s="11"/>
      <c r="AQ4" s="11"/>
      <c r="AR4" s="11"/>
      <c r="AS4" s="11"/>
      <c r="AT4" s="11"/>
      <c r="AU4" s="11"/>
      <c r="AV4" s="11"/>
      <c r="AW4" s="11"/>
      <c r="AX4" s="11"/>
      <c r="AY4" s="11"/>
      <c r="AZ4" s="11"/>
      <c r="BA4" s="11"/>
      <c r="BB4" s="11"/>
    </row>
    <row r="5" spans="1:54" s="10" customFormat="1" ht="15.75" x14ac:dyDescent="0.25">
      <c r="B5" s="37"/>
      <c r="C5" s="40"/>
      <c r="D5" s="40"/>
      <c r="E5" s="40"/>
      <c r="F5" s="40"/>
      <c r="G5" s="40"/>
      <c r="H5" s="40" t="s">
        <v>64</v>
      </c>
      <c r="I5" s="40" t="s">
        <v>60</v>
      </c>
      <c r="J5" s="124" t="s">
        <v>65</v>
      </c>
      <c r="K5" s="125"/>
      <c r="M5" s="37"/>
      <c r="N5" s="49"/>
      <c r="O5" s="40"/>
      <c r="P5" s="101"/>
      <c r="Q5" s="101"/>
      <c r="R5" s="38"/>
      <c r="S5" s="9"/>
      <c r="T5" s="121"/>
      <c r="U5" s="127"/>
      <c r="V5" s="110"/>
      <c r="AF5" s="11"/>
      <c r="AG5" s="11"/>
      <c r="AH5" s="11"/>
      <c r="AI5" s="11"/>
      <c r="AJ5" s="11"/>
      <c r="AK5" s="11"/>
      <c r="AL5" s="11"/>
      <c r="AM5" s="11"/>
      <c r="AN5" s="11"/>
      <c r="AO5" s="11"/>
      <c r="AP5" s="11"/>
      <c r="AQ5" s="11"/>
      <c r="AR5" s="11"/>
      <c r="AS5" s="11"/>
      <c r="AT5" s="11"/>
      <c r="AU5" s="11"/>
      <c r="AV5" s="11"/>
      <c r="AW5" s="11"/>
      <c r="AX5" s="11"/>
      <c r="AY5" s="11"/>
      <c r="AZ5" s="11"/>
      <c r="BA5" s="11"/>
      <c r="BB5" s="11"/>
    </row>
    <row r="6" spans="1:54" s="10" customFormat="1" ht="15.75" x14ac:dyDescent="0.25">
      <c r="B6" s="37"/>
      <c r="C6" s="40"/>
      <c r="D6" s="40"/>
      <c r="E6" s="40"/>
      <c r="F6" s="40"/>
      <c r="G6" s="40"/>
      <c r="H6" s="40"/>
      <c r="I6" s="40"/>
      <c r="J6" s="101"/>
      <c r="K6" s="38"/>
      <c r="M6" s="37"/>
      <c r="N6" s="49"/>
      <c r="O6" s="40"/>
      <c r="P6" s="101"/>
      <c r="Q6" s="101"/>
      <c r="R6" s="38"/>
      <c r="S6" s="9"/>
      <c r="T6" s="39"/>
      <c r="U6" s="39"/>
      <c r="V6" s="39"/>
      <c r="AF6" s="11"/>
      <c r="AG6" s="11"/>
      <c r="AH6" s="11"/>
      <c r="AI6" s="11"/>
      <c r="AJ6" s="11"/>
      <c r="AK6" s="11"/>
      <c r="AL6" s="11"/>
      <c r="AM6" s="11"/>
      <c r="AN6" s="11"/>
      <c r="AO6" s="11"/>
      <c r="AP6" s="11"/>
      <c r="AQ6" s="11"/>
      <c r="AR6" s="11"/>
      <c r="AS6" s="11"/>
      <c r="AT6" s="11"/>
      <c r="AU6" s="11"/>
      <c r="AV6" s="11"/>
      <c r="AW6" s="11"/>
      <c r="AX6" s="11"/>
      <c r="AY6" s="11"/>
      <c r="AZ6" s="11"/>
      <c r="BA6" s="11"/>
      <c r="BB6" s="11"/>
    </row>
    <row r="7" spans="1:54" x14ac:dyDescent="0.25">
      <c r="A7" s="27">
        <v>1</v>
      </c>
      <c r="B7" s="26" t="s">
        <v>32</v>
      </c>
      <c r="C7" s="52">
        <v>31</v>
      </c>
      <c r="D7" s="52"/>
      <c r="E7" s="52"/>
      <c r="F7" s="52"/>
      <c r="G7" s="52"/>
      <c r="H7" s="52"/>
      <c r="I7" s="52">
        <v>3</v>
      </c>
      <c r="J7" s="53"/>
      <c r="K7" s="54">
        <v>6</v>
      </c>
      <c r="L7" s="55"/>
      <c r="M7" s="56"/>
      <c r="N7" s="57"/>
      <c r="O7" s="52">
        <v>1</v>
      </c>
      <c r="P7" s="53"/>
      <c r="Q7" s="53"/>
      <c r="R7" s="54"/>
      <c r="S7" s="55"/>
      <c r="T7" s="58">
        <f>H7+I7+J7+K7+N7+P7+R7</f>
        <v>9</v>
      </c>
      <c r="U7" s="58">
        <f>C7*24+M7*24+O7*24+Q7*24+T7</f>
        <v>777</v>
      </c>
      <c r="V7" s="58">
        <f>U7/24</f>
        <v>32.375</v>
      </c>
      <c r="W7" s="50"/>
      <c r="AF7" s="12"/>
      <c r="AG7" s="12"/>
      <c r="AH7" s="12"/>
      <c r="AI7" s="12"/>
      <c r="AJ7" s="12"/>
      <c r="AK7" s="12"/>
      <c r="AL7" s="12"/>
      <c r="AM7" s="12"/>
      <c r="AN7" s="12"/>
      <c r="AO7" s="12"/>
      <c r="AP7" s="12"/>
      <c r="AQ7" s="12"/>
      <c r="AR7" s="12"/>
      <c r="AS7" s="12"/>
      <c r="AT7" s="12"/>
      <c r="AU7" s="12"/>
      <c r="AV7" s="12"/>
      <c r="AW7" s="12"/>
      <c r="AX7" s="12"/>
      <c r="AY7" s="12"/>
      <c r="AZ7" s="12"/>
      <c r="BA7" s="12"/>
      <c r="BB7" s="12"/>
    </row>
    <row r="8" spans="1:54" ht="19.5" thickBot="1" x14ac:dyDescent="0.3">
      <c r="A8" s="27">
        <f>A7+1</f>
        <v>2</v>
      </c>
      <c r="B8" s="42" t="s">
        <v>35</v>
      </c>
      <c r="C8" s="59">
        <f>40+37</f>
        <v>77</v>
      </c>
      <c r="D8" s="59"/>
      <c r="E8" s="59"/>
      <c r="F8" s="59"/>
      <c r="G8" s="59"/>
      <c r="H8" s="59"/>
      <c r="I8" s="59"/>
      <c r="J8" s="60"/>
      <c r="K8" s="61"/>
      <c r="L8" s="62"/>
      <c r="M8" s="63"/>
      <c r="N8" s="64"/>
      <c r="O8" s="65">
        <v>1</v>
      </c>
      <c r="P8" s="66">
        <v>12</v>
      </c>
      <c r="Q8" s="66">
        <v>2</v>
      </c>
      <c r="R8" s="67"/>
      <c r="S8" s="62"/>
      <c r="T8" s="68">
        <f t="shared" ref="T8:T41" si="0">H8+I8+J8+K8+N8+P8+R8</f>
        <v>12</v>
      </c>
      <c r="U8" s="69">
        <f>C8*24+M8*24+O8*24+Q8*24+T8</f>
        <v>1932</v>
      </c>
      <c r="V8" s="69">
        <f>U8/24</f>
        <v>80.5</v>
      </c>
      <c r="W8" s="50"/>
      <c r="AF8" s="12"/>
      <c r="AG8" s="12"/>
      <c r="AH8" s="12"/>
      <c r="AI8" s="12"/>
      <c r="AJ8" s="12"/>
      <c r="AK8" s="12"/>
      <c r="AL8" s="12"/>
      <c r="AM8" s="12"/>
      <c r="AN8" s="12"/>
      <c r="AO8" s="12"/>
      <c r="AP8" s="12"/>
      <c r="AQ8" s="12"/>
      <c r="AR8" s="12"/>
      <c r="AS8" s="12"/>
      <c r="AT8" s="12"/>
      <c r="AU8" s="12"/>
      <c r="AV8" s="12"/>
      <c r="AW8" s="12"/>
      <c r="AX8" s="12"/>
      <c r="AY8" s="12"/>
      <c r="AZ8" s="12"/>
      <c r="BA8" s="12"/>
      <c r="BB8" s="12"/>
    </row>
    <row r="9" spans="1:54" x14ac:dyDescent="0.25">
      <c r="A9" s="27">
        <f t="shared" ref="A9:A57" si="1">A8+1</f>
        <v>3</v>
      </c>
      <c r="B9" s="25" t="s">
        <v>33</v>
      </c>
      <c r="C9" s="70">
        <f>56+30</f>
        <v>86</v>
      </c>
      <c r="D9" s="70"/>
      <c r="E9" s="70"/>
      <c r="F9" s="70"/>
      <c r="G9" s="70"/>
      <c r="H9" s="70"/>
      <c r="I9" s="70"/>
      <c r="J9" s="71"/>
      <c r="K9" s="72"/>
      <c r="L9" s="55"/>
      <c r="M9" s="73">
        <v>1</v>
      </c>
      <c r="N9" s="74"/>
      <c r="O9" s="70"/>
      <c r="P9" s="71"/>
      <c r="Q9" s="71"/>
      <c r="R9" s="72"/>
      <c r="S9" s="55"/>
      <c r="T9" s="75">
        <f t="shared" si="0"/>
        <v>0</v>
      </c>
      <c r="U9" s="76">
        <f t="shared" ref="U9:U11" si="2">C9*24+M9*24+O9*24+Q9*24+T9</f>
        <v>2088</v>
      </c>
      <c r="V9" s="76">
        <f t="shared" ref="V9:V11" si="3">U9/24</f>
        <v>87</v>
      </c>
      <c r="W9" s="50"/>
      <c r="AF9" s="12"/>
      <c r="AG9" s="12"/>
      <c r="AH9" s="12"/>
      <c r="AI9" s="12"/>
      <c r="AJ9" s="12"/>
      <c r="AK9" s="12"/>
      <c r="AL9" s="12"/>
      <c r="AM9" s="12"/>
      <c r="AN9" s="12"/>
      <c r="AO9" s="12"/>
      <c r="AP9" s="12"/>
      <c r="AQ9" s="12"/>
      <c r="AR9" s="12"/>
      <c r="AS9" s="12"/>
      <c r="AT9" s="12"/>
      <c r="AU9" s="12"/>
      <c r="AV9" s="12"/>
      <c r="AW9" s="12"/>
      <c r="AX9" s="12"/>
      <c r="AY9" s="12"/>
      <c r="AZ9" s="12"/>
      <c r="BA9" s="12"/>
      <c r="BB9" s="12"/>
    </row>
    <row r="10" spans="1:54" x14ac:dyDescent="0.25">
      <c r="A10" s="27">
        <f t="shared" si="1"/>
        <v>4</v>
      </c>
      <c r="B10" s="26" t="s">
        <v>36</v>
      </c>
      <c r="C10" s="70">
        <f>25+10</f>
        <v>35</v>
      </c>
      <c r="D10" s="70"/>
      <c r="E10" s="70"/>
      <c r="F10" s="70"/>
      <c r="G10" s="70"/>
      <c r="H10" s="70"/>
      <c r="I10" s="70"/>
      <c r="J10" s="71"/>
      <c r="K10" s="72"/>
      <c r="L10" s="55"/>
      <c r="M10" s="73">
        <v>1</v>
      </c>
      <c r="N10" s="74"/>
      <c r="O10" s="70"/>
      <c r="P10" s="71"/>
      <c r="Q10" s="71"/>
      <c r="R10" s="72"/>
      <c r="S10" s="55"/>
      <c r="T10" s="58">
        <f t="shared" si="0"/>
        <v>0</v>
      </c>
      <c r="U10" s="58">
        <f t="shared" si="2"/>
        <v>864</v>
      </c>
      <c r="V10" s="58">
        <f t="shared" si="3"/>
        <v>36</v>
      </c>
      <c r="W10" s="50"/>
      <c r="AF10" s="12"/>
      <c r="AG10" s="12"/>
      <c r="AH10" s="12"/>
      <c r="AI10" s="12"/>
      <c r="AJ10" s="12"/>
      <c r="AK10" s="12"/>
      <c r="AL10" s="12"/>
      <c r="AM10" s="12"/>
      <c r="AN10" s="12"/>
      <c r="AO10" s="12"/>
      <c r="AP10" s="12"/>
      <c r="AQ10" s="12"/>
      <c r="AR10" s="12"/>
      <c r="AS10" s="12"/>
      <c r="AT10" s="12"/>
      <c r="AU10" s="12"/>
      <c r="AV10" s="12"/>
      <c r="AW10" s="12"/>
      <c r="AX10" s="12"/>
      <c r="AY10" s="12"/>
      <c r="AZ10" s="12"/>
      <c r="BA10" s="12"/>
      <c r="BB10" s="12"/>
    </row>
    <row r="11" spans="1:54" x14ac:dyDescent="0.25">
      <c r="A11" s="27">
        <f t="shared" si="1"/>
        <v>5</v>
      </c>
      <c r="B11" s="26" t="s">
        <v>34</v>
      </c>
      <c r="C11" s="70">
        <v>9</v>
      </c>
      <c r="D11" s="70"/>
      <c r="E11" s="70"/>
      <c r="F11" s="70"/>
      <c r="G11" s="70"/>
      <c r="H11" s="70"/>
      <c r="I11" s="70"/>
      <c r="J11" s="71"/>
      <c r="K11" s="72">
        <v>2</v>
      </c>
      <c r="L11" s="55"/>
      <c r="M11" s="73"/>
      <c r="N11" s="74"/>
      <c r="O11" s="70"/>
      <c r="P11" s="71"/>
      <c r="Q11" s="71"/>
      <c r="R11" s="72"/>
      <c r="S11" s="55"/>
      <c r="T11" s="58">
        <f t="shared" si="0"/>
        <v>2</v>
      </c>
      <c r="U11" s="58">
        <f t="shared" si="2"/>
        <v>218</v>
      </c>
      <c r="V11" s="58">
        <f t="shared" si="3"/>
        <v>9.0833333333333339</v>
      </c>
      <c r="AF11" s="12"/>
      <c r="AG11" s="12"/>
      <c r="AH11" s="12"/>
      <c r="AI11" s="12"/>
      <c r="AJ11" s="12"/>
      <c r="AK11" s="12"/>
      <c r="AL11" s="12"/>
      <c r="AM11" s="12"/>
      <c r="AN11" s="12"/>
      <c r="AO11" s="12"/>
      <c r="AP11" s="12"/>
      <c r="AQ11" s="12"/>
      <c r="AR11" s="12"/>
      <c r="AS11" s="12"/>
      <c r="AT11" s="12"/>
      <c r="AU11" s="12"/>
      <c r="AV11" s="12"/>
      <c r="AW11" s="12"/>
      <c r="AX11" s="12"/>
      <c r="AY11" s="12"/>
      <c r="AZ11" s="12"/>
      <c r="BA11" s="12"/>
      <c r="BB11" s="12"/>
    </row>
    <row r="12" spans="1:54" s="13" customFormat="1" ht="19.5" thickBot="1" x14ac:dyDescent="0.3">
      <c r="A12" s="27">
        <v>7</v>
      </c>
      <c r="B12" s="42" t="s">
        <v>30</v>
      </c>
      <c r="C12" s="59">
        <f>1224+53+720+69+1080+29</f>
        <v>3175</v>
      </c>
      <c r="D12" s="59"/>
      <c r="E12" s="59"/>
      <c r="F12" s="59"/>
      <c r="G12" s="59"/>
      <c r="H12" s="59"/>
      <c r="I12" s="59"/>
      <c r="J12" s="60"/>
      <c r="K12" s="61"/>
      <c r="L12" s="62"/>
      <c r="M12" s="63">
        <v>15</v>
      </c>
      <c r="N12" s="64"/>
      <c r="O12" s="65">
        <v>12</v>
      </c>
      <c r="P12" s="66">
        <v>21</v>
      </c>
      <c r="Q12" s="66">
        <v>15</v>
      </c>
      <c r="R12" s="67">
        <v>5</v>
      </c>
      <c r="S12" s="62"/>
      <c r="T12" s="69">
        <f t="shared" si="0"/>
        <v>26</v>
      </c>
      <c r="U12" s="69">
        <f>C12*24+M12*24+O12*24+Q12*24+T12</f>
        <v>77234</v>
      </c>
      <c r="V12" s="69">
        <f>U12/24</f>
        <v>3218.0833333333335</v>
      </c>
      <c r="W12" s="9"/>
      <c r="X12" s="9"/>
      <c r="Y12" s="9"/>
      <c r="Z12" s="9"/>
      <c r="AA12" s="9"/>
      <c r="AB12" s="9"/>
      <c r="AC12" s="9"/>
      <c r="AD12" s="9"/>
      <c r="AE12" s="9"/>
      <c r="AF12" s="12"/>
      <c r="AG12" s="12"/>
      <c r="AH12" s="12"/>
      <c r="AI12" s="12"/>
      <c r="AJ12" s="12"/>
      <c r="AK12" s="12"/>
      <c r="AL12" s="12"/>
      <c r="AM12" s="12"/>
      <c r="AN12" s="12"/>
      <c r="AO12" s="12"/>
      <c r="AP12" s="12"/>
      <c r="AQ12" s="12"/>
      <c r="AR12" s="12"/>
      <c r="AS12" s="12"/>
      <c r="AT12" s="12"/>
      <c r="AU12" s="12"/>
      <c r="AV12" s="12"/>
      <c r="AW12" s="12"/>
      <c r="AX12" s="12"/>
      <c r="AY12" s="12"/>
      <c r="AZ12" s="12"/>
      <c r="BA12" s="12"/>
      <c r="BB12" s="12"/>
    </row>
    <row r="13" spans="1:54" x14ac:dyDescent="0.25">
      <c r="A13" s="27">
        <v>11</v>
      </c>
      <c r="B13" s="25" t="s">
        <v>1</v>
      </c>
      <c r="C13" s="70">
        <v>2</v>
      </c>
      <c r="D13" s="70"/>
      <c r="E13" s="70"/>
      <c r="F13" s="70"/>
      <c r="G13" s="70"/>
      <c r="H13" s="70">
        <v>16</v>
      </c>
      <c r="I13" s="70"/>
      <c r="J13" s="71"/>
      <c r="K13" s="72"/>
      <c r="L13" s="55"/>
      <c r="M13" s="73"/>
      <c r="N13" s="74"/>
      <c r="O13" s="70"/>
      <c r="P13" s="71"/>
      <c r="Q13" s="71"/>
      <c r="R13" s="72"/>
      <c r="S13" s="55"/>
      <c r="T13" s="76">
        <f t="shared" si="0"/>
        <v>16</v>
      </c>
      <c r="U13" s="76">
        <f>C13*24+M13*24+O13*24+Q13*24+T13</f>
        <v>64</v>
      </c>
      <c r="V13" s="76">
        <f>U13/24</f>
        <v>2.6666666666666665</v>
      </c>
      <c r="AF13" s="12"/>
      <c r="AG13" s="12"/>
      <c r="AH13" s="12"/>
      <c r="AI13" s="12"/>
      <c r="AJ13" s="12"/>
      <c r="AK13" s="12"/>
      <c r="AL13" s="12"/>
      <c r="AM13" s="12"/>
      <c r="AN13" s="12"/>
      <c r="AO13" s="12"/>
      <c r="AP13" s="12"/>
      <c r="AQ13" s="12"/>
      <c r="AR13" s="12"/>
      <c r="AS13" s="12"/>
      <c r="AT13" s="12"/>
      <c r="AU13" s="12"/>
      <c r="AV13" s="12"/>
      <c r="AW13" s="12"/>
      <c r="AX13" s="12"/>
      <c r="AY13" s="12"/>
      <c r="AZ13" s="12"/>
      <c r="BA13" s="12"/>
      <c r="BB13" s="12"/>
    </row>
    <row r="14" spans="1:54" x14ac:dyDescent="0.25">
      <c r="A14" s="27">
        <f t="shared" si="1"/>
        <v>12</v>
      </c>
      <c r="B14" s="26" t="s">
        <v>2</v>
      </c>
      <c r="C14" s="70">
        <v>2</v>
      </c>
      <c r="D14" s="70"/>
      <c r="E14" s="70"/>
      <c r="F14" s="70"/>
      <c r="G14" s="70"/>
      <c r="H14" s="70"/>
      <c r="I14" s="70"/>
      <c r="J14" s="71"/>
      <c r="K14" s="72"/>
      <c r="L14" s="55"/>
      <c r="M14" s="73"/>
      <c r="N14" s="74"/>
      <c r="O14" s="70"/>
      <c r="P14" s="71"/>
      <c r="Q14" s="71"/>
      <c r="R14" s="72"/>
      <c r="S14" s="55"/>
      <c r="T14" s="58">
        <f t="shared" si="0"/>
        <v>0</v>
      </c>
      <c r="U14" s="75">
        <f t="shared" ref="U14:U36" si="4">C14*24+M14*24+O14*24+Q14*24+T14</f>
        <v>48</v>
      </c>
      <c r="V14" s="75">
        <f t="shared" ref="V14:V36" si="5">U14/24</f>
        <v>2</v>
      </c>
      <c r="AF14" s="12"/>
      <c r="AG14" s="12"/>
      <c r="AH14" s="12"/>
      <c r="AI14" s="12"/>
      <c r="AJ14" s="12"/>
      <c r="AK14" s="12"/>
      <c r="AL14" s="12"/>
      <c r="AM14" s="12"/>
      <c r="AN14" s="12"/>
      <c r="AO14" s="12"/>
      <c r="AP14" s="12"/>
      <c r="AQ14" s="12"/>
      <c r="AR14" s="12"/>
      <c r="AS14" s="12"/>
      <c r="AT14" s="12"/>
      <c r="AU14" s="12"/>
      <c r="AV14" s="12"/>
      <c r="AW14" s="12"/>
      <c r="AX14" s="12"/>
      <c r="AY14" s="12"/>
      <c r="AZ14" s="12"/>
      <c r="BA14" s="12"/>
      <c r="BB14" s="12"/>
    </row>
    <row r="15" spans="1:54" x14ac:dyDescent="0.25">
      <c r="A15" s="27">
        <f t="shared" si="1"/>
        <v>13</v>
      </c>
      <c r="B15" s="26" t="s">
        <v>3</v>
      </c>
      <c r="C15" s="70"/>
      <c r="D15" s="70"/>
      <c r="E15" s="70"/>
      <c r="F15" s="70"/>
      <c r="G15" s="70"/>
      <c r="H15" s="70"/>
      <c r="I15" s="70"/>
      <c r="J15" s="71"/>
      <c r="K15" s="72"/>
      <c r="L15" s="55"/>
      <c r="M15" s="73"/>
      <c r="N15" s="74"/>
      <c r="O15" s="70"/>
      <c r="P15" s="71"/>
      <c r="Q15" s="71"/>
      <c r="R15" s="72"/>
      <c r="S15" s="55"/>
      <c r="T15" s="58">
        <f t="shared" si="0"/>
        <v>0</v>
      </c>
      <c r="U15" s="75">
        <f t="shared" si="4"/>
        <v>0</v>
      </c>
      <c r="V15" s="75">
        <f t="shared" si="5"/>
        <v>0</v>
      </c>
      <c r="AF15" s="12"/>
      <c r="AG15" s="12"/>
      <c r="AH15" s="12"/>
      <c r="AI15" s="12"/>
      <c r="AJ15" s="12"/>
      <c r="AK15" s="12"/>
      <c r="AL15" s="12"/>
      <c r="AM15" s="12"/>
      <c r="AN15" s="12"/>
      <c r="AO15" s="12"/>
      <c r="AP15" s="12"/>
      <c r="AQ15" s="12"/>
      <c r="AR15" s="12"/>
      <c r="AS15" s="12"/>
      <c r="AT15" s="12"/>
      <c r="AU15" s="12"/>
      <c r="AV15" s="12"/>
      <c r="AW15" s="12"/>
      <c r="AX15" s="12"/>
      <c r="AY15" s="12"/>
      <c r="AZ15" s="12"/>
      <c r="BA15" s="12"/>
      <c r="BB15" s="12"/>
    </row>
    <row r="16" spans="1:54" x14ac:dyDescent="0.25">
      <c r="A16" s="27">
        <f t="shared" si="1"/>
        <v>14</v>
      </c>
      <c r="B16" s="26" t="s">
        <v>4</v>
      </c>
      <c r="C16" s="70"/>
      <c r="D16" s="70"/>
      <c r="E16" s="70"/>
      <c r="F16" s="70"/>
      <c r="G16" s="70"/>
      <c r="H16" s="70"/>
      <c r="I16" s="70"/>
      <c r="J16" s="71"/>
      <c r="K16" s="72"/>
      <c r="L16" s="55"/>
      <c r="M16" s="73"/>
      <c r="N16" s="74"/>
      <c r="O16" s="70"/>
      <c r="P16" s="71"/>
      <c r="Q16" s="71"/>
      <c r="R16" s="72"/>
      <c r="S16" s="55"/>
      <c r="T16" s="58">
        <f t="shared" si="0"/>
        <v>0</v>
      </c>
      <c r="U16" s="75">
        <f t="shared" si="4"/>
        <v>0</v>
      </c>
      <c r="V16" s="75">
        <f t="shared" si="5"/>
        <v>0</v>
      </c>
      <c r="AF16" s="12"/>
      <c r="AG16" s="12"/>
      <c r="AH16" s="12"/>
      <c r="AI16" s="12"/>
      <c r="AJ16" s="12"/>
      <c r="AK16" s="12"/>
      <c r="AL16" s="12"/>
      <c r="AM16" s="12"/>
      <c r="AN16" s="12"/>
      <c r="AO16" s="12"/>
      <c r="AP16" s="12"/>
      <c r="AQ16" s="12"/>
      <c r="AR16" s="12"/>
      <c r="AS16" s="12"/>
      <c r="AT16" s="12"/>
      <c r="AU16" s="12"/>
      <c r="AV16" s="12"/>
      <c r="AW16" s="12"/>
      <c r="AX16" s="12"/>
      <c r="AY16" s="12"/>
      <c r="AZ16" s="12"/>
      <c r="BA16" s="12"/>
      <c r="BB16" s="12"/>
    </row>
    <row r="17" spans="1:54" x14ac:dyDescent="0.25">
      <c r="A17" s="27">
        <f t="shared" si="1"/>
        <v>15</v>
      </c>
      <c r="B17" s="26" t="s">
        <v>5</v>
      </c>
      <c r="C17" s="70"/>
      <c r="D17" s="70"/>
      <c r="E17" s="70"/>
      <c r="F17" s="70"/>
      <c r="G17" s="70"/>
      <c r="H17" s="70">
        <f>3*24</f>
        <v>72</v>
      </c>
      <c r="I17" s="70"/>
      <c r="J17" s="71"/>
      <c r="K17" s="72"/>
      <c r="L17" s="55"/>
      <c r="M17" s="73"/>
      <c r="N17" s="74"/>
      <c r="O17" s="70"/>
      <c r="P17" s="71"/>
      <c r="Q17" s="71"/>
      <c r="R17" s="72"/>
      <c r="S17" s="55"/>
      <c r="T17" s="58">
        <f t="shared" si="0"/>
        <v>72</v>
      </c>
      <c r="U17" s="75">
        <f t="shared" si="4"/>
        <v>72</v>
      </c>
      <c r="V17" s="75">
        <f t="shared" si="5"/>
        <v>3</v>
      </c>
      <c r="AF17" s="12"/>
      <c r="AG17" s="12"/>
      <c r="AH17" s="12"/>
      <c r="AI17" s="12"/>
      <c r="AJ17" s="12"/>
      <c r="AK17" s="12"/>
      <c r="AL17" s="12"/>
      <c r="AM17" s="12"/>
      <c r="AN17" s="12"/>
      <c r="AO17" s="12"/>
      <c r="AP17" s="12"/>
      <c r="AQ17" s="12"/>
      <c r="AR17" s="12"/>
      <c r="AS17" s="12"/>
      <c r="AT17" s="12"/>
      <c r="AU17" s="12"/>
      <c r="AV17" s="12"/>
      <c r="AW17" s="12"/>
      <c r="AX17" s="12"/>
      <c r="AY17" s="12"/>
      <c r="AZ17" s="12"/>
      <c r="BA17" s="12"/>
      <c r="BB17" s="12"/>
    </row>
    <row r="18" spans="1:54" hidden="1" x14ac:dyDescent="0.25">
      <c r="A18" s="27">
        <f t="shared" si="1"/>
        <v>16</v>
      </c>
      <c r="B18" s="26" t="s">
        <v>9</v>
      </c>
      <c r="C18" s="70"/>
      <c r="D18" s="70"/>
      <c r="E18" s="70"/>
      <c r="F18" s="70"/>
      <c r="G18" s="70"/>
      <c r="H18" s="70"/>
      <c r="I18" s="70"/>
      <c r="J18" s="71"/>
      <c r="K18" s="72"/>
      <c r="L18" s="55"/>
      <c r="M18" s="73"/>
      <c r="N18" s="74"/>
      <c r="O18" s="70"/>
      <c r="P18" s="71"/>
      <c r="Q18" s="71"/>
      <c r="R18" s="72"/>
      <c r="S18" s="55"/>
      <c r="T18" s="58">
        <f t="shared" si="0"/>
        <v>0</v>
      </c>
      <c r="U18" s="75">
        <f t="shared" si="4"/>
        <v>0</v>
      </c>
      <c r="V18" s="75">
        <f t="shared" si="5"/>
        <v>0</v>
      </c>
      <c r="AF18" s="12"/>
      <c r="AG18" s="12"/>
      <c r="AH18" s="12"/>
      <c r="AI18" s="12"/>
      <c r="AJ18" s="12"/>
      <c r="AK18" s="12"/>
      <c r="AL18" s="12"/>
      <c r="AM18" s="12"/>
      <c r="AN18" s="12"/>
      <c r="AO18" s="12"/>
      <c r="AP18" s="12"/>
      <c r="AQ18" s="12"/>
      <c r="AR18" s="12"/>
      <c r="AS18" s="12"/>
      <c r="AT18" s="12"/>
      <c r="AU18" s="12"/>
      <c r="AV18" s="12"/>
      <c r="AW18" s="12"/>
      <c r="AX18" s="12"/>
      <c r="AY18" s="12"/>
      <c r="AZ18" s="12"/>
      <c r="BA18" s="12"/>
      <c r="BB18" s="12"/>
    </row>
    <row r="19" spans="1:54" x14ac:dyDescent="0.25">
      <c r="A19" s="27">
        <v>16</v>
      </c>
      <c r="B19" s="26" t="s">
        <v>53</v>
      </c>
      <c r="C19" s="70">
        <v>2</v>
      </c>
      <c r="D19" s="70"/>
      <c r="E19" s="70"/>
      <c r="F19" s="70"/>
      <c r="G19" s="70"/>
      <c r="H19" s="70">
        <f>20+24</f>
        <v>44</v>
      </c>
      <c r="I19" s="70"/>
      <c r="J19" s="71"/>
      <c r="K19" s="72"/>
      <c r="L19" s="55"/>
      <c r="M19" s="73"/>
      <c r="N19" s="74"/>
      <c r="O19" s="70"/>
      <c r="P19" s="71"/>
      <c r="Q19" s="71"/>
      <c r="R19" s="72"/>
      <c r="S19" s="55"/>
      <c r="T19" s="58">
        <f t="shared" si="0"/>
        <v>44</v>
      </c>
      <c r="U19" s="75">
        <f t="shared" si="4"/>
        <v>92</v>
      </c>
      <c r="V19" s="75">
        <f t="shared" si="5"/>
        <v>3.8333333333333335</v>
      </c>
      <c r="AF19" s="12"/>
      <c r="AG19" s="12"/>
      <c r="AH19" s="12"/>
      <c r="AI19" s="12"/>
      <c r="AJ19" s="12"/>
      <c r="AK19" s="12"/>
      <c r="AL19" s="12"/>
      <c r="AM19" s="12"/>
      <c r="AN19" s="12"/>
      <c r="AO19" s="12"/>
      <c r="AP19" s="12"/>
      <c r="AQ19" s="12"/>
      <c r="AR19" s="12"/>
      <c r="AS19" s="12"/>
      <c r="AT19" s="12"/>
      <c r="AU19" s="12"/>
      <c r="AV19" s="12"/>
      <c r="AW19" s="12"/>
      <c r="AX19" s="12"/>
      <c r="AY19" s="12"/>
      <c r="AZ19" s="12"/>
      <c r="BA19" s="12"/>
      <c r="BB19" s="12"/>
    </row>
    <row r="20" spans="1:54" x14ac:dyDescent="0.25">
      <c r="A20" s="27">
        <f t="shared" si="1"/>
        <v>17</v>
      </c>
      <c r="B20" s="26" t="s">
        <v>6</v>
      </c>
      <c r="C20" s="70">
        <v>5</v>
      </c>
      <c r="D20" s="70"/>
      <c r="E20" s="70"/>
      <c r="F20" s="70"/>
      <c r="G20" s="70"/>
      <c r="H20" s="70"/>
      <c r="I20" s="70"/>
      <c r="J20" s="71"/>
      <c r="K20" s="72"/>
      <c r="L20" s="55"/>
      <c r="M20" s="73"/>
      <c r="N20" s="74"/>
      <c r="O20" s="70"/>
      <c r="P20" s="71"/>
      <c r="Q20" s="71"/>
      <c r="R20" s="72"/>
      <c r="S20" s="55"/>
      <c r="T20" s="58">
        <f t="shared" si="0"/>
        <v>0</v>
      </c>
      <c r="U20" s="75">
        <f t="shared" si="4"/>
        <v>120</v>
      </c>
      <c r="V20" s="75">
        <f t="shared" si="5"/>
        <v>5</v>
      </c>
      <c r="AF20" s="12"/>
      <c r="AG20" s="12"/>
      <c r="AH20" s="12"/>
      <c r="AI20" s="12"/>
      <c r="AJ20" s="12"/>
      <c r="AK20" s="12"/>
      <c r="AL20" s="12"/>
      <c r="AM20" s="12"/>
      <c r="AN20" s="12"/>
      <c r="AO20" s="12"/>
      <c r="AP20" s="12"/>
      <c r="AQ20" s="12"/>
      <c r="AR20" s="12"/>
      <c r="AS20" s="12"/>
      <c r="AT20" s="12"/>
      <c r="AU20" s="12"/>
      <c r="AV20" s="12"/>
      <c r="AW20" s="12"/>
      <c r="AX20" s="12"/>
      <c r="AY20" s="12"/>
      <c r="AZ20" s="12"/>
      <c r="BA20" s="12"/>
      <c r="BB20" s="12"/>
    </row>
    <row r="21" spans="1:54" x14ac:dyDescent="0.25">
      <c r="A21" s="27">
        <f t="shared" si="1"/>
        <v>18</v>
      </c>
      <c r="B21" s="26" t="s">
        <v>7</v>
      </c>
      <c r="C21" s="70"/>
      <c r="D21" s="70"/>
      <c r="E21" s="70"/>
      <c r="F21" s="70"/>
      <c r="G21" s="70"/>
      <c r="H21" s="70">
        <f>2*24</f>
        <v>48</v>
      </c>
      <c r="I21" s="70"/>
      <c r="J21" s="71"/>
      <c r="K21" s="72"/>
      <c r="L21" s="55"/>
      <c r="M21" s="73"/>
      <c r="N21" s="74"/>
      <c r="O21" s="70"/>
      <c r="P21" s="71"/>
      <c r="Q21" s="71"/>
      <c r="R21" s="72"/>
      <c r="S21" s="55"/>
      <c r="T21" s="58">
        <f t="shared" si="0"/>
        <v>48</v>
      </c>
      <c r="U21" s="75">
        <f t="shared" si="4"/>
        <v>48</v>
      </c>
      <c r="V21" s="75">
        <f t="shared" si="5"/>
        <v>2</v>
      </c>
      <c r="AF21" s="12"/>
      <c r="AG21" s="12"/>
      <c r="AH21" s="12"/>
      <c r="AI21" s="12"/>
      <c r="AJ21" s="12"/>
      <c r="AK21" s="12"/>
      <c r="AL21" s="12"/>
      <c r="AM21" s="12"/>
      <c r="AN21" s="12"/>
      <c r="AO21" s="12"/>
      <c r="AP21" s="12"/>
      <c r="AQ21" s="12"/>
      <c r="AR21" s="12"/>
      <c r="AS21" s="12"/>
      <c r="AT21" s="12"/>
      <c r="AU21" s="12"/>
      <c r="AV21" s="12"/>
      <c r="AW21" s="12"/>
      <c r="AX21" s="12"/>
      <c r="AY21" s="12"/>
      <c r="AZ21" s="12"/>
      <c r="BA21" s="12"/>
      <c r="BB21" s="12"/>
    </row>
    <row r="22" spans="1:54" s="13" customFormat="1" x14ac:dyDescent="0.25">
      <c r="A22" s="27">
        <f t="shared" si="1"/>
        <v>19</v>
      </c>
      <c r="B22" s="26" t="s">
        <v>54</v>
      </c>
      <c r="C22" s="70">
        <v>2</v>
      </c>
      <c r="D22" s="70"/>
      <c r="E22" s="70"/>
      <c r="F22" s="70"/>
      <c r="G22" s="70"/>
      <c r="H22" s="70"/>
      <c r="I22" s="70">
        <v>20</v>
      </c>
      <c r="J22" s="71"/>
      <c r="K22" s="72"/>
      <c r="L22" s="55"/>
      <c r="M22" s="73"/>
      <c r="N22" s="74"/>
      <c r="O22" s="70"/>
      <c r="P22" s="71"/>
      <c r="Q22" s="71"/>
      <c r="R22" s="72"/>
      <c r="S22" s="55"/>
      <c r="T22" s="58">
        <f t="shared" si="0"/>
        <v>20</v>
      </c>
      <c r="U22" s="75">
        <f t="shared" si="4"/>
        <v>68</v>
      </c>
      <c r="V22" s="75">
        <f t="shared" si="5"/>
        <v>2.8333333333333335</v>
      </c>
      <c r="W22" s="9"/>
      <c r="X22" s="9"/>
      <c r="Y22" s="9"/>
      <c r="Z22" s="9"/>
      <c r="AA22" s="9"/>
      <c r="AB22" s="9"/>
      <c r="AC22" s="9"/>
      <c r="AD22" s="9"/>
      <c r="AE22" s="9"/>
      <c r="AF22" s="12"/>
      <c r="AG22" s="12"/>
      <c r="AH22" s="12"/>
      <c r="AI22" s="12"/>
      <c r="AJ22" s="12"/>
      <c r="AK22" s="12"/>
      <c r="AL22" s="12"/>
      <c r="AM22" s="12"/>
      <c r="AN22" s="12"/>
      <c r="AO22" s="12"/>
      <c r="AP22" s="12"/>
      <c r="AQ22" s="12"/>
      <c r="AR22" s="12"/>
      <c r="AS22" s="12"/>
      <c r="AT22" s="12"/>
      <c r="AU22" s="12"/>
      <c r="AV22" s="12"/>
      <c r="AW22" s="12"/>
      <c r="AX22" s="12"/>
      <c r="AY22" s="12"/>
      <c r="AZ22" s="12"/>
      <c r="BA22" s="12"/>
      <c r="BB22" s="12"/>
    </row>
    <row r="23" spans="1:54" s="13" customFormat="1" x14ac:dyDescent="0.25">
      <c r="A23" s="27">
        <f t="shared" si="1"/>
        <v>20</v>
      </c>
      <c r="B23" s="26" t="s">
        <v>55</v>
      </c>
      <c r="C23" s="70"/>
      <c r="D23" s="70"/>
      <c r="E23" s="70"/>
      <c r="F23" s="70"/>
      <c r="G23" s="70"/>
      <c r="H23" s="70">
        <f>37*24+19</f>
        <v>907</v>
      </c>
      <c r="I23" s="70"/>
      <c r="J23" s="71"/>
      <c r="K23" s="72"/>
      <c r="L23" s="55"/>
      <c r="M23" s="73"/>
      <c r="N23" s="74"/>
      <c r="O23" s="70"/>
      <c r="P23" s="71"/>
      <c r="Q23" s="71"/>
      <c r="R23" s="72"/>
      <c r="S23" s="55"/>
      <c r="T23" s="58">
        <f t="shared" si="0"/>
        <v>907</v>
      </c>
      <c r="U23" s="75">
        <f t="shared" si="4"/>
        <v>907</v>
      </c>
      <c r="V23" s="75">
        <f t="shared" si="5"/>
        <v>37.791666666666664</v>
      </c>
      <c r="W23" s="9"/>
      <c r="X23" s="9"/>
      <c r="Y23" s="9"/>
      <c r="Z23" s="9"/>
      <c r="AA23" s="9"/>
      <c r="AB23" s="9"/>
      <c r="AC23" s="9"/>
      <c r="AD23" s="9"/>
      <c r="AE23" s="9"/>
      <c r="AF23" s="12"/>
      <c r="AG23" s="12"/>
      <c r="AH23" s="12"/>
      <c r="AI23" s="12"/>
      <c r="AJ23" s="12"/>
      <c r="AK23" s="12"/>
      <c r="AL23" s="12"/>
      <c r="AM23" s="12"/>
      <c r="AN23" s="12"/>
      <c r="AO23" s="12"/>
      <c r="AP23" s="12"/>
      <c r="AQ23" s="12"/>
      <c r="AR23" s="12"/>
      <c r="AS23" s="12"/>
      <c r="AT23" s="12"/>
      <c r="AU23" s="12"/>
      <c r="AV23" s="12"/>
      <c r="AW23" s="12"/>
      <c r="AX23" s="12"/>
      <c r="AY23" s="12"/>
      <c r="AZ23" s="12"/>
      <c r="BA23" s="12"/>
      <c r="BB23" s="12"/>
    </row>
    <row r="24" spans="1:54" x14ac:dyDescent="0.25">
      <c r="A24" s="27">
        <f t="shared" si="1"/>
        <v>21</v>
      </c>
      <c r="B24" s="26" t="s">
        <v>56</v>
      </c>
      <c r="C24" s="70">
        <v>2</v>
      </c>
      <c r="D24" s="70"/>
      <c r="E24" s="70"/>
      <c r="F24" s="70"/>
      <c r="G24" s="70"/>
      <c r="H24" s="70">
        <f>3*24</f>
        <v>72</v>
      </c>
      <c r="I24" s="70"/>
      <c r="J24" s="71"/>
      <c r="K24" s="72"/>
      <c r="L24" s="55"/>
      <c r="M24" s="73"/>
      <c r="N24" s="74"/>
      <c r="O24" s="70"/>
      <c r="P24" s="71"/>
      <c r="Q24" s="71"/>
      <c r="R24" s="72"/>
      <c r="S24" s="55"/>
      <c r="T24" s="58">
        <f t="shared" si="0"/>
        <v>72</v>
      </c>
      <c r="U24" s="75">
        <f t="shared" si="4"/>
        <v>120</v>
      </c>
      <c r="V24" s="75">
        <f t="shared" si="5"/>
        <v>5</v>
      </c>
      <c r="AF24" s="12"/>
      <c r="AG24" s="12"/>
      <c r="AH24" s="12"/>
      <c r="AI24" s="12"/>
      <c r="AJ24" s="12"/>
      <c r="AK24" s="12"/>
      <c r="AL24" s="12"/>
      <c r="AM24" s="12"/>
      <c r="AN24" s="12"/>
      <c r="AO24" s="12"/>
      <c r="AP24" s="12"/>
      <c r="AQ24" s="12"/>
      <c r="AR24" s="12"/>
      <c r="AS24" s="12"/>
      <c r="AT24" s="12"/>
      <c r="AU24" s="12"/>
      <c r="AV24" s="12"/>
      <c r="AW24" s="12"/>
      <c r="AX24" s="12"/>
      <c r="AY24" s="12"/>
      <c r="AZ24" s="12"/>
      <c r="BA24" s="12"/>
      <c r="BB24" s="12"/>
    </row>
    <row r="25" spans="1:54" x14ac:dyDescent="0.25">
      <c r="A25" s="27">
        <f t="shared" si="1"/>
        <v>22</v>
      </c>
      <c r="B25" s="26" t="s">
        <v>8</v>
      </c>
      <c r="C25" s="70">
        <v>39</v>
      </c>
      <c r="D25" s="70"/>
      <c r="E25" s="70"/>
      <c r="F25" s="70"/>
      <c r="G25" s="70"/>
      <c r="H25" s="70"/>
      <c r="I25" s="70">
        <v>1</v>
      </c>
      <c r="J25" s="71"/>
      <c r="K25" s="72"/>
      <c r="L25" s="55"/>
      <c r="M25" s="73">
        <v>1</v>
      </c>
      <c r="N25" s="74"/>
      <c r="O25" s="70">
        <v>1</v>
      </c>
      <c r="P25" s="71"/>
      <c r="Q25" s="71">
        <v>2</v>
      </c>
      <c r="R25" s="72"/>
      <c r="S25" s="55"/>
      <c r="T25" s="58">
        <f t="shared" si="0"/>
        <v>1</v>
      </c>
      <c r="U25" s="75">
        <f t="shared" si="4"/>
        <v>1033</v>
      </c>
      <c r="V25" s="75">
        <f t="shared" si="5"/>
        <v>43.041666666666664</v>
      </c>
      <c r="AY25" s="14" t="e">
        <f>#REF!-AY24</f>
        <v>#REF!</v>
      </c>
    </row>
    <row r="26" spans="1:54" s="13" customFormat="1" x14ac:dyDescent="0.25">
      <c r="A26" s="27">
        <f t="shared" si="1"/>
        <v>23</v>
      </c>
      <c r="B26" s="26" t="s">
        <v>10</v>
      </c>
      <c r="C26" s="70"/>
      <c r="D26" s="70"/>
      <c r="E26" s="70"/>
      <c r="F26" s="70"/>
      <c r="G26" s="70"/>
      <c r="H26" s="70"/>
      <c r="I26" s="70"/>
      <c r="J26" s="71"/>
      <c r="K26" s="72"/>
      <c r="L26" s="55"/>
      <c r="M26" s="73"/>
      <c r="N26" s="74"/>
      <c r="O26" s="70"/>
      <c r="P26" s="71"/>
      <c r="Q26" s="71"/>
      <c r="R26" s="72"/>
      <c r="S26" s="55"/>
      <c r="T26" s="58">
        <f t="shared" si="0"/>
        <v>0</v>
      </c>
      <c r="U26" s="75">
        <f t="shared" si="4"/>
        <v>0</v>
      </c>
      <c r="V26" s="75">
        <f t="shared" si="5"/>
        <v>0</v>
      </c>
      <c r="W26" s="9"/>
      <c r="X26" s="9"/>
      <c r="Y26" s="9"/>
      <c r="Z26" s="9"/>
      <c r="AA26" s="9"/>
      <c r="AB26" s="9"/>
      <c r="AC26" s="9"/>
      <c r="AD26" s="9"/>
      <c r="AE26" s="9"/>
    </row>
    <row r="27" spans="1:54" s="13" customFormat="1" x14ac:dyDescent="0.25">
      <c r="A27" s="27">
        <f t="shared" si="1"/>
        <v>24</v>
      </c>
      <c r="B27" s="26" t="s">
        <v>69</v>
      </c>
      <c r="C27" s="70">
        <v>3</v>
      </c>
      <c r="D27" s="70"/>
      <c r="E27" s="70"/>
      <c r="F27" s="70"/>
      <c r="G27" s="70"/>
      <c r="H27" s="70"/>
      <c r="I27" s="70"/>
      <c r="J27" s="71"/>
      <c r="K27" s="72"/>
      <c r="L27" s="55"/>
      <c r="M27" s="73"/>
      <c r="N27" s="74"/>
      <c r="O27" s="70"/>
      <c r="P27" s="71"/>
      <c r="Q27" s="71"/>
      <c r="R27" s="72"/>
      <c r="S27" s="55"/>
      <c r="T27" s="58">
        <f t="shared" si="0"/>
        <v>0</v>
      </c>
      <c r="U27" s="75">
        <f t="shared" si="4"/>
        <v>72</v>
      </c>
      <c r="V27" s="75">
        <f t="shared" si="5"/>
        <v>3</v>
      </c>
      <c r="W27" s="9"/>
      <c r="X27" s="9"/>
      <c r="Y27" s="9"/>
      <c r="Z27" s="9"/>
      <c r="AA27" s="9"/>
      <c r="AB27" s="9"/>
      <c r="AC27" s="9"/>
      <c r="AD27" s="9"/>
      <c r="AE27" s="9"/>
    </row>
    <row r="28" spans="1:54" s="13" customFormat="1" x14ac:dyDescent="0.25">
      <c r="A28" s="27">
        <f t="shared" si="1"/>
        <v>25</v>
      </c>
      <c r="B28" s="26" t="s">
        <v>11</v>
      </c>
      <c r="C28" s="70"/>
      <c r="D28" s="70"/>
      <c r="E28" s="70"/>
      <c r="F28" s="70"/>
      <c r="G28" s="70"/>
      <c r="H28" s="70"/>
      <c r="I28" s="70"/>
      <c r="J28" s="71"/>
      <c r="K28" s="72"/>
      <c r="L28" s="55"/>
      <c r="M28" s="73"/>
      <c r="N28" s="74"/>
      <c r="O28" s="70"/>
      <c r="P28" s="71"/>
      <c r="Q28" s="71"/>
      <c r="R28" s="72"/>
      <c r="S28" s="55"/>
      <c r="T28" s="58">
        <f t="shared" si="0"/>
        <v>0</v>
      </c>
      <c r="U28" s="75">
        <f t="shared" si="4"/>
        <v>0</v>
      </c>
      <c r="V28" s="75">
        <f t="shared" si="5"/>
        <v>0</v>
      </c>
      <c r="W28" s="9"/>
      <c r="X28" s="9"/>
      <c r="Y28" s="9"/>
      <c r="Z28" s="9"/>
      <c r="AA28" s="9"/>
      <c r="AB28" s="9"/>
      <c r="AC28" s="9"/>
      <c r="AD28" s="9"/>
      <c r="AE28" s="9"/>
    </row>
    <row r="29" spans="1:54" x14ac:dyDescent="0.25">
      <c r="A29" s="27">
        <f t="shared" si="1"/>
        <v>26</v>
      </c>
      <c r="B29" s="26" t="s">
        <v>13</v>
      </c>
      <c r="C29" s="70">
        <v>21</v>
      </c>
      <c r="D29" s="70"/>
      <c r="E29" s="70"/>
      <c r="F29" s="70"/>
      <c r="G29" s="70"/>
      <c r="H29" s="70"/>
      <c r="I29" s="70">
        <v>5</v>
      </c>
      <c r="J29" s="71"/>
      <c r="K29" s="72"/>
      <c r="L29" s="55"/>
      <c r="M29" s="73"/>
      <c r="N29" s="74"/>
      <c r="O29" s="70">
        <v>1</v>
      </c>
      <c r="P29" s="71"/>
      <c r="Q29" s="71">
        <v>1</v>
      </c>
      <c r="R29" s="72"/>
      <c r="S29" s="55"/>
      <c r="T29" s="58">
        <f t="shared" si="0"/>
        <v>5</v>
      </c>
      <c r="U29" s="75">
        <f t="shared" si="4"/>
        <v>557</v>
      </c>
      <c r="V29" s="75">
        <f t="shared" si="5"/>
        <v>23.208333333333332</v>
      </c>
    </row>
    <row r="30" spans="1:54" x14ac:dyDescent="0.25">
      <c r="A30" s="27">
        <f t="shared" si="1"/>
        <v>27</v>
      </c>
      <c r="B30" s="26" t="s">
        <v>15</v>
      </c>
      <c r="C30" s="70">
        <v>9</v>
      </c>
      <c r="D30" s="70"/>
      <c r="E30" s="70"/>
      <c r="F30" s="70"/>
      <c r="G30" s="70"/>
      <c r="H30" s="70"/>
      <c r="I30" s="70"/>
      <c r="J30" s="71"/>
      <c r="K30" s="72"/>
      <c r="L30" s="55"/>
      <c r="M30" s="73"/>
      <c r="N30" s="74"/>
      <c r="O30" s="70"/>
      <c r="P30" s="71"/>
      <c r="Q30" s="71">
        <v>1</v>
      </c>
      <c r="R30" s="72"/>
      <c r="S30" s="55"/>
      <c r="T30" s="58">
        <f t="shared" si="0"/>
        <v>0</v>
      </c>
      <c r="U30" s="75">
        <f t="shared" si="4"/>
        <v>240</v>
      </c>
      <c r="V30" s="75">
        <f t="shared" si="5"/>
        <v>10</v>
      </c>
    </row>
    <row r="31" spans="1:54" x14ac:dyDescent="0.25">
      <c r="A31" s="27">
        <f t="shared" si="1"/>
        <v>28</v>
      </c>
      <c r="B31" s="26" t="s">
        <v>12</v>
      </c>
      <c r="C31" s="70"/>
      <c r="D31" s="70"/>
      <c r="E31" s="70"/>
      <c r="F31" s="70"/>
      <c r="G31" s="70"/>
      <c r="H31" s="70"/>
      <c r="I31" s="70"/>
      <c r="J31" s="71"/>
      <c r="K31" s="72"/>
      <c r="L31" s="55"/>
      <c r="M31" s="73"/>
      <c r="N31" s="74"/>
      <c r="O31" s="70"/>
      <c r="P31" s="71"/>
      <c r="Q31" s="71"/>
      <c r="R31" s="72"/>
      <c r="S31" s="55"/>
      <c r="T31" s="58">
        <f t="shared" si="0"/>
        <v>0</v>
      </c>
      <c r="U31" s="75">
        <f t="shared" si="4"/>
        <v>0</v>
      </c>
      <c r="V31" s="75">
        <f t="shared" si="5"/>
        <v>0</v>
      </c>
    </row>
    <row r="32" spans="1:54" x14ac:dyDescent="0.25">
      <c r="A32" s="27">
        <f t="shared" si="1"/>
        <v>29</v>
      </c>
      <c r="B32" s="26" t="s">
        <v>14</v>
      </c>
      <c r="C32" s="70"/>
      <c r="D32" s="70"/>
      <c r="E32" s="70"/>
      <c r="F32" s="70"/>
      <c r="G32" s="70"/>
      <c r="H32" s="70"/>
      <c r="I32" s="70"/>
      <c r="J32" s="71"/>
      <c r="K32" s="72"/>
      <c r="L32" s="55"/>
      <c r="M32" s="73"/>
      <c r="N32" s="74"/>
      <c r="O32" s="70"/>
      <c r="P32" s="71"/>
      <c r="Q32" s="71"/>
      <c r="R32" s="72"/>
      <c r="S32" s="55"/>
      <c r="T32" s="58">
        <f t="shared" si="0"/>
        <v>0</v>
      </c>
      <c r="U32" s="75">
        <f t="shared" si="4"/>
        <v>0</v>
      </c>
      <c r="V32" s="75">
        <f t="shared" si="5"/>
        <v>0</v>
      </c>
    </row>
    <row r="33" spans="1:23" x14ac:dyDescent="0.25">
      <c r="A33" s="27">
        <f t="shared" si="1"/>
        <v>30</v>
      </c>
      <c r="B33" s="26" t="s">
        <v>16</v>
      </c>
      <c r="C33" s="70"/>
      <c r="D33" s="70"/>
      <c r="E33" s="70"/>
      <c r="F33" s="70"/>
      <c r="G33" s="70"/>
      <c r="H33" s="70"/>
      <c r="I33" s="70"/>
      <c r="J33" s="71"/>
      <c r="K33" s="72"/>
      <c r="L33" s="55"/>
      <c r="M33" s="73">
        <v>1</v>
      </c>
      <c r="N33" s="74"/>
      <c r="O33" s="70"/>
      <c r="P33" s="71"/>
      <c r="Q33" s="71"/>
      <c r="R33" s="72"/>
      <c r="S33" s="55"/>
      <c r="T33" s="58">
        <f t="shared" si="0"/>
        <v>0</v>
      </c>
      <c r="U33" s="75">
        <f t="shared" si="4"/>
        <v>24</v>
      </c>
      <c r="V33" s="75">
        <f t="shared" si="5"/>
        <v>1</v>
      </c>
    </row>
    <row r="34" spans="1:23" x14ac:dyDescent="0.25">
      <c r="A34" s="27">
        <f t="shared" si="1"/>
        <v>31</v>
      </c>
      <c r="B34" s="26" t="s">
        <v>17</v>
      </c>
      <c r="C34" s="70">
        <f>144+34</f>
        <v>178</v>
      </c>
      <c r="D34" s="70"/>
      <c r="E34" s="70"/>
      <c r="F34" s="70"/>
      <c r="G34" s="70"/>
      <c r="H34" s="70"/>
      <c r="I34" s="70">
        <v>1</v>
      </c>
      <c r="J34" s="71"/>
      <c r="K34" s="72">
        <v>1</v>
      </c>
      <c r="L34" s="55"/>
      <c r="M34" s="73"/>
      <c r="N34" s="74"/>
      <c r="O34" s="70">
        <v>2</v>
      </c>
      <c r="P34" s="71"/>
      <c r="Q34" s="71">
        <v>2</v>
      </c>
      <c r="R34" s="72"/>
      <c r="S34" s="55"/>
      <c r="T34" s="58">
        <f t="shared" si="0"/>
        <v>2</v>
      </c>
      <c r="U34" s="75">
        <f t="shared" si="4"/>
        <v>4370</v>
      </c>
      <c r="V34" s="75">
        <f t="shared" si="5"/>
        <v>182.08333333333334</v>
      </c>
    </row>
    <row r="35" spans="1:23" hidden="1" x14ac:dyDescent="0.25">
      <c r="A35" s="27">
        <f t="shared" si="1"/>
        <v>32</v>
      </c>
      <c r="B35" s="26" t="s">
        <v>25</v>
      </c>
      <c r="C35" s="70"/>
      <c r="D35" s="70"/>
      <c r="E35" s="70"/>
      <c r="F35" s="70"/>
      <c r="G35" s="70"/>
      <c r="H35" s="70"/>
      <c r="I35" s="70"/>
      <c r="J35" s="71"/>
      <c r="K35" s="72"/>
      <c r="L35" s="55"/>
      <c r="M35" s="73"/>
      <c r="N35" s="74"/>
      <c r="O35" s="70"/>
      <c r="P35" s="71"/>
      <c r="Q35" s="71"/>
      <c r="R35" s="72"/>
      <c r="S35" s="55"/>
      <c r="T35" s="58">
        <f t="shared" si="0"/>
        <v>0</v>
      </c>
      <c r="U35" s="75">
        <f t="shared" si="4"/>
        <v>0</v>
      </c>
      <c r="V35" s="75">
        <f t="shared" si="5"/>
        <v>0</v>
      </c>
    </row>
    <row r="36" spans="1:23" x14ac:dyDescent="0.25">
      <c r="A36" s="27">
        <f t="shared" si="1"/>
        <v>33</v>
      </c>
      <c r="B36" s="26" t="s">
        <v>18</v>
      </c>
      <c r="C36" s="70"/>
      <c r="D36" s="70"/>
      <c r="E36" s="70"/>
      <c r="F36" s="70"/>
      <c r="G36" s="70"/>
      <c r="H36" s="70"/>
      <c r="I36" s="70"/>
      <c r="J36" s="71"/>
      <c r="K36" s="72"/>
      <c r="L36" s="55"/>
      <c r="M36" s="73"/>
      <c r="N36" s="74"/>
      <c r="O36" s="70"/>
      <c r="P36" s="71"/>
      <c r="Q36" s="71"/>
      <c r="R36" s="72"/>
      <c r="S36" s="55"/>
      <c r="T36" s="58">
        <f t="shared" si="0"/>
        <v>0</v>
      </c>
      <c r="U36" s="75">
        <f t="shared" si="4"/>
        <v>0</v>
      </c>
      <c r="V36" s="75">
        <f t="shared" si="5"/>
        <v>0</v>
      </c>
    </row>
    <row r="37" spans="1:23" ht="19.5" thickBot="1" x14ac:dyDescent="0.3">
      <c r="A37" s="27">
        <f t="shared" si="1"/>
        <v>34</v>
      </c>
      <c r="B37" s="42" t="s">
        <v>19</v>
      </c>
      <c r="C37" s="59">
        <f>2592+60</f>
        <v>2652</v>
      </c>
      <c r="D37" s="59"/>
      <c r="E37" s="59"/>
      <c r="F37" s="59"/>
      <c r="G37" s="59"/>
      <c r="H37" s="59">
        <v>4</v>
      </c>
      <c r="I37" s="59">
        <v>2</v>
      </c>
      <c r="J37" s="60">
        <v>5</v>
      </c>
      <c r="K37" s="61">
        <f>1*6+2</f>
        <v>8</v>
      </c>
      <c r="L37" s="62"/>
      <c r="M37" s="63">
        <v>50</v>
      </c>
      <c r="N37" s="64"/>
      <c r="O37" s="65">
        <v>15</v>
      </c>
      <c r="P37" s="66"/>
      <c r="Q37" s="66">
        <v>66</v>
      </c>
      <c r="R37" s="67"/>
      <c r="S37" s="62"/>
      <c r="T37" s="77">
        <f t="shared" si="0"/>
        <v>19</v>
      </c>
      <c r="U37" s="77">
        <f>C37*6+M37*6+O37*6+Q37*6+T37</f>
        <v>16717</v>
      </c>
      <c r="V37" s="77">
        <f>U37/6</f>
        <v>2786.1666666666665</v>
      </c>
      <c r="W37" s="50"/>
    </row>
    <row r="38" spans="1:23" x14ac:dyDescent="0.25">
      <c r="A38" s="27">
        <f t="shared" si="1"/>
        <v>35</v>
      </c>
      <c r="B38" s="25" t="s">
        <v>20</v>
      </c>
      <c r="C38" s="70"/>
      <c r="D38" s="70"/>
      <c r="E38" s="70"/>
      <c r="F38" s="70"/>
      <c r="G38" s="70"/>
      <c r="H38" s="70"/>
      <c r="I38" s="70"/>
      <c r="J38" s="71"/>
      <c r="K38" s="72"/>
      <c r="L38" s="55"/>
      <c r="M38" s="73"/>
      <c r="N38" s="74"/>
      <c r="O38" s="70"/>
      <c r="P38" s="71"/>
      <c r="Q38" s="71"/>
      <c r="R38" s="72"/>
      <c r="S38" s="55"/>
      <c r="T38" s="75">
        <f t="shared" si="0"/>
        <v>0</v>
      </c>
      <c r="U38" s="75">
        <f>C38*24+M38*24+O38*24+Q38*24+T38</f>
        <v>0</v>
      </c>
      <c r="V38" s="75">
        <f>U38/24</f>
        <v>0</v>
      </c>
    </row>
    <row r="39" spans="1:23" x14ac:dyDescent="0.25">
      <c r="A39" s="27">
        <f t="shared" si="1"/>
        <v>36</v>
      </c>
      <c r="B39" s="51" t="s">
        <v>62</v>
      </c>
      <c r="C39" s="78"/>
      <c r="D39" s="78"/>
      <c r="E39" s="78"/>
      <c r="F39" s="78"/>
      <c r="G39" s="78"/>
      <c r="H39" s="78"/>
      <c r="I39" s="78"/>
      <c r="J39" s="79"/>
      <c r="K39" s="80"/>
      <c r="L39" s="55"/>
      <c r="M39" s="73"/>
      <c r="N39" s="74"/>
      <c r="O39" s="70"/>
      <c r="P39" s="71"/>
      <c r="Q39" s="71"/>
      <c r="R39" s="72"/>
      <c r="S39" s="95"/>
      <c r="T39" s="75">
        <f t="shared" si="0"/>
        <v>0</v>
      </c>
      <c r="U39" s="75">
        <f>C39*24+M39*24+O39*24+Q39*24+T39</f>
        <v>0</v>
      </c>
      <c r="V39" s="75">
        <f>U39/24</f>
        <v>0</v>
      </c>
    </row>
    <row r="40" spans="1:23" ht="19.5" thickBot="1" x14ac:dyDescent="0.3">
      <c r="A40" s="27">
        <f t="shared" si="1"/>
        <v>37</v>
      </c>
      <c r="B40" s="42" t="s">
        <v>21</v>
      </c>
      <c r="C40" s="59">
        <f>51+252</f>
        <v>303</v>
      </c>
      <c r="D40" s="59"/>
      <c r="E40" s="59"/>
      <c r="F40" s="59"/>
      <c r="G40" s="59"/>
      <c r="H40" s="59"/>
      <c r="I40" s="59"/>
      <c r="J40" s="60"/>
      <c r="K40" s="61">
        <v>20</v>
      </c>
      <c r="L40" s="62"/>
      <c r="M40" s="63"/>
      <c r="N40" s="64"/>
      <c r="O40" s="65">
        <v>2</v>
      </c>
      <c r="P40" s="66"/>
      <c r="Q40" s="66">
        <v>2</v>
      </c>
      <c r="R40" s="67"/>
      <c r="S40" s="62"/>
      <c r="T40" s="77">
        <f t="shared" si="0"/>
        <v>20</v>
      </c>
      <c r="U40" s="77">
        <f>C40*24+M40*24+O40*24+Q40*24+T40</f>
        <v>7388</v>
      </c>
      <c r="V40" s="77">
        <f>U40/24</f>
        <v>307.83333333333331</v>
      </c>
    </row>
    <row r="41" spans="1:23" ht="19.5" thickBot="1" x14ac:dyDescent="0.3">
      <c r="A41" s="27">
        <f t="shared" si="1"/>
        <v>38</v>
      </c>
      <c r="B41" s="43" t="s">
        <v>22</v>
      </c>
      <c r="C41" s="82">
        <f>384+9</f>
        <v>393</v>
      </c>
      <c r="D41" s="82"/>
      <c r="E41" s="82"/>
      <c r="F41" s="82"/>
      <c r="G41" s="82"/>
      <c r="H41" s="82"/>
      <c r="I41" s="82"/>
      <c r="J41" s="83"/>
      <c r="K41" s="84"/>
      <c r="L41" s="85"/>
      <c r="M41" s="86">
        <v>10</v>
      </c>
      <c r="N41" s="87"/>
      <c r="O41" s="82">
        <v>8</v>
      </c>
      <c r="P41" s="83"/>
      <c r="Q41" s="83">
        <v>19</v>
      </c>
      <c r="R41" s="84"/>
      <c r="S41" s="85"/>
      <c r="T41" s="88">
        <f t="shared" si="0"/>
        <v>0</v>
      </c>
      <c r="U41" s="88">
        <f>C41*12+M41*12+O41*12+Q41*12+T41</f>
        <v>5160</v>
      </c>
      <c r="V41" s="88">
        <f>U41/12</f>
        <v>430</v>
      </c>
    </row>
    <row r="42" spans="1:23" hidden="1" x14ac:dyDescent="0.25">
      <c r="A42" s="27">
        <f t="shared" si="1"/>
        <v>39</v>
      </c>
      <c r="B42" s="25" t="s">
        <v>29</v>
      </c>
      <c r="C42" s="70"/>
      <c r="D42" s="70"/>
      <c r="E42" s="70"/>
      <c r="F42" s="70"/>
      <c r="G42" s="70"/>
      <c r="H42" s="70"/>
      <c r="I42" s="70"/>
      <c r="J42" s="71"/>
      <c r="K42" s="72"/>
      <c r="L42" s="55"/>
      <c r="M42" s="73"/>
      <c r="N42" s="74"/>
      <c r="O42" s="70"/>
      <c r="P42" s="71"/>
      <c r="Q42" s="71"/>
      <c r="R42" s="72"/>
      <c r="S42" s="55"/>
      <c r="T42" s="75"/>
      <c r="U42" s="75"/>
      <c r="V42" s="75"/>
    </row>
    <row r="43" spans="1:23" ht="19.5" thickBot="1" x14ac:dyDescent="0.3">
      <c r="A43" s="27">
        <f t="shared" si="1"/>
        <v>40</v>
      </c>
      <c r="B43" s="42" t="s">
        <v>23</v>
      </c>
      <c r="C43" s="65">
        <f>6971+19764+10260</f>
        <v>36995</v>
      </c>
      <c r="D43" s="65"/>
      <c r="E43" s="65"/>
      <c r="F43" s="65"/>
      <c r="G43" s="65"/>
      <c r="H43" s="65">
        <v>8</v>
      </c>
      <c r="I43" s="65">
        <v>12</v>
      </c>
      <c r="J43" s="66">
        <f>22*6+5</f>
        <v>137</v>
      </c>
      <c r="K43" s="67">
        <f>69*6+1</f>
        <v>415</v>
      </c>
      <c r="L43" s="62"/>
      <c r="M43" s="63">
        <v>302</v>
      </c>
      <c r="N43" s="64"/>
      <c r="O43" s="65">
        <v>450</v>
      </c>
      <c r="P43" s="66"/>
      <c r="Q43" s="66">
        <v>448</v>
      </c>
      <c r="R43" s="67"/>
      <c r="S43" s="62"/>
      <c r="T43" s="77">
        <f t="shared" ref="T43" si="6">H43+I43+J43+K43+N43+P43+R43</f>
        <v>572</v>
      </c>
      <c r="U43" s="77">
        <f>C43*6+M43*6+O43*6+Q43*6+T43</f>
        <v>229742</v>
      </c>
      <c r="V43" s="77">
        <f>U43/6</f>
        <v>38290.333333333336</v>
      </c>
    </row>
    <row r="44" spans="1:23" hidden="1" x14ac:dyDescent="0.25">
      <c r="A44" s="27">
        <f t="shared" si="1"/>
        <v>41</v>
      </c>
      <c r="B44" s="25" t="s">
        <v>31</v>
      </c>
      <c r="C44" s="70"/>
      <c r="D44" s="70"/>
      <c r="E44" s="70"/>
      <c r="F44" s="70"/>
      <c r="G44" s="70"/>
      <c r="H44" s="70"/>
      <c r="I44" s="70"/>
      <c r="J44" s="71"/>
      <c r="K44" s="72"/>
      <c r="L44" s="55"/>
      <c r="M44" s="73"/>
      <c r="N44" s="74"/>
      <c r="O44" s="70"/>
      <c r="P44" s="71"/>
      <c r="Q44" s="71"/>
      <c r="R44" s="72"/>
      <c r="S44" s="55"/>
      <c r="T44" s="75"/>
      <c r="U44" s="75"/>
      <c r="V44" s="75"/>
    </row>
    <row r="45" spans="1:23" x14ac:dyDescent="0.25">
      <c r="A45" s="27">
        <f t="shared" si="1"/>
        <v>42</v>
      </c>
      <c r="B45" s="26" t="s">
        <v>24</v>
      </c>
      <c r="C45" s="70"/>
      <c r="D45" s="70"/>
      <c r="E45" s="70"/>
      <c r="F45" s="70"/>
      <c r="G45" s="70"/>
      <c r="H45" s="70"/>
      <c r="I45" s="70"/>
      <c r="J45" s="71"/>
      <c r="K45" s="72"/>
      <c r="L45" s="55"/>
      <c r="M45" s="73"/>
      <c r="N45" s="74"/>
      <c r="O45" s="70"/>
      <c r="P45" s="71"/>
      <c r="Q45" s="71"/>
      <c r="R45" s="72"/>
      <c r="S45" s="55"/>
      <c r="T45" s="75">
        <f t="shared" ref="T45:T54" si="7">H45+I45+J45+K45+N45+P45+R45</f>
        <v>0</v>
      </c>
      <c r="U45" s="75">
        <f>C45*24+M45*24+O45*24+Q45*24+T45</f>
        <v>0</v>
      </c>
      <c r="V45" s="75">
        <f>U45/24</f>
        <v>0</v>
      </c>
    </row>
    <row r="46" spans="1:23" x14ac:dyDescent="0.25">
      <c r="A46" s="27">
        <f t="shared" si="1"/>
        <v>43</v>
      </c>
      <c r="B46" s="26" t="s">
        <v>57</v>
      </c>
      <c r="C46" s="70"/>
      <c r="D46" s="70"/>
      <c r="E46" s="70"/>
      <c r="F46" s="70"/>
      <c r="G46" s="70"/>
      <c r="H46" s="70"/>
      <c r="I46" s="70"/>
      <c r="J46" s="71"/>
      <c r="K46" s="72"/>
      <c r="L46" s="55"/>
      <c r="M46" s="73"/>
      <c r="N46" s="74"/>
      <c r="O46" s="70"/>
      <c r="P46" s="71"/>
      <c r="Q46" s="71"/>
      <c r="R46" s="72"/>
      <c r="S46" s="55"/>
      <c r="T46" s="75">
        <f t="shared" si="7"/>
        <v>0</v>
      </c>
      <c r="U46" s="75">
        <f t="shared" ref="U46:U50" si="8">C46*24+M46*24+O46*24+Q46*24+T46</f>
        <v>0</v>
      </c>
      <c r="V46" s="75">
        <f t="shared" ref="V46:V54" si="9">U46/24</f>
        <v>0</v>
      </c>
    </row>
    <row r="47" spans="1:23" ht="19.5" thickBot="1" x14ac:dyDescent="0.3">
      <c r="A47" s="27">
        <f t="shared" si="1"/>
        <v>44</v>
      </c>
      <c r="B47" s="42" t="s">
        <v>25</v>
      </c>
      <c r="C47" s="65">
        <f>94+648+324+88+540+103+324+432+106</f>
        <v>2659</v>
      </c>
      <c r="D47" s="65"/>
      <c r="E47" s="65"/>
      <c r="F47" s="65"/>
      <c r="G47" s="65"/>
      <c r="H47" s="65">
        <v>1</v>
      </c>
      <c r="I47" s="65"/>
      <c r="J47" s="66"/>
      <c r="K47" s="67">
        <v>5</v>
      </c>
      <c r="L47" s="62"/>
      <c r="M47" s="63"/>
      <c r="N47" s="64"/>
      <c r="O47" s="65">
        <v>15</v>
      </c>
      <c r="P47" s="66"/>
      <c r="Q47" s="66">
        <v>5</v>
      </c>
      <c r="R47" s="67">
        <v>3</v>
      </c>
      <c r="S47" s="62"/>
      <c r="T47" s="77">
        <f t="shared" si="7"/>
        <v>9</v>
      </c>
      <c r="U47" s="77">
        <f>C47*6+M47*6+O47*6+Q47*6+T47</f>
        <v>16083</v>
      </c>
      <c r="V47" s="77">
        <f>U47/6</f>
        <v>2680.5</v>
      </c>
    </row>
    <row r="48" spans="1:23" x14ac:dyDescent="0.25">
      <c r="A48" s="27">
        <f t="shared" si="1"/>
        <v>45</v>
      </c>
      <c r="B48" s="25" t="s">
        <v>58</v>
      </c>
      <c r="C48" s="70"/>
      <c r="D48" s="70"/>
      <c r="E48" s="70"/>
      <c r="F48" s="70"/>
      <c r="G48" s="70"/>
      <c r="H48" s="70">
        <v>24</v>
      </c>
      <c r="I48" s="70"/>
      <c r="J48" s="71"/>
      <c r="K48" s="72"/>
      <c r="L48" s="55"/>
      <c r="M48" s="73"/>
      <c r="N48" s="74"/>
      <c r="O48" s="70"/>
      <c r="P48" s="71"/>
      <c r="Q48" s="71"/>
      <c r="R48" s="72"/>
      <c r="S48" s="55"/>
      <c r="T48" s="75">
        <f t="shared" si="7"/>
        <v>24</v>
      </c>
      <c r="U48" s="75">
        <f t="shared" si="8"/>
        <v>24</v>
      </c>
      <c r="V48" s="75">
        <f t="shared" si="9"/>
        <v>1</v>
      </c>
    </row>
    <row r="49" spans="1:22" x14ac:dyDescent="0.25">
      <c r="A49" s="27">
        <f t="shared" si="1"/>
        <v>46</v>
      </c>
      <c r="B49" s="26" t="s">
        <v>26</v>
      </c>
      <c r="C49" s="70"/>
      <c r="D49" s="70"/>
      <c r="E49" s="70"/>
      <c r="F49" s="70"/>
      <c r="G49" s="70"/>
      <c r="H49" s="70"/>
      <c r="I49" s="70"/>
      <c r="J49" s="71"/>
      <c r="K49" s="72"/>
      <c r="L49" s="55"/>
      <c r="M49" s="73"/>
      <c r="N49" s="74"/>
      <c r="O49" s="70"/>
      <c r="P49" s="71"/>
      <c r="Q49" s="71"/>
      <c r="R49" s="72"/>
      <c r="S49" s="55"/>
      <c r="T49" s="75">
        <f t="shared" si="7"/>
        <v>0</v>
      </c>
      <c r="U49" s="75">
        <f t="shared" si="8"/>
        <v>0</v>
      </c>
      <c r="V49" s="75">
        <f t="shared" si="9"/>
        <v>0</v>
      </c>
    </row>
    <row r="50" spans="1:22" x14ac:dyDescent="0.25">
      <c r="A50" s="27">
        <f t="shared" si="1"/>
        <v>47</v>
      </c>
      <c r="B50" s="26" t="s">
        <v>59</v>
      </c>
      <c r="C50" s="70"/>
      <c r="D50" s="70"/>
      <c r="E50" s="70"/>
      <c r="F50" s="70"/>
      <c r="G50" s="70"/>
      <c r="H50" s="70"/>
      <c r="I50" s="70"/>
      <c r="J50" s="71"/>
      <c r="K50" s="72"/>
      <c r="L50" s="55"/>
      <c r="M50" s="73"/>
      <c r="N50" s="74"/>
      <c r="O50" s="70"/>
      <c r="P50" s="71"/>
      <c r="Q50" s="71"/>
      <c r="R50" s="72"/>
      <c r="S50" s="55"/>
      <c r="T50" s="75">
        <f t="shared" si="7"/>
        <v>0</v>
      </c>
      <c r="U50" s="75">
        <f t="shared" si="8"/>
        <v>0</v>
      </c>
      <c r="V50" s="75">
        <f t="shared" si="9"/>
        <v>0</v>
      </c>
    </row>
    <row r="51" spans="1:22" ht="19.5" thickBot="1" x14ac:dyDescent="0.3">
      <c r="A51" s="27">
        <f t="shared" si="1"/>
        <v>48</v>
      </c>
      <c r="B51" s="42" t="s">
        <v>27</v>
      </c>
      <c r="C51" s="65">
        <v>34</v>
      </c>
      <c r="D51" s="65"/>
      <c r="E51" s="65"/>
      <c r="F51" s="65"/>
      <c r="G51" s="65"/>
      <c r="H51" s="65"/>
      <c r="I51" s="65"/>
      <c r="J51" s="66"/>
      <c r="K51" s="67"/>
      <c r="L51" s="62"/>
      <c r="M51" s="63"/>
      <c r="N51" s="64"/>
      <c r="O51" s="65"/>
      <c r="P51" s="66"/>
      <c r="Q51" s="66"/>
      <c r="R51" s="67"/>
      <c r="S51" s="62"/>
      <c r="T51" s="77">
        <f t="shared" si="7"/>
        <v>0</v>
      </c>
      <c r="U51" s="77">
        <f>C51*6+M51*6+O51*6+Q51*6+T51</f>
        <v>204</v>
      </c>
      <c r="V51" s="77">
        <f>U51/6</f>
        <v>34</v>
      </c>
    </row>
    <row r="52" spans="1:22" x14ac:dyDescent="0.25">
      <c r="A52" s="27">
        <f t="shared" si="1"/>
        <v>49</v>
      </c>
      <c r="B52" s="25" t="s">
        <v>28</v>
      </c>
      <c r="C52" s="70"/>
      <c r="D52" s="70"/>
      <c r="E52" s="70"/>
      <c r="F52" s="70"/>
      <c r="G52" s="70"/>
      <c r="H52" s="70"/>
      <c r="I52" s="70"/>
      <c r="J52" s="71"/>
      <c r="K52" s="72"/>
      <c r="L52" s="55"/>
      <c r="M52" s="73"/>
      <c r="N52" s="74"/>
      <c r="O52" s="70"/>
      <c r="P52" s="71"/>
      <c r="Q52" s="71"/>
      <c r="R52" s="72"/>
      <c r="S52" s="55"/>
      <c r="T52" s="75">
        <f t="shared" si="7"/>
        <v>0</v>
      </c>
      <c r="U52" s="75">
        <f t="shared" ref="U52:U54" si="10">C52*24+M52*24+O52*24+Q52*24+T52</f>
        <v>0</v>
      </c>
      <c r="V52" s="75">
        <f t="shared" si="9"/>
        <v>0</v>
      </c>
    </row>
    <row r="53" spans="1:22" x14ac:dyDescent="0.25">
      <c r="A53" s="27">
        <f t="shared" si="1"/>
        <v>50</v>
      </c>
      <c r="B53" s="26" t="s">
        <v>63</v>
      </c>
      <c r="C53" s="70">
        <v>7</v>
      </c>
      <c r="D53" s="70"/>
      <c r="E53" s="70"/>
      <c r="F53" s="70"/>
      <c r="G53" s="70"/>
      <c r="H53" s="70"/>
      <c r="I53" s="70"/>
      <c r="J53" s="71"/>
      <c r="K53" s="72"/>
      <c r="L53" s="55"/>
      <c r="M53" s="73"/>
      <c r="N53" s="74"/>
      <c r="O53" s="70"/>
      <c r="P53" s="71"/>
      <c r="Q53" s="71"/>
      <c r="R53" s="72"/>
      <c r="S53" s="55"/>
      <c r="T53" s="75">
        <f t="shared" si="7"/>
        <v>0</v>
      </c>
      <c r="U53" s="75">
        <f t="shared" si="10"/>
        <v>168</v>
      </c>
      <c r="V53" s="75">
        <f t="shared" si="9"/>
        <v>7</v>
      </c>
    </row>
    <row r="54" spans="1:22" x14ac:dyDescent="0.25">
      <c r="A54" s="27">
        <f t="shared" si="1"/>
        <v>51</v>
      </c>
      <c r="B54" s="26"/>
      <c r="C54" s="70"/>
      <c r="D54" s="70"/>
      <c r="E54" s="70"/>
      <c r="F54" s="70"/>
      <c r="G54" s="70"/>
      <c r="H54" s="70"/>
      <c r="I54" s="70"/>
      <c r="J54" s="71"/>
      <c r="K54" s="72"/>
      <c r="L54" s="55"/>
      <c r="M54" s="73"/>
      <c r="N54" s="74"/>
      <c r="O54" s="70"/>
      <c r="P54" s="71"/>
      <c r="Q54" s="71"/>
      <c r="R54" s="72"/>
      <c r="S54" s="55"/>
      <c r="T54" s="75">
        <f t="shared" si="7"/>
        <v>0</v>
      </c>
      <c r="U54" s="75">
        <f t="shared" si="10"/>
        <v>0</v>
      </c>
      <c r="V54" s="75">
        <f t="shared" si="9"/>
        <v>0</v>
      </c>
    </row>
    <row r="55" spans="1:22" x14ac:dyDescent="0.25">
      <c r="A55" s="27">
        <f t="shared" si="1"/>
        <v>52</v>
      </c>
      <c r="B55" s="26"/>
      <c r="C55" s="70"/>
      <c r="D55" s="70"/>
      <c r="E55" s="70"/>
      <c r="F55" s="70"/>
      <c r="G55" s="70"/>
      <c r="H55" s="70"/>
      <c r="I55" s="70"/>
      <c r="J55" s="71"/>
      <c r="K55" s="72"/>
      <c r="L55" s="55"/>
      <c r="M55" s="73"/>
      <c r="N55" s="74"/>
      <c r="O55" s="70"/>
      <c r="P55" s="71"/>
      <c r="Q55" s="71"/>
      <c r="R55" s="72"/>
      <c r="S55" s="55"/>
      <c r="T55" s="75"/>
      <c r="U55" s="75"/>
      <c r="V55" s="75"/>
    </row>
    <row r="56" spans="1:22" x14ac:dyDescent="0.25">
      <c r="A56" s="27">
        <f t="shared" si="1"/>
        <v>53</v>
      </c>
      <c r="B56" s="26"/>
      <c r="C56" s="70"/>
      <c r="D56" s="70"/>
      <c r="E56" s="70"/>
      <c r="F56" s="70"/>
      <c r="G56" s="70"/>
      <c r="H56" s="70"/>
      <c r="I56" s="70"/>
      <c r="J56" s="71"/>
      <c r="K56" s="72"/>
      <c r="L56" s="55"/>
      <c r="M56" s="73"/>
      <c r="N56" s="74"/>
      <c r="O56" s="70"/>
      <c r="P56" s="71"/>
      <c r="Q56" s="71"/>
      <c r="R56" s="72"/>
      <c r="S56" s="55"/>
      <c r="T56" s="75"/>
      <c r="U56" s="75"/>
      <c r="V56" s="75"/>
    </row>
    <row r="57" spans="1:22" x14ac:dyDescent="0.25">
      <c r="A57" s="27">
        <f t="shared" si="1"/>
        <v>54</v>
      </c>
      <c r="B57" s="26"/>
      <c r="C57" s="70"/>
      <c r="D57" s="70"/>
      <c r="E57" s="70"/>
      <c r="F57" s="70"/>
      <c r="G57" s="70"/>
      <c r="H57" s="70"/>
      <c r="I57" s="70"/>
      <c r="J57" s="71"/>
      <c r="K57" s="72"/>
      <c r="L57" s="55"/>
      <c r="M57" s="73"/>
      <c r="N57" s="74"/>
      <c r="O57" s="70"/>
      <c r="P57" s="71"/>
      <c r="Q57" s="71"/>
      <c r="R57" s="72"/>
      <c r="S57" s="55"/>
      <c r="T57" s="75"/>
      <c r="U57" s="75"/>
      <c r="V57" s="75"/>
    </row>
    <row r="58" spans="1:22" s="15" customFormat="1" ht="19.5" thickBot="1" x14ac:dyDescent="0.3">
      <c r="B58" s="29" t="s">
        <v>50</v>
      </c>
      <c r="C58" s="2">
        <f>SUM(C7:C57)</f>
        <v>46721</v>
      </c>
      <c r="D58" s="2"/>
      <c r="E58" s="2"/>
      <c r="F58" s="2">
        <f t="shared" ref="F58:K58" si="11">SUM(F7:F57)</f>
        <v>0</v>
      </c>
      <c r="G58" s="2">
        <f t="shared" si="11"/>
        <v>0</v>
      </c>
      <c r="H58" s="2">
        <f t="shared" si="11"/>
        <v>1196</v>
      </c>
      <c r="I58" s="6">
        <f t="shared" si="11"/>
        <v>44</v>
      </c>
      <c r="J58" s="6">
        <f t="shared" si="11"/>
        <v>142</v>
      </c>
      <c r="K58" s="6">
        <f t="shared" si="11"/>
        <v>457</v>
      </c>
      <c r="M58" s="5">
        <f t="shared" ref="M58:R58" si="12">SUM(M7:M57)</f>
        <v>381</v>
      </c>
      <c r="N58" s="5">
        <f t="shared" si="12"/>
        <v>0</v>
      </c>
      <c r="O58" s="5">
        <f t="shared" si="12"/>
        <v>508</v>
      </c>
      <c r="P58" s="5">
        <f t="shared" si="12"/>
        <v>33</v>
      </c>
      <c r="Q58" s="5">
        <f t="shared" si="12"/>
        <v>563</v>
      </c>
      <c r="R58" s="5">
        <f t="shared" si="12"/>
        <v>8</v>
      </c>
      <c r="S58" s="55"/>
      <c r="T58" s="4">
        <f>SUM(T7:T57)</f>
        <v>1880</v>
      </c>
      <c r="U58" s="90">
        <f>SUM(U7:U57)</f>
        <v>366434</v>
      </c>
      <c r="V58" s="4">
        <f>SUM(V7:V57)</f>
        <v>48326.333333333336</v>
      </c>
    </row>
    <row r="59" spans="1:22" ht="7.5" customHeight="1" thickBot="1" x14ac:dyDescent="0.3"/>
    <row r="60" spans="1:22" ht="19.5" thickBot="1" x14ac:dyDescent="0.3">
      <c r="B60" s="30" t="s">
        <v>37</v>
      </c>
      <c r="C60" s="113" t="s">
        <v>41</v>
      </c>
      <c r="D60" s="114"/>
      <c r="E60" s="114"/>
      <c r="F60" s="114"/>
      <c r="G60" s="114"/>
      <c r="H60" s="114"/>
      <c r="I60" s="114"/>
      <c r="J60" s="114"/>
      <c r="K60" s="115"/>
      <c r="U60" s="24" t="s">
        <v>51</v>
      </c>
    </row>
    <row r="61" spans="1:22" x14ac:dyDescent="0.25">
      <c r="B61" s="31" t="s">
        <v>17</v>
      </c>
      <c r="C61" s="19"/>
      <c r="D61" s="19"/>
      <c r="E61" s="19"/>
      <c r="F61" s="19"/>
      <c r="G61" s="19"/>
      <c r="H61" s="19"/>
      <c r="I61" s="19"/>
      <c r="J61" s="45"/>
      <c r="K61" s="20"/>
      <c r="U61" s="7"/>
    </row>
    <row r="62" spans="1:22" x14ac:dyDescent="0.25">
      <c r="B62" s="32" t="s">
        <v>45</v>
      </c>
      <c r="C62" s="1"/>
      <c r="D62" s="1"/>
      <c r="E62" s="1"/>
      <c r="F62" s="1"/>
      <c r="G62" s="1"/>
      <c r="H62" s="1"/>
      <c r="I62" s="1"/>
      <c r="J62" s="44"/>
      <c r="K62" s="21"/>
      <c r="U62" s="3"/>
    </row>
    <row r="63" spans="1:22" ht="19.5" thickBot="1" x14ac:dyDescent="0.3">
      <c r="B63" s="33" t="s">
        <v>44</v>
      </c>
      <c r="C63" s="22"/>
      <c r="D63" s="22"/>
      <c r="E63" s="22"/>
      <c r="F63" s="22"/>
      <c r="G63" s="22"/>
      <c r="H63" s="22"/>
      <c r="I63" s="22"/>
      <c r="J63" s="46"/>
      <c r="K63" s="23"/>
      <c r="U63" s="8"/>
    </row>
    <row r="64" spans="1:22" ht="7.5" customHeight="1" thickBot="1" x14ac:dyDescent="0.3"/>
    <row r="65" spans="2:21" x14ac:dyDescent="0.25">
      <c r="B65" s="31" t="s">
        <v>46</v>
      </c>
      <c r="C65" s="19"/>
      <c r="D65" s="19"/>
      <c r="E65" s="19"/>
      <c r="F65" s="19"/>
      <c r="G65" s="19"/>
      <c r="H65" s="19"/>
      <c r="I65" s="19"/>
      <c r="J65" s="45"/>
      <c r="K65" s="20"/>
      <c r="U65" s="7"/>
    </row>
    <row r="66" spans="2:21" x14ac:dyDescent="0.25">
      <c r="B66" s="32" t="s">
        <v>45</v>
      </c>
      <c r="C66" s="1"/>
      <c r="D66" s="1"/>
      <c r="E66" s="1"/>
      <c r="F66" s="1"/>
      <c r="G66" s="1"/>
      <c r="H66" s="1"/>
      <c r="I66" s="1"/>
      <c r="J66" s="44"/>
      <c r="K66" s="21"/>
      <c r="U66" s="3"/>
    </row>
    <row r="67" spans="2:21" ht="19.5" thickBot="1" x14ac:dyDescent="0.3">
      <c r="B67" s="33" t="s">
        <v>44</v>
      </c>
      <c r="C67" s="22"/>
      <c r="D67" s="22"/>
      <c r="E67" s="22"/>
      <c r="F67" s="22"/>
      <c r="G67" s="22"/>
      <c r="H67" s="22"/>
      <c r="I67" s="22"/>
      <c r="J67" s="46"/>
      <c r="K67" s="23"/>
      <c r="U67" s="8"/>
    </row>
    <row r="68" spans="2:21" ht="7.5" customHeight="1" thickBot="1" x14ac:dyDescent="0.3"/>
    <row r="69" spans="2:21" x14ac:dyDescent="0.25">
      <c r="B69" s="31" t="s">
        <v>38</v>
      </c>
      <c r="C69" s="19"/>
      <c r="D69" s="19"/>
      <c r="E69" s="19"/>
      <c r="F69" s="19"/>
      <c r="G69" s="19"/>
      <c r="H69" s="19"/>
      <c r="I69" s="19"/>
      <c r="J69" s="45"/>
      <c r="K69" s="20"/>
      <c r="U69" s="7"/>
    </row>
    <row r="70" spans="2:21" x14ac:dyDescent="0.25">
      <c r="B70" s="32" t="s">
        <v>45</v>
      </c>
      <c r="C70" s="1"/>
      <c r="D70" s="1"/>
      <c r="E70" s="1"/>
      <c r="F70" s="1"/>
      <c r="G70" s="1"/>
      <c r="H70" s="1"/>
      <c r="I70" s="1"/>
      <c r="J70" s="44"/>
      <c r="K70" s="21"/>
      <c r="U70" s="3"/>
    </row>
    <row r="71" spans="2:21" ht="19.5" thickBot="1" x14ac:dyDescent="0.3">
      <c r="B71" s="33" t="s">
        <v>44</v>
      </c>
      <c r="C71" s="22"/>
      <c r="D71" s="22"/>
      <c r="E71" s="22"/>
      <c r="F71" s="22"/>
      <c r="G71" s="22"/>
      <c r="H71" s="22"/>
      <c r="I71" s="22"/>
      <c r="J71" s="46"/>
      <c r="K71" s="23"/>
      <c r="U71" s="8"/>
    </row>
    <row r="72" spans="2:21" ht="7.5" customHeight="1" thickBot="1" x14ac:dyDescent="0.3"/>
    <row r="73" spans="2:21" x14ac:dyDescent="0.25">
      <c r="B73" s="31" t="s">
        <v>47</v>
      </c>
      <c r="C73" s="19"/>
      <c r="D73" s="19"/>
      <c r="E73" s="19"/>
      <c r="F73" s="19"/>
      <c r="G73" s="19"/>
      <c r="H73" s="19"/>
      <c r="I73" s="19"/>
      <c r="J73" s="45"/>
      <c r="K73" s="20"/>
      <c r="U73" s="7"/>
    </row>
    <row r="74" spans="2:21" x14ac:dyDescent="0.25">
      <c r="B74" s="32" t="s">
        <v>45</v>
      </c>
      <c r="C74" s="1"/>
      <c r="D74" s="1"/>
      <c r="E74" s="1"/>
      <c r="F74" s="1"/>
      <c r="G74" s="1"/>
      <c r="H74" s="1"/>
      <c r="I74" s="1"/>
      <c r="J74" s="44"/>
      <c r="K74" s="21"/>
      <c r="U74" s="3"/>
    </row>
    <row r="75" spans="2:21" ht="19.5" thickBot="1" x14ac:dyDescent="0.3">
      <c r="B75" s="33" t="s">
        <v>44</v>
      </c>
      <c r="C75" s="22"/>
      <c r="D75" s="22"/>
      <c r="E75" s="22"/>
      <c r="F75" s="22"/>
      <c r="G75" s="22"/>
      <c r="H75" s="22"/>
      <c r="I75" s="22"/>
      <c r="J75" s="46"/>
      <c r="K75" s="23"/>
      <c r="U75" s="8"/>
    </row>
    <row r="76" spans="2:21" ht="7.5" customHeight="1" thickBot="1" x14ac:dyDescent="0.3"/>
    <row r="77" spans="2:21" x14ac:dyDescent="0.25">
      <c r="B77" s="31" t="s">
        <v>48</v>
      </c>
      <c r="C77" s="19"/>
      <c r="D77" s="19"/>
      <c r="E77" s="19"/>
      <c r="F77" s="19"/>
      <c r="G77" s="19"/>
      <c r="H77" s="19"/>
      <c r="I77" s="19"/>
      <c r="J77" s="45"/>
      <c r="K77" s="20"/>
      <c r="U77" s="7"/>
    </row>
    <row r="78" spans="2:21" x14ac:dyDescent="0.25">
      <c r="B78" s="32" t="s">
        <v>45</v>
      </c>
      <c r="C78" s="1"/>
      <c r="D78" s="1"/>
      <c r="E78" s="1"/>
      <c r="F78" s="1"/>
      <c r="G78" s="1"/>
      <c r="H78" s="1"/>
      <c r="I78" s="1"/>
      <c r="J78" s="44"/>
      <c r="K78" s="21"/>
      <c r="U78" s="3"/>
    </row>
    <row r="79" spans="2:21" ht="19.5" thickBot="1" x14ac:dyDescent="0.3">
      <c r="B79" s="33" t="s">
        <v>44</v>
      </c>
      <c r="C79" s="22"/>
      <c r="D79" s="22"/>
      <c r="E79" s="22"/>
      <c r="F79" s="22"/>
      <c r="G79" s="22"/>
      <c r="H79" s="22"/>
      <c r="I79" s="22"/>
      <c r="J79" s="46"/>
      <c r="K79" s="23"/>
      <c r="U79" s="8"/>
    </row>
    <row r="80" spans="2:21" ht="7.5" customHeight="1" thickBot="1" x14ac:dyDescent="0.3"/>
    <row r="81" spans="2:21" ht="19.5" thickBot="1" x14ac:dyDescent="0.3">
      <c r="B81" s="30" t="s">
        <v>49</v>
      </c>
      <c r="C81" s="17"/>
      <c r="D81" s="17"/>
      <c r="E81" s="17"/>
      <c r="F81" s="17"/>
      <c r="G81" s="17"/>
      <c r="H81" s="17"/>
      <c r="I81" s="17"/>
      <c r="J81" s="47"/>
      <c r="K81" s="18"/>
      <c r="U81" s="16"/>
    </row>
  </sheetData>
  <mergeCells count="7">
    <mergeCell ref="V4:V5"/>
    <mergeCell ref="J5:K5"/>
    <mergeCell ref="C60:K60"/>
    <mergeCell ref="I1:U1"/>
    <mergeCell ref="C4:K4"/>
    <mergeCell ref="T4:T5"/>
    <mergeCell ref="U4:U5"/>
  </mergeCells>
  <printOptions horizontalCentered="1" verticalCentered="1"/>
  <pageMargins left="0.19685039370078741" right="0.19685039370078741" top="0.19685039370078741" bottom="0.19685039370078741" header="0.19685039370078741" footer="0.19685039370078741"/>
  <pageSetup paperSize="14" scale="70" orientation="portrait" horizontalDpi="360" verticalDpi="360" r:id="rId1"/>
  <colBreaks count="1" manualBreakCount="1">
    <brk id="24" max="80" man="1"/>
  </colBreaks>
</worksheet>
</file>

<file path=xl/worksheets/sheet1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6A53ACD1-5C40-4744-844F-FD1ECB768037}">
  <sheetPr>
    <pageSetUpPr fitToPage="1"/>
  </sheetPr>
  <dimension ref="A1:BB81"/>
  <sheetViews>
    <sheetView topLeftCell="A28" zoomScale="91" zoomScaleNormal="91" zoomScaleSheetLayoutView="115" workbookViewId="0">
      <selection activeCell="AB56" sqref="AB56"/>
    </sheetView>
  </sheetViews>
  <sheetFormatPr defaultColWidth="9.140625" defaultRowHeight="18.75" x14ac:dyDescent="0.25"/>
  <cols>
    <col min="1" max="1" width="4.140625" style="9" bestFit="1" customWidth="1"/>
    <col min="2" max="2" width="12.28515625" style="28" customWidth="1"/>
    <col min="3" max="6" width="10" style="9" customWidth="1"/>
    <col min="7" max="7" width="6.85546875" style="9" customWidth="1"/>
    <col min="8" max="8" width="7.5703125" style="9" bestFit="1" customWidth="1"/>
    <col min="9" max="9" width="6.7109375" style="9" bestFit="1" customWidth="1"/>
    <col min="10" max="10" width="6.85546875" style="9" customWidth="1"/>
    <col min="11" max="11" width="7.5703125" style="9" bestFit="1" customWidth="1"/>
    <col min="12" max="12" width="1.42578125" style="9" customWidth="1"/>
    <col min="13" max="13" width="10" style="9" customWidth="1"/>
    <col min="14" max="14" width="6.7109375" style="9" bestFit="1" customWidth="1"/>
    <col min="15" max="15" width="10" style="9" customWidth="1"/>
    <col min="16" max="16" width="5.5703125" style="9" customWidth="1"/>
    <col min="17" max="17" width="10" style="9" customWidth="1"/>
    <col min="18" max="18" width="6.7109375" style="9" bestFit="1" customWidth="1"/>
    <col min="19" max="19" width="1.42578125" style="9" customWidth="1"/>
    <col min="20" max="20" width="12.7109375" style="9" bestFit="1" customWidth="1"/>
    <col min="21" max="21" width="14.28515625" style="9" customWidth="1"/>
    <col min="22" max="22" width="19.5703125" style="9" bestFit="1" customWidth="1"/>
    <col min="23" max="49" width="7.28515625" style="9" customWidth="1"/>
    <col min="50" max="50" width="1.5703125" style="9" customWidth="1"/>
    <col min="51" max="51" width="9.42578125" style="9" customWidth="1"/>
    <col min="52" max="52" width="1.28515625" style="9" customWidth="1"/>
    <col min="53" max="53" width="12.7109375" style="9" bestFit="1" customWidth="1"/>
    <col min="54" max="54" width="10.28515625" style="9" bestFit="1" customWidth="1"/>
    <col min="55" max="16384" width="9.140625" style="9"/>
  </cols>
  <sheetData>
    <row r="1" spans="1:54" ht="15" customHeight="1" x14ac:dyDescent="0.25">
      <c r="B1" s="27" t="s">
        <v>42</v>
      </c>
      <c r="I1" s="116" t="s">
        <v>43</v>
      </c>
      <c r="J1" s="116"/>
      <c r="K1" s="116"/>
      <c r="L1" s="116"/>
      <c r="M1" s="116"/>
      <c r="N1" s="116"/>
      <c r="O1" s="116"/>
      <c r="P1" s="116"/>
      <c r="Q1" s="116"/>
      <c r="R1" s="116"/>
      <c r="S1" s="116"/>
      <c r="T1" s="116"/>
      <c r="U1" s="116"/>
    </row>
    <row r="2" spans="1:54" x14ac:dyDescent="0.25">
      <c r="B2" s="28" t="s">
        <v>83</v>
      </c>
    </row>
    <row r="3" spans="1:54" ht="19.5" thickBot="1" x14ac:dyDescent="0.3"/>
    <row r="4" spans="1:54" s="10" customFormat="1" ht="15.75" x14ac:dyDescent="0.25">
      <c r="B4" s="41" t="s">
        <v>52</v>
      </c>
      <c r="C4" s="117" t="s">
        <v>41</v>
      </c>
      <c r="D4" s="117"/>
      <c r="E4" s="117"/>
      <c r="F4" s="117"/>
      <c r="G4" s="117"/>
      <c r="H4" s="117"/>
      <c r="I4" s="117"/>
      <c r="J4" s="118"/>
      <c r="K4" s="119"/>
      <c r="M4" s="34" t="s">
        <v>0</v>
      </c>
      <c r="N4" s="48" t="s">
        <v>61</v>
      </c>
      <c r="O4" s="35" t="s">
        <v>39</v>
      </c>
      <c r="P4" s="48" t="s">
        <v>61</v>
      </c>
      <c r="Q4" s="36" t="s">
        <v>40</v>
      </c>
      <c r="R4" s="48" t="s">
        <v>61</v>
      </c>
      <c r="S4" s="9"/>
      <c r="T4" s="120" t="s">
        <v>68</v>
      </c>
      <c r="U4" s="126" t="s">
        <v>67</v>
      </c>
      <c r="V4" s="109" t="s">
        <v>66</v>
      </c>
      <c r="AF4" s="11"/>
      <c r="AG4" s="11"/>
      <c r="AH4" s="11"/>
      <c r="AI4" s="11"/>
      <c r="AJ4" s="11"/>
      <c r="AK4" s="11"/>
      <c r="AL4" s="11"/>
      <c r="AM4" s="11"/>
      <c r="AN4" s="11"/>
      <c r="AO4" s="11"/>
      <c r="AP4" s="11"/>
      <c r="AQ4" s="11"/>
      <c r="AR4" s="11"/>
      <c r="AS4" s="11"/>
      <c r="AT4" s="11"/>
      <c r="AU4" s="11"/>
      <c r="AV4" s="11"/>
      <c r="AW4" s="11"/>
      <c r="AX4" s="11"/>
      <c r="AY4" s="11"/>
      <c r="AZ4" s="11"/>
      <c r="BA4" s="11"/>
      <c r="BB4" s="11"/>
    </row>
    <row r="5" spans="1:54" s="10" customFormat="1" ht="15.75" x14ac:dyDescent="0.25">
      <c r="B5" s="37"/>
      <c r="C5" s="40"/>
      <c r="D5" s="40"/>
      <c r="E5" s="40"/>
      <c r="F5" s="40"/>
      <c r="G5" s="40"/>
      <c r="H5" s="40" t="s">
        <v>64</v>
      </c>
      <c r="I5" s="40" t="s">
        <v>60</v>
      </c>
      <c r="J5" s="124" t="s">
        <v>65</v>
      </c>
      <c r="K5" s="125"/>
      <c r="M5" s="37"/>
      <c r="N5" s="49"/>
      <c r="O5" s="40"/>
      <c r="P5" s="102"/>
      <c r="Q5" s="102"/>
      <c r="R5" s="38"/>
      <c r="S5" s="9"/>
      <c r="T5" s="121"/>
      <c r="U5" s="127"/>
      <c r="V5" s="110"/>
      <c r="AF5" s="11"/>
      <c r="AG5" s="11"/>
      <c r="AH5" s="11"/>
      <c r="AI5" s="11"/>
      <c r="AJ5" s="11"/>
      <c r="AK5" s="11"/>
      <c r="AL5" s="11"/>
      <c r="AM5" s="11"/>
      <c r="AN5" s="11"/>
      <c r="AO5" s="11"/>
      <c r="AP5" s="11"/>
      <c r="AQ5" s="11"/>
      <c r="AR5" s="11"/>
      <c r="AS5" s="11"/>
      <c r="AT5" s="11"/>
      <c r="AU5" s="11"/>
      <c r="AV5" s="11"/>
      <c r="AW5" s="11"/>
      <c r="AX5" s="11"/>
      <c r="AY5" s="11"/>
      <c r="AZ5" s="11"/>
      <c r="BA5" s="11"/>
      <c r="BB5" s="11"/>
    </row>
    <row r="6" spans="1:54" s="10" customFormat="1" ht="15.75" x14ac:dyDescent="0.25">
      <c r="B6" s="37"/>
      <c r="C6" s="40"/>
      <c r="D6" s="40"/>
      <c r="E6" s="40"/>
      <c r="F6" s="40"/>
      <c r="G6" s="40"/>
      <c r="H6" s="40"/>
      <c r="I6" s="40"/>
      <c r="J6" s="102"/>
      <c r="K6" s="38"/>
      <c r="M6" s="37"/>
      <c r="N6" s="49"/>
      <c r="O6" s="40"/>
      <c r="P6" s="102"/>
      <c r="Q6" s="102"/>
      <c r="R6" s="38"/>
      <c r="S6" s="9"/>
      <c r="T6" s="39"/>
      <c r="U6" s="39"/>
      <c r="V6" s="39"/>
      <c r="AF6" s="11"/>
      <c r="AG6" s="11"/>
      <c r="AH6" s="11"/>
      <c r="AI6" s="11"/>
      <c r="AJ6" s="11"/>
      <c r="AK6" s="11"/>
      <c r="AL6" s="11"/>
      <c r="AM6" s="11"/>
      <c r="AN6" s="11"/>
      <c r="AO6" s="11"/>
      <c r="AP6" s="11"/>
      <c r="AQ6" s="11"/>
      <c r="AR6" s="11"/>
      <c r="AS6" s="11"/>
      <c r="AT6" s="11"/>
      <c r="AU6" s="11"/>
      <c r="AV6" s="11"/>
      <c r="AW6" s="11"/>
      <c r="AX6" s="11"/>
      <c r="AY6" s="11"/>
      <c r="AZ6" s="11"/>
      <c r="BA6" s="11"/>
      <c r="BB6" s="11"/>
    </row>
    <row r="7" spans="1:54" x14ac:dyDescent="0.25">
      <c r="A7" s="27">
        <v>1</v>
      </c>
      <c r="B7" s="26" t="s">
        <v>32</v>
      </c>
      <c r="C7" s="52">
        <v>31</v>
      </c>
      <c r="D7" s="52"/>
      <c r="E7" s="52"/>
      <c r="F7" s="52"/>
      <c r="G7" s="52"/>
      <c r="H7" s="52"/>
      <c r="I7" s="52">
        <v>3</v>
      </c>
      <c r="J7" s="53"/>
      <c r="K7" s="54">
        <v>6</v>
      </c>
      <c r="L7" s="55"/>
      <c r="M7" s="56"/>
      <c r="N7" s="57"/>
      <c r="O7" s="52">
        <v>1</v>
      </c>
      <c r="P7" s="53"/>
      <c r="Q7" s="53"/>
      <c r="R7" s="54"/>
      <c r="S7" s="55"/>
      <c r="T7" s="58">
        <f>H7+I7+J7+K7+N7+P7+R7</f>
        <v>9</v>
      </c>
      <c r="U7" s="58">
        <f>C7*24+M7*24+O7*24+Q7*24+T7</f>
        <v>777</v>
      </c>
      <c r="V7" s="58">
        <f>U7/24</f>
        <v>32.375</v>
      </c>
      <c r="W7" s="50"/>
      <c r="AF7" s="12"/>
      <c r="AG7" s="12"/>
      <c r="AH7" s="12"/>
      <c r="AI7" s="12"/>
      <c r="AJ7" s="12"/>
      <c r="AK7" s="12"/>
      <c r="AL7" s="12"/>
      <c r="AM7" s="12"/>
      <c r="AN7" s="12"/>
      <c r="AO7" s="12"/>
      <c r="AP7" s="12"/>
      <c r="AQ7" s="12"/>
      <c r="AR7" s="12"/>
      <c r="AS7" s="12"/>
      <c r="AT7" s="12"/>
      <c r="AU7" s="12"/>
      <c r="AV7" s="12"/>
      <c r="AW7" s="12"/>
      <c r="AX7" s="12"/>
      <c r="AY7" s="12"/>
      <c r="AZ7" s="12"/>
      <c r="BA7" s="12"/>
      <c r="BB7" s="12"/>
    </row>
    <row r="8" spans="1:54" ht="19.5" thickBot="1" x14ac:dyDescent="0.3">
      <c r="A8" s="27">
        <f>A7+1</f>
        <v>2</v>
      </c>
      <c r="B8" s="42" t="s">
        <v>35</v>
      </c>
      <c r="C8" s="59">
        <f>35+38</f>
        <v>73</v>
      </c>
      <c r="D8" s="59"/>
      <c r="E8" s="59"/>
      <c r="F8" s="59"/>
      <c r="G8" s="59"/>
      <c r="H8" s="59"/>
      <c r="I8" s="59"/>
      <c r="J8" s="60"/>
      <c r="K8" s="61"/>
      <c r="L8" s="62"/>
      <c r="M8" s="63">
        <v>4</v>
      </c>
      <c r="N8" s="64"/>
      <c r="O8" s="65">
        <v>1</v>
      </c>
      <c r="P8" s="66">
        <v>12</v>
      </c>
      <c r="Q8" s="66">
        <v>1</v>
      </c>
      <c r="R8" s="67"/>
      <c r="S8" s="62"/>
      <c r="T8" s="68">
        <f t="shared" ref="T8:T41" si="0">H8+I8+J8+K8+N8+P8+R8</f>
        <v>12</v>
      </c>
      <c r="U8" s="69">
        <f>C8*24+M8*24+O8*24+Q8*24+T8</f>
        <v>1908</v>
      </c>
      <c r="V8" s="69">
        <f>U8/24</f>
        <v>79.5</v>
      </c>
      <c r="W8" s="50"/>
      <c r="AF8" s="12"/>
      <c r="AG8" s="12"/>
      <c r="AH8" s="12"/>
      <c r="AI8" s="12"/>
      <c r="AJ8" s="12"/>
      <c r="AK8" s="12"/>
      <c r="AL8" s="12"/>
      <c r="AM8" s="12"/>
      <c r="AN8" s="12"/>
      <c r="AO8" s="12"/>
      <c r="AP8" s="12"/>
      <c r="AQ8" s="12"/>
      <c r="AR8" s="12"/>
      <c r="AS8" s="12"/>
      <c r="AT8" s="12"/>
      <c r="AU8" s="12"/>
      <c r="AV8" s="12"/>
      <c r="AW8" s="12"/>
      <c r="AX8" s="12"/>
      <c r="AY8" s="12"/>
      <c r="AZ8" s="12"/>
      <c r="BA8" s="12"/>
      <c r="BB8" s="12"/>
    </row>
    <row r="9" spans="1:54" x14ac:dyDescent="0.25">
      <c r="A9" s="27">
        <f t="shared" ref="A9:A57" si="1">A8+1</f>
        <v>3</v>
      </c>
      <c r="B9" s="25" t="s">
        <v>33</v>
      </c>
      <c r="C9" s="70">
        <f>30+41</f>
        <v>71</v>
      </c>
      <c r="D9" s="70"/>
      <c r="E9" s="70"/>
      <c r="F9" s="70"/>
      <c r="G9" s="70"/>
      <c r="H9" s="70"/>
      <c r="I9" s="70"/>
      <c r="J9" s="71"/>
      <c r="K9" s="72"/>
      <c r="L9" s="55"/>
      <c r="M9" s="73">
        <v>10</v>
      </c>
      <c r="N9" s="74"/>
      <c r="O9" s="70"/>
      <c r="P9" s="71"/>
      <c r="Q9" s="71"/>
      <c r="R9" s="72"/>
      <c r="S9" s="55"/>
      <c r="T9" s="75">
        <f t="shared" si="0"/>
        <v>0</v>
      </c>
      <c r="U9" s="76">
        <f t="shared" ref="U9:U11" si="2">C9*24+M9*24+O9*24+Q9*24+T9</f>
        <v>1944</v>
      </c>
      <c r="V9" s="76">
        <f t="shared" ref="V9:V11" si="3">U9/24</f>
        <v>81</v>
      </c>
      <c r="W9" s="50"/>
      <c r="AF9" s="12"/>
      <c r="AG9" s="12"/>
      <c r="AH9" s="12"/>
      <c r="AI9" s="12"/>
      <c r="AJ9" s="12"/>
      <c r="AK9" s="12"/>
      <c r="AL9" s="12"/>
      <c r="AM9" s="12"/>
      <c r="AN9" s="12"/>
      <c r="AO9" s="12"/>
      <c r="AP9" s="12"/>
      <c r="AQ9" s="12"/>
      <c r="AR9" s="12"/>
      <c r="AS9" s="12"/>
      <c r="AT9" s="12"/>
      <c r="AU9" s="12"/>
      <c r="AV9" s="12"/>
      <c r="AW9" s="12"/>
      <c r="AX9" s="12"/>
      <c r="AY9" s="12"/>
      <c r="AZ9" s="12"/>
      <c r="BA9" s="12"/>
      <c r="BB9" s="12"/>
    </row>
    <row r="10" spans="1:54" x14ac:dyDescent="0.25">
      <c r="A10" s="27">
        <f t="shared" si="1"/>
        <v>4</v>
      </c>
      <c r="B10" s="26" t="s">
        <v>36</v>
      </c>
      <c r="C10" s="70">
        <f>10+10</f>
        <v>20</v>
      </c>
      <c r="D10" s="70"/>
      <c r="E10" s="70"/>
      <c r="F10" s="70"/>
      <c r="G10" s="70"/>
      <c r="H10" s="70"/>
      <c r="I10" s="70"/>
      <c r="J10" s="71"/>
      <c r="K10" s="72"/>
      <c r="L10" s="55"/>
      <c r="M10" s="73">
        <v>10</v>
      </c>
      <c r="N10" s="74"/>
      <c r="O10" s="70"/>
      <c r="P10" s="71"/>
      <c r="Q10" s="71"/>
      <c r="R10" s="72"/>
      <c r="S10" s="55"/>
      <c r="T10" s="58">
        <f t="shared" si="0"/>
        <v>0</v>
      </c>
      <c r="U10" s="58">
        <f t="shared" si="2"/>
        <v>720</v>
      </c>
      <c r="V10" s="58">
        <f t="shared" si="3"/>
        <v>30</v>
      </c>
      <c r="W10" s="50"/>
      <c r="AF10" s="12"/>
      <c r="AG10" s="12"/>
      <c r="AH10" s="12"/>
      <c r="AI10" s="12"/>
      <c r="AJ10" s="12"/>
      <c r="AK10" s="12"/>
      <c r="AL10" s="12"/>
      <c r="AM10" s="12"/>
      <c r="AN10" s="12"/>
      <c r="AO10" s="12"/>
      <c r="AP10" s="12"/>
      <c r="AQ10" s="12"/>
      <c r="AR10" s="12"/>
      <c r="AS10" s="12"/>
      <c r="AT10" s="12"/>
      <c r="AU10" s="12"/>
      <c r="AV10" s="12"/>
      <c r="AW10" s="12"/>
      <c r="AX10" s="12"/>
      <c r="AY10" s="12"/>
      <c r="AZ10" s="12"/>
      <c r="BA10" s="12"/>
      <c r="BB10" s="12"/>
    </row>
    <row r="11" spans="1:54" x14ac:dyDescent="0.25">
      <c r="A11" s="27">
        <f t="shared" si="1"/>
        <v>5</v>
      </c>
      <c r="B11" s="26" t="s">
        <v>34</v>
      </c>
      <c r="C11" s="70"/>
      <c r="D11" s="70"/>
      <c r="E11" s="70"/>
      <c r="F11" s="70"/>
      <c r="G11" s="70"/>
      <c r="H11" s="70"/>
      <c r="I11" s="70"/>
      <c r="J11" s="71"/>
      <c r="K11" s="72">
        <v>2</v>
      </c>
      <c r="L11" s="55"/>
      <c r="M11" s="73">
        <v>9</v>
      </c>
      <c r="N11" s="74"/>
      <c r="O11" s="70"/>
      <c r="P11" s="71"/>
      <c r="Q11" s="71"/>
      <c r="R11" s="72"/>
      <c r="S11" s="55"/>
      <c r="T11" s="58">
        <f t="shared" si="0"/>
        <v>2</v>
      </c>
      <c r="U11" s="58">
        <f t="shared" si="2"/>
        <v>218</v>
      </c>
      <c r="V11" s="58">
        <f t="shared" si="3"/>
        <v>9.0833333333333339</v>
      </c>
      <c r="AF11" s="12"/>
      <c r="AG11" s="12"/>
      <c r="AH11" s="12"/>
      <c r="AI11" s="12"/>
      <c r="AJ11" s="12"/>
      <c r="AK11" s="12"/>
      <c r="AL11" s="12"/>
      <c r="AM11" s="12"/>
      <c r="AN11" s="12"/>
      <c r="AO11" s="12"/>
      <c r="AP11" s="12"/>
      <c r="AQ11" s="12"/>
      <c r="AR11" s="12"/>
      <c r="AS11" s="12"/>
      <c r="AT11" s="12"/>
      <c r="AU11" s="12"/>
      <c r="AV11" s="12"/>
      <c r="AW11" s="12"/>
      <c r="AX11" s="12"/>
      <c r="AY11" s="12"/>
      <c r="AZ11" s="12"/>
      <c r="BA11" s="12"/>
      <c r="BB11" s="12"/>
    </row>
    <row r="12" spans="1:54" s="13" customFormat="1" ht="19.5" thickBot="1" x14ac:dyDescent="0.3">
      <c r="A12" s="27">
        <v>7</v>
      </c>
      <c r="B12" s="42" t="s">
        <v>30</v>
      </c>
      <c r="C12" s="59">
        <f>1224+53+720+43+1080+29</f>
        <v>3149</v>
      </c>
      <c r="D12" s="59"/>
      <c r="E12" s="59"/>
      <c r="F12" s="59"/>
      <c r="G12" s="59"/>
      <c r="H12" s="59"/>
      <c r="I12" s="59"/>
      <c r="J12" s="60"/>
      <c r="K12" s="61"/>
      <c r="L12" s="62"/>
      <c r="M12" s="63">
        <v>12</v>
      </c>
      <c r="N12" s="64">
        <v>20</v>
      </c>
      <c r="O12" s="65">
        <v>11</v>
      </c>
      <c r="P12" s="66">
        <v>18</v>
      </c>
      <c r="Q12" s="66">
        <v>21</v>
      </c>
      <c r="R12" s="67"/>
      <c r="S12" s="62"/>
      <c r="T12" s="69">
        <f t="shared" si="0"/>
        <v>38</v>
      </c>
      <c r="U12" s="69">
        <f>C12*24+M12*24+O12*24+Q12*24+T12</f>
        <v>76670</v>
      </c>
      <c r="V12" s="69">
        <f>U12/24</f>
        <v>3194.5833333333335</v>
      </c>
      <c r="W12" s="9"/>
      <c r="X12" s="9"/>
      <c r="Y12" s="9"/>
      <c r="Z12" s="9"/>
      <c r="AA12" s="9"/>
      <c r="AB12" s="9"/>
      <c r="AC12" s="9"/>
      <c r="AD12" s="9"/>
      <c r="AE12" s="9"/>
      <c r="AF12" s="12"/>
      <c r="AG12" s="12"/>
      <c r="AH12" s="12"/>
      <c r="AI12" s="12"/>
      <c r="AJ12" s="12"/>
      <c r="AK12" s="12"/>
      <c r="AL12" s="12"/>
      <c r="AM12" s="12"/>
      <c r="AN12" s="12"/>
      <c r="AO12" s="12"/>
      <c r="AP12" s="12"/>
      <c r="AQ12" s="12"/>
      <c r="AR12" s="12"/>
      <c r="AS12" s="12"/>
      <c r="AT12" s="12"/>
      <c r="AU12" s="12"/>
      <c r="AV12" s="12"/>
      <c r="AW12" s="12"/>
      <c r="AX12" s="12"/>
      <c r="AY12" s="12"/>
      <c r="AZ12" s="12"/>
      <c r="BA12" s="12"/>
      <c r="BB12" s="12"/>
    </row>
    <row r="13" spans="1:54" x14ac:dyDescent="0.25">
      <c r="A13" s="27">
        <v>11</v>
      </c>
      <c r="B13" s="25" t="s">
        <v>1</v>
      </c>
      <c r="C13" s="70">
        <v>2</v>
      </c>
      <c r="D13" s="70"/>
      <c r="E13" s="70"/>
      <c r="F13" s="70"/>
      <c r="G13" s="70"/>
      <c r="H13" s="70">
        <v>16</v>
      </c>
      <c r="I13" s="70"/>
      <c r="J13" s="71"/>
      <c r="K13" s="72"/>
      <c r="L13" s="55"/>
      <c r="M13" s="73"/>
      <c r="N13" s="74"/>
      <c r="O13" s="70"/>
      <c r="P13" s="71"/>
      <c r="Q13" s="71"/>
      <c r="R13" s="72"/>
      <c r="S13" s="55"/>
      <c r="T13" s="76">
        <f t="shared" si="0"/>
        <v>16</v>
      </c>
      <c r="U13" s="76">
        <f>C13*24+M13*24+O13*24+Q13*24+T13</f>
        <v>64</v>
      </c>
      <c r="V13" s="76">
        <f>U13/24</f>
        <v>2.6666666666666665</v>
      </c>
      <c r="AF13" s="12"/>
      <c r="AG13" s="12"/>
      <c r="AH13" s="12"/>
      <c r="AI13" s="12"/>
      <c r="AJ13" s="12"/>
      <c r="AK13" s="12"/>
      <c r="AL13" s="12"/>
      <c r="AM13" s="12"/>
      <c r="AN13" s="12"/>
      <c r="AO13" s="12"/>
      <c r="AP13" s="12"/>
      <c r="AQ13" s="12"/>
      <c r="AR13" s="12"/>
      <c r="AS13" s="12"/>
      <c r="AT13" s="12"/>
      <c r="AU13" s="12"/>
      <c r="AV13" s="12"/>
      <c r="AW13" s="12"/>
      <c r="AX13" s="12"/>
      <c r="AY13" s="12"/>
      <c r="AZ13" s="12"/>
      <c r="BA13" s="12"/>
      <c r="BB13" s="12"/>
    </row>
    <row r="14" spans="1:54" x14ac:dyDescent="0.25">
      <c r="A14" s="27">
        <f t="shared" si="1"/>
        <v>12</v>
      </c>
      <c r="B14" s="26" t="s">
        <v>2</v>
      </c>
      <c r="C14" s="70">
        <v>2</v>
      </c>
      <c r="D14" s="70"/>
      <c r="E14" s="70"/>
      <c r="F14" s="70"/>
      <c r="G14" s="70"/>
      <c r="H14" s="70"/>
      <c r="I14" s="70"/>
      <c r="J14" s="71"/>
      <c r="K14" s="72"/>
      <c r="L14" s="55"/>
      <c r="M14" s="73"/>
      <c r="N14" s="74"/>
      <c r="O14" s="70"/>
      <c r="P14" s="71"/>
      <c r="Q14" s="71"/>
      <c r="R14" s="72"/>
      <c r="S14" s="55"/>
      <c r="T14" s="58">
        <f t="shared" si="0"/>
        <v>0</v>
      </c>
      <c r="U14" s="75">
        <f t="shared" ref="U14:U36" si="4">C14*24+M14*24+O14*24+Q14*24+T14</f>
        <v>48</v>
      </c>
      <c r="V14" s="75">
        <f t="shared" ref="V14:V36" si="5">U14/24</f>
        <v>2</v>
      </c>
      <c r="AF14" s="12"/>
      <c r="AG14" s="12"/>
      <c r="AH14" s="12"/>
      <c r="AI14" s="12"/>
      <c r="AJ14" s="12"/>
      <c r="AK14" s="12"/>
      <c r="AL14" s="12"/>
      <c r="AM14" s="12"/>
      <c r="AN14" s="12"/>
      <c r="AO14" s="12"/>
      <c r="AP14" s="12"/>
      <c r="AQ14" s="12"/>
      <c r="AR14" s="12"/>
      <c r="AS14" s="12"/>
      <c r="AT14" s="12"/>
      <c r="AU14" s="12"/>
      <c r="AV14" s="12"/>
      <c r="AW14" s="12"/>
      <c r="AX14" s="12"/>
      <c r="AY14" s="12"/>
      <c r="AZ14" s="12"/>
      <c r="BA14" s="12"/>
      <c r="BB14" s="12"/>
    </row>
    <row r="15" spans="1:54" x14ac:dyDescent="0.25">
      <c r="A15" s="27">
        <f t="shared" si="1"/>
        <v>13</v>
      </c>
      <c r="B15" s="26" t="s">
        <v>3</v>
      </c>
      <c r="C15" s="70"/>
      <c r="D15" s="70"/>
      <c r="E15" s="70"/>
      <c r="F15" s="70"/>
      <c r="G15" s="70"/>
      <c r="H15" s="70"/>
      <c r="I15" s="70"/>
      <c r="J15" s="71"/>
      <c r="K15" s="72"/>
      <c r="L15" s="55"/>
      <c r="M15" s="73"/>
      <c r="N15" s="74"/>
      <c r="O15" s="70"/>
      <c r="P15" s="71"/>
      <c r="Q15" s="71"/>
      <c r="R15" s="72"/>
      <c r="S15" s="55"/>
      <c r="T15" s="58">
        <f t="shared" si="0"/>
        <v>0</v>
      </c>
      <c r="U15" s="75">
        <f t="shared" si="4"/>
        <v>0</v>
      </c>
      <c r="V15" s="75">
        <f t="shared" si="5"/>
        <v>0</v>
      </c>
      <c r="AF15" s="12"/>
      <c r="AG15" s="12"/>
      <c r="AH15" s="12"/>
      <c r="AI15" s="12"/>
      <c r="AJ15" s="12"/>
      <c r="AK15" s="12"/>
      <c r="AL15" s="12"/>
      <c r="AM15" s="12"/>
      <c r="AN15" s="12"/>
      <c r="AO15" s="12"/>
      <c r="AP15" s="12"/>
      <c r="AQ15" s="12"/>
      <c r="AR15" s="12"/>
      <c r="AS15" s="12"/>
      <c r="AT15" s="12"/>
      <c r="AU15" s="12"/>
      <c r="AV15" s="12"/>
      <c r="AW15" s="12"/>
      <c r="AX15" s="12"/>
      <c r="AY15" s="12"/>
      <c r="AZ15" s="12"/>
      <c r="BA15" s="12"/>
      <c r="BB15" s="12"/>
    </row>
    <row r="16" spans="1:54" x14ac:dyDescent="0.25">
      <c r="A16" s="27">
        <f t="shared" si="1"/>
        <v>14</v>
      </c>
      <c r="B16" s="26" t="s">
        <v>4</v>
      </c>
      <c r="C16" s="70"/>
      <c r="D16" s="70"/>
      <c r="E16" s="70"/>
      <c r="F16" s="70"/>
      <c r="G16" s="70"/>
      <c r="H16" s="70"/>
      <c r="I16" s="70"/>
      <c r="J16" s="71"/>
      <c r="K16" s="72"/>
      <c r="L16" s="55"/>
      <c r="M16" s="73"/>
      <c r="N16" s="74"/>
      <c r="O16" s="70"/>
      <c r="P16" s="71"/>
      <c r="Q16" s="71"/>
      <c r="R16" s="72"/>
      <c r="S16" s="55"/>
      <c r="T16" s="58">
        <f t="shared" si="0"/>
        <v>0</v>
      </c>
      <c r="U16" s="75">
        <f t="shared" si="4"/>
        <v>0</v>
      </c>
      <c r="V16" s="75">
        <f t="shared" si="5"/>
        <v>0</v>
      </c>
      <c r="AF16" s="12"/>
      <c r="AG16" s="12"/>
      <c r="AH16" s="12"/>
      <c r="AI16" s="12"/>
      <c r="AJ16" s="12"/>
      <c r="AK16" s="12"/>
      <c r="AL16" s="12"/>
      <c r="AM16" s="12"/>
      <c r="AN16" s="12"/>
      <c r="AO16" s="12"/>
      <c r="AP16" s="12"/>
      <c r="AQ16" s="12"/>
      <c r="AR16" s="12"/>
      <c r="AS16" s="12"/>
      <c r="AT16" s="12"/>
      <c r="AU16" s="12"/>
      <c r="AV16" s="12"/>
      <c r="AW16" s="12"/>
      <c r="AX16" s="12"/>
      <c r="AY16" s="12"/>
      <c r="AZ16" s="12"/>
      <c r="BA16" s="12"/>
      <c r="BB16" s="12"/>
    </row>
    <row r="17" spans="1:54" x14ac:dyDescent="0.25">
      <c r="A17" s="27">
        <f t="shared" si="1"/>
        <v>15</v>
      </c>
      <c r="B17" s="26" t="s">
        <v>5</v>
      </c>
      <c r="C17" s="70"/>
      <c r="D17" s="70"/>
      <c r="E17" s="70"/>
      <c r="F17" s="70"/>
      <c r="G17" s="70"/>
      <c r="H17" s="70">
        <f>3*24</f>
        <v>72</v>
      </c>
      <c r="I17" s="70"/>
      <c r="J17" s="71"/>
      <c r="K17" s="72"/>
      <c r="L17" s="55"/>
      <c r="M17" s="73"/>
      <c r="N17" s="74"/>
      <c r="O17" s="70"/>
      <c r="P17" s="71"/>
      <c r="Q17" s="71"/>
      <c r="R17" s="72"/>
      <c r="S17" s="55"/>
      <c r="T17" s="58">
        <f t="shared" si="0"/>
        <v>72</v>
      </c>
      <c r="U17" s="75">
        <f t="shared" si="4"/>
        <v>72</v>
      </c>
      <c r="V17" s="75">
        <f t="shared" si="5"/>
        <v>3</v>
      </c>
      <c r="AF17" s="12"/>
      <c r="AG17" s="12"/>
      <c r="AH17" s="12"/>
      <c r="AI17" s="12"/>
      <c r="AJ17" s="12"/>
      <c r="AK17" s="12"/>
      <c r="AL17" s="12"/>
      <c r="AM17" s="12"/>
      <c r="AN17" s="12"/>
      <c r="AO17" s="12"/>
      <c r="AP17" s="12"/>
      <c r="AQ17" s="12"/>
      <c r="AR17" s="12"/>
      <c r="AS17" s="12"/>
      <c r="AT17" s="12"/>
      <c r="AU17" s="12"/>
      <c r="AV17" s="12"/>
      <c r="AW17" s="12"/>
      <c r="AX17" s="12"/>
      <c r="AY17" s="12"/>
      <c r="AZ17" s="12"/>
      <c r="BA17" s="12"/>
      <c r="BB17" s="12"/>
    </row>
    <row r="18" spans="1:54" hidden="1" x14ac:dyDescent="0.25">
      <c r="A18" s="27">
        <f t="shared" si="1"/>
        <v>16</v>
      </c>
      <c r="B18" s="26" t="s">
        <v>9</v>
      </c>
      <c r="C18" s="70"/>
      <c r="D18" s="70"/>
      <c r="E18" s="70"/>
      <c r="F18" s="70"/>
      <c r="G18" s="70"/>
      <c r="H18" s="70"/>
      <c r="I18" s="70"/>
      <c r="J18" s="71"/>
      <c r="K18" s="72"/>
      <c r="L18" s="55"/>
      <c r="M18" s="73"/>
      <c r="N18" s="74"/>
      <c r="O18" s="70"/>
      <c r="P18" s="71"/>
      <c r="Q18" s="71"/>
      <c r="R18" s="72"/>
      <c r="S18" s="55"/>
      <c r="T18" s="58">
        <f t="shared" si="0"/>
        <v>0</v>
      </c>
      <c r="U18" s="75">
        <f t="shared" si="4"/>
        <v>0</v>
      </c>
      <c r="V18" s="75">
        <f t="shared" si="5"/>
        <v>0</v>
      </c>
      <c r="AF18" s="12"/>
      <c r="AG18" s="12"/>
      <c r="AH18" s="12"/>
      <c r="AI18" s="12"/>
      <c r="AJ18" s="12"/>
      <c r="AK18" s="12"/>
      <c r="AL18" s="12"/>
      <c r="AM18" s="12"/>
      <c r="AN18" s="12"/>
      <c r="AO18" s="12"/>
      <c r="AP18" s="12"/>
      <c r="AQ18" s="12"/>
      <c r="AR18" s="12"/>
      <c r="AS18" s="12"/>
      <c r="AT18" s="12"/>
      <c r="AU18" s="12"/>
      <c r="AV18" s="12"/>
      <c r="AW18" s="12"/>
      <c r="AX18" s="12"/>
      <c r="AY18" s="12"/>
      <c r="AZ18" s="12"/>
      <c r="BA18" s="12"/>
      <c r="BB18" s="12"/>
    </row>
    <row r="19" spans="1:54" x14ac:dyDescent="0.25">
      <c r="A19" s="27">
        <v>16</v>
      </c>
      <c r="B19" s="26" t="s">
        <v>53</v>
      </c>
      <c r="C19" s="70">
        <v>1</v>
      </c>
      <c r="D19" s="70"/>
      <c r="E19" s="70"/>
      <c r="F19" s="70"/>
      <c r="G19" s="70"/>
      <c r="H19" s="70">
        <f>1*24+20</f>
        <v>44</v>
      </c>
      <c r="I19" s="70"/>
      <c r="J19" s="71"/>
      <c r="K19" s="72"/>
      <c r="L19" s="55"/>
      <c r="M19" s="73">
        <v>1</v>
      </c>
      <c r="N19" s="74"/>
      <c r="O19" s="70"/>
      <c r="P19" s="71"/>
      <c r="Q19" s="71"/>
      <c r="R19" s="72"/>
      <c r="S19" s="55"/>
      <c r="T19" s="58">
        <f t="shared" si="0"/>
        <v>44</v>
      </c>
      <c r="U19" s="75">
        <f t="shared" si="4"/>
        <v>92</v>
      </c>
      <c r="V19" s="75">
        <f t="shared" si="5"/>
        <v>3.8333333333333335</v>
      </c>
      <c r="AF19" s="12"/>
      <c r="AG19" s="12"/>
      <c r="AH19" s="12"/>
      <c r="AI19" s="12"/>
      <c r="AJ19" s="12"/>
      <c r="AK19" s="12"/>
      <c r="AL19" s="12"/>
      <c r="AM19" s="12"/>
      <c r="AN19" s="12"/>
      <c r="AO19" s="12"/>
      <c r="AP19" s="12"/>
      <c r="AQ19" s="12"/>
      <c r="AR19" s="12"/>
      <c r="AS19" s="12"/>
      <c r="AT19" s="12"/>
      <c r="AU19" s="12"/>
      <c r="AV19" s="12"/>
      <c r="AW19" s="12"/>
      <c r="AX19" s="12"/>
      <c r="AY19" s="12"/>
      <c r="AZ19" s="12"/>
      <c r="BA19" s="12"/>
      <c r="BB19" s="12"/>
    </row>
    <row r="20" spans="1:54" x14ac:dyDescent="0.25">
      <c r="A20" s="27">
        <f t="shared" si="1"/>
        <v>17</v>
      </c>
      <c r="B20" s="26" t="s">
        <v>6</v>
      </c>
      <c r="C20" s="70">
        <v>5</v>
      </c>
      <c r="D20" s="70"/>
      <c r="E20" s="70"/>
      <c r="F20" s="70"/>
      <c r="G20" s="70"/>
      <c r="H20" s="70"/>
      <c r="I20" s="70"/>
      <c r="J20" s="71"/>
      <c r="K20" s="72"/>
      <c r="L20" s="55"/>
      <c r="M20" s="73"/>
      <c r="N20" s="74"/>
      <c r="O20" s="70"/>
      <c r="P20" s="71"/>
      <c r="Q20" s="71"/>
      <c r="R20" s="72"/>
      <c r="S20" s="55"/>
      <c r="T20" s="58">
        <f t="shared" si="0"/>
        <v>0</v>
      </c>
      <c r="U20" s="75">
        <f t="shared" si="4"/>
        <v>120</v>
      </c>
      <c r="V20" s="75">
        <f t="shared" si="5"/>
        <v>5</v>
      </c>
      <c r="AF20" s="12"/>
      <c r="AG20" s="12"/>
      <c r="AH20" s="12"/>
      <c r="AI20" s="12"/>
      <c r="AJ20" s="12"/>
      <c r="AK20" s="12"/>
      <c r="AL20" s="12"/>
      <c r="AM20" s="12"/>
      <c r="AN20" s="12"/>
      <c r="AO20" s="12"/>
      <c r="AP20" s="12"/>
      <c r="AQ20" s="12"/>
      <c r="AR20" s="12"/>
      <c r="AS20" s="12"/>
      <c r="AT20" s="12"/>
      <c r="AU20" s="12"/>
      <c r="AV20" s="12"/>
      <c r="AW20" s="12"/>
      <c r="AX20" s="12"/>
      <c r="AY20" s="12"/>
      <c r="AZ20" s="12"/>
      <c r="BA20" s="12"/>
      <c r="BB20" s="12"/>
    </row>
    <row r="21" spans="1:54" x14ac:dyDescent="0.25">
      <c r="A21" s="27">
        <f t="shared" si="1"/>
        <v>18</v>
      </c>
      <c r="B21" s="26" t="s">
        <v>7</v>
      </c>
      <c r="C21" s="70"/>
      <c r="D21" s="70"/>
      <c r="E21" s="70"/>
      <c r="F21" s="70"/>
      <c r="G21" s="70"/>
      <c r="H21" s="70">
        <f>2*24</f>
        <v>48</v>
      </c>
      <c r="I21" s="70"/>
      <c r="J21" s="71"/>
      <c r="K21" s="72"/>
      <c r="L21" s="55"/>
      <c r="M21" s="73"/>
      <c r="N21" s="74"/>
      <c r="O21" s="70"/>
      <c r="P21" s="71"/>
      <c r="Q21" s="71"/>
      <c r="R21" s="72"/>
      <c r="S21" s="55"/>
      <c r="T21" s="58">
        <f t="shared" si="0"/>
        <v>48</v>
      </c>
      <c r="U21" s="75">
        <f t="shared" si="4"/>
        <v>48</v>
      </c>
      <c r="V21" s="75">
        <f t="shared" si="5"/>
        <v>2</v>
      </c>
      <c r="AF21" s="12"/>
      <c r="AG21" s="12"/>
      <c r="AH21" s="12"/>
      <c r="AI21" s="12"/>
      <c r="AJ21" s="12"/>
      <c r="AK21" s="12"/>
      <c r="AL21" s="12"/>
      <c r="AM21" s="12"/>
      <c r="AN21" s="12"/>
      <c r="AO21" s="12"/>
      <c r="AP21" s="12"/>
      <c r="AQ21" s="12"/>
      <c r="AR21" s="12"/>
      <c r="AS21" s="12"/>
      <c r="AT21" s="12"/>
      <c r="AU21" s="12"/>
      <c r="AV21" s="12"/>
      <c r="AW21" s="12"/>
      <c r="AX21" s="12"/>
      <c r="AY21" s="12"/>
      <c r="AZ21" s="12"/>
      <c r="BA21" s="12"/>
      <c r="BB21" s="12"/>
    </row>
    <row r="22" spans="1:54" s="13" customFormat="1" x14ac:dyDescent="0.25">
      <c r="A22" s="27">
        <f t="shared" si="1"/>
        <v>19</v>
      </c>
      <c r="B22" s="26" t="s">
        <v>54</v>
      </c>
      <c r="C22" s="70">
        <v>1</v>
      </c>
      <c r="D22" s="70"/>
      <c r="E22" s="70"/>
      <c r="F22" s="70"/>
      <c r="G22" s="70"/>
      <c r="H22" s="70"/>
      <c r="I22" s="70">
        <v>20</v>
      </c>
      <c r="J22" s="71"/>
      <c r="K22" s="72"/>
      <c r="L22" s="55"/>
      <c r="M22" s="73">
        <v>1</v>
      </c>
      <c r="N22" s="74"/>
      <c r="O22" s="70"/>
      <c r="P22" s="71"/>
      <c r="Q22" s="71"/>
      <c r="R22" s="72"/>
      <c r="S22" s="55"/>
      <c r="T22" s="58">
        <f t="shared" si="0"/>
        <v>20</v>
      </c>
      <c r="U22" s="75">
        <f t="shared" si="4"/>
        <v>68</v>
      </c>
      <c r="V22" s="75">
        <f t="shared" si="5"/>
        <v>2.8333333333333335</v>
      </c>
      <c r="W22" s="9"/>
      <c r="X22" s="9"/>
      <c r="Y22" s="9"/>
      <c r="Z22" s="9"/>
      <c r="AA22" s="9"/>
      <c r="AB22" s="9"/>
      <c r="AC22" s="9"/>
      <c r="AD22" s="9"/>
      <c r="AE22" s="9"/>
      <c r="AF22" s="12"/>
      <c r="AG22" s="12"/>
      <c r="AH22" s="12"/>
      <c r="AI22" s="12"/>
      <c r="AJ22" s="12"/>
      <c r="AK22" s="12"/>
      <c r="AL22" s="12"/>
      <c r="AM22" s="12"/>
      <c r="AN22" s="12"/>
      <c r="AO22" s="12"/>
      <c r="AP22" s="12"/>
      <c r="AQ22" s="12"/>
      <c r="AR22" s="12"/>
      <c r="AS22" s="12"/>
      <c r="AT22" s="12"/>
      <c r="AU22" s="12"/>
      <c r="AV22" s="12"/>
      <c r="AW22" s="12"/>
      <c r="AX22" s="12"/>
      <c r="AY22" s="12"/>
      <c r="AZ22" s="12"/>
      <c r="BA22" s="12"/>
      <c r="BB22" s="12"/>
    </row>
    <row r="23" spans="1:54" s="13" customFormat="1" x14ac:dyDescent="0.25">
      <c r="A23" s="27">
        <f t="shared" si="1"/>
        <v>20</v>
      </c>
      <c r="B23" s="26" t="s">
        <v>55</v>
      </c>
      <c r="C23" s="70"/>
      <c r="D23" s="70"/>
      <c r="E23" s="70"/>
      <c r="F23" s="70"/>
      <c r="G23" s="70"/>
      <c r="H23" s="70">
        <f>37*24+19</f>
        <v>907</v>
      </c>
      <c r="I23" s="70"/>
      <c r="J23" s="71"/>
      <c r="K23" s="72"/>
      <c r="L23" s="55"/>
      <c r="M23" s="73"/>
      <c r="N23" s="74"/>
      <c r="O23" s="70"/>
      <c r="P23" s="71"/>
      <c r="Q23" s="71"/>
      <c r="R23" s="72"/>
      <c r="S23" s="55"/>
      <c r="T23" s="58">
        <f t="shared" si="0"/>
        <v>907</v>
      </c>
      <c r="U23" s="75">
        <f t="shared" si="4"/>
        <v>907</v>
      </c>
      <c r="V23" s="75">
        <f t="shared" si="5"/>
        <v>37.791666666666664</v>
      </c>
      <c r="W23" s="9"/>
      <c r="X23" s="9"/>
      <c r="Y23" s="9"/>
      <c r="Z23" s="9"/>
      <c r="AA23" s="9"/>
      <c r="AB23" s="9"/>
      <c r="AC23" s="9"/>
      <c r="AD23" s="9"/>
      <c r="AE23" s="9"/>
      <c r="AF23" s="12"/>
      <c r="AG23" s="12"/>
      <c r="AH23" s="12"/>
      <c r="AI23" s="12"/>
      <c r="AJ23" s="12"/>
      <c r="AK23" s="12"/>
      <c r="AL23" s="12"/>
      <c r="AM23" s="12"/>
      <c r="AN23" s="12"/>
      <c r="AO23" s="12"/>
      <c r="AP23" s="12"/>
      <c r="AQ23" s="12"/>
      <c r="AR23" s="12"/>
      <c r="AS23" s="12"/>
      <c r="AT23" s="12"/>
      <c r="AU23" s="12"/>
      <c r="AV23" s="12"/>
      <c r="AW23" s="12"/>
      <c r="AX23" s="12"/>
      <c r="AY23" s="12"/>
      <c r="AZ23" s="12"/>
      <c r="BA23" s="12"/>
      <c r="BB23" s="12"/>
    </row>
    <row r="24" spans="1:54" x14ac:dyDescent="0.25">
      <c r="A24" s="27">
        <f t="shared" si="1"/>
        <v>21</v>
      </c>
      <c r="B24" s="26" t="s">
        <v>56</v>
      </c>
      <c r="C24" s="70">
        <v>2</v>
      </c>
      <c r="D24" s="70"/>
      <c r="E24" s="70"/>
      <c r="F24" s="70"/>
      <c r="G24" s="70"/>
      <c r="H24" s="70">
        <f>3*24</f>
        <v>72</v>
      </c>
      <c r="I24" s="70"/>
      <c r="J24" s="71"/>
      <c r="K24" s="72"/>
      <c r="L24" s="55"/>
      <c r="M24" s="73"/>
      <c r="N24" s="74"/>
      <c r="O24" s="70"/>
      <c r="P24" s="71"/>
      <c r="Q24" s="71"/>
      <c r="R24" s="72"/>
      <c r="S24" s="55"/>
      <c r="T24" s="58">
        <f t="shared" si="0"/>
        <v>72</v>
      </c>
      <c r="U24" s="75">
        <f t="shared" si="4"/>
        <v>120</v>
      </c>
      <c r="V24" s="75">
        <f t="shared" si="5"/>
        <v>5</v>
      </c>
      <c r="AF24" s="12"/>
      <c r="AG24" s="12"/>
      <c r="AH24" s="12"/>
      <c r="AI24" s="12"/>
      <c r="AJ24" s="12"/>
      <c r="AK24" s="12"/>
      <c r="AL24" s="12"/>
      <c r="AM24" s="12"/>
      <c r="AN24" s="12"/>
      <c r="AO24" s="12"/>
      <c r="AP24" s="12"/>
      <c r="AQ24" s="12"/>
      <c r="AR24" s="12"/>
      <c r="AS24" s="12"/>
      <c r="AT24" s="12"/>
      <c r="AU24" s="12"/>
      <c r="AV24" s="12"/>
      <c r="AW24" s="12"/>
      <c r="AX24" s="12"/>
      <c r="AY24" s="12"/>
      <c r="AZ24" s="12"/>
      <c r="BA24" s="12"/>
      <c r="BB24" s="12"/>
    </row>
    <row r="25" spans="1:54" x14ac:dyDescent="0.25">
      <c r="A25" s="27">
        <f t="shared" si="1"/>
        <v>22</v>
      </c>
      <c r="B25" s="26" t="s">
        <v>8</v>
      </c>
      <c r="C25" s="70">
        <f>35+126</f>
        <v>161</v>
      </c>
      <c r="D25" s="70"/>
      <c r="E25" s="70"/>
      <c r="F25" s="70"/>
      <c r="G25" s="70"/>
      <c r="H25" s="70"/>
      <c r="I25" s="70">
        <v>1</v>
      </c>
      <c r="J25" s="71"/>
      <c r="K25" s="72"/>
      <c r="L25" s="55"/>
      <c r="M25" s="73">
        <v>2</v>
      </c>
      <c r="N25" s="74"/>
      <c r="O25" s="70">
        <v>1</v>
      </c>
      <c r="P25" s="71"/>
      <c r="Q25" s="71">
        <v>2</v>
      </c>
      <c r="R25" s="72"/>
      <c r="S25" s="55"/>
      <c r="T25" s="58">
        <f t="shared" si="0"/>
        <v>1</v>
      </c>
      <c r="U25" s="75">
        <f t="shared" si="4"/>
        <v>3985</v>
      </c>
      <c r="V25" s="75">
        <f t="shared" si="5"/>
        <v>166.04166666666666</v>
      </c>
      <c r="AY25" s="14" t="e">
        <f>#REF!-AY24</f>
        <v>#REF!</v>
      </c>
    </row>
    <row r="26" spans="1:54" s="13" customFormat="1" x14ac:dyDescent="0.25">
      <c r="A26" s="27">
        <f t="shared" si="1"/>
        <v>23</v>
      </c>
      <c r="B26" s="26" t="s">
        <v>10</v>
      </c>
      <c r="C26" s="70"/>
      <c r="D26" s="70"/>
      <c r="E26" s="70"/>
      <c r="F26" s="70"/>
      <c r="G26" s="70"/>
      <c r="H26" s="70"/>
      <c r="I26" s="70"/>
      <c r="J26" s="71"/>
      <c r="K26" s="72"/>
      <c r="L26" s="55"/>
      <c r="M26" s="73"/>
      <c r="N26" s="74"/>
      <c r="O26" s="70"/>
      <c r="P26" s="71"/>
      <c r="Q26" s="71"/>
      <c r="R26" s="72"/>
      <c r="S26" s="55"/>
      <c r="T26" s="58">
        <f t="shared" si="0"/>
        <v>0</v>
      </c>
      <c r="U26" s="75">
        <f t="shared" si="4"/>
        <v>0</v>
      </c>
      <c r="V26" s="75">
        <f t="shared" si="5"/>
        <v>0</v>
      </c>
      <c r="W26" s="9"/>
      <c r="X26" s="9"/>
      <c r="Y26" s="9"/>
      <c r="Z26" s="9"/>
      <c r="AA26" s="9"/>
      <c r="AB26" s="9"/>
      <c r="AC26" s="9"/>
      <c r="AD26" s="9"/>
      <c r="AE26" s="9"/>
    </row>
    <row r="27" spans="1:54" s="13" customFormat="1" x14ac:dyDescent="0.25">
      <c r="A27" s="27">
        <f t="shared" si="1"/>
        <v>24</v>
      </c>
      <c r="B27" s="26" t="s">
        <v>69</v>
      </c>
      <c r="C27" s="70">
        <v>2</v>
      </c>
      <c r="D27" s="70"/>
      <c r="E27" s="70"/>
      <c r="F27" s="70"/>
      <c r="G27" s="70"/>
      <c r="H27" s="70"/>
      <c r="I27" s="70"/>
      <c r="J27" s="71"/>
      <c r="K27" s="72"/>
      <c r="L27" s="55"/>
      <c r="M27" s="73">
        <v>1</v>
      </c>
      <c r="N27" s="74"/>
      <c r="O27" s="70"/>
      <c r="P27" s="71"/>
      <c r="Q27" s="71"/>
      <c r="R27" s="72"/>
      <c r="S27" s="55"/>
      <c r="T27" s="58">
        <f t="shared" si="0"/>
        <v>0</v>
      </c>
      <c r="U27" s="75">
        <f t="shared" si="4"/>
        <v>72</v>
      </c>
      <c r="V27" s="75">
        <f t="shared" si="5"/>
        <v>3</v>
      </c>
      <c r="W27" s="9"/>
      <c r="X27" s="9"/>
      <c r="Y27" s="9"/>
      <c r="Z27" s="9"/>
      <c r="AA27" s="9"/>
      <c r="AB27" s="9"/>
      <c r="AC27" s="9"/>
      <c r="AD27" s="9"/>
      <c r="AE27" s="9"/>
    </row>
    <row r="28" spans="1:54" s="13" customFormat="1" x14ac:dyDescent="0.25">
      <c r="A28" s="27">
        <f t="shared" si="1"/>
        <v>25</v>
      </c>
      <c r="B28" s="26" t="s">
        <v>11</v>
      </c>
      <c r="C28" s="70"/>
      <c r="D28" s="70"/>
      <c r="E28" s="70"/>
      <c r="F28" s="70"/>
      <c r="G28" s="70"/>
      <c r="H28" s="70"/>
      <c r="I28" s="70"/>
      <c r="J28" s="71"/>
      <c r="K28" s="72"/>
      <c r="L28" s="55"/>
      <c r="M28" s="73"/>
      <c r="N28" s="74"/>
      <c r="O28" s="70"/>
      <c r="P28" s="71"/>
      <c r="Q28" s="71"/>
      <c r="R28" s="72"/>
      <c r="S28" s="55"/>
      <c r="T28" s="58">
        <f t="shared" si="0"/>
        <v>0</v>
      </c>
      <c r="U28" s="75">
        <f t="shared" si="4"/>
        <v>0</v>
      </c>
      <c r="V28" s="75">
        <f t="shared" si="5"/>
        <v>0</v>
      </c>
      <c r="W28" s="9"/>
      <c r="X28" s="9"/>
      <c r="Y28" s="9"/>
      <c r="Z28" s="9"/>
      <c r="AA28" s="9"/>
      <c r="AB28" s="9"/>
      <c r="AC28" s="9"/>
      <c r="AD28" s="9"/>
      <c r="AE28" s="9"/>
    </row>
    <row r="29" spans="1:54" x14ac:dyDescent="0.25">
      <c r="A29" s="27">
        <f t="shared" si="1"/>
        <v>26</v>
      </c>
      <c r="B29" s="26" t="s">
        <v>13</v>
      </c>
      <c r="C29" s="70">
        <v>9</v>
      </c>
      <c r="D29" s="70"/>
      <c r="E29" s="70"/>
      <c r="F29" s="70"/>
      <c r="G29" s="70"/>
      <c r="H29" s="70"/>
      <c r="I29" s="70">
        <v>5</v>
      </c>
      <c r="J29" s="71"/>
      <c r="K29" s="72"/>
      <c r="L29" s="55"/>
      <c r="M29" s="73">
        <v>11</v>
      </c>
      <c r="N29" s="74"/>
      <c r="O29" s="70">
        <v>1</v>
      </c>
      <c r="P29" s="71"/>
      <c r="Q29" s="71">
        <v>1</v>
      </c>
      <c r="R29" s="72"/>
      <c r="S29" s="55"/>
      <c r="T29" s="58">
        <f t="shared" si="0"/>
        <v>5</v>
      </c>
      <c r="U29" s="75">
        <f t="shared" si="4"/>
        <v>533</v>
      </c>
      <c r="V29" s="75">
        <f t="shared" si="5"/>
        <v>22.208333333333332</v>
      </c>
    </row>
    <row r="30" spans="1:54" x14ac:dyDescent="0.25">
      <c r="A30" s="27">
        <f t="shared" si="1"/>
        <v>27</v>
      </c>
      <c r="B30" s="26" t="s">
        <v>15</v>
      </c>
      <c r="C30" s="70">
        <v>4</v>
      </c>
      <c r="D30" s="70"/>
      <c r="E30" s="70"/>
      <c r="F30" s="70"/>
      <c r="G30" s="70"/>
      <c r="H30" s="70"/>
      <c r="I30" s="70"/>
      <c r="J30" s="71"/>
      <c r="K30" s="72"/>
      <c r="L30" s="55"/>
      <c r="M30" s="73">
        <v>3</v>
      </c>
      <c r="N30" s="74"/>
      <c r="O30" s="70"/>
      <c r="P30" s="71"/>
      <c r="Q30" s="71">
        <v>1</v>
      </c>
      <c r="R30" s="72"/>
      <c r="S30" s="55"/>
      <c r="T30" s="58">
        <f t="shared" si="0"/>
        <v>0</v>
      </c>
      <c r="U30" s="75">
        <f t="shared" si="4"/>
        <v>192</v>
      </c>
      <c r="V30" s="75">
        <f t="shared" si="5"/>
        <v>8</v>
      </c>
    </row>
    <row r="31" spans="1:54" x14ac:dyDescent="0.25">
      <c r="A31" s="27">
        <f t="shared" si="1"/>
        <v>28</v>
      </c>
      <c r="B31" s="26" t="s">
        <v>12</v>
      </c>
      <c r="C31" s="70"/>
      <c r="D31" s="70"/>
      <c r="E31" s="70"/>
      <c r="F31" s="70"/>
      <c r="G31" s="70"/>
      <c r="H31" s="70"/>
      <c r="I31" s="70"/>
      <c r="J31" s="71"/>
      <c r="K31" s="72"/>
      <c r="L31" s="55"/>
      <c r="M31" s="73"/>
      <c r="N31" s="74"/>
      <c r="O31" s="70"/>
      <c r="P31" s="71"/>
      <c r="Q31" s="71"/>
      <c r="R31" s="72"/>
      <c r="S31" s="55"/>
      <c r="T31" s="58">
        <f t="shared" si="0"/>
        <v>0</v>
      </c>
      <c r="U31" s="75">
        <f t="shared" si="4"/>
        <v>0</v>
      </c>
      <c r="V31" s="75">
        <f t="shared" si="5"/>
        <v>0</v>
      </c>
    </row>
    <row r="32" spans="1:54" x14ac:dyDescent="0.25">
      <c r="A32" s="27">
        <f t="shared" si="1"/>
        <v>29</v>
      </c>
      <c r="B32" s="26" t="s">
        <v>14</v>
      </c>
      <c r="C32" s="70"/>
      <c r="D32" s="70"/>
      <c r="E32" s="70"/>
      <c r="F32" s="70"/>
      <c r="G32" s="70"/>
      <c r="H32" s="70"/>
      <c r="I32" s="70"/>
      <c r="J32" s="71"/>
      <c r="K32" s="72"/>
      <c r="L32" s="55"/>
      <c r="M32" s="73"/>
      <c r="N32" s="74"/>
      <c r="O32" s="70"/>
      <c r="P32" s="71"/>
      <c r="Q32" s="71"/>
      <c r="R32" s="72"/>
      <c r="S32" s="55"/>
      <c r="T32" s="58">
        <f t="shared" si="0"/>
        <v>0</v>
      </c>
      <c r="U32" s="75">
        <f t="shared" si="4"/>
        <v>0</v>
      </c>
      <c r="V32" s="75">
        <f t="shared" si="5"/>
        <v>0</v>
      </c>
    </row>
    <row r="33" spans="1:23" x14ac:dyDescent="0.25">
      <c r="A33" s="27">
        <f t="shared" si="1"/>
        <v>30</v>
      </c>
      <c r="B33" s="26" t="s">
        <v>16</v>
      </c>
      <c r="C33" s="70"/>
      <c r="D33" s="70"/>
      <c r="E33" s="70"/>
      <c r="F33" s="70"/>
      <c r="G33" s="70"/>
      <c r="H33" s="70"/>
      <c r="I33" s="70"/>
      <c r="J33" s="71"/>
      <c r="K33" s="72"/>
      <c r="L33" s="55"/>
      <c r="M33" s="73"/>
      <c r="N33" s="74"/>
      <c r="O33" s="70"/>
      <c r="P33" s="71"/>
      <c r="Q33" s="71"/>
      <c r="R33" s="72"/>
      <c r="S33" s="55"/>
      <c r="T33" s="58">
        <f t="shared" si="0"/>
        <v>0</v>
      </c>
      <c r="U33" s="75">
        <f t="shared" si="4"/>
        <v>0</v>
      </c>
      <c r="V33" s="75">
        <f t="shared" si="5"/>
        <v>0</v>
      </c>
    </row>
    <row r="34" spans="1:23" x14ac:dyDescent="0.25">
      <c r="A34" s="27">
        <f t="shared" si="1"/>
        <v>31</v>
      </c>
      <c r="B34" s="26" t="s">
        <v>17</v>
      </c>
      <c r="C34" s="70">
        <f>144+23</f>
        <v>167</v>
      </c>
      <c r="D34" s="70"/>
      <c r="E34" s="70"/>
      <c r="F34" s="70"/>
      <c r="G34" s="70"/>
      <c r="H34" s="70"/>
      <c r="I34" s="70">
        <v>1</v>
      </c>
      <c r="J34" s="71"/>
      <c r="K34" s="72">
        <v>1</v>
      </c>
      <c r="L34" s="55"/>
      <c r="M34" s="73">
        <v>11</v>
      </c>
      <c r="N34" s="74"/>
      <c r="O34" s="70">
        <v>2</v>
      </c>
      <c r="P34" s="71"/>
      <c r="Q34" s="71">
        <v>1</v>
      </c>
      <c r="R34" s="72"/>
      <c r="S34" s="55"/>
      <c r="T34" s="58">
        <f t="shared" si="0"/>
        <v>2</v>
      </c>
      <c r="U34" s="75">
        <f t="shared" si="4"/>
        <v>4346</v>
      </c>
      <c r="V34" s="75">
        <f t="shared" si="5"/>
        <v>181.08333333333334</v>
      </c>
    </row>
    <row r="35" spans="1:23" hidden="1" x14ac:dyDescent="0.25">
      <c r="A35" s="27">
        <f t="shared" si="1"/>
        <v>32</v>
      </c>
      <c r="B35" s="26" t="s">
        <v>25</v>
      </c>
      <c r="C35" s="70"/>
      <c r="D35" s="70"/>
      <c r="E35" s="70"/>
      <c r="F35" s="70"/>
      <c r="G35" s="70"/>
      <c r="H35" s="70"/>
      <c r="I35" s="70"/>
      <c r="J35" s="71"/>
      <c r="K35" s="72"/>
      <c r="L35" s="55"/>
      <c r="M35" s="73"/>
      <c r="N35" s="74"/>
      <c r="O35" s="70"/>
      <c r="P35" s="71"/>
      <c r="Q35" s="71"/>
      <c r="R35" s="72"/>
      <c r="S35" s="55"/>
      <c r="T35" s="58">
        <f t="shared" si="0"/>
        <v>0</v>
      </c>
      <c r="U35" s="75">
        <f t="shared" si="4"/>
        <v>0</v>
      </c>
      <c r="V35" s="75">
        <f t="shared" si="5"/>
        <v>0</v>
      </c>
    </row>
    <row r="36" spans="1:23" x14ac:dyDescent="0.25">
      <c r="A36" s="27">
        <f t="shared" si="1"/>
        <v>33</v>
      </c>
      <c r="B36" s="26" t="s">
        <v>18</v>
      </c>
      <c r="C36" s="70"/>
      <c r="D36" s="70"/>
      <c r="E36" s="70"/>
      <c r="F36" s="70"/>
      <c r="G36" s="70"/>
      <c r="H36" s="70"/>
      <c r="I36" s="70"/>
      <c r="J36" s="71"/>
      <c r="K36" s="72"/>
      <c r="L36" s="55"/>
      <c r="M36" s="73"/>
      <c r="N36" s="74"/>
      <c r="O36" s="70"/>
      <c r="P36" s="71"/>
      <c r="Q36" s="71"/>
      <c r="R36" s="72"/>
      <c r="S36" s="55"/>
      <c r="T36" s="58">
        <f t="shared" si="0"/>
        <v>0</v>
      </c>
      <c r="U36" s="75">
        <f t="shared" si="4"/>
        <v>0</v>
      </c>
      <c r="V36" s="75">
        <f t="shared" si="5"/>
        <v>0</v>
      </c>
    </row>
    <row r="37" spans="1:23" ht="19.5" thickBot="1" x14ac:dyDescent="0.3">
      <c r="A37" s="27">
        <f t="shared" si="1"/>
        <v>34</v>
      </c>
      <c r="B37" s="42" t="s">
        <v>19</v>
      </c>
      <c r="C37" s="59">
        <f>64+864+2376</f>
        <v>3304</v>
      </c>
      <c r="D37" s="59"/>
      <c r="E37" s="59"/>
      <c r="F37" s="59"/>
      <c r="G37" s="59"/>
      <c r="H37" s="59">
        <v>3</v>
      </c>
      <c r="I37" s="59">
        <v>2</v>
      </c>
      <c r="J37" s="60">
        <v>6</v>
      </c>
      <c r="K37" s="61">
        <f>6+2</f>
        <v>8</v>
      </c>
      <c r="L37" s="62"/>
      <c r="M37" s="63">
        <v>35</v>
      </c>
      <c r="N37" s="64"/>
      <c r="O37" s="65">
        <v>25</v>
      </c>
      <c r="P37" s="66"/>
      <c r="Q37" s="66">
        <v>157</v>
      </c>
      <c r="R37" s="67"/>
      <c r="S37" s="62"/>
      <c r="T37" s="77">
        <f t="shared" si="0"/>
        <v>19</v>
      </c>
      <c r="U37" s="77">
        <f>C37*6+M37*6+O37*6+Q37*6+T37</f>
        <v>21145</v>
      </c>
      <c r="V37" s="77">
        <f>U37/6</f>
        <v>3524.1666666666665</v>
      </c>
      <c r="W37" s="50"/>
    </row>
    <row r="38" spans="1:23" x14ac:dyDescent="0.25">
      <c r="A38" s="27">
        <f t="shared" si="1"/>
        <v>35</v>
      </c>
      <c r="B38" s="25" t="s">
        <v>20</v>
      </c>
      <c r="C38" s="70"/>
      <c r="D38" s="70"/>
      <c r="E38" s="70"/>
      <c r="F38" s="70"/>
      <c r="G38" s="70"/>
      <c r="H38" s="70"/>
      <c r="I38" s="70"/>
      <c r="J38" s="71"/>
      <c r="K38" s="72"/>
      <c r="L38" s="55"/>
      <c r="M38" s="73"/>
      <c r="N38" s="74"/>
      <c r="O38" s="70"/>
      <c r="P38" s="71"/>
      <c r="Q38" s="71"/>
      <c r="R38" s="72"/>
      <c r="S38" s="55"/>
      <c r="T38" s="75">
        <f t="shared" si="0"/>
        <v>0</v>
      </c>
      <c r="U38" s="75">
        <f>C38*24+M38*24+O38*24+Q38*24+T38</f>
        <v>0</v>
      </c>
      <c r="V38" s="75">
        <f>U38/24</f>
        <v>0</v>
      </c>
    </row>
    <row r="39" spans="1:23" x14ac:dyDescent="0.25">
      <c r="A39" s="27">
        <f t="shared" si="1"/>
        <v>36</v>
      </c>
      <c r="B39" s="51" t="s">
        <v>62</v>
      </c>
      <c r="C39" s="78"/>
      <c r="D39" s="78"/>
      <c r="E39" s="78"/>
      <c r="F39" s="78"/>
      <c r="G39" s="78"/>
      <c r="H39" s="78"/>
      <c r="I39" s="78"/>
      <c r="J39" s="79"/>
      <c r="K39" s="80"/>
      <c r="L39" s="55"/>
      <c r="M39" s="73"/>
      <c r="N39" s="74"/>
      <c r="O39" s="70"/>
      <c r="P39" s="71"/>
      <c r="Q39" s="71"/>
      <c r="R39" s="72"/>
      <c r="S39" s="95"/>
      <c r="T39" s="75">
        <f t="shared" si="0"/>
        <v>0</v>
      </c>
      <c r="U39" s="75">
        <f>C39*24+M39*24+O39*24+Q39*24+T39</f>
        <v>0</v>
      </c>
      <c r="V39" s="75">
        <f>U39/24</f>
        <v>0</v>
      </c>
    </row>
    <row r="40" spans="1:23" ht="19.5" thickBot="1" x14ac:dyDescent="0.3">
      <c r="A40" s="27">
        <f t="shared" si="1"/>
        <v>37</v>
      </c>
      <c r="B40" s="42" t="s">
        <v>21</v>
      </c>
      <c r="C40" s="59">
        <f>189+66</f>
        <v>255</v>
      </c>
      <c r="D40" s="59"/>
      <c r="E40" s="59"/>
      <c r="F40" s="59"/>
      <c r="G40" s="59"/>
      <c r="H40" s="59"/>
      <c r="I40" s="59"/>
      <c r="J40" s="60"/>
      <c r="K40" s="61">
        <v>20</v>
      </c>
      <c r="L40" s="62"/>
      <c r="M40" s="63">
        <v>1</v>
      </c>
      <c r="N40" s="64"/>
      <c r="O40" s="65">
        <v>2</v>
      </c>
      <c r="P40" s="66"/>
      <c r="Q40" s="66">
        <v>2</v>
      </c>
      <c r="R40" s="67"/>
      <c r="S40" s="62"/>
      <c r="T40" s="77">
        <f t="shared" si="0"/>
        <v>20</v>
      </c>
      <c r="U40" s="77">
        <f>C40*24+M40*24+O40*24+Q40*24+T40</f>
        <v>6260</v>
      </c>
      <c r="V40" s="77">
        <f>U40/24</f>
        <v>260.83333333333331</v>
      </c>
    </row>
    <row r="41" spans="1:23" ht="19.5" thickBot="1" x14ac:dyDescent="0.3">
      <c r="A41" s="27">
        <f t="shared" si="1"/>
        <v>38</v>
      </c>
      <c r="B41" s="43" t="s">
        <v>22</v>
      </c>
      <c r="C41" s="82">
        <f>288+39</f>
        <v>327</v>
      </c>
      <c r="D41" s="82"/>
      <c r="E41" s="82"/>
      <c r="F41" s="82"/>
      <c r="G41" s="82"/>
      <c r="H41" s="82"/>
      <c r="I41" s="82"/>
      <c r="J41" s="83"/>
      <c r="K41" s="84"/>
      <c r="L41" s="85"/>
      <c r="M41" s="86">
        <v>25</v>
      </c>
      <c r="N41" s="87"/>
      <c r="O41" s="82">
        <v>9</v>
      </c>
      <c r="P41" s="83"/>
      <c r="Q41" s="83">
        <v>44</v>
      </c>
      <c r="R41" s="84"/>
      <c r="S41" s="85"/>
      <c r="T41" s="88">
        <f t="shared" si="0"/>
        <v>0</v>
      </c>
      <c r="U41" s="88">
        <f>C41*12+M41*12+O41*12+Q41*12+T41</f>
        <v>4860</v>
      </c>
      <c r="V41" s="88">
        <f>U41/12</f>
        <v>405</v>
      </c>
    </row>
    <row r="42" spans="1:23" hidden="1" x14ac:dyDescent="0.25">
      <c r="A42" s="27">
        <f t="shared" si="1"/>
        <v>39</v>
      </c>
      <c r="B42" s="25" t="s">
        <v>29</v>
      </c>
      <c r="C42" s="70"/>
      <c r="D42" s="70"/>
      <c r="E42" s="70"/>
      <c r="F42" s="70"/>
      <c r="G42" s="70"/>
      <c r="H42" s="70"/>
      <c r="I42" s="70"/>
      <c r="J42" s="71"/>
      <c r="K42" s="72"/>
      <c r="L42" s="55"/>
      <c r="M42" s="73"/>
      <c r="N42" s="74"/>
      <c r="O42" s="70"/>
      <c r="P42" s="71"/>
      <c r="Q42" s="71"/>
      <c r="R42" s="72"/>
      <c r="S42" s="55"/>
      <c r="T42" s="75"/>
      <c r="U42" s="75"/>
      <c r="V42" s="75"/>
    </row>
    <row r="43" spans="1:23" ht="19.5" thickBot="1" x14ac:dyDescent="0.3">
      <c r="A43" s="27">
        <f t="shared" si="1"/>
        <v>40</v>
      </c>
      <c r="B43" s="42" t="s">
        <v>23</v>
      </c>
      <c r="C43" s="65">
        <f>8856+9720+19764</f>
        <v>38340</v>
      </c>
      <c r="D43" s="65"/>
      <c r="E43" s="65"/>
      <c r="F43" s="65"/>
      <c r="G43" s="65"/>
      <c r="H43" s="65">
        <v>9</v>
      </c>
      <c r="I43" s="65">
        <v>12</v>
      </c>
      <c r="J43" s="66">
        <f>26*6+4</f>
        <v>160</v>
      </c>
      <c r="K43" s="67">
        <f>69*6+1</f>
        <v>415</v>
      </c>
      <c r="L43" s="62"/>
      <c r="M43" s="63">
        <v>422</v>
      </c>
      <c r="N43" s="64"/>
      <c r="O43" s="65">
        <v>443</v>
      </c>
      <c r="P43" s="66"/>
      <c r="Q43" s="66">
        <v>563</v>
      </c>
      <c r="R43" s="67"/>
      <c r="S43" s="62"/>
      <c r="T43" s="77">
        <f t="shared" ref="T43" si="6">H43+I43+J43+K43+N43+P43+R43</f>
        <v>596</v>
      </c>
      <c r="U43" s="77">
        <f>C43*6+M43*6+O43*6+Q43*6+T43</f>
        <v>239204</v>
      </c>
      <c r="V43" s="77">
        <f>U43/6</f>
        <v>39867.333333333336</v>
      </c>
    </row>
    <row r="44" spans="1:23" hidden="1" x14ac:dyDescent="0.25">
      <c r="A44" s="27">
        <f t="shared" si="1"/>
        <v>41</v>
      </c>
      <c r="B44" s="25" t="s">
        <v>31</v>
      </c>
      <c r="C44" s="70"/>
      <c r="D44" s="70"/>
      <c r="E44" s="70"/>
      <c r="F44" s="70"/>
      <c r="G44" s="70"/>
      <c r="H44" s="70"/>
      <c r="I44" s="70"/>
      <c r="J44" s="71"/>
      <c r="K44" s="72"/>
      <c r="L44" s="55"/>
      <c r="M44" s="73"/>
      <c r="N44" s="74"/>
      <c r="O44" s="70"/>
      <c r="P44" s="71"/>
      <c r="Q44" s="71"/>
      <c r="R44" s="72"/>
      <c r="S44" s="55"/>
      <c r="T44" s="75"/>
      <c r="U44" s="75"/>
      <c r="V44" s="75"/>
    </row>
    <row r="45" spans="1:23" x14ac:dyDescent="0.25">
      <c r="A45" s="27">
        <f t="shared" si="1"/>
        <v>42</v>
      </c>
      <c r="B45" s="26" t="s">
        <v>24</v>
      </c>
      <c r="C45" s="70"/>
      <c r="D45" s="70"/>
      <c r="E45" s="70"/>
      <c r="F45" s="70"/>
      <c r="G45" s="70"/>
      <c r="H45" s="70"/>
      <c r="I45" s="70"/>
      <c r="J45" s="71"/>
      <c r="K45" s="72"/>
      <c r="L45" s="55"/>
      <c r="M45" s="73"/>
      <c r="N45" s="74"/>
      <c r="O45" s="70"/>
      <c r="P45" s="71"/>
      <c r="Q45" s="71"/>
      <c r="R45" s="72"/>
      <c r="S45" s="55"/>
      <c r="T45" s="75">
        <f t="shared" ref="T45:T54" si="7">H45+I45+J45+K45+N45+P45+R45</f>
        <v>0</v>
      </c>
      <c r="U45" s="75">
        <f>C45*24+M45*24+O45*24+Q45*24+T45</f>
        <v>0</v>
      </c>
      <c r="V45" s="75">
        <f>U45/24</f>
        <v>0</v>
      </c>
    </row>
    <row r="46" spans="1:23" x14ac:dyDescent="0.25">
      <c r="A46" s="27">
        <f t="shared" si="1"/>
        <v>43</v>
      </c>
      <c r="B46" s="26" t="s">
        <v>57</v>
      </c>
      <c r="C46" s="70"/>
      <c r="D46" s="70"/>
      <c r="E46" s="70"/>
      <c r="F46" s="70"/>
      <c r="G46" s="70"/>
      <c r="H46" s="70"/>
      <c r="I46" s="70"/>
      <c r="J46" s="71"/>
      <c r="K46" s="72"/>
      <c r="L46" s="55"/>
      <c r="M46" s="73"/>
      <c r="N46" s="74"/>
      <c r="O46" s="70"/>
      <c r="P46" s="71"/>
      <c r="Q46" s="71"/>
      <c r="R46" s="72"/>
      <c r="S46" s="55"/>
      <c r="T46" s="75">
        <f t="shared" si="7"/>
        <v>0</v>
      </c>
      <c r="U46" s="75">
        <f t="shared" ref="U46:U50" si="8">C46*24+M46*24+O46*24+Q46*24+T46</f>
        <v>0</v>
      </c>
      <c r="V46" s="75">
        <f t="shared" ref="V46:V54" si="9">U46/24</f>
        <v>0</v>
      </c>
    </row>
    <row r="47" spans="1:23" ht="19.5" thickBot="1" x14ac:dyDescent="0.3">
      <c r="A47" s="27">
        <f t="shared" si="1"/>
        <v>44</v>
      </c>
      <c r="B47" s="42" t="s">
        <v>25</v>
      </c>
      <c r="C47" s="65">
        <f>89+648+324+88+432+98+103+324+432+106</f>
        <v>2644</v>
      </c>
      <c r="D47" s="65"/>
      <c r="E47" s="65"/>
      <c r="F47" s="65"/>
      <c r="G47" s="65"/>
      <c r="H47" s="65">
        <v>1</v>
      </c>
      <c r="I47" s="65"/>
      <c r="J47" s="66"/>
      <c r="K47" s="67">
        <v>5</v>
      </c>
      <c r="L47" s="62"/>
      <c r="M47" s="63">
        <v>15</v>
      </c>
      <c r="N47" s="64"/>
      <c r="O47" s="65">
        <v>15</v>
      </c>
      <c r="P47" s="66"/>
      <c r="Q47" s="66">
        <v>5</v>
      </c>
      <c r="R47" s="67">
        <v>3</v>
      </c>
      <c r="S47" s="62"/>
      <c r="T47" s="77">
        <f t="shared" si="7"/>
        <v>9</v>
      </c>
      <c r="U47" s="77">
        <f>C47*6+M47*6+O47*6+Q47*6+T47</f>
        <v>16083</v>
      </c>
      <c r="V47" s="77">
        <f>U47/6</f>
        <v>2680.5</v>
      </c>
    </row>
    <row r="48" spans="1:23" x14ac:dyDescent="0.25">
      <c r="A48" s="27">
        <f t="shared" si="1"/>
        <v>45</v>
      </c>
      <c r="B48" s="25" t="s">
        <v>58</v>
      </c>
      <c r="C48" s="70"/>
      <c r="D48" s="70"/>
      <c r="E48" s="70"/>
      <c r="F48" s="70"/>
      <c r="G48" s="70"/>
      <c r="H48" s="70">
        <v>24</v>
      </c>
      <c r="I48" s="70"/>
      <c r="J48" s="71"/>
      <c r="K48" s="72"/>
      <c r="L48" s="55"/>
      <c r="M48" s="73"/>
      <c r="N48" s="74"/>
      <c r="O48" s="70"/>
      <c r="P48" s="71"/>
      <c r="Q48" s="71"/>
      <c r="R48" s="72"/>
      <c r="S48" s="55"/>
      <c r="T48" s="75">
        <f t="shared" si="7"/>
        <v>24</v>
      </c>
      <c r="U48" s="75">
        <f t="shared" si="8"/>
        <v>24</v>
      </c>
      <c r="V48" s="75">
        <f t="shared" si="9"/>
        <v>1</v>
      </c>
    </row>
    <row r="49" spans="1:22" x14ac:dyDescent="0.25">
      <c r="A49" s="27">
        <f t="shared" si="1"/>
        <v>46</v>
      </c>
      <c r="B49" s="26" t="s">
        <v>26</v>
      </c>
      <c r="C49" s="70"/>
      <c r="D49" s="70"/>
      <c r="E49" s="70"/>
      <c r="F49" s="70"/>
      <c r="G49" s="70"/>
      <c r="H49" s="70"/>
      <c r="I49" s="70"/>
      <c r="J49" s="71"/>
      <c r="K49" s="72"/>
      <c r="L49" s="55"/>
      <c r="M49" s="73"/>
      <c r="N49" s="74"/>
      <c r="O49" s="70"/>
      <c r="P49" s="71"/>
      <c r="Q49" s="71"/>
      <c r="R49" s="72"/>
      <c r="S49" s="55"/>
      <c r="T49" s="75">
        <f t="shared" si="7"/>
        <v>0</v>
      </c>
      <c r="U49" s="75">
        <f t="shared" si="8"/>
        <v>0</v>
      </c>
      <c r="V49" s="75">
        <f t="shared" si="9"/>
        <v>0</v>
      </c>
    </row>
    <row r="50" spans="1:22" x14ac:dyDescent="0.25">
      <c r="A50" s="27">
        <f t="shared" si="1"/>
        <v>47</v>
      </c>
      <c r="B50" s="26" t="s">
        <v>59</v>
      </c>
      <c r="C50" s="70"/>
      <c r="D50" s="70"/>
      <c r="E50" s="70"/>
      <c r="F50" s="70"/>
      <c r="G50" s="70"/>
      <c r="H50" s="70"/>
      <c r="I50" s="70"/>
      <c r="J50" s="71"/>
      <c r="K50" s="72"/>
      <c r="L50" s="55"/>
      <c r="M50" s="73"/>
      <c r="N50" s="74"/>
      <c r="O50" s="70"/>
      <c r="P50" s="71"/>
      <c r="Q50" s="71"/>
      <c r="R50" s="72"/>
      <c r="S50" s="55"/>
      <c r="T50" s="75">
        <f t="shared" si="7"/>
        <v>0</v>
      </c>
      <c r="U50" s="75">
        <f t="shared" si="8"/>
        <v>0</v>
      </c>
      <c r="V50" s="75">
        <f t="shared" si="9"/>
        <v>0</v>
      </c>
    </row>
    <row r="51" spans="1:22" ht="19.5" thickBot="1" x14ac:dyDescent="0.3">
      <c r="A51" s="27">
        <f t="shared" si="1"/>
        <v>48</v>
      </c>
      <c r="B51" s="42" t="s">
        <v>27</v>
      </c>
      <c r="C51" s="65">
        <v>34</v>
      </c>
      <c r="D51" s="65"/>
      <c r="E51" s="65"/>
      <c r="F51" s="65"/>
      <c r="G51" s="65"/>
      <c r="H51" s="65"/>
      <c r="I51" s="65"/>
      <c r="J51" s="66"/>
      <c r="K51" s="67"/>
      <c r="L51" s="62"/>
      <c r="M51" s="63"/>
      <c r="N51" s="64"/>
      <c r="O51" s="65"/>
      <c r="P51" s="66"/>
      <c r="Q51" s="66"/>
      <c r="R51" s="67"/>
      <c r="S51" s="62"/>
      <c r="T51" s="77">
        <f t="shared" si="7"/>
        <v>0</v>
      </c>
      <c r="U51" s="77">
        <f>C51*6+M51*6+O51*6+Q51*6+T51</f>
        <v>204</v>
      </c>
      <c r="V51" s="77">
        <f>U51/6</f>
        <v>34</v>
      </c>
    </row>
    <row r="52" spans="1:22" x14ac:dyDescent="0.25">
      <c r="A52" s="27">
        <f t="shared" si="1"/>
        <v>49</v>
      </c>
      <c r="B52" s="25" t="s">
        <v>28</v>
      </c>
      <c r="C52" s="70"/>
      <c r="D52" s="70"/>
      <c r="E52" s="70"/>
      <c r="F52" s="70"/>
      <c r="G52" s="70"/>
      <c r="H52" s="70"/>
      <c r="I52" s="70"/>
      <c r="J52" s="71"/>
      <c r="K52" s="72"/>
      <c r="L52" s="55"/>
      <c r="M52" s="73"/>
      <c r="N52" s="74"/>
      <c r="O52" s="70"/>
      <c r="P52" s="71"/>
      <c r="Q52" s="71"/>
      <c r="R52" s="72"/>
      <c r="S52" s="55"/>
      <c r="T52" s="75">
        <f t="shared" si="7"/>
        <v>0</v>
      </c>
      <c r="U52" s="75">
        <f t="shared" ref="U52:U54" si="10">C52*24+M52*24+O52*24+Q52*24+T52</f>
        <v>0</v>
      </c>
      <c r="V52" s="75">
        <f t="shared" si="9"/>
        <v>0</v>
      </c>
    </row>
    <row r="53" spans="1:22" x14ac:dyDescent="0.25">
      <c r="A53" s="27">
        <f t="shared" si="1"/>
        <v>50</v>
      </c>
      <c r="B53" s="26" t="s">
        <v>63</v>
      </c>
      <c r="C53" s="70">
        <v>7</v>
      </c>
      <c r="D53" s="70"/>
      <c r="E53" s="70"/>
      <c r="F53" s="70"/>
      <c r="G53" s="70"/>
      <c r="H53" s="70"/>
      <c r="I53" s="70"/>
      <c r="J53" s="71"/>
      <c r="K53" s="72"/>
      <c r="L53" s="55"/>
      <c r="M53" s="73"/>
      <c r="N53" s="74"/>
      <c r="O53" s="70"/>
      <c r="P53" s="71"/>
      <c r="Q53" s="71"/>
      <c r="R53" s="72"/>
      <c r="S53" s="55"/>
      <c r="T53" s="75">
        <f t="shared" si="7"/>
        <v>0</v>
      </c>
      <c r="U53" s="75">
        <f t="shared" si="10"/>
        <v>168</v>
      </c>
      <c r="V53" s="75">
        <f t="shared" si="9"/>
        <v>7</v>
      </c>
    </row>
    <row r="54" spans="1:22" x14ac:dyDescent="0.25">
      <c r="A54" s="27">
        <f t="shared" si="1"/>
        <v>51</v>
      </c>
      <c r="B54" s="26"/>
      <c r="C54" s="70"/>
      <c r="D54" s="70"/>
      <c r="E54" s="70"/>
      <c r="F54" s="70"/>
      <c r="G54" s="70"/>
      <c r="H54" s="70"/>
      <c r="I54" s="70"/>
      <c r="J54" s="71"/>
      <c r="K54" s="72"/>
      <c r="L54" s="55"/>
      <c r="M54" s="73"/>
      <c r="N54" s="74"/>
      <c r="O54" s="70"/>
      <c r="P54" s="71"/>
      <c r="Q54" s="71"/>
      <c r="R54" s="72"/>
      <c r="S54" s="55"/>
      <c r="T54" s="75">
        <f t="shared" si="7"/>
        <v>0</v>
      </c>
      <c r="U54" s="75">
        <f t="shared" si="10"/>
        <v>0</v>
      </c>
      <c r="V54" s="75">
        <f t="shared" si="9"/>
        <v>0</v>
      </c>
    </row>
    <row r="55" spans="1:22" x14ac:dyDescent="0.25">
      <c r="A55" s="27">
        <f t="shared" si="1"/>
        <v>52</v>
      </c>
      <c r="B55" s="26"/>
      <c r="C55" s="70"/>
      <c r="D55" s="70"/>
      <c r="E55" s="70"/>
      <c r="F55" s="70"/>
      <c r="G55" s="70"/>
      <c r="H55" s="70"/>
      <c r="I55" s="70"/>
      <c r="J55" s="71"/>
      <c r="K55" s="72"/>
      <c r="L55" s="55"/>
      <c r="M55" s="73"/>
      <c r="N55" s="74"/>
      <c r="O55" s="70"/>
      <c r="P55" s="71"/>
      <c r="Q55" s="71"/>
      <c r="R55" s="72"/>
      <c r="S55" s="55"/>
      <c r="T55" s="75"/>
      <c r="U55" s="75"/>
      <c r="V55" s="75"/>
    </row>
    <row r="56" spans="1:22" x14ac:dyDescent="0.25">
      <c r="A56" s="27">
        <f t="shared" si="1"/>
        <v>53</v>
      </c>
      <c r="B56" s="26"/>
      <c r="C56" s="70"/>
      <c r="D56" s="70"/>
      <c r="E56" s="70"/>
      <c r="F56" s="70"/>
      <c r="G56" s="70"/>
      <c r="H56" s="70"/>
      <c r="I56" s="70"/>
      <c r="J56" s="71"/>
      <c r="K56" s="72"/>
      <c r="L56" s="55"/>
      <c r="M56" s="73"/>
      <c r="N56" s="74"/>
      <c r="O56" s="70"/>
      <c r="P56" s="71"/>
      <c r="Q56" s="71"/>
      <c r="R56" s="72"/>
      <c r="S56" s="55"/>
      <c r="T56" s="75"/>
      <c r="U56" s="75"/>
      <c r="V56" s="75"/>
    </row>
    <row r="57" spans="1:22" x14ac:dyDescent="0.25">
      <c r="A57" s="27">
        <f t="shared" si="1"/>
        <v>54</v>
      </c>
      <c r="B57" s="26"/>
      <c r="C57" s="70"/>
      <c r="D57" s="70"/>
      <c r="E57" s="70"/>
      <c r="F57" s="70"/>
      <c r="G57" s="70"/>
      <c r="H57" s="70"/>
      <c r="I57" s="70"/>
      <c r="J57" s="71"/>
      <c r="K57" s="72"/>
      <c r="L57" s="55"/>
      <c r="M57" s="73"/>
      <c r="N57" s="74"/>
      <c r="O57" s="70"/>
      <c r="P57" s="71"/>
      <c r="Q57" s="71"/>
      <c r="R57" s="72"/>
      <c r="S57" s="55"/>
      <c r="T57" s="75"/>
      <c r="U57" s="75"/>
      <c r="V57" s="75"/>
    </row>
    <row r="58" spans="1:22" s="15" customFormat="1" ht="19.5" thickBot="1" x14ac:dyDescent="0.3">
      <c r="B58" s="29" t="s">
        <v>50</v>
      </c>
      <c r="C58" s="2">
        <f>SUM(C7:C57)</f>
        <v>48611</v>
      </c>
      <c r="D58" s="2"/>
      <c r="E58" s="2"/>
      <c r="F58" s="2">
        <f t="shared" ref="F58:K58" si="11">SUM(F7:F57)</f>
        <v>0</v>
      </c>
      <c r="G58" s="2">
        <f t="shared" si="11"/>
        <v>0</v>
      </c>
      <c r="H58" s="2">
        <f t="shared" si="11"/>
        <v>1196</v>
      </c>
      <c r="I58" s="6">
        <f t="shared" si="11"/>
        <v>44</v>
      </c>
      <c r="J58" s="6">
        <f t="shared" si="11"/>
        <v>166</v>
      </c>
      <c r="K58" s="6">
        <f t="shared" si="11"/>
        <v>457</v>
      </c>
      <c r="M58" s="5">
        <f t="shared" ref="M58:R58" si="12">SUM(M7:M57)</f>
        <v>573</v>
      </c>
      <c r="N58" s="5">
        <f t="shared" si="12"/>
        <v>20</v>
      </c>
      <c r="O58" s="5">
        <f t="shared" si="12"/>
        <v>511</v>
      </c>
      <c r="P58" s="5">
        <f t="shared" si="12"/>
        <v>30</v>
      </c>
      <c r="Q58" s="5">
        <f t="shared" si="12"/>
        <v>798</v>
      </c>
      <c r="R58" s="5">
        <f t="shared" si="12"/>
        <v>3</v>
      </c>
      <c r="S58" s="55"/>
      <c r="T58" s="4">
        <f>SUM(T7:T57)</f>
        <v>1916</v>
      </c>
      <c r="U58" s="90">
        <f>SUM(U7:U57)</f>
        <v>380852</v>
      </c>
      <c r="V58" s="4">
        <f>SUM(V7:V57)</f>
        <v>50650.833333333336</v>
      </c>
    </row>
    <row r="59" spans="1:22" ht="7.5" customHeight="1" thickBot="1" x14ac:dyDescent="0.3"/>
    <row r="60" spans="1:22" ht="19.5" thickBot="1" x14ac:dyDescent="0.3">
      <c r="B60" s="30" t="s">
        <v>37</v>
      </c>
      <c r="C60" s="113" t="s">
        <v>41</v>
      </c>
      <c r="D60" s="114"/>
      <c r="E60" s="114"/>
      <c r="F60" s="114"/>
      <c r="G60" s="114"/>
      <c r="H60" s="114"/>
      <c r="I60" s="114"/>
      <c r="J60" s="114"/>
      <c r="K60" s="115"/>
      <c r="U60" s="24" t="s">
        <v>51</v>
      </c>
    </row>
    <row r="61" spans="1:22" x14ac:dyDescent="0.25">
      <c r="B61" s="31" t="s">
        <v>17</v>
      </c>
      <c r="C61" s="19"/>
      <c r="D61" s="19"/>
      <c r="E61" s="19"/>
      <c r="F61" s="19"/>
      <c r="G61" s="19"/>
      <c r="H61" s="19"/>
      <c r="I61" s="19"/>
      <c r="J61" s="45"/>
      <c r="K61" s="20"/>
      <c r="U61" s="7"/>
    </row>
    <row r="62" spans="1:22" x14ac:dyDescent="0.25">
      <c r="B62" s="32" t="s">
        <v>45</v>
      </c>
      <c r="C62" s="1"/>
      <c r="D62" s="1"/>
      <c r="E62" s="1"/>
      <c r="F62" s="1"/>
      <c r="G62" s="1"/>
      <c r="H62" s="1"/>
      <c r="I62" s="1"/>
      <c r="J62" s="44"/>
      <c r="K62" s="21"/>
      <c r="U62" s="3"/>
    </row>
    <row r="63" spans="1:22" ht="19.5" thickBot="1" x14ac:dyDescent="0.3">
      <c r="B63" s="33" t="s">
        <v>44</v>
      </c>
      <c r="C63" s="22"/>
      <c r="D63" s="22"/>
      <c r="E63" s="22"/>
      <c r="F63" s="22"/>
      <c r="G63" s="22"/>
      <c r="H63" s="22"/>
      <c r="I63" s="22"/>
      <c r="J63" s="46"/>
      <c r="K63" s="23"/>
      <c r="U63" s="8"/>
    </row>
    <row r="64" spans="1:22" ht="7.5" customHeight="1" thickBot="1" x14ac:dyDescent="0.3"/>
    <row r="65" spans="2:21" x14ac:dyDescent="0.25">
      <c r="B65" s="31" t="s">
        <v>46</v>
      </c>
      <c r="C65" s="19"/>
      <c r="D65" s="19"/>
      <c r="E65" s="19"/>
      <c r="F65" s="19"/>
      <c r="G65" s="19"/>
      <c r="H65" s="19"/>
      <c r="I65" s="19"/>
      <c r="J65" s="45"/>
      <c r="K65" s="20"/>
      <c r="U65" s="7"/>
    </row>
    <row r="66" spans="2:21" x14ac:dyDescent="0.25">
      <c r="B66" s="32" t="s">
        <v>45</v>
      </c>
      <c r="C66" s="1"/>
      <c r="D66" s="1"/>
      <c r="E66" s="1"/>
      <c r="F66" s="1"/>
      <c r="G66" s="1"/>
      <c r="H66" s="1"/>
      <c r="I66" s="1"/>
      <c r="J66" s="44"/>
      <c r="K66" s="21"/>
      <c r="U66" s="3"/>
    </row>
    <row r="67" spans="2:21" ht="19.5" thickBot="1" x14ac:dyDescent="0.3">
      <c r="B67" s="33" t="s">
        <v>44</v>
      </c>
      <c r="C67" s="22"/>
      <c r="D67" s="22"/>
      <c r="E67" s="22"/>
      <c r="F67" s="22"/>
      <c r="G67" s="22"/>
      <c r="H67" s="22"/>
      <c r="I67" s="22"/>
      <c r="J67" s="46"/>
      <c r="K67" s="23"/>
      <c r="U67" s="8"/>
    </row>
    <row r="68" spans="2:21" ht="7.5" customHeight="1" thickBot="1" x14ac:dyDescent="0.3"/>
    <row r="69" spans="2:21" x14ac:dyDescent="0.25">
      <c r="B69" s="31" t="s">
        <v>38</v>
      </c>
      <c r="C69" s="19"/>
      <c r="D69" s="19"/>
      <c r="E69" s="19"/>
      <c r="F69" s="19"/>
      <c r="G69" s="19"/>
      <c r="H69" s="19"/>
      <c r="I69" s="19"/>
      <c r="J69" s="45"/>
      <c r="K69" s="20"/>
      <c r="U69" s="7"/>
    </row>
    <row r="70" spans="2:21" x14ac:dyDescent="0.25">
      <c r="B70" s="32" t="s">
        <v>45</v>
      </c>
      <c r="C70" s="1"/>
      <c r="D70" s="1"/>
      <c r="E70" s="1"/>
      <c r="F70" s="1"/>
      <c r="G70" s="1"/>
      <c r="H70" s="1"/>
      <c r="I70" s="1"/>
      <c r="J70" s="44"/>
      <c r="K70" s="21"/>
      <c r="U70" s="3"/>
    </row>
    <row r="71" spans="2:21" ht="19.5" thickBot="1" x14ac:dyDescent="0.3">
      <c r="B71" s="33" t="s">
        <v>44</v>
      </c>
      <c r="C71" s="22"/>
      <c r="D71" s="22"/>
      <c r="E71" s="22"/>
      <c r="F71" s="22"/>
      <c r="G71" s="22"/>
      <c r="H71" s="22"/>
      <c r="I71" s="22"/>
      <c r="J71" s="46"/>
      <c r="K71" s="23"/>
      <c r="U71" s="8"/>
    </row>
    <row r="72" spans="2:21" ht="7.5" customHeight="1" thickBot="1" x14ac:dyDescent="0.3"/>
    <row r="73" spans="2:21" x14ac:dyDescent="0.25">
      <c r="B73" s="31" t="s">
        <v>47</v>
      </c>
      <c r="C73" s="19"/>
      <c r="D73" s="19"/>
      <c r="E73" s="19"/>
      <c r="F73" s="19"/>
      <c r="G73" s="19"/>
      <c r="H73" s="19"/>
      <c r="I73" s="19"/>
      <c r="J73" s="45"/>
      <c r="K73" s="20"/>
      <c r="U73" s="7"/>
    </row>
    <row r="74" spans="2:21" x14ac:dyDescent="0.25">
      <c r="B74" s="32" t="s">
        <v>45</v>
      </c>
      <c r="C74" s="1"/>
      <c r="D74" s="1"/>
      <c r="E74" s="1"/>
      <c r="F74" s="1"/>
      <c r="G74" s="1"/>
      <c r="H74" s="1"/>
      <c r="I74" s="1"/>
      <c r="J74" s="44"/>
      <c r="K74" s="21"/>
      <c r="U74" s="3"/>
    </row>
    <row r="75" spans="2:21" ht="19.5" thickBot="1" x14ac:dyDescent="0.3">
      <c r="B75" s="33" t="s">
        <v>44</v>
      </c>
      <c r="C75" s="22"/>
      <c r="D75" s="22"/>
      <c r="E75" s="22"/>
      <c r="F75" s="22"/>
      <c r="G75" s="22"/>
      <c r="H75" s="22"/>
      <c r="I75" s="22"/>
      <c r="J75" s="46"/>
      <c r="K75" s="23"/>
      <c r="U75" s="8"/>
    </row>
    <row r="76" spans="2:21" ht="7.5" customHeight="1" thickBot="1" x14ac:dyDescent="0.3"/>
    <row r="77" spans="2:21" x14ac:dyDescent="0.25">
      <c r="B77" s="31" t="s">
        <v>48</v>
      </c>
      <c r="C77" s="19"/>
      <c r="D77" s="19"/>
      <c r="E77" s="19"/>
      <c r="F77" s="19"/>
      <c r="G77" s="19"/>
      <c r="H77" s="19"/>
      <c r="I77" s="19"/>
      <c r="J77" s="45"/>
      <c r="K77" s="20"/>
      <c r="U77" s="7"/>
    </row>
    <row r="78" spans="2:21" x14ac:dyDescent="0.25">
      <c r="B78" s="32" t="s">
        <v>45</v>
      </c>
      <c r="C78" s="1"/>
      <c r="D78" s="1"/>
      <c r="E78" s="1"/>
      <c r="F78" s="1"/>
      <c r="G78" s="1"/>
      <c r="H78" s="1"/>
      <c r="I78" s="1"/>
      <c r="J78" s="44"/>
      <c r="K78" s="21"/>
      <c r="U78" s="3"/>
    </row>
    <row r="79" spans="2:21" ht="19.5" thickBot="1" x14ac:dyDescent="0.3">
      <c r="B79" s="33" t="s">
        <v>44</v>
      </c>
      <c r="C79" s="22"/>
      <c r="D79" s="22"/>
      <c r="E79" s="22"/>
      <c r="F79" s="22"/>
      <c r="G79" s="22"/>
      <c r="H79" s="22"/>
      <c r="I79" s="22"/>
      <c r="J79" s="46"/>
      <c r="K79" s="23"/>
      <c r="U79" s="8"/>
    </row>
    <row r="80" spans="2:21" ht="7.5" customHeight="1" thickBot="1" x14ac:dyDescent="0.3"/>
    <row r="81" spans="2:21" ht="19.5" thickBot="1" x14ac:dyDescent="0.3">
      <c r="B81" s="30" t="s">
        <v>49</v>
      </c>
      <c r="C81" s="17"/>
      <c r="D81" s="17"/>
      <c r="E81" s="17"/>
      <c r="F81" s="17"/>
      <c r="G81" s="17"/>
      <c r="H81" s="17"/>
      <c r="I81" s="17"/>
      <c r="J81" s="47"/>
      <c r="K81" s="18"/>
      <c r="U81" s="16"/>
    </row>
  </sheetData>
  <mergeCells count="7">
    <mergeCell ref="V4:V5"/>
    <mergeCell ref="J5:K5"/>
    <mergeCell ref="C60:K60"/>
    <mergeCell ref="I1:U1"/>
    <mergeCell ref="C4:K4"/>
    <mergeCell ref="T4:T5"/>
    <mergeCell ref="U4:U5"/>
  </mergeCells>
  <printOptions horizontalCentered="1" verticalCentered="1"/>
  <pageMargins left="0.19685039370078741" right="0.19685039370078741" top="0.19685039370078741" bottom="0.19685039370078741" header="0.19685039370078741" footer="0.19685039370078741"/>
  <pageSetup paperSize="14" scale="70" orientation="portrait" horizontalDpi="360" verticalDpi="360" r:id="rId1"/>
  <colBreaks count="1" manualBreakCount="1">
    <brk id="24" max="80" man="1"/>
  </colBreaks>
</worksheet>
</file>

<file path=xl/worksheets/sheet1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5D3F7594-9AC5-434F-A2F7-C87D7699469D}">
  <sheetPr>
    <pageSetUpPr fitToPage="1"/>
  </sheetPr>
  <dimension ref="A1:BB81"/>
  <sheetViews>
    <sheetView topLeftCell="A34" zoomScale="91" zoomScaleNormal="91" zoomScaleSheetLayoutView="115" workbookViewId="0">
      <selection activeCell="AB61" sqref="AB61"/>
    </sheetView>
  </sheetViews>
  <sheetFormatPr defaultColWidth="9.140625" defaultRowHeight="18.75" x14ac:dyDescent="0.25"/>
  <cols>
    <col min="1" max="1" width="4.140625" style="9" bestFit="1" customWidth="1"/>
    <col min="2" max="2" width="12.28515625" style="28" customWidth="1"/>
    <col min="3" max="6" width="10" style="9" customWidth="1"/>
    <col min="7" max="7" width="6.85546875" style="9" customWidth="1"/>
    <col min="8" max="8" width="7.5703125" style="9" bestFit="1" customWidth="1"/>
    <col min="9" max="9" width="6.7109375" style="9" bestFit="1" customWidth="1"/>
    <col min="10" max="10" width="6.85546875" style="9" customWidth="1"/>
    <col min="11" max="11" width="7.5703125" style="9" bestFit="1" customWidth="1"/>
    <col min="12" max="12" width="1.42578125" style="9" customWidth="1"/>
    <col min="13" max="13" width="10" style="9" customWidth="1"/>
    <col min="14" max="14" width="6.7109375" style="9" bestFit="1" customWidth="1"/>
    <col min="15" max="15" width="10" style="9" customWidth="1"/>
    <col min="16" max="16" width="5.5703125" style="9" customWidth="1"/>
    <col min="17" max="17" width="10" style="9" customWidth="1"/>
    <col min="18" max="18" width="6.7109375" style="9" bestFit="1" customWidth="1"/>
    <col min="19" max="19" width="1.42578125" style="9" customWidth="1"/>
    <col min="20" max="20" width="12.7109375" style="9" bestFit="1" customWidth="1"/>
    <col min="21" max="21" width="14.28515625" style="9" customWidth="1"/>
    <col min="22" max="22" width="19.5703125" style="9" bestFit="1" customWidth="1"/>
    <col min="23" max="49" width="7.28515625" style="9" customWidth="1"/>
    <col min="50" max="50" width="1.5703125" style="9" customWidth="1"/>
    <col min="51" max="51" width="9.42578125" style="9" customWidth="1"/>
    <col min="52" max="52" width="1.28515625" style="9" customWidth="1"/>
    <col min="53" max="53" width="12.7109375" style="9" bestFit="1" customWidth="1"/>
    <col min="54" max="54" width="10.28515625" style="9" bestFit="1" customWidth="1"/>
    <col min="55" max="16384" width="9.140625" style="9"/>
  </cols>
  <sheetData>
    <row r="1" spans="1:54" ht="15" customHeight="1" x14ac:dyDescent="0.25">
      <c r="B1" s="27" t="s">
        <v>42</v>
      </c>
      <c r="I1" s="116" t="s">
        <v>43</v>
      </c>
      <c r="J1" s="116"/>
      <c r="K1" s="116"/>
      <c r="L1" s="116"/>
      <c r="M1" s="116"/>
      <c r="N1" s="116"/>
      <c r="O1" s="116"/>
      <c r="P1" s="116"/>
      <c r="Q1" s="116"/>
      <c r="R1" s="116"/>
      <c r="S1" s="116"/>
      <c r="T1" s="116"/>
      <c r="U1" s="116"/>
    </row>
    <row r="2" spans="1:54" x14ac:dyDescent="0.25">
      <c r="B2" s="28" t="s">
        <v>86</v>
      </c>
    </row>
    <row r="3" spans="1:54" ht="19.5" thickBot="1" x14ac:dyDescent="0.3"/>
    <row r="4" spans="1:54" s="10" customFormat="1" ht="15.75" x14ac:dyDescent="0.25">
      <c r="B4" s="41" t="s">
        <v>52</v>
      </c>
      <c r="C4" s="117" t="s">
        <v>41</v>
      </c>
      <c r="D4" s="117"/>
      <c r="E4" s="117"/>
      <c r="F4" s="117"/>
      <c r="G4" s="117"/>
      <c r="H4" s="117"/>
      <c r="I4" s="117"/>
      <c r="J4" s="118"/>
      <c r="K4" s="119"/>
      <c r="M4" s="34" t="s">
        <v>0</v>
      </c>
      <c r="N4" s="48" t="s">
        <v>61</v>
      </c>
      <c r="O4" s="35" t="s">
        <v>39</v>
      </c>
      <c r="P4" s="48" t="s">
        <v>61</v>
      </c>
      <c r="Q4" s="36" t="s">
        <v>40</v>
      </c>
      <c r="R4" s="48" t="s">
        <v>61</v>
      </c>
      <c r="S4" s="9"/>
      <c r="T4" s="120" t="s">
        <v>68</v>
      </c>
      <c r="U4" s="126" t="s">
        <v>67</v>
      </c>
      <c r="V4" s="109" t="s">
        <v>66</v>
      </c>
      <c r="AF4" s="11"/>
      <c r="AG4" s="11"/>
      <c r="AH4" s="11"/>
      <c r="AI4" s="11"/>
      <c r="AJ4" s="11"/>
      <c r="AK4" s="11"/>
      <c r="AL4" s="11"/>
      <c r="AM4" s="11"/>
      <c r="AN4" s="11"/>
      <c r="AO4" s="11"/>
      <c r="AP4" s="11"/>
      <c r="AQ4" s="11"/>
      <c r="AR4" s="11"/>
      <c r="AS4" s="11"/>
      <c r="AT4" s="11"/>
      <c r="AU4" s="11"/>
      <c r="AV4" s="11"/>
      <c r="AW4" s="11"/>
      <c r="AX4" s="11"/>
      <c r="AY4" s="11"/>
      <c r="AZ4" s="11"/>
      <c r="BA4" s="11"/>
      <c r="BB4" s="11"/>
    </row>
    <row r="5" spans="1:54" s="10" customFormat="1" ht="15.75" x14ac:dyDescent="0.25">
      <c r="B5" s="37"/>
      <c r="C5" s="40"/>
      <c r="D5" s="40"/>
      <c r="E5" s="40"/>
      <c r="F5" s="40"/>
      <c r="G5" s="40"/>
      <c r="H5" s="40" t="s">
        <v>64</v>
      </c>
      <c r="I5" s="40" t="s">
        <v>60</v>
      </c>
      <c r="J5" s="124" t="s">
        <v>65</v>
      </c>
      <c r="K5" s="125"/>
      <c r="M5" s="37"/>
      <c r="N5" s="49"/>
      <c r="O5" s="40"/>
      <c r="P5" s="103"/>
      <c r="Q5" s="103"/>
      <c r="R5" s="38"/>
      <c r="S5" s="9"/>
      <c r="T5" s="121"/>
      <c r="U5" s="127"/>
      <c r="V5" s="110"/>
      <c r="AF5" s="11"/>
      <c r="AG5" s="11"/>
      <c r="AH5" s="11"/>
      <c r="AI5" s="11"/>
      <c r="AJ5" s="11"/>
      <c r="AK5" s="11"/>
      <c r="AL5" s="11"/>
      <c r="AM5" s="11"/>
      <c r="AN5" s="11"/>
      <c r="AO5" s="11"/>
      <c r="AP5" s="11"/>
      <c r="AQ5" s="11"/>
      <c r="AR5" s="11"/>
      <c r="AS5" s="11"/>
      <c r="AT5" s="11"/>
      <c r="AU5" s="11"/>
      <c r="AV5" s="11"/>
      <c r="AW5" s="11"/>
      <c r="AX5" s="11"/>
      <c r="AY5" s="11"/>
      <c r="AZ5" s="11"/>
      <c r="BA5" s="11"/>
      <c r="BB5" s="11"/>
    </row>
    <row r="6" spans="1:54" s="10" customFormat="1" ht="15.75" x14ac:dyDescent="0.25">
      <c r="B6" s="37"/>
      <c r="C6" s="40"/>
      <c r="D6" s="40"/>
      <c r="E6" s="40"/>
      <c r="F6" s="40"/>
      <c r="G6" s="40"/>
      <c r="H6" s="40"/>
      <c r="I6" s="40"/>
      <c r="J6" s="103"/>
      <c r="K6" s="38"/>
      <c r="M6" s="37"/>
      <c r="N6" s="49"/>
      <c r="O6" s="40"/>
      <c r="P6" s="103"/>
      <c r="Q6" s="103"/>
      <c r="R6" s="38"/>
      <c r="S6" s="9"/>
      <c r="T6" s="39"/>
      <c r="U6" s="39"/>
      <c r="V6" s="39"/>
      <c r="AF6" s="11"/>
      <c r="AG6" s="11"/>
      <c r="AH6" s="11"/>
      <c r="AI6" s="11"/>
      <c r="AJ6" s="11"/>
      <c r="AK6" s="11"/>
      <c r="AL6" s="11"/>
      <c r="AM6" s="11"/>
      <c r="AN6" s="11"/>
      <c r="AO6" s="11"/>
      <c r="AP6" s="11"/>
      <c r="AQ6" s="11"/>
      <c r="AR6" s="11"/>
      <c r="AS6" s="11"/>
      <c r="AT6" s="11"/>
      <c r="AU6" s="11"/>
      <c r="AV6" s="11"/>
      <c r="AW6" s="11"/>
      <c r="AX6" s="11"/>
      <c r="AY6" s="11"/>
      <c r="AZ6" s="11"/>
      <c r="BA6" s="11"/>
      <c r="BB6" s="11"/>
    </row>
    <row r="7" spans="1:54" x14ac:dyDescent="0.25">
      <c r="A7" s="27">
        <v>1</v>
      </c>
      <c r="B7" s="26" t="s">
        <v>32</v>
      </c>
      <c r="C7" s="52">
        <v>30</v>
      </c>
      <c r="D7" s="52"/>
      <c r="E7" s="52"/>
      <c r="F7" s="52"/>
      <c r="G7" s="52"/>
      <c r="H7" s="52"/>
      <c r="I7" s="52">
        <v>3</v>
      </c>
      <c r="J7" s="53"/>
      <c r="K7" s="54">
        <v>6</v>
      </c>
      <c r="L7" s="55"/>
      <c r="M7" s="56"/>
      <c r="N7" s="57"/>
      <c r="O7" s="52">
        <v>1</v>
      </c>
      <c r="P7" s="53"/>
      <c r="Q7" s="53">
        <v>1</v>
      </c>
      <c r="R7" s="54"/>
      <c r="S7" s="55"/>
      <c r="T7" s="58">
        <f>H7+I7+J7+K7+N7+P7+R7</f>
        <v>9</v>
      </c>
      <c r="U7" s="58">
        <f>C7*24+M7*24+O7*24+Q7*24+T7</f>
        <v>777</v>
      </c>
      <c r="V7" s="58">
        <f>U7/24</f>
        <v>32.375</v>
      </c>
      <c r="W7" s="50"/>
      <c r="AF7" s="12"/>
      <c r="AG7" s="12"/>
      <c r="AH7" s="12"/>
      <c r="AI7" s="12"/>
      <c r="AJ7" s="12"/>
      <c r="AK7" s="12"/>
      <c r="AL7" s="12"/>
      <c r="AM7" s="12"/>
      <c r="AN7" s="12"/>
      <c r="AO7" s="12"/>
      <c r="AP7" s="12"/>
      <c r="AQ7" s="12"/>
      <c r="AR7" s="12"/>
      <c r="AS7" s="12"/>
      <c r="AT7" s="12"/>
      <c r="AU7" s="12"/>
      <c r="AV7" s="12"/>
      <c r="AW7" s="12"/>
      <c r="AX7" s="12"/>
      <c r="AY7" s="12"/>
      <c r="AZ7" s="12"/>
      <c r="BA7" s="12"/>
      <c r="BB7" s="12"/>
    </row>
    <row r="8" spans="1:54" ht="19.5" thickBot="1" x14ac:dyDescent="0.3">
      <c r="A8" s="27">
        <f>A7+1</f>
        <v>2</v>
      </c>
      <c r="B8" s="42" t="s">
        <v>35</v>
      </c>
      <c r="C8" s="59">
        <f>38+30</f>
        <v>68</v>
      </c>
      <c r="D8" s="59"/>
      <c r="E8" s="59"/>
      <c r="F8" s="59"/>
      <c r="G8" s="59"/>
      <c r="H8" s="59"/>
      <c r="I8" s="59"/>
      <c r="J8" s="60"/>
      <c r="K8" s="61"/>
      <c r="L8" s="62"/>
      <c r="M8" s="63">
        <v>1</v>
      </c>
      <c r="N8" s="64"/>
      <c r="O8" s="65">
        <v>1</v>
      </c>
      <c r="P8" s="66">
        <v>12</v>
      </c>
      <c r="Q8" s="66">
        <v>6</v>
      </c>
      <c r="R8" s="67"/>
      <c r="S8" s="62"/>
      <c r="T8" s="68">
        <f t="shared" ref="T8:T41" si="0">H8+I8+J8+K8+N8+P8+R8</f>
        <v>12</v>
      </c>
      <c r="U8" s="69">
        <f>C8*24+M8*24+O8*24+Q8*24+T8</f>
        <v>1836</v>
      </c>
      <c r="V8" s="69">
        <f>U8/24</f>
        <v>76.5</v>
      </c>
      <c r="W8" s="50"/>
      <c r="AF8" s="12"/>
      <c r="AG8" s="12"/>
      <c r="AH8" s="12"/>
      <c r="AI8" s="12"/>
      <c r="AJ8" s="12"/>
      <c r="AK8" s="12"/>
      <c r="AL8" s="12"/>
      <c r="AM8" s="12"/>
      <c r="AN8" s="12"/>
      <c r="AO8" s="12"/>
      <c r="AP8" s="12"/>
      <c r="AQ8" s="12"/>
      <c r="AR8" s="12"/>
      <c r="AS8" s="12"/>
      <c r="AT8" s="12"/>
      <c r="AU8" s="12"/>
      <c r="AV8" s="12"/>
      <c r="AW8" s="12"/>
      <c r="AX8" s="12"/>
      <c r="AY8" s="12"/>
      <c r="AZ8" s="12"/>
      <c r="BA8" s="12"/>
      <c r="BB8" s="12"/>
    </row>
    <row r="9" spans="1:54" x14ac:dyDescent="0.25">
      <c r="A9" s="27">
        <f t="shared" ref="A9:A57" si="1">A8+1</f>
        <v>3</v>
      </c>
      <c r="B9" s="25" t="s">
        <v>33</v>
      </c>
      <c r="C9" s="70">
        <f>26+30</f>
        <v>56</v>
      </c>
      <c r="D9" s="70"/>
      <c r="E9" s="70"/>
      <c r="F9" s="70"/>
      <c r="G9" s="70"/>
      <c r="H9" s="70"/>
      <c r="I9" s="70"/>
      <c r="J9" s="71"/>
      <c r="K9" s="72"/>
      <c r="L9" s="55"/>
      <c r="M9" s="73"/>
      <c r="N9" s="74"/>
      <c r="O9" s="70"/>
      <c r="P9" s="71"/>
      <c r="Q9" s="71">
        <v>15</v>
      </c>
      <c r="R9" s="72"/>
      <c r="S9" s="55"/>
      <c r="T9" s="75">
        <f t="shared" si="0"/>
        <v>0</v>
      </c>
      <c r="U9" s="76">
        <f t="shared" ref="U9:U11" si="2">C9*24+M9*24+O9*24+Q9*24+T9</f>
        <v>1704</v>
      </c>
      <c r="V9" s="76">
        <f t="shared" ref="V9:V11" si="3">U9/24</f>
        <v>71</v>
      </c>
      <c r="W9" s="50"/>
      <c r="AF9" s="12"/>
      <c r="AG9" s="12"/>
      <c r="AH9" s="12"/>
      <c r="AI9" s="12"/>
      <c r="AJ9" s="12"/>
      <c r="AK9" s="12"/>
      <c r="AL9" s="12"/>
      <c r="AM9" s="12"/>
      <c r="AN9" s="12"/>
      <c r="AO9" s="12"/>
      <c r="AP9" s="12"/>
      <c r="AQ9" s="12"/>
      <c r="AR9" s="12"/>
      <c r="AS9" s="12"/>
      <c r="AT9" s="12"/>
      <c r="AU9" s="12"/>
      <c r="AV9" s="12"/>
      <c r="AW9" s="12"/>
      <c r="AX9" s="12"/>
      <c r="AY9" s="12"/>
      <c r="AZ9" s="12"/>
      <c r="BA9" s="12"/>
      <c r="BB9" s="12"/>
    </row>
    <row r="10" spans="1:54" x14ac:dyDescent="0.25">
      <c r="A10" s="27">
        <f t="shared" si="1"/>
        <v>4</v>
      </c>
      <c r="B10" s="26" t="s">
        <v>36</v>
      </c>
      <c r="C10" s="70">
        <f>5+10</f>
        <v>15</v>
      </c>
      <c r="D10" s="70"/>
      <c r="E10" s="70"/>
      <c r="F10" s="70"/>
      <c r="G10" s="70"/>
      <c r="H10" s="70"/>
      <c r="I10" s="70"/>
      <c r="J10" s="71"/>
      <c r="K10" s="72"/>
      <c r="L10" s="55"/>
      <c r="M10" s="73"/>
      <c r="N10" s="74"/>
      <c r="O10" s="70"/>
      <c r="P10" s="71"/>
      <c r="Q10" s="71">
        <v>5</v>
      </c>
      <c r="R10" s="72"/>
      <c r="S10" s="55"/>
      <c r="T10" s="58">
        <f t="shared" si="0"/>
        <v>0</v>
      </c>
      <c r="U10" s="58">
        <f t="shared" si="2"/>
        <v>480</v>
      </c>
      <c r="V10" s="58">
        <f t="shared" si="3"/>
        <v>20</v>
      </c>
      <c r="W10" s="50"/>
      <c r="AF10" s="12"/>
      <c r="AG10" s="12"/>
      <c r="AH10" s="12"/>
      <c r="AI10" s="12"/>
      <c r="AJ10" s="12"/>
      <c r="AK10" s="12"/>
      <c r="AL10" s="12"/>
      <c r="AM10" s="12"/>
      <c r="AN10" s="12"/>
      <c r="AO10" s="12"/>
      <c r="AP10" s="12"/>
      <c r="AQ10" s="12"/>
      <c r="AR10" s="12"/>
      <c r="AS10" s="12"/>
      <c r="AT10" s="12"/>
      <c r="AU10" s="12"/>
      <c r="AV10" s="12"/>
      <c r="AW10" s="12"/>
      <c r="AX10" s="12"/>
      <c r="AY10" s="12"/>
      <c r="AZ10" s="12"/>
      <c r="BA10" s="12"/>
      <c r="BB10" s="12"/>
    </row>
    <row r="11" spans="1:54" x14ac:dyDescent="0.25">
      <c r="A11" s="27">
        <f t="shared" si="1"/>
        <v>5</v>
      </c>
      <c r="B11" s="26" t="s">
        <v>34</v>
      </c>
      <c r="C11" s="70"/>
      <c r="D11" s="70"/>
      <c r="E11" s="70"/>
      <c r="F11" s="70"/>
      <c r="G11" s="70"/>
      <c r="H11" s="70"/>
      <c r="I11" s="70"/>
      <c r="J11" s="71"/>
      <c r="K11" s="72">
        <v>2</v>
      </c>
      <c r="L11" s="55"/>
      <c r="M11" s="73"/>
      <c r="N11" s="74"/>
      <c r="O11" s="70"/>
      <c r="P11" s="71"/>
      <c r="Q11" s="71"/>
      <c r="R11" s="72"/>
      <c r="S11" s="55"/>
      <c r="T11" s="58">
        <f t="shared" si="0"/>
        <v>2</v>
      </c>
      <c r="U11" s="58">
        <f t="shared" si="2"/>
        <v>2</v>
      </c>
      <c r="V11" s="58">
        <f t="shared" si="3"/>
        <v>8.3333333333333329E-2</v>
      </c>
      <c r="AF11" s="12"/>
      <c r="AG11" s="12"/>
      <c r="AH11" s="12"/>
      <c r="AI11" s="12"/>
      <c r="AJ11" s="12"/>
      <c r="AK11" s="12"/>
      <c r="AL11" s="12"/>
      <c r="AM11" s="12"/>
      <c r="AN11" s="12"/>
      <c r="AO11" s="12"/>
      <c r="AP11" s="12"/>
      <c r="AQ11" s="12"/>
      <c r="AR11" s="12"/>
      <c r="AS11" s="12"/>
      <c r="AT11" s="12"/>
      <c r="AU11" s="12"/>
      <c r="AV11" s="12"/>
      <c r="AW11" s="12"/>
      <c r="AX11" s="12"/>
      <c r="AY11" s="12"/>
      <c r="AZ11" s="12"/>
      <c r="BA11" s="12"/>
      <c r="BB11" s="12"/>
    </row>
    <row r="12" spans="1:54" s="13" customFormat="1" ht="19.5" thickBot="1" x14ac:dyDescent="0.3">
      <c r="A12" s="27">
        <v>7</v>
      </c>
      <c r="B12" s="42" t="s">
        <v>30</v>
      </c>
      <c r="C12" s="59">
        <f>1224+53+720+38+1080+29</f>
        <v>3144</v>
      </c>
      <c r="D12" s="59"/>
      <c r="E12" s="59"/>
      <c r="F12" s="59"/>
      <c r="G12" s="59"/>
      <c r="H12" s="59"/>
      <c r="I12" s="59"/>
      <c r="J12" s="60"/>
      <c r="K12" s="61"/>
      <c r="L12" s="62"/>
      <c r="M12" s="63"/>
      <c r="N12" s="64">
        <v>10</v>
      </c>
      <c r="O12" s="65">
        <v>13</v>
      </c>
      <c r="P12" s="66">
        <v>12</v>
      </c>
      <c r="Q12" s="66">
        <v>2</v>
      </c>
      <c r="R12" s="67"/>
      <c r="S12" s="62"/>
      <c r="T12" s="69">
        <f t="shared" si="0"/>
        <v>22</v>
      </c>
      <c r="U12" s="69">
        <f>C12*24+M12*24+O12*24+Q12*24+T12</f>
        <v>75838</v>
      </c>
      <c r="V12" s="69">
        <f>U12/24</f>
        <v>3159.9166666666665</v>
      </c>
      <c r="W12" s="9"/>
      <c r="X12" s="9"/>
      <c r="Y12" s="9"/>
      <c r="Z12" s="9"/>
      <c r="AA12" s="9"/>
      <c r="AB12" s="9"/>
      <c r="AC12" s="9"/>
      <c r="AD12" s="9"/>
      <c r="AE12" s="9"/>
      <c r="AF12" s="12"/>
      <c r="AG12" s="12"/>
      <c r="AH12" s="12"/>
      <c r="AI12" s="12"/>
      <c r="AJ12" s="12"/>
      <c r="AK12" s="12"/>
      <c r="AL12" s="12"/>
      <c r="AM12" s="12"/>
      <c r="AN12" s="12"/>
      <c r="AO12" s="12"/>
      <c r="AP12" s="12"/>
      <c r="AQ12" s="12"/>
      <c r="AR12" s="12"/>
      <c r="AS12" s="12"/>
      <c r="AT12" s="12"/>
      <c r="AU12" s="12"/>
      <c r="AV12" s="12"/>
      <c r="AW12" s="12"/>
      <c r="AX12" s="12"/>
      <c r="AY12" s="12"/>
      <c r="AZ12" s="12"/>
      <c r="BA12" s="12"/>
      <c r="BB12" s="12"/>
    </row>
    <row r="13" spans="1:54" x14ac:dyDescent="0.25">
      <c r="A13" s="27">
        <v>11</v>
      </c>
      <c r="B13" s="25" t="s">
        <v>1</v>
      </c>
      <c r="C13" s="70">
        <v>2</v>
      </c>
      <c r="D13" s="70"/>
      <c r="E13" s="70"/>
      <c r="F13" s="70"/>
      <c r="G13" s="70"/>
      <c r="H13" s="70">
        <v>16</v>
      </c>
      <c r="I13" s="70"/>
      <c r="J13" s="71"/>
      <c r="K13" s="72"/>
      <c r="L13" s="55"/>
      <c r="M13" s="73"/>
      <c r="N13" s="74"/>
      <c r="O13" s="70"/>
      <c r="P13" s="71"/>
      <c r="Q13" s="71"/>
      <c r="R13" s="72"/>
      <c r="S13" s="55"/>
      <c r="T13" s="76">
        <f t="shared" si="0"/>
        <v>16</v>
      </c>
      <c r="U13" s="76">
        <f>C13*24+M13*24+O13*24+Q13*24+T13</f>
        <v>64</v>
      </c>
      <c r="V13" s="76">
        <f>U13/24</f>
        <v>2.6666666666666665</v>
      </c>
      <c r="AF13" s="12"/>
      <c r="AG13" s="12"/>
      <c r="AH13" s="12"/>
      <c r="AI13" s="12"/>
      <c r="AJ13" s="12"/>
      <c r="AK13" s="12"/>
      <c r="AL13" s="12"/>
      <c r="AM13" s="12"/>
      <c r="AN13" s="12"/>
      <c r="AO13" s="12"/>
      <c r="AP13" s="12"/>
      <c r="AQ13" s="12"/>
      <c r="AR13" s="12"/>
      <c r="AS13" s="12"/>
      <c r="AT13" s="12"/>
      <c r="AU13" s="12"/>
      <c r="AV13" s="12"/>
      <c r="AW13" s="12"/>
      <c r="AX13" s="12"/>
      <c r="AY13" s="12"/>
      <c r="AZ13" s="12"/>
      <c r="BA13" s="12"/>
      <c r="BB13" s="12"/>
    </row>
    <row r="14" spans="1:54" x14ac:dyDescent="0.25">
      <c r="A14" s="27">
        <f t="shared" si="1"/>
        <v>12</v>
      </c>
      <c r="B14" s="26" t="s">
        <v>2</v>
      </c>
      <c r="C14" s="70">
        <v>2</v>
      </c>
      <c r="D14" s="70"/>
      <c r="E14" s="70"/>
      <c r="F14" s="70"/>
      <c r="G14" s="70"/>
      <c r="H14" s="70"/>
      <c r="I14" s="70"/>
      <c r="J14" s="71"/>
      <c r="K14" s="72"/>
      <c r="L14" s="55"/>
      <c r="M14" s="73"/>
      <c r="N14" s="74"/>
      <c r="O14" s="70"/>
      <c r="P14" s="71"/>
      <c r="Q14" s="71"/>
      <c r="R14" s="72"/>
      <c r="S14" s="55"/>
      <c r="T14" s="58">
        <f t="shared" si="0"/>
        <v>0</v>
      </c>
      <c r="U14" s="75">
        <f t="shared" ref="U14:U36" si="4">C14*24+M14*24+O14*24+Q14*24+T14</f>
        <v>48</v>
      </c>
      <c r="V14" s="75">
        <f t="shared" ref="V14:V36" si="5">U14/24</f>
        <v>2</v>
      </c>
      <c r="AF14" s="12"/>
      <c r="AG14" s="12"/>
      <c r="AH14" s="12"/>
      <c r="AI14" s="12"/>
      <c r="AJ14" s="12"/>
      <c r="AK14" s="12"/>
      <c r="AL14" s="12"/>
      <c r="AM14" s="12"/>
      <c r="AN14" s="12"/>
      <c r="AO14" s="12"/>
      <c r="AP14" s="12"/>
      <c r="AQ14" s="12"/>
      <c r="AR14" s="12"/>
      <c r="AS14" s="12"/>
      <c r="AT14" s="12"/>
      <c r="AU14" s="12"/>
      <c r="AV14" s="12"/>
      <c r="AW14" s="12"/>
      <c r="AX14" s="12"/>
      <c r="AY14" s="12"/>
      <c r="AZ14" s="12"/>
      <c r="BA14" s="12"/>
      <c r="BB14" s="12"/>
    </row>
    <row r="15" spans="1:54" x14ac:dyDescent="0.25">
      <c r="A15" s="27">
        <f t="shared" si="1"/>
        <v>13</v>
      </c>
      <c r="B15" s="26" t="s">
        <v>3</v>
      </c>
      <c r="C15" s="70"/>
      <c r="D15" s="70"/>
      <c r="E15" s="70"/>
      <c r="F15" s="70"/>
      <c r="G15" s="70"/>
      <c r="H15" s="70"/>
      <c r="I15" s="70"/>
      <c r="J15" s="71"/>
      <c r="K15" s="72"/>
      <c r="L15" s="55"/>
      <c r="M15" s="73"/>
      <c r="N15" s="74"/>
      <c r="O15" s="70"/>
      <c r="P15" s="71"/>
      <c r="Q15" s="71"/>
      <c r="R15" s="72"/>
      <c r="S15" s="55"/>
      <c r="T15" s="58">
        <f t="shared" si="0"/>
        <v>0</v>
      </c>
      <c r="U15" s="75">
        <f t="shared" si="4"/>
        <v>0</v>
      </c>
      <c r="V15" s="75">
        <f t="shared" si="5"/>
        <v>0</v>
      </c>
      <c r="AF15" s="12"/>
      <c r="AG15" s="12"/>
      <c r="AH15" s="12"/>
      <c r="AI15" s="12"/>
      <c r="AJ15" s="12"/>
      <c r="AK15" s="12"/>
      <c r="AL15" s="12"/>
      <c r="AM15" s="12"/>
      <c r="AN15" s="12"/>
      <c r="AO15" s="12"/>
      <c r="AP15" s="12"/>
      <c r="AQ15" s="12"/>
      <c r="AR15" s="12"/>
      <c r="AS15" s="12"/>
      <c r="AT15" s="12"/>
      <c r="AU15" s="12"/>
      <c r="AV15" s="12"/>
      <c r="AW15" s="12"/>
      <c r="AX15" s="12"/>
      <c r="AY15" s="12"/>
      <c r="AZ15" s="12"/>
      <c r="BA15" s="12"/>
      <c r="BB15" s="12"/>
    </row>
    <row r="16" spans="1:54" x14ac:dyDescent="0.25">
      <c r="A16" s="27">
        <f t="shared" si="1"/>
        <v>14</v>
      </c>
      <c r="B16" s="26" t="s">
        <v>4</v>
      </c>
      <c r="C16" s="70"/>
      <c r="D16" s="70"/>
      <c r="E16" s="70"/>
      <c r="F16" s="70"/>
      <c r="G16" s="70"/>
      <c r="H16" s="70"/>
      <c r="I16" s="70"/>
      <c r="J16" s="71"/>
      <c r="K16" s="72"/>
      <c r="L16" s="55"/>
      <c r="M16" s="73"/>
      <c r="N16" s="74"/>
      <c r="O16" s="70"/>
      <c r="P16" s="71"/>
      <c r="Q16" s="71"/>
      <c r="R16" s="72"/>
      <c r="S16" s="55"/>
      <c r="T16" s="58">
        <f t="shared" si="0"/>
        <v>0</v>
      </c>
      <c r="U16" s="75">
        <f t="shared" si="4"/>
        <v>0</v>
      </c>
      <c r="V16" s="75">
        <f t="shared" si="5"/>
        <v>0</v>
      </c>
      <c r="AF16" s="12"/>
      <c r="AG16" s="12"/>
      <c r="AH16" s="12"/>
      <c r="AI16" s="12"/>
      <c r="AJ16" s="12"/>
      <c r="AK16" s="12"/>
      <c r="AL16" s="12"/>
      <c r="AM16" s="12"/>
      <c r="AN16" s="12"/>
      <c r="AO16" s="12"/>
      <c r="AP16" s="12"/>
      <c r="AQ16" s="12"/>
      <c r="AR16" s="12"/>
      <c r="AS16" s="12"/>
      <c r="AT16" s="12"/>
      <c r="AU16" s="12"/>
      <c r="AV16" s="12"/>
      <c r="AW16" s="12"/>
      <c r="AX16" s="12"/>
      <c r="AY16" s="12"/>
      <c r="AZ16" s="12"/>
      <c r="BA16" s="12"/>
      <c r="BB16" s="12"/>
    </row>
    <row r="17" spans="1:54" x14ac:dyDescent="0.25">
      <c r="A17" s="27">
        <f t="shared" si="1"/>
        <v>15</v>
      </c>
      <c r="B17" s="26" t="s">
        <v>5</v>
      </c>
      <c r="C17" s="70"/>
      <c r="D17" s="70"/>
      <c r="E17" s="70"/>
      <c r="F17" s="70"/>
      <c r="G17" s="70"/>
      <c r="H17" s="70">
        <f>3*24</f>
        <v>72</v>
      </c>
      <c r="I17" s="70"/>
      <c r="J17" s="71"/>
      <c r="K17" s="72"/>
      <c r="L17" s="55"/>
      <c r="M17" s="73"/>
      <c r="N17" s="74"/>
      <c r="O17" s="70"/>
      <c r="P17" s="71"/>
      <c r="Q17" s="71"/>
      <c r="R17" s="72"/>
      <c r="S17" s="55"/>
      <c r="T17" s="58">
        <f t="shared" si="0"/>
        <v>72</v>
      </c>
      <c r="U17" s="75">
        <f t="shared" si="4"/>
        <v>72</v>
      </c>
      <c r="V17" s="75">
        <f t="shared" si="5"/>
        <v>3</v>
      </c>
      <c r="AF17" s="12"/>
      <c r="AG17" s="12"/>
      <c r="AH17" s="12"/>
      <c r="AI17" s="12"/>
      <c r="AJ17" s="12"/>
      <c r="AK17" s="12"/>
      <c r="AL17" s="12"/>
      <c r="AM17" s="12"/>
      <c r="AN17" s="12"/>
      <c r="AO17" s="12"/>
      <c r="AP17" s="12"/>
      <c r="AQ17" s="12"/>
      <c r="AR17" s="12"/>
      <c r="AS17" s="12"/>
      <c r="AT17" s="12"/>
      <c r="AU17" s="12"/>
      <c r="AV17" s="12"/>
      <c r="AW17" s="12"/>
      <c r="AX17" s="12"/>
      <c r="AY17" s="12"/>
      <c r="AZ17" s="12"/>
      <c r="BA17" s="12"/>
      <c r="BB17" s="12"/>
    </row>
    <row r="18" spans="1:54" hidden="1" x14ac:dyDescent="0.25">
      <c r="A18" s="27">
        <f t="shared" si="1"/>
        <v>16</v>
      </c>
      <c r="B18" s="26" t="s">
        <v>9</v>
      </c>
      <c r="C18" s="70"/>
      <c r="D18" s="70"/>
      <c r="E18" s="70"/>
      <c r="F18" s="70"/>
      <c r="G18" s="70"/>
      <c r="H18" s="70"/>
      <c r="I18" s="70"/>
      <c r="J18" s="71"/>
      <c r="K18" s="72"/>
      <c r="L18" s="55"/>
      <c r="M18" s="73"/>
      <c r="N18" s="74"/>
      <c r="O18" s="70"/>
      <c r="P18" s="71"/>
      <c r="Q18" s="71"/>
      <c r="R18" s="72"/>
      <c r="S18" s="55"/>
      <c r="T18" s="58">
        <f t="shared" si="0"/>
        <v>0</v>
      </c>
      <c r="U18" s="75">
        <f t="shared" si="4"/>
        <v>0</v>
      </c>
      <c r="V18" s="75">
        <f t="shared" si="5"/>
        <v>0</v>
      </c>
      <c r="AF18" s="12"/>
      <c r="AG18" s="12"/>
      <c r="AH18" s="12"/>
      <c r="AI18" s="12"/>
      <c r="AJ18" s="12"/>
      <c r="AK18" s="12"/>
      <c r="AL18" s="12"/>
      <c r="AM18" s="12"/>
      <c r="AN18" s="12"/>
      <c r="AO18" s="12"/>
      <c r="AP18" s="12"/>
      <c r="AQ18" s="12"/>
      <c r="AR18" s="12"/>
      <c r="AS18" s="12"/>
      <c r="AT18" s="12"/>
      <c r="AU18" s="12"/>
      <c r="AV18" s="12"/>
      <c r="AW18" s="12"/>
      <c r="AX18" s="12"/>
      <c r="AY18" s="12"/>
      <c r="AZ18" s="12"/>
      <c r="BA18" s="12"/>
      <c r="BB18" s="12"/>
    </row>
    <row r="19" spans="1:54" x14ac:dyDescent="0.25">
      <c r="A19" s="27">
        <v>16</v>
      </c>
      <c r="B19" s="26" t="s">
        <v>53</v>
      </c>
      <c r="C19" s="70">
        <v>1</v>
      </c>
      <c r="D19" s="70"/>
      <c r="E19" s="70"/>
      <c r="F19" s="70"/>
      <c r="G19" s="70"/>
      <c r="H19" s="70">
        <f>20+24</f>
        <v>44</v>
      </c>
      <c r="I19" s="70"/>
      <c r="J19" s="71"/>
      <c r="K19" s="72"/>
      <c r="L19" s="55"/>
      <c r="M19" s="73"/>
      <c r="N19" s="74"/>
      <c r="O19" s="70"/>
      <c r="P19" s="71"/>
      <c r="Q19" s="71"/>
      <c r="R19" s="72"/>
      <c r="S19" s="55"/>
      <c r="T19" s="58">
        <f t="shared" si="0"/>
        <v>44</v>
      </c>
      <c r="U19" s="75">
        <f t="shared" si="4"/>
        <v>68</v>
      </c>
      <c r="V19" s="75">
        <f t="shared" si="5"/>
        <v>2.8333333333333335</v>
      </c>
      <c r="AF19" s="12"/>
      <c r="AG19" s="12"/>
      <c r="AH19" s="12"/>
      <c r="AI19" s="12"/>
      <c r="AJ19" s="12"/>
      <c r="AK19" s="12"/>
      <c r="AL19" s="12"/>
      <c r="AM19" s="12"/>
      <c r="AN19" s="12"/>
      <c r="AO19" s="12"/>
      <c r="AP19" s="12"/>
      <c r="AQ19" s="12"/>
      <c r="AR19" s="12"/>
      <c r="AS19" s="12"/>
      <c r="AT19" s="12"/>
      <c r="AU19" s="12"/>
      <c r="AV19" s="12"/>
      <c r="AW19" s="12"/>
      <c r="AX19" s="12"/>
      <c r="AY19" s="12"/>
      <c r="AZ19" s="12"/>
      <c r="BA19" s="12"/>
      <c r="BB19" s="12"/>
    </row>
    <row r="20" spans="1:54" x14ac:dyDescent="0.25">
      <c r="A20" s="27">
        <f t="shared" si="1"/>
        <v>17</v>
      </c>
      <c r="B20" s="26" t="s">
        <v>6</v>
      </c>
      <c r="C20" s="70">
        <v>5</v>
      </c>
      <c r="D20" s="70"/>
      <c r="E20" s="70"/>
      <c r="F20" s="70"/>
      <c r="G20" s="70"/>
      <c r="H20" s="70"/>
      <c r="I20" s="70"/>
      <c r="J20" s="71"/>
      <c r="K20" s="72"/>
      <c r="L20" s="55"/>
      <c r="M20" s="73"/>
      <c r="N20" s="74"/>
      <c r="O20" s="70"/>
      <c r="P20" s="71"/>
      <c r="Q20" s="71"/>
      <c r="R20" s="72"/>
      <c r="S20" s="55"/>
      <c r="T20" s="58">
        <f t="shared" si="0"/>
        <v>0</v>
      </c>
      <c r="U20" s="75">
        <f t="shared" si="4"/>
        <v>120</v>
      </c>
      <c r="V20" s="75">
        <f t="shared" si="5"/>
        <v>5</v>
      </c>
      <c r="AF20" s="12"/>
      <c r="AG20" s="12"/>
      <c r="AH20" s="12"/>
      <c r="AI20" s="12"/>
      <c r="AJ20" s="12"/>
      <c r="AK20" s="12"/>
      <c r="AL20" s="12"/>
      <c r="AM20" s="12"/>
      <c r="AN20" s="12"/>
      <c r="AO20" s="12"/>
      <c r="AP20" s="12"/>
      <c r="AQ20" s="12"/>
      <c r="AR20" s="12"/>
      <c r="AS20" s="12"/>
      <c r="AT20" s="12"/>
      <c r="AU20" s="12"/>
      <c r="AV20" s="12"/>
      <c r="AW20" s="12"/>
      <c r="AX20" s="12"/>
      <c r="AY20" s="12"/>
      <c r="AZ20" s="12"/>
      <c r="BA20" s="12"/>
      <c r="BB20" s="12"/>
    </row>
    <row r="21" spans="1:54" x14ac:dyDescent="0.25">
      <c r="A21" s="27">
        <f t="shared" si="1"/>
        <v>18</v>
      </c>
      <c r="B21" s="26" t="s">
        <v>7</v>
      </c>
      <c r="C21" s="70"/>
      <c r="D21" s="70"/>
      <c r="E21" s="70"/>
      <c r="F21" s="70"/>
      <c r="G21" s="70"/>
      <c r="H21" s="70">
        <f>2*24</f>
        <v>48</v>
      </c>
      <c r="I21" s="70"/>
      <c r="J21" s="71"/>
      <c r="K21" s="72"/>
      <c r="L21" s="55"/>
      <c r="M21" s="73"/>
      <c r="N21" s="74"/>
      <c r="O21" s="70"/>
      <c r="P21" s="71"/>
      <c r="Q21" s="71"/>
      <c r="R21" s="72"/>
      <c r="S21" s="55"/>
      <c r="T21" s="58">
        <f t="shared" si="0"/>
        <v>48</v>
      </c>
      <c r="U21" s="75">
        <f t="shared" si="4"/>
        <v>48</v>
      </c>
      <c r="V21" s="75">
        <f t="shared" si="5"/>
        <v>2</v>
      </c>
      <c r="AF21" s="12"/>
      <c r="AG21" s="12"/>
      <c r="AH21" s="12"/>
      <c r="AI21" s="12"/>
      <c r="AJ21" s="12"/>
      <c r="AK21" s="12"/>
      <c r="AL21" s="12"/>
      <c r="AM21" s="12"/>
      <c r="AN21" s="12"/>
      <c r="AO21" s="12"/>
      <c r="AP21" s="12"/>
      <c r="AQ21" s="12"/>
      <c r="AR21" s="12"/>
      <c r="AS21" s="12"/>
      <c r="AT21" s="12"/>
      <c r="AU21" s="12"/>
      <c r="AV21" s="12"/>
      <c r="AW21" s="12"/>
      <c r="AX21" s="12"/>
      <c r="AY21" s="12"/>
      <c r="AZ21" s="12"/>
      <c r="BA21" s="12"/>
      <c r="BB21" s="12"/>
    </row>
    <row r="22" spans="1:54" s="13" customFormat="1" x14ac:dyDescent="0.25">
      <c r="A22" s="27">
        <f t="shared" si="1"/>
        <v>19</v>
      </c>
      <c r="B22" s="26" t="s">
        <v>54</v>
      </c>
      <c r="C22" s="70">
        <v>1</v>
      </c>
      <c r="D22" s="70"/>
      <c r="E22" s="70"/>
      <c r="F22" s="70"/>
      <c r="G22" s="70"/>
      <c r="H22" s="70"/>
      <c r="I22" s="70">
        <v>20</v>
      </c>
      <c r="J22" s="71"/>
      <c r="K22" s="72"/>
      <c r="L22" s="55"/>
      <c r="M22" s="73"/>
      <c r="N22" s="74"/>
      <c r="O22" s="70"/>
      <c r="P22" s="71"/>
      <c r="Q22" s="71"/>
      <c r="R22" s="72"/>
      <c r="S22" s="55"/>
      <c r="T22" s="58">
        <f t="shared" si="0"/>
        <v>20</v>
      </c>
      <c r="U22" s="75">
        <f t="shared" si="4"/>
        <v>44</v>
      </c>
      <c r="V22" s="75">
        <f t="shared" si="5"/>
        <v>1.8333333333333333</v>
      </c>
      <c r="W22" s="9"/>
      <c r="X22" s="9"/>
      <c r="Y22" s="9"/>
      <c r="Z22" s="9"/>
      <c r="AA22" s="9"/>
      <c r="AB22" s="9"/>
      <c r="AC22" s="9"/>
      <c r="AD22" s="9"/>
      <c r="AE22" s="9"/>
      <c r="AF22" s="12"/>
      <c r="AG22" s="12"/>
      <c r="AH22" s="12"/>
      <c r="AI22" s="12"/>
      <c r="AJ22" s="12"/>
      <c r="AK22" s="12"/>
      <c r="AL22" s="12"/>
      <c r="AM22" s="12"/>
      <c r="AN22" s="12"/>
      <c r="AO22" s="12"/>
      <c r="AP22" s="12"/>
      <c r="AQ22" s="12"/>
      <c r="AR22" s="12"/>
      <c r="AS22" s="12"/>
      <c r="AT22" s="12"/>
      <c r="AU22" s="12"/>
      <c r="AV22" s="12"/>
      <c r="AW22" s="12"/>
      <c r="AX22" s="12"/>
      <c r="AY22" s="12"/>
      <c r="AZ22" s="12"/>
      <c r="BA22" s="12"/>
      <c r="BB22" s="12"/>
    </row>
    <row r="23" spans="1:54" s="13" customFormat="1" x14ac:dyDescent="0.25">
      <c r="A23" s="27">
        <f t="shared" si="1"/>
        <v>20</v>
      </c>
      <c r="B23" s="26" t="s">
        <v>55</v>
      </c>
      <c r="C23" s="70"/>
      <c r="D23" s="70"/>
      <c r="E23" s="70"/>
      <c r="F23" s="70"/>
      <c r="G23" s="70"/>
      <c r="H23" s="70">
        <f>37*24+19</f>
        <v>907</v>
      </c>
      <c r="I23" s="70"/>
      <c r="J23" s="71"/>
      <c r="K23" s="72"/>
      <c r="L23" s="55"/>
      <c r="M23" s="73"/>
      <c r="N23" s="74"/>
      <c r="O23" s="70"/>
      <c r="P23" s="71"/>
      <c r="Q23" s="71"/>
      <c r="R23" s="72"/>
      <c r="S23" s="55"/>
      <c r="T23" s="58">
        <f t="shared" si="0"/>
        <v>907</v>
      </c>
      <c r="U23" s="75">
        <f t="shared" si="4"/>
        <v>907</v>
      </c>
      <c r="V23" s="75">
        <f t="shared" si="5"/>
        <v>37.791666666666664</v>
      </c>
      <c r="W23" s="9"/>
      <c r="X23" s="9"/>
      <c r="Y23" s="9"/>
      <c r="Z23" s="9"/>
      <c r="AA23" s="9"/>
      <c r="AB23" s="9"/>
      <c r="AC23" s="9"/>
      <c r="AD23" s="9"/>
      <c r="AE23" s="9"/>
      <c r="AF23" s="12"/>
      <c r="AG23" s="12"/>
      <c r="AH23" s="12"/>
      <c r="AI23" s="12"/>
      <c r="AJ23" s="12"/>
      <c r="AK23" s="12"/>
      <c r="AL23" s="12"/>
      <c r="AM23" s="12"/>
      <c r="AN23" s="12"/>
      <c r="AO23" s="12"/>
      <c r="AP23" s="12"/>
      <c r="AQ23" s="12"/>
      <c r="AR23" s="12"/>
      <c r="AS23" s="12"/>
      <c r="AT23" s="12"/>
      <c r="AU23" s="12"/>
      <c r="AV23" s="12"/>
      <c r="AW23" s="12"/>
      <c r="AX23" s="12"/>
      <c r="AY23" s="12"/>
      <c r="AZ23" s="12"/>
      <c r="BA23" s="12"/>
      <c r="BB23" s="12"/>
    </row>
    <row r="24" spans="1:54" x14ac:dyDescent="0.25">
      <c r="A24" s="27">
        <f t="shared" si="1"/>
        <v>21</v>
      </c>
      <c r="B24" s="26" t="s">
        <v>56</v>
      </c>
      <c r="C24" s="70">
        <v>2</v>
      </c>
      <c r="D24" s="70"/>
      <c r="E24" s="70"/>
      <c r="F24" s="70"/>
      <c r="G24" s="70"/>
      <c r="H24" s="70">
        <f>3*24</f>
        <v>72</v>
      </c>
      <c r="I24" s="70"/>
      <c r="J24" s="71"/>
      <c r="K24" s="72"/>
      <c r="L24" s="55"/>
      <c r="M24" s="73"/>
      <c r="N24" s="74"/>
      <c r="O24" s="70"/>
      <c r="P24" s="71"/>
      <c r="Q24" s="71"/>
      <c r="R24" s="72"/>
      <c r="S24" s="55"/>
      <c r="T24" s="58">
        <f t="shared" si="0"/>
        <v>72</v>
      </c>
      <c r="U24" s="75">
        <f t="shared" si="4"/>
        <v>120</v>
      </c>
      <c r="V24" s="75">
        <f t="shared" si="5"/>
        <v>5</v>
      </c>
      <c r="AF24" s="12"/>
      <c r="AG24" s="12"/>
      <c r="AH24" s="12"/>
      <c r="AI24" s="12"/>
      <c r="AJ24" s="12"/>
      <c r="AK24" s="12"/>
      <c r="AL24" s="12"/>
      <c r="AM24" s="12"/>
      <c r="AN24" s="12"/>
      <c r="AO24" s="12"/>
      <c r="AP24" s="12"/>
      <c r="AQ24" s="12"/>
      <c r="AR24" s="12"/>
      <c r="AS24" s="12"/>
      <c r="AT24" s="12"/>
      <c r="AU24" s="12"/>
      <c r="AV24" s="12"/>
      <c r="AW24" s="12"/>
      <c r="AX24" s="12"/>
      <c r="AY24" s="12"/>
      <c r="AZ24" s="12"/>
      <c r="BA24" s="12"/>
      <c r="BB24" s="12"/>
    </row>
    <row r="25" spans="1:54" x14ac:dyDescent="0.25">
      <c r="A25" s="27">
        <f t="shared" si="1"/>
        <v>22</v>
      </c>
      <c r="B25" s="26" t="s">
        <v>8</v>
      </c>
      <c r="C25" s="70">
        <f>126+25</f>
        <v>151</v>
      </c>
      <c r="D25" s="70"/>
      <c r="E25" s="70"/>
      <c r="F25" s="70"/>
      <c r="G25" s="70"/>
      <c r="H25" s="70"/>
      <c r="I25" s="70">
        <v>1</v>
      </c>
      <c r="J25" s="71"/>
      <c r="K25" s="72"/>
      <c r="L25" s="55"/>
      <c r="M25" s="73"/>
      <c r="N25" s="74"/>
      <c r="O25" s="70">
        <v>1</v>
      </c>
      <c r="P25" s="71"/>
      <c r="Q25" s="71">
        <v>10</v>
      </c>
      <c r="R25" s="72"/>
      <c r="S25" s="55"/>
      <c r="T25" s="58">
        <f t="shared" si="0"/>
        <v>1</v>
      </c>
      <c r="U25" s="75">
        <f t="shared" si="4"/>
        <v>3889</v>
      </c>
      <c r="V25" s="75">
        <f t="shared" si="5"/>
        <v>162.04166666666666</v>
      </c>
      <c r="AY25" s="14" t="e">
        <f>#REF!-AY24</f>
        <v>#REF!</v>
      </c>
    </row>
    <row r="26" spans="1:54" s="13" customFormat="1" x14ac:dyDescent="0.25">
      <c r="A26" s="27">
        <f t="shared" si="1"/>
        <v>23</v>
      </c>
      <c r="B26" s="26" t="s">
        <v>10</v>
      </c>
      <c r="C26" s="70"/>
      <c r="D26" s="70"/>
      <c r="E26" s="70"/>
      <c r="F26" s="70"/>
      <c r="G26" s="70"/>
      <c r="H26" s="70"/>
      <c r="I26" s="70"/>
      <c r="J26" s="71"/>
      <c r="K26" s="72"/>
      <c r="L26" s="55"/>
      <c r="M26" s="73"/>
      <c r="N26" s="74"/>
      <c r="O26" s="70"/>
      <c r="P26" s="71"/>
      <c r="Q26" s="71"/>
      <c r="R26" s="72"/>
      <c r="S26" s="55"/>
      <c r="T26" s="58">
        <f t="shared" si="0"/>
        <v>0</v>
      </c>
      <c r="U26" s="75">
        <f t="shared" si="4"/>
        <v>0</v>
      </c>
      <c r="V26" s="75">
        <f t="shared" si="5"/>
        <v>0</v>
      </c>
      <c r="W26" s="9"/>
      <c r="X26" s="9"/>
      <c r="Y26" s="9"/>
      <c r="Z26" s="9"/>
      <c r="AA26" s="9"/>
      <c r="AB26" s="9"/>
      <c r="AC26" s="9"/>
      <c r="AD26" s="9"/>
      <c r="AE26" s="9"/>
    </row>
    <row r="27" spans="1:54" s="13" customFormat="1" x14ac:dyDescent="0.25">
      <c r="A27" s="27">
        <f t="shared" si="1"/>
        <v>24</v>
      </c>
      <c r="B27" s="26" t="s">
        <v>69</v>
      </c>
      <c r="C27" s="70">
        <v>1</v>
      </c>
      <c r="D27" s="70"/>
      <c r="E27" s="70"/>
      <c r="F27" s="70"/>
      <c r="G27" s="70"/>
      <c r="H27" s="70"/>
      <c r="I27" s="70"/>
      <c r="J27" s="71"/>
      <c r="K27" s="72"/>
      <c r="L27" s="55"/>
      <c r="M27" s="73"/>
      <c r="N27" s="74"/>
      <c r="O27" s="70"/>
      <c r="P27" s="71"/>
      <c r="Q27" s="71">
        <v>1</v>
      </c>
      <c r="R27" s="72"/>
      <c r="S27" s="55"/>
      <c r="T27" s="58">
        <f t="shared" si="0"/>
        <v>0</v>
      </c>
      <c r="U27" s="75">
        <f t="shared" si="4"/>
        <v>48</v>
      </c>
      <c r="V27" s="75">
        <f t="shared" si="5"/>
        <v>2</v>
      </c>
      <c r="W27" s="9"/>
      <c r="X27" s="9"/>
      <c r="Y27" s="9"/>
      <c r="Z27" s="9"/>
      <c r="AA27" s="9"/>
      <c r="AB27" s="9"/>
      <c r="AC27" s="9"/>
      <c r="AD27" s="9"/>
      <c r="AE27" s="9"/>
    </row>
    <row r="28" spans="1:54" s="13" customFormat="1" x14ac:dyDescent="0.25">
      <c r="A28" s="27">
        <f t="shared" si="1"/>
        <v>25</v>
      </c>
      <c r="B28" s="26" t="s">
        <v>11</v>
      </c>
      <c r="C28" s="70"/>
      <c r="D28" s="70"/>
      <c r="E28" s="70"/>
      <c r="F28" s="70"/>
      <c r="G28" s="70"/>
      <c r="H28" s="70"/>
      <c r="I28" s="70"/>
      <c r="J28" s="71"/>
      <c r="K28" s="72"/>
      <c r="L28" s="55"/>
      <c r="M28" s="73"/>
      <c r="N28" s="74"/>
      <c r="O28" s="70"/>
      <c r="P28" s="71"/>
      <c r="Q28" s="71"/>
      <c r="R28" s="72"/>
      <c r="S28" s="55"/>
      <c r="T28" s="58">
        <f t="shared" si="0"/>
        <v>0</v>
      </c>
      <c r="U28" s="75">
        <f t="shared" si="4"/>
        <v>0</v>
      </c>
      <c r="V28" s="75">
        <f t="shared" si="5"/>
        <v>0</v>
      </c>
      <c r="W28" s="9"/>
      <c r="X28" s="9"/>
      <c r="Y28" s="9"/>
      <c r="Z28" s="9"/>
      <c r="AA28" s="9"/>
      <c r="AB28" s="9"/>
      <c r="AC28" s="9"/>
      <c r="AD28" s="9"/>
      <c r="AE28" s="9"/>
    </row>
    <row r="29" spans="1:54" x14ac:dyDescent="0.25">
      <c r="A29" s="27">
        <f t="shared" si="1"/>
        <v>26</v>
      </c>
      <c r="B29" s="26" t="s">
        <v>13</v>
      </c>
      <c r="C29" s="70"/>
      <c r="D29" s="70"/>
      <c r="E29" s="70"/>
      <c r="F29" s="70"/>
      <c r="G29" s="70"/>
      <c r="H29" s="70"/>
      <c r="I29" s="70">
        <v>5</v>
      </c>
      <c r="J29" s="71"/>
      <c r="K29" s="72"/>
      <c r="L29" s="55"/>
      <c r="M29" s="73"/>
      <c r="N29" s="74"/>
      <c r="O29" s="70"/>
      <c r="P29" s="71"/>
      <c r="Q29" s="71">
        <v>8</v>
      </c>
      <c r="R29" s="72"/>
      <c r="S29" s="55"/>
      <c r="T29" s="58">
        <f t="shared" si="0"/>
        <v>5</v>
      </c>
      <c r="U29" s="75">
        <f t="shared" si="4"/>
        <v>197</v>
      </c>
      <c r="V29" s="75">
        <f t="shared" si="5"/>
        <v>8.2083333333333339</v>
      </c>
    </row>
    <row r="30" spans="1:54" x14ac:dyDescent="0.25">
      <c r="A30" s="27">
        <f t="shared" si="1"/>
        <v>27</v>
      </c>
      <c r="B30" s="26" t="s">
        <v>15</v>
      </c>
      <c r="C30" s="70">
        <v>2</v>
      </c>
      <c r="D30" s="70"/>
      <c r="E30" s="70"/>
      <c r="F30" s="70"/>
      <c r="G30" s="70"/>
      <c r="H30" s="70"/>
      <c r="I30" s="70"/>
      <c r="J30" s="71"/>
      <c r="K30" s="72"/>
      <c r="L30" s="55"/>
      <c r="M30" s="73"/>
      <c r="N30" s="74"/>
      <c r="O30" s="70"/>
      <c r="P30" s="71"/>
      <c r="Q30" s="71">
        <v>2</v>
      </c>
      <c r="R30" s="72"/>
      <c r="S30" s="55"/>
      <c r="T30" s="58">
        <f t="shared" si="0"/>
        <v>0</v>
      </c>
      <c r="U30" s="75">
        <f t="shared" si="4"/>
        <v>96</v>
      </c>
      <c r="V30" s="75">
        <f t="shared" si="5"/>
        <v>4</v>
      </c>
    </row>
    <row r="31" spans="1:54" x14ac:dyDescent="0.25">
      <c r="A31" s="27">
        <f t="shared" si="1"/>
        <v>28</v>
      </c>
      <c r="B31" s="26" t="s">
        <v>12</v>
      </c>
      <c r="C31" s="70"/>
      <c r="D31" s="70"/>
      <c r="E31" s="70"/>
      <c r="F31" s="70"/>
      <c r="G31" s="70"/>
      <c r="H31" s="70"/>
      <c r="I31" s="70"/>
      <c r="J31" s="71"/>
      <c r="K31" s="72"/>
      <c r="L31" s="55"/>
      <c r="M31" s="73"/>
      <c r="N31" s="74"/>
      <c r="O31" s="70"/>
      <c r="P31" s="71"/>
      <c r="Q31" s="71"/>
      <c r="R31" s="72"/>
      <c r="S31" s="55"/>
      <c r="T31" s="58">
        <f t="shared" si="0"/>
        <v>0</v>
      </c>
      <c r="U31" s="75">
        <f t="shared" si="4"/>
        <v>0</v>
      </c>
      <c r="V31" s="75">
        <f t="shared" si="5"/>
        <v>0</v>
      </c>
    </row>
    <row r="32" spans="1:54" x14ac:dyDescent="0.25">
      <c r="A32" s="27">
        <f t="shared" si="1"/>
        <v>29</v>
      </c>
      <c r="B32" s="26" t="s">
        <v>14</v>
      </c>
      <c r="C32" s="70"/>
      <c r="D32" s="70"/>
      <c r="E32" s="70"/>
      <c r="F32" s="70"/>
      <c r="G32" s="70"/>
      <c r="H32" s="70"/>
      <c r="I32" s="70"/>
      <c r="J32" s="71"/>
      <c r="K32" s="72"/>
      <c r="L32" s="55"/>
      <c r="M32" s="73"/>
      <c r="N32" s="74"/>
      <c r="O32" s="70"/>
      <c r="P32" s="71"/>
      <c r="Q32" s="71"/>
      <c r="R32" s="72"/>
      <c r="S32" s="55"/>
      <c r="T32" s="58">
        <f t="shared" si="0"/>
        <v>0</v>
      </c>
      <c r="U32" s="75">
        <f t="shared" si="4"/>
        <v>0</v>
      </c>
      <c r="V32" s="75">
        <f t="shared" si="5"/>
        <v>0</v>
      </c>
    </row>
    <row r="33" spans="1:23" x14ac:dyDescent="0.25">
      <c r="A33" s="27">
        <f t="shared" si="1"/>
        <v>30</v>
      </c>
      <c r="B33" s="26" t="s">
        <v>16</v>
      </c>
      <c r="C33" s="70"/>
      <c r="D33" s="70"/>
      <c r="E33" s="70"/>
      <c r="F33" s="70"/>
      <c r="G33" s="70"/>
      <c r="H33" s="70"/>
      <c r="I33" s="70"/>
      <c r="J33" s="71"/>
      <c r="K33" s="72"/>
      <c r="L33" s="55"/>
      <c r="M33" s="73"/>
      <c r="N33" s="74"/>
      <c r="O33" s="70"/>
      <c r="P33" s="71"/>
      <c r="Q33" s="71"/>
      <c r="R33" s="72"/>
      <c r="S33" s="55"/>
      <c r="T33" s="58">
        <f t="shared" si="0"/>
        <v>0</v>
      </c>
      <c r="U33" s="75">
        <f t="shared" si="4"/>
        <v>0</v>
      </c>
      <c r="V33" s="75">
        <f t="shared" si="5"/>
        <v>0</v>
      </c>
    </row>
    <row r="34" spans="1:23" x14ac:dyDescent="0.25">
      <c r="A34" s="27">
        <f t="shared" si="1"/>
        <v>31</v>
      </c>
      <c r="B34" s="26" t="s">
        <v>17</v>
      </c>
      <c r="C34" s="70">
        <f>68+72</f>
        <v>140</v>
      </c>
      <c r="D34" s="70"/>
      <c r="E34" s="70"/>
      <c r="F34" s="70"/>
      <c r="G34" s="70"/>
      <c r="H34" s="70"/>
      <c r="I34" s="70">
        <v>1</v>
      </c>
      <c r="J34" s="71"/>
      <c r="K34" s="72">
        <v>1</v>
      </c>
      <c r="L34" s="55"/>
      <c r="M34" s="73"/>
      <c r="N34" s="74"/>
      <c r="O34" s="70">
        <v>5</v>
      </c>
      <c r="P34" s="71"/>
      <c r="Q34" s="71">
        <v>23</v>
      </c>
      <c r="R34" s="72"/>
      <c r="S34" s="55"/>
      <c r="T34" s="58">
        <f t="shared" si="0"/>
        <v>2</v>
      </c>
      <c r="U34" s="75">
        <f t="shared" si="4"/>
        <v>4034</v>
      </c>
      <c r="V34" s="75">
        <f t="shared" si="5"/>
        <v>168.08333333333334</v>
      </c>
    </row>
    <row r="35" spans="1:23" hidden="1" x14ac:dyDescent="0.25">
      <c r="A35" s="27">
        <f t="shared" si="1"/>
        <v>32</v>
      </c>
      <c r="B35" s="26" t="s">
        <v>25</v>
      </c>
      <c r="C35" s="70"/>
      <c r="D35" s="70"/>
      <c r="E35" s="70"/>
      <c r="F35" s="70"/>
      <c r="G35" s="70"/>
      <c r="H35" s="70"/>
      <c r="I35" s="70"/>
      <c r="J35" s="71"/>
      <c r="K35" s="72"/>
      <c r="L35" s="55"/>
      <c r="M35" s="73"/>
      <c r="N35" s="74"/>
      <c r="O35" s="70"/>
      <c r="P35" s="71"/>
      <c r="Q35" s="71"/>
      <c r="R35" s="72"/>
      <c r="S35" s="55"/>
      <c r="T35" s="58">
        <f t="shared" si="0"/>
        <v>0</v>
      </c>
      <c r="U35" s="75">
        <f t="shared" si="4"/>
        <v>0</v>
      </c>
      <c r="V35" s="75">
        <f t="shared" si="5"/>
        <v>0</v>
      </c>
    </row>
    <row r="36" spans="1:23" x14ac:dyDescent="0.25">
      <c r="A36" s="27">
        <f t="shared" si="1"/>
        <v>33</v>
      </c>
      <c r="B36" s="26" t="s">
        <v>18</v>
      </c>
      <c r="C36" s="70"/>
      <c r="D36" s="70"/>
      <c r="E36" s="70"/>
      <c r="F36" s="70"/>
      <c r="G36" s="70"/>
      <c r="H36" s="70"/>
      <c r="I36" s="70"/>
      <c r="J36" s="71"/>
      <c r="K36" s="72"/>
      <c r="L36" s="55"/>
      <c r="M36" s="73"/>
      <c r="N36" s="74"/>
      <c r="O36" s="70"/>
      <c r="P36" s="71"/>
      <c r="Q36" s="71"/>
      <c r="R36" s="72"/>
      <c r="S36" s="55"/>
      <c r="T36" s="58">
        <f t="shared" si="0"/>
        <v>0</v>
      </c>
      <c r="U36" s="75">
        <f t="shared" si="4"/>
        <v>0</v>
      </c>
      <c r="V36" s="75">
        <f t="shared" si="5"/>
        <v>0</v>
      </c>
    </row>
    <row r="37" spans="1:23" ht="19.5" thickBot="1" x14ac:dyDescent="0.3">
      <c r="A37" s="27">
        <f t="shared" si="1"/>
        <v>34</v>
      </c>
      <c r="B37" s="42" t="s">
        <v>19</v>
      </c>
      <c r="C37" s="59">
        <f>864+2376+16</f>
        <v>3256</v>
      </c>
      <c r="D37" s="59"/>
      <c r="E37" s="59"/>
      <c r="F37" s="59"/>
      <c r="G37" s="59"/>
      <c r="H37" s="59">
        <v>3</v>
      </c>
      <c r="I37" s="59">
        <v>2</v>
      </c>
      <c r="J37" s="60">
        <v>6</v>
      </c>
      <c r="K37" s="61">
        <f>2+6</f>
        <v>8</v>
      </c>
      <c r="L37" s="62"/>
      <c r="M37" s="63"/>
      <c r="N37" s="64"/>
      <c r="O37" s="65">
        <v>32</v>
      </c>
      <c r="P37" s="66"/>
      <c r="Q37" s="66">
        <v>54</v>
      </c>
      <c r="R37" s="67"/>
      <c r="S37" s="62"/>
      <c r="T37" s="77">
        <f t="shared" si="0"/>
        <v>19</v>
      </c>
      <c r="U37" s="77">
        <f>C37*6+M37*6+O37*6+Q37*6+T37</f>
        <v>20071</v>
      </c>
      <c r="V37" s="77">
        <f>U37/6</f>
        <v>3345.1666666666665</v>
      </c>
      <c r="W37" s="50"/>
    </row>
    <row r="38" spans="1:23" x14ac:dyDescent="0.25">
      <c r="A38" s="27">
        <f t="shared" si="1"/>
        <v>35</v>
      </c>
      <c r="B38" s="25" t="s">
        <v>20</v>
      </c>
      <c r="C38" s="70"/>
      <c r="D38" s="70"/>
      <c r="E38" s="70"/>
      <c r="F38" s="70"/>
      <c r="G38" s="70"/>
      <c r="H38" s="70"/>
      <c r="I38" s="70"/>
      <c r="J38" s="71"/>
      <c r="K38" s="72"/>
      <c r="L38" s="55"/>
      <c r="M38" s="73"/>
      <c r="N38" s="74"/>
      <c r="O38" s="70"/>
      <c r="P38" s="71"/>
      <c r="Q38" s="71"/>
      <c r="R38" s="72"/>
      <c r="S38" s="55"/>
      <c r="T38" s="75">
        <f t="shared" si="0"/>
        <v>0</v>
      </c>
      <c r="U38" s="75">
        <f>C38*24+M38*24+O38*24+Q38*24+T38</f>
        <v>0</v>
      </c>
      <c r="V38" s="75">
        <f>U38/24</f>
        <v>0</v>
      </c>
    </row>
    <row r="39" spans="1:23" x14ac:dyDescent="0.25">
      <c r="A39" s="27">
        <f t="shared" si="1"/>
        <v>36</v>
      </c>
      <c r="B39" s="51" t="s">
        <v>62</v>
      </c>
      <c r="C39" s="78"/>
      <c r="D39" s="78"/>
      <c r="E39" s="78"/>
      <c r="F39" s="78"/>
      <c r="G39" s="78"/>
      <c r="H39" s="78"/>
      <c r="I39" s="78"/>
      <c r="J39" s="79"/>
      <c r="K39" s="80"/>
      <c r="L39" s="55"/>
      <c r="M39" s="73"/>
      <c r="N39" s="74"/>
      <c r="O39" s="70"/>
      <c r="P39" s="71"/>
      <c r="Q39" s="71"/>
      <c r="R39" s="72"/>
      <c r="S39" s="95"/>
      <c r="T39" s="75">
        <f t="shared" si="0"/>
        <v>0</v>
      </c>
      <c r="U39" s="75">
        <f>C39*24+M39*24+O39*24+Q39*24+T39</f>
        <v>0</v>
      </c>
      <c r="V39" s="75">
        <f>U39/24</f>
        <v>0</v>
      </c>
    </row>
    <row r="40" spans="1:23" ht="19.5" thickBot="1" x14ac:dyDescent="0.3">
      <c r="A40" s="27">
        <f t="shared" si="1"/>
        <v>37</v>
      </c>
      <c r="B40" s="42" t="s">
        <v>21</v>
      </c>
      <c r="C40" s="59">
        <f>51+189</f>
        <v>240</v>
      </c>
      <c r="D40" s="59"/>
      <c r="E40" s="59"/>
      <c r="F40" s="59"/>
      <c r="G40" s="59"/>
      <c r="H40" s="59"/>
      <c r="I40" s="59"/>
      <c r="J40" s="60"/>
      <c r="K40" s="61">
        <v>20</v>
      </c>
      <c r="L40" s="62"/>
      <c r="M40" s="63"/>
      <c r="N40" s="64"/>
      <c r="O40" s="65">
        <v>2</v>
      </c>
      <c r="P40" s="66"/>
      <c r="Q40" s="66">
        <v>15</v>
      </c>
      <c r="R40" s="67"/>
      <c r="S40" s="62"/>
      <c r="T40" s="77">
        <f t="shared" si="0"/>
        <v>20</v>
      </c>
      <c r="U40" s="77">
        <f>C40*24+M40*24+O40*24+Q40*24+T40</f>
        <v>6188</v>
      </c>
      <c r="V40" s="77">
        <f>U40/24</f>
        <v>257.83333333333331</v>
      </c>
    </row>
    <row r="41" spans="1:23" ht="19.5" thickBot="1" x14ac:dyDescent="0.3">
      <c r="A41" s="27">
        <f t="shared" si="1"/>
        <v>38</v>
      </c>
      <c r="B41" s="43" t="s">
        <v>22</v>
      </c>
      <c r="C41" s="82">
        <f>192+91</f>
        <v>283</v>
      </c>
      <c r="D41" s="82"/>
      <c r="E41" s="82"/>
      <c r="F41" s="82"/>
      <c r="G41" s="82"/>
      <c r="H41" s="82"/>
      <c r="I41" s="82"/>
      <c r="J41" s="83"/>
      <c r="K41" s="84"/>
      <c r="L41" s="85"/>
      <c r="M41" s="86"/>
      <c r="N41" s="87"/>
      <c r="O41" s="82">
        <v>10</v>
      </c>
      <c r="P41" s="83"/>
      <c r="Q41" s="83">
        <v>35</v>
      </c>
      <c r="R41" s="84"/>
      <c r="S41" s="85"/>
      <c r="T41" s="88">
        <f t="shared" si="0"/>
        <v>0</v>
      </c>
      <c r="U41" s="88">
        <f>C41*12+M41*12+O41*12+Q41*12+T41</f>
        <v>3936</v>
      </c>
      <c r="V41" s="88">
        <f>U41/12</f>
        <v>328</v>
      </c>
    </row>
    <row r="42" spans="1:23" hidden="1" x14ac:dyDescent="0.25">
      <c r="A42" s="27">
        <f t="shared" si="1"/>
        <v>39</v>
      </c>
      <c r="B42" s="25" t="s">
        <v>29</v>
      </c>
      <c r="C42" s="70"/>
      <c r="D42" s="70"/>
      <c r="E42" s="70"/>
      <c r="F42" s="70"/>
      <c r="G42" s="70"/>
      <c r="H42" s="70"/>
      <c r="I42" s="70"/>
      <c r="J42" s="71"/>
      <c r="K42" s="72"/>
      <c r="L42" s="55"/>
      <c r="M42" s="73"/>
      <c r="N42" s="74"/>
      <c r="O42" s="70"/>
      <c r="P42" s="71"/>
      <c r="Q42" s="71"/>
      <c r="R42" s="72"/>
      <c r="S42" s="55"/>
      <c r="T42" s="75"/>
      <c r="U42" s="75"/>
      <c r="V42" s="75"/>
    </row>
    <row r="43" spans="1:23" ht="19.5" thickBot="1" x14ac:dyDescent="0.3">
      <c r="A43" s="27">
        <f t="shared" si="1"/>
        <v>40</v>
      </c>
      <c r="B43" s="42" t="s">
        <v>23</v>
      </c>
      <c r="C43" s="65">
        <f>8856+19764+9033</f>
        <v>37653</v>
      </c>
      <c r="D43" s="65"/>
      <c r="E43" s="65"/>
      <c r="F43" s="65"/>
      <c r="G43" s="65"/>
      <c r="H43" s="65">
        <v>3</v>
      </c>
      <c r="I43" s="65">
        <v>12</v>
      </c>
      <c r="J43" s="66">
        <f>26*6+4</f>
        <v>160</v>
      </c>
      <c r="K43" s="67">
        <f>69*6+1</f>
        <v>415</v>
      </c>
      <c r="L43" s="62"/>
      <c r="M43" s="63">
        <v>43</v>
      </c>
      <c r="N43" s="64"/>
      <c r="O43" s="65">
        <v>470</v>
      </c>
      <c r="P43" s="66"/>
      <c r="Q43" s="66">
        <v>364</v>
      </c>
      <c r="R43" s="67"/>
      <c r="S43" s="62"/>
      <c r="T43" s="77">
        <f t="shared" ref="T43" si="6">H43+I43+J43+K43+N43+P43+R43</f>
        <v>590</v>
      </c>
      <c r="U43" s="77">
        <f>C43*6+M43*6+O43*6+Q43*6+T43</f>
        <v>231770</v>
      </c>
      <c r="V43" s="77">
        <f>U43/6</f>
        <v>38628.333333333336</v>
      </c>
    </row>
    <row r="44" spans="1:23" hidden="1" x14ac:dyDescent="0.25">
      <c r="A44" s="27">
        <f t="shared" si="1"/>
        <v>41</v>
      </c>
      <c r="B44" s="25" t="s">
        <v>31</v>
      </c>
      <c r="C44" s="70"/>
      <c r="D44" s="70"/>
      <c r="E44" s="70"/>
      <c r="F44" s="70"/>
      <c r="G44" s="70"/>
      <c r="H44" s="70"/>
      <c r="I44" s="70"/>
      <c r="J44" s="71"/>
      <c r="K44" s="72"/>
      <c r="L44" s="55"/>
      <c r="M44" s="73"/>
      <c r="N44" s="74"/>
      <c r="O44" s="70"/>
      <c r="P44" s="71"/>
      <c r="Q44" s="71"/>
      <c r="R44" s="72"/>
      <c r="S44" s="55"/>
      <c r="T44" s="75"/>
      <c r="U44" s="75"/>
      <c r="V44" s="75"/>
    </row>
    <row r="45" spans="1:23" x14ac:dyDescent="0.25">
      <c r="A45" s="27">
        <f t="shared" si="1"/>
        <v>42</v>
      </c>
      <c r="B45" s="26" t="s">
        <v>24</v>
      </c>
      <c r="C45" s="70"/>
      <c r="D45" s="70"/>
      <c r="E45" s="70"/>
      <c r="F45" s="70"/>
      <c r="G45" s="70"/>
      <c r="H45" s="70"/>
      <c r="I45" s="70"/>
      <c r="J45" s="71"/>
      <c r="K45" s="72"/>
      <c r="L45" s="55"/>
      <c r="M45" s="73"/>
      <c r="N45" s="74"/>
      <c r="O45" s="70"/>
      <c r="P45" s="71"/>
      <c r="Q45" s="71"/>
      <c r="R45" s="72"/>
      <c r="S45" s="55"/>
      <c r="T45" s="75">
        <f t="shared" ref="T45:T54" si="7">H45+I45+J45+K45+N45+P45+R45</f>
        <v>0</v>
      </c>
      <c r="U45" s="75">
        <f>C45*24+M45*24+O45*24+Q45*24+T45</f>
        <v>0</v>
      </c>
      <c r="V45" s="75">
        <f>U45/24</f>
        <v>0</v>
      </c>
    </row>
    <row r="46" spans="1:23" x14ac:dyDescent="0.25">
      <c r="A46" s="27">
        <f t="shared" si="1"/>
        <v>43</v>
      </c>
      <c r="B46" s="26" t="s">
        <v>57</v>
      </c>
      <c r="C46" s="70"/>
      <c r="D46" s="70"/>
      <c r="E46" s="70"/>
      <c r="F46" s="70"/>
      <c r="G46" s="70"/>
      <c r="H46" s="70"/>
      <c r="I46" s="70"/>
      <c r="J46" s="71"/>
      <c r="K46" s="72"/>
      <c r="L46" s="55"/>
      <c r="M46" s="73"/>
      <c r="N46" s="74"/>
      <c r="O46" s="70"/>
      <c r="P46" s="71"/>
      <c r="Q46" s="71"/>
      <c r="R46" s="72"/>
      <c r="S46" s="55"/>
      <c r="T46" s="75">
        <f t="shared" si="7"/>
        <v>0</v>
      </c>
      <c r="U46" s="75">
        <f t="shared" ref="U46:U50" si="8">C46*24+M46*24+O46*24+Q46*24+T46</f>
        <v>0</v>
      </c>
      <c r="V46" s="75">
        <f t="shared" ref="V46:V54" si="9">U46/24</f>
        <v>0</v>
      </c>
    </row>
    <row r="47" spans="1:23" ht="19.5" thickBot="1" x14ac:dyDescent="0.3">
      <c r="A47" s="27">
        <f t="shared" si="1"/>
        <v>44</v>
      </c>
      <c r="B47" s="42" t="s">
        <v>25</v>
      </c>
      <c r="C47" s="65">
        <f>89+648+324+88+432+83+103+324+432+106</f>
        <v>2629</v>
      </c>
      <c r="D47" s="65"/>
      <c r="E47" s="65"/>
      <c r="F47" s="65"/>
      <c r="G47" s="65"/>
      <c r="H47" s="65">
        <v>1</v>
      </c>
      <c r="I47" s="65"/>
      <c r="J47" s="66"/>
      <c r="K47" s="67">
        <v>5</v>
      </c>
      <c r="L47" s="62"/>
      <c r="M47" s="63">
        <v>2</v>
      </c>
      <c r="N47" s="64"/>
      <c r="O47" s="65">
        <v>15</v>
      </c>
      <c r="P47" s="66"/>
      <c r="Q47" s="66">
        <v>20</v>
      </c>
      <c r="R47" s="67">
        <v>3</v>
      </c>
      <c r="S47" s="62"/>
      <c r="T47" s="77">
        <f t="shared" si="7"/>
        <v>9</v>
      </c>
      <c r="U47" s="77">
        <f>C47*6+M47*6+O47*6+Q47*6+T47</f>
        <v>16005</v>
      </c>
      <c r="V47" s="77">
        <f>U47/6</f>
        <v>2667.5</v>
      </c>
    </row>
    <row r="48" spans="1:23" x14ac:dyDescent="0.25">
      <c r="A48" s="27">
        <f t="shared" si="1"/>
        <v>45</v>
      </c>
      <c r="B48" s="25" t="s">
        <v>58</v>
      </c>
      <c r="C48" s="70"/>
      <c r="D48" s="70"/>
      <c r="E48" s="70"/>
      <c r="F48" s="70"/>
      <c r="G48" s="70"/>
      <c r="H48" s="70">
        <v>24</v>
      </c>
      <c r="I48" s="70"/>
      <c r="J48" s="71"/>
      <c r="K48" s="72"/>
      <c r="L48" s="55"/>
      <c r="M48" s="73"/>
      <c r="N48" s="74"/>
      <c r="O48" s="70"/>
      <c r="P48" s="71"/>
      <c r="Q48" s="71"/>
      <c r="R48" s="72"/>
      <c r="S48" s="55"/>
      <c r="T48" s="75">
        <f t="shared" si="7"/>
        <v>24</v>
      </c>
      <c r="U48" s="75">
        <f t="shared" si="8"/>
        <v>24</v>
      </c>
      <c r="V48" s="75">
        <f t="shared" si="9"/>
        <v>1</v>
      </c>
    </row>
    <row r="49" spans="1:22" x14ac:dyDescent="0.25">
      <c r="A49" s="27">
        <f t="shared" si="1"/>
        <v>46</v>
      </c>
      <c r="B49" s="26" t="s">
        <v>26</v>
      </c>
      <c r="C49" s="70"/>
      <c r="D49" s="70"/>
      <c r="E49" s="70"/>
      <c r="F49" s="70"/>
      <c r="G49" s="70"/>
      <c r="H49" s="70"/>
      <c r="I49" s="70"/>
      <c r="J49" s="71"/>
      <c r="K49" s="72"/>
      <c r="L49" s="55"/>
      <c r="M49" s="73"/>
      <c r="N49" s="74"/>
      <c r="O49" s="70"/>
      <c r="P49" s="71"/>
      <c r="Q49" s="71"/>
      <c r="R49" s="72"/>
      <c r="S49" s="55"/>
      <c r="T49" s="75">
        <f t="shared" si="7"/>
        <v>0</v>
      </c>
      <c r="U49" s="75">
        <f t="shared" si="8"/>
        <v>0</v>
      </c>
      <c r="V49" s="75">
        <f t="shared" si="9"/>
        <v>0</v>
      </c>
    </row>
    <row r="50" spans="1:22" x14ac:dyDescent="0.25">
      <c r="A50" s="27">
        <f t="shared" si="1"/>
        <v>47</v>
      </c>
      <c r="B50" s="26" t="s">
        <v>59</v>
      </c>
      <c r="C50" s="70"/>
      <c r="D50" s="70"/>
      <c r="E50" s="70"/>
      <c r="F50" s="70"/>
      <c r="G50" s="70"/>
      <c r="H50" s="70"/>
      <c r="I50" s="70"/>
      <c r="J50" s="71"/>
      <c r="K50" s="72"/>
      <c r="L50" s="55"/>
      <c r="M50" s="73"/>
      <c r="N50" s="74"/>
      <c r="O50" s="70"/>
      <c r="P50" s="71"/>
      <c r="Q50" s="71"/>
      <c r="R50" s="72"/>
      <c r="S50" s="55"/>
      <c r="T50" s="75">
        <f t="shared" si="7"/>
        <v>0</v>
      </c>
      <c r="U50" s="75">
        <f t="shared" si="8"/>
        <v>0</v>
      </c>
      <c r="V50" s="75">
        <f t="shared" si="9"/>
        <v>0</v>
      </c>
    </row>
    <row r="51" spans="1:22" ht="19.5" thickBot="1" x14ac:dyDescent="0.3">
      <c r="A51" s="27">
        <f t="shared" si="1"/>
        <v>48</v>
      </c>
      <c r="B51" s="42" t="s">
        <v>27</v>
      </c>
      <c r="C51" s="65">
        <v>34</v>
      </c>
      <c r="D51" s="65"/>
      <c r="E51" s="65"/>
      <c r="F51" s="65"/>
      <c r="G51" s="65"/>
      <c r="H51" s="65"/>
      <c r="I51" s="65"/>
      <c r="J51" s="66"/>
      <c r="K51" s="67"/>
      <c r="L51" s="62"/>
      <c r="M51" s="63"/>
      <c r="N51" s="64"/>
      <c r="O51" s="65"/>
      <c r="P51" s="66"/>
      <c r="Q51" s="66"/>
      <c r="R51" s="67"/>
      <c r="S51" s="62"/>
      <c r="T51" s="77">
        <f t="shared" si="7"/>
        <v>0</v>
      </c>
      <c r="U51" s="77">
        <f>C51*6+M51*6+O51*6+Q51*6+T51</f>
        <v>204</v>
      </c>
      <c r="V51" s="77">
        <f>U51/6</f>
        <v>34</v>
      </c>
    </row>
    <row r="52" spans="1:22" x14ac:dyDescent="0.25">
      <c r="A52" s="27">
        <f t="shared" si="1"/>
        <v>49</v>
      </c>
      <c r="B52" s="25" t="s">
        <v>28</v>
      </c>
      <c r="C52" s="70"/>
      <c r="D52" s="70"/>
      <c r="E52" s="70"/>
      <c r="F52" s="70"/>
      <c r="G52" s="70"/>
      <c r="H52" s="70"/>
      <c r="I52" s="70"/>
      <c r="J52" s="71"/>
      <c r="K52" s="72"/>
      <c r="L52" s="55"/>
      <c r="M52" s="73"/>
      <c r="N52" s="74"/>
      <c r="O52" s="70"/>
      <c r="P52" s="71"/>
      <c r="Q52" s="71"/>
      <c r="R52" s="72"/>
      <c r="S52" s="55"/>
      <c r="T52" s="75">
        <f t="shared" si="7"/>
        <v>0</v>
      </c>
      <c r="U52" s="75">
        <f t="shared" ref="U52:U54" si="10">C52*24+M52*24+O52*24+Q52*24+T52</f>
        <v>0</v>
      </c>
      <c r="V52" s="75">
        <f t="shared" si="9"/>
        <v>0</v>
      </c>
    </row>
    <row r="53" spans="1:22" x14ac:dyDescent="0.25">
      <c r="A53" s="27">
        <f t="shared" si="1"/>
        <v>50</v>
      </c>
      <c r="B53" s="26" t="s">
        <v>63</v>
      </c>
      <c r="C53" s="70">
        <v>7</v>
      </c>
      <c r="D53" s="70"/>
      <c r="E53" s="70"/>
      <c r="F53" s="70"/>
      <c r="G53" s="70"/>
      <c r="H53" s="70"/>
      <c r="I53" s="70"/>
      <c r="J53" s="71"/>
      <c r="K53" s="72"/>
      <c r="L53" s="55"/>
      <c r="M53" s="73"/>
      <c r="N53" s="74"/>
      <c r="O53" s="70"/>
      <c r="P53" s="71"/>
      <c r="Q53" s="71"/>
      <c r="R53" s="72"/>
      <c r="S53" s="55"/>
      <c r="T53" s="75">
        <f t="shared" si="7"/>
        <v>0</v>
      </c>
      <c r="U53" s="75">
        <f t="shared" si="10"/>
        <v>168</v>
      </c>
      <c r="V53" s="75">
        <f t="shared" si="9"/>
        <v>7</v>
      </c>
    </row>
    <row r="54" spans="1:22" x14ac:dyDescent="0.25">
      <c r="A54" s="27">
        <f t="shared" si="1"/>
        <v>51</v>
      </c>
      <c r="B54" s="26"/>
      <c r="C54" s="70"/>
      <c r="D54" s="70"/>
      <c r="E54" s="70"/>
      <c r="F54" s="70"/>
      <c r="G54" s="70"/>
      <c r="H54" s="70"/>
      <c r="I54" s="70"/>
      <c r="J54" s="71"/>
      <c r="K54" s="72"/>
      <c r="L54" s="55"/>
      <c r="M54" s="73"/>
      <c r="N54" s="74"/>
      <c r="O54" s="70"/>
      <c r="P54" s="71"/>
      <c r="Q54" s="71"/>
      <c r="R54" s="72"/>
      <c r="S54" s="55"/>
      <c r="T54" s="75">
        <f t="shared" si="7"/>
        <v>0</v>
      </c>
      <c r="U54" s="75">
        <f t="shared" si="10"/>
        <v>0</v>
      </c>
      <c r="V54" s="75">
        <f t="shared" si="9"/>
        <v>0</v>
      </c>
    </row>
    <row r="55" spans="1:22" x14ac:dyDescent="0.25">
      <c r="A55" s="27">
        <f t="shared" si="1"/>
        <v>52</v>
      </c>
      <c r="B55" s="26"/>
      <c r="C55" s="70"/>
      <c r="D55" s="70"/>
      <c r="E55" s="70"/>
      <c r="F55" s="70"/>
      <c r="G55" s="70"/>
      <c r="H55" s="70"/>
      <c r="I55" s="70"/>
      <c r="J55" s="71"/>
      <c r="K55" s="72"/>
      <c r="L55" s="55"/>
      <c r="M55" s="73"/>
      <c r="N55" s="74"/>
      <c r="O55" s="70"/>
      <c r="P55" s="71"/>
      <c r="Q55" s="71"/>
      <c r="R55" s="72"/>
      <c r="S55" s="55"/>
      <c r="T55" s="75"/>
      <c r="U55" s="75"/>
      <c r="V55" s="75"/>
    </row>
    <row r="56" spans="1:22" x14ac:dyDescent="0.25">
      <c r="A56" s="27">
        <f t="shared" si="1"/>
        <v>53</v>
      </c>
      <c r="B56" s="26"/>
      <c r="C56" s="70"/>
      <c r="D56" s="70"/>
      <c r="E56" s="70"/>
      <c r="F56" s="70"/>
      <c r="G56" s="70"/>
      <c r="H56" s="70"/>
      <c r="I56" s="70"/>
      <c r="J56" s="71"/>
      <c r="K56" s="72"/>
      <c r="L56" s="55"/>
      <c r="M56" s="73"/>
      <c r="N56" s="74"/>
      <c r="O56" s="70"/>
      <c r="P56" s="71"/>
      <c r="Q56" s="71"/>
      <c r="R56" s="72"/>
      <c r="S56" s="55"/>
      <c r="T56" s="75"/>
      <c r="U56" s="75"/>
      <c r="V56" s="75"/>
    </row>
    <row r="57" spans="1:22" x14ac:dyDescent="0.25">
      <c r="A57" s="27">
        <f t="shared" si="1"/>
        <v>54</v>
      </c>
      <c r="B57" s="26"/>
      <c r="C57" s="70"/>
      <c r="D57" s="70"/>
      <c r="E57" s="70"/>
      <c r="F57" s="70"/>
      <c r="G57" s="70"/>
      <c r="H57" s="70"/>
      <c r="I57" s="70"/>
      <c r="J57" s="71"/>
      <c r="K57" s="72"/>
      <c r="L57" s="55"/>
      <c r="M57" s="73"/>
      <c r="N57" s="74"/>
      <c r="O57" s="70"/>
      <c r="P57" s="71"/>
      <c r="Q57" s="71"/>
      <c r="R57" s="72"/>
      <c r="S57" s="55"/>
      <c r="T57" s="75"/>
      <c r="U57" s="75"/>
      <c r="V57" s="75"/>
    </row>
    <row r="58" spans="1:22" s="15" customFormat="1" ht="19.5" thickBot="1" x14ac:dyDescent="0.3">
      <c r="B58" s="29" t="s">
        <v>50</v>
      </c>
      <c r="C58" s="2">
        <f>SUM(C7:C57)</f>
        <v>47722</v>
      </c>
      <c r="D58" s="2"/>
      <c r="E58" s="2"/>
      <c r="F58" s="2">
        <f t="shared" ref="F58:K58" si="11">SUM(F7:F57)</f>
        <v>0</v>
      </c>
      <c r="G58" s="2">
        <f t="shared" si="11"/>
        <v>0</v>
      </c>
      <c r="H58" s="2">
        <f t="shared" si="11"/>
        <v>1190</v>
      </c>
      <c r="I58" s="6">
        <f t="shared" si="11"/>
        <v>44</v>
      </c>
      <c r="J58" s="6">
        <f t="shared" si="11"/>
        <v>166</v>
      </c>
      <c r="K58" s="6">
        <f t="shared" si="11"/>
        <v>457</v>
      </c>
      <c r="M58" s="5">
        <f t="shared" ref="M58:R58" si="12">SUM(M7:M57)</f>
        <v>46</v>
      </c>
      <c r="N58" s="5">
        <f t="shared" si="12"/>
        <v>10</v>
      </c>
      <c r="O58" s="5">
        <f t="shared" si="12"/>
        <v>550</v>
      </c>
      <c r="P58" s="5">
        <f t="shared" si="12"/>
        <v>24</v>
      </c>
      <c r="Q58" s="5">
        <f t="shared" si="12"/>
        <v>561</v>
      </c>
      <c r="R58" s="5">
        <f t="shared" si="12"/>
        <v>3</v>
      </c>
      <c r="S58" s="55"/>
      <c r="T58" s="4">
        <f>SUM(T7:T57)</f>
        <v>1894</v>
      </c>
      <c r="U58" s="90">
        <f>SUM(U7:U57)</f>
        <v>368758</v>
      </c>
      <c r="V58" s="4">
        <f>SUM(V7:V57)</f>
        <v>49035.166666666672</v>
      </c>
    </row>
    <row r="59" spans="1:22" ht="7.5" customHeight="1" thickBot="1" x14ac:dyDescent="0.3"/>
    <row r="60" spans="1:22" ht="19.5" thickBot="1" x14ac:dyDescent="0.3">
      <c r="B60" s="30" t="s">
        <v>37</v>
      </c>
      <c r="C60" s="113" t="s">
        <v>41</v>
      </c>
      <c r="D60" s="114"/>
      <c r="E60" s="114"/>
      <c r="F60" s="114"/>
      <c r="G60" s="114"/>
      <c r="H60" s="114"/>
      <c r="I60" s="114"/>
      <c r="J60" s="114"/>
      <c r="K60" s="115"/>
      <c r="U60" s="24" t="s">
        <v>51</v>
      </c>
    </row>
    <row r="61" spans="1:22" x14ac:dyDescent="0.25">
      <c r="B61" s="31" t="s">
        <v>17</v>
      </c>
      <c r="C61" s="19"/>
      <c r="D61" s="19"/>
      <c r="E61" s="19"/>
      <c r="F61" s="19"/>
      <c r="G61" s="19"/>
      <c r="H61" s="19"/>
      <c r="I61" s="19"/>
      <c r="J61" s="45"/>
      <c r="K61" s="20"/>
      <c r="U61" s="7"/>
    </row>
    <row r="62" spans="1:22" x14ac:dyDescent="0.25">
      <c r="B62" s="32" t="s">
        <v>45</v>
      </c>
      <c r="C62" s="1"/>
      <c r="D62" s="1"/>
      <c r="E62" s="1"/>
      <c r="F62" s="1"/>
      <c r="G62" s="1"/>
      <c r="H62" s="1"/>
      <c r="I62" s="1"/>
      <c r="J62" s="44"/>
      <c r="K62" s="21"/>
      <c r="U62" s="3"/>
    </row>
    <row r="63" spans="1:22" ht="19.5" thickBot="1" x14ac:dyDescent="0.3">
      <c r="B63" s="33" t="s">
        <v>44</v>
      </c>
      <c r="C63" s="22"/>
      <c r="D63" s="22"/>
      <c r="E63" s="22"/>
      <c r="F63" s="22"/>
      <c r="G63" s="22"/>
      <c r="H63" s="22"/>
      <c r="I63" s="22"/>
      <c r="J63" s="46"/>
      <c r="K63" s="23"/>
      <c r="U63" s="8"/>
    </row>
    <row r="64" spans="1:22" ht="7.5" customHeight="1" thickBot="1" x14ac:dyDescent="0.3"/>
    <row r="65" spans="2:21" x14ac:dyDescent="0.25">
      <c r="B65" s="31" t="s">
        <v>46</v>
      </c>
      <c r="C65" s="19"/>
      <c r="D65" s="19"/>
      <c r="E65" s="19"/>
      <c r="F65" s="19"/>
      <c r="G65" s="19"/>
      <c r="H65" s="19"/>
      <c r="I65" s="19"/>
      <c r="J65" s="45"/>
      <c r="K65" s="20"/>
      <c r="U65" s="7"/>
    </row>
    <row r="66" spans="2:21" x14ac:dyDescent="0.25">
      <c r="B66" s="32" t="s">
        <v>45</v>
      </c>
      <c r="C66" s="1"/>
      <c r="D66" s="1"/>
      <c r="E66" s="1"/>
      <c r="F66" s="1"/>
      <c r="G66" s="1"/>
      <c r="H66" s="1"/>
      <c r="I66" s="1"/>
      <c r="J66" s="44"/>
      <c r="K66" s="21"/>
      <c r="U66" s="3"/>
    </row>
    <row r="67" spans="2:21" ht="19.5" thickBot="1" x14ac:dyDescent="0.3">
      <c r="B67" s="33" t="s">
        <v>44</v>
      </c>
      <c r="C67" s="22"/>
      <c r="D67" s="22"/>
      <c r="E67" s="22"/>
      <c r="F67" s="22"/>
      <c r="G67" s="22"/>
      <c r="H67" s="22"/>
      <c r="I67" s="22"/>
      <c r="J67" s="46"/>
      <c r="K67" s="23"/>
      <c r="U67" s="8"/>
    </row>
    <row r="68" spans="2:21" ht="7.5" customHeight="1" thickBot="1" x14ac:dyDescent="0.3"/>
    <row r="69" spans="2:21" x14ac:dyDescent="0.25">
      <c r="B69" s="31" t="s">
        <v>38</v>
      </c>
      <c r="C69" s="19"/>
      <c r="D69" s="19"/>
      <c r="E69" s="19"/>
      <c r="F69" s="19"/>
      <c r="G69" s="19"/>
      <c r="H69" s="19"/>
      <c r="I69" s="19"/>
      <c r="J69" s="45"/>
      <c r="K69" s="20"/>
      <c r="U69" s="7"/>
    </row>
    <row r="70" spans="2:21" x14ac:dyDescent="0.25">
      <c r="B70" s="32" t="s">
        <v>45</v>
      </c>
      <c r="C70" s="1"/>
      <c r="D70" s="1"/>
      <c r="E70" s="1"/>
      <c r="F70" s="1"/>
      <c r="G70" s="1"/>
      <c r="H70" s="1"/>
      <c r="I70" s="1"/>
      <c r="J70" s="44"/>
      <c r="K70" s="21"/>
      <c r="U70" s="3"/>
    </row>
    <row r="71" spans="2:21" ht="19.5" thickBot="1" x14ac:dyDescent="0.3">
      <c r="B71" s="33" t="s">
        <v>44</v>
      </c>
      <c r="C71" s="22"/>
      <c r="D71" s="22"/>
      <c r="E71" s="22"/>
      <c r="F71" s="22"/>
      <c r="G71" s="22"/>
      <c r="H71" s="22"/>
      <c r="I71" s="22"/>
      <c r="J71" s="46"/>
      <c r="K71" s="23"/>
      <c r="U71" s="8"/>
    </row>
    <row r="72" spans="2:21" ht="7.5" customHeight="1" thickBot="1" x14ac:dyDescent="0.3"/>
    <row r="73" spans="2:21" x14ac:dyDescent="0.25">
      <c r="B73" s="31" t="s">
        <v>47</v>
      </c>
      <c r="C73" s="19"/>
      <c r="D73" s="19"/>
      <c r="E73" s="19"/>
      <c r="F73" s="19"/>
      <c r="G73" s="19"/>
      <c r="H73" s="19"/>
      <c r="I73" s="19"/>
      <c r="J73" s="45"/>
      <c r="K73" s="20"/>
      <c r="U73" s="7"/>
    </row>
    <row r="74" spans="2:21" x14ac:dyDescent="0.25">
      <c r="B74" s="32" t="s">
        <v>45</v>
      </c>
      <c r="C74" s="1"/>
      <c r="D74" s="1"/>
      <c r="E74" s="1"/>
      <c r="F74" s="1"/>
      <c r="G74" s="1"/>
      <c r="H74" s="1"/>
      <c r="I74" s="1"/>
      <c r="J74" s="44"/>
      <c r="K74" s="21"/>
      <c r="U74" s="3"/>
    </row>
    <row r="75" spans="2:21" ht="19.5" thickBot="1" x14ac:dyDescent="0.3">
      <c r="B75" s="33" t="s">
        <v>44</v>
      </c>
      <c r="C75" s="22"/>
      <c r="D75" s="22"/>
      <c r="E75" s="22"/>
      <c r="F75" s="22"/>
      <c r="G75" s="22"/>
      <c r="H75" s="22"/>
      <c r="I75" s="22"/>
      <c r="J75" s="46"/>
      <c r="K75" s="23"/>
      <c r="U75" s="8"/>
    </row>
    <row r="76" spans="2:21" ht="7.5" customHeight="1" thickBot="1" x14ac:dyDescent="0.3"/>
    <row r="77" spans="2:21" x14ac:dyDescent="0.25">
      <c r="B77" s="31" t="s">
        <v>48</v>
      </c>
      <c r="C77" s="19"/>
      <c r="D77" s="19"/>
      <c r="E77" s="19"/>
      <c r="F77" s="19"/>
      <c r="G77" s="19"/>
      <c r="H77" s="19"/>
      <c r="I77" s="19"/>
      <c r="J77" s="45"/>
      <c r="K77" s="20"/>
      <c r="U77" s="7"/>
    </row>
    <row r="78" spans="2:21" x14ac:dyDescent="0.25">
      <c r="B78" s="32" t="s">
        <v>45</v>
      </c>
      <c r="C78" s="1"/>
      <c r="D78" s="1"/>
      <c r="E78" s="1"/>
      <c r="F78" s="1"/>
      <c r="G78" s="1"/>
      <c r="H78" s="1"/>
      <c r="I78" s="1"/>
      <c r="J78" s="44"/>
      <c r="K78" s="21"/>
      <c r="U78" s="3"/>
    </row>
    <row r="79" spans="2:21" ht="19.5" thickBot="1" x14ac:dyDescent="0.3">
      <c r="B79" s="33" t="s">
        <v>44</v>
      </c>
      <c r="C79" s="22"/>
      <c r="D79" s="22"/>
      <c r="E79" s="22"/>
      <c r="F79" s="22"/>
      <c r="G79" s="22"/>
      <c r="H79" s="22"/>
      <c r="I79" s="22"/>
      <c r="J79" s="46"/>
      <c r="K79" s="23"/>
      <c r="U79" s="8"/>
    </row>
    <row r="80" spans="2:21" ht="7.5" customHeight="1" thickBot="1" x14ac:dyDescent="0.3"/>
    <row r="81" spans="2:21" ht="19.5" thickBot="1" x14ac:dyDescent="0.3">
      <c r="B81" s="30" t="s">
        <v>49</v>
      </c>
      <c r="C81" s="17"/>
      <c r="D81" s="17"/>
      <c r="E81" s="17"/>
      <c r="F81" s="17"/>
      <c r="G81" s="17"/>
      <c r="H81" s="17"/>
      <c r="I81" s="17"/>
      <c r="J81" s="47"/>
      <c r="K81" s="18"/>
      <c r="U81" s="16"/>
    </row>
  </sheetData>
  <mergeCells count="7">
    <mergeCell ref="V4:V5"/>
    <mergeCell ref="J5:K5"/>
    <mergeCell ref="C60:K60"/>
    <mergeCell ref="I1:U1"/>
    <mergeCell ref="C4:K4"/>
    <mergeCell ref="T4:T5"/>
    <mergeCell ref="U4:U5"/>
  </mergeCells>
  <printOptions horizontalCentered="1" verticalCentered="1"/>
  <pageMargins left="0.19685039370078741" right="0.19685039370078741" top="0.19685039370078741" bottom="0.19685039370078741" header="0.19685039370078741" footer="0.19685039370078741"/>
  <pageSetup paperSize="14" scale="70" orientation="portrait" horizontalDpi="360" verticalDpi="360" r:id="rId1"/>
  <colBreaks count="1" manualBreakCount="1">
    <brk id="24" max="80" man="1"/>
  </colBreaks>
</worksheet>
</file>

<file path=xl/worksheets/sheet1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98135CE8-2A84-40FE-B7B5-D26F7437D5B3}">
  <sheetPr>
    <pageSetUpPr fitToPage="1"/>
  </sheetPr>
  <dimension ref="A1:BB81"/>
  <sheetViews>
    <sheetView topLeftCell="A7" zoomScale="91" zoomScaleNormal="91" zoomScaleSheetLayoutView="115" workbookViewId="0">
      <selection activeCell="AA24" sqref="AA24"/>
    </sheetView>
  </sheetViews>
  <sheetFormatPr defaultColWidth="9.140625" defaultRowHeight="18.75" x14ac:dyDescent="0.25"/>
  <cols>
    <col min="1" max="1" width="4.140625" style="9" bestFit="1" customWidth="1"/>
    <col min="2" max="2" width="12.28515625" style="28" customWidth="1"/>
    <col min="3" max="6" width="10" style="9" customWidth="1"/>
    <col min="7" max="7" width="6.85546875" style="9" customWidth="1"/>
    <col min="8" max="8" width="7.5703125" style="9" bestFit="1" customWidth="1"/>
    <col min="9" max="9" width="6.7109375" style="9" bestFit="1" customWidth="1"/>
    <col min="10" max="10" width="6.85546875" style="9" customWidth="1"/>
    <col min="11" max="11" width="7.5703125" style="9" bestFit="1" customWidth="1"/>
    <col min="12" max="12" width="1.42578125" style="9" customWidth="1"/>
    <col min="13" max="13" width="10" style="9" customWidth="1"/>
    <col min="14" max="14" width="6.7109375" style="9" bestFit="1" customWidth="1"/>
    <col min="15" max="15" width="10" style="9" customWidth="1"/>
    <col min="16" max="16" width="5.5703125" style="9" customWidth="1"/>
    <col min="17" max="17" width="10" style="9" customWidth="1"/>
    <col min="18" max="18" width="6.7109375" style="9" bestFit="1" customWidth="1"/>
    <col min="19" max="19" width="1.42578125" style="9" customWidth="1"/>
    <col min="20" max="20" width="12.7109375" style="9" bestFit="1" customWidth="1"/>
    <col min="21" max="21" width="14.28515625" style="9" customWidth="1"/>
    <col min="22" max="22" width="19.5703125" style="9" bestFit="1" customWidth="1"/>
    <col min="23" max="49" width="7.28515625" style="9" customWidth="1"/>
    <col min="50" max="50" width="1.5703125" style="9" customWidth="1"/>
    <col min="51" max="51" width="9.42578125" style="9" customWidth="1"/>
    <col min="52" max="52" width="1.28515625" style="9" customWidth="1"/>
    <col min="53" max="53" width="12.7109375" style="9" bestFit="1" customWidth="1"/>
    <col min="54" max="54" width="10.28515625" style="9" bestFit="1" customWidth="1"/>
    <col min="55" max="16384" width="9.140625" style="9"/>
  </cols>
  <sheetData>
    <row r="1" spans="1:54" ht="15" customHeight="1" x14ac:dyDescent="0.25">
      <c r="B1" s="27" t="s">
        <v>42</v>
      </c>
      <c r="I1" s="116" t="s">
        <v>43</v>
      </c>
      <c r="J1" s="116"/>
      <c r="K1" s="116"/>
      <c r="L1" s="116"/>
      <c r="M1" s="116"/>
      <c r="N1" s="116"/>
      <c r="O1" s="116"/>
      <c r="P1" s="116"/>
      <c r="Q1" s="116"/>
      <c r="R1" s="116"/>
      <c r="S1" s="116"/>
      <c r="T1" s="116"/>
      <c r="U1" s="116"/>
    </row>
    <row r="2" spans="1:54" x14ac:dyDescent="0.25">
      <c r="B2" s="28" t="s">
        <v>87</v>
      </c>
    </row>
    <row r="3" spans="1:54" ht="19.5" thickBot="1" x14ac:dyDescent="0.3"/>
    <row r="4" spans="1:54" s="10" customFormat="1" ht="15.75" x14ac:dyDescent="0.25">
      <c r="B4" s="41" t="s">
        <v>52</v>
      </c>
      <c r="C4" s="117" t="s">
        <v>41</v>
      </c>
      <c r="D4" s="117"/>
      <c r="E4" s="117"/>
      <c r="F4" s="117"/>
      <c r="G4" s="117"/>
      <c r="H4" s="117"/>
      <c r="I4" s="117"/>
      <c r="J4" s="118"/>
      <c r="K4" s="119"/>
      <c r="M4" s="34" t="s">
        <v>0</v>
      </c>
      <c r="N4" s="48" t="s">
        <v>61</v>
      </c>
      <c r="O4" s="35" t="s">
        <v>39</v>
      </c>
      <c r="P4" s="48" t="s">
        <v>61</v>
      </c>
      <c r="Q4" s="36" t="s">
        <v>40</v>
      </c>
      <c r="R4" s="48" t="s">
        <v>61</v>
      </c>
      <c r="S4" s="9"/>
      <c r="T4" s="120" t="s">
        <v>68</v>
      </c>
      <c r="U4" s="126" t="s">
        <v>67</v>
      </c>
      <c r="V4" s="109" t="s">
        <v>66</v>
      </c>
      <c r="AF4" s="11"/>
      <c r="AG4" s="11"/>
      <c r="AH4" s="11"/>
      <c r="AI4" s="11"/>
      <c r="AJ4" s="11"/>
      <c r="AK4" s="11"/>
      <c r="AL4" s="11"/>
      <c r="AM4" s="11"/>
      <c r="AN4" s="11"/>
      <c r="AO4" s="11"/>
      <c r="AP4" s="11"/>
      <c r="AQ4" s="11"/>
      <c r="AR4" s="11"/>
      <c r="AS4" s="11"/>
      <c r="AT4" s="11"/>
      <c r="AU4" s="11"/>
      <c r="AV4" s="11"/>
      <c r="AW4" s="11"/>
      <c r="AX4" s="11"/>
      <c r="AY4" s="11"/>
      <c r="AZ4" s="11"/>
      <c r="BA4" s="11"/>
      <c r="BB4" s="11"/>
    </row>
    <row r="5" spans="1:54" s="10" customFormat="1" ht="15.75" x14ac:dyDescent="0.25">
      <c r="B5" s="37"/>
      <c r="C5" s="40"/>
      <c r="D5" s="40"/>
      <c r="E5" s="40"/>
      <c r="F5" s="40"/>
      <c r="G5" s="40"/>
      <c r="H5" s="40" t="s">
        <v>64</v>
      </c>
      <c r="I5" s="40" t="s">
        <v>60</v>
      </c>
      <c r="J5" s="124" t="s">
        <v>65</v>
      </c>
      <c r="K5" s="125"/>
      <c r="M5" s="37"/>
      <c r="N5" s="49"/>
      <c r="O5" s="40"/>
      <c r="P5" s="104"/>
      <c r="Q5" s="104"/>
      <c r="R5" s="38"/>
      <c r="S5" s="9"/>
      <c r="T5" s="121"/>
      <c r="U5" s="127"/>
      <c r="V5" s="110"/>
      <c r="AF5" s="11"/>
      <c r="AG5" s="11"/>
      <c r="AH5" s="11"/>
      <c r="AI5" s="11"/>
      <c r="AJ5" s="11"/>
      <c r="AK5" s="11"/>
      <c r="AL5" s="11"/>
      <c r="AM5" s="11"/>
      <c r="AN5" s="11"/>
      <c r="AO5" s="11"/>
      <c r="AP5" s="11"/>
      <c r="AQ5" s="11"/>
      <c r="AR5" s="11"/>
      <c r="AS5" s="11"/>
      <c r="AT5" s="11"/>
      <c r="AU5" s="11"/>
      <c r="AV5" s="11"/>
      <c r="AW5" s="11"/>
      <c r="AX5" s="11"/>
      <c r="AY5" s="11"/>
      <c r="AZ5" s="11"/>
      <c r="BA5" s="11"/>
      <c r="BB5" s="11"/>
    </row>
    <row r="6" spans="1:54" s="10" customFormat="1" ht="15.75" x14ac:dyDescent="0.25">
      <c r="B6" s="37"/>
      <c r="C6" s="40"/>
      <c r="D6" s="40"/>
      <c r="E6" s="40"/>
      <c r="F6" s="40"/>
      <c r="G6" s="40"/>
      <c r="H6" s="40"/>
      <c r="I6" s="40"/>
      <c r="J6" s="104"/>
      <c r="K6" s="38"/>
      <c r="M6" s="37"/>
      <c r="N6" s="49"/>
      <c r="O6" s="40"/>
      <c r="P6" s="104"/>
      <c r="Q6" s="104"/>
      <c r="R6" s="38"/>
      <c r="S6" s="9"/>
      <c r="T6" s="39"/>
      <c r="U6" s="39"/>
      <c r="V6" s="39"/>
      <c r="AF6" s="11"/>
      <c r="AG6" s="11"/>
      <c r="AH6" s="11"/>
      <c r="AI6" s="11"/>
      <c r="AJ6" s="11"/>
      <c r="AK6" s="11"/>
      <c r="AL6" s="11"/>
      <c r="AM6" s="11"/>
      <c r="AN6" s="11"/>
      <c r="AO6" s="11"/>
      <c r="AP6" s="11"/>
      <c r="AQ6" s="11"/>
      <c r="AR6" s="11"/>
      <c r="AS6" s="11"/>
      <c r="AT6" s="11"/>
      <c r="AU6" s="11"/>
      <c r="AV6" s="11"/>
      <c r="AW6" s="11"/>
      <c r="AX6" s="11"/>
      <c r="AY6" s="11"/>
      <c r="AZ6" s="11"/>
      <c r="BA6" s="11"/>
      <c r="BB6" s="11"/>
    </row>
    <row r="7" spans="1:54" x14ac:dyDescent="0.25">
      <c r="A7" s="27">
        <v>1</v>
      </c>
      <c r="B7" s="26" t="s">
        <v>32</v>
      </c>
      <c r="C7" s="52">
        <v>30</v>
      </c>
      <c r="D7" s="52"/>
      <c r="E7" s="52"/>
      <c r="F7" s="52"/>
      <c r="G7" s="52"/>
      <c r="H7" s="52"/>
      <c r="I7" s="52">
        <v>3</v>
      </c>
      <c r="J7" s="53"/>
      <c r="K7" s="54">
        <v>6</v>
      </c>
      <c r="L7" s="55"/>
      <c r="M7" s="56"/>
      <c r="N7" s="57"/>
      <c r="O7" s="52">
        <v>1</v>
      </c>
      <c r="P7" s="53"/>
      <c r="Q7" s="53"/>
      <c r="R7" s="54"/>
      <c r="S7" s="55"/>
      <c r="T7" s="58">
        <f>H7+I7+J7+K7+N7+P7+R7</f>
        <v>9</v>
      </c>
      <c r="U7" s="58">
        <f>C7*24+M7*24+O7*24+Q7*24+T7</f>
        <v>753</v>
      </c>
      <c r="V7" s="58">
        <f>U7/24</f>
        <v>31.375</v>
      </c>
      <c r="W7" s="50"/>
      <c r="AF7" s="12"/>
      <c r="AG7" s="12"/>
      <c r="AH7" s="12"/>
      <c r="AI7" s="12"/>
      <c r="AJ7" s="12"/>
      <c r="AK7" s="12"/>
      <c r="AL7" s="12"/>
      <c r="AM7" s="12"/>
      <c r="AN7" s="12"/>
      <c r="AO7" s="12"/>
      <c r="AP7" s="12"/>
      <c r="AQ7" s="12"/>
      <c r="AR7" s="12"/>
      <c r="AS7" s="12"/>
      <c r="AT7" s="12"/>
      <c r="AU7" s="12"/>
      <c r="AV7" s="12"/>
      <c r="AW7" s="12"/>
      <c r="AX7" s="12"/>
      <c r="AY7" s="12"/>
      <c r="AZ7" s="12"/>
      <c r="BA7" s="12"/>
      <c r="BB7" s="12"/>
    </row>
    <row r="8" spans="1:54" ht="19.5" thickBot="1" x14ac:dyDescent="0.3">
      <c r="A8" s="27">
        <f>A7+1</f>
        <v>2</v>
      </c>
      <c r="B8" s="42" t="s">
        <v>35</v>
      </c>
      <c r="C8" s="59">
        <f>37+30</f>
        <v>67</v>
      </c>
      <c r="D8" s="59"/>
      <c r="E8" s="59"/>
      <c r="F8" s="59"/>
      <c r="G8" s="59"/>
      <c r="H8" s="59"/>
      <c r="I8" s="59"/>
      <c r="J8" s="60"/>
      <c r="K8" s="61"/>
      <c r="L8" s="62"/>
      <c r="M8" s="63">
        <v>1</v>
      </c>
      <c r="N8" s="64"/>
      <c r="O8" s="65">
        <v>1</v>
      </c>
      <c r="P8" s="66">
        <v>12</v>
      </c>
      <c r="Q8" s="66">
        <v>2</v>
      </c>
      <c r="R8" s="67"/>
      <c r="S8" s="62"/>
      <c r="T8" s="68">
        <f t="shared" ref="T8:T41" si="0">H8+I8+J8+K8+N8+P8+R8</f>
        <v>12</v>
      </c>
      <c r="U8" s="69">
        <f>C8*24+M8*24+O8*24+Q8*24+T8</f>
        <v>1716</v>
      </c>
      <c r="V8" s="69">
        <f>U8/24</f>
        <v>71.5</v>
      </c>
      <c r="W8" s="50"/>
      <c r="AF8" s="12"/>
      <c r="AG8" s="12"/>
      <c r="AH8" s="12"/>
      <c r="AI8" s="12"/>
      <c r="AJ8" s="12"/>
      <c r="AK8" s="12"/>
      <c r="AL8" s="12"/>
      <c r="AM8" s="12"/>
      <c r="AN8" s="12"/>
      <c r="AO8" s="12"/>
      <c r="AP8" s="12"/>
      <c r="AQ8" s="12"/>
      <c r="AR8" s="12"/>
      <c r="AS8" s="12"/>
      <c r="AT8" s="12"/>
      <c r="AU8" s="12"/>
      <c r="AV8" s="12"/>
      <c r="AW8" s="12"/>
      <c r="AX8" s="12"/>
      <c r="AY8" s="12"/>
      <c r="AZ8" s="12"/>
      <c r="BA8" s="12"/>
      <c r="BB8" s="12"/>
    </row>
    <row r="9" spans="1:54" x14ac:dyDescent="0.25">
      <c r="A9" s="27">
        <f t="shared" ref="A9:A57" si="1">A8+1</f>
        <v>3</v>
      </c>
      <c r="B9" s="25" t="s">
        <v>33</v>
      </c>
      <c r="C9" s="70">
        <f>26+30</f>
        <v>56</v>
      </c>
      <c r="D9" s="70"/>
      <c r="E9" s="70"/>
      <c r="F9" s="70"/>
      <c r="G9" s="70"/>
      <c r="H9" s="70"/>
      <c r="I9" s="70"/>
      <c r="J9" s="71"/>
      <c r="K9" s="72"/>
      <c r="L9" s="55"/>
      <c r="M9" s="73"/>
      <c r="N9" s="74"/>
      <c r="O9" s="70"/>
      <c r="P9" s="71"/>
      <c r="Q9" s="71"/>
      <c r="R9" s="72"/>
      <c r="S9" s="55"/>
      <c r="T9" s="75">
        <f t="shared" si="0"/>
        <v>0</v>
      </c>
      <c r="U9" s="76">
        <f t="shared" ref="U9:U11" si="2">C9*24+M9*24+O9*24+Q9*24+T9</f>
        <v>1344</v>
      </c>
      <c r="V9" s="76">
        <f t="shared" ref="V9:V11" si="3">U9/24</f>
        <v>56</v>
      </c>
      <c r="W9" s="50"/>
      <c r="AF9" s="12"/>
      <c r="AG9" s="12"/>
      <c r="AH9" s="12"/>
      <c r="AI9" s="12"/>
      <c r="AJ9" s="12"/>
      <c r="AK9" s="12"/>
      <c r="AL9" s="12"/>
      <c r="AM9" s="12"/>
      <c r="AN9" s="12"/>
      <c r="AO9" s="12"/>
      <c r="AP9" s="12"/>
      <c r="AQ9" s="12"/>
      <c r="AR9" s="12"/>
      <c r="AS9" s="12"/>
      <c r="AT9" s="12"/>
      <c r="AU9" s="12"/>
      <c r="AV9" s="12"/>
      <c r="AW9" s="12"/>
      <c r="AX9" s="12"/>
      <c r="AY9" s="12"/>
      <c r="AZ9" s="12"/>
      <c r="BA9" s="12"/>
      <c r="BB9" s="12"/>
    </row>
    <row r="10" spans="1:54" x14ac:dyDescent="0.25">
      <c r="A10" s="27">
        <f t="shared" si="1"/>
        <v>4</v>
      </c>
      <c r="B10" s="26" t="s">
        <v>36</v>
      </c>
      <c r="C10" s="70">
        <f>5+10</f>
        <v>15</v>
      </c>
      <c r="D10" s="70"/>
      <c r="E10" s="70"/>
      <c r="F10" s="70"/>
      <c r="G10" s="70"/>
      <c r="H10" s="70"/>
      <c r="I10" s="70"/>
      <c r="J10" s="71"/>
      <c r="K10" s="72"/>
      <c r="L10" s="55"/>
      <c r="M10" s="73"/>
      <c r="N10" s="74"/>
      <c r="O10" s="70"/>
      <c r="P10" s="71"/>
      <c r="Q10" s="71"/>
      <c r="R10" s="72"/>
      <c r="S10" s="55"/>
      <c r="T10" s="58">
        <f t="shared" si="0"/>
        <v>0</v>
      </c>
      <c r="U10" s="58">
        <f t="shared" si="2"/>
        <v>360</v>
      </c>
      <c r="V10" s="58">
        <f t="shared" si="3"/>
        <v>15</v>
      </c>
      <c r="W10" s="50"/>
      <c r="AF10" s="12"/>
      <c r="AG10" s="12"/>
      <c r="AH10" s="12"/>
      <c r="AI10" s="12"/>
      <c r="AJ10" s="12"/>
      <c r="AK10" s="12"/>
      <c r="AL10" s="12"/>
      <c r="AM10" s="12"/>
      <c r="AN10" s="12"/>
      <c r="AO10" s="12"/>
      <c r="AP10" s="12"/>
      <c r="AQ10" s="12"/>
      <c r="AR10" s="12"/>
      <c r="AS10" s="12"/>
      <c r="AT10" s="12"/>
      <c r="AU10" s="12"/>
      <c r="AV10" s="12"/>
      <c r="AW10" s="12"/>
      <c r="AX10" s="12"/>
      <c r="AY10" s="12"/>
      <c r="AZ10" s="12"/>
      <c r="BA10" s="12"/>
      <c r="BB10" s="12"/>
    </row>
    <row r="11" spans="1:54" x14ac:dyDescent="0.25">
      <c r="A11" s="27">
        <f t="shared" si="1"/>
        <v>5</v>
      </c>
      <c r="B11" s="26" t="s">
        <v>34</v>
      </c>
      <c r="C11" s="70"/>
      <c r="D11" s="70"/>
      <c r="E11" s="70"/>
      <c r="F11" s="70"/>
      <c r="G11" s="70"/>
      <c r="H11" s="70"/>
      <c r="I11" s="70"/>
      <c r="J11" s="71"/>
      <c r="K11" s="72">
        <v>2</v>
      </c>
      <c r="L11" s="55"/>
      <c r="M11" s="73"/>
      <c r="N11" s="74"/>
      <c r="O11" s="70"/>
      <c r="P11" s="71"/>
      <c r="Q11" s="71"/>
      <c r="R11" s="72"/>
      <c r="S11" s="55"/>
      <c r="T11" s="58">
        <f t="shared" si="0"/>
        <v>2</v>
      </c>
      <c r="U11" s="58">
        <f t="shared" si="2"/>
        <v>2</v>
      </c>
      <c r="V11" s="58">
        <f t="shared" si="3"/>
        <v>8.3333333333333329E-2</v>
      </c>
      <c r="AF11" s="12"/>
      <c r="AG11" s="12"/>
      <c r="AH11" s="12"/>
      <c r="AI11" s="12"/>
      <c r="AJ11" s="12"/>
      <c r="AK11" s="12"/>
      <c r="AL11" s="12"/>
      <c r="AM11" s="12"/>
      <c r="AN11" s="12"/>
      <c r="AO11" s="12"/>
      <c r="AP11" s="12"/>
      <c r="AQ11" s="12"/>
      <c r="AR11" s="12"/>
      <c r="AS11" s="12"/>
      <c r="AT11" s="12"/>
      <c r="AU11" s="12"/>
      <c r="AV11" s="12"/>
      <c r="AW11" s="12"/>
      <c r="AX11" s="12"/>
      <c r="AY11" s="12"/>
      <c r="AZ11" s="12"/>
      <c r="BA11" s="12"/>
      <c r="BB11" s="12"/>
    </row>
    <row r="12" spans="1:54" s="13" customFormat="1" ht="19.5" thickBot="1" x14ac:dyDescent="0.3">
      <c r="A12" s="27">
        <v>7</v>
      </c>
      <c r="B12" s="42" t="s">
        <v>30</v>
      </c>
      <c r="C12" s="59">
        <f>1224+53+648+61+1080+29</f>
        <v>3095</v>
      </c>
      <c r="D12" s="59"/>
      <c r="E12" s="59"/>
      <c r="F12" s="59"/>
      <c r="G12" s="59"/>
      <c r="H12" s="59"/>
      <c r="I12" s="59"/>
      <c r="J12" s="60"/>
      <c r="K12" s="61"/>
      <c r="L12" s="62"/>
      <c r="M12" s="63">
        <v>25</v>
      </c>
      <c r="N12" s="64">
        <v>10</v>
      </c>
      <c r="O12" s="65">
        <v>6</v>
      </c>
      <c r="P12" s="66">
        <v>12</v>
      </c>
      <c r="Q12" s="66">
        <v>22</v>
      </c>
      <c r="R12" s="67"/>
      <c r="S12" s="62"/>
      <c r="T12" s="69">
        <f t="shared" si="0"/>
        <v>22</v>
      </c>
      <c r="U12" s="69">
        <f>C12*24+M12*24+O12*24+Q12*24+T12</f>
        <v>75574</v>
      </c>
      <c r="V12" s="69">
        <f>U12/24</f>
        <v>3148.9166666666665</v>
      </c>
      <c r="W12" s="9"/>
      <c r="X12" s="9"/>
      <c r="Y12" s="9"/>
      <c r="Z12" s="9"/>
      <c r="AA12" s="9"/>
      <c r="AB12" s="9"/>
      <c r="AC12" s="9"/>
      <c r="AD12" s="9"/>
      <c r="AE12" s="9"/>
      <c r="AF12" s="12"/>
      <c r="AG12" s="12"/>
      <c r="AH12" s="12"/>
      <c r="AI12" s="12"/>
      <c r="AJ12" s="12"/>
      <c r="AK12" s="12"/>
      <c r="AL12" s="12"/>
      <c r="AM12" s="12"/>
      <c r="AN12" s="12"/>
      <c r="AO12" s="12"/>
      <c r="AP12" s="12"/>
      <c r="AQ12" s="12"/>
      <c r="AR12" s="12"/>
      <c r="AS12" s="12"/>
      <c r="AT12" s="12"/>
      <c r="AU12" s="12"/>
      <c r="AV12" s="12"/>
      <c r="AW12" s="12"/>
      <c r="AX12" s="12"/>
      <c r="AY12" s="12"/>
      <c r="AZ12" s="12"/>
      <c r="BA12" s="12"/>
      <c r="BB12" s="12"/>
    </row>
    <row r="13" spans="1:54" x14ac:dyDescent="0.25">
      <c r="A13" s="27">
        <v>11</v>
      </c>
      <c r="B13" s="25" t="s">
        <v>1</v>
      </c>
      <c r="C13" s="70">
        <v>2</v>
      </c>
      <c r="D13" s="70"/>
      <c r="E13" s="70"/>
      <c r="F13" s="70"/>
      <c r="G13" s="70"/>
      <c r="H13" s="70">
        <v>16</v>
      </c>
      <c r="I13" s="70"/>
      <c r="J13" s="71"/>
      <c r="K13" s="72"/>
      <c r="L13" s="55"/>
      <c r="M13" s="73"/>
      <c r="N13" s="74"/>
      <c r="O13" s="70"/>
      <c r="P13" s="71"/>
      <c r="Q13" s="71"/>
      <c r="R13" s="72"/>
      <c r="S13" s="55"/>
      <c r="T13" s="76">
        <f t="shared" si="0"/>
        <v>16</v>
      </c>
      <c r="U13" s="76">
        <f>C13*24+M13*24+O13*24+Q13*24+T13</f>
        <v>64</v>
      </c>
      <c r="V13" s="76">
        <f>U13/24</f>
        <v>2.6666666666666665</v>
      </c>
      <c r="AF13" s="12"/>
      <c r="AG13" s="12"/>
      <c r="AH13" s="12"/>
      <c r="AI13" s="12"/>
      <c r="AJ13" s="12"/>
      <c r="AK13" s="12"/>
      <c r="AL13" s="12"/>
      <c r="AM13" s="12"/>
      <c r="AN13" s="12"/>
      <c r="AO13" s="12"/>
      <c r="AP13" s="12"/>
      <c r="AQ13" s="12"/>
      <c r="AR13" s="12"/>
      <c r="AS13" s="12"/>
      <c r="AT13" s="12"/>
      <c r="AU13" s="12"/>
      <c r="AV13" s="12"/>
      <c r="AW13" s="12"/>
      <c r="AX13" s="12"/>
      <c r="AY13" s="12"/>
      <c r="AZ13" s="12"/>
      <c r="BA13" s="12"/>
      <c r="BB13" s="12"/>
    </row>
    <row r="14" spans="1:54" x14ac:dyDescent="0.25">
      <c r="A14" s="27">
        <f t="shared" si="1"/>
        <v>12</v>
      </c>
      <c r="B14" s="26" t="s">
        <v>2</v>
      </c>
      <c r="C14" s="70">
        <v>2</v>
      </c>
      <c r="D14" s="70"/>
      <c r="E14" s="70"/>
      <c r="F14" s="70"/>
      <c r="G14" s="70"/>
      <c r="H14" s="70"/>
      <c r="I14" s="70"/>
      <c r="J14" s="71"/>
      <c r="K14" s="72"/>
      <c r="L14" s="55"/>
      <c r="M14" s="73"/>
      <c r="N14" s="74"/>
      <c r="O14" s="70"/>
      <c r="P14" s="71"/>
      <c r="Q14" s="71"/>
      <c r="R14" s="72"/>
      <c r="S14" s="55"/>
      <c r="T14" s="58">
        <f t="shared" si="0"/>
        <v>0</v>
      </c>
      <c r="U14" s="75">
        <f t="shared" ref="U14:U36" si="4">C14*24+M14*24+O14*24+Q14*24+T14</f>
        <v>48</v>
      </c>
      <c r="V14" s="75">
        <f t="shared" ref="V14:V36" si="5">U14/24</f>
        <v>2</v>
      </c>
      <c r="AF14" s="12"/>
      <c r="AG14" s="12"/>
      <c r="AH14" s="12"/>
      <c r="AI14" s="12"/>
      <c r="AJ14" s="12"/>
      <c r="AK14" s="12"/>
      <c r="AL14" s="12"/>
      <c r="AM14" s="12"/>
      <c r="AN14" s="12"/>
      <c r="AO14" s="12"/>
      <c r="AP14" s="12"/>
      <c r="AQ14" s="12"/>
      <c r="AR14" s="12"/>
      <c r="AS14" s="12"/>
      <c r="AT14" s="12"/>
      <c r="AU14" s="12"/>
      <c r="AV14" s="12"/>
      <c r="AW14" s="12"/>
      <c r="AX14" s="12"/>
      <c r="AY14" s="12"/>
      <c r="AZ14" s="12"/>
      <c r="BA14" s="12"/>
      <c r="BB14" s="12"/>
    </row>
    <row r="15" spans="1:54" x14ac:dyDescent="0.25">
      <c r="A15" s="27">
        <f t="shared" si="1"/>
        <v>13</v>
      </c>
      <c r="B15" s="26" t="s">
        <v>3</v>
      </c>
      <c r="C15" s="70"/>
      <c r="D15" s="70"/>
      <c r="E15" s="70"/>
      <c r="F15" s="70"/>
      <c r="G15" s="70"/>
      <c r="H15" s="70"/>
      <c r="I15" s="70"/>
      <c r="J15" s="71"/>
      <c r="K15" s="72"/>
      <c r="L15" s="55"/>
      <c r="M15" s="73"/>
      <c r="N15" s="74"/>
      <c r="O15" s="70"/>
      <c r="P15" s="71"/>
      <c r="Q15" s="71"/>
      <c r="R15" s="72"/>
      <c r="S15" s="55"/>
      <c r="T15" s="58">
        <f t="shared" si="0"/>
        <v>0</v>
      </c>
      <c r="U15" s="75">
        <f t="shared" si="4"/>
        <v>0</v>
      </c>
      <c r="V15" s="75">
        <f t="shared" si="5"/>
        <v>0</v>
      </c>
      <c r="AF15" s="12"/>
      <c r="AG15" s="12"/>
      <c r="AH15" s="12"/>
      <c r="AI15" s="12"/>
      <c r="AJ15" s="12"/>
      <c r="AK15" s="12"/>
      <c r="AL15" s="12"/>
      <c r="AM15" s="12"/>
      <c r="AN15" s="12"/>
      <c r="AO15" s="12"/>
      <c r="AP15" s="12"/>
      <c r="AQ15" s="12"/>
      <c r="AR15" s="12"/>
      <c r="AS15" s="12"/>
      <c r="AT15" s="12"/>
      <c r="AU15" s="12"/>
      <c r="AV15" s="12"/>
      <c r="AW15" s="12"/>
      <c r="AX15" s="12"/>
      <c r="AY15" s="12"/>
      <c r="AZ15" s="12"/>
      <c r="BA15" s="12"/>
      <c r="BB15" s="12"/>
    </row>
    <row r="16" spans="1:54" x14ac:dyDescent="0.25">
      <c r="A16" s="27">
        <f t="shared" si="1"/>
        <v>14</v>
      </c>
      <c r="B16" s="26" t="s">
        <v>4</v>
      </c>
      <c r="C16" s="70"/>
      <c r="D16" s="70"/>
      <c r="E16" s="70"/>
      <c r="F16" s="70"/>
      <c r="G16" s="70"/>
      <c r="H16" s="70"/>
      <c r="I16" s="70"/>
      <c r="J16" s="71"/>
      <c r="K16" s="72"/>
      <c r="L16" s="55"/>
      <c r="M16" s="73"/>
      <c r="N16" s="74"/>
      <c r="O16" s="70"/>
      <c r="P16" s="71"/>
      <c r="Q16" s="71"/>
      <c r="R16" s="72"/>
      <c r="S16" s="55"/>
      <c r="T16" s="58">
        <f t="shared" si="0"/>
        <v>0</v>
      </c>
      <c r="U16" s="75">
        <f t="shared" si="4"/>
        <v>0</v>
      </c>
      <c r="V16" s="75">
        <f t="shared" si="5"/>
        <v>0</v>
      </c>
      <c r="AF16" s="12"/>
      <c r="AG16" s="12"/>
      <c r="AH16" s="12"/>
      <c r="AI16" s="12"/>
      <c r="AJ16" s="12"/>
      <c r="AK16" s="12"/>
      <c r="AL16" s="12"/>
      <c r="AM16" s="12"/>
      <c r="AN16" s="12"/>
      <c r="AO16" s="12"/>
      <c r="AP16" s="12"/>
      <c r="AQ16" s="12"/>
      <c r="AR16" s="12"/>
      <c r="AS16" s="12"/>
      <c r="AT16" s="12"/>
      <c r="AU16" s="12"/>
      <c r="AV16" s="12"/>
      <c r="AW16" s="12"/>
      <c r="AX16" s="12"/>
      <c r="AY16" s="12"/>
      <c r="AZ16" s="12"/>
      <c r="BA16" s="12"/>
      <c r="BB16" s="12"/>
    </row>
    <row r="17" spans="1:54" x14ac:dyDescent="0.25">
      <c r="A17" s="27">
        <f t="shared" si="1"/>
        <v>15</v>
      </c>
      <c r="B17" s="26" t="s">
        <v>5</v>
      </c>
      <c r="C17" s="70"/>
      <c r="D17" s="70"/>
      <c r="E17" s="70"/>
      <c r="F17" s="70"/>
      <c r="G17" s="70"/>
      <c r="H17" s="70">
        <f>3*24</f>
        <v>72</v>
      </c>
      <c r="I17" s="70"/>
      <c r="J17" s="71"/>
      <c r="K17" s="72"/>
      <c r="L17" s="55"/>
      <c r="M17" s="73"/>
      <c r="N17" s="74"/>
      <c r="O17" s="70"/>
      <c r="P17" s="71"/>
      <c r="Q17" s="71"/>
      <c r="R17" s="72"/>
      <c r="S17" s="55"/>
      <c r="T17" s="58">
        <f t="shared" si="0"/>
        <v>72</v>
      </c>
      <c r="U17" s="75">
        <f t="shared" si="4"/>
        <v>72</v>
      </c>
      <c r="V17" s="75">
        <f t="shared" si="5"/>
        <v>3</v>
      </c>
      <c r="AF17" s="12"/>
      <c r="AG17" s="12"/>
      <c r="AH17" s="12"/>
      <c r="AI17" s="12"/>
      <c r="AJ17" s="12"/>
      <c r="AK17" s="12"/>
      <c r="AL17" s="12"/>
      <c r="AM17" s="12"/>
      <c r="AN17" s="12"/>
      <c r="AO17" s="12"/>
      <c r="AP17" s="12"/>
      <c r="AQ17" s="12"/>
      <c r="AR17" s="12"/>
      <c r="AS17" s="12"/>
      <c r="AT17" s="12"/>
      <c r="AU17" s="12"/>
      <c r="AV17" s="12"/>
      <c r="AW17" s="12"/>
      <c r="AX17" s="12"/>
      <c r="AY17" s="12"/>
      <c r="AZ17" s="12"/>
      <c r="BA17" s="12"/>
      <c r="BB17" s="12"/>
    </row>
    <row r="18" spans="1:54" hidden="1" x14ac:dyDescent="0.25">
      <c r="A18" s="27">
        <f t="shared" si="1"/>
        <v>16</v>
      </c>
      <c r="B18" s="26" t="s">
        <v>9</v>
      </c>
      <c r="C18" s="70"/>
      <c r="D18" s="70"/>
      <c r="E18" s="70"/>
      <c r="F18" s="70"/>
      <c r="G18" s="70"/>
      <c r="H18" s="70"/>
      <c r="I18" s="70"/>
      <c r="J18" s="71"/>
      <c r="K18" s="72"/>
      <c r="L18" s="55"/>
      <c r="M18" s="73"/>
      <c r="N18" s="74"/>
      <c r="O18" s="70"/>
      <c r="P18" s="71"/>
      <c r="Q18" s="71"/>
      <c r="R18" s="72"/>
      <c r="S18" s="55"/>
      <c r="T18" s="58">
        <f t="shared" si="0"/>
        <v>0</v>
      </c>
      <c r="U18" s="75">
        <f t="shared" si="4"/>
        <v>0</v>
      </c>
      <c r="V18" s="75">
        <f t="shared" si="5"/>
        <v>0</v>
      </c>
      <c r="AF18" s="12"/>
      <c r="AG18" s="12"/>
      <c r="AH18" s="12"/>
      <c r="AI18" s="12"/>
      <c r="AJ18" s="12"/>
      <c r="AK18" s="12"/>
      <c r="AL18" s="12"/>
      <c r="AM18" s="12"/>
      <c r="AN18" s="12"/>
      <c r="AO18" s="12"/>
      <c r="AP18" s="12"/>
      <c r="AQ18" s="12"/>
      <c r="AR18" s="12"/>
      <c r="AS18" s="12"/>
      <c r="AT18" s="12"/>
      <c r="AU18" s="12"/>
      <c r="AV18" s="12"/>
      <c r="AW18" s="12"/>
      <c r="AX18" s="12"/>
      <c r="AY18" s="12"/>
      <c r="AZ18" s="12"/>
      <c r="BA18" s="12"/>
      <c r="BB18" s="12"/>
    </row>
    <row r="19" spans="1:54" x14ac:dyDescent="0.25">
      <c r="A19" s="27">
        <v>16</v>
      </c>
      <c r="B19" s="26" t="s">
        <v>53</v>
      </c>
      <c r="C19" s="70">
        <v>1</v>
      </c>
      <c r="D19" s="70"/>
      <c r="E19" s="70"/>
      <c r="F19" s="70"/>
      <c r="G19" s="70"/>
      <c r="H19" s="70">
        <f>20+24</f>
        <v>44</v>
      </c>
      <c r="I19" s="70"/>
      <c r="J19" s="71"/>
      <c r="K19" s="72"/>
      <c r="L19" s="55"/>
      <c r="M19" s="73"/>
      <c r="N19" s="74"/>
      <c r="O19" s="70"/>
      <c r="P19" s="71"/>
      <c r="Q19" s="71"/>
      <c r="R19" s="72"/>
      <c r="S19" s="55"/>
      <c r="T19" s="58">
        <f t="shared" si="0"/>
        <v>44</v>
      </c>
      <c r="U19" s="75">
        <f t="shared" si="4"/>
        <v>68</v>
      </c>
      <c r="V19" s="75">
        <f t="shared" si="5"/>
        <v>2.8333333333333335</v>
      </c>
      <c r="AF19" s="12"/>
      <c r="AG19" s="12"/>
      <c r="AH19" s="12"/>
      <c r="AI19" s="12"/>
      <c r="AJ19" s="12"/>
      <c r="AK19" s="12"/>
      <c r="AL19" s="12"/>
      <c r="AM19" s="12"/>
      <c r="AN19" s="12"/>
      <c r="AO19" s="12"/>
      <c r="AP19" s="12"/>
      <c r="AQ19" s="12"/>
      <c r="AR19" s="12"/>
      <c r="AS19" s="12"/>
      <c r="AT19" s="12"/>
      <c r="AU19" s="12"/>
      <c r="AV19" s="12"/>
      <c r="AW19" s="12"/>
      <c r="AX19" s="12"/>
      <c r="AY19" s="12"/>
      <c r="AZ19" s="12"/>
      <c r="BA19" s="12"/>
      <c r="BB19" s="12"/>
    </row>
    <row r="20" spans="1:54" x14ac:dyDescent="0.25">
      <c r="A20" s="27">
        <f t="shared" si="1"/>
        <v>17</v>
      </c>
      <c r="B20" s="26" t="s">
        <v>6</v>
      </c>
      <c r="C20" s="70">
        <v>5</v>
      </c>
      <c r="D20" s="70"/>
      <c r="E20" s="70"/>
      <c r="F20" s="70"/>
      <c r="G20" s="70"/>
      <c r="H20" s="70"/>
      <c r="I20" s="70"/>
      <c r="J20" s="71"/>
      <c r="K20" s="72"/>
      <c r="L20" s="55"/>
      <c r="M20" s="73"/>
      <c r="N20" s="74"/>
      <c r="O20" s="70"/>
      <c r="P20" s="71"/>
      <c r="Q20" s="71"/>
      <c r="R20" s="72"/>
      <c r="S20" s="55"/>
      <c r="T20" s="58">
        <f t="shared" si="0"/>
        <v>0</v>
      </c>
      <c r="U20" s="75">
        <f t="shared" si="4"/>
        <v>120</v>
      </c>
      <c r="V20" s="75">
        <f t="shared" si="5"/>
        <v>5</v>
      </c>
      <c r="AF20" s="12"/>
      <c r="AG20" s="12"/>
      <c r="AH20" s="12"/>
      <c r="AI20" s="12"/>
      <c r="AJ20" s="12"/>
      <c r="AK20" s="12"/>
      <c r="AL20" s="12"/>
      <c r="AM20" s="12"/>
      <c r="AN20" s="12"/>
      <c r="AO20" s="12"/>
      <c r="AP20" s="12"/>
      <c r="AQ20" s="12"/>
      <c r="AR20" s="12"/>
      <c r="AS20" s="12"/>
      <c r="AT20" s="12"/>
      <c r="AU20" s="12"/>
      <c r="AV20" s="12"/>
      <c r="AW20" s="12"/>
      <c r="AX20" s="12"/>
      <c r="AY20" s="12"/>
      <c r="AZ20" s="12"/>
      <c r="BA20" s="12"/>
      <c r="BB20" s="12"/>
    </row>
    <row r="21" spans="1:54" x14ac:dyDescent="0.25">
      <c r="A21" s="27">
        <f t="shared" si="1"/>
        <v>18</v>
      </c>
      <c r="B21" s="26" t="s">
        <v>7</v>
      </c>
      <c r="C21" s="70"/>
      <c r="D21" s="70"/>
      <c r="E21" s="70"/>
      <c r="F21" s="70"/>
      <c r="G21" s="70"/>
      <c r="H21" s="70">
        <f>2*24</f>
        <v>48</v>
      </c>
      <c r="I21" s="70"/>
      <c r="J21" s="71"/>
      <c r="K21" s="72"/>
      <c r="L21" s="55"/>
      <c r="M21" s="73"/>
      <c r="N21" s="74"/>
      <c r="O21" s="70"/>
      <c r="P21" s="71"/>
      <c r="Q21" s="71"/>
      <c r="R21" s="72"/>
      <c r="S21" s="55"/>
      <c r="T21" s="58">
        <f t="shared" si="0"/>
        <v>48</v>
      </c>
      <c r="U21" s="75">
        <f t="shared" si="4"/>
        <v>48</v>
      </c>
      <c r="V21" s="75">
        <f t="shared" si="5"/>
        <v>2</v>
      </c>
      <c r="AF21" s="12"/>
      <c r="AG21" s="12"/>
      <c r="AH21" s="12"/>
      <c r="AI21" s="12"/>
      <c r="AJ21" s="12"/>
      <c r="AK21" s="12"/>
      <c r="AL21" s="12"/>
      <c r="AM21" s="12"/>
      <c r="AN21" s="12"/>
      <c r="AO21" s="12"/>
      <c r="AP21" s="12"/>
      <c r="AQ21" s="12"/>
      <c r="AR21" s="12"/>
      <c r="AS21" s="12"/>
      <c r="AT21" s="12"/>
      <c r="AU21" s="12"/>
      <c r="AV21" s="12"/>
      <c r="AW21" s="12"/>
      <c r="AX21" s="12"/>
      <c r="AY21" s="12"/>
      <c r="AZ21" s="12"/>
      <c r="BA21" s="12"/>
      <c r="BB21" s="12"/>
    </row>
    <row r="22" spans="1:54" s="13" customFormat="1" x14ac:dyDescent="0.25">
      <c r="A22" s="27">
        <f t="shared" si="1"/>
        <v>19</v>
      </c>
      <c r="B22" s="26" t="s">
        <v>54</v>
      </c>
      <c r="C22" s="70">
        <v>1</v>
      </c>
      <c r="D22" s="70"/>
      <c r="E22" s="70"/>
      <c r="F22" s="70"/>
      <c r="G22" s="70"/>
      <c r="H22" s="70"/>
      <c r="I22" s="70">
        <v>20</v>
      </c>
      <c r="J22" s="71"/>
      <c r="K22" s="72"/>
      <c r="L22" s="55"/>
      <c r="M22" s="73"/>
      <c r="N22" s="74"/>
      <c r="O22" s="70"/>
      <c r="P22" s="71"/>
      <c r="Q22" s="71"/>
      <c r="R22" s="72"/>
      <c r="S22" s="55"/>
      <c r="T22" s="58">
        <f t="shared" si="0"/>
        <v>20</v>
      </c>
      <c r="U22" s="75">
        <f t="shared" si="4"/>
        <v>44</v>
      </c>
      <c r="V22" s="75">
        <f t="shared" si="5"/>
        <v>1.8333333333333333</v>
      </c>
      <c r="W22" s="9"/>
      <c r="X22" s="9"/>
      <c r="Y22" s="9"/>
      <c r="Z22" s="9"/>
      <c r="AA22" s="9"/>
      <c r="AB22" s="9"/>
      <c r="AC22" s="9"/>
      <c r="AD22" s="9"/>
      <c r="AE22" s="9"/>
      <c r="AF22" s="12"/>
      <c r="AG22" s="12"/>
      <c r="AH22" s="12"/>
      <c r="AI22" s="12"/>
      <c r="AJ22" s="12"/>
      <c r="AK22" s="12"/>
      <c r="AL22" s="12"/>
      <c r="AM22" s="12"/>
      <c r="AN22" s="12"/>
      <c r="AO22" s="12"/>
      <c r="AP22" s="12"/>
      <c r="AQ22" s="12"/>
      <c r="AR22" s="12"/>
      <c r="AS22" s="12"/>
      <c r="AT22" s="12"/>
      <c r="AU22" s="12"/>
      <c r="AV22" s="12"/>
      <c r="AW22" s="12"/>
      <c r="AX22" s="12"/>
      <c r="AY22" s="12"/>
      <c r="AZ22" s="12"/>
      <c r="BA22" s="12"/>
      <c r="BB22" s="12"/>
    </row>
    <row r="23" spans="1:54" s="13" customFormat="1" x14ac:dyDescent="0.25">
      <c r="A23" s="27">
        <f t="shared" si="1"/>
        <v>20</v>
      </c>
      <c r="B23" s="26" t="s">
        <v>55</v>
      </c>
      <c r="C23" s="70"/>
      <c r="D23" s="70"/>
      <c r="E23" s="70"/>
      <c r="F23" s="70"/>
      <c r="G23" s="70"/>
      <c r="H23" s="70">
        <f>37*24+19</f>
        <v>907</v>
      </c>
      <c r="I23" s="70"/>
      <c r="J23" s="71"/>
      <c r="K23" s="72"/>
      <c r="L23" s="55"/>
      <c r="M23" s="73"/>
      <c r="N23" s="74"/>
      <c r="O23" s="70"/>
      <c r="P23" s="71"/>
      <c r="Q23" s="71"/>
      <c r="R23" s="72"/>
      <c r="S23" s="55"/>
      <c r="T23" s="58">
        <f t="shared" si="0"/>
        <v>907</v>
      </c>
      <c r="U23" s="75">
        <f t="shared" si="4"/>
        <v>907</v>
      </c>
      <c r="V23" s="75">
        <f t="shared" si="5"/>
        <v>37.791666666666664</v>
      </c>
      <c r="W23" s="9"/>
      <c r="X23" s="9"/>
      <c r="Y23" s="9"/>
      <c r="Z23" s="9"/>
      <c r="AA23" s="9"/>
      <c r="AB23" s="9"/>
      <c r="AC23" s="9"/>
      <c r="AD23" s="9"/>
      <c r="AE23" s="9"/>
      <c r="AF23" s="12"/>
      <c r="AG23" s="12"/>
      <c r="AH23" s="12"/>
      <c r="AI23" s="12"/>
      <c r="AJ23" s="12"/>
      <c r="AK23" s="12"/>
      <c r="AL23" s="12"/>
      <c r="AM23" s="12"/>
      <c r="AN23" s="12"/>
      <c r="AO23" s="12"/>
      <c r="AP23" s="12"/>
      <c r="AQ23" s="12"/>
      <c r="AR23" s="12"/>
      <c r="AS23" s="12"/>
      <c r="AT23" s="12"/>
      <c r="AU23" s="12"/>
      <c r="AV23" s="12"/>
      <c r="AW23" s="12"/>
      <c r="AX23" s="12"/>
      <c r="AY23" s="12"/>
      <c r="AZ23" s="12"/>
      <c r="BA23" s="12"/>
      <c r="BB23" s="12"/>
    </row>
    <row r="24" spans="1:54" x14ac:dyDescent="0.25">
      <c r="A24" s="27">
        <f t="shared" si="1"/>
        <v>21</v>
      </c>
      <c r="B24" s="26" t="s">
        <v>56</v>
      </c>
      <c r="C24" s="70">
        <v>2</v>
      </c>
      <c r="D24" s="70"/>
      <c r="E24" s="70"/>
      <c r="F24" s="70"/>
      <c r="G24" s="70"/>
      <c r="H24" s="70">
        <f>3*24</f>
        <v>72</v>
      </c>
      <c r="I24" s="70"/>
      <c r="J24" s="71"/>
      <c r="K24" s="72"/>
      <c r="L24" s="55"/>
      <c r="M24" s="73"/>
      <c r="N24" s="74"/>
      <c r="O24" s="70"/>
      <c r="P24" s="71"/>
      <c r="Q24" s="71"/>
      <c r="R24" s="72"/>
      <c r="S24" s="55"/>
      <c r="T24" s="58">
        <f t="shared" si="0"/>
        <v>72</v>
      </c>
      <c r="U24" s="75">
        <f t="shared" si="4"/>
        <v>120</v>
      </c>
      <c r="V24" s="75">
        <f t="shared" si="5"/>
        <v>5</v>
      </c>
      <c r="AF24" s="12"/>
      <c r="AG24" s="12"/>
      <c r="AH24" s="12"/>
      <c r="AI24" s="12"/>
      <c r="AJ24" s="12"/>
      <c r="AK24" s="12"/>
      <c r="AL24" s="12"/>
      <c r="AM24" s="12"/>
      <c r="AN24" s="12"/>
      <c r="AO24" s="12"/>
      <c r="AP24" s="12"/>
      <c r="AQ24" s="12"/>
      <c r="AR24" s="12"/>
      <c r="AS24" s="12"/>
      <c r="AT24" s="12"/>
      <c r="AU24" s="12"/>
      <c r="AV24" s="12"/>
      <c r="AW24" s="12"/>
      <c r="AX24" s="12"/>
      <c r="AY24" s="12"/>
      <c r="AZ24" s="12"/>
      <c r="BA24" s="12"/>
      <c r="BB24" s="12"/>
    </row>
    <row r="25" spans="1:54" x14ac:dyDescent="0.25">
      <c r="A25" s="27">
        <f t="shared" si="1"/>
        <v>22</v>
      </c>
      <c r="B25" s="26" t="s">
        <v>8</v>
      </c>
      <c r="C25" s="70">
        <f>126+24</f>
        <v>150</v>
      </c>
      <c r="D25" s="70"/>
      <c r="E25" s="70"/>
      <c r="F25" s="70"/>
      <c r="G25" s="70"/>
      <c r="H25" s="70"/>
      <c r="I25" s="70">
        <v>1</v>
      </c>
      <c r="J25" s="71"/>
      <c r="K25" s="72"/>
      <c r="L25" s="55"/>
      <c r="M25" s="73"/>
      <c r="N25" s="74"/>
      <c r="O25" s="70">
        <v>1</v>
      </c>
      <c r="P25" s="71"/>
      <c r="Q25" s="71">
        <v>1</v>
      </c>
      <c r="R25" s="72"/>
      <c r="S25" s="55"/>
      <c r="T25" s="58">
        <f t="shared" si="0"/>
        <v>1</v>
      </c>
      <c r="U25" s="75">
        <f t="shared" si="4"/>
        <v>3649</v>
      </c>
      <c r="V25" s="75">
        <f t="shared" si="5"/>
        <v>152.04166666666666</v>
      </c>
      <c r="AY25" s="14" t="e">
        <f>#REF!-AY24</f>
        <v>#REF!</v>
      </c>
    </row>
    <row r="26" spans="1:54" s="13" customFormat="1" x14ac:dyDescent="0.25">
      <c r="A26" s="27">
        <f t="shared" si="1"/>
        <v>23</v>
      </c>
      <c r="B26" s="26" t="s">
        <v>10</v>
      </c>
      <c r="C26" s="70"/>
      <c r="D26" s="70"/>
      <c r="E26" s="70"/>
      <c r="F26" s="70"/>
      <c r="G26" s="70"/>
      <c r="H26" s="70"/>
      <c r="I26" s="70"/>
      <c r="J26" s="71"/>
      <c r="K26" s="72"/>
      <c r="L26" s="55"/>
      <c r="M26" s="73"/>
      <c r="N26" s="74"/>
      <c r="O26" s="70"/>
      <c r="P26" s="71"/>
      <c r="Q26" s="71"/>
      <c r="R26" s="72"/>
      <c r="S26" s="55"/>
      <c r="T26" s="58">
        <f t="shared" si="0"/>
        <v>0</v>
      </c>
      <c r="U26" s="75">
        <f t="shared" si="4"/>
        <v>0</v>
      </c>
      <c r="V26" s="75">
        <f t="shared" si="5"/>
        <v>0</v>
      </c>
      <c r="W26" s="9"/>
      <c r="X26" s="9"/>
      <c r="Y26" s="9"/>
      <c r="Z26" s="9"/>
      <c r="AA26" s="9"/>
      <c r="AB26" s="9"/>
      <c r="AC26" s="9"/>
      <c r="AD26" s="9"/>
      <c r="AE26" s="9"/>
    </row>
    <row r="27" spans="1:54" s="13" customFormat="1" x14ac:dyDescent="0.25">
      <c r="A27" s="27">
        <f t="shared" si="1"/>
        <v>24</v>
      </c>
      <c r="B27" s="26" t="s">
        <v>69</v>
      </c>
      <c r="C27" s="70">
        <v>1</v>
      </c>
      <c r="D27" s="70"/>
      <c r="E27" s="70"/>
      <c r="F27" s="70"/>
      <c r="G27" s="70"/>
      <c r="H27" s="70"/>
      <c r="I27" s="70"/>
      <c r="J27" s="71"/>
      <c r="K27" s="72"/>
      <c r="L27" s="55"/>
      <c r="M27" s="73"/>
      <c r="N27" s="74"/>
      <c r="O27" s="70"/>
      <c r="P27" s="71"/>
      <c r="Q27" s="71"/>
      <c r="R27" s="72"/>
      <c r="S27" s="55"/>
      <c r="T27" s="58">
        <f t="shared" si="0"/>
        <v>0</v>
      </c>
      <c r="U27" s="75">
        <f t="shared" si="4"/>
        <v>24</v>
      </c>
      <c r="V27" s="75">
        <f t="shared" si="5"/>
        <v>1</v>
      </c>
      <c r="W27" s="9"/>
      <c r="X27" s="9"/>
      <c r="Y27" s="9"/>
      <c r="Z27" s="9"/>
      <c r="AA27" s="9"/>
      <c r="AB27" s="9"/>
      <c r="AC27" s="9"/>
      <c r="AD27" s="9"/>
      <c r="AE27" s="9"/>
    </row>
    <row r="28" spans="1:54" s="13" customFormat="1" x14ac:dyDescent="0.25">
      <c r="A28" s="27">
        <f t="shared" si="1"/>
        <v>25</v>
      </c>
      <c r="B28" s="26" t="s">
        <v>11</v>
      </c>
      <c r="C28" s="70"/>
      <c r="D28" s="70"/>
      <c r="E28" s="70"/>
      <c r="F28" s="70"/>
      <c r="G28" s="70"/>
      <c r="H28" s="70"/>
      <c r="I28" s="70"/>
      <c r="J28" s="71"/>
      <c r="K28" s="72"/>
      <c r="L28" s="55"/>
      <c r="M28" s="73"/>
      <c r="N28" s="74"/>
      <c r="O28" s="70"/>
      <c r="P28" s="71"/>
      <c r="Q28" s="71"/>
      <c r="R28" s="72"/>
      <c r="S28" s="55"/>
      <c r="T28" s="58">
        <f t="shared" si="0"/>
        <v>0</v>
      </c>
      <c r="U28" s="75">
        <f t="shared" si="4"/>
        <v>0</v>
      </c>
      <c r="V28" s="75">
        <f t="shared" si="5"/>
        <v>0</v>
      </c>
      <c r="W28" s="9"/>
      <c r="X28" s="9"/>
      <c r="Y28" s="9"/>
      <c r="Z28" s="9"/>
      <c r="AA28" s="9"/>
      <c r="AB28" s="9"/>
      <c r="AC28" s="9"/>
      <c r="AD28" s="9"/>
      <c r="AE28" s="9"/>
    </row>
    <row r="29" spans="1:54" x14ac:dyDescent="0.25">
      <c r="A29" s="27">
        <f t="shared" si="1"/>
        <v>26</v>
      </c>
      <c r="B29" s="26" t="s">
        <v>13</v>
      </c>
      <c r="C29" s="70"/>
      <c r="D29" s="70"/>
      <c r="E29" s="70"/>
      <c r="F29" s="70"/>
      <c r="G29" s="70"/>
      <c r="H29" s="70"/>
      <c r="I29" s="70">
        <v>5</v>
      </c>
      <c r="J29" s="71"/>
      <c r="K29" s="72"/>
      <c r="L29" s="55"/>
      <c r="M29" s="73"/>
      <c r="N29" s="74"/>
      <c r="O29" s="70"/>
      <c r="P29" s="71"/>
      <c r="Q29" s="71"/>
      <c r="R29" s="72"/>
      <c r="S29" s="55"/>
      <c r="T29" s="58">
        <f t="shared" si="0"/>
        <v>5</v>
      </c>
      <c r="U29" s="75">
        <f t="shared" si="4"/>
        <v>5</v>
      </c>
      <c r="V29" s="75">
        <f t="shared" si="5"/>
        <v>0.20833333333333334</v>
      </c>
    </row>
    <row r="30" spans="1:54" x14ac:dyDescent="0.25">
      <c r="A30" s="27">
        <f t="shared" si="1"/>
        <v>27</v>
      </c>
      <c r="B30" s="26" t="s">
        <v>15</v>
      </c>
      <c r="C30" s="70">
        <v>1</v>
      </c>
      <c r="D30" s="70"/>
      <c r="E30" s="70"/>
      <c r="F30" s="70"/>
      <c r="G30" s="70"/>
      <c r="H30" s="70"/>
      <c r="I30" s="70"/>
      <c r="J30" s="71"/>
      <c r="K30" s="72"/>
      <c r="L30" s="55"/>
      <c r="M30" s="73"/>
      <c r="N30" s="74"/>
      <c r="O30" s="70"/>
      <c r="P30" s="71"/>
      <c r="Q30" s="71">
        <v>1</v>
      </c>
      <c r="R30" s="72"/>
      <c r="S30" s="55"/>
      <c r="T30" s="58">
        <f t="shared" si="0"/>
        <v>0</v>
      </c>
      <c r="U30" s="75">
        <f t="shared" si="4"/>
        <v>48</v>
      </c>
      <c r="V30" s="75">
        <f t="shared" si="5"/>
        <v>2</v>
      </c>
    </row>
    <row r="31" spans="1:54" x14ac:dyDescent="0.25">
      <c r="A31" s="27">
        <f t="shared" si="1"/>
        <v>28</v>
      </c>
      <c r="B31" s="26" t="s">
        <v>12</v>
      </c>
      <c r="C31" s="70"/>
      <c r="D31" s="70"/>
      <c r="E31" s="70"/>
      <c r="F31" s="70"/>
      <c r="G31" s="70"/>
      <c r="H31" s="70"/>
      <c r="I31" s="70"/>
      <c r="J31" s="71"/>
      <c r="K31" s="72"/>
      <c r="L31" s="55"/>
      <c r="M31" s="73"/>
      <c r="N31" s="74"/>
      <c r="O31" s="70"/>
      <c r="P31" s="71"/>
      <c r="Q31" s="71"/>
      <c r="R31" s="72"/>
      <c r="S31" s="55"/>
      <c r="T31" s="58">
        <f t="shared" si="0"/>
        <v>0</v>
      </c>
      <c r="U31" s="75">
        <f t="shared" si="4"/>
        <v>0</v>
      </c>
      <c r="V31" s="75">
        <f t="shared" si="5"/>
        <v>0</v>
      </c>
    </row>
    <row r="32" spans="1:54" x14ac:dyDescent="0.25">
      <c r="A32" s="27">
        <f t="shared" si="1"/>
        <v>29</v>
      </c>
      <c r="B32" s="26" t="s">
        <v>14</v>
      </c>
      <c r="C32" s="70"/>
      <c r="D32" s="70"/>
      <c r="E32" s="70"/>
      <c r="F32" s="70"/>
      <c r="G32" s="70"/>
      <c r="H32" s="70"/>
      <c r="I32" s="70"/>
      <c r="J32" s="71"/>
      <c r="K32" s="72"/>
      <c r="L32" s="55"/>
      <c r="M32" s="73"/>
      <c r="N32" s="74"/>
      <c r="O32" s="70"/>
      <c r="P32" s="71"/>
      <c r="Q32" s="71"/>
      <c r="R32" s="72"/>
      <c r="S32" s="55"/>
      <c r="T32" s="58">
        <f t="shared" si="0"/>
        <v>0</v>
      </c>
      <c r="U32" s="75">
        <f t="shared" si="4"/>
        <v>0</v>
      </c>
      <c r="V32" s="75">
        <f t="shared" si="5"/>
        <v>0</v>
      </c>
    </row>
    <row r="33" spans="1:23" x14ac:dyDescent="0.25">
      <c r="A33" s="27">
        <f t="shared" si="1"/>
        <v>30</v>
      </c>
      <c r="B33" s="26" t="s">
        <v>16</v>
      </c>
      <c r="C33" s="70"/>
      <c r="D33" s="70"/>
      <c r="E33" s="70"/>
      <c r="F33" s="70"/>
      <c r="G33" s="70"/>
      <c r="H33" s="70"/>
      <c r="I33" s="70"/>
      <c r="J33" s="71"/>
      <c r="K33" s="72"/>
      <c r="L33" s="55"/>
      <c r="M33" s="73"/>
      <c r="N33" s="74"/>
      <c r="O33" s="70"/>
      <c r="P33" s="71"/>
      <c r="Q33" s="71"/>
      <c r="R33" s="72"/>
      <c r="S33" s="55"/>
      <c r="T33" s="58">
        <f t="shared" si="0"/>
        <v>0</v>
      </c>
      <c r="U33" s="75">
        <f t="shared" si="4"/>
        <v>0</v>
      </c>
      <c r="V33" s="75">
        <f t="shared" si="5"/>
        <v>0</v>
      </c>
    </row>
    <row r="34" spans="1:23" x14ac:dyDescent="0.25">
      <c r="A34" s="27">
        <f t="shared" si="1"/>
        <v>31</v>
      </c>
      <c r="B34" s="26" t="s">
        <v>17</v>
      </c>
      <c r="C34" s="70">
        <f>68+72</f>
        <v>140</v>
      </c>
      <c r="D34" s="70"/>
      <c r="E34" s="70"/>
      <c r="F34" s="70"/>
      <c r="G34" s="70"/>
      <c r="H34" s="70"/>
      <c r="I34" s="70">
        <v>1</v>
      </c>
      <c r="J34" s="71"/>
      <c r="K34" s="72">
        <v>1</v>
      </c>
      <c r="L34" s="55"/>
      <c r="M34" s="73"/>
      <c r="N34" s="74"/>
      <c r="O34" s="70"/>
      <c r="P34" s="71"/>
      <c r="Q34" s="71">
        <v>3</v>
      </c>
      <c r="R34" s="72"/>
      <c r="S34" s="55"/>
      <c r="T34" s="58">
        <f t="shared" si="0"/>
        <v>2</v>
      </c>
      <c r="U34" s="75">
        <f t="shared" si="4"/>
        <v>3434</v>
      </c>
      <c r="V34" s="75">
        <f t="shared" si="5"/>
        <v>143.08333333333334</v>
      </c>
    </row>
    <row r="35" spans="1:23" hidden="1" x14ac:dyDescent="0.25">
      <c r="A35" s="27">
        <f t="shared" si="1"/>
        <v>32</v>
      </c>
      <c r="B35" s="26" t="s">
        <v>25</v>
      </c>
      <c r="C35" s="70"/>
      <c r="D35" s="70"/>
      <c r="E35" s="70"/>
      <c r="F35" s="70"/>
      <c r="G35" s="70"/>
      <c r="H35" s="70"/>
      <c r="I35" s="70"/>
      <c r="J35" s="71"/>
      <c r="K35" s="72"/>
      <c r="L35" s="55"/>
      <c r="M35" s="73"/>
      <c r="N35" s="74"/>
      <c r="O35" s="70"/>
      <c r="P35" s="71"/>
      <c r="Q35" s="71"/>
      <c r="R35" s="72"/>
      <c r="S35" s="55"/>
      <c r="T35" s="58">
        <f t="shared" si="0"/>
        <v>0</v>
      </c>
      <c r="U35" s="75">
        <f t="shared" si="4"/>
        <v>0</v>
      </c>
      <c r="V35" s="75">
        <f t="shared" si="5"/>
        <v>0</v>
      </c>
    </row>
    <row r="36" spans="1:23" x14ac:dyDescent="0.25">
      <c r="A36" s="27">
        <f t="shared" si="1"/>
        <v>33</v>
      </c>
      <c r="B36" s="26" t="s">
        <v>18</v>
      </c>
      <c r="C36" s="70"/>
      <c r="D36" s="70"/>
      <c r="E36" s="70"/>
      <c r="F36" s="70"/>
      <c r="G36" s="70"/>
      <c r="H36" s="70"/>
      <c r="I36" s="70"/>
      <c r="J36" s="71"/>
      <c r="K36" s="72"/>
      <c r="L36" s="55"/>
      <c r="M36" s="73"/>
      <c r="N36" s="74"/>
      <c r="O36" s="70"/>
      <c r="P36" s="71"/>
      <c r="Q36" s="71"/>
      <c r="R36" s="72"/>
      <c r="S36" s="55"/>
      <c r="T36" s="58">
        <f t="shared" si="0"/>
        <v>0</v>
      </c>
      <c r="U36" s="75">
        <f t="shared" si="4"/>
        <v>0</v>
      </c>
      <c r="V36" s="75">
        <f t="shared" si="5"/>
        <v>0</v>
      </c>
    </row>
    <row r="37" spans="1:23" ht="19.5" thickBot="1" x14ac:dyDescent="0.3">
      <c r="A37" s="27">
        <f t="shared" si="1"/>
        <v>34</v>
      </c>
      <c r="B37" s="42" t="s">
        <v>19</v>
      </c>
      <c r="C37" s="59">
        <f>864+2160+78</f>
        <v>3102</v>
      </c>
      <c r="D37" s="59"/>
      <c r="E37" s="59"/>
      <c r="F37" s="59"/>
      <c r="G37" s="59"/>
      <c r="H37" s="59">
        <v>3</v>
      </c>
      <c r="I37" s="59">
        <v>2</v>
      </c>
      <c r="J37" s="60">
        <v>6</v>
      </c>
      <c r="K37" s="61">
        <f>6+2</f>
        <v>8</v>
      </c>
      <c r="L37" s="62"/>
      <c r="M37" s="63">
        <v>30</v>
      </c>
      <c r="N37" s="64"/>
      <c r="O37" s="65"/>
      <c r="P37" s="66"/>
      <c r="Q37" s="66">
        <v>109</v>
      </c>
      <c r="R37" s="67"/>
      <c r="S37" s="62"/>
      <c r="T37" s="77">
        <f t="shared" si="0"/>
        <v>19</v>
      </c>
      <c r="U37" s="77">
        <f>C37*6+M37*6+O37*6+Q37*6+T37</f>
        <v>19465</v>
      </c>
      <c r="V37" s="77">
        <f>U37/6</f>
        <v>3244.1666666666665</v>
      </c>
      <c r="W37" s="50"/>
    </row>
    <row r="38" spans="1:23" x14ac:dyDescent="0.25">
      <c r="A38" s="27">
        <f t="shared" si="1"/>
        <v>35</v>
      </c>
      <c r="B38" s="25" t="s">
        <v>20</v>
      </c>
      <c r="C38" s="70"/>
      <c r="D38" s="70"/>
      <c r="E38" s="70"/>
      <c r="F38" s="70"/>
      <c r="G38" s="70"/>
      <c r="H38" s="70"/>
      <c r="I38" s="70"/>
      <c r="J38" s="71"/>
      <c r="K38" s="72"/>
      <c r="L38" s="55"/>
      <c r="M38" s="73"/>
      <c r="N38" s="74"/>
      <c r="O38" s="70"/>
      <c r="P38" s="71"/>
      <c r="Q38" s="71"/>
      <c r="R38" s="72"/>
      <c r="S38" s="55"/>
      <c r="T38" s="75">
        <f t="shared" si="0"/>
        <v>0</v>
      </c>
      <c r="U38" s="75">
        <f>C38*24+M38*24+O38*24+Q38*24+T38</f>
        <v>0</v>
      </c>
      <c r="V38" s="75">
        <f>U38/24</f>
        <v>0</v>
      </c>
    </row>
    <row r="39" spans="1:23" x14ac:dyDescent="0.25">
      <c r="A39" s="27">
        <f t="shared" si="1"/>
        <v>36</v>
      </c>
      <c r="B39" s="51" t="s">
        <v>62</v>
      </c>
      <c r="C39" s="78"/>
      <c r="D39" s="78"/>
      <c r="E39" s="78"/>
      <c r="F39" s="78"/>
      <c r="G39" s="78"/>
      <c r="H39" s="78"/>
      <c r="I39" s="78"/>
      <c r="J39" s="79"/>
      <c r="K39" s="80"/>
      <c r="L39" s="55"/>
      <c r="M39" s="73"/>
      <c r="N39" s="74"/>
      <c r="O39" s="70"/>
      <c r="P39" s="71"/>
      <c r="Q39" s="71"/>
      <c r="R39" s="72"/>
      <c r="S39" s="95"/>
      <c r="T39" s="75">
        <f t="shared" si="0"/>
        <v>0</v>
      </c>
      <c r="U39" s="75">
        <f>C39*24+M39*24+O39*24+Q39*24+T39</f>
        <v>0</v>
      </c>
      <c r="V39" s="75">
        <f>U39/24</f>
        <v>0</v>
      </c>
    </row>
    <row r="40" spans="1:23" ht="19.5" thickBot="1" x14ac:dyDescent="0.3">
      <c r="A40" s="27">
        <f t="shared" si="1"/>
        <v>37</v>
      </c>
      <c r="B40" s="42" t="s">
        <v>21</v>
      </c>
      <c r="C40" s="59">
        <f>189+49</f>
        <v>238</v>
      </c>
      <c r="D40" s="59"/>
      <c r="E40" s="59"/>
      <c r="F40" s="59"/>
      <c r="G40" s="59"/>
      <c r="H40" s="59"/>
      <c r="I40" s="59"/>
      <c r="J40" s="60"/>
      <c r="K40" s="61">
        <v>20</v>
      </c>
      <c r="L40" s="62"/>
      <c r="M40" s="63"/>
      <c r="N40" s="64"/>
      <c r="O40" s="65">
        <v>1</v>
      </c>
      <c r="P40" s="66"/>
      <c r="Q40" s="66">
        <v>2</v>
      </c>
      <c r="R40" s="67"/>
      <c r="S40" s="62"/>
      <c r="T40" s="77">
        <f t="shared" si="0"/>
        <v>20</v>
      </c>
      <c r="U40" s="77">
        <f>C40*24+M40*24+O40*24+Q40*24+T40</f>
        <v>5804</v>
      </c>
      <c r="V40" s="77">
        <f>U40/24</f>
        <v>241.83333333333334</v>
      </c>
    </row>
    <row r="41" spans="1:23" ht="19.5" thickBot="1" x14ac:dyDescent="0.3">
      <c r="A41" s="27">
        <f t="shared" si="1"/>
        <v>38</v>
      </c>
      <c r="B41" s="43" t="s">
        <v>22</v>
      </c>
      <c r="C41" s="82">
        <f>192+38</f>
        <v>230</v>
      </c>
      <c r="D41" s="82"/>
      <c r="E41" s="82"/>
      <c r="F41" s="82"/>
      <c r="G41" s="82"/>
      <c r="H41" s="82"/>
      <c r="I41" s="82"/>
      <c r="J41" s="83"/>
      <c r="K41" s="84"/>
      <c r="L41" s="85"/>
      <c r="M41" s="86">
        <v>5</v>
      </c>
      <c r="N41" s="87"/>
      <c r="O41" s="82">
        <v>10</v>
      </c>
      <c r="P41" s="83"/>
      <c r="Q41" s="83">
        <v>48</v>
      </c>
      <c r="R41" s="84"/>
      <c r="S41" s="85"/>
      <c r="T41" s="88">
        <f t="shared" si="0"/>
        <v>0</v>
      </c>
      <c r="U41" s="88">
        <f>C41*12+M41*12+O41*12+Q41*12+T41</f>
        <v>3516</v>
      </c>
      <c r="V41" s="88">
        <f>U41/12</f>
        <v>293</v>
      </c>
    </row>
    <row r="42" spans="1:23" hidden="1" x14ac:dyDescent="0.25">
      <c r="A42" s="27">
        <f t="shared" si="1"/>
        <v>39</v>
      </c>
      <c r="B42" s="25" t="s">
        <v>29</v>
      </c>
      <c r="C42" s="70"/>
      <c r="D42" s="70"/>
      <c r="E42" s="70"/>
      <c r="F42" s="70"/>
      <c r="G42" s="70"/>
      <c r="H42" s="70"/>
      <c r="I42" s="70"/>
      <c r="J42" s="71"/>
      <c r="K42" s="72"/>
      <c r="L42" s="55"/>
      <c r="M42" s="73"/>
      <c r="N42" s="74"/>
      <c r="O42" s="70"/>
      <c r="P42" s="71"/>
      <c r="Q42" s="71"/>
      <c r="R42" s="72"/>
      <c r="S42" s="55"/>
      <c r="T42" s="75"/>
      <c r="U42" s="75"/>
      <c r="V42" s="75"/>
    </row>
    <row r="43" spans="1:23" ht="19.5" thickBot="1" x14ac:dyDescent="0.3">
      <c r="A43" s="27">
        <f t="shared" si="1"/>
        <v>40</v>
      </c>
      <c r="B43" s="42" t="s">
        <v>23</v>
      </c>
      <c r="C43" s="65">
        <f>8856+19764+7452+19</f>
        <v>36091</v>
      </c>
      <c r="D43" s="65"/>
      <c r="E43" s="65"/>
      <c r="F43" s="65"/>
      <c r="G43" s="65"/>
      <c r="H43" s="65">
        <v>3</v>
      </c>
      <c r="I43" s="65">
        <v>12</v>
      </c>
      <c r="J43" s="66">
        <f>27*6+4</f>
        <v>166</v>
      </c>
      <c r="K43" s="67">
        <f>69*6+1</f>
        <v>415</v>
      </c>
      <c r="L43" s="62"/>
      <c r="M43" s="63">
        <v>799</v>
      </c>
      <c r="N43" s="64"/>
      <c r="O43" s="65">
        <v>331</v>
      </c>
      <c r="P43" s="66"/>
      <c r="Q43" s="66">
        <v>550</v>
      </c>
      <c r="R43" s="67"/>
      <c r="S43" s="62"/>
      <c r="T43" s="77">
        <f t="shared" ref="T43" si="6">H43+I43+J43+K43+N43+P43+R43</f>
        <v>596</v>
      </c>
      <c r="U43" s="77">
        <f>C43*6+M43*6+O43*6+Q43*6+T43</f>
        <v>227222</v>
      </c>
      <c r="V43" s="77">
        <f>U43/6</f>
        <v>37870.333333333336</v>
      </c>
    </row>
    <row r="44" spans="1:23" hidden="1" x14ac:dyDescent="0.25">
      <c r="A44" s="27">
        <f t="shared" si="1"/>
        <v>41</v>
      </c>
      <c r="B44" s="25" t="s">
        <v>31</v>
      </c>
      <c r="C44" s="70"/>
      <c r="D44" s="70"/>
      <c r="E44" s="70"/>
      <c r="F44" s="70"/>
      <c r="G44" s="70"/>
      <c r="H44" s="70"/>
      <c r="I44" s="70"/>
      <c r="J44" s="71"/>
      <c r="K44" s="72"/>
      <c r="L44" s="55"/>
      <c r="M44" s="73"/>
      <c r="N44" s="74"/>
      <c r="O44" s="70"/>
      <c r="P44" s="71"/>
      <c r="Q44" s="71"/>
      <c r="R44" s="72"/>
      <c r="S44" s="55"/>
      <c r="T44" s="75"/>
      <c r="U44" s="75"/>
      <c r="V44" s="75"/>
    </row>
    <row r="45" spans="1:23" x14ac:dyDescent="0.25">
      <c r="A45" s="27">
        <f t="shared" si="1"/>
        <v>42</v>
      </c>
      <c r="B45" s="26" t="s">
        <v>24</v>
      </c>
      <c r="C45" s="70"/>
      <c r="D45" s="70"/>
      <c r="E45" s="70"/>
      <c r="F45" s="70"/>
      <c r="G45" s="70"/>
      <c r="H45" s="70"/>
      <c r="I45" s="70"/>
      <c r="J45" s="71"/>
      <c r="K45" s="72"/>
      <c r="L45" s="55"/>
      <c r="M45" s="73"/>
      <c r="N45" s="74"/>
      <c r="O45" s="70"/>
      <c r="P45" s="71"/>
      <c r="Q45" s="71"/>
      <c r="R45" s="72"/>
      <c r="S45" s="55"/>
      <c r="T45" s="75">
        <f t="shared" ref="T45:T54" si="7">H45+I45+J45+K45+N45+P45+R45</f>
        <v>0</v>
      </c>
      <c r="U45" s="75">
        <f>C45*24+M45*24+O45*24+Q45*24+T45</f>
        <v>0</v>
      </c>
      <c r="V45" s="75">
        <f>U45/24</f>
        <v>0</v>
      </c>
    </row>
    <row r="46" spans="1:23" x14ac:dyDescent="0.25">
      <c r="A46" s="27">
        <f t="shared" si="1"/>
        <v>43</v>
      </c>
      <c r="B46" s="26" t="s">
        <v>57</v>
      </c>
      <c r="C46" s="70"/>
      <c r="D46" s="70"/>
      <c r="E46" s="70"/>
      <c r="F46" s="70"/>
      <c r="G46" s="70"/>
      <c r="H46" s="70"/>
      <c r="I46" s="70"/>
      <c r="J46" s="71"/>
      <c r="K46" s="72"/>
      <c r="L46" s="55"/>
      <c r="M46" s="73"/>
      <c r="N46" s="74"/>
      <c r="O46" s="70"/>
      <c r="P46" s="71"/>
      <c r="Q46" s="71"/>
      <c r="R46" s="72"/>
      <c r="S46" s="55"/>
      <c r="T46" s="75">
        <f t="shared" si="7"/>
        <v>0</v>
      </c>
      <c r="U46" s="75">
        <f t="shared" ref="U46:U50" si="8">C46*24+M46*24+O46*24+Q46*24+T46</f>
        <v>0</v>
      </c>
      <c r="V46" s="75">
        <f t="shared" ref="V46:V54" si="9">U46/24</f>
        <v>0</v>
      </c>
    </row>
    <row r="47" spans="1:23" ht="19.5" thickBot="1" x14ac:dyDescent="0.3">
      <c r="A47" s="27">
        <f t="shared" si="1"/>
        <v>44</v>
      </c>
      <c r="B47" s="42" t="s">
        <v>25</v>
      </c>
      <c r="C47" s="65">
        <f>89+648+324+88+432+83+103+324+432+106</f>
        <v>2629</v>
      </c>
      <c r="D47" s="65"/>
      <c r="E47" s="65"/>
      <c r="F47" s="65"/>
      <c r="G47" s="65"/>
      <c r="H47" s="65">
        <v>1</v>
      </c>
      <c r="I47" s="65"/>
      <c r="J47" s="66"/>
      <c r="K47" s="67">
        <v>5</v>
      </c>
      <c r="L47" s="62"/>
      <c r="M47" s="63">
        <v>2</v>
      </c>
      <c r="N47" s="64"/>
      <c r="O47" s="65">
        <v>15</v>
      </c>
      <c r="P47" s="66"/>
      <c r="Q47" s="66">
        <v>5</v>
      </c>
      <c r="R47" s="67">
        <v>3</v>
      </c>
      <c r="S47" s="62"/>
      <c r="T47" s="77">
        <f t="shared" si="7"/>
        <v>9</v>
      </c>
      <c r="U47" s="77">
        <f>C47*6+M47*6+O47*6+Q47*6+T47</f>
        <v>15915</v>
      </c>
      <c r="V47" s="77">
        <f>U47/6</f>
        <v>2652.5</v>
      </c>
    </row>
    <row r="48" spans="1:23" x14ac:dyDescent="0.25">
      <c r="A48" s="27">
        <f t="shared" si="1"/>
        <v>45</v>
      </c>
      <c r="B48" s="25" t="s">
        <v>58</v>
      </c>
      <c r="C48" s="70"/>
      <c r="D48" s="70"/>
      <c r="E48" s="70"/>
      <c r="F48" s="70"/>
      <c r="G48" s="70"/>
      <c r="H48" s="70">
        <v>24</v>
      </c>
      <c r="I48" s="70"/>
      <c r="J48" s="71"/>
      <c r="K48" s="72"/>
      <c r="L48" s="55"/>
      <c r="M48" s="73"/>
      <c r="N48" s="74"/>
      <c r="O48" s="70"/>
      <c r="P48" s="71"/>
      <c r="Q48" s="71"/>
      <c r="R48" s="72"/>
      <c r="S48" s="55"/>
      <c r="T48" s="75">
        <f t="shared" si="7"/>
        <v>24</v>
      </c>
      <c r="U48" s="75">
        <f t="shared" si="8"/>
        <v>24</v>
      </c>
      <c r="V48" s="75">
        <f t="shared" si="9"/>
        <v>1</v>
      </c>
    </row>
    <row r="49" spans="1:22" x14ac:dyDescent="0.25">
      <c r="A49" s="27">
        <f t="shared" si="1"/>
        <v>46</v>
      </c>
      <c r="B49" s="26" t="s">
        <v>26</v>
      </c>
      <c r="C49" s="70"/>
      <c r="D49" s="70"/>
      <c r="E49" s="70"/>
      <c r="F49" s="70"/>
      <c r="G49" s="70"/>
      <c r="H49" s="70"/>
      <c r="I49" s="70"/>
      <c r="J49" s="71"/>
      <c r="K49" s="72"/>
      <c r="L49" s="55"/>
      <c r="M49" s="73"/>
      <c r="N49" s="74"/>
      <c r="O49" s="70"/>
      <c r="P49" s="71"/>
      <c r="Q49" s="71"/>
      <c r="R49" s="72"/>
      <c r="S49" s="55"/>
      <c r="T49" s="75">
        <f t="shared" si="7"/>
        <v>0</v>
      </c>
      <c r="U49" s="75">
        <f t="shared" si="8"/>
        <v>0</v>
      </c>
      <c r="V49" s="75">
        <f t="shared" si="9"/>
        <v>0</v>
      </c>
    </row>
    <row r="50" spans="1:22" x14ac:dyDescent="0.25">
      <c r="A50" s="27">
        <f t="shared" si="1"/>
        <v>47</v>
      </c>
      <c r="B50" s="26" t="s">
        <v>59</v>
      </c>
      <c r="C50" s="70"/>
      <c r="D50" s="70"/>
      <c r="E50" s="70"/>
      <c r="F50" s="70"/>
      <c r="G50" s="70"/>
      <c r="H50" s="70"/>
      <c r="I50" s="70"/>
      <c r="J50" s="71"/>
      <c r="K50" s="72"/>
      <c r="L50" s="55"/>
      <c r="M50" s="73"/>
      <c r="N50" s="74"/>
      <c r="O50" s="70"/>
      <c r="P50" s="71"/>
      <c r="Q50" s="71"/>
      <c r="R50" s="72"/>
      <c r="S50" s="55"/>
      <c r="T50" s="75">
        <f t="shared" si="7"/>
        <v>0</v>
      </c>
      <c r="U50" s="75">
        <f t="shared" si="8"/>
        <v>0</v>
      </c>
      <c r="V50" s="75">
        <f t="shared" si="9"/>
        <v>0</v>
      </c>
    </row>
    <row r="51" spans="1:22" ht="19.5" thickBot="1" x14ac:dyDescent="0.3">
      <c r="A51" s="27">
        <f t="shared" si="1"/>
        <v>48</v>
      </c>
      <c r="B51" s="42" t="s">
        <v>27</v>
      </c>
      <c r="C51" s="65">
        <v>34</v>
      </c>
      <c r="D51" s="65"/>
      <c r="E51" s="65"/>
      <c r="F51" s="65"/>
      <c r="G51" s="65"/>
      <c r="H51" s="65"/>
      <c r="I51" s="65"/>
      <c r="J51" s="66"/>
      <c r="K51" s="67"/>
      <c r="L51" s="62"/>
      <c r="M51" s="63"/>
      <c r="N51" s="64"/>
      <c r="O51" s="65"/>
      <c r="P51" s="66"/>
      <c r="Q51" s="66"/>
      <c r="R51" s="67"/>
      <c r="S51" s="62"/>
      <c r="T51" s="77">
        <f t="shared" si="7"/>
        <v>0</v>
      </c>
      <c r="U51" s="77">
        <f>C51*6+M51*6+O51*6+Q51*6+T51</f>
        <v>204</v>
      </c>
      <c r="V51" s="77">
        <f>U51/6</f>
        <v>34</v>
      </c>
    </row>
    <row r="52" spans="1:22" x14ac:dyDescent="0.25">
      <c r="A52" s="27">
        <f t="shared" si="1"/>
        <v>49</v>
      </c>
      <c r="B52" s="25" t="s">
        <v>28</v>
      </c>
      <c r="C52" s="70"/>
      <c r="D52" s="70"/>
      <c r="E52" s="70"/>
      <c r="F52" s="70"/>
      <c r="G52" s="70"/>
      <c r="H52" s="70"/>
      <c r="I52" s="70"/>
      <c r="J52" s="71"/>
      <c r="K52" s="72"/>
      <c r="L52" s="55"/>
      <c r="M52" s="73"/>
      <c r="N52" s="74"/>
      <c r="O52" s="70"/>
      <c r="P52" s="71"/>
      <c r="Q52" s="71"/>
      <c r="R52" s="72"/>
      <c r="S52" s="55"/>
      <c r="T52" s="75">
        <f t="shared" si="7"/>
        <v>0</v>
      </c>
      <c r="U52" s="75">
        <f t="shared" ref="U52:U54" si="10">C52*24+M52*24+O52*24+Q52*24+T52</f>
        <v>0</v>
      </c>
      <c r="V52" s="75">
        <f t="shared" si="9"/>
        <v>0</v>
      </c>
    </row>
    <row r="53" spans="1:22" x14ac:dyDescent="0.25">
      <c r="A53" s="27">
        <f t="shared" si="1"/>
        <v>50</v>
      </c>
      <c r="B53" s="26" t="s">
        <v>63</v>
      </c>
      <c r="C53" s="70">
        <v>7</v>
      </c>
      <c r="D53" s="70"/>
      <c r="E53" s="70"/>
      <c r="F53" s="70"/>
      <c r="G53" s="70"/>
      <c r="H53" s="70"/>
      <c r="I53" s="70"/>
      <c r="J53" s="71"/>
      <c r="K53" s="72"/>
      <c r="L53" s="55"/>
      <c r="M53" s="73"/>
      <c r="N53" s="74"/>
      <c r="O53" s="70"/>
      <c r="P53" s="71"/>
      <c r="Q53" s="71"/>
      <c r="R53" s="72"/>
      <c r="S53" s="55"/>
      <c r="T53" s="75">
        <f t="shared" si="7"/>
        <v>0</v>
      </c>
      <c r="U53" s="75">
        <f t="shared" si="10"/>
        <v>168</v>
      </c>
      <c r="V53" s="75">
        <f t="shared" si="9"/>
        <v>7</v>
      </c>
    </row>
    <row r="54" spans="1:22" x14ac:dyDescent="0.25">
      <c r="A54" s="27">
        <f t="shared" si="1"/>
        <v>51</v>
      </c>
      <c r="B54" s="26"/>
      <c r="C54" s="70"/>
      <c r="D54" s="70"/>
      <c r="E54" s="70"/>
      <c r="F54" s="70"/>
      <c r="G54" s="70"/>
      <c r="H54" s="70"/>
      <c r="I54" s="70"/>
      <c r="J54" s="71"/>
      <c r="K54" s="72"/>
      <c r="L54" s="55"/>
      <c r="M54" s="73"/>
      <c r="N54" s="74"/>
      <c r="O54" s="70"/>
      <c r="P54" s="71"/>
      <c r="Q54" s="71"/>
      <c r="R54" s="72"/>
      <c r="S54" s="55"/>
      <c r="T54" s="75">
        <f t="shared" si="7"/>
        <v>0</v>
      </c>
      <c r="U54" s="75">
        <f t="shared" si="10"/>
        <v>0</v>
      </c>
      <c r="V54" s="75">
        <f t="shared" si="9"/>
        <v>0</v>
      </c>
    </row>
    <row r="55" spans="1:22" x14ac:dyDescent="0.25">
      <c r="A55" s="27">
        <f t="shared" si="1"/>
        <v>52</v>
      </c>
      <c r="B55" s="26"/>
      <c r="C55" s="70"/>
      <c r="D55" s="70"/>
      <c r="E55" s="70"/>
      <c r="F55" s="70"/>
      <c r="G55" s="70"/>
      <c r="H55" s="70"/>
      <c r="I55" s="70"/>
      <c r="J55" s="71"/>
      <c r="K55" s="72"/>
      <c r="L55" s="55"/>
      <c r="M55" s="73"/>
      <c r="N55" s="74"/>
      <c r="O55" s="70"/>
      <c r="P55" s="71"/>
      <c r="Q55" s="71"/>
      <c r="R55" s="72"/>
      <c r="S55" s="55"/>
      <c r="T55" s="75"/>
      <c r="U55" s="75"/>
      <c r="V55" s="75"/>
    </row>
    <row r="56" spans="1:22" x14ac:dyDescent="0.25">
      <c r="A56" s="27">
        <f t="shared" si="1"/>
        <v>53</v>
      </c>
      <c r="B56" s="26"/>
      <c r="C56" s="70"/>
      <c r="D56" s="70"/>
      <c r="E56" s="70"/>
      <c r="F56" s="70"/>
      <c r="G56" s="70"/>
      <c r="H56" s="70"/>
      <c r="I56" s="70"/>
      <c r="J56" s="71"/>
      <c r="K56" s="72"/>
      <c r="L56" s="55"/>
      <c r="M56" s="73"/>
      <c r="N56" s="74"/>
      <c r="O56" s="70"/>
      <c r="P56" s="71"/>
      <c r="Q56" s="71"/>
      <c r="R56" s="72"/>
      <c r="S56" s="55"/>
      <c r="T56" s="75"/>
      <c r="U56" s="75"/>
      <c r="V56" s="75"/>
    </row>
    <row r="57" spans="1:22" x14ac:dyDescent="0.25">
      <c r="A57" s="27">
        <f t="shared" si="1"/>
        <v>54</v>
      </c>
      <c r="B57" s="26"/>
      <c r="C57" s="70"/>
      <c r="D57" s="70"/>
      <c r="E57" s="70"/>
      <c r="F57" s="70"/>
      <c r="G57" s="70"/>
      <c r="H57" s="70"/>
      <c r="I57" s="70"/>
      <c r="J57" s="71"/>
      <c r="K57" s="72"/>
      <c r="L57" s="55"/>
      <c r="M57" s="73"/>
      <c r="N57" s="74"/>
      <c r="O57" s="70"/>
      <c r="P57" s="71"/>
      <c r="Q57" s="71"/>
      <c r="R57" s="72"/>
      <c r="S57" s="55"/>
      <c r="T57" s="75"/>
      <c r="U57" s="75"/>
      <c r="V57" s="75"/>
    </row>
    <row r="58" spans="1:22" s="15" customFormat="1" ht="19.5" thickBot="1" x14ac:dyDescent="0.3">
      <c r="B58" s="29" t="s">
        <v>50</v>
      </c>
      <c r="C58" s="2">
        <f>SUM(C7:C57)</f>
        <v>45899</v>
      </c>
      <c r="D58" s="2"/>
      <c r="E58" s="2"/>
      <c r="F58" s="2">
        <f t="shared" ref="F58:K58" si="11">SUM(F7:F57)</f>
        <v>0</v>
      </c>
      <c r="G58" s="2">
        <f t="shared" si="11"/>
        <v>0</v>
      </c>
      <c r="H58" s="2">
        <f t="shared" si="11"/>
        <v>1190</v>
      </c>
      <c r="I58" s="6">
        <f t="shared" si="11"/>
        <v>44</v>
      </c>
      <c r="J58" s="6">
        <f t="shared" si="11"/>
        <v>172</v>
      </c>
      <c r="K58" s="6">
        <f t="shared" si="11"/>
        <v>457</v>
      </c>
      <c r="M58" s="5">
        <f t="shared" ref="M58:R58" si="12">SUM(M7:M57)</f>
        <v>862</v>
      </c>
      <c r="N58" s="5">
        <f t="shared" si="12"/>
        <v>10</v>
      </c>
      <c r="O58" s="5">
        <f t="shared" si="12"/>
        <v>366</v>
      </c>
      <c r="P58" s="5">
        <f t="shared" si="12"/>
        <v>24</v>
      </c>
      <c r="Q58" s="5">
        <f t="shared" si="12"/>
        <v>743</v>
      </c>
      <c r="R58" s="5">
        <f t="shared" si="12"/>
        <v>3</v>
      </c>
      <c r="S58" s="55"/>
      <c r="T58" s="4">
        <f>SUM(T7:T57)</f>
        <v>1900</v>
      </c>
      <c r="U58" s="90">
        <f>SUM(U7:U57)</f>
        <v>360718</v>
      </c>
      <c r="V58" s="4">
        <f>SUM(V7:V57)</f>
        <v>48027.166666666672</v>
      </c>
    </row>
    <row r="59" spans="1:22" ht="7.5" customHeight="1" thickBot="1" x14ac:dyDescent="0.3"/>
    <row r="60" spans="1:22" ht="19.5" thickBot="1" x14ac:dyDescent="0.3">
      <c r="B60" s="30" t="s">
        <v>37</v>
      </c>
      <c r="C60" s="113" t="s">
        <v>41</v>
      </c>
      <c r="D60" s="114"/>
      <c r="E60" s="114"/>
      <c r="F60" s="114"/>
      <c r="G60" s="114"/>
      <c r="H60" s="114"/>
      <c r="I60" s="114"/>
      <c r="J60" s="114"/>
      <c r="K60" s="115"/>
      <c r="U60" s="24" t="s">
        <v>51</v>
      </c>
    </row>
    <row r="61" spans="1:22" x14ac:dyDescent="0.25">
      <c r="B61" s="31" t="s">
        <v>17</v>
      </c>
      <c r="C61" s="19"/>
      <c r="D61" s="19"/>
      <c r="E61" s="19"/>
      <c r="F61" s="19"/>
      <c r="G61" s="19"/>
      <c r="H61" s="19"/>
      <c r="I61" s="19"/>
      <c r="J61" s="45"/>
      <c r="K61" s="20"/>
      <c r="U61" s="7"/>
    </row>
    <row r="62" spans="1:22" x14ac:dyDescent="0.25">
      <c r="B62" s="32" t="s">
        <v>45</v>
      </c>
      <c r="C62" s="1"/>
      <c r="D62" s="1"/>
      <c r="E62" s="1"/>
      <c r="F62" s="1"/>
      <c r="G62" s="1"/>
      <c r="H62" s="1"/>
      <c r="I62" s="1"/>
      <c r="J62" s="44"/>
      <c r="K62" s="21"/>
      <c r="U62" s="3"/>
    </row>
    <row r="63" spans="1:22" ht="19.5" thickBot="1" x14ac:dyDescent="0.3">
      <c r="B63" s="33" t="s">
        <v>44</v>
      </c>
      <c r="C63" s="22"/>
      <c r="D63" s="22"/>
      <c r="E63" s="22"/>
      <c r="F63" s="22"/>
      <c r="G63" s="22"/>
      <c r="H63" s="22"/>
      <c r="I63" s="22"/>
      <c r="J63" s="46"/>
      <c r="K63" s="23"/>
      <c r="U63" s="8"/>
    </row>
    <row r="64" spans="1:22" ht="7.5" customHeight="1" thickBot="1" x14ac:dyDescent="0.3"/>
    <row r="65" spans="2:21" x14ac:dyDescent="0.25">
      <c r="B65" s="31" t="s">
        <v>46</v>
      </c>
      <c r="C65" s="19"/>
      <c r="D65" s="19"/>
      <c r="E65" s="19"/>
      <c r="F65" s="19"/>
      <c r="G65" s="19"/>
      <c r="H65" s="19"/>
      <c r="I65" s="19"/>
      <c r="J65" s="45"/>
      <c r="K65" s="20"/>
      <c r="U65" s="7"/>
    </row>
    <row r="66" spans="2:21" x14ac:dyDescent="0.25">
      <c r="B66" s="32" t="s">
        <v>45</v>
      </c>
      <c r="C66" s="1"/>
      <c r="D66" s="1"/>
      <c r="E66" s="1"/>
      <c r="F66" s="1"/>
      <c r="G66" s="1"/>
      <c r="H66" s="1"/>
      <c r="I66" s="1"/>
      <c r="J66" s="44"/>
      <c r="K66" s="21"/>
      <c r="U66" s="3"/>
    </row>
    <row r="67" spans="2:21" ht="19.5" thickBot="1" x14ac:dyDescent="0.3">
      <c r="B67" s="33" t="s">
        <v>44</v>
      </c>
      <c r="C67" s="22"/>
      <c r="D67" s="22"/>
      <c r="E67" s="22"/>
      <c r="F67" s="22"/>
      <c r="G67" s="22"/>
      <c r="H67" s="22"/>
      <c r="I67" s="22"/>
      <c r="J67" s="46"/>
      <c r="K67" s="23"/>
      <c r="U67" s="8"/>
    </row>
    <row r="68" spans="2:21" ht="7.5" customHeight="1" thickBot="1" x14ac:dyDescent="0.3"/>
    <row r="69" spans="2:21" x14ac:dyDescent="0.25">
      <c r="B69" s="31" t="s">
        <v>38</v>
      </c>
      <c r="C69" s="19"/>
      <c r="D69" s="19"/>
      <c r="E69" s="19"/>
      <c r="F69" s="19"/>
      <c r="G69" s="19"/>
      <c r="H69" s="19"/>
      <c r="I69" s="19"/>
      <c r="J69" s="45"/>
      <c r="K69" s="20"/>
      <c r="U69" s="7"/>
    </row>
    <row r="70" spans="2:21" x14ac:dyDescent="0.25">
      <c r="B70" s="32" t="s">
        <v>45</v>
      </c>
      <c r="C70" s="1"/>
      <c r="D70" s="1"/>
      <c r="E70" s="1"/>
      <c r="F70" s="1"/>
      <c r="G70" s="1"/>
      <c r="H70" s="1"/>
      <c r="I70" s="1"/>
      <c r="J70" s="44"/>
      <c r="K70" s="21"/>
      <c r="U70" s="3"/>
    </row>
    <row r="71" spans="2:21" ht="19.5" thickBot="1" x14ac:dyDescent="0.3">
      <c r="B71" s="33" t="s">
        <v>44</v>
      </c>
      <c r="C71" s="22"/>
      <c r="D71" s="22"/>
      <c r="E71" s="22"/>
      <c r="F71" s="22"/>
      <c r="G71" s="22"/>
      <c r="H71" s="22"/>
      <c r="I71" s="22"/>
      <c r="J71" s="46"/>
      <c r="K71" s="23"/>
      <c r="U71" s="8"/>
    </row>
    <row r="72" spans="2:21" ht="7.5" customHeight="1" thickBot="1" x14ac:dyDescent="0.3"/>
    <row r="73" spans="2:21" x14ac:dyDescent="0.25">
      <c r="B73" s="31" t="s">
        <v>47</v>
      </c>
      <c r="C73" s="19"/>
      <c r="D73" s="19"/>
      <c r="E73" s="19"/>
      <c r="F73" s="19"/>
      <c r="G73" s="19"/>
      <c r="H73" s="19"/>
      <c r="I73" s="19"/>
      <c r="J73" s="45"/>
      <c r="K73" s="20"/>
      <c r="U73" s="7"/>
    </row>
    <row r="74" spans="2:21" x14ac:dyDescent="0.25">
      <c r="B74" s="32" t="s">
        <v>45</v>
      </c>
      <c r="C74" s="1"/>
      <c r="D74" s="1"/>
      <c r="E74" s="1"/>
      <c r="F74" s="1"/>
      <c r="G74" s="1"/>
      <c r="H74" s="1"/>
      <c r="I74" s="1"/>
      <c r="J74" s="44"/>
      <c r="K74" s="21"/>
      <c r="U74" s="3"/>
    </row>
    <row r="75" spans="2:21" ht="19.5" thickBot="1" x14ac:dyDescent="0.3">
      <c r="B75" s="33" t="s">
        <v>44</v>
      </c>
      <c r="C75" s="22"/>
      <c r="D75" s="22"/>
      <c r="E75" s="22"/>
      <c r="F75" s="22"/>
      <c r="G75" s="22"/>
      <c r="H75" s="22"/>
      <c r="I75" s="22"/>
      <c r="J75" s="46"/>
      <c r="K75" s="23"/>
      <c r="U75" s="8"/>
    </row>
    <row r="76" spans="2:21" ht="7.5" customHeight="1" thickBot="1" x14ac:dyDescent="0.3"/>
    <row r="77" spans="2:21" x14ac:dyDescent="0.25">
      <c r="B77" s="31" t="s">
        <v>48</v>
      </c>
      <c r="C77" s="19"/>
      <c r="D77" s="19"/>
      <c r="E77" s="19"/>
      <c r="F77" s="19"/>
      <c r="G77" s="19"/>
      <c r="H77" s="19"/>
      <c r="I77" s="19"/>
      <c r="J77" s="45"/>
      <c r="K77" s="20"/>
      <c r="U77" s="7"/>
    </row>
    <row r="78" spans="2:21" x14ac:dyDescent="0.25">
      <c r="B78" s="32" t="s">
        <v>45</v>
      </c>
      <c r="C78" s="1"/>
      <c r="D78" s="1"/>
      <c r="E78" s="1"/>
      <c r="F78" s="1"/>
      <c r="G78" s="1"/>
      <c r="H78" s="1"/>
      <c r="I78" s="1"/>
      <c r="J78" s="44"/>
      <c r="K78" s="21"/>
      <c r="U78" s="3"/>
    </row>
    <row r="79" spans="2:21" ht="19.5" thickBot="1" x14ac:dyDescent="0.3">
      <c r="B79" s="33" t="s">
        <v>44</v>
      </c>
      <c r="C79" s="22"/>
      <c r="D79" s="22"/>
      <c r="E79" s="22"/>
      <c r="F79" s="22"/>
      <c r="G79" s="22"/>
      <c r="H79" s="22"/>
      <c r="I79" s="22"/>
      <c r="J79" s="46"/>
      <c r="K79" s="23"/>
      <c r="U79" s="8"/>
    </row>
    <row r="80" spans="2:21" ht="7.5" customHeight="1" thickBot="1" x14ac:dyDescent="0.3"/>
    <row r="81" spans="2:21" ht="19.5" thickBot="1" x14ac:dyDescent="0.3">
      <c r="B81" s="30" t="s">
        <v>49</v>
      </c>
      <c r="C81" s="17"/>
      <c r="D81" s="17"/>
      <c r="E81" s="17"/>
      <c r="F81" s="17"/>
      <c r="G81" s="17"/>
      <c r="H81" s="17"/>
      <c r="I81" s="17"/>
      <c r="J81" s="47"/>
      <c r="K81" s="18"/>
      <c r="U81" s="16"/>
    </row>
  </sheetData>
  <mergeCells count="7">
    <mergeCell ref="V4:V5"/>
    <mergeCell ref="J5:K5"/>
    <mergeCell ref="C60:K60"/>
    <mergeCell ref="I1:U1"/>
    <mergeCell ref="C4:K4"/>
    <mergeCell ref="T4:T5"/>
    <mergeCell ref="U4:U5"/>
  </mergeCells>
  <printOptions horizontalCentered="1" verticalCentered="1"/>
  <pageMargins left="0.19685039370078741" right="0.19685039370078741" top="0.19685039370078741" bottom="0.19685039370078741" header="0.19685039370078741" footer="0.19685039370078741"/>
  <pageSetup paperSize="14" scale="70" orientation="portrait" horizontalDpi="360" verticalDpi="360" r:id="rId1"/>
  <colBreaks count="1" manualBreakCount="1">
    <brk id="24" max="80" man="1"/>
  </colBreaks>
</worksheet>
</file>

<file path=xl/worksheets/sheet1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5B602C5D-37D6-4617-B02F-10237C64E9FC}">
  <sheetPr>
    <pageSetUpPr fitToPage="1"/>
  </sheetPr>
  <dimension ref="A1:BB81"/>
  <sheetViews>
    <sheetView topLeftCell="A28" zoomScale="91" zoomScaleNormal="91" zoomScaleSheetLayoutView="115" workbookViewId="0">
      <selection activeCell="AB52" sqref="AB52"/>
    </sheetView>
  </sheetViews>
  <sheetFormatPr defaultColWidth="9.140625" defaultRowHeight="18.75" x14ac:dyDescent="0.25"/>
  <cols>
    <col min="1" max="1" width="4.140625" style="9" bestFit="1" customWidth="1"/>
    <col min="2" max="2" width="12.28515625" style="28" customWidth="1"/>
    <col min="3" max="6" width="10" style="9" customWidth="1"/>
    <col min="7" max="7" width="6.85546875" style="9" customWidth="1"/>
    <col min="8" max="8" width="7.5703125" style="9" bestFit="1" customWidth="1"/>
    <col min="9" max="9" width="6.7109375" style="9" bestFit="1" customWidth="1"/>
    <col min="10" max="10" width="6.85546875" style="9" customWidth="1"/>
    <col min="11" max="11" width="7.5703125" style="9" bestFit="1" customWidth="1"/>
    <col min="12" max="12" width="1.42578125" style="9" customWidth="1"/>
    <col min="13" max="13" width="10" style="9" customWidth="1"/>
    <col min="14" max="14" width="6.7109375" style="9" bestFit="1" customWidth="1"/>
    <col min="15" max="15" width="10" style="9" customWidth="1"/>
    <col min="16" max="16" width="5.5703125" style="9" customWidth="1"/>
    <col min="17" max="17" width="10" style="9" customWidth="1"/>
    <col min="18" max="18" width="6.7109375" style="9" bestFit="1" customWidth="1"/>
    <col min="19" max="19" width="1.42578125" style="9" customWidth="1"/>
    <col min="20" max="20" width="12.7109375" style="9" bestFit="1" customWidth="1"/>
    <col min="21" max="21" width="14.28515625" style="9" customWidth="1"/>
    <col min="22" max="22" width="19.5703125" style="9" bestFit="1" customWidth="1"/>
    <col min="23" max="49" width="7.28515625" style="9" customWidth="1"/>
    <col min="50" max="50" width="1.5703125" style="9" customWidth="1"/>
    <col min="51" max="51" width="9.42578125" style="9" customWidth="1"/>
    <col min="52" max="52" width="1.28515625" style="9" customWidth="1"/>
    <col min="53" max="53" width="12.7109375" style="9" bestFit="1" customWidth="1"/>
    <col min="54" max="54" width="10.28515625" style="9" bestFit="1" customWidth="1"/>
    <col min="55" max="16384" width="9.140625" style="9"/>
  </cols>
  <sheetData>
    <row r="1" spans="1:54" ht="15" customHeight="1" x14ac:dyDescent="0.25">
      <c r="B1" s="27" t="s">
        <v>42</v>
      </c>
      <c r="I1" s="116" t="s">
        <v>43</v>
      </c>
      <c r="J1" s="116"/>
      <c r="K1" s="116"/>
      <c r="L1" s="116"/>
      <c r="M1" s="116"/>
      <c r="N1" s="116"/>
      <c r="O1" s="116"/>
      <c r="P1" s="116"/>
      <c r="Q1" s="116"/>
      <c r="R1" s="116"/>
      <c r="S1" s="116"/>
      <c r="T1" s="116"/>
      <c r="U1" s="116"/>
    </row>
    <row r="2" spans="1:54" x14ac:dyDescent="0.25">
      <c r="B2" s="28" t="s">
        <v>88</v>
      </c>
    </row>
    <row r="3" spans="1:54" ht="19.5" thickBot="1" x14ac:dyDescent="0.3"/>
    <row r="4" spans="1:54" s="10" customFormat="1" ht="15.75" x14ac:dyDescent="0.25">
      <c r="B4" s="41" t="s">
        <v>52</v>
      </c>
      <c r="C4" s="117" t="s">
        <v>41</v>
      </c>
      <c r="D4" s="117"/>
      <c r="E4" s="117"/>
      <c r="F4" s="117"/>
      <c r="G4" s="117"/>
      <c r="H4" s="117"/>
      <c r="I4" s="117"/>
      <c r="J4" s="118"/>
      <c r="K4" s="119"/>
      <c r="M4" s="34" t="s">
        <v>0</v>
      </c>
      <c r="N4" s="48" t="s">
        <v>61</v>
      </c>
      <c r="O4" s="35" t="s">
        <v>39</v>
      </c>
      <c r="P4" s="48" t="s">
        <v>61</v>
      </c>
      <c r="Q4" s="36" t="s">
        <v>40</v>
      </c>
      <c r="R4" s="48" t="s">
        <v>61</v>
      </c>
      <c r="S4" s="9"/>
      <c r="T4" s="120" t="s">
        <v>68</v>
      </c>
      <c r="U4" s="126" t="s">
        <v>67</v>
      </c>
      <c r="V4" s="109" t="s">
        <v>66</v>
      </c>
      <c r="AF4" s="11"/>
      <c r="AG4" s="11"/>
      <c r="AH4" s="11"/>
      <c r="AI4" s="11"/>
      <c r="AJ4" s="11"/>
      <c r="AK4" s="11"/>
      <c r="AL4" s="11"/>
      <c r="AM4" s="11"/>
      <c r="AN4" s="11"/>
      <c r="AO4" s="11"/>
      <c r="AP4" s="11"/>
      <c r="AQ4" s="11"/>
      <c r="AR4" s="11"/>
      <c r="AS4" s="11"/>
      <c r="AT4" s="11"/>
      <c r="AU4" s="11"/>
      <c r="AV4" s="11"/>
      <c r="AW4" s="11"/>
      <c r="AX4" s="11"/>
      <c r="AY4" s="11"/>
      <c r="AZ4" s="11"/>
      <c r="BA4" s="11"/>
      <c r="BB4" s="11"/>
    </row>
    <row r="5" spans="1:54" s="10" customFormat="1" ht="15.75" x14ac:dyDescent="0.25">
      <c r="B5" s="37"/>
      <c r="C5" s="40"/>
      <c r="D5" s="40"/>
      <c r="E5" s="40"/>
      <c r="F5" s="40"/>
      <c r="G5" s="40"/>
      <c r="H5" s="40" t="s">
        <v>64</v>
      </c>
      <c r="I5" s="40" t="s">
        <v>60</v>
      </c>
      <c r="J5" s="124" t="s">
        <v>65</v>
      </c>
      <c r="K5" s="125"/>
      <c r="M5" s="37"/>
      <c r="N5" s="49"/>
      <c r="O5" s="40"/>
      <c r="P5" s="105"/>
      <c r="Q5" s="105"/>
      <c r="R5" s="38"/>
      <c r="S5" s="9"/>
      <c r="T5" s="121"/>
      <c r="U5" s="127"/>
      <c r="V5" s="110"/>
      <c r="AF5" s="11"/>
      <c r="AG5" s="11"/>
      <c r="AH5" s="11"/>
      <c r="AI5" s="11"/>
      <c r="AJ5" s="11"/>
      <c r="AK5" s="11"/>
      <c r="AL5" s="11"/>
      <c r="AM5" s="11"/>
      <c r="AN5" s="11"/>
      <c r="AO5" s="11"/>
      <c r="AP5" s="11"/>
      <c r="AQ5" s="11"/>
      <c r="AR5" s="11"/>
      <c r="AS5" s="11"/>
      <c r="AT5" s="11"/>
      <c r="AU5" s="11"/>
      <c r="AV5" s="11"/>
      <c r="AW5" s="11"/>
      <c r="AX5" s="11"/>
      <c r="AY5" s="11"/>
      <c r="AZ5" s="11"/>
      <c r="BA5" s="11"/>
      <c r="BB5" s="11"/>
    </row>
    <row r="6" spans="1:54" s="10" customFormat="1" ht="15.75" x14ac:dyDescent="0.25">
      <c r="B6" s="37"/>
      <c r="C6" s="40"/>
      <c r="D6" s="40"/>
      <c r="E6" s="40"/>
      <c r="F6" s="40"/>
      <c r="G6" s="40"/>
      <c r="H6" s="40"/>
      <c r="I6" s="40"/>
      <c r="J6" s="105"/>
      <c r="K6" s="38"/>
      <c r="M6" s="37"/>
      <c r="N6" s="49"/>
      <c r="O6" s="40"/>
      <c r="P6" s="105"/>
      <c r="Q6" s="105"/>
      <c r="R6" s="38"/>
      <c r="S6" s="9"/>
      <c r="T6" s="39"/>
      <c r="U6" s="39"/>
      <c r="V6" s="39"/>
      <c r="AF6" s="11"/>
      <c r="AG6" s="11"/>
      <c r="AH6" s="11"/>
      <c r="AI6" s="11"/>
      <c r="AJ6" s="11"/>
      <c r="AK6" s="11"/>
      <c r="AL6" s="11"/>
      <c r="AM6" s="11"/>
      <c r="AN6" s="11"/>
      <c r="AO6" s="11"/>
      <c r="AP6" s="11"/>
      <c r="AQ6" s="11"/>
      <c r="AR6" s="11"/>
      <c r="AS6" s="11"/>
      <c r="AT6" s="11"/>
      <c r="AU6" s="11"/>
      <c r="AV6" s="11"/>
      <c r="AW6" s="11"/>
      <c r="AX6" s="11"/>
      <c r="AY6" s="11"/>
      <c r="AZ6" s="11"/>
      <c r="BA6" s="11"/>
      <c r="BB6" s="11"/>
    </row>
    <row r="7" spans="1:54" x14ac:dyDescent="0.25">
      <c r="A7" s="27">
        <v>1</v>
      </c>
      <c r="B7" s="26" t="s">
        <v>32</v>
      </c>
      <c r="C7" s="52">
        <v>30</v>
      </c>
      <c r="D7" s="52"/>
      <c r="E7" s="52"/>
      <c r="F7" s="52"/>
      <c r="G7" s="52"/>
      <c r="H7" s="52"/>
      <c r="I7" s="52">
        <v>3</v>
      </c>
      <c r="J7" s="53"/>
      <c r="K7" s="54">
        <v>6</v>
      </c>
      <c r="L7" s="55"/>
      <c r="M7" s="56"/>
      <c r="N7" s="57"/>
      <c r="O7" s="52">
        <v>1</v>
      </c>
      <c r="P7" s="53"/>
      <c r="Q7" s="53"/>
      <c r="R7" s="54"/>
      <c r="S7" s="55"/>
      <c r="T7" s="58">
        <f>H7+I7+J7+K7+N7+P7+R7</f>
        <v>9</v>
      </c>
      <c r="U7" s="58">
        <f>C7*24+M7*24+O7*24+Q7*24+T7</f>
        <v>753</v>
      </c>
      <c r="V7" s="58">
        <f>U7/24</f>
        <v>31.375</v>
      </c>
      <c r="W7" s="50"/>
      <c r="AF7" s="12"/>
      <c r="AG7" s="12"/>
      <c r="AH7" s="12"/>
      <c r="AI7" s="12"/>
      <c r="AJ7" s="12"/>
      <c r="AK7" s="12"/>
      <c r="AL7" s="12"/>
      <c r="AM7" s="12"/>
      <c r="AN7" s="12"/>
      <c r="AO7" s="12"/>
      <c r="AP7" s="12"/>
      <c r="AQ7" s="12"/>
      <c r="AR7" s="12"/>
      <c r="AS7" s="12"/>
      <c r="AT7" s="12"/>
      <c r="AU7" s="12"/>
      <c r="AV7" s="12"/>
      <c r="AW7" s="12"/>
      <c r="AX7" s="12"/>
      <c r="AY7" s="12"/>
      <c r="AZ7" s="12"/>
      <c r="BA7" s="12"/>
      <c r="BB7" s="12"/>
    </row>
    <row r="8" spans="1:54" ht="19.5" thickBot="1" x14ac:dyDescent="0.3">
      <c r="A8" s="27">
        <f>A7+1</f>
        <v>2</v>
      </c>
      <c r="B8" s="42" t="s">
        <v>35</v>
      </c>
      <c r="C8" s="59">
        <f>37+30</f>
        <v>67</v>
      </c>
      <c r="D8" s="59"/>
      <c r="E8" s="59"/>
      <c r="F8" s="59"/>
      <c r="G8" s="59"/>
      <c r="H8" s="59"/>
      <c r="I8" s="59"/>
      <c r="J8" s="60"/>
      <c r="K8" s="61"/>
      <c r="L8" s="62"/>
      <c r="M8" s="63">
        <v>1</v>
      </c>
      <c r="N8" s="64"/>
      <c r="O8" s="65">
        <v>1</v>
      </c>
      <c r="P8" s="66">
        <v>12</v>
      </c>
      <c r="Q8" s="66">
        <v>2</v>
      </c>
      <c r="R8" s="67"/>
      <c r="S8" s="62"/>
      <c r="T8" s="68">
        <f t="shared" ref="T8:T41" si="0">H8+I8+J8+K8+N8+P8+R8</f>
        <v>12</v>
      </c>
      <c r="U8" s="69">
        <f>C8*24+M8*24+O8*24+Q8*24+T8</f>
        <v>1716</v>
      </c>
      <c r="V8" s="69">
        <f>U8/24</f>
        <v>71.5</v>
      </c>
      <c r="W8" s="50"/>
      <c r="AF8" s="12"/>
      <c r="AG8" s="12"/>
      <c r="AH8" s="12"/>
      <c r="AI8" s="12"/>
      <c r="AJ8" s="12"/>
      <c r="AK8" s="12"/>
      <c r="AL8" s="12"/>
      <c r="AM8" s="12"/>
      <c r="AN8" s="12"/>
      <c r="AO8" s="12"/>
      <c r="AP8" s="12"/>
      <c r="AQ8" s="12"/>
      <c r="AR8" s="12"/>
      <c r="AS8" s="12"/>
      <c r="AT8" s="12"/>
      <c r="AU8" s="12"/>
      <c r="AV8" s="12"/>
      <c r="AW8" s="12"/>
      <c r="AX8" s="12"/>
      <c r="AY8" s="12"/>
      <c r="AZ8" s="12"/>
      <c r="BA8" s="12"/>
      <c r="BB8" s="12"/>
    </row>
    <row r="9" spans="1:54" x14ac:dyDescent="0.25">
      <c r="A9" s="27">
        <f t="shared" ref="A9:A57" si="1">A8+1</f>
        <v>3</v>
      </c>
      <c r="B9" s="25" t="s">
        <v>33</v>
      </c>
      <c r="C9" s="70">
        <f>24+30</f>
        <v>54</v>
      </c>
      <c r="D9" s="70"/>
      <c r="E9" s="70"/>
      <c r="F9" s="70"/>
      <c r="G9" s="70"/>
      <c r="H9" s="70"/>
      <c r="I9" s="70"/>
      <c r="J9" s="71"/>
      <c r="K9" s="72"/>
      <c r="L9" s="55"/>
      <c r="M9" s="73"/>
      <c r="N9" s="74"/>
      <c r="O9" s="70">
        <v>1</v>
      </c>
      <c r="P9" s="71"/>
      <c r="Q9" s="71"/>
      <c r="R9" s="72"/>
      <c r="S9" s="55"/>
      <c r="T9" s="75">
        <f t="shared" si="0"/>
        <v>0</v>
      </c>
      <c r="U9" s="76">
        <f t="shared" ref="U9:U11" si="2">C9*24+M9*24+O9*24+Q9*24+T9</f>
        <v>1320</v>
      </c>
      <c r="V9" s="76">
        <f t="shared" ref="V9:V11" si="3">U9/24</f>
        <v>55</v>
      </c>
      <c r="W9" s="50"/>
      <c r="AF9" s="12"/>
      <c r="AG9" s="12"/>
      <c r="AH9" s="12"/>
      <c r="AI9" s="12"/>
      <c r="AJ9" s="12"/>
      <c r="AK9" s="12"/>
      <c r="AL9" s="12"/>
      <c r="AM9" s="12"/>
      <c r="AN9" s="12"/>
      <c r="AO9" s="12"/>
      <c r="AP9" s="12"/>
      <c r="AQ9" s="12"/>
      <c r="AR9" s="12"/>
      <c r="AS9" s="12"/>
      <c r="AT9" s="12"/>
      <c r="AU9" s="12"/>
      <c r="AV9" s="12"/>
      <c r="AW9" s="12"/>
      <c r="AX9" s="12"/>
      <c r="AY9" s="12"/>
      <c r="AZ9" s="12"/>
      <c r="BA9" s="12"/>
      <c r="BB9" s="12"/>
    </row>
    <row r="10" spans="1:54" x14ac:dyDescent="0.25">
      <c r="A10" s="27">
        <f t="shared" si="1"/>
        <v>4</v>
      </c>
      <c r="B10" s="26" t="s">
        <v>36</v>
      </c>
      <c r="C10" s="70">
        <f>3+10</f>
        <v>13</v>
      </c>
      <c r="D10" s="70"/>
      <c r="E10" s="70"/>
      <c r="F10" s="70"/>
      <c r="G10" s="70"/>
      <c r="H10" s="70"/>
      <c r="I10" s="70"/>
      <c r="J10" s="71"/>
      <c r="K10" s="72"/>
      <c r="L10" s="55"/>
      <c r="M10" s="73"/>
      <c r="N10" s="74"/>
      <c r="O10" s="70">
        <v>1</v>
      </c>
      <c r="P10" s="71"/>
      <c r="Q10" s="71"/>
      <c r="R10" s="72"/>
      <c r="S10" s="55"/>
      <c r="T10" s="58">
        <f t="shared" si="0"/>
        <v>0</v>
      </c>
      <c r="U10" s="58">
        <f t="shared" si="2"/>
        <v>336</v>
      </c>
      <c r="V10" s="58">
        <f t="shared" si="3"/>
        <v>14</v>
      </c>
      <c r="W10" s="50"/>
      <c r="AF10" s="12"/>
      <c r="AG10" s="12"/>
      <c r="AH10" s="12"/>
      <c r="AI10" s="12"/>
      <c r="AJ10" s="12"/>
      <c r="AK10" s="12"/>
      <c r="AL10" s="12"/>
      <c r="AM10" s="12"/>
      <c r="AN10" s="12"/>
      <c r="AO10" s="12"/>
      <c r="AP10" s="12"/>
      <c r="AQ10" s="12"/>
      <c r="AR10" s="12"/>
      <c r="AS10" s="12"/>
      <c r="AT10" s="12"/>
      <c r="AU10" s="12"/>
      <c r="AV10" s="12"/>
      <c r="AW10" s="12"/>
      <c r="AX10" s="12"/>
      <c r="AY10" s="12"/>
      <c r="AZ10" s="12"/>
      <c r="BA10" s="12"/>
      <c r="BB10" s="12"/>
    </row>
    <row r="11" spans="1:54" x14ac:dyDescent="0.25">
      <c r="A11" s="27">
        <f t="shared" si="1"/>
        <v>5</v>
      </c>
      <c r="B11" s="26" t="s">
        <v>34</v>
      </c>
      <c r="C11" s="70"/>
      <c r="D11" s="70"/>
      <c r="E11" s="70"/>
      <c r="F11" s="70"/>
      <c r="G11" s="70"/>
      <c r="H11" s="70"/>
      <c r="I11" s="70"/>
      <c r="J11" s="71"/>
      <c r="K11" s="72">
        <v>2</v>
      </c>
      <c r="L11" s="55"/>
      <c r="M11" s="73"/>
      <c r="N11" s="74"/>
      <c r="O11" s="70"/>
      <c r="P11" s="71"/>
      <c r="Q11" s="71"/>
      <c r="R11" s="72"/>
      <c r="S11" s="55"/>
      <c r="T11" s="58">
        <f t="shared" si="0"/>
        <v>2</v>
      </c>
      <c r="U11" s="58">
        <f t="shared" si="2"/>
        <v>2</v>
      </c>
      <c r="V11" s="58">
        <f t="shared" si="3"/>
        <v>8.3333333333333329E-2</v>
      </c>
      <c r="AF11" s="12"/>
      <c r="AG11" s="12"/>
      <c r="AH11" s="12"/>
      <c r="AI11" s="12"/>
      <c r="AJ11" s="12"/>
      <c r="AK11" s="12"/>
      <c r="AL11" s="12"/>
      <c r="AM11" s="12"/>
      <c r="AN11" s="12"/>
      <c r="AO11" s="12"/>
      <c r="AP11" s="12"/>
      <c r="AQ11" s="12"/>
      <c r="AR11" s="12"/>
      <c r="AS11" s="12"/>
      <c r="AT11" s="12"/>
      <c r="AU11" s="12"/>
      <c r="AV11" s="12"/>
      <c r="AW11" s="12"/>
      <c r="AX11" s="12"/>
      <c r="AY11" s="12"/>
      <c r="AZ11" s="12"/>
      <c r="BA11" s="12"/>
      <c r="BB11" s="12"/>
    </row>
    <row r="12" spans="1:54" s="13" customFormat="1" ht="19.5" thickBot="1" x14ac:dyDescent="0.3">
      <c r="A12" s="27">
        <v>7</v>
      </c>
      <c r="B12" s="42" t="s">
        <v>30</v>
      </c>
      <c r="C12" s="59">
        <f>1224+53+576+41+1080+29</f>
        <v>3003</v>
      </c>
      <c r="D12" s="59"/>
      <c r="E12" s="59"/>
      <c r="F12" s="59"/>
      <c r="G12" s="59"/>
      <c r="H12" s="59"/>
      <c r="I12" s="59"/>
      <c r="J12" s="60"/>
      <c r="K12" s="61"/>
      <c r="L12" s="62"/>
      <c r="M12" s="63">
        <v>31</v>
      </c>
      <c r="N12" s="64">
        <v>10</v>
      </c>
      <c r="O12" s="65">
        <v>15</v>
      </c>
      <c r="P12" s="66">
        <v>17</v>
      </c>
      <c r="Q12" s="66">
        <v>39</v>
      </c>
      <c r="R12" s="67">
        <v>13</v>
      </c>
      <c r="S12" s="62"/>
      <c r="T12" s="69">
        <f t="shared" si="0"/>
        <v>40</v>
      </c>
      <c r="U12" s="69">
        <f>C12*24+M12*24+O12*24+Q12*24+T12</f>
        <v>74152</v>
      </c>
      <c r="V12" s="69">
        <f>U12/24</f>
        <v>3089.6666666666665</v>
      </c>
      <c r="W12" s="9"/>
      <c r="X12" s="9"/>
      <c r="Y12" s="9"/>
      <c r="Z12" s="9"/>
      <c r="AA12" s="9"/>
      <c r="AB12" s="9"/>
      <c r="AC12" s="9"/>
      <c r="AD12" s="9"/>
      <c r="AE12" s="9"/>
      <c r="AF12" s="12"/>
      <c r="AG12" s="12"/>
      <c r="AH12" s="12"/>
      <c r="AI12" s="12"/>
      <c r="AJ12" s="12"/>
      <c r="AK12" s="12"/>
      <c r="AL12" s="12"/>
      <c r="AM12" s="12"/>
      <c r="AN12" s="12"/>
      <c r="AO12" s="12"/>
      <c r="AP12" s="12"/>
      <c r="AQ12" s="12"/>
      <c r="AR12" s="12"/>
      <c r="AS12" s="12"/>
      <c r="AT12" s="12"/>
      <c r="AU12" s="12"/>
      <c r="AV12" s="12"/>
      <c r="AW12" s="12"/>
      <c r="AX12" s="12"/>
      <c r="AY12" s="12"/>
      <c r="AZ12" s="12"/>
      <c r="BA12" s="12"/>
      <c r="BB12" s="12"/>
    </row>
    <row r="13" spans="1:54" x14ac:dyDescent="0.25">
      <c r="A13" s="27">
        <v>11</v>
      </c>
      <c r="B13" s="25" t="s">
        <v>1</v>
      </c>
      <c r="C13" s="70">
        <v>2</v>
      </c>
      <c r="D13" s="70"/>
      <c r="E13" s="70"/>
      <c r="F13" s="70"/>
      <c r="G13" s="70"/>
      <c r="H13" s="70">
        <v>16</v>
      </c>
      <c r="I13" s="70"/>
      <c r="J13" s="71"/>
      <c r="K13" s="72"/>
      <c r="L13" s="55"/>
      <c r="M13" s="73"/>
      <c r="N13" s="74"/>
      <c r="O13" s="70"/>
      <c r="P13" s="71"/>
      <c r="Q13" s="71"/>
      <c r="R13" s="72"/>
      <c r="S13" s="55"/>
      <c r="T13" s="76">
        <f t="shared" si="0"/>
        <v>16</v>
      </c>
      <c r="U13" s="76">
        <f>C13*24+M13*24+O13*24+Q13*24+T13</f>
        <v>64</v>
      </c>
      <c r="V13" s="76">
        <f>U13/24</f>
        <v>2.6666666666666665</v>
      </c>
      <c r="AF13" s="12"/>
      <c r="AG13" s="12"/>
      <c r="AH13" s="12"/>
      <c r="AI13" s="12"/>
      <c r="AJ13" s="12"/>
      <c r="AK13" s="12"/>
      <c r="AL13" s="12"/>
      <c r="AM13" s="12"/>
      <c r="AN13" s="12"/>
      <c r="AO13" s="12"/>
      <c r="AP13" s="12"/>
      <c r="AQ13" s="12"/>
      <c r="AR13" s="12"/>
      <c r="AS13" s="12"/>
      <c r="AT13" s="12"/>
      <c r="AU13" s="12"/>
      <c r="AV13" s="12"/>
      <c r="AW13" s="12"/>
      <c r="AX13" s="12"/>
      <c r="AY13" s="12"/>
      <c r="AZ13" s="12"/>
      <c r="BA13" s="12"/>
      <c r="BB13" s="12"/>
    </row>
    <row r="14" spans="1:54" x14ac:dyDescent="0.25">
      <c r="A14" s="27">
        <f t="shared" si="1"/>
        <v>12</v>
      </c>
      <c r="B14" s="26" t="s">
        <v>2</v>
      </c>
      <c r="C14" s="70">
        <v>2</v>
      </c>
      <c r="D14" s="70"/>
      <c r="E14" s="70"/>
      <c r="F14" s="70"/>
      <c r="G14" s="70"/>
      <c r="H14" s="70"/>
      <c r="I14" s="70"/>
      <c r="J14" s="71"/>
      <c r="K14" s="72"/>
      <c r="L14" s="55"/>
      <c r="M14" s="73"/>
      <c r="N14" s="74"/>
      <c r="O14" s="70"/>
      <c r="P14" s="71"/>
      <c r="Q14" s="71"/>
      <c r="R14" s="72"/>
      <c r="S14" s="55"/>
      <c r="T14" s="58">
        <f t="shared" si="0"/>
        <v>0</v>
      </c>
      <c r="U14" s="75">
        <f t="shared" ref="U14:U36" si="4">C14*24+M14*24+O14*24+Q14*24+T14</f>
        <v>48</v>
      </c>
      <c r="V14" s="75">
        <f t="shared" ref="V14:V36" si="5">U14/24</f>
        <v>2</v>
      </c>
      <c r="AF14" s="12"/>
      <c r="AG14" s="12"/>
      <c r="AH14" s="12"/>
      <c r="AI14" s="12"/>
      <c r="AJ14" s="12"/>
      <c r="AK14" s="12"/>
      <c r="AL14" s="12"/>
      <c r="AM14" s="12"/>
      <c r="AN14" s="12"/>
      <c r="AO14" s="12"/>
      <c r="AP14" s="12"/>
      <c r="AQ14" s="12"/>
      <c r="AR14" s="12"/>
      <c r="AS14" s="12"/>
      <c r="AT14" s="12"/>
      <c r="AU14" s="12"/>
      <c r="AV14" s="12"/>
      <c r="AW14" s="12"/>
      <c r="AX14" s="12"/>
      <c r="AY14" s="12"/>
      <c r="AZ14" s="12"/>
      <c r="BA14" s="12"/>
      <c r="BB14" s="12"/>
    </row>
    <row r="15" spans="1:54" x14ac:dyDescent="0.25">
      <c r="A15" s="27">
        <f t="shared" si="1"/>
        <v>13</v>
      </c>
      <c r="B15" s="26" t="s">
        <v>3</v>
      </c>
      <c r="C15" s="70"/>
      <c r="D15" s="70"/>
      <c r="E15" s="70"/>
      <c r="F15" s="70"/>
      <c r="G15" s="70"/>
      <c r="H15" s="70"/>
      <c r="I15" s="70"/>
      <c r="J15" s="71"/>
      <c r="K15" s="72"/>
      <c r="L15" s="55"/>
      <c r="M15" s="73"/>
      <c r="N15" s="74"/>
      <c r="O15" s="70"/>
      <c r="P15" s="71"/>
      <c r="Q15" s="71"/>
      <c r="R15" s="72"/>
      <c r="S15" s="55"/>
      <c r="T15" s="58">
        <f t="shared" si="0"/>
        <v>0</v>
      </c>
      <c r="U15" s="75">
        <f t="shared" si="4"/>
        <v>0</v>
      </c>
      <c r="V15" s="75">
        <f t="shared" si="5"/>
        <v>0</v>
      </c>
      <c r="AF15" s="12"/>
      <c r="AG15" s="12"/>
      <c r="AH15" s="12"/>
      <c r="AI15" s="12"/>
      <c r="AJ15" s="12"/>
      <c r="AK15" s="12"/>
      <c r="AL15" s="12"/>
      <c r="AM15" s="12"/>
      <c r="AN15" s="12"/>
      <c r="AO15" s="12"/>
      <c r="AP15" s="12"/>
      <c r="AQ15" s="12"/>
      <c r="AR15" s="12"/>
      <c r="AS15" s="12"/>
      <c r="AT15" s="12"/>
      <c r="AU15" s="12"/>
      <c r="AV15" s="12"/>
      <c r="AW15" s="12"/>
      <c r="AX15" s="12"/>
      <c r="AY15" s="12"/>
      <c r="AZ15" s="12"/>
      <c r="BA15" s="12"/>
      <c r="BB15" s="12"/>
    </row>
    <row r="16" spans="1:54" x14ac:dyDescent="0.25">
      <c r="A16" s="27">
        <f t="shared" si="1"/>
        <v>14</v>
      </c>
      <c r="B16" s="26" t="s">
        <v>4</v>
      </c>
      <c r="C16" s="70"/>
      <c r="D16" s="70"/>
      <c r="E16" s="70"/>
      <c r="F16" s="70"/>
      <c r="G16" s="70"/>
      <c r="H16" s="70"/>
      <c r="I16" s="70"/>
      <c r="J16" s="71"/>
      <c r="K16" s="72"/>
      <c r="L16" s="55"/>
      <c r="M16" s="73"/>
      <c r="N16" s="74"/>
      <c r="O16" s="70"/>
      <c r="P16" s="71"/>
      <c r="Q16" s="71"/>
      <c r="R16" s="72"/>
      <c r="S16" s="55"/>
      <c r="T16" s="58">
        <f t="shared" si="0"/>
        <v>0</v>
      </c>
      <c r="U16" s="75">
        <f t="shared" si="4"/>
        <v>0</v>
      </c>
      <c r="V16" s="75">
        <f t="shared" si="5"/>
        <v>0</v>
      </c>
      <c r="AF16" s="12"/>
      <c r="AG16" s="12"/>
      <c r="AH16" s="12"/>
      <c r="AI16" s="12"/>
      <c r="AJ16" s="12"/>
      <c r="AK16" s="12"/>
      <c r="AL16" s="12"/>
      <c r="AM16" s="12"/>
      <c r="AN16" s="12"/>
      <c r="AO16" s="12"/>
      <c r="AP16" s="12"/>
      <c r="AQ16" s="12"/>
      <c r="AR16" s="12"/>
      <c r="AS16" s="12"/>
      <c r="AT16" s="12"/>
      <c r="AU16" s="12"/>
      <c r="AV16" s="12"/>
      <c r="AW16" s="12"/>
      <c r="AX16" s="12"/>
      <c r="AY16" s="12"/>
      <c r="AZ16" s="12"/>
      <c r="BA16" s="12"/>
      <c r="BB16" s="12"/>
    </row>
    <row r="17" spans="1:54" x14ac:dyDescent="0.25">
      <c r="A17" s="27">
        <f t="shared" si="1"/>
        <v>15</v>
      </c>
      <c r="B17" s="26" t="s">
        <v>5</v>
      </c>
      <c r="C17" s="70"/>
      <c r="D17" s="70"/>
      <c r="E17" s="70"/>
      <c r="F17" s="70"/>
      <c r="G17" s="70"/>
      <c r="H17" s="70">
        <f>3*24</f>
        <v>72</v>
      </c>
      <c r="I17" s="70"/>
      <c r="J17" s="71"/>
      <c r="K17" s="72"/>
      <c r="L17" s="55"/>
      <c r="M17" s="73"/>
      <c r="N17" s="74"/>
      <c r="O17" s="70"/>
      <c r="P17" s="71"/>
      <c r="Q17" s="71"/>
      <c r="R17" s="72"/>
      <c r="S17" s="55"/>
      <c r="T17" s="58">
        <f t="shared" si="0"/>
        <v>72</v>
      </c>
      <c r="U17" s="75">
        <f t="shared" si="4"/>
        <v>72</v>
      </c>
      <c r="V17" s="75">
        <f t="shared" si="5"/>
        <v>3</v>
      </c>
      <c r="AF17" s="12"/>
      <c r="AG17" s="12"/>
      <c r="AH17" s="12"/>
      <c r="AI17" s="12"/>
      <c r="AJ17" s="12"/>
      <c r="AK17" s="12"/>
      <c r="AL17" s="12"/>
      <c r="AM17" s="12"/>
      <c r="AN17" s="12"/>
      <c r="AO17" s="12"/>
      <c r="AP17" s="12"/>
      <c r="AQ17" s="12"/>
      <c r="AR17" s="12"/>
      <c r="AS17" s="12"/>
      <c r="AT17" s="12"/>
      <c r="AU17" s="12"/>
      <c r="AV17" s="12"/>
      <c r="AW17" s="12"/>
      <c r="AX17" s="12"/>
      <c r="AY17" s="12"/>
      <c r="AZ17" s="12"/>
      <c r="BA17" s="12"/>
      <c r="BB17" s="12"/>
    </row>
    <row r="18" spans="1:54" hidden="1" x14ac:dyDescent="0.25">
      <c r="A18" s="27">
        <f t="shared" si="1"/>
        <v>16</v>
      </c>
      <c r="B18" s="26" t="s">
        <v>9</v>
      </c>
      <c r="C18" s="70"/>
      <c r="D18" s="70"/>
      <c r="E18" s="70"/>
      <c r="F18" s="70"/>
      <c r="G18" s="70"/>
      <c r="H18" s="70"/>
      <c r="I18" s="70"/>
      <c r="J18" s="71"/>
      <c r="K18" s="72"/>
      <c r="L18" s="55"/>
      <c r="M18" s="73"/>
      <c r="N18" s="74"/>
      <c r="O18" s="70"/>
      <c r="P18" s="71"/>
      <c r="Q18" s="71"/>
      <c r="R18" s="72"/>
      <c r="S18" s="55"/>
      <c r="T18" s="58">
        <f t="shared" si="0"/>
        <v>0</v>
      </c>
      <c r="U18" s="75">
        <f t="shared" si="4"/>
        <v>0</v>
      </c>
      <c r="V18" s="75">
        <f t="shared" si="5"/>
        <v>0</v>
      </c>
      <c r="AF18" s="12"/>
      <c r="AG18" s="12"/>
      <c r="AH18" s="12"/>
      <c r="AI18" s="12"/>
      <c r="AJ18" s="12"/>
      <c r="AK18" s="12"/>
      <c r="AL18" s="12"/>
      <c r="AM18" s="12"/>
      <c r="AN18" s="12"/>
      <c r="AO18" s="12"/>
      <c r="AP18" s="12"/>
      <c r="AQ18" s="12"/>
      <c r="AR18" s="12"/>
      <c r="AS18" s="12"/>
      <c r="AT18" s="12"/>
      <c r="AU18" s="12"/>
      <c r="AV18" s="12"/>
      <c r="AW18" s="12"/>
      <c r="AX18" s="12"/>
      <c r="AY18" s="12"/>
      <c r="AZ18" s="12"/>
      <c r="BA18" s="12"/>
      <c r="BB18" s="12"/>
    </row>
    <row r="19" spans="1:54" x14ac:dyDescent="0.25">
      <c r="A19" s="27">
        <v>16</v>
      </c>
      <c r="B19" s="26" t="s">
        <v>53</v>
      </c>
      <c r="C19" s="70">
        <v>1</v>
      </c>
      <c r="D19" s="70"/>
      <c r="E19" s="70"/>
      <c r="F19" s="70"/>
      <c r="G19" s="70"/>
      <c r="H19" s="70">
        <f>20+24</f>
        <v>44</v>
      </c>
      <c r="I19" s="70"/>
      <c r="J19" s="71"/>
      <c r="K19" s="72"/>
      <c r="L19" s="55"/>
      <c r="M19" s="73"/>
      <c r="N19" s="74"/>
      <c r="O19" s="70"/>
      <c r="P19" s="71"/>
      <c r="Q19" s="71"/>
      <c r="R19" s="72"/>
      <c r="S19" s="55"/>
      <c r="T19" s="58">
        <f t="shared" si="0"/>
        <v>44</v>
      </c>
      <c r="U19" s="75">
        <f t="shared" si="4"/>
        <v>68</v>
      </c>
      <c r="V19" s="75">
        <f t="shared" si="5"/>
        <v>2.8333333333333335</v>
      </c>
      <c r="AF19" s="12"/>
      <c r="AG19" s="12"/>
      <c r="AH19" s="12"/>
      <c r="AI19" s="12"/>
      <c r="AJ19" s="12"/>
      <c r="AK19" s="12"/>
      <c r="AL19" s="12"/>
      <c r="AM19" s="12"/>
      <c r="AN19" s="12"/>
      <c r="AO19" s="12"/>
      <c r="AP19" s="12"/>
      <c r="AQ19" s="12"/>
      <c r="AR19" s="12"/>
      <c r="AS19" s="12"/>
      <c r="AT19" s="12"/>
      <c r="AU19" s="12"/>
      <c r="AV19" s="12"/>
      <c r="AW19" s="12"/>
      <c r="AX19" s="12"/>
      <c r="AY19" s="12"/>
      <c r="AZ19" s="12"/>
      <c r="BA19" s="12"/>
      <c r="BB19" s="12"/>
    </row>
    <row r="20" spans="1:54" x14ac:dyDescent="0.25">
      <c r="A20" s="27">
        <f t="shared" si="1"/>
        <v>17</v>
      </c>
      <c r="B20" s="26" t="s">
        <v>6</v>
      </c>
      <c r="C20" s="70">
        <v>5</v>
      </c>
      <c r="D20" s="70"/>
      <c r="E20" s="70"/>
      <c r="F20" s="70"/>
      <c r="G20" s="70"/>
      <c r="H20" s="70"/>
      <c r="I20" s="70"/>
      <c r="J20" s="71"/>
      <c r="K20" s="72"/>
      <c r="L20" s="55"/>
      <c r="M20" s="73"/>
      <c r="N20" s="74"/>
      <c r="O20" s="70"/>
      <c r="P20" s="71"/>
      <c r="Q20" s="71"/>
      <c r="R20" s="72"/>
      <c r="S20" s="55"/>
      <c r="T20" s="58">
        <f t="shared" si="0"/>
        <v>0</v>
      </c>
      <c r="U20" s="75">
        <f t="shared" si="4"/>
        <v>120</v>
      </c>
      <c r="V20" s="75">
        <f t="shared" si="5"/>
        <v>5</v>
      </c>
      <c r="AF20" s="12"/>
      <c r="AG20" s="12"/>
      <c r="AH20" s="12"/>
      <c r="AI20" s="12"/>
      <c r="AJ20" s="12"/>
      <c r="AK20" s="12"/>
      <c r="AL20" s="12"/>
      <c r="AM20" s="12"/>
      <c r="AN20" s="12"/>
      <c r="AO20" s="12"/>
      <c r="AP20" s="12"/>
      <c r="AQ20" s="12"/>
      <c r="AR20" s="12"/>
      <c r="AS20" s="12"/>
      <c r="AT20" s="12"/>
      <c r="AU20" s="12"/>
      <c r="AV20" s="12"/>
      <c r="AW20" s="12"/>
      <c r="AX20" s="12"/>
      <c r="AY20" s="12"/>
      <c r="AZ20" s="12"/>
      <c r="BA20" s="12"/>
      <c r="BB20" s="12"/>
    </row>
    <row r="21" spans="1:54" x14ac:dyDescent="0.25">
      <c r="A21" s="27">
        <f t="shared" si="1"/>
        <v>18</v>
      </c>
      <c r="B21" s="26" t="s">
        <v>7</v>
      </c>
      <c r="C21" s="70"/>
      <c r="D21" s="70"/>
      <c r="E21" s="70"/>
      <c r="F21" s="70"/>
      <c r="G21" s="70"/>
      <c r="H21" s="70">
        <f>2*24</f>
        <v>48</v>
      </c>
      <c r="I21" s="70"/>
      <c r="J21" s="71"/>
      <c r="K21" s="72"/>
      <c r="L21" s="55"/>
      <c r="M21" s="73"/>
      <c r="N21" s="74"/>
      <c r="O21" s="70"/>
      <c r="P21" s="71"/>
      <c r="Q21" s="71"/>
      <c r="R21" s="72"/>
      <c r="S21" s="55"/>
      <c r="T21" s="58">
        <f t="shared" si="0"/>
        <v>48</v>
      </c>
      <c r="U21" s="75">
        <f t="shared" si="4"/>
        <v>48</v>
      </c>
      <c r="V21" s="75">
        <f t="shared" si="5"/>
        <v>2</v>
      </c>
      <c r="AF21" s="12"/>
      <c r="AG21" s="12"/>
      <c r="AH21" s="12"/>
      <c r="AI21" s="12"/>
      <c r="AJ21" s="12"/>
      <c r="AK21" s="12"/>
      <c r="AL21" s="12"/>
      <c r="AM21" s="12"/>
      <c r="AN21" s="12"/>
      <c r="AO21" s="12"/>
      <c r="AP21" s="12"/>
      <c r="AQ21" s="12"/>
      <c r="AR21" s="12"/>
      <c r="AS21" s="12"/>
      <c r="AT21" s="12"/>
      <c r="AU21" s="12"/>
      <c r="AV21" s="12"/>
      <c r="AW21" s="12"/>
      <c r="AX21" s="12"/>
      <c r="AY21" s="12"/>
      <c r="AZ21" s="12"/>
      <c r="BA21" s="12"/>
      <c r="BB21" s="12"/>
    </row>
    <row r="22" spans="1:54" s="13" customFormat="1" x14ac:dyDescent="0.25">
      <c r="A22" s="27">
        <f t="shared" si="1"/>
        <v>19</v>
      </c>
      <c r="B22" s="26" t="s">
        <v>54</v>
      </c>
      <c r="C22" s="70">
        <v>1</v>
      </c>
      <c r="D22" s="70"/>
      <c r="E22" s="70"/>
      <c r="F22" s="70"/>
      <c r="G22" s="70"/>
      <c r="H22" s="70"/>
      <c r="I22" s="70">
        <v>20</v>
      </c>
      <c r="J22" s="71"/>
      <c r="K22" s="72"/>
      <c r="L22" s="55"/>
      <c r="M22" s="73"/>
      <c r="N22" s="74"/>
      <c r="O22" s="70"/>
      <c r="P22" s="71"/>
      <c r="Q22" s="71"/>
      <c r="R22" s="72"/>
      <c r="S22" s="55"/>
      <c r="T22" s="58">
        <f t="shared" si="0"/>
        <v>20</v>
      </c>
      <c r="U22" s="75">
        <f t="shared" si="4"/>
        <v>44</v>
      </c>
      <c r="V22" s="75">
        <f t="shared" si="5"/>
        <v>1.8333333333333333</v>
      </c>
      <c r="W22" s="9"/>
      <c r="X22" s="9"/>
      <c r="Y22" s="9"/>
      <c r="Z22" s="9"/>
      <c r="AA22" s="9"/>
      <c r="AB22" s="9"/>
      <c r="AC22" s="9"/>
      <c r="AD22" s="9"/>
      <c r="AE22" s="9"/>
      <c r="AF22" s="12"/>
      <c r="AG22" s="12"/>
      <c r="AH22" s="12"/>
      <c r="AI22" s="12"/>
      <c r="AJ22" s="12"/>
      <c r="AK22" s="12"/>
      <c r="AL22" s="12"/>
      <c r="AM22" s="12"/>
      <c r="AN22" s="12"/>
      <c r="AO22" s="12"/>
      <c r="AP22" s="12"/>
      <c r="AQ22" s="12"/>
      <c r="AR22" s="12"/>
      <c r="AS22" s="12"/>
      <c r="AT22" s="12"/>
      <c r="AU22" s="12"/>
      <c r="AV22" s="12"/>
      <c r="AW22" s="12"/>
      <c r="AX22" s="12"/>
      <c r="AY22" s="12"/>
      <c r="AZ22" s="12"/>
      <c r="BA22" s="12"/>
      <c r="BB22" s="12"/>
    </row>
    <row r="23" spans="1:54" s="13" customFormat="1" x14ac:dyDescent="0.25">
      <c r="A23" s="27">
        <f t="shared" si="1"/>
        <v>20</v>
      </c>
      <c r="B23" s="26" t="s">
        <v>55</v>
      </c>
      <c r="C23" s="70"/>
      <c r="D23" s="70"/>
      <c r="E23" s="70"/>
      <c r="F23" s="70"/>
      <c r="G23" s="70"/>
      <c r="H23" s="70">
        <f>37*24+19</f>
        <v>907</v>
      </c>
      <c r="I23" s="70"/>
      <c r="J23" s="71"/>
      <c r="K23" s="72"/>
      <c r="L23" s="55"/>
      <c r="M23" s="73"/>
      <c r="N23" s="74"/>
      <c r="O23" s="70"/>
      <c r="P23" s="71"/>
      <c r="Q23" s="71"/>
      <c r="R23" s="72"/>
      <c r="S23" s="55"/>
      <c r="T23" s="58">
        <f t="shared" si="0"/>
        <v>907</v>
      </c>
      <c r="U23" s="75">
        <f t="shared" si="4"/>
        <v>907</v>
      </c>
      <c r="V23" s="75">
        <f t="shared" si="5"/>
        <v>37.791666666666664</v>
      </c>
      <c r="W23" s="9"/>
      <c r="X23" s="9"/>
      <c r="Y23" s="9"/>
      <c r="Z23" s="9"/>
      <c r="AA23" s="9"/>
      <c r="AB23" s="9"/>
      <c r="AC23" s="9"/>
      <c r="AD23" s="9"/>
      <c r="AE23" s="9"/>
      <c r="AF23" s="12"/>
      <c r="AG23" s="12"/>
      <c r="AH23" s="12"/>
      <c r="AI23" s="12"/>
      <c r="AJ23" s="12"/>
      <c r="AK23" s="12"/>
      <c r="AL23" s="12"/>
      <c r="AM23" s="12"/>
      <c r="AN23" s="12"/>
      <c r="AO23" s="12"/>
      <c r="AP23" s="12"/>
      <c r="AQ23" s="12"/>
      <c r="AR23" s="12"/>
      <c r="AS23" s="12"/>
      <c r="AT23" s="12"/>
      <c r="AU23" s="12"/>
      <c r="AV23" s="12"/>
      <c r="AW23" s="12"/>
      <c r="AX23" s="12"/>
      <c r="AY23" s="12"/>
      <c r="AZ23" s="12"/>
      <c r="BA23" s="12"/>
      <c r="BB23" s="12"/>
    </row>
    <row r="24" spans="1:54" x14ac:dyDescent="0.25">
      <c r="A24" s="27">
        <f t="shared" si="1"/>
        <v>21</v>
      </c>
      <c r="B24" s="26" t="s">
        <v>56</v>
      </c>
      <c r="C24" s="70">
        <v>2</v>
      </c>
      <c r="D24" s="70"/>
      <c r="E24" s="70"/>
      <c r="F24" s="70"/>
      <c r="G24" s="70"/>
      <c r="H24" s="70">
        <f>3*24</f>
        <v>72</v>
      </c>
      <c r="I24" s="70"/>
      <c r="J24" s="71"/>
      <c r="K24" s="72"/>
      <c r="L24" s="55"/>
      <c r="M24" s="73"/>
      <c r="N24" s="74"/>
      <c r="O24" s="70"/>
      <c r="P24" s="71"/>
      <c r="Q24" s="71"/>
      <c r="R24" s="72"/>
      <c r="S24" s="55"/>
      <c r="T24" s="58">
        <f t="shared" si="0"/>
        <v>72</v>
      </c>
      <c r="U24" s="75">
        <f t="shared" si="4"/>
        <v>120</v>
      </c>
      <c r="V24" s="75">
        <f t="shared" si="5"/>
        <v>5</v>
      </c>
      <c r="AF24" s="12"/>
      <c r="AG24" s="12"/>
      <c r="AH24" s="12"/>
      <c r="AI24" s="12"/>
      <c r="AJ24" s="12"/>
      <c r="AK24" s="12"/>
      <c r="AL24" s="12"/>
      <c r="AM24" s="12"/>
      <c r="AN24" s="12"/>
      <c r="AO24" s="12"/>
      <c r="AP24" s="12"/>
      <c r="AQ24" s="12"/>
      <c r="AR24" s="12"/>
      <c r="AS24" s="12"/>
      <c r="AT24" s="12"/>
      <c r="AU24" s="12"/>
      <c r="AV24" s="12"/>
      <c r="AW24" s="12"/>
      <c r="AX24" s="12"/>
      <c r="AY24" s="12"/>
      <c r="AZ24" s="12"/>
      <c r="BA24" s="12"/>
      <c r="BB24" s="12"/>
    </row>
    <row r="25" spans="1:54" x14ac:dyDescent="0.25">
      <c r="A25" s="27">
        <f t="shared" si="1"/>
        <v>22</v>
      </c>
      <c r="B25" s="26" t="s">
        <v>8</v>
      </c>
      <c r="C25" s="70">
        <f>9+126</f>
        <v>135</v>
      </c>
      <c r="D25" s="70"/>
      <c r="E25" s="70"/>
      <c r="F25" s="70"/>
      <c r="G25" s="70"/>
      <c r="H25" s="70"/>
      <c r="I25" s="70"/>
      <c r="J25" s="71">
        <v>1</v>
      </c>
      <c r="K25" s="72"/>
      <c r="L25" s="55"/>
      <c r="M25" s="73"/>
      <c r="N25" s="74"/>
      <c r="O25" s="70">
        <v>1</v>
      </c>
      <c r="P25" s="71"/>
      <c r="Q25" s="71">
        <v>16</v>
      </c>
      <c r="R25" s="72"/>
      <c r="S25" s="55"/>
      <c r="T25" s="58">
        <f t="shared" si="0"/>
        <v>1</v>
      </c>
      <c r="U25" s="75">
        <f t="shared" si="4"/>
        <v>3649</v>
      </c>
      <c r="V25" s="75">
        <f t="shared" si="5"/>
        <v>152.04166666666666</v>
      </c>
      <c r="AY25" s="14" t="e">
        <f>#REF!-AY24</f>
        <v>#REF!</v>
      </c>
    </row>
    <row r="26" spans="1:54" s="13" customFormat="1" x14ac:dyDescent="0.25">
      <c r="A26" s="27">
        <f t="shared" si="1"/>
        <v>23</v>
      </c>
      <c r="B26" s="26" t="s">
        <v>10</v>
      </c>
      <c r="C26" s="70"/>
      <c r="D26" s="70"/>
      <c r="E26" s="70"/>
      <c r="F26" s="70"/>
      <c r="G26" s="70"/>
      <c r="H26" s="70"/>
      <c r="I26" s="70"/>
      <c r="J26" s="71"/>
      <c r="K26" s="72"/>
      <c r="L26" s="55"/>
      <c r="M26" s="73"/>
      <c r="N26" s="74"/>
      <c r="O26" s="70"/>
      <c r="P26" s="71"/>
      <c r="Q26" s="71"/>
      <c r="R26" s="72"/>
      <c r="S26" s="55"/>
      <c r="T26" s="58">
        <f t="shared" si="0"/>
        <v>0</v>
      </c>
      <c r="U26" s="75">
        <f t="shared" si="4"/>
        <v>0</v>
      </c>
      <c r="V26" s="75">
        <f t="shared" si="5"/>
        <v>0</v>
      </c>
      <c r="W26" s="9"/>
      <c r="X26" s="9"/>
      <c r="Y26" s="9"/>
      <c r="Z26" s="9"/>
      <c r="AA26" s="9"/>
      <c r="AB26" s="9"/>
      <c r="AC26" s="9"/>
      <c r="AD26" s="9"/>
      <c r="AE26" s="9"/>
    </row>
    <row r="27" spans="1:54" s="13" customFormat="1" x14ac:dyDescent="0.25">
      <c r="A27" s="27">
        <f t="shared" si="1"/>
        <v>24</v>
      </c>
      <c r="B27" s="26" t="s">
        <v>69</v>
      </c>
      <c r="C27" s="70">
        <v>1</v>
      </c>
      <c r="D27" s="70"/>
      <c r="E27" s="70"/>
      <c r="F27" s="70"/>
      <c r="G27" s="70"/>
      <c r="H27" s="70"/>
      <c r="I27" s="70"/>
      <c r="J27" s="71"/>
      <c r="K27" s="72"/>
      <c r="L27" s="55"/>
      <c r="M27" s="73"/>
      <c r="N27" s="74"/>
      <c r="O27" s="70"/>
      <c r="P27" s="71"/>
      <c r="Q27" s="71"/>
      <c r="R27" s="72"/>
      <c r="S27" s="55"/>
      <c r="T27" s="58">
        <f t="shared" si="0"/>
        <v>0</v>
      </c>
      <c r="U27" s="75">
        <f t="shared" si="4"/>
        <v>24</v>
      </c>
      <c r="V27" s="75">
        <f t="shared" si="5"/>
        <v>1</v>
      </c>
      <c r="W27" s="9"/>
      <c r="X27" s="9"/>
      <c r="Y27" s="9"/>
      <c r="Z27" s="9"/>
      <c r="AA27" s="9"/>
      <c r="AB27" s="9"/>
      <c r="AC27" s="9"/>
      <c r="AD27" s="9"/>
      <c r="AE27" s="9"/>
    </row>
    <row r="28" spans="1:54" s="13" customFormat="1" x14ac:dyDescent="0.25">
      <c r="A28" s="27">
        <f t="shared" si="1"/>
        <v>25</v>
      </c>
      <c r="B28" s="26" t="s">
        <v>11</v>
      </c>
      <c r="C28" s="70">
        <f>1+252+46</f>
        <v>299</v>
      </c>
      <c r="D28" s="70"/>
      <c r="E28" s="70"/>
      <c r="F28" s="70"/>
      <c r="G28" s="70"/>
      <c r="H28" s="70"/>
      <c r="I28" s="70"/>
      <c r="J28" s="71"/>
      <c r="K28" s="72"/>
      <c r="L28" s="55"/>
      <c r="M28" s="73"/>
      <c r="N28" s="74"/>
      <c r="O28" s="70"/>
      <c r="P28" s="71"/>
      <c r="Q28" s="71">
        <v>17</v>
      </c>
      <c r="R28" s="72"/>
      <c r="S28" s="55"/>
      <c r="T28" s="58">
        <f t="shared" si="0"/>
        <v>0</v>
      </c>
      <c r="U28" s="75">
        <f t="shared" si="4"/>
        <v>7584</v>
      </c>
      <c r="V28" s="75">
        <f t="shared" si="5"/>
        <v>316</v>
      </c>
      <c r="W28" s="9"/>
      <c r="X28" s="9"/>
      <c r="Y28" s="9"/>
      <c r="Z28" s="9"/>
      <c r="AA28" s="9"/>
      <c r="AB28" s="9"/>
      <c r="AC28" s="9"/>
      <c r="AD28" s="9"/>
      <c r="AE28" s="9"/>
    </row>
    <row r="29" spans="1:54" x14ac:dyDescent="0.25">
      <c r="A29" s="27">
        <f t="shared" si="1"/>
        <v>26</v>
      </c>
      <c r="B29" s="26" t="s">
        <v>13</v>
      </c>
      <c r="C29" s="70"/>
      <c r="D29" s="70"/>
      <c r="E29" s="70"/>
      <c r="F29" s="70"/>
      <c r="G29" s="70"/>
      <c r="H29" s="70"/>
      <c r="I29" s="70"/>
      <c r="J29" s="71">
        <v>5</v>
      </c>
      <c r="K29" s="72"/>
      <c r="L29" s="55"/>
      <c r="M29" s="73"/>
      <c r="N29" s="74"/>
      <c r="O29" s="70"/>
      <c r="P29" s="71"/>
      <c r="Q29" s="71"/>
      <c r="R29" s="72"/>
      <c r="S29" s="55"/>
      <c r="T29" s="58">
        <f t="shared" si="0"/>
        <v>5</v>
      </c>
      <c r="U29" s="75">
        <f t="shared" si="4"/>
        <v>5</v>
      </c>
      <c r="V29" s="75">
        <f t="shared" si="5"/>
        <v>0.20833333333333334</v>
      </c>
    </row>
    <row r="30" spans="1:54" x14ac:dyDescent="0.25">
      <c r="A30" s="27">
        <f t="shared" si="1"/>
        <v>27</v>
      </c>
      <c r="B30" s="26" t="s">
        <v>15</v>
      </c>
      <c r="C30" s="70"/>
      <c r="D30" s="70"/>
      <c r="E30" s="70"/>
      <c r="F30" s="70"/>
      <c r="G30" s="70"/>
      <c r="H30" s="70"/>
      <c r="I30" s="70"/>
      <c r="J30" s="71"/>
      <c r="K30" s="72"/>
      <c r="L30" s="55"/>
      <c r="M30" s="73"/>
      <c r="N30" s="74"/>
      <c r="O30" s="70"/>
      <c r="P30" s="71"/>
      <c r="Q30" s="71">
        <v>1</v>
      </c>
      <c r="R30" s="72"/>
      <c r="S30" s="55"/>
      <c r="T30" s="58">
        <f t="shared" si="0"/>
        <v>0</v>
      </c>
      <c r="U30" s="75">
        <f t="shared" si="4"/>
        <v>24</v>
      </c>
      <c r="V30" s="75">
        <f t="shared" si="5"/>
        <v>1</v>
      </c>
    </row>
    <row r="31" spans="1:54" x14ac:dyDescent="0.25">
      <c r="A31" s="27">
        <f t="shared" si="1"/>
        <v>28</v>
      </c>
      <c r="B31" s="26" t="s">
        <v>12</v>
      </c>
      <c r="C31" s="70"/>
      <c r="D31" s="70"/>
      <c r="E31" s="70"/>
      <c r="F31" s="70"/>
      <c r="G31" s="70"/>
      <c r="H31" s="70"/>
      <c r="I31" s="70"/>
      <c r="J31" s="71"/>
      <c r="K31" s="72"/>
      <c r="L31" s="55"/>
      <c r="M31" s="73"/>
      <c r="N31" s="74"/>
      <c r="O31" s="70"/>
      <c r="P31" s="71"/>
      <c r="Q31" s="71"/>
      <c r="R31" s="72"/>
      <c r="S31" s="55"/>
      <c r="T31" s="58">
        <f t="shared" si="0"/>
        <v>0</v>
      </c>
      <c r="U31" s="75">
        <f t="shared" si="4"/>
        <v>0</v>
      </c>
      <c r="V31" s="75">
        <f t="shared" si="5"/>
        <v>0</v>
      </c>
    </row>
    <row r="32" spans="1:54" x14ac:dyDescent="0.25">
      <c r="A32" s="27">
        <f t="shared" si="1"/>
        <v>29</v>
      </c>
      <c r="B32" s="26" t="s">
        <v>14</v>
      </c>
      <c r="C32" s="70"/>
      <c r="D32" s="70"/>
      <c r="E32" s="70"/>
      <c r="F32" s="70"/>
      <c r="G32" s="70"/>
      <c r="H32" s="70"/>
      <c r="I32" s="70"/>
      <c r="J32" s="71"/>
      <c r="K32" s="72"/>
      <c r="L32" s="55"/>
      <c r="M32" s="73"/>
      <c r="N32" s="74"/>
      <c r="O32" s="70"/>
      <c r="P32" s="71"/>
      <c r="Q32" s="71"/>
      <c r="R32" s="72"/>
      <c r="S32" s="55"/>
      <c r="T32" s="58">
        <f t="shared" si="0"/>
        <v>0</v>
      </c>
      <c r="U32" s="75">
        <f t="shared" si="4"/>
        <v>0</v>
      </c>
      <c r="V32" s="75">
        <f t="shared" si="5"/>
        <v>0</v>
      </c>
    </row>
    <row r="33" spans="1:23" x14ac:dyDescent="0.25">
      <c r="A33" s="27">
        <f t="shared" si="1"/>
        <v>30</v>
      </c>
      <c r="B33" s="26" t="s">
        <v>16</v>
      </c>
      <c r="C33" s="70"/>
      <c r="D33" s="70"/>
      <c r="E33" s="70"/>
      <c r="F33" s="70"/>
      <c r="G33" s="70"/>
      <c r="H33" s="70"/>
      <c r="I33" s="70"/>
      <c r="J33" s="71"/>
      <c r="K33" s="72"/>
      <c r="L33" s="55"/>
      <c r="M33" s="73"/>
      <c r="N33" s="74"/>
      <c r="O33" s="70"/>
      <c r="P33" s="71"/>
      <c r="Q33" s="71"/>
      <c r="R33" s="72"/>
      <c r="S33" s="55"/>
      <c r="T33" s="58">
        <f t="shared" si="0"/>
        <v>0</v>
      </c>
      <c r="U33" s="75">
        <f t="shared" si="4"/>
        <v>0</v>
      </c>
      <c r="V33" s="75">
        <f t="shared" si="5"/>
        <v>0</v>
      </c>
    </row>
    <row r="34" spans="1:23" x14ac:dyDescent="0.25">
      <c r="A34" s="27">
        <f t="shared" si="1"/>
        <v>31</v>
      </c>
      <c r="B34" s="26" t="s">
        <v>17</v>
      </c>
      <c r="C34" s="70">
        <f>72+58</f>
        <v>130</v>
      </c>
      <c r="D34" s="70"/>
      <c r="E34" s="70"/>
      <c r="F34" s="70"/>
      <c r="G34" s="70"/>
      <c r="H34" s="70"/>
      <c r="I34" s="70">
        <v>1</v>
      </c>
      <c r="J34" s="71"/>
      <c r="K34" s="72">
        <v>1</v>
      </c>
      <c r="L34" s="55"/>
      <c r="M34" s="73"/>
      <c r="N34" s="74"/>
      <c r="O34" s="70"/>
      <c r="P34" s="71"/>
      <c r="Q34" s="71">
        <v>10</v>
      </c>
      <c r="R34" s="72"/>
      <c r="S34" s="55"/>
      <c r="T34" s="58">
        <f t="shared" si="0"/>
        <v>2</v>
      </c>
      <c r="U34" s="75">
        <f t="shared" si="4"/>
        <v>3362</v>
      </c>
      <c r="V34" s="75">
        <f t="shared" si="5"/>
        <v>140.08333333333334</v>
      </c>
    </row>
    <row r="35" spans="1:23" hidden="1" x14ac:dyDescent="0.25">
      <c r="A35" s="27">
        <f t="shared" si="1"/>
        <v>32</v>
      </c>
      <c r="B35" s="26" t="s">
        <v>25</v>
      </c>
      <c r="C35" s="70"/>
      <c r="D35" s="70"/>
      <c r="E35" s="70"/>
      <c r="F35" s="70"/>
      <c r="G35" s="70"/>
      <c r="H35" s="70"/>
      <c r="I35" s="70"/>
      <c r="J35" s="71"/>
      <c r="K35" s="72"/>
      <c r="L35" s="55"/>
      <c r="M35" s="73"/>
      <c r="N35" s="74"/>
      <c r="O35" s="70"/>
      <c r="P35" s="71"/>
      <c r="Q35" s="71"/>
      <c r="R35" s="72"/>
      <c r="S35" s="55"/>
      <c r="T35" s="58">
        <f t="shared" si="0"/>
        <v>0</v>
      </c>
      <c r="U35" s="75">
        <f t="shared" si="4"/>
        <v>0</v>
      </c>
      <c r="V35" s="75">
        <f t="shared" si="5"/>
        <v>0</v>
      </c>
    </row>
    <row r="36" spans="1:23" x14ac:dyDescent="0.25">
      <c r="A36" s="27">
        <f t="shared" si="1"/>
        <v>33</v>
      </c>
      <c r="B36" s="26" t="s">
        <v>18</v>
      </c>
      <c r="C36" s="70"/>
      <c r="D36" s="70"/>
      <c r="E36" s="70"/>
      <c r="F36" s="70"/>
      <c r="G36" s="70"/>
      <c r="H36" s="70"/>
      <c r="I36" s="70"/>
      <c r="J36" s="71"/>
      <c r="K36" s="72"/>
      <c r="L36" s="55"/>
      <c r="M36" s="73"/>
      <c r="N36" s="74"/>
      <c r="O36" s="70"/>
      <c r="P36" s="71"/>
      <c r="Q36" s="71"/>
      <c r="R36" s="72"/>
      <c r="S36" s="55"/>
      <c r="T36" s="58">
        <f t="shared" si="0"/>
        <v>0</v>
      </c>
      <c r="U36" s="75">
        <f t="shared" si="4"/>
        <v>0</v>
      </c>
      <c r="V36" s="75">
        <f t="shared" si="5"/>
        <v>0</v>
      </c>
    </row>
    <row r="37" spans="1:23" ht="19.5" thickBot="1" x14ac:dyDescent="0.3">
      <c r="A37" s="27">
        <f t="shared" si="1"/>
        <v>34</v>
      </c>
      <c r="B37" s="42" t="s">
        <v>19</v>
      </c>
      <c r="C37" s="59">
        <f>864+1944+89</f>
        <v>2897</v>
      </c>
      <c r="D37" s="59"/>
      <c r="E37" s="59"/>
      <c r="F37" s="59"/>
      <c r="G37" s="59"/>
      <c r="H37" s="59">
        <v>3</v>
      </c>
      <c r="I37" s="59">
        <v>2</v>
      </c>
      <c r="J37" s="60"/>
      <c r="K37" s="61">
        <f>2*6+2</f>
        <v>14</v>
      </c>
      <c r="L37" s="62"/>
      <c r="M37" s="63">
        <v>19</v>
      </c>
      <c r="N37" s="64"/>
      <c r="O37" s="65">
        <v>136</v>
      </c>
      <c r="P37" s="66"/>
      <c r="Q37" s="66">
        <v>38</v>
      </c>
      <c r="R37" s="67"/>
      <c r="S37" s="62"/>
      <c r="T37" s="77">
        <f t="shared" si="0"/>
        <v>19</v>
      </c>
      <c r="U37" s="77">
        <f>C37*6+M37*6+O37*6+Q37*6+T37</f>
        <v>18559</v>
      </c>
      <c r="V37" s="77">
        <f>U37/6</f>
        <v>3093.1666666666665</v>
      </c>
      <c r="W37" s="50"/>
    </row>
    <row r="38" spans="1:23" x14ac:dyDescent="0.25">
      <c r="A38" s="27">
        <f t="shared" si="1"/>
        <v>35</v>
      </c>
      <c r="B38" s="25" t="s">
        <v>20</v>
      </c>
      <c r="C38" s="70"/>
      <c r="D38" s="70"/>
      <c r="E38" s="70"/>
      <c r="F38" s="70"/>
      <c r="G38" s="70"/>
      <c r="H38" s="70"/>
      <c r="I38" s="70"/>
      <c r="J38" s="71"/>
      <c r="K38" s="72"/>
      <c r="L38" s="55"/>
      <c r="M38" s="73"/>
      <c r="N38" s="74"/>
      <c r="O38" s="70"/>
      <c r="P38" s="71"/>
      <c r="Q38" s="71"/>
      <c r="R38" s="72"/>
      <c r="S38" s="55"/>
      <c r="T38" s="75">
        <f t="shared" si="0"/>
        <v>0</v>
      </c>
      <c r="U38" s="75">
        <f>C38*24+M38*24+O38*24+Q38*24+T38</f>
        <v>0</v>
      </c>
      <c r="V38" s="75">
        <f>U38/24</f>
        <v>0</v>
      </c>
    </row>
    <row r="39" spans="1:23" x14ac:dyDescent="0.25">
      <c r="A39" s="27">
        <f t="shared" si="1"/>
        <v>36</v>
      </c>
      <c r="B39" s="51" t="s">
        <v>62</v>
      </c>
      <c r="C39" s="78"/>
      <c r="D39" s="78"/>
      <c r="E39" s="78"/>
      <c r="F39" s="78"/>
      <c r="G39" s="78"/>
      <c r="H39" s="78"/>
      <c r="I39" s="78"/>
      <c r="J39" s="79"/>
      <c r="K39" s="80"/>
      <c r="L39" s="55"/>
      <c r="M39" s="73"/>
      <c r="N39" s="74"/>
      <c r="O39" s="70"/>
      <c r="P39" s="71"/>
      <c r="Q39" s="71"/>
      <c r="R39" s="72"/>
      <c r="S39" s="95"/>
      <c r="T39" s="75">
        <f t="shared" si="0"/>
        <v>0</v>
      </c>
      <c r="U39" s="75">
        <f>C39*24+M39*24+O39*24+Q39*24+T39</f>
        <v>0</v>
      </c>
      <c r="V39" s="75">
        <f>U39/24</f>
        <v>0</v>
      </c>
    </row>
    <row r="40" spans="1:23" ht="19.5" thickBot="1" x14ac:dyDescent="0.3">
      <c r="A40" s="27">
        <f t="shared" si="1"/>
        <v>37</v>
      </c>
      <c r="B40" s="42" t="s">
        <v>21</v>
      </c>
      <c r="C40" s="59">
        <f>189+47</f>
        <v>236</v>
      </c>
      <c r="D40" s="59"/>
      <c r="E40" s="59"/>
      <c r="F40" s="59"/>
      <c r="G40" s="59"/>
      <c r="H40" s="59"/>
      <c r="I40" s="59"/>
      <c r="J40" s="60"/>
      <c r="K40" s="61">
        <v>20</v>
      </c>
      <c r="L40" s="62"/>
      <c r="M40" s="63"/>
      <c r="N40" s="64"/>
      <c r="O40" s="65">
        <v>1</v>
      </c>
      <c r="P40" s="66"/>
      <c r="Q40" s="66">
        <v>4</v>
      </c>
      <c r="R40" s="67"/>
      <c r="S40" s="62"/>
      <c r="T40" s="77">
        <f t="shared" si="0"/>
        <v>20</v>
      </c>
      <c r="U40" s="77">
        <f>C40*24+M40*24+O40*24+Q40*24+T40</f>
        <v>5804</v>
      </c>
      <c r="V40" s="77">
        <f>U40/24</f>
        <v>241.83333333333334</v>
      </c>
    </row>
    <row r="41" spans="1:23" ht="19.5" thickBot="1" x14ac:dyDescent="0.3">
      <c r="A41" s="27">
        <f t="shared" si="1"/>
        <v>38</v>
      </c>
      <c r="B41" s="43" t="s">
        <v>22</v>
      </c>
      <c r="C41" s="82">
        <f>192+18</f>
        <v>210</v>
      </c>
      <c r="D41" s="82"/>
      <c r="E41" s="82"/>
      <c r="F41" s="82"/>
      <c r="G41" s="82"/>
      <c r="H41" s="82"/>
      <c r="I41" s="82"/>
      <c r="J41" s="83"/>
      <c r="K41" s="84"/>
      <c r="L41" s="85"/>
      <c r="M41" s="86">
        <v>4</v>
      </c>
      <c r="N41" s="87"/>
      <c r="O41" s="82">
        <v>10</v>
      </c>
      <c r="P41" s="83"/>
      <c r="Q41" s="83">
        <v>33</v>
      </c>
      <c r="R41" s="84"/>
      <c r="S41" s="85"/>
      <c r="T41" s="88">
        <f t="shared" si="0"/>
        <v>0</v>
      </c>
      <c r="U41" s="88">
        <f>C41*12+M41*12+O41*12+Q41*12+T41</f>
        <v>3084</v>
      </c>
      <c r="V41" s="88">
        <f>U41/12</f>
        <v>257</v>
      </c>
    </row>
    <row r="42" spans="1:23" hidden="1" x14ac:dyDescent="0.25">
      <c r="A42" s="27">
        <f t="shared" si="1"/>
        <v>39</v>
      </c>
      <c r="B42" s="25" t="s">
        <v>29</v>
      </c>
      <c r="C42" s="70"/>
      <c r="D42" s="70"/>
      <c r="E42" s="70"/>
      <c r="F42" s="70"/>
      <c r="G42" s="70"/>
      <c r="H42" s="70"/>
      <c r="I42" s="70"/>
      <c r="J42" s="71"/>
      <c r="K42" s="72"/>
      <c r="L42" s="55"/>
      <c r="M42" s="73"/>
      <c r="N42" s="74"/>
      <c r="O42" s="70"/>
      <c r="P42" s="71"/>
      <c r="Q42" s="71"/>
      <c r="R42" s="72"/>
      <c r="S42" s="55"/>
      <c r="T42" s="75"/>
      <c r="U42" s="75"/>
      <c r="V42" s="75"/>
    </row>
    <row r="43" spans="1:23" ht="19.5" thickBot="1" x14ac:dyDescent="0.3">
      <c r="A43" s="27">
        <f t="shared" si="1"/>
        <v>40</v>
      </c>
      <c r="B43" s="42" t="s">
        <v>23</v>
      </c>
      <c r="C43" s="65">
        <f>11988+19764+5129</f>
        <v>36881</v>
      </c>
      <c r="D43" s="65"/>
      <c r="E43" s="65"/>
      <c r="F43" s="65"/>
      <c r="G43" s="65"/>
      <c r="H43" s="65">
        <v>5</v>
      </c>
      <c r="I43" s="65">
        <v>12</v>
      </c>
      <c r="J43" s="66">
        <f>3*6+2</f>
        <v>20</v>
      </c>
      <c r="K43" s="67">
        <f>95*6+1</f>
        <v>571</v>
      </c>
      <c r="L43" s="62"/>
      <c r="M43" s="63">
        <v>1020</v>
      </c>
      <c r="N43" s="64"/>
      <c r="O43" s="65">
        <v>434</v>
      </c>
      <c r="P43" s="66"/>
      <c r="Q43" s="66">
        <v>757</v>
      </c>
      <c r="R43" s="67"/>
      <c r="S43" s="62"/>
      <c r="T43" s="77">
        <f t="shared" ref="T43" si="6">H43+I43+J43+K43+N43+P43+R43</f>
        <v>608</v>
      </c>
      <c r="U43" s="77">
        <f>C43*6+M43*6+O43*6+Q43*6+T43</f>
        <v>235160</v>
      </c>
      <c r="V43" s="77">
        <f>U43/6</f>
        <v>39193.333333333336</v>
      </c>
    </row>
    <row r="44" spans="1:23" hidden="1" x14ac:dyDescent="0.25">
      <c r="A44" s="27">
        <f t="shared" si="1"/>
        <v>41</v>
      </c>
      <c r="B44" s="25" t="s">
        <v>31</v>
      </c>
      <c r="C44" s="70"/>
      <c r="D44" s="70"/>
      <c r="E44" s="70"/>
      <c r="F44" s="70"/>
      <c r="G44" s="70"/>
      <c r="H44" s="70"/>
      <c r="I44" s="70"/>
      <c r="J44" s="71"/>
      <c r="K44" s="72"/>
      <c r="L44" s="55"/>
      <c r="M44" s="73"/>
      <c r="N44" s="74"/>
      <c r="O44" s="70"/>
      <c r="P44" s="71"/>
      <c r="Q44" s="71"/>
      <c r="R44" s="72"/>
      <c r="S44" s="55"/>
      <c r="T44" s="75"/>
      <c r="U44" s="75"/>
      <c r="V44" s="75"/>
    </row>
    <row r="45" spans="1:23" x14ac:dyDescent="0.25">
      <c r="A45" s="27">
        <f t="shared" si="1"/>
        <v>42</v>
      </c>
      <c r="B45" s="26" t="s">
        <v>24</v>
      </c>
      <c r="C45" s="70"/>
      <c r="D45" s="70"/>
      <c r="E45" s="70"/>
      <c r="F45" s="70"/>
      <c r="G45" s="70"/>
      <c r="H45" s="70"/>
      <c r="I45" s="70"/>
      <c r="J45" s="71"/>
      <c r="K45" s="72"/>
      <c r="L45" s="55"/>
      <c r="M45" s="73"/>
      <c r="N45" s="74"/>
      <c r="O45" s="70"/>
      <c r="P45" s="71"/>
      <c r="Q45" s="71"/>
      <c r="R45" s="72"/>
      <c r="S45" s="55"/>
      <c r="T45" s="75">
        <f t="shared" ref="T45:T54" si="7">H45+I45+J45+K45+N45+P45+R45</f>
        <v>0</v>
      </c>
      <c r="U45" s="75">
        <f>C45*24+M45*24+O45*24+Q45*24+T45</f>
        <v>0</v>
      </c>
      <c r="V45" s="75">
        <f>U45/24</f>
        <v>0</v>
      </c>
    </row>
    <row r="46" spans="1:23" x14ac:dyDescent="0.25">
      <c r="A46" s="27">
        <f t="shared" si="1"/>
        <v>43</v>
      </c>
      <c r="B46" s="26" t="s">
        <v>57</v>
      </c>
      <c r="C46" s="70"/>
      <c r="D46" s="70"/>
      <c r="E46" s="70"/>
      <c r="F46" s="70"/>
      <c r="G46" s="70"/>
      <c r="H46" s="70"/>
      <c r="I46" s="70"/>
      <c r="J46" s="71"/>
      <c r="K46" s="72"/>
      <c r="L46" s="55"/>
      <c r="M46" s="73"/>
      <c r="N46" s="74"/>
      <c r="O46" s="70"/>
      <c r="P46" s="71"/>
      <c r="Q46" s="71"/>
      <c r="R46" s="72"/>
      <c r="S46" s="55"/>
      <c r="T46" s="75">
        <f t="shared" si="7"/>
        <v>0</v>
      </c>
      <c r="U46" s="75">
        <f t="shared" ref="U46:U50" si="8">C46*24+M46*24+O46*24+Q46*24+T46</f>
        <v>0</v>
      </c>
      <c r="V46" s="75">
        <f t="shared" ref="V46:V54" si="9">U46/24</f>
        <v>0</v>
      </c>
    </row>
    <row r="47" spans="1:23" ht="19.5" thickBot="1" x14ac:dyDescent="0.3">
      <c r="A47" s="27">
        <f t="shared" si="1"/>
        <v>44</v>
      </c>
      <c r="B47" s="42" t="s">
        <v>25</v>
      </c>
      <c r="C47" s="65">
        <f>89+648+324+88+432+83+103+324+432+106</f>
        <v>2629</v>
      </c>
      <c r="D47" s="65"/>
      <c r="E47" s="65"/>
      <c r="F47" s="65"/>
      <c r="G47" s="65"/>
      <c r="H47" s="65">
        <v>1</v>
      </c>
      <c r="I47" s="65"/>
      <c r="J47" s="66"/>
      <c r="K47" s="67">
        <v>5</v>
      </c>
      <c r="L47" s="62"/>
      <c r="M47" s="63">
        <v>2</v>
      </c>
      <c r="N47" s="64"/>
      <c r="O47" s="65">
        <v>15</v>
      </c>
      <c r="P47" s="66"/>
      <c r="Q47" s="66">
        <v>5</v>
      </c>
      <c r="R47" s="67">
        <v>3</v>
      </c>
      <c r="S47" s="62"/>
      <c r="T47" s="77">
        <f t="shared" si="7"/>
        <v>9</v>
      </c>
      <c r="U47" s="77">
        <f>C47*6+M47*6+O47*6+Q47*6+T47</f>
        <v>15915</v>
      </c>
      <c r="V47" s="77">
        <f>U47/6</f>
        <v>2652.5</v>
      </c>
    </row>
    <row r="48" spans="1:23" x14ac:dyDescent="0.25">
      <c r="A48" s="27">
        <f t="shared" si="1"/>
        <v>45</v>
      </c>
      <c r="B48" s="25" t="s">
        <v>58</v>
      </c>
      <c r="C48" s="70"/>
      <c r="D48" s="70"/>
      <c r="E48" s="70"/>
      <c r="F48" s="70"/>
      <c r="G48" s="70"/>
      <c r="H48" s="70">
        <v>24</v>
      </c>
      <c r="I48" s="70"/>
      <c r="J48" s="71"/>
      <c r="K48" s="72"/>
      <c r="L48" s="55"/>
      <c r="M48" s="73"/>
      <c r="N48" s="74"/>
      <c r="O48" s="70"/>
      <c r="P48" s="71"/>
      <c r="Q48" s="71"/>
      <c r="R48" s="72"/>
      <c r="S48" s="55"/>
      <c r="T48" s="75">
        <f t="shared" si="7"/>
        <v>24</v>
      </c>
      <c r="U48" s="75">
        <f t="shared" si="8"/>
        <v>24</v>
      </c>
      <c r="V48" s="75">
        <f t="shared" si="9"/>
        <v>1</v>
      </c>
    </row>
    <row r="49" spans="1:22" x14ac:dyDescent="0.25">
      <c r="A49" s="27">
        <f t="shared" si="1"/>
        <v>46</v>
      </c>
      <c r="B49" s="26" t="s">
        <v>26</v>
      </c>
      <c r="C49" s="70"/>
      <c r="D49" s="70"/>
      <c r="E49" s="70"/>
      <c r="F49" s="70"/>
      <c r="G49" s="70"/>
      <c r="H49" s="70"/>
      <c r="I49" s="70"/>
      <c r="J49" s="71"/>
      <c r="K49" s="72"/>
      <c r="L49" s="55"/>
      <c r="M49" s="73"/>
      <c r="N49" s="74"/>
      <c r="O49" s="70"/>
      <c r="P49" s="71"/>
      <c r="Q49" s="71"/>
      <c r="R49" s="72"/>
      <c r="S49" s="55"/>
      <c r="T49" s="75">
        <f t="shared" si="7"/>
        <v>0</v>
      </c>
      <c r="U49" s="75">
        <f t="shared" si="8"/>
        <v>0</v>
      </c>
      <c r="V49" s="75">
        <f t="shared" si="9"/>
        <v>0</v>
      </c>
    </row>
    <row r="50" spans="1:22" x14ac:dyDescent="0.25">
      <c r="A50" s="27">
        <f t="shared" si="1"/>
        <v>47</v>
      </c>
      <c r="B50" s="26" t="s">
        <v>59</v>
      </c>
      <c r="C50" s="70"/>
      <c r="D50" s="70"/>
      <c r="E50" s="70"/>
      <c r="F50" s="70"/>
      <c r="G50" s="70"/>
      <c r="H50" s="70"/>
      <c r="I50" s="70"/>
      <c r="J50" s="71"/>
      <c r="K50" s="72"/>
      <c r="L50" s="55"/>
      <c r="M50" s="73"/>
      <c r="N50" s="74"/>
      <c r="O50" s="70"/>
      <c r="P50" s="71"/>
      <c r="Q50" s="71"/>
      <c r="R50" s="72"/>
      <c r="S50" s="55"/>
      <c r="T50" s="75">
        <f t="shared" si="7"/>
        <v>0</v>
      </c>
      <c r="U50" s="75">
        <f t="shared" si="8"/>
        <v>0</v>
      </c>
      <c r="V50" s="75">
        <f t="shared" si="9"/>
        <v>0</v>
      </c>
    </row>
    <row r="51" spans="1:22" ht="19.5" thickBot="1" x14ac:dyDescent="0.3">
      <c r="A51" s="27">
        <f t="shared" si="1"/>
        <v>48</v>
      </c>
      <c r="B51" s="42" t="s">
        <v>27</v>
      </c>
      <c r="C51" s="65">
        <v>34</v>
      </c>
      <c r="D51" s="65"/>
      <c r="E51" s="65"/>
      <c r="F51" s="65"/>
      <c r="G51" s="65"/>
      <c r="H51" s="65"/>
      <c r="I51" s="65"/>
      <c r="J51" s="66"/>
      <c r="K51" s="67"/>
      <c r="L51" s="62"/>
      <c r="M51" s="63"/>
      <c r="N51" s="64"/>
      <c r="O51" s="65"/>
      <c r="P51" s="66"/>
      <c r="Q51" s="66"/>
      <c r="R51" s="67"/>
      <c r="S51" s="62"/>
      <c r="T51" s="77">
        <f t="shared" si="7"/>
        <v>0</v>
      </c>
      <c r="U51" s="77">
        <f>C51*6+M51*6+O51*6+Q51*6+T51</f>
        <v>204</v>
      </c>
      <c r="V51" s="77">
        <f>U51/6</f>
        <v>34</v>
      </c>
    </row>
    <row r="52" spans="1:22" x14ac:dyDescent="0.25">
      <c r="A52" s="27">
        <f t="shared" si="1"/>
        <v>49</v>
      </c>
      <c r="B52" s="25" t="s">
        <v>28</v>
      </c>
      <c r="C52" s="70"/>
      <c r="D52" s="70"/>
      <c r="E52" s="70"/>
      <c r="F52" s="70"/>
      <c r="G52" s="70"/>
      <c r="H52" s="70"/>
      <c r="I52" s="70"/>
      <c r="J52" s="71"/>
      <c r="K52" s="72"/>
      <c r="L52" s="55"/>
      <c r="M52" s="73"/>
      <c r="N52" s="74"/>
      <c r="O52" s="70"/>
      <c r="P52" s="71"/>
      <c r="Q52" s="71"/>
      <c r="R52" s="72"/>
      <c r="S52" s="55"/>
      <c r="T52" s="75">
        <f t="shared" si="7"/>
        <v>0</v>
      </c>
      <c r="U52" s="75">
        <f t="shared" ref="U52:U54" si="10">C52*24+M52*24+O52*24+Q52*24+T52</f>
        <v>0</v>
      </c>
      <c r="V52" s="75">
        <f t="shared" si="9"/>
        <v>0</v>
      </c>
    </row>
    <row r="53" spans="1:22" x14ac:dyDescent="0.25">
      <c r="A53" s="27">
        <f t="shared" si="1"/>
        <v>50</v>
      </c>
      <c r="B53" s="26" t="s">
        <v>63</v>
      </c>
      <c r="C53" s="70">
        <v>7</v>
      </c>
      <c r="D53" s="70"/>
      <c r="E53" s="70"/>
      <c r="F53" s="70"/>
      <c r="G53" s="70"/>
      <c r="H53" s="70"/>
      <c r="I53" s="70"/>
      <c r="J53" s="71"/>
      <c r="K53" s="72"/>
      <c r="L53" s="55"/>
      <c r="M53" s="73"/>
      <c r="N53" s="74"/>
      <c r="O53" s="70"/>
      <c r="P53" s="71"/>
      <c r="Q53" s="71"/>
      <c r="R53" s="72"/>
      <c r="S53" s="55"/>
      <c r="T53" s="75">
        <f t="shared" si="7"/>
        <v>0</v>
      </c>
      <c r="U53" s="75">
        <f t="shared" si="10"/>
        <v>168</v>
      </c>
      <c r="V53" s="75">
        <f t="shared" si="9"/>
        <v>7</v>
      </c>
    </row>
    <row r="54" spans="1:22" x14ac:dyDescent="0.25">
      <c r="A54" s="27">
        <f t="shared" si="1"/>
        <v>51</v>
      </c>
      <c r="B54" s="26"/>
      <c r="C54" s="70"/>
      <c r="D54" s="70"/>
      <c r="E54" s="70"/>
      <c r="F54" s="70"/>
      <c r="G54" s="70"/>
      <c r="H54" s="70"/>
      <c r="I54" s="70"/>
      <c r="J54" s="71"/>
      <c r="K54" s="72"/>
      <c r="L54" s="55"/>
      <c r="M54" s="73"/>
      <c r="N54" s="74"/>
      <c r="O54" s="70"/>
      <c r="P54" s="71"/>
      <c r="Q54" s="71"/>
      <c r="R54" s="72"/>
      <c r="S54" s="55"/>
      <c r="T54" s="75">
        <f t="shared" si="7"/>
        <v>0</v>
      </c>
      <c r="U54" s="75">
        <f t="shared" si="10"/>
        <v>0</v>
      </c>
      <c r="V54" s="75">
        <f t="shared" si="9"/>
        <v>0</v>
      </c>
    </row>
    <row r="55" spans="1:22" x14ac:dyDescent="0.25">
      <c r="A55" s="27">
        <f t="shared" si="1"/>
        <v>52</v>
      </c>
      <c r="B55" s="26"/>
      <c r="C55" s="70"/>
      <c r="D55" s="70"/>
      <c r="E55" s="70"/>
      <c r="F55" s="70"/>
      <c r="G55" s="70"/>
      <c r="H55" s="70"/>
      <c r="I55" s="70"/>
      <c r="J55" s="71"/>
      <c r="K55" s="72"/>
      <c r="L55" s="55"/>
      <c r="M55" s="73"/>
      <c r="N55" s="74"/>
      <c r="O55" s="70"/>
      <c r="P55" s="71"/>
      <c r="Q55" s="71"/>
      <c r="R55" s="72"/>
      <c r="S55" s="55"/>
      <c r="T55" s="75"/>
      <c r="U55" s="75"/>
      <c r="V55" s="75"/>
    </row>
    <row r="56" spans="1:22" x14ac:dyDescent="0.25">
      <c r="A56" s="27">
        <f t="shared" si="1"/>
        <v>53</v>
      </c>
      <c r="B56" s="26"/>
      <c r="C56" s="70"/>
      <c r="D56" s="70"/>
      <c r="E56" s="70"/>
      <c r="F56" s="70"/>
      <c r="G56" s="70"/>
      <c r="H56" s="70"/>
      <c r="I56" s="70"/>
      <c r="J56" s="71"/>
      <c r="K56" s="72"/>
      <c r="L56" s="55"/>
      <c r="M56" s="73"/>
      <c r="N56" s="74"/>
      <c r="O56" s="70"/>
      <c r="P56" s="71"/>
      <c r="Q56" s="71"/>
      <c r="R56" s="72"/>
      <c r="S56" s="55"/>
      <c r="T56" s="75"/>
      <c r="U56" s="75"/>
      <c r="V56" s="75"/>
    </row>
    <row r="57" spans="1:22" x14ac:dyDescent="0.25">
      <c r="A57" s="27">
        <f t="shared" si="1"/>
        <v>54</v>
      </c>
      <c r="B57" s="26"/>
      <c r="C57" s="70"/>
      <c r="D57" s="70"/>
      <c r="E57" s="70"/>
      <c r="F57" s="70"/>
      <c r="G57" s="70"/>
      <c r="H57" s="70"/>
      <c r="I57" s="70"/>
      <c r="J57" s="71"/>
      <c r="K57" s="72"/>
      <c r="L57" s="55"/>
      <c r="M57" s="73"/>
      <c r="N57" s="74"/>
      <c r="O57" s="70"/>
      <c r="P57" s="71"/>
      <c r="Q57" s="71"/>
      <c r="R57" s="72"/>
      <c r="S57" s="55"/>
      <c r="T57" s="75"/>
      <c r="U57" s="75"/>
      <c r="V57" s="75"/>
    </row>
    <row r="58" spans="1:22" s="15" customFormat="1" ht="19.5" thickBot="1" x14ac:dyDescent="0.3">
      <c r="B58" s="29" t="s">
        <v>50</v>
      </c>
      <c r="C58" s="2">
        <f>SUM(C7:C57)</f>
        <v>46639</v>
      </c>
      <c r="D58" s="2"/>
      <c r="E58" s="2"/>
      <c r="F58" s="2">
        <f t="shared" ref="F58:K58" si="11">SUM(F7:F57)</f>
        <v>0</v>
      </c>
      <c r="G58" s="2">
        <f t="shared" si="11"/>
        <v>0</v>
      </c>
      <c r="H58" s="2">
        <f t="shared" si="11"/>
        <v>1192</v>
      </c>
      <c r="I58" s="6">
        <f t="shared" si="11"/>
        <v>38</v>
      </c>
      <c r="J58" s="6">
        <f t="shared" si="11"/>
        <v>26</v>
      </c>
      <c r="K58" s="6">
        <f t="shared" si="11"/>
        <v>619</v>
      </c>
      <c r="M58" s="5">
        <f t="shared" ref="M58:R58" si="12">SUM(M7:M57)</f>
        <v>1077</v>
      </c>
      <c r="N58" s="5">
        <f t="shared" si="12"/>
        <v>10</v>
      </c>
      <c r="O58" s="5">
        <f t="shared" si="12"/>
        <v>616</v>
      </c>
      <c r="P58" s="5">
        <f t="shared" si="12"/>
        <v>29</v>
      </c>
      <c r="Q58" s="5">
        <f t="shared" si="12"/>
        <v>922</v>
      </c>
      <c r="R58" s="5">
        <f t="shared" si="12"/>
        <v>16</v>
      </c>
      <c r="S58" s="55"/>
      <c r="T58" s="4">
        <f>SUM(T7:T57)</f>
        <v>1930</v>
      </c>
      <c r="U58" s="90">
        <f>SUM(U7:U57)</f>
        <v>373336</v>
      </c>
      <c r="V58" s="4">
        <f>SUM(V7:V57)</f>
        <v>49413.916666666672</v>
      </c>
    </row>
    <row r="59" spans="1:22" ht="7.5" customHeight="1" thickBot="1" x14ac:dyDescent="0.3"/>
    <row r="60" spans="1:22" ht="19.5" thickBot="1" x14ac:dyDescent="0.3">
      <c r="B60" s="30" t="s">
        <v>37</v>
      </c>
      <c r="C60" s="113" t="s">
        <v>41</v>
      </c>
      <c r="D60" s="114"/>
      <c r="E60" s="114"/>
      <c r="F60" s="114"/>
      <c r="G60" s="114"/>
      <c r="H60" s="114"/>
      <c r="I60" s="114"/>
      <c r="J60" s="114"/>
      <c r="K60" s="115"/>
      <c r="U60" s="24" t="s">
        <v>51</v>
      </c>
    </row>
    <row r="61" spans="1:22" x14ac:dyDescent="0.25">
      <c r="B61" s="31" t="s">
        <v>17</v>
      </c>
      <c r="C61" s="19"/>
      <c r="D61" s="19"/>
      <c r="E61" s="19"/>
      <c r="F61" s="19"/>
      <c r="G61" s="19"/>
      <c r="H61" s="19"/>
      <c r="I61" s="19"/>
      <c r="J61" s="45"/>
      <c r="K61" s="20"/>
      <c r="U61" s="7"/>
    </row>
    <row r="62" spans="1:22" x14ac:dyDescent="0.25">
      <c r="B62" s="32" t="s">
        <v>45</v>
      </c>
      <c r="C62" s="1"/>
      <c r="D62" s="1"/>
      <c r="E62" s="1"/>
      <c r="F62" s="1"/>
      <c r="G62" s="1"/>
      <c r="H62" s="1"/>
      <c r="I62" s="1"/>
      <c r="J62" s="44"/>
      <c r="K62" s="21"/>
      <c r="U62" s="3"/>
    </row>
    <row r="63" spans="1:22" ht="19.5" thickBot="1" x14ac:dyDescent="0.3">
      <c r="B63" s="33" t="s">
        <v>44</v>
      </c>
      <c r="C63" s="22"/>
      <c r="D63" s="22"/>
      <c r="E63" s="22"/>
      <c r="F63" s="22"/>
      <c r="G63" s="22"/>
      <c r="H63" s="22"/>
      <c r="I63" s="22"/>
      <c r="J63" s="46"/>
      <c r="K63" s="23"/>
      <c r="U63" s="8"/>
    </row>
    <row r="64" spans="1:22" ht="7.5" customHeight="1" thickBot="1" x14ac:dyDescent="0.3"/>
    <row r="65" spans="2:21" x14ac:dyDescent="0.25">
      <c r="B65" s="31" t="s">
        <v>46</v>
      </c>
      <c r="C65" s="19"/>
      <c r="D65" s="19"/>
      <c r="E65" s="19"/>
      <c r="F65" s="19"/>
      <c r="G65" s="19"/>
      <c r="H65" s="19"/>
      <c r="I65" s="19"/>
      <c r="J65" s="45"/>
      <c r="K65" s="20"/>
      <c r="U65" s="7"/>
    </row>
    <row r="66" spans="2:21" x14ac:dyDescent="0.25">
      <c r="B66" s="32" t="s">
        <v>45</v>
      </c>
      <c r="C66" s="1"/>
      <c r="D66" s="1"/>
      <c r="E66" s="1"/>
      <c r="F66" s="1"/>
      <c r="G66" s="1"/>
      <c r="H66" s="1"/>
      <c r="I66" s="1"/>
      <c r="J66" s="44"/>
      <c r="K66" s="21"/>
      <c r="U66" s="3"/>
    </row>
    <row r="67" spans="2:21" ht="19.5" thickBot="1" x14ac:dyDescent="0.3">
      <c r="B67" s="33" t="s">
        <v>44</v>
      </c>
      <c r="C67" s="22"/>
      <c r="D67" s="22"/>
      <c r="E67" s="22"/>
      <c r="F67" s="22"/>
      <c r="G67" s="22"/>
      <c r="H67" s="22"/>
      <c r="I67" s="22"/>
      <c r="J67" s="46"/>
      <c r="K67" s="23"/>
      <c r="U67" s="8"/>
    </row>
    <row r="68" spans="2:21" ht="7.5" customHeight="1" thickBot="1" x14ac:dyDescent="0.3"/>
    <row r="69" spans="2:21" x14ac:dyDescent="0.25">
      <c r="B69" s="31" t="s">
        <v>38</v>
      </c>
      <c r="C69" s="19"/>
      <c r="D69" s="19"/>
      <c r="E69" s="19"/>
      <c r="F69" s="19"/>
      <c r="G69" s="19"/>
      <c r="H69" s="19"/>
      <c r="I69" s="19"/>
      <c r="J69" s="45"/>
      <c r="K69" s="20"/>
      <c r="U69" s="7"/>
    </row>
    <row r="70" spans="2:21" x14ac:dyDescent="0.25">
      <c r="B70" s="32" t="s">
        <v>45</v>
      </c>
      <c r="C70" s="1"/>
      <c r="D70" s="1"/>
      <c r="E70" s="1"/>
      <c r="F70" s="1"/>
      <c r="G70" s="1"/>
      <c r="H70" s="1"/>
      <c r="I70" s="1"/>
      <c r="J70" s="44"/>
      <c r="K70" s="21"/>
      <c r="U70" s="3"/>
    </row>
    <row r="71" spans="2:21" ht="19.5" thickBot="1" x14ac:dyDescent="0.3">
      <c r="B71" s="33" t="s">
        <v>44</v>
      </c>
      <c r="C71" s="22"/>
      <c r="D71" s="22"/>
      <c r="E71" s="22"/>
      <c r="F71" s="22"/>
      <c r="G71" s="22"/>
      <c r="H71" s="22"/>
      <c r="I71" s="22"/>
      <c r="J71" s="46"/>
      <c r="K71" s="23"/>
      <c r="U71" s="8"/>
    </row>
    <row r="72" spans="2:21" ht="7.5" customHeight="1" thickBot="1" x14ac:dyDescent="0.3"/>
    <row r="73" spans="2:21" x14ac:dyDescent="0.25">
      <c r="B73" s="31" t="s">
        <v>47</v>
      </c>
      <c r="C73" s="19"/>
      <c r="D73" s="19"/>
      <c r="E73" s="19"/>
      <c r="F73" s="19"/>
      <c r="G73" s="19"/>
      <c r="H73" s="19"/>
      <c r="I73" s="19"/>
      <c r="J73" s="45"/>
      <c r="K73" s="20"/>
      <c r="U73" s="7"/>
    </row>
    <row r="74" spans="2:21" x14ac:dyDescent="0.25">
      <c r="B74" s="32" t="s">
        <v>45</v>
      </c>
      <c r="C74" s="1"/>
      <c r="D74" s="1"/>
      <c r="E74" s="1"/>
      <c r="F74" s="1"/>
      <c r="G74" s="1"/>
      <c r="H74" s="1"/>
      <c r="I74" s="1"/>
      <c r="J74" s="44"/>
      <c r="K74" s="21"/>
      <c r="U74" s="3"/>
    </row>
    <row r="75" spans="2:21" ht="19.5" thickBot="1" x14ac:dyDescent="0.3">
      <c r="B75" s="33" t="s">
        <v>44</v>
      </c>
      <c r="C75" s="22"/>
      <c r="D75" s="22"/>
      <c r="E75" s="22"/>
      <c r="F75" s="22"/>
      <c r="G75" s="22"/>
      <c r="H75" s="22"/>
      <c r="I75" s="22"/>
      <c r="J75" s="46"/>
      <c r="K75" s="23"/>
      <c r="U75" s="8"/>
    </row>
    <row r="76" spans="2:21" ht="7.5" customHeight="1" thickBot="1" x14ac:dyDescent="0.3"/>
    <row r="77" spans="2:21" x14ac:dyDescent="0.25">
      <c r="B77" s="31" t="s">
        <v>48</v>
      </c>
      <c r="C77" s="19"/>
      <c r="D77" s="19"/>
      <c r="E77" s="19"/>
      <c r="F77" s="19"/>
      <c r="G77" s="19"/>
      <c r="H77" s="19"/>
      <c r="I77" s="19"/>
      <c r="J77" s="45"/>
      <c r="K77" s="20"/>
      <c r="U77" s="7"/>
    </row>
    <row r="78" spans="2:21" x14ac:dyDescent="0.25">
      <c r="B78" s="32" t="s">
        <v>45</v>
      </c>
      <c r="C78" s="1"/>
      <c r="D78" s="1"/>
      <c r="E78" s="1"/>
      <c r="F78" s="1"/>
      <c r="G78" s="1"/>
      <c r="H78" s="1"/>
      <c r="I78" s="1"/>
      <c r="J78" s="44"/>
      <c r="K78" s="21"/>
      <c r="U78" s="3"/>
    </row>
    <row r="79" spans="2:21" ht="19.5" thickBot="1" x14ac:dyDescent="0.3">
      <c r="B79" s="33" t="s">
        <v>44</v>
      </c>
      <c r="C79" s="22"/>
      <c r="D79" s="22"/>
      <c r="E79" s="22"/>
      <c r="F79" s="22"/>
      <c r="G79" s="22"/>
      <c r="H79" s="22"/>
      <c r="I79" s="22"/>
      <c r="J79" s="46"/>
      <c r="K79" s="23"/>
      <c r="U79" s="8"/>
    </row>
    <row r="80" spans="2:21" ht="7.5" customHeight="1" thickBot="1" x14ac:dyDescent="0.3"/>
    <row r="81" spans="2:21" ht="19.5" thickBot="1" x14ac:dyDescent="0.3">
      <c r="B81" s="30" t="s">
        <v>49</v>
      </c>
      <c r="C81" s="17"/>
      <c r="D81" s="17"/>
      <c r="E81" s="17"/>
      <c r="F81" s="17"/>
      <c r="G81" s="17"/>
      <c r="H81" s="17"/>
      <c r="I81" s="17"/>
      <c r="J81" s="47"/>
      <c r="K81" s="18"/>
      <c r="U81" s="16"/>
    </row>
  </sheetData>
  <mergeCells count="7">
    <mergeCell ref="V4:V5"/>
    <mergeCell ref="J5:K5"/>
    <mergeCell ref="C60:K60"/>
    <mergeCell ref="I1:U1"/>
    <mergeCell ref="C4:K4"/>
    <mergeCell ref="T4:T5"/>
    <mergeCell ref="U4:U5"/>
  </mergeCells>
  <printOptions horizontalCentered="1" verticalCentered="1"/>
  <pageMargins left="0.19685039370078741" right="0.19685039370078741" top="0.19685039370078741" bottom="0.19685039370078741" header="0.19685039370078741" footer="0.19685039370078741"/>
  <pageSetup paperSize="14" scale="70" orientation="portrait" horizontalDpi="360" verticalDpi="360" r:id="rId1"/>
  <colBreaks count="1" manualBreakCount="1">
    <brk id="24" max="80" man="1"/>
  </colBreaks>
</worksheet>
</file>

<file path=xl/worksheets/sheet20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CB7E47D-FEA8-487E-A2AF-D4BE6C09E59A}">
  <sheetPr>
    <pageSetUpPr fitToPage="1"/>
  </sheetPr>
  <dimension ref="A1:BB81"/>
  <sheetViews>
    <sheetView topLeftCell="A23" zoomScale="91" zoomScaleNormal="91" zoomScaleSheetLayoutView="115" workbookViewId="0">
      <selection activeCell="F54" sqref="F54"/>
    </sheetView>
  </sheetViews>
  <sheetFormatPr defaultColWidth="9.140625" defaultRowHeight="18.75" x14ac:dyDescent="0.25"/>
  <cols>
    <col min="1" max="1" width="4.140625" style="9" bestFit="1" customWidth="1"/>
    <col min="2" max="2" width="12.28515625" style="28" customWidth="1"/>
    <col min="3" max="6" width="10" style="9" customWidth="1"/>
    <col min="7" max="7" width="6.85546875" style="9" customWidth="1"/>
    <col min="8" max="8" width="7.5703125" style="9" bestFit="1" customWidth="1"/>
    <col min="9" max="9" width="6.7109375" style="9" bestFit="1" customWidth="1"/>
    <col min="10" max="10" width="6.85546875" style="9" customWidth="1"/>
    <col min="11" max="11" width="7.5703125" style="9" bestFit="1" customWidth="1"/>
    <col min="12" max="12" width="1.42578125" style="9" customWidth="1"/>
    <col min="13" max="13" width="10" style="9" customWidth="1"/>
    <col min="14" max="14" width="6.7109375" style="9" bestFit="1" customWidth="1"/>
    <col min="15" max="15" width="10" style="9" customWidth="1"/>
    <col min="16" max="16" width="5.5703125" style="9" customWidth="1"/>
    <col min="17" max="17" width="10" style="9" customWidth="1"/>
    <col min="18" max="18" width="6.7109375" style="9" bestFit="1" customWidth="1"/>
    <col min="19" max="19" width="1.42578125" style="9" customWidth="1"/>
    <col min="20" max="20" width="12.7109375" style="9" bestFit="1" customWidth="1"/>
    <col min="21" max="21" width="14.28515625" style="9" customWidth="1"/>
    <col min="22" max="22" width="19.5703125" style="9" bestFit="1" customWidth="1"/>
    <col min="23" max="49" width="7.28515625" style="9" customWidth="1"/>
    <col min="50" max="50" width="1.5703125" style="9" customWidth="1"/>
    <col min="51" max="51" width="9.42578125" style="9" customWidth="1"/>
    <col min="52" max="52" width="1.28515625" style="9" customWidth="1"/>
    <col min="53" max="53" width="12.7109375" style="9" bestFit="1" customWidth="1"/>
    <col min="54" max="54" width="10.28515625" style="9" bestFit="1" customWidth="1"/>
    <col min="55" max="16384" width="9.140625" style="9"/>
  </cols>
  <sheetData>
    <row r="1" spans="1:54" ht="15" customHeight="1" x14ac:dyDescent="0.25">
      <c r="B1" s="27" t="s">
        <v>42</v>
      </c>
      <c r="I1" s="116" t="s">
        <v>43</v>
      </c>
      <c r="J1" s="116"/>
      <c r="K1" s="116"/>
      <c r="L1" s="116"/>
      <c r="M1" s="116"/>
      <c r="N1" s="116"/>
      <c r="O1" s="116"/>
      <c r="P1" s="116"/>
      <c r="Q1" s="116"/>
      <c r="R1" s="116"/>
      <c r="S1" s="116"/>
      <c r="T1" s="116"/>
      <c r="U1" s="116"/>
    </row>
    <row r="2" spans="1:54" x14ac:dyDescent="0.25">
      <c r="B2" s="28" t="s">
        <v>89</v>
      </c>
    </row>
    <row r="3" spans="1:54" ht="19.5" thickBot="1" x14ac:dyDescent="0.3"/>
    <row r="4" spans="1:54" s="10" customFormat="1" ht="15.75" x14ac:dyDescent="0.25">
      <c r="B4" s="41" t="s">
        <v>52</v>
      </c>
      <c r="C4" s="117" t="s">
        <v>41</v>
      </c>
      <c r="D4" s="117"/>
      <c r="E4" s="117"/>
      <c r="F4" s="117"/>
      <c r="G4" s="117"/>
      <c r="H4" s="117"/>
      <c r="I4" s="117"/>
      <c r="J4" s="118"/>
      <c r="K4" s="119"/>
      <c r="M4" s="34" t="s">
        <v>0</v>
      </c>
      <c r="N4" s="48" t="s">
        <v>61</v>
      </c>
      <c r="O4" s="35" t="s">
        <v>39</v>
      </c>
      <c r="P4" s="48" t="s">
        <v>61</v>
      </c>
      <c r="Q4" s="36" t="s">
        <v>40</v>
      </c>
      <c r="R4" s="48" t="s">
        <v>61</v>
      </c>
      <c r="S4" s="9"/>
      <c r="T4" s="120" t="s">
        <v>68</v>
      </c>
      <c r="U4" s="126" t="s">
        <v>67</v>
      </c>
      <c r="V4" s="109" t="s">
        <v>66</v>
      </c>
      <c r="AF4" s="11"/>
      <c r="AG4" s="11"/>
      <c r="AH4" s="11"/>
      <c r="AI4" s="11"/>
      <c r="AJ4" s="11"/>
      <c r="AK4" s="11"/>
      <c r="AL4" s="11"/>
      <c r="AM4" s="11"/>
      <c r="AN4" s="11"/>
      <c r="AO4" s="11"/>
      <c r="AP4" s="11"/>
      <c r="AQ4" s="11"/>
      <c r="AR4" s="11"/>
      <c r="AS4" s="11"/>
      <c r="AT4" s="11"/>
      <c r="AU4" s="11"/>
      <c r="AV4" s="11"/>
      <c r="AW4" s="11"/>
      <c r="AX4" s="11"/>
      <c r="AY4" s="11"/>
      <c r="AZ4" s="11"/>
      <c r="BA4" s="11"/>
      <c r="BB4" s="11"/>
    </row>
    <row r="5" spans="1:54" s="10" customFormat="1" ht="15.75" x14ac:dyDescent="0.25">
      <c r="B5" s="37"/>
      <c r="C5" s="40"/>
      <c r="D5" s="40"/>
      <c r="E5" s="40"/>
      <c r="F5" s="40"/>
      <c r="G5" s="40"/>
      <c r="H5" s="40" t="s">
        <v>64</v>
      </c>
      <c r="I5" s="40" t="s">
        <v>60</v>
      </c>
      <c r="J5" s="124" t="s">
        <v>65</v>
      </c>
      <c r="K5" s="125"/>
      <c r="M5" s="37"/>
      <c r="N5" s="49"/>
      <c r="O5" s="40"/>
      <c r="P5" s="106"/>
      <c r="Q5" s="106"/>
      <c r="R5" s="38"/>
      <c r="S5" s="9"/>
      <c r="T5" s="121"/>
      <c r="U5" s="127"/>
      <c r="V5" s="110"/>
      <c r="AF5" s="11"/>
      <c r="AG5" s="11"/>
      <c r="AH5" s="11"/>
      <c r="AI5" s="11"/>
      <c r="AJ5" s="11"/>
      <c r="AK5" s="11"/>
      <c r="AL5" s="11"/>
      <c r="AM5" s="11"/>
      <c r="AN5" s="11"/>
      <c r="AO5" s="11"/>
      <c r="AP5" s="11"/>
      <c r="AQ5" s="11"/>
      <c r="AR5" s="11"/>
      <c r="AS5" s="11"/>
      <c r="AT5" s="11"/>
      <c r="AU5" s="11"/>
      <c r="AV5" s="11"/>
      <c r="AW5" s="11"/>
      <c r="AX5" s="11"/>
      <c r="AY5" s="11"/>
      <c r="AZ5" s="11"/>
      <c r="BA5" s="11"/>
      <c r="BB5" s="11"/>
    </row>
    <row r="6" spans="1:54" s="10" customFormat="1" ht="15.75" x14ac:dyDescent="0.25">
      <c r="B6" s="37"/>
      <c r="C6" s="40"/>
      <c r="D6" s="40"/>
      <c r="E6" s="40"/>
      <c r="F6" s="40"/>
      <c r="G6" s="40"/>
      <c r="H6" s="40"/>
      <c r="I6" s="40"/>
      <c r="J6" s="106"/>
      <c r="K6" s="38"/>
      <c r="M6" s="37"/>
      <c r="N6" s="49"/>
      <c r="O6" s="40"/>
      <c r="P6" s="106"/>
      <c r="Q6" s="106"/>
      <c r="R6" s="38"/>
      <c r="S6" s="9"/>
      <c r="T6" s="39"/>
      <c r="U6" s="39"/>
      <c r="V6" s="39"/>
      <c r="AF6" s="11"/>
      <c r="AG6" s="11"/>
      <c r="AH6" s="11"/>
      <c r="AI6" s="11"/>
      <c r="AJ6" s="11"/>
      <c r="AK6" s="11"/>
      <c r="AL6" s="11"/>
      <c r="AM6" s="11"/>
      <c r="AN6" s="11"/>
      <c r="AO6" s="11"/>
      <c r="AP6" s="11"/>
      <c r="AQ6" s="11"/>
      <c r="AR6" s="11"/>
      <c r="AS6" s="11"/>
      <c r="AT6" s="11"/>
      <c r="AU6" s="11"/>
      <c r="AV6" s="11"/>
      <c r="AW6" s="11"/>
      <c r="AX6" s="11"/>
      <c r="AY6" s="11"/>
      <c r="AZ6" s="11"/>
      <c r="BA6" s="11"/>
      <c r="BB6" s="11"/>
    </row>
    <row r="7" spans="1:54" x14ac:dyDescent="0.25">
      <c r="A7" s="27">
        <v>1</v>
      </c>
      <c r="B7" s="26" t="s">
        <v>32</v>
      </c>
      <c r="C7" s="52">
        <v>29</v>
      </c>
      <c r="D7" s="52"/>
      <c r="E7" s="52"/>
      <c r="F7" s="52"/>
      <c r="G7" s="52"/>
      <c r="H7" s="52"/>
      <c r="I7" s="52">
        <v>3</v>
      </c>
      <c r="J7" s="53"/>
      <c r="K7" s="54">
        <v>6</v>
      </c>
      <c r="L7" s="55"/>
      <c r="M7" s="56"/>
      <c r="N7" s="57"/>
      <c r="O7" s="52">
        <v>1</v>
      </c>
      <c r="P7" s="53"/>
      <c r="Q7" s="53">
        <v>1</v>
      </c>
      <c r="R7" s="54"/>
      <c r="S7" s="55"/>
      <c r="T7" s="58">
        <f>H7+I7+J7+K7+N7+P7+R7</f>
        <v>9</v>
      </c>
      <c r="U7" s="58">
        <f>C7*24+M7*24+O7*24+Q7*24+T7</f>
        <v>753</v>
      </c>
      <c r="V7" s="58">
        <f>U7/24</f>
        <v>31.375</v>
      </c>
      <c r="W7" s="50"/>
      <c r="AF7" s="12"/>
      <c r="AG7" s="12"/>
      <c r="AH7" s="12"/>
      <c r="AI7" s="12"/>
      <c r="AJ7" s="12"/>
      <c r="AK7" s="12"/>
      <c r="AL7" s="12"/>
      <c r="AM7" s="12"/>
      <c r="AN7" s="12"/>
      <c r="AO7" s="12"/>
      <c r="AP7" s="12"/>
      <c r="AQ7" s="12"/>
      <c r="AR7" s="12"/>
      <c r="AS7" s="12"/>
      <c r="AT7" s="12"/>
      <c r="AU7" s="12"/>
      <c r="AV7" s="12"/>
      <c r="AW7" s="12"/>
      <c r="AX7" s="12"/>
      <c r="AY7" s="12"/>
      <c r="AZ7" s="12"/>
      <c r="BA7" s="12"/>
      <c r="BB7" s="12"/>
    </row>
    <row r="8" spans="1:54" ht="19.5" thickBot="1" x14ac:dyDescent="0.3">
      <c r="A8" s="27">
        <f>A7+1</f>
        <v>2</v>
      </c>
      <c r="B8" s="42" t="s">
        <v>35</v>
      </c>
      <c r="C8" s="59">
        <f>36+30</f>
        <v>66</v>
      </c>
      <c r="D8" s="59"/>
      <c r="E8" s="59"/>
      <c r="F8" s="59"/>
      <c r="G8" s="59"/>
      <c r="H8" s="59"/>
      <c r="I8" s="59"/>
      <c r="J8" s="60"/>
      <c r="K8" s="61"/>
      <c r="L8" s="62"/>
      <c r="M8" s="63">
        <v>1</v>
      </c>
      <c r="N8" s="64"/>
      <c r="O8" s="65">
        <v>1</v>
      </c>
      <c r="P8" s="66">
        <v>12</v>
      </c>
      <c r="Q8" s="66">
        <v>1</v>
      </c>
      <c r="R8" s="67"/>
      <c r="S8" s="62"/>
      <c r="T8" s="68">
        <f t="shared" ref="T8:T41" si="0">H8+I8+J8+K8+N8+P8+R8</f>
        <v>12</v>
      </c>
      <c r="U8" s="69">
        <f>C8*24+M8*24+O8*24+Q8*24+T8</f>
        <v>1668</v>
      </c>
      <c r="V8" s="69">
        <f>U8/24</f>
        <v>69.5</v>
      </c>
      <c r="W8" s="50"/>
      <c r="AF8" s="12"/>
      <c r="AG8" s="12"/>
      <c r="AH8" s="12"/>
      <c r="AI8" s="12"/>
      <c r="AJ8" s="12"/>
      <c r="AK8" s="12"/>
      <c r="AL8" s="12"/>
      <c r="AM8" s="12"/>
      <c r="AN8" s="12"/>
      <c r="AO8" s="12"/>
      <c r="AP8" s="12"/>
      <c r="AQ8" s="12"/>
      <c r="AR8" s="12"/>
      <c r="AS8" s="12"/>
      <c r="AT8" s="12"/>
      <c r="AU8" s="12"/>
      <c r="AV8" s="12"/>
      <c r="AW8" s="12"/>
      <c r="AX8" s="12"/>
      <c r="AY8" s="12"/>
      <c r="AZ8" s="12"/>
      <c r="BA8" s="12"/>
      <c r="BB8" s="12"/>
    </row>
    <row r="9" spans="1:54" x14ac:dyDescent="0.25">
      <c r="A9" s="27">
        <f t="shared" ref="A9:A57" si="1">A8+1</f>
        <v>3</v>
      </c>
      <c r="B9" s="25" t="s">
        <v>33</v>
      </c>
      <c r="C9" s="70">
        <f>23+30</f>
        <v>53</v>
      </c>
      <c r="D9" s="70"/>
      <c r="E9" s="70"/>
      <c r="F9" s="70"/>
      <c r="G9" s="70"/>
      <c r="H9" s="70"/>
      <c r="I9" s="70"/>
      <c r="J9" s="71"/>
      <c r="K9" s="72"/>
      <c r="L9" s="55"/>
      <c r="M9" s="73"/>
      <c r="N9" s="74"/>
      <c r="O9" s="70">
        <v>1</v>
      </c>
      <c r="P9" s="71"/>
      <c r="Q9" s="71"/>
      <c r="R9" s="72"/>
      <c r="S9" s="55"/>
      <c r="T9" s="75">
        <f t="shared" si="0"/>
        <v>0</v>
      </c>
      <c r="U9" s="76">
        <f t="shared" ref="U9:U11" si="2">C9*24+M9*24+O9*24+Q9*24+T9</f>
        <v>1296</v>
      </c>
      <c r="V9" s="76">
        <f t="shared" ref="V9:V11" si="3">U9/24</f>
        <v>54</v>
      </c>
      <c r="W9" s="50"/>
      <c r="AF9" s="12"/>
      <c r="AG9" s="12"/>
      <c r="AH9" s="12"/>
      <c r="AI9" s="12"/>
      <c r="AJ9" s="12"/>
      <c r="AK9" s="12"/>
      <c r="AL9" s="12"/>
      <c r="AM9" s="12"/>
      <c r="AN9" s="12"/>
      <c r="AO9" s="12"/>
      <c r="AP9" s="12"/>
      <c r="AQ9" s="12"/>
      <c r="AR9" s="12"/>
      <c r="AS9" s="12"/>
      <c r="AT9" s="12"/>
      <c r="AU9" s="12"/>
      <c r="AV9" s="12"/>
      <c r="AW9" s="12"/>
      <c r="AX9" s="12"/>
      <c r="AY9" s="12"/>
      <c r="AZ9" s="12"/>
      <c r="BA9" s="12"/>
      <c r="BB9" s="12"/>
    </row>
    <row r="10" spans="1:54" x14ac:dyDescent="0.25">
      <c r="A10" s="27">
        <f t="shared" si="1"/>
        <v>4</v>
      </c>
      <c r="B10" s="26" t="s">
        <v>36</v>
      </c>
      <c r="C10" s="70">
        <v>9</v>
      </c>
      <c r="D10" s="70"/>
      <c r="E10" s="70"/>
      <c r="F10" s="70"/>
      <c r="G10" s="70"/>
      <c r="H10" s="70"/>
      <c r="I10" s="70"/>
      <c r="J10" s="71"/>
      <c r="K10" s="72"/>
      <c r="L10" s="55"/>
      <c r="M10" s="73"/>
      <c r="N10" s="74"/>
      <c r="O10" s="70">
        <v>1</v>
      </c>
      <c r="P10" s="71"/>
      <c r="Q10" s="71">
        <v>3</v>
      </c>
      <c r="R10" s="72"/>
      <c r="S10" s="55"/>
      <c r="T10" s="58">
        <f t="shared" si="0"/>
        <v>0</v>
      </c>
      <c r="U10" s="58">
        <f t="shared" si="2"/>
        <v>312</v>
      </c>
      <c r="V10" s="58">
        <f t="shared" si="3"/>
        <v>13</v>
      </c>
      <c r="W10" s="50"/>
      <c r="AF10" s="12"/>
      <c r="AG10" s="12"/>
      <c r="AH10" s="12"/>
      <c r="AI10" s="12"/>
      <c r="AJ10" s="12"/>
      <c r="AK10" s="12"/>
      <c r="AL10" s="12"/>
      <c r="AM10" s="12"/>
      <c r="AN10" s="12"/>
      <c r="AO10" s="12"/>
      <c r="AP10" s="12"/>
      <c r="AQ10" s="12"/>
      <c r="AR10" s="12"/>
      <c r="AS10" s="12"/>
      <c r="AT10" s="12"/>
      <c r="AU10" s="12"/>
      <c r="AV10" s="12"/>
      <c r="AW10" s="12"/>
      <c r="AX10" s="12"/>
      <c r="AY10" s="12"/>
      <c r="AZ10" s="12"/>
      <c r="BA10" s="12"/>
      <c r="BB10" s="12"/>
    </row>
    <row r="11" spans="1:54" x14ac:dyDescent="0.25">
      <c r="A11" s="27">
        <f t="shared" si="1"/>
        <v>5</v>
      </c>
      <c r="B11" s="26" t="s">
        <v>34</v>
      </c>
      <c r="C11" s="70"/>
      <c r="D11" s="70"/>
      <c r="E11" s="70"/>
      <c r="F11" s="70"/>
      <c r="G11" s="70"/>
      <c r="H11" s="70"/>
      <c r="I11" s="70"/>
      <c r="J11" s="71"/>
      <c r="K11" s="72">
        <v>2</v>
      </c>
      <c r="L11" s="55"/>
      <c r="M11" s="73"/>
      <c r="N11" s="74"/>
      <c r="O11" s="70"/>
      <c r="P11" s="71"/>
      <c r="Q11" s="71"/>
      <c r="R11" s="72"/>
      <c r="S11" s="55"/>
      <c r="T11" s="58">
        <f t="shared" si="0"/>
        <v>2</v>
      </c>
      <c r="U11" s="58">
        <f t="shared" si="2"/>
        <v>2</v>
      </c>
      <c r="V11" s="58">
        <f t="shared" si="3"/>
        <v>8.3333333333333329E-2</v>
      </c>
      <c r="AF11" s="12"/>
      <c r="AG11" s="12"/>
      <c r="AH11" s="12"/>
      <c r="AI11" s="12"/>
      <c r="AJ11" s="12"/>
      <c r="AK11" s="12"/>
      <c r="AL11" s="12"/>
      <c r="AM11" s="12"/>
      <c r="AN11" s="12"/>
      <c r="AO11" s="12"/>
      <c r="AP11" s="12"/>
      <c r="AQ11" s="12"/>
      <c r="AR11" s="12"/>
      <c r="AS11" s="12"/>
      <c r="AT11" s="12"/>
      <c r="AU11" s="12"/>
      <c r="AV11" s="12"/>
      <c r="AW11" s="12"/>
      <c r="AX11" s="12"/>
      <c r="AY11" s="12"/>
      <c r="AZ11" s="12"/>
      <c r="BA11" s="12"/>
      <c r="BB11" s="12"/>
    </row>
    <row r="12" spans="1:54" s="13" customFormat="1" ht="19.5" thickBot="1" x14ac:dyDescent="0.3">
      <c r="A12" s="27">
        <v>7</v>
      </c>
      <c r="B12" s="42" t="s">
        <v>30</v>
      </c>
      <c r="C12" s="70">
        <f>1224+53+504+62+1080+29+4</f>
        <v>2956</v>
      </c>
      <c r="D12" s="70"/>
      <c r="E12" s="70"/>
      <c r="F12" s="70"/>
      <c r="G12" s="70"/>
      <c r="H12" s="70"/>
      <c r="I12" s="70"/>
      <c r="J12" s="71"/>
      <c r="K12" s="72"/>
      <c r="L12" s="55"/>
      <c r="M12" s="73">
        <v>16</v>
      </c>
      <c r="N12" s="74">
        <v>10</v>
      </c>
      <c r="O12" s="70">
        <v>11</v>
      </c>
      <c r="P12" s="71">
        <v>7</v>
      </c>
      <c r="Q12" s="71">
        <v>25</v>
      </c>
      <c r="R12" s="72">
        <v>7</v>
      </c>
      <c r="S12" s="62"/>
      <c r="T12" s="69">
        <f t="shared" si="0"/>
        <v>24</v>
      </c>
      <c r="U12" s="69">
        <f>C12*24+M12*24+O12*24+Q12*24+T12</f>
        <v>72216</v>
      </c>
      <c r="V12" s="69">
        <f>U12/24</f>
        <v>3009</v>
      </c>
      <c r="W12" s="9"/>
      <c r="X12" s="9"/>
      <c r="Y12" s="9"/>
      <c r="Z12" s="9"/>
      <c r="AA12" s="9"/>
      <c r="AB12" s="9"/>
      <c r="AC12" s="9"/>
      <c r="AD12" s="9"/>
      <c r="AE12" s="9"/>
      <c r="AF12" s="12"/>
      <c r="AG12" s="12"/>
      <c r="AH12" s="12"/>
      <c r="AI12" s="12"/>
      <c r="AJ12" s="12"/>
      <c r="AK12" s="12"/>
      <c r="AL12" s="12"/>
      <c r="AM12" s="12"/>
      <c r="AN12" s="12"/>
      <c r="AO12" s="12"/>
      <c r="AP12" s="12"/>
      <c r="AQ12" s="12"/>
      <c r="AR12" s="12"/>
      <c r="AS12" s="12"/>
      <c r="AT12" s="12"/>
      <c r="AU12" s="12"/>
      <c r="AV12" s="12"/>
      <c r="AW12" s="12"/>
      <c r="AX12" s="12"/>
      <c r="AY12" s="12"/>
      <c r="AZ12" s="12"/>
      <c r="BA12" s="12"/>
      <c r="BB12" s="12"/>
    </row>
    <row r="13" spans="1:54" x14ac:dyDescent="0.25">
      <c r="A13" s="27">
        <v>11</v>
      </c>
      <c r="B13" s="25" t="s">
        <v>1</v>
      </c>
      <c r="C13" s="70">
        <v>2</v>
      </c>
      <c r="D13" s="70"/>
      <c r="E13" s="70"/>
      <c r="F13" s="70"/>
      <c r="G13" s="70"/>
      <c r="H13" s="70">
        <v>16</v>
      </c>
      <c r="I13" s="70"/>
      <c r="J13" s="71"/>
      <c r="K13" s="72"/>
      <c r="L13" s="55"/>
      <c r="M13" s="73"/>
      <c r="N13" s="74"/>
      <c r="O13" s="70"/>
      <c r="P13" s="71"/>
      <c r="Q13" s="71"/>
      <c r="R13" s="72"/>
      <c r="S13" s="55"/>
      <c r="T13" s="76">
        <f t="shared" si="0"/>
        <v>16</v>
      </c>
      <c r="U13" s="76">
        <f>C13*24+M13*24+O13*24+Q13*24+T13</f>
        <v>64</v>
      </c>
      <c r="V13" s="76">
        <f>U13/24</f>
        <v>2.6666666666666665</v>
      </c>
      <c r="AF13" s="12"/>
      <c r="AG13" s="12"/>
      <c r="AH13" s="12"/>
      <c r="AI13" s="12"/>
      <c r="AJ13" s="12"/>
      <c r="AK13" s="12"/>
      <c r="AL13" s="12"/>
      <c r="AM13" s="12"/>
      <c r="AN13" s="12"/>
      <c r="AO13" s="12"/>
      <c r="AP13" s="12"/>
      <c r="AQ13" s="12"/>
      <c r="AR13" s="12"/>
      <c r="AS13" s="12"/>
      <c r="AT13" s="12"/>
      <c r="AU13" s="12"/>
      <c r="AV13" s="12"/>
      <c r="AW13" s="12"/>
      <c r="AX13" s="12"/>
      <c r="AY13" s="12"/>
      <c r="AZ13" s="12"/>
      <c r="BA13" s="12"/>
      <c r="BB13" s="12"/>
    </row>
    <row r="14" spans="1:54" x14ac:dyDescent="0.25">
      <c r="A14" s="27">
        <f t="shared" si="1"/>
        <v>12</v>
      </c>
      <c r="B14" s="26" t="s">
        <v>2</v>
      </c>
      <c r="C14" s="70">
        <v>2</v>
      </c>
      <c r="D14" s="70"/>
      <c r="E14" s="70"/>
      <c r="F14" s="70"/>
      <c r="G14" s="70"/>
      <c r="H14" s="70"/>
      <c r="I14" s="70"/>
      <c r="J14" s="71"/>
      <c r="K14" s="72"/>
      <c r="L14" s="55"/>
      <c r="M14" s="73"/>
      <c r="N14" s="74"/>
      <c r="O14" s="70"/>
      <c r="P14" s="71"/>
      <c r="Q14" s="71"/>
      <c r="R14" s="72"/>
      <c r="S14" s="55"/>
      <c r="T14" s="58">
        <f t="shared" si="0"/>
        <v>0</v>
      </c>
      <c r="U14" s="75">
        <f t="shared" ref="U14:U36" si="4">C14*24+M14*24+O14*24+Q14*24+T14</f>
        <v>48</v>
      </c>
      <c r="V14" s="75">
        <f t="shared" ref="V14:V36" si="5">U14/24</f>
        <v>2</v>
      </c>
      <c r="AF14" s="12"/>
      <c r="AG14" s="12"/>
      <c r="AH14" s="12"/>
      <c r="AI14" s="12"/>
      <c r="AJ14" s="12"/>
      <c r="AK14" s="12"/>
      <c r="AL14" s="12"/>
      <c r="AM14" s="12"/>
      <c r="AN14" s="12"/>
      <c r="AO14" s="12"/>
      <c r="AP14" s="12"/>
      <c r="AQ14" s="12"/>
      <c r="AR14" s="12"/>
      <c r="AS14" s="12"/>
      <c r="AT14" s="12"/>
      <c r="AU14" s="12"/>
      <c r="AV14" s="12"/>
      <c r="AW14" s="12"/>
      <c r="AX14" s="12"/>
      <c r="AY14" s="12"/>
      <c r="AZ14" s="12"/>
      <c r="BA14" s="12"/>
      <c r="BB14" s="12"/>
    </row>
    <row r="15" spans="1:54" x14ac:dyDescent="0.25">
      <c r="A15" s="27">
        <f t="shared" si="1"/>
        <v>13</v>
      </c>
      <c r="B15" s="26" t="s">
        <v>3</v>
      </c>
      <c r="C15" s="70"/>
      <c r="D15" s="70"/>
      <c r="E15" s="70"/>
      <c r="F15" s="70"/>
      <c r="G15" s="70"/>
      <c r="H15" s="70"/>
      <c r="I15" s="70"/>
      <c r="J15" s="71"/>
      <c r="K15" s="72"/>
      <c r="L15" s="55"/>
      <c r="M15" s="73"/>
      <c r="N15" s="74"/>
      <c r="O15" s="70"/>
      <c r="P15" s="71"/>
      <c r="Q15" s="71"/>
      <c r="R15" s="72"/>
      <c r="S15" s="55"/>
      <c r="T15" s="58">
        <f t="shared" si="0"/>
        <v>0</v>
      </c>
      <c r="U15" s="75">
        <f t="shared" si="4"/>
        <v>0</v>
      </c>
      <c r="V15" s="75">
        <f t="shared" si="5"/>
        <v>0</v>
      </c>
      <c r="AF15" s="12"/>
      <c r="AG15" s="12"/>
      <c r="AH15" s="12"/>
      <c r="AI15" s="12"/>
      <c r="AJ15" s="12"/>
      <c r="AK15" s="12"/>
      <c r="AL15" s="12"/>
      <c r="AM15" s="12"/>
      <c r="AN15" s="12"/>
      <c r="AO15" s="12"/>
      <c r="AP15" s="12"/>
      <c r="AQ15" s="12"/>
      <c r="AR15" s="12"/>
      <c r="AS15" s="12"/>
      <c r="AT15" s="12"/>
      <c r="AU15" s="12"/>
      <c r="AV15" s="12"/>
      <c r="AW15" s="12"/>
      <c r="AX15" s="12"/>
      <c r="AY15" s="12"/>
      <c r="AZ15" s="12"/>
      <c r="BA15" s="12"/>
      <c r="BB15" s="12"/>
    </row>
    <row r="16" spans="1:54" x14ac:dyDescent="0.25">
      <c r="A16" s="27">
        <f t="shared" si="1"/>
        <v>14</v>
      </c>
      <c r="B16" s="26" t="s">
        <v>4</v>
      </c>
      <c r="C16" s="70"/>
      <c r="D16" s="70"/>
      <c r="E16" s="70"/>
      <c r="F16" s="70"/>
      <c r="G16" s="70"/>
      <c r="H16" s="70"/>
      <c r="I16" s="70"/>
      <c r="J16" s="71"/>
      <c r="K16" s="72"/>
      <c r="L16" s="55"/>
      <c r="M16" s="73"/>
      <c r="N16" s="74"/>
      <c r="O16" s="70"/>
      <c r="P16" s="71"/>
      <c r="Q16" s="71"/>
      <c r="R16" s="72"/>
      <c r="S16" s="55"/>
      <c r="T16" s="58">
        <f t="shared" si="0"/>
        <v>0</v>
      </c>
      <c r="U16" s="75">
        <f t="shared" si="4"/>
        <v>0</v>
      </c>
      <c r="V16" s="75">
        <f t="shared" si="5"/>
        <v>0</v>
      </c>
      <c r="AF16" s="12"/>
      <c r="AG16" s="12"/>
      <c r="AH16" s="12"/>
      <c r="AI16" s="12"/>
      <c r="AJ16" s="12"/>
      <c r="AK16" s="12"/>
      <c r="AL16" s="12"/>
      <c r="AM16" s="12"/>
      <c r="AN16" s="12"/>
      <c r="AO16" s="12"/>
      <c r="AP16" s="12"/>
      <c r="AQ16" s="12"/>
      <c r="AR16" s="12"/>
      <c r="AS16" s="12"/>
      <c r="AT16" s="12"/>
      <c r="AU16" s="12"/>
      <c r="AV16" s="12"/>
      <c r="AW16" s="12"/>
      <c r="AX16" s="12"/>
      <c r="AY16" s="12"/>
      <c r="AZ16" s="12"/>
      <c r="BA16" s="12"/>
      <c r="BB16" s="12"/>
    </row>
    <row r="17" spans="1:54" x14ac:dyDescent="0.25">
      <c r="A17" s="27">
        <f t="shared" si="1"/>
        <v>15</v>
      </c>
      <c r="B17" s="26" t="s">
        <v>5</v>
      </c>
      <c r="C17" s="70"/>
      <c r="D17" s="70"/>
      <c r="E17" s="70"/>
      <c r="F17" s="70"/>
      <c r="G17" s="70"/>
      <c r="H17" s="70">
        <f>3*24</f>
        <v>72</v>
      </c>
      <c r="I17" s="70"/>
      <c r="J17" s="71"/>
      <c r="K17" s="72"/>
      <c r="L17" s="55"/>
      <c r="M17" s="73"/>
      <c r="N17" s="74"/>
      <c r="O17" s="70"/>
      <c r="P17" s="71"/>
      <c r="Q17" s="71"/>
      <c r="R17" s="72"/>
      <c r="S17" s="55"/>
      <c r="T17" s="58">
        <f t="shared" si="0"/>
        <v>72</v>
      </c>
      <c r="U17" s="75">
        <f t="shared" si="4"/>
        <v>72</v>
      </c>
      <c r="V17" s="75">
        <f t="shared" si="5"/>
        <v>3</v>
      </c>
      <c r="AF17" s="12"/>
      <c r="AG17" s="12"/>
      <c r="AH17" s="12"/>
      <c r="AI17" s="12"/>
      <c r="AJ17" s="12"/>
      <c r="AK17" s="12"/>
      <c r="AL17" s="12"/>
      <c r="AM17" s="12"/>
      <c r="AN17" s="12"/>
      <c r="AO17" s="12"/>
      <c r="AP17" s="12"/>
      <c r="AQ17" s="12"/>
      <c r="AR17" s="12"/>
      <c r="AS17" s="12"/>
      <c r="AT17" s="12"/>
      <c r="AU17" s="12"/>
      <c r="AV17" s="12"/>
      <c r="AW17" s="12"/>
      <c r="AX17" s="12"/>
      <c r="AY17" s="12"/>
      <c r="AZ17" s="12"/>
      <c r="BA17" s="12"/>
      <c r="BB17" s="12"/>
    </row>
    <row r="18" spans="1:54" hidden="1" x14ac:dyDescent="0.25">
      <c r="A18" s="27">
        <f t="shared" si="1"/>
        <v>16</v>
      </c>
      <c r="B18" s="26" t="s">
        <v>9</v>
      </c>
      <c r="C18" s="70"/>
      <c r="D18" s="70"/>
      <c r="E18" s="70"/>
      <c r="F18" s="70"/>
      <c r="G18" s="70"/>
      <c r="H18" s="70"/>
      <c r="I18" s="70"/>
      <c r="J18" s="71"/>
      <c r="K18" s="72"/>
      <c r="L18" s="55"/>
      <c r="M18" s="73"/>
      <c r="N18" s="74"/>
      <c r="O18" s="70"/>
      <c r="P18" s="71"/>
      <c r="Q18" s="71"/>
      <c r="R18" s="72"/>
      <c r="S18" s="55"/>
      <c r="T18" s="58">
        <f t="shared" si="0"/>
        <v>0</v>
      </c>
      <c r="U18" s="75">
        <f t="shared" si="4"/>
        <v>0</v>
      </c>
      <c r="V18" s="75">
        <f t="shared" si="5"/>
        <v>0</v>
      </c>
      <c r="AF18" s="12"/>
      <c r="AG18" s="12"/>
      <c r="AH18" s="12"/>
      <c r="AI18" s="12"/>
      <c r="AJ18" s="12"/>
      <c r="AK18" s="12"/>
      <c r="AL18" s="12"/>
      <c r="AM18" s="12"/>
      <c r="AN18" s="12"/>
      <c r="AO18" s="12"/>
      <c r="AP18" s="12"/>
      <c r="AQ18" s="12"/>
      <c r="AR18" s="12"/>
      <c r="AS18" s="12"/>
      <c r="AT18" s="12"/>
      <c r="AU18" s="12"/>
      <c r="AV18" s="12"/>
      <c r="AW18" s="12"/>
      <c r="AX18" s="12"/>
      <c r="AY18" s="12"/>
      <c r="AZ18" s="12"/>
      <c r="BA18" s="12"/>
      <c r="BB18" s="12"/>
    </row>
    <row r="19" spans="1:54" x14ac:dyDescent="0.25">
      <c r="A19" s="27">
        <v>16</v>
      </c>
      <c r="B19" s="26" t="s">
        <v>53</v>
      </c>
      <c r="C19" s="70">
        <v>1</v>
      </c>
      <c r="D19" s="70"/>
      <c r="E19" s="70"/>
      <c r="F19" s="70"/>
      <c r="G19" s="70"/>
      <c r="H19" s="70">
        <f>20+24</f>
        <v>44</v>
      </c>
      <c r="I19" s="70"/>
      <c r="J19" s="71"/>
      <c r="K19" s="72"/>
      <c r="L19" s="55"/>
      <c r="M19" s="73"/>
      <c r="N19" s="74"/>
      <c r="O19" s="70"/>
      <c r="P19" s="71"/>
      <c r="Q19" s="71"/>
      <c r="R19" s="72"/>
      <c r="S19" s="55"/>
      <c r="T19" s="58">
        <f t="shared" si="0"/>
        <v>44</v>
      </c>
      <c r="U19" s="75">
        <f t="shared" si="4"/>
        <v>68</v>
      </c>
      <c r="V19" s="75">
        <f t="shared" si="5"/>
        <v>2.8333333333333335</v>
      </c>
      <c r="AF19" s="12"/>
      <c r="AG19" s="12"/>
      <c r="AH19" s="12"/>
      <c r="AI19" s="12"/>
      <c r="AJ19" s="12"/>
      <c r="AK19" s="12"/>
      <c r="AL19" s="12"/>
      <c r="AM19" s="12"/>
      <c r="AN19" s="12"/>
      <c r="AO19" s="12"/>
      <c r="AP19" s="12"/>
      <c r="AQ19" s="12"/>
      <c r="AR19" s="12"/>
      <c r="AS19" s="12"/>
      <c r="AT19" s="12"/>
      <c r="AU19" s="12"/>
      <c r="AV19" s="12"/>
      <c r="AW19" s="12"/>
      <c r="AX19" s="12"/>
      <c r="AY19" s="12"/>
      <c r="AZ19" s="12"/>
      <c r="BA19" s="12"/>
      <c r="BB19" s="12"/>
    </row>
    <row r="20" spans="1:54" x14ac:dyDescent="0.25">
      <c r="A20" s="27">
        <f t="shared" si="1"/>
        <v>17</v>
      </c>
      <c r="B20" s="26" t="s">
        <v>6</v>
      </c>
      <c r="C20" s="70">
        <v>5</v>
      </c>
      <c r="D20" s="70"/>
      <c r="E20" s="70"/>
      <c r="F20" s="70"/>
      <c r="G20" s="70"/>
      <c r="H20" s="70"/>
      <c r="I20" s="70"/>
      <c r="J20" s="71"/>
      <c r="K20" s="72"/>
      <c r="L20" s="55"/>
      <c r="M20" s="73"/>
      <c r="N20" s="74"/>
      <c r="O20" s="70"/>
      <c r="P20" s="71"/>
      <c r="Q20" s="71"/>
      <c r="R20" s="72"/>
      <c r="S20" s="55"/>
      <c r="T20" s="58">
        <f t="shared" si="0"/>
        <v>0</v>
      </c>
      <c r="U20" s="75">
        <f t="shared" si="4"/>
        <v>120</v>
      </c>
      <c r="V20" s="75">
        <f t="shared" si="5"/>
        <v>5</v>
      </c>
      <c r="AF20" s="12"/>
      <c r="AG20" s="12"/>
      <c r="AH20" s="12"/>
      <c r="AI20" s="12"/>
      <c r="AJ20" s="12"/>
      <c r="AK20" s="12"/>
      <c r="AL20" s="12"/>
      <c r="AM20" s="12"/>
      <c r="AN20" s="12"/>
      <c r="AO20" s="12"/>
      <c r="AP20" s="12"/>
      <c r="AQ20" s="12"/>
      <c r="AR20" s="12"/>
      <c r="AS20" s="12"/>
      <c r="AT20" s="12"/>
      <c r="AU20" s="12"/>
      <c r="AV20" s="12"/>
      <c r="AW20" s="12"/>
      <c r="AX20" s="12"/>
      <c r="AY20" s="12"/>
      <c r="AZ20" s="12"/>
      <c r="BA20" s="12"/>
      <c r="BB20" s="12"/>
    </row>
    <row r="21" spans="1:54" x14ac:dyDescent="0.25">
      <c r="A21" s="27">
        <f t="shared" si="1"/>
        <v>18</v>
      </c>
      <c r="B21" s="26" t="s">
        <v>7</v>
      </c>
      <c r="C21" s="70"/>
      <c r="D21" s="70"/>
      <c r="E21" s="70"/>
      <c r="F21" s="70"/>
      <c r="G21" s="70"/>
      <c r="H21" s="70">
        <f>2*24</f>
        <v>48</v>
      </c>
      <c r="I21" s="70"/>
      <c r="J21" s="71"/>
      <c r="K21" s="72"/>
      <c r="L21" s="55"/>
      <c r="M21" s="73"/>
      <c r="N21" s="74"/>
      <c r="O21" s="70"/>
      <c r="P21" s="71"/>
      <c r="Q21" s="71"/>
      <c r="R21" s="72"/>
      <c r="S21" s="55"/>
      <c r="T21" s="58">
        <f t="shared" si="0"/>
        <v>48</v>
      </c>
      <c r="U21" s="75">
        <f t="shared" si="4"/>
        <v>48</v>
      </c>
      <c r="V21" s="75">
        <f t="shared" si="5"/>
        <v>2</v>
      </c>
      <c r="AF21" s="12"/>
      <c r="AG21" s="12"/>
      <c r="AH21" s="12"/>
      <c r="AI21" s="12"/>
      <c r="AJ21" s="12"/>
      <c r="AK21" s="12"/>
      <c r="AL21" s="12"/>
      <c r="AM21" s="12"/>
      <c r="AN21" s="12"/>
      <c r="AO21" s="12"/>
      <c r="AP21" s="12"/>
      <c r="AQ21" s="12"/>
      <c r="AR21" s="12"/>
      <c r="AS21" s="12"/>
      <c r="AT21" s="12"/>
      <c r="AU21" s="12"/>
      <c r="AV21" s="12"/>
      <c r="AW21" s="12"/>
      <c r="AX21" s="12"/>
      <c r="AY21" s="12"/>
      <c r="AZ21" s="12"/>
      <c r="BA21" s="12"/>
      <c r="BB21" s="12"/>
    </row>
    <row r="22" spans="1:54" s="13" customFormat="1" x14ac:dyDescent="0.25">
      <c r="A22" s="27">
        <f t="shared" si="1"/>
        <v>19</v>
      </c>
      <c r="B22" s="26" t="s">
        <v>54</v>
      </c>
      <c r="C22" s="70">
        <v>1</v>
      </c>
      <c r="D22" s="70"/>
      <c r="E22" s="70"/>
      <c r="F22" s="70"/>
      <c r="G22" s="70"/>
      <c r="H22" s="70"/>
      <c r="I22" s="70">
        <v>20</v>
      </c>
      <c r="J22" s="71"/>
      <c r="K22" s="72"/>
      <c r="L22" s="55"/>
      <c r="M22" s="73"/>
      <c r="N22" s="74"/>
      <c r="O22" s="70"/>
      <c r="P22" s="71"/>
      <c r="Q22" s="71"/>
      <c r="R22" s="72"/>
      <c r="S22" s="55"/>
      <c r="T22" s="58">
        <f t="shared" si="0"/>
        <v>20</v>
      </c>
      <c r="U22" s="75">
        <f t="shared" si="4"/>
        <v>44</v>
      </c>
      <c r="V22" s="75">
        <f t="shared" si="5"/>
        <v>1.8333333333333333</v>
      </c>
      <c r="W22" s="9"/>
      <c r="X22" s="9"/>
      <c r="Y22" s="9"/>
      <c r="Z22" s="9"/>
      <c r="AA22" s="9"/>
      <c r="AB22" s="9"/>
      <c r="AC22" s="9"/>
      <c r="AD22" s="9"/>
      <c r="AE22" s="9"/>
      <c r="AF22" s="12"/>
      <c r="AG22" s="12"/>
      <c r="AH22" s="12"/>
      <c r="AI22" s="12"/>
      <c r="AJ22" s="12"/>
      <c r="AK22" s="12"/>
      <c r="AL22" s="12"/>
      <c r="AM22" s="12"/>
      <c r="AN22" s="12"/>
      <c r="AO22" s="12"/>
      <c r="AP22" s="12"/>
      <c r="AQ22" s="12"/>
      <c r="AR22" s="12"/>
      <c r="AS22" s="12"/>
      <c r="AT22" s="12"/>
      <c r="AU22" s="12"/>
      <c r="AV22" s="12"/>
      <c r="AW22" s="12"/>
      <c r="AX22" s="12"/>
      <c r="AY22" s="12"/>
      <c r="AZ22" s="12"/>
      <c r="BA22" s="12"/>
      <c r="BB22" s="12"/>
    </row>
    <row r="23" spans="1:54" s="13" customFormat="1" x14ac:dyDescent="0.25">
      <c r="A23" s="27">
        <f t="shared" si="1"/>
        <v>20</v>
      </c>
      <c r="B23" s="26" t="s">
        <v>55</v>
      </c>
      <c r="C23" s="70"/>
      <c r="D23" s="70"/>
      <c r="E23" s="70"/>
      <c r="F23" s="70"/>
      <c r="G23" s="70"/>
      <c r="H23" s="70">
        <f>37*24+19</f>
        <v>907</v>
      </c>
      <c r="I23" s="70"/>
      <c r="J23" s="71"/>
      <c r="K23" s="72"/>
      <c r="L23" s="55"/>
      <c r="M23" s="73"/>
      <c r="N23" s="74"/>
      <c r="O23" s="70"/>
      <c r="P23" s="71"/>
      <c r="Q23" s="71"/>
      <c r="R23" s="72"/>
      <c r="S23" s="55"/>
      <c r="T23" s="58">
        <f t="shared" si="0"/>
        <v>907</v>
      </c>
      <c r="U23" s="75">
        <f t="shared" si="4"/>
        <v>907</v>
      </c>
      <c r="V23" s="75">
        <f t="shared" si="5"/>
        <v>37.791666666666664</v>
      </c>
      <c r="W23" s="9"/>
      <c r="X23" s="9"/>
      <c r="Y23" s="9"/>
      <c r="Z23" s="9"/>
      <c r="AA23" s="9"/>
      <c r="AB23" s="9"/>
      <c r="AC23" s="9"/>
      <c r="AD23" s="9"/>
      <c r="AE23" s="9"/>
      <c r="AF23" s="12"/>
      <c r="AG23" s="12"/>
      <c r="AH23" s="12"/>
      <c r="AI23" s="12"/>
      <c r="AJ23" s="12"/>
      <c r="AK23" s="12"/>
      <c r="AL23" s="12"/>
      <c r="AM23" s="12"/>
      <c r="AN23" s="12"/>
      <c r="AO23" s="12"/>
      <c r="AP23" s="12"/>
      <c r="AQ23" s="12"/>
      <c r="AR23" s="12"/>
      <c r="AS23" s="12"/>
      <c r="AT23" s="12"/>
      <c r="AU23" s="12"/>
      <c r="AV23" s="12"/>
      <c r="AW23" s="12"/>
      <c r="AX23" s="12"/>
      <c r="AY23" s="12"/>
      <c r="AZ23" s="12"/>
      <c r="BA23" s="12"/>
      <c r="BB23" s="12"/>
    </row>
    <row r="24" spans="1:54" x14ac:dyDescent="0.25">
      <c r="A24" s="27">
        <f t="shared" si="1"/>
        <v>21</v>
      </c>
      <c r="B24" s="26" t="s">
        <v>56</v>
      </c>
      <c r="C24" s="70">
        <v>2</v>
      </c>
      <c r="D24" s="70"/>
      <c r="E24" s="70"/>
      <c r="F24" s="70"/>
      <c r="G24" s="70"/>
      <c r="H24" s="70">
        <f>3*24</f>
        <v>72</v>
      </c>
      <c r="I24" s="70"/>
      <c r="J24" s="71"/>
      <c r="K24" s="72"/>
      <c r="L24" s="55"/>
      <c r="M24" s="73"/>
      <c r="N24" s="74"/>
      <c r="O24" s="70"/>
      <c r="P24" s="71"/>
      <c r="Q24" s="71"/>
      <c r="R24" s="72"/>
      <c r="S24" s="55"/>
      <c r="T24" s="58">
        <f t="shared" si="0"/>
        <v>72</v>
      </c>
      <c r="U24" s="75">
        <f t="shared" si="4"/>
        <v>120</v>
      </c>
      <c r="V24" s="75">
        <f t="shared" si="5"/>
        <v>5</v>
      </c>
      <c r="AF24" s="12"/>
      <c r="AG24" s="12"/>
      <c r="AH24" s="12"/>
      <c r="AI24" s="12"/>
      <c r="AJ24" s="12"/>
      <c r="AK24" s="12"/>
      <c r="AL24" s="12"/>
      <c r="AM24" s="12"/>
      <c r="AN24" s="12"/>
      <c r="AO24" s="12"/>
      <c r="AP24" s="12"/>
      <c r="AQ24" s="12"/>
      <c r="AR24" s="12"/>
      <c r="AS24" s="12"/>
      <c r="AT24" s="12"/>
      <c r="AU24" s="12"/>
      <c r="AV24" s="12"/>
      <c r="AW24" s="12"/>
      <c r="AX24" s="12"/>
      <c r="AY24" s="12"/>
      <c r="AZ24" s="12"/>
      <c r="BA24" s="12"/>
      <c r="BB24" s="12"/>
    </row>
    <row r="25" spans="1:54" x14ac:dyDescent="0.25">
      <c r="A25" s="27">
        <f t="shared" si="1"/>
        <v>22</v>
      </c>
      <c r="B25" s="26" t="s">
        <v>8</v>
      </c>
      <c r="C25" s="70">
        <f>7+126</f>
        <v>133</v>
      </c>
      <c r="D25" s="70"/>
      <c r="E25" s="70"/>
      <c r="F25" s="70"/>
      <c r="G25" s="70"/>
      <c r="H25" s="70"/>
      <c r="I25" s="70"/>
      <c r="J25" s="71">
        <v>1</v>
      </c>
      <c r="K25" s="72"/>
      <c r="L25" s="55"/>
      <c r="M25" s="73"/>
      <c r="N25" s="74"/>
      <c r="O25" s="70">
        <v>1</v>
      </c>
      <c r="P25" s="71"/>
      <c r="Q25" s="71">
        <v>2</v>
      </c>
      <c r="R25" s="72"/>
      <c r="S25" s="55"/>
      <c r="T25" s="58">
        <f t="shared" si="0"/>
        <v>1</v>
      </c>
      <c r="U25" s="75">
        <f t="shared" si="4"/>
        <v>3265</v>
      </c>
      <c r="V25" s="75">
        <f t="shared" si="5"/>
        <v>136.04166666666666</v>
      </c>
      <c r="AY25" s="14" t="e">
        <f>#REF!-AY24</f>
        <v>#REF!</v>
      </c>
    </row>
    <row r="26" spans="1:54" s="13" customFormat="1" x14ac:dyDescent="0.25">
      <c r="A26" s="27">
        <f t="shared" si="1"/>
        <v>23</v>
      </c>
      <c r="B26" s="26" t="s">
        <v>10</v>
      </c>
      <c r="C26" s="70">
        <v>5</v>
      </c>
      <c r="D26" s="70"/>
      <c r="E26" s="70"/>
      <c r="F26" s="70"/>
      <c r="G26" s="70"/>
      <c r="H26" s="70"/>
      <c r="I26" s="70"/>
      <c r="J26" s="71"/>
      <c r="K26" s="72"/>
      <c r="L26" s="55"/>
      <c r="M26" s="73"/>
      <c r="N26" s="74"/>
      <c r="O26" s="70"/>
      <c r="P26" s="71"/>
      <c r="Q26" s="71"/>
      <c r="R26" s="72"/>
      <c r="S26" s="55"/>
      <c r="T26" s="58">
        <f t="shared" si="0"/>
        <v>0</v>
      </c>
      <c r="U26" s="75">
        <f t="shared" si="4"/>
        <v>120</v>
      </c>
      <c r="V26" s="75">
        <f t="shared" si="5"/>
        <v>5</v>
      </c>
      <c r="W26" s="9"/>
      <c r="X26" s="9"/>
      <c r="Y26" s="9"/>
      <c r="Z26" s="9"/>
      <c r="AA26" s="9"/>
      <c r="AB26" s="9"/>
      <c r="AC26" s="9"/>
      <c r="AD26" s="9"/>
      <c r="AE26" s="9"/>
    </row>
    <row r="27" spans="1:54" s="13" customFormat="1" x14ac:dyDescent="0.25">
      <c r="A27" s="27">
        <f t="shared" si="1"/>
        <v>24</v>
      </c>
      <c r="B27" s="26" t="s">
        <v>69</v>
      </c>
      <c r="C27" s="70">
        <v>1</v>
      </c>
      <c r="D27" s="70"/>
      <c r="E27" s="70"/>
      <c r="F27" s="70"/>
      <c r="G27" s="70"/>
      <c r="H27" s="70"/>
      <c r="I27" s="70"/>
      <c r="J27" s="71"/>
      <c r="K27" s="72"/>
      <c r="L27" s="55"/>
      <c r="M27" s="73"/>
      <c r="N27" s="74"/>
      <c r="O27" s="70"/>
      <c r="P27" s="71"/>
      <c r="Q27" s="71"/>
      <c r="R27" s="72"/>
      <c r="S27" s="55"/>
      <c r="T27" s="58">
        <f t="shared" si="0"/>
        <v>0</v>
      </c>
      <c r="U27" s="75">
        <f t="shared" si="4"/>
        <v>24</v>
      </c>
      <c r="V27" s="75">
        <f t="shared" si="5"/>
        <v>1</v>
      </c>
      <c r="W27" s="9"/>
      <c r="X27" s="9"/>
      <c r="Y27" s="9"/>
      <c r="Z27" s="9"/>
      <c r="AA27" s="9"/>
      <c r="AB27" s="9"/>
      <c r="AC27" s="9"/>
      <c r="AD27" s="9"/>
      <c r="AE27" s="9"/>
    </row>
    <row r="28" spans="1:54" s="13" customFormat="1" x14ac:dyDescent="0.25">
      <c r="A28" s="27">
        <f t="shared" si="1"/>
        <v>25</v>
      </c>
      <c r="B28" s="26" t="s">
        <v>11</v>
      </c>
      <c r="C28" s="70">
        <f>252+40</f>
        <v>292</v>
      </c>
      <c r="D28" s="70"/>
      <c r="E28" s="70"/>
      <c r="F28" s="70"/>
      <c r="G28" s="70"/>
      <c r="H28" s="70"/>
      <c r="I28" s="70"/>
      <c r="J28" s="71"/>
      <c r="K28" s="72"/>
      <c r="L28" s="55"/>
      <c r="M28" s="73"/>
      <c r="N28" s="74"/>
      <c r="O28" s="70">
        <v>2</v>
      </c>
      <c r="P28" s="71"/>
      <c r="Q28" s="71">
        <v>5</v>
      </c>
      <c r="R28" s="72"/>
      <c r="S28" s="55"/>
      <c r="T28" s="58">
        <f t="shared" si="0"/>
        <v>0</v>
      </c>
      <c r="U28" s="75">
        <f t="shared" si="4"/>
        <v>7176</v>
      </c>
      <c r="V28" s="75">
        <f t="shared" si="5"/>
        <v>299</v>
      </c>
      <c r="W28" s="9"/>
      <c r="X28" s="9"/>
      <c r="Y28" s="9"/>
      <c r="Z28" s="9"/>
      <c r="AA28" s="9"/>
      <c r="AB28" s="9"/>
      <c r="AC28" s="9"/>
      <c r="AD28" s="9"/>
      <c r="AE28" s="9"/>
    </row>
    <row r="29" spans="1:54" x14ac:dyDescent="0.25">
      <c r="A29" s="27">
        <f t="shared" si="1"/>
        <v>26</v>
      </c>
      <c r="B29" s="26" t="s">
        <v>13</v>
      </c>
      <c r="C29" s="70"/>
      <c r="D29" s="70"/>
      <c r="E29" s="70"/>
      <c r="F29" s="70"/>
      <c r="G29" s="70"/>
      <c r="H29" s="70"/>
      <c r="I29" s="70"/>
      <c r="J29" s="71">
        <v>5</v>
      </c>
      <c r="K29" s="72"/>
      <c r="L29" s="55"/>
      <c r="M29" s="73"/>
      <c r="N29" s="74"/>
      <c r="O29" s="70"/>
      <c r="P29" s="71"/>
      <c r="Q29" s="71"/>
      <c r="R29" s="72"/>
      <c r="S29" s="55"/>
      <c r="T29" s="58">
        <f t="shared" si="0"/>
        <v>5</v>
      </c>
      <c r="U29" s="75">
        <f t="shared" si="4"/>
        <v>5</v>
      </c>
      <c r="V29" s="75">
        <f t="shared" si="5"/>
        <v>0.20833333333333334</v>
      </c>
    </row>
    <row r="30" spans="1:54" x14ac:dyDescent="0.25">
      <c r="A30" s="27">
        <f t="shared" si="1"/>
        <v>27</v>
      </c>
      <c r="B30" s="26" t="s">
        <v>15</v>
      </c>
      <c r="C30" s="70"/>
      <c r="D30" s="70"/>
      <c r="E30" s="70"/>
      <c r="F30" s="70"/>
      <c r="G30" s="70"/>
      <c r="H30" s="70"/>
      <c r="I30" s="70"/>
      <c r="J30" s="71"/>
      <c r="K30" s="72"/>
      <c r="L30" s="55"/>
      <c r="M30" s="73"/>
      <c r="N30" s="74"/>
      <c r="O30" s="70"/>
      <c r="P30" s="71"/>
      <c r="Q30" s="71"/>
      <c r="R30" s="72"/>
      <c r="S30" s="55"/>
      <c r="T30" s="58">
        <f t="shared" si="0"/>
        <v>0</v>
      </c>
      <c r="U30" s="75">
        <f t="shared" si="4"/>
        <v>0</v>
      </c>
      <c r="V30" s="75">
        <f t="shared" si="5"/>
        <v>0</v>
      </c>
    </row>
    <row r="31" spans="1:54" x14ac:dyDescent="0.25">
      <c r="A31" s="27">
        <f t="shared" si="1"/>
        <v>28</v>
      </c>
      <c r="B31" s="26" t="s">
        <v>12</v>
      </c>
      <c r="C31" s="70"/>
      <c r="D31" s="70"/>
      <c r="E31" s="70"/>
      <c r="F31" s="70"/>
      <c r="G31" s="70"/>
      <c r="H31" s="70"/>
      <c r="I31" s="70"/>
      <c r="J31" s="71"/>
      <c r="K31" s="72"/>
      <c r="L31" s="55"/>
      <c r="M31" s="73"/>
      <c r="N31" s="74"/>
      <c r="O31" s="70"/>
      <c r="P31" s="71"/>
      <c r="Q31" s="71"/>
      <c r="R31" s="72"/>
      <c r="S31" s="55"/>
      <c r="T31" s="58">
        <f t="shared" si="0"/>
        <v>0</v>
      </c>
      <c r="U31" s="75">
        <f t="shared" si="4"/>
        <v>0</v>
      </c>
      <c r="V31" s="75">
        <f t="shared" si="5"/>
        <v>0</v>
      </c>
    </row>
    <row r="32" spans="1:54" x14ac:dyDescent="0.25">
      <c r="A32" s="27">
        <f t="shared" si="1"/>
        <v>29</v>
      </c>
      <c r="B32" s="26" t="s">
        <v>14</v>
      </c>
      <c r="C32" s="70"/>
      <c r="D32" s="70"/>
      <c r="E32" s="70"/>
      <c r="F32" s="70"/>
      <c r="G32" s="70"/>
      <c r="H32" s="70"/>
      <c r="I32" s="70"/>
      <c r="J32" s="71"/>
      <c r="K32" s="72"/>
      <c r="L32" s="55"/>
      <c r="M32" s="73"/>
      <c r="N32" s="74"/>
      <c r="O32" s="70"/>
      <c r="P32" s="71"/>
      <c r="Q32" s="71"/>
      <c r="R32" s="72"/>
      <c r="S32" s="55"/>
      <c r="T32" s="58">
        <f t="shared" si="0"/>
        <v>0</v>
      </c>
      <c r="U32" s="75">
        <f t="shared" si="4"/>
        <v>0</v>
      </c>
      <c r="V32" s="75">
        <f t="shared" si="5"/>
        <v>0</v>
      </c>
    </row>
    <row r="33" spans="1:23" x14ac:dyDescent="0.25">
      <c r="A33" s="27">
        <f t="shared" si="1"/>
        <v>30</v>
      </c>
      <c r="B33" s="26" t="s">
        <v>16</v>
      </c>
      <c r="C33" s="70"/>
      <c r="D33" s="70"/>
      <c r="E33" s="70"/>
      <c r="F33" s="70"/>
      <c r="G33" s="70"/>
      <c r="H33" s="70"/>
      <c r="I33" s="70"/>
      <c r="J33" s="71"/>
      <c r="K33" s="72"/>
      <c r="L33" s="55"/>
      <c r="M33" s="73"/>
      <c r="N33" s="74"/>
      <c r="O33" s="70"/>
      <c r="P33" s="71"/>
      <c r="Q33" s="71"/>
      <c r="R33" s="72"/>
      <c r="S33" s="55"/>
      <c r="T33" s="58">
        <f t="shared" si="0"/>
        <v>0</v>
      </c>
      <c r="U33" s="75">
        <f t="shared" si="4"/>
        <v>0</v>
      </c>
      <c r="V33" s="75">
        <f t="shared" si="5"/>
        <v>0</v>
      </c>
    </row>
    <row r="34" spans="1:23" x14ac:dyDescent="0.25">
      <c r="A34" s="27">
        <f t="shared" si="1"/>
        <v>31</v>
      </c>
      <c r="B34" s="26" t="s">
        <v>17</v>
      </c>
      <c r="C34" s="70">
        <f>52+72</f>
        <v>124</v>
      </c>
      <c r="D34" s="70"/>
      <c r="E34" s="70"/>
      <c r="F34" s="70"/>
      <c r="G34" s="70"/>
      <c r="H34" s="70"/>
      <c r="I34" s="70">
        <v>1</v>
      </c>
      <c r="J34" s="71"/>
      <c r="K34" s="72">
        <v>1</v>
      </c>
      <c r="L34" s="55"/>
      <c r="M34" s="73"/>
      <c r="N34" s="74"/>
      <c r="O34" s="70">
        <v>2</v>
      </c>
      <c r="P34" s="71"/>
      <c r="Q34" s="71">
        <v>6</v>
      </c>
      <c r="R34" s="72"/>
      <c r="S34" s="55"/>
      <c r="T34" s="58">
        <f t="shared" si="0"/>
        <v>2</v>
      </c>
      <c r="U34" s="75">
        <f t="shared" si="4"/>
        <v>3170</v>
      </c>
      <c r="V34" s="75">
        <f t="shared" si="5"/>
        <v>132.08333333333334</v>
      </c>
    </row>
    <row r="35" spans="1:23" hidden="1" x14ac:dyDescent="0.25">
      <c r="A35" s="27">
        <f t="shared" si="1"/>
        <v>32</v>
      </c>
      <c r="B35" s="26" t="s">
        <v>25</v>
      </c>
      <c r="C35" s="70"/>
      <c r="D35" s="70"/>
      <c r="E35" s="70"/>
      <c r="F35" s="70"/>
      <c r="G35" s="70"/>
      <c r="H35" s="70"/>
      <c r="I35" s="70"/>
      <c r="J35" s="71"/>
      <c r="K35" s="72"/>
      <c r="L35" s="55"/>
      <c r="M35" s="73"/>
      <c r="N35" s="74"/>
      <c r="O35" s="70"/>
      <c r="P35" s="71"/>
      <c r="Q35" s="71"/>
      <c r="R35" s="72"/>
      <c r="S35" s="55"/>
      <c r="T35" s="58">
        <f t="shared" si="0"/>
        <v>0</v>
      </c>
      <c r="U35" s="75">
        <f t="shared" si="4"/>
        <v>0</v>
      </c>
      <c r="V35" s="75">
        <f t="shared" si="5"/>
        <v>0</v>
      </c>
    </row>
    <row r="36" spans="1:23" x14ac:dyDescent="0.25">
      <c r="A36" s="27">
        <f t="shared" si="1"/>
        <v>33</v>
      </c>
      <c r="B36" s="26" t="s">
        <v>18</v>
      </c>
      <c r="C36" s="70"/>
      <c r="D36" s="70"/>
      <c r="E36" s="70"/>
      <c r="F36" s="70"/>
      <c r="G36" s="70"/>
      <c r="H36" s="70"/>
      <c r="I36" s="70"/>
      <c r="J36" s="71"/>
      <c r="K36" s="72"/>
      <c r="L36" s="55"/>
      <c r="M36" s="73"/>
      <c r="N36" s="74"/>
      <c r="O36" s="70"/>
      <c r="P36" s="71"/>
      <c r="Q36" s="71"/>
      <c r="R36" s="72"/>
      <c r="S36" s="55"/>
      <c r="T36" s="58">
        <f t="shared" si="0"/>
        <v>0</v>
      </c>
      <c r="U36" s="75">
        <f t="shared" si="4"/>
        <v>0</v>
      </c>
      <c r="V36" s="75">
        <f t="shared" si="5"/>
        <v>0</v>
      </c>
    </row>
    <row r="37" spans="1:23" ht="19.5" thickBot="1" x14ac:dyDescent="0.3">
      <c r="A37" s="27">
        <f t="shared" si="1"/>
        <v>34</v>
      </c>
      <c r="B37" s="42" t="s">
        <v>19</v>
      </c>
      <c r="C37" s="59">
        <f>864+1836</f>
        <v>2700</v>
      </c>
      <c r="D37" s="59"/>
      <c r="E37" s="59"/>
      <c r="F37" s="59"/>
      <c r="G37" s="59"/>
      <c r="H37" s="59">
        <v>3</v>
      </c>
      <c r="I37" s="59">
        <v>2</v>
      </c>
      <c r="J37" s="60"/>
      <c r="K37" s="61">
        <f>2*6+2</f>
        <v>14</v>
      </c>
      <c r="L37" s="62"/>
      <c r="M37" s="63">
        <v>87</v>
      </c>
      <c r="N37" s="64"/>
      <c r="O37" s="65">
        <v>32</v>
      </c>
      <c r="P37" s="66"/>
      <c r="Q37" s="66">
        <v>77</v>
      </c>
      <c r="R37" s="67"/>
      <c r="S37" s="62"/>
      <c r="T37" s="77">
        <f t="shared" si="0"/>
        <v>19</v>
      </c>
      <c r="U37" s="77">
        <f>C37*6+M37*6+O37*6+Q37*6+T37</f>
        <v>17395</v>
      </c>
      <c r="V37" s="77">
        <f>U37/6</f>
        <v>2899.1666666666665</v>
      </c>
      <c r="W37" s="50"/>
    </row>
    <row r="38" spans="1:23" x14ac:dyDescent="0.25">
      <c r="A38" s="27">
        <f t="shared" si="1"/>
        <v>35</v>
      </c>
      <c r="B38" s="25" t="s">
        <v>20</v>
      </c>
      <c r="C38" s="70">
        <v>5</v>
      </c>
      <c r="D38" s="70"/>
      <c r="E38" s="70"/>
      <c r="F38" s="70"/>
      <c r="G38" s="70"/>
      <c r="H38" s="70"/>
      <c r="I38" s="70"/>
      <c r="J38" s="71"/>
      <c r="K38" s="72"/>
      <c r="L38" s="55"/>
      <c r="M38" s="73"/>
      <c r="N38" s="74"/>
      <c r="O38" s="70"/>
      <c r="P38" s="71"/>
      <c r="Q38" s="71"/>
      <c r="R38" s="72"/>
      <c r="S38" s="55"/>
      <c r="T38" s="75">
        <f t="shared" si="0"/>
        <v>0</v>
      </c>
      <c r="U38" s="75">
        <f>C38*24+M38*24+O38*24+Q38*24+T38</f>
        <v>120</v>
      </c>
      <c r="V38" s="75">
        <f>U38/24</f>
        <v>5</v>
      </c>
    </row>
    <row r="39" spans="1:23" x14ac:dyDescent="0.25">
      <c r="A39" s="27">
        <f t="shared" si="1"/>
        <v>36</v>
      </c>
      <c r="B39" s="51" t="s">
        <v>62</v>
      </c>
      <c r="C39" s="78"/>
      <c r="D39" s="78"/>
      <c r="E39" s="78"/>
      <c r="F39" s="78"/>
      <c r="G39" s="78"/>
      <c r="H39" s="78"/>
      <c r="I39" s="78"/>
      <c r="J39" s="79"/>
      <c r="K39" s="80"/>
      <c r="L39" s="55"/>
      <c r="M39" s="73"/>
      <c r="N39" s="74"/>
      <c r="O39" s="70"/>
      <c r="P39" s="71"/>
      <c r="Q39" s="71"/>
      <c r="R39" s="72"/>
      <c r="S39" s="95"/>
      <c r="T39" s="75">
        <f t="shared" si="0"/>
        <v>0</v>
      </c>
      <c r="U39" s="75">
        <f>C39*24+M39*24+O39*24+Q39*24+T39</f>
        <v>0</v>
      </c>
      <c r="V39" s="75">
        <f>U39/24</f>
        <v>0</v>
      </c>
    </row>
    <row r="40" spans="1:23" ht="19.5" thickBot="1" x14ac:dyDescent="0.3">
      <c r="A40" s="27">
        <f t="shared" si="1"/>
        <v>37</v>
      </c>
      <c r="B40" s="42" t="s">
        <v>21</v>
      </c>
      <c r="C40" s="59">
        <f>252+48</f>
        <v>300</v>
      </c>
      <c r="D40" s="59"/>
      <c r="E40" s="59"/>
      <c r="F40" s="59"/>
      <c r="G40" s="59"/>
      <c r="H40" s="59"/>
      <c r="I40" s="59"/>
      <c r="J40" s="60"/>
      <c r="K40" s="61">
        <v>20</v>
      </c>
      <c r="L40" s="62"/>
      <c r="M40" s="63"/>
      <c r="N40" s="64"/>
      <c r="O40" s="65">
        <v>1</v>
      </c>
      <c r="P40" s="66"/>
      <c r="Q40" s="66">
        <v>4</v>
      </c>
      <c r="R40" s="67"/>
      <c r="S40" s="62"/>
      <c r="T40" s="77">
        <f t="shared" si="0"/>
        <v>20</v>
      </c>
      <c r="U40" s="77">
        <f>C40*24+M40*24+O40*24+Q40*24+T40</f>
        <v>7340</v>
      </c>
      <c r="V40" s="77">
        <f>U40/24</f>
        <v>305.83333333333331</v>
      </c>
    </row>
    <row r="41" spans="1:23" ht="19.5" thickBot="1" x14ac:dyDescent="0.3">
      <c r="A41" s="27">
        <f t="shared" si="1"/>
        <v>38</v>
      </c>
      <c r="B41" s="43" t="s">
        <v>22</v>
      </c>
      <c r="C41" s="82">
        <f>768+18</f>
        <v>786</v>
      </c>
      <c r="D41" s="82"/>
      <c r="E41" s="82"/>
      <c r="F41" s="82"/>
      <c r="G41" s="82"/>
      <c r="H41" s="82"/>
      <c r="I41" s="82"/>
      <c r="J41" s="83"/>
      <c r="K41" s="84"/>
      <c r="L41" s="85"/>
      <c r="M41" s="86">
        <v>4</v>
      </c>
      <c r="N41" s="87"/>
      <c r="O41" s="82">
        <v>10</v>
      </c>
      <c r="P41" s="83"/>
      <c r="Q41" s="83">
        <v>27</v>
      </c>
      <c r="R41" s="84"/>
      <c r="S41" s="85"/>
      <c r="T41" s="88">
        <f t="shared" si="0"/>
        <v>0</v>
      </c>
      <c r="U41" s="88">
        <f>C41*12+M41*12+O41*12+Q41*12+T41</f>
        <v>9924</v>
      </c>
      <c r="V41" s="88">
        <f>U41/12</f>
        <v>827</v>
      </c>
    </row>
    <row r="42" spans="1:23" hidden="1" x14ac:dyDescent="0.25">
      <c r="A42" s="27">
        <f t="shared" si="1"/>
        <v>39</v>
      </c>
      <c r="B42" s="25" t="s">
        <v>29</v>
      </c>
      <c r="C42" s="70"/>
      <c r="D42" s="70"/>
      <c r="E42" s="70"/>
      <c r="F42" s="70"/>
      <c r="G42" s="70"/>
      <c r="H42" s="70"/>
      <c r="I42" s="70"/>
      <c r="J42" s="71"/>
      <c r="K42" s="72"/>
      <c r="L42" s="55"/>
      <c r="M42" s="73"/>
      <c r="N42" s="74"/>
      <c r="O42" s="70"/>
      <c r="P42" s="71"/>
      <c r="Q42" s="71"/>
      <c r="R42" s="72"/>
      <c r="S42" s="55"/>
      <c r="T42" s="75"/>
      <c r="U42" s="75"/>
      <c r="V42" s="75"/>
    </row>
    <row r="43" spans="1:23" ht="19.5" thickBot="1" x14ac:dyDescent="0.3">
      <c r="A43" s="27">
        <f t="shared" si="1"/>
        <v>40</v>
      </c>
      <c r="B43" s="42" t="s">
        <v>23</v>
      </c>
      <c r="C43" s="65">
        <f>1835+13068+19764+3348</f>
        <v>38015</v>
      </c>
      <c r="D43" s="65"/>
      <c r="E43" s="65"/>
      <c r="F43" s="65"/>
      <c r="G43" s="65"/>
      <c r="H43" s="65">
        <v>9</v>
      </c>
      <c r="I43" s="65">
        <v>12</v>
      </c>
      <c r="J43" s="66">
        <f>4*6+4</f>
        <v>28</v>
      </c>
      <c r="K43" s="67">
        <f>95*6+1</f>
        <v>571</v>
      </c>
      <c r="L43" s="62"/>
      <c r="M43" s="63">
        <v>565</v>
      </c>
      <c r="N43" s="64"/>
      <c r="O43" s="65">
        <v>483</v>
      </c>
      <c r="P43" s="66"/>
      <c r="Q43" s="66">
        <v>650</v>
      </c>
      <c r="R43" s="67"/>
      <c r="S43" s="62"/>
      <c r="T43" s="77">
        <f t="shared" ref="T43" si="6">H43+I43+J43+K43+N43+P43+R43</f>
        <v>620</v>
      </c>
      <c r="U43" s="77">
        <f>C43*6+M43*6+O43*6+Q43*6+T43</f>
        <v>238898</v>
      </c>
      <c r="V43" s="77">
        <f>U43/6</f>
        <v>39816.333333333336</v>
      </c>
    </row>
    <row r="44" spans="1:23" hidden="1" x14ac:dyDescent="0.25">
      <c r="A44" s="27">
        <f t="shared" si="1"/>
        <v>41</v>
      </c>
      <c r="B44" s="25" t="s">
        <v>31</v>
      </c>
      <c r="C44" s="70"/>
      <c r="D44" s="70"/>
      <c r="E44" s="70"/>
      <c r="F44" s="70"/>
      <c r="G44" s="70"/>
      <c r="H44" s="70"/>
      <c r="I44" s="70"/>
      <c r="J44" s="71"/>
      <c r="K44" s="72"/>
      <c r="L44" s="55"/>
      <c r="M44" s="73"/>
      <c r="N44" s="74"/>
      <c r="O44" s="70"/>
      <c r="P44" s="71"/>
      <c r="Q44" s="71"/>
      <c r="R44" s="72"/>
      <c r="S44" s="55"/>
      <c r="T44" s="75"/>
      <c r="U44" s="75"/>
      <c r="V44" s="75"/>
    </row>
    <row r="45" spans="1:23" x14ac:dyDescent="0.25">
      <c r="A45" s="27">
        <f t="shared" si="1"/>
        <v>42</v>
      </c>
      <c r="B45" s="26" t="s">
        <v>24</v>
      </c>
      <c r="C45" s="70">
        <v>5</v>
      </c>
      <c r="D45" s="70"/>
      <c r="E45" s="70"/>
      <c r="F45" s="70"/>
      <c r="G45" s="70"/>
      <c r="H45" s="70"/>
      <c r="I45" s="70"/>
      <c r="J45" s="71"/>
      <c r="K45" s="72"/>
      <c r="L45" s="55"/>
      <c r="M45" s="73"/>
      <c r="N45" s="74"/>
      <c r="O45" s="70"/>
      <c r="P45" s="71"/>
      <c r="Q45" s="71"/>
      <c r="R45" s="72"/>
      <c r="S45" s="55"/>
      <c r="T45" s="75">
        <f t="shared" ref="T45:T54" si="7">H45+I45+J45+K45+N45+P45+R45</f>
        <v>0</v>
      </c>
      <c r="U45" s="75">
        <f>C45*24+M45*24+O45*24+Q45*24+T45</f>
        <v>120</v>
      </c>
      <c r="V45" s="75">
        <f>U45/24</f>
        <v>5</v>
      </c>
    </row>
    <row r="46" spans="1:23" x14ac:dyDescent="0.25">
      <c r="A46" s="27">
        <f t="shared" si="1"/>
        <v>43</v>
      </c>
      <c r="B46" s="26" t="s">
        <v>57</v>
      </c>
      <c r="C46" s="70"/>
      <c r="D46" s="70"/>
      <c r="E46" s="70"/>
      <c r="F46" s="70"/>
      <c r="G46" s="70"/>
      <c r="H46" s="70"/>
      <c r="I46" s="70"/>
      <c r="J46" s="71"/>
      <c r="K46" s="72"/>
      <c r="L46" s="55"/>
      <c r="M46" s="73"/>
      <c r="N46" s="74"/>
      <c r="O46" s="70"/>
      <c r="P46" s="71"/>
      <c r="Q46" s="71"/>
      <c r="R46" s="72"/>
      <c r="S46" s="55"/>
      <c r="T46" s="75">
        <f t="shared" si="7"/>
        <v>0</v>
      </c>
      <c r="U46" s="75">
        <f t="shared" ref="U46:U50" si="8">C46*24+M46*24+O46*24+Q46*24+T46</f>
        <v>0</v>
      </c>
      <c r="V46" s="75">
        <f t="shared" ref="V46:V54" si="9">U46/24</f>
        <v>0</v>
      </c>
    </row>
    <row r="47" spans="1:23" ht="19.5" thickBot="1" x14ac:dyDescent="0.3">
      <c r="A47" s="27">
        <f t="shared" si="1"/>
        <v>44</v>
      </c>
      <c r="B47" s="42" t="s">
        <v>25</v>
      </c>
      <c r="C47" s="65">
        <f>89+648+324+88+432+83+103+324+432+106</f>
        <v>2629</v>
      </c>
      <c r="D47" s="65"/>
      <c r="E47" s="65"/>
      <c r="F47" s="65"/>
      <c r="G47" s="65"/>
      <c r="H47" s="65">
        <v>1</v>
      </c>
      <c r="I47" s="65"/>
      <c r="J47" s="66"/>
      <c r="K47" s="67">
        <v>5</v>
      </c>
      <c r="L47" s="62"/>
      <c r="M47" s="63">
        <v>2</v>
      </c>
      <c r="N47" s="64"/>
      <c r="O47" s="65">
        <v>15</v>
      </c>
      <c r="P47" s="66"/>
      <c r="Q47" s="66">
        <v>5</v>
      </c>
      <c r="R47" s="67">
        <v>3</v>
      </c>
      <c r="S47" s="62"/>
      <c r="T47" s="77">
        <f t="shared" si="7"/>
        <v>9</v>
      </c>
      <c r="U47" s="77">
        <f>C47*6+M47*6+O47*6+Q47*6+T47</f>
        <v>15915</v>
      </c>
      <c r="V47" s="77">
        <f>U47/6</f>
        <v>2652.5</v>
      </c>
    </row>
    <row r="48" spans="1:23" x14ac:dyDescent="0.25">
      <c r="A48" s="27">
        <f t="shared" si="1"/>
        <v>45</v>
      </c>
      <c r="B48" s="25" t="s">
        <v>58</v>
      </c>
      <c r="C48" s="70"/>
      <c r="D48" s="70"/>
      <c r="E48" s="70"/>
      <c r="F48" s="70"/>
      <c r="G48" s="70"/>
      <c r="H48" s="70">
        <v>24</v>
      </c>
      <c r="I48" s="70"/>
      <c r="J48" s="71"/>
      <c r="K48" s="72"/>
      <c r="L48" s="55"/>
      <c r="M48" s="73"/>
      <c r="N48" s="74"/>
      <c r="O48" s="70"/>
      <c r="P48" s="71"/>
      <c r="Q48" s="71"/>
      <c r="R48" s="72"/>
      <c r="S48" s="55"/>
      <c r="T48" s="75">
        <f t="shared" si="7"/>
        <v>24</v>
      </c>
      <c r="U48" s="75">
        <f t="shared" si="8"/>
        <v>24</v>
      </c>
      <c r="V48" s="75">
        <f t="shared" si="9"/>
        <v>1</v>
      </c>
    </row>
    <row r="49" spans="1:22" x14ac:dyDescent="0.25">
      <c r="A49" s="27">
        <f t="shared" si="1"/>
        <v>46</v>
      </c>
      <c r="B49" s="26" t="s">
        <v>26</v>
      </c>
      <c r="C49" s="70"/>
      <c r="D49" s="70"/>
      <c r="E49" s="70"/>
      <c r="F49" s="70"/>
      <c r="G49" s="70"/>
      <c r="H49" s="70"/>
      <c r="I49" s="70"/>
      <c r="J49" s="71"/>
      <c r="K49" s="72"/>
      <c r="L49" s="55"/>
      <c r="M49" s="73"/>
      <c r="N49" s="74"/>
      <c r="O49" s="70"/>
      <c r="P49" s="71"/>
      <c r="Q49" s="71"/>
      <c r="R49" s="72"/>
      <c r="S49" s="55"/>
      <c r="T49" s="75">
        <f t="shared" si="7"/>
        <v>0</v>
      </c>
      <c r="U49" s="75">
        <f t="shared" si="8"/>
        <v>0</v>
      </c>
      <c r="V49" s="75">
        <f t="shared" si="9"/>
        <v>0</v>
      </c>
    </row>
    <row r="50" spans="1:22" x14ac:dyDescent="0.25">
      <c r="A50" s="27">
        <f t="shared" si="1"/>
        <v>47</v>
      </c>
      <c r="B50" s="26" t="s">
        <v>59</v>
      </c>
      <c r="C50" s="70"/>
      <c r="D50" s="70"/>
      <c r="E50" s="70"/>
      <c r="F50" s="70"/>
      <c r="G50" s="70"/>
      <c r="H50" s="70"/>
      <c r="I50" s="70"/>
      <c r="J50" s="71"/>
      <c r="K50" s="72"/>
      <c r="L50" s="55"/>
      <c r="M50" s="73"/>
      <c r="N50" s="74"/>
      <c r="O50" s="70"/>
      <c r="P50" s="71"/>
      <c r="Q50" s="71"/>
      <c r="R50" s="72"/>
      <c r="S50" s="55"/>
      <c r="T50" s="75">
        <f t="shared" si="7"/>
        <v>0</v>
      </c>
      <c r="U50" s="75">
        <f t="shared" si="8"/>
        <v>0</v>
      </c>
      <c r="V50" s="75">
        <f t="shared" si="9"/>
        <v>0</v>
      </c>
    </row>
    <row r="51" spans="1:22" ht="19.5" thickBot="1" x14ac:dyDescent="0.3">
      <c r="A51" s="27">
        <f t="shared" si="1"/>
        <v>48</v>
      </c>
      <c r="B51" s="42" t="s">
        <v>27</v>
      </c>
      <c r="C51" s="65">
        <v>34</v>
      </c>
      <c r="D51" s="65"/>
      <c r="E51" s="65"/>
      <c r="F51" s="65"/>
      <c r="G51" s="65"/>
      <c r="H51" s="65"/>
      <c r="I51" s="65"/>
      <c r="J51" s="66"/>
      <c r="K51" s="67"/>
      <c r="L51" s="62"/>
      <c r="M51" s="63"/>
      <c r="N51" s="64"/>
      <c r="O51" s="65"/>
      <c r="P51" s="66"/>
      <c r="Q51" s="66"/>
      <c r="R51" s="67"/>
      <c r="S51" s="62"/>
      <c r="T51" s="77">
        <f t="shared" si="7"/>
        <v>0</v>
      </c>
      <c r="U51" s="77">
        <f>C51*6+M51*6+O51*6+Q51*6+T51</f>
        <v>204</v>
      </c>
      <c r="V51" s="77">
        <f>U51/6</f>
        <v>34</v>
      </c>
    </row>
    <row r="52" spans="1:22" x14ac:dyDescent="0.25">
      <c r="A52" s="27">
        <f t="shared" si="1"/>
        <v>49</v>
      </c>
      <c r="B52" s="25" t="s">
        <v>28</v>
      </c>
      <c r="C52" s="70"/>
      <c r="D52" s="70"/>
      <c r="E52" s="70"/>
      <c r="F52" s="70"/>
      <c r="G52" s="70"/>
      <c r="H52" s="70"/>
      <c r="I52" s="70"/>
      <c r="J52" s="71"/>
      <c r="K52" s="72"/>
      <c r="L52" s="55"/>
      <c r="M52" s="73"/>
      <c r="N52" s="74"/>
      <c r="O52" s="70"/>
      <c r="P52" s="71"/>
      <c r="Q52" s="71"/>
      <c r="R52" s="72"/>
      <c r="S52" s="55"/>
      <c r="T52" s="75">
        <f t="shared" si="7"/>
        <v>0</v>
      </c>
      <c r="U52" s="75">
        <f t="shared" ref="U52:U54" si="10">C52*24+M52*24+O52*24+Q52*24+T52</f>
        <v>0</v>
      </c>
      <c r="V52" s="75">
        <f t="shared" si="9"/>
        <v>0</v>
      </c>
    </row>
    <row r="53" spans="1:22" x14ac:dyDescent="0.25">
      <c r="A53" s="27">
        <f t="shared" si="1"/>
        <v>50</v>
      </c>
      <c r="B53" s="26" t="s">
        <v>63</v>
      </c>
      <c r="C53" s="70">
        <v>7</v>
      </c>
      <c r="D53" s="70"/>
      <c r="E53" s="70"/>
      <c r="F53" s="70"/>
      <c r="G53" s="70"/>
      <c r="H53" s="70"/>
      <c r="I53" s="70"/>
      <c r="J53" s="71"/>
      <c r="K53" s="72"/>
      <c r="L53" s="55"/>
      <c r="M53" s="73"/>
      <c r="N53" s="74"/>
      <c r="O53" s="70"/>
      <c r="P53" s="71"/>
      <c r="Q53" s="71"/>
      <c r="R53" s="72"/>
      <c r="S53" s="55"/>
      <c r="T53" s="75">
        <f t="shared" si="7"/>
        <v>0</v>
      </c>
      <c r="U53" s="75">
        <f t="shared" si="10"/>
        <v>168</v>
      </c>
      <c r="V53" s="75">
        <f t="shared" si="9"/>
        <v>7</v>
      </c>
    </row>
    <row r="54" spans="1:22" x14ac:dyDescent="0.25">
      <c r="A54" s="27">
        <f t="shared" si="1"/>
        <v>51</v>
      </c>
      <c r="B54" s="26"/>
      <c r="C54" s="70"/>
      <c r="D54" s="70"/>
      <c r="E54" s="70"/>
      <c r="F54" s="70"/>
      <c r="G54" s="70"/>
      <c r="H54" s="70"/>
      <c r="I54" s="70"/>
      <c r="J54" s="71"/>
      <c r="K54" s="72"/>
      <c r="L54" s="55"/>
      <c r="M54" s="73"/>
      <c r="N54" s="74"/>
      <c r="O54" s="70"/>
      <c r="P54" s="71"/>
      <c r="Q54" s="71"/>
      <c r="R54" s="72"/>
      <c r="S54" s="55"/>
      <c r="T54" s="75">
        <f t="shared" si="7"/>
        <v>0</v>
      </c>
      <c r="U54" s="75">
        <f t="shared" si="10"/>
        <v>0</v>
      </c>
      <c r="V54" s="75">
        <f t="shared" si="9"/>
        <v>0</v>
      </c>
    </row>
    <row r="55" spans="1:22" x14ac:dyDescent="0.25">
      <c r="A55" s="27">
        <f t="shared" si="1"/>
        <v>52</v>
      </c>
      <c r="B55" s="26"/>
      <c r="C55" s="70"/>
      <c r="D55" s="70"/>
      <c r="E55" s="70"/>
      <c r="F55" s="70"/>
      <c r="G55" s="70"/>
      <c r="H55" s="70"/>
      <c r="I55" s="70"/>
      <c r="J55" s="71"/>
      <c r="K55" s="72"/>
      <c r="L55" s="55"/>
      <c r="M55" s="73"/>
      <c r="N55" s="74"/>
      <c r="O55" s="70"/>
      <c r="P55" s="71"/>
      <c r="Q55" s="71"/>
      <c r="R55" s="72"/>
      <c r="S55" s="55"/>
      <c r="T55" s="75"/>
      <c r="U55" s="75"/>
      <c r="V55" s="75"/>
    </row>
    <row r="56" spans="1:22" x14ac:dyDescent="0.25">
      <c r="A56" s="27">
        <f t="shared" si="1"/>
        <v>53</v>
      </c>
      <c r="B56" s="26"/>
      <c r="C56" s="70"/>
      <c r="D56" s="70"/>
      <c r="E56" s="70"/>
      <c r="F56" s="70"/>
      <c r="G56" s="70"/>
      <c r="H56" s="70"/>
      <c r="I56" s="70"/>
      <c r="J56" s="71"/>
      <c r="K56" s="72"/>
      <c r="L56" s="55"/>
      <c r="M56" s="73"/>
      <c r="N56" s="74"/>
      <c r="O56" s="70"/>
      <c r="P56" s="71"/>
      <c r="Q56" s="71"/>
      <c r="R56" s="72"/>
      <c r="S56" s="55"/>
      <c r="T56" s="75"/>
      <c r="U56" s="75"/>
      <c r="V56" s="75"/>
    </row>
    <row r="57" spans="1:22" x14ac:dyDescent="0.25">
      <c r="A57" s="27">
        <f t="shared" si="1"/>
        <v>54</v>
      </c>
      <c r="B57" s="26"/>
      <c r="C57" s="70"/>
      <c r="D57" s="70"/>
      <c r="E57" s="70"/>
      <c r="F57" s="70"/>
      <c r="G57" s="70"/>
      <c r="H57" s="70"/>
      <c r="I57" s="70"/>
      <c r="J57" s="71"/>
      <c r="K57" s="72"/>
      <c r="L57" s="55"/>
      <c r="M57" s="73"/>
      <c r="N57" s="74"/>
      <c r="O57" s="70"/>
      <c r="P57" s="71"/>
      <c r="Q57" s="71"/>
      <c r="R57" s="72"/>
      <c r="S57" s="55"/>
      <c r="T57" s="75"/>
      <c r="U57" s="75"/>
      <c r="V57" s="75"/>
    </row>
    <row r="58" spans="1:22" s="15" customFormat="1" ht="19.5" thickBot="1" x14ac:dyDescent="0.3">
      <c r="B58" s="29" t="s">
        <v>50</v>
      </c>
      <c r="C58" s="2">
        <f>SUM(C7:C57)</f>
        <v>48162</v>
      </c>
      <c r="D58" s="2"/>
      <c r="E58" s="2"/>
      <c r="F58" s="2">
        <f t="shared" ref="F58:K58" si="11">SUM(F7:F57)</f>
        <v>0</v>
      </c>
      <c r="G58" s="2">
        <f t="shared" si="11"/>
        <v>0</v>
      </c>
      <c r="H58" s="2">
        <f t="shared" si="11"/>
        <v>1196</v>
      </c>
      <c r="I58" s="6">
        <f t="shared" si="11"/>
        <v>38</v>
      </c>
      <c r="J58" s="6">
        <f t="shared" si="11"/>
        <v>34</v>
      </c>
      <c r="K58" s="6">
        <f t="shared" si="11"/>
        <v>619</v>
      </c>
      <c r="M58" s="5">
        <f t="shared" ref="M58:R58" si="12">SUM(M7:M57)</f>
        <v>675</v>
      </c>
      <c r="N58" s="5">
        <f t="shared" si="12"/>
        <v>10</v>
      </c>
      <c r="O58" s="5">
        <f t="shared" si="12"/>
        <v>561</v>
      </c>
      <c r="P58" s="5">
        <f t="shared" si="12"/>
        <v>19</v>
      </c>
      <c r="Q58" s="5">
        <f t="shared" si="12"/>
        <v>806</v>
      </c>
      <c r="R58" s="5">
        <f t="shared" si="12"/>
        <v>10</v>
      </c>
      <c r="S58" s="55"/>
      <c r="T58" s="4">
        <f>SUM(T7:T57)</f>
        <v>1926</v>
      </c>
      <c r="U58" s="90">
        <f>SUM(U7:U57)</f>
        <v>381606</v>
      </c>
      <c r="V58" s="4">
        <f>SUM(V7:V57)</f>
        <v>50365.25</v>
      </c>
    </row>
    <row r="59" spans="1:22" ht="7.5" customHeight="1" thickBot="1" x14ac:dyDescent="0.3"/>
    <row r="60" spans="1:22" ht="19.5" thickBot="1" x14ac:dyDescent="0.3">
      <c r="B60" s="30" t="s">
        <v>37</v>
      </c>
      <c r="C60" s="113" t="s">
        <v>41</v>
      </c>
      <c r="D60" s="114"/>
      <c r="E60" s="114"/>
      <c r="F60" s="114"/>
      <c r="G60" s="114"/>
      <c r="H60" s="114"/>
      <c r="I60" s="114"/>
      <c r="J60" s="114"/>
      <c r="K60" s="115"/>
      <c r="U60" s="24" t="s">
        <v>51</v>
      </c>
    </row>
    <row r="61" spans="1:22" x14ac:dyDescent="0.25">
      <c r="B61" s="31" t="s">
        <v>17</v>
      </c>
      <c r="C61" s="19"/>
      <c r="D61" s="19"/>
      <c r="E61" s="19"/>
      <c r="F61" s="19"/>
      <c r="G61" s="19"/>
      <c r="H61" s="19"/>
      <c r="I61" s="19"/>
      <c r="J61" s="45"/>
      <c r="K61" s="20"/>
      <c r="U61" s="7"/>
    </row>
    <row r="62" spans="1:22" x14ac:dyDescent="0.25">
      <c r="B62" s="32" t="s">
        <v>45</v>
      </c>
      <c r="C62" s="1"/>
      <c r="D62" s="1"/>
      <c r="E62" s="1"/>
      <c r="F62" s="1"/>
      <c r="G62" s="1"/>
      <c r="H62" s="1"/>
      <c r="I62" s="1"/>
      <c r="J62" s="44"/>
      <c r="K62" s="21"/>
      <c r="U62" s="3"/>
    </row>
    <row r="63" spans="1:22" ht="19.5" thickBot="1" x14ac:dyDescent="0.3">
      <c r="B63" s="33" t="s">
        <v>44</v>
      </c>
      <c r="C63" s="22"/>
      <c r="D63" s="22"/>
      <c r="E63" s="22"/>
      <c r="F63" s="22"/>
      <c r="G63" s="22"/>
      <c r="H63" s="22"/>
      <c r="I63" s="22"/>
      <c r="J63" s="46"/>
      <c r="K63" s="23"/>
      <c r="U63" s="8"/>
    </row>
    <row r="64" spans="1:22" ht="7.5" customHeight="1" thickBot="1" x14ac:dyDescent="0.3"/>
    <row r="65" spans="2:21" x14ac:dyDescent="0.25">
      <c r="B65" s="31" t="s">
        <v>46</v>
      </c>
      <c r="C65" s="19"/>
      <c r="D65" s="19"/>
      <c r="E65" s="19"/>
      <c r="F65" s="19"/>
      <c r="G65" s="19"/>
      <c r="H65" s="19"/>
      <c r="I65" s="19"/>
      <c r="J65" s="45"/>
      <c r="K65" s="20"/>
      <c r="U65" s="7"/>
    </row>
    <row r="66" spans="2:21" x14ac:dyDescent="0.25">
      <c r="B66" s="32" t="s">
        <v>45</v>
      </c>
      <c r="C66" s="1"/>
      <c r="D66" s="1"/>
      <c r="E66" s="1"/>
      <c r="F66" s="1"/>
      <c r="G66" s="1"/>
      <c r="H66" s="1"/>
      <c r="I66" s="1"/>
      <c r="J66" s="44"/>
      <c r="K66" s="21"/>
      <c r="U66" s="3"/>
    </row>
    <row r="67" spans="2:21" ht="19.5" thickBot="1" x14ac:dyDescent="0.3">
      <c r="B67" s="33" t="s">
        <v>44</v>
      </c>
      <c r="C67" s="22"/>
      <c r="D67" s="22"/>
      <c r="E67" s="22"/>
      <c r="F67" s="22"/>
      <c r="G67" s="22"/>
      <c r="H67" s="22"/>
      <c r="I67" s="22"/>
      <c r="J67" s="46"/>
      <c r="K67" s="23"/>
      <c r="U67" s="8"/>
    </row>
    <row r="68" spans="2:21" ht="7.5" customHeight="1" thickBot="1" x14ac:dyDescent="0.3"/>
    <row r="69" spans="2:21" x14ac:dyDescent="0.25">
      <c r="B69" s="31" t="s">
        <v>38</v>
      </c>
      <c r="C69" s="19"/>
      <c r="D69" s="19"/>
      <c r="E69" s="19"/>
      <c r="F69" s="19"/>
      <c r="G69" s="19"/>
      <c r="H69" s="19"/>
      <c r="I69" s="19"/>
      <c r="J69" s="45"/>
      <c r="K69" s="20"/>
      <c r="U69" s="7"/>
    </row>
    <row r="70" spans="2:21" x14ac:dyDescent="0.25">
      <c r="B70" s="32" t="s">
        <v>45</v>
      </c>
      <c r="C70" s="1"/>
      <c r="D70" s="1"/>
      <c r="E70" s="1"/>
      <c r="F70" s="1"/>
      <c r="G70" s="1"/>
      <c r="H70" s="1"/>
      <c r="I70" s="1"/>
      <c r="J70" s="44"/>
      <c r="K70" s="21"/>
      <c r="U70" s="3"/>
    </row>
    <row r="71" spans="2:21" ht="19.5" thickBot="1" x14ac:dyDescent="0.3">
      <c r="B71" s="33" t="s">
        <v>44</v>
      </c>
      <c r="C71" s="22"/>
      <c r="D71" s="22"/>
      <c r="E71" s="22"/>
      <c r="F71" s="22"/>
      <c r="G71" s="22"/>
      <c r="H71" s="22"/>
      <c r="I71" s="22"/>
      <c r="J71" s="46"/>
      <c r="K71" s="23"/>
      <c r="U71" s="8"/>
    </row>
    <row r="72" spans="2:21" ht="7.5" customHeight="1" thickBot="1" x14ac:dyDescent="0.3"/>
    <row r="73" spans="2:21" x14ac:dyDescent="0.25">
      <c r="B73" s="31" t="s">
        <v>47</v>
      </c>
      <c r="C73" s="19"/>
      <c r="D73" s="19"/>
      <c r="E73" s="19"/>
      <c r="F73" s="19"/>
      <c r="G73" s="19"/>
      <c r="H73" s="19"/>
      <c r="I73" s="19"/>
      <c r="J73" s="45"/>
      <c r="K73" s="20"/>
      <c r="U73" s="7"/>
    </row>
    <row r="74" spans="2:21" x14ac:dyDescent="0.25">
      <c r="B74" s="32" t="s">
        <v>45</v>
      </c>
      <c r="C74" s="1"/>
      <c r="D74" s="1"/>
      <c r="E74" s="1"/>
      <c r="F74" s="1"/>
      <c r="G74" s="1"/>
      <c r="H74" s="1"/>
      <c r="I74" s="1"/>
      <c r="J74" s="44"/>
      <c r="K74" s="21"/>
      <c r="U74" s="3"/>
    </row>
    <row r="75" spans="2:21" ht="19.5" thickBot="1" x14ac:dyDescent="0.3">
      <c r="B75" s="33" t="s">
        <v>44</v>
      </c>
      <c r="C75" s="22"/>
      <c r="D75" s="22"/>
      <c r="E75" s="22"/>
      <c r="F75" s="22"/>
      <c r="G75" s="22"/>
      <c r="H75" s="22"/>
      <c r="I75" s="22"/>
      <c r="J75" s="46"/>
      <c r="K75" s="23"/>
      <c r="U75" s="8"/>
    </row>
    <row r="76" spans="2:21" ht="7.5" customHeight="1" thickBot="1" x14ac:dyDescent="0.3"/>
    <row r="77" spans="2:21" x14ac:dyDescent="0.25">
      <c r="B77" s="31" t="s">
        <v>48</v>
      </c>
      <c r="C77" s="19"/>
      <c r="D77" s="19"/>
      <c r="E77" s="19"/>
      <c r="F77" s="19"/>
      <c r="G77" s="19"/>
      <c r="H77" s="19"/>
      <c r="I77" s="19"/>
      <c r="J77" s="45"/>
      <c r="K77" s="20"/>
      <c r="U77" s="7"/>
    </row>
    <row r="78" spans="2:21" x14ac:dyDescent="0.25">
      <c r="B78" s="32" t="s">
        <v>45</v>
      </c>
      <c r="C78" s="1"/>
      <c r="D78" s="1"/>
      <c r="E78" s="1"/>
      <c r="F78" s="1"/>
      <c r="G78" s="1"/>
      <c r="H78" s="1"/>
      <c r="I78" s="1"/>
      <c r="J78" s="44"/>
      <c r="K78" s="21"/>
      <c r="U78" s="3"/>
    </row>
    <row r="79" spans="2:21" ht="19.5" thickBot="1" x14ac:dyDescent="0.3">
      <c r="B79" s="33" t="s">
        <v>44</v>
      </c>
      <c r="C79" s="22"/>
      <c r="D79" s="22"/>
      <c r="E79" s="22"/>
      <c r="F79" s="22"/>
      <c r="G79" s="22"/>
      <c r="H79" s="22"/>
      <c r="I79" s="22"/>
      <c r="J79" s="46"/>
      <c r="K79" s="23"/>
      <c r="U79" s="8"/>
    </row>
    <row r="80" spans="2:21" ht="7.5" customHeight="1" thickBot="1" x14ac:dyDescent="0.3"/>
    <row r="81" spans="2:21" ht="19.5" thickBot="1" x14ac:dyDescent="0.3">
      <c r="B81" s="30" t="s">
        <v>49</v>
      </c>
      <c r="C81" s="17"/>
      <c r="D81" s="17"/>
      <c r="E81" s="17"/>
      <c r="F81" s="17"/>
      <c r="G81" s="17"/>
      <c r="H81" s="17"/>
      <c r="I81" s="17"/>
      <c r="J81" s="47"/>
      <c r="K81" s="18"/>
      <c r="U81" s="16"/>
    </row>
  </sheetData>
  <mergeCells count="7">
    <mergeCell ref="V4:V5"/>
    <mergeCell ref="J5:K5"/>
    <mergeCell ref="C60:K60"/>
    <mergeCell ref="I1:U1"/>
    <mergeCell ref="C4:K4"/>
    <mergeCell ref="T4:T5"/>
    <mergeCell ref="U4:U5"/>
  </mergeCells>
  <printOptions horizontalCentered="1" verticalCentered="1"/>
  <pageMargins left="0.19685039370078741" right="0.19685039370078741" top="0.19685039370078741" bottom="0.19685039370078741" header="0.19685039370078741" footer="0.19685039370078741"/>
  <pageSetup paperSize="14" scale="70" orientation="portrait" horizontalDpi="360" verticalDpi="360" r:id="rId1"/>
  <colBreaks count="1" manualBreakCount="1">
    <brk id="24" max="80" man="1"/>
  </colBreaks>
</worksheet>
</file>

<file path=xl/worksheets/sheet2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A17CFFCE-B26C-46FA-A032-A5304F4677C5}">
  <sheetPr>
    <pageSetUpPr fitToPage="1"/>
  </sheetPr>
  <dimension ref="A1:BB81"/>
  <sheetViews>
    <sheetView topLeftCell="A28" zoomScale="91" zoomScaleNormal="91" zoomScaleSheetLayoutView="115" workbookViewId="0">
      <selection activeCell="AC43" sqref="AC43"/>
    </sheetView>
  </sheetViews>
  <sheetFormatPr defaultColWidth="9.140625" defaultRowHeight="18.75" x14ac:dyDescent="0.25"/>
  <cols>
    <col min="1" max="1" width="4.140625" style="9" bestFit="1" customWidth="1"/>
    <col min="2" max="2" width="12.28515625" style="28" customWidth="1"/>
    <col min="3" max="6" width="10" style="9" customWidth="1"/>
    <col min="7" max="7" width="6.85546875" style="9" customWidth="1"/>
    <col min="8" max="8" width="7.5703125" style="9" bestFit="1" customWidth="1"/>
    <col min="9" max="9" width="6.7109375" style="9" bestFit="1" customWidth="1"/>
    <col min="10" max="10" width="6.85546875" style="9" customWidth="1"/>
    <col min="11" max="11" width="7.5703125" style="9" bestFit="1" customWidth="1"/>
    <col min="12" max="12" width="1.42578125" style="9" customWidth="1"/>
    <col min="13" max="13" width="10" style="9" customWidth="1"/>
    <col min="14" max="14" width="6.7109375" style="9" bestFit="1" customWidth="1"/>
    <col min="15" max="15" width="10" style="9" customWidth="1"/>
    <col min="16" max="16" width="5.5703125" style="9" customWidth="1"/>
    <col min="17" max="17" width="10" style="9" customWidth="1"/>
    <col min="18" max="18" width="6.7109375" style="9" bestFit="1" customWidth="1"/>
    <col min="19" max="19" width="1.42578125" style="9" customWidth="1"/>
    <col min="20" max="20" width="12.7109375" style="9" bestFit="1" customWidth="1"/>
    <col min="21" max="21" width="14.28515625" style="9" customWidth="1"/>
    <col min="22" max="22" width="19.5703125" style="9" bestFit="1" customWidth="1"/>
    <col min="23" max="49" width="7.28515625" style="9" customWidth="1"/>
    <col min="50" max="50" width="1.5703125" style="9" customWidth="1"/>
    <col min="51" max="51" width="9.42578125" style="9" customWidth="1"/>
    <col min="52" max="52" width="1.28515625" style="9" customWidth="1"/>
    <col min="53" max="53" width="12.7109375" style="9" bestFit="1" customWidth="1"/>
    <col min="54" max="54" width="10.28515625" style="9" bestFit="1" customWidth="1"/>
    <col min="55" max="16384" width="9.140625" style="9"/>
  </cols>
  <sheetData>
    <row r="1" spans="1:54" ht="15" customHeight="1" x14ac:dyDescent="0.25">
      <c r="B1" s="27" t="s">
        <v>42</v>
      </c>
      <c r="I1" s="116" t="s">
        <v>43</v>
      </c>
      <c r="J1" s="116"/>
      <c r="K1" s="116"/>
      <c r="L1" s="116"/>
      <c r="M1" s="116"/>
      <c r="N1" s="116"/>
      <c r="O1" s="116"/>
      <c r="P1" s="116"/>
      <c r="Q1" s="116"/>
      <c r="R1" s="116"/>
      <c r="S1" s="116"/>
      <c r="T1" s="116"/>
      <c r="U1" s="116"/>
    </row>
    <row r="2" spans="1:54" x14ac:dyDescent="0.25">
      <c r="B2" s="28" t="s">
        <v>90</v>
      </c>
    </row>
    <row r="3" spans="1:54" ht="19.5" thickBot="1" x14ac:dyDescent="0.3"/>
    <row r="4" spans="1:54" s="10" customFormat="1" ht="15.75" x14ac:dyDescent="0.25">
      <c r="B4" s="41" t="s">
        <v>52</v>
      </c>
      <c r="C4" s="117" t="s">
        <v>41</v>
      </c>
      <c r="D4" s="117"/>
      <c r="E4" s="117"/>
      <c r="F4" s="117"/>
      <c r="G4" s="117"/>
      <c r="H4" s="117"/>
      <c r="I4" s="117"/>
      <c r="J4" s="118"/>
      <c r="K4" s="119"/>
      <c r="M4" s="34" t="s">
        <v>0</v>
      </c>
      <c r="N4" s="48" t="s">
        <v>61</v>
      </c>
      <c r="O4" s="35" t="s">
        <v>39</v>
      </c>
      <c r="P4" s="48" t="s">
        <v>61</v>
      </c>
      <c r="Q4" s="36" t="s">
        <v>40</v>
      </c>
      <c r="R4" s="48" t="s">
        <v>61</v>
      </c>
      <c r="S4" s="9"/>
      <c r="T4" s="120" t="s">
        <v>68</v>
      </c>
      <c r="U4" s="126" t="s">
        <v>67</v>
      </c>
      <c r="V4" s="109" t="s">
        <v>66</v>
      </c>
      <c r="AF4" s="11"/>
      <c r="AG4" s="11"/>
      <c r="AH4" s="11"/>
      <c r="AI4" s="11"/>
      <c r="AJ4" s="11"/>
      <c r="AK4" s="11"/>
      <c r="AL4" s="11"/>
      <c r="AM4" s="11"/>
      <c r="AN4" s="11"/>
      <c r="AO4" s="11"/>
      <c r="AP4" s="11"/>
      <c r="AQ4" s="11"/>
      <c r="AR4" s="11"/>
      <c r="AS4" s="11"/>
      <c r="AT4" s="11"/>
      <c r="AU4" s="11"/>
      <c r="AV4" s="11"/>
      <c r="AW4" s="11"/>
      <c r="AX4" s="11"/>
      <c r="AY4" s="11"/>
      <c r="AZ4" s="11"/>
      <c r="BA4" s="11"/>
      <c r="BB4" s="11"/>
    </row>
    <row r="5" spans="1:54" s="10" customFormat="1" ht="15.75" x14ac:dyDescent="0.25">
      <c r="B5" s="37"/>
      <c r="C5" s="40"/>
      <c r="D5" s="40"/>
      <c r="E5" s="40"/>
      <c r="F5" s="40"/>
      <c r="G5" s="40"/>
      <c r="H5" s="40" t="s">
        <v>64</v>
      </c>
      <c r="I5" s="40" t="s">
        <v>60</v>
      </c>
      <c r="J5" s="124" t="s">
        <v>65</v>
      </c>
      <c r="K5" s="125"/>
      <c r="M5" s="37"/>
      <c r="N5" s="49"/>
      <c r="O5" s="40"/>
      <c r="P5" s="107"/>
      <c r="Q5" s="107"/>
      <c r="R5" s="38"/>
      <c r="S5" s="9"/>
      <c r="T5" s="121"/>
      <c r="U5" s="127"/>
      <c r="V5" s="110"/>
      <c r="AF5" s="11"/>
      <c r="AG5" s="11"/>
      <c r="AH5" s="11"/>
      <c r="AI5" s="11"/>
      <c r="AJ5" s="11"/>
      <c r="AK5" s="11"/>
      <c r="AL5" s="11"/>
      <c r="AM5" s="11"/>
      <c r="AN5" s="11"/>
      <c r="AO5" s="11"/>
      <c r="AP5" s="11"/>
      <c r="AQ5" s="11"/>
      <c r="AR5" s="11"/>
      <c r="AS5" s="11"/>
      <c r="AT5" s="11"/>
      <c r="AU5" s="11"/>
      <c r="AV5" s="11"/>
      <c r="AW5" s="11"/>
      <c r="AX5" s="11"/>
      <c r="AY5" s="11"/>
      <c r="AZ5" s="11"/>
      <c r="BA5" s="11"/>
      <c r="BB5" s="11"/>
    </row>
    <row r="6" spans="1:54" s="10" customFormat="1" ht="15.75" x14ac:dyDescent="0.25">
      <c r="B6" s="37"/>
      <c r="C6" s="40"/>
      <c r="D6" s="40"/>
      <c r="E6" s="40"/>
      <c r="F6" s="40"/>
      <c r="G6" s="40"/>
      <c r="H6" s="40"/>
      <c r="I6" s="40"/>
      <c r="J6" s="107"/>
      <c r="K6" s="38"/>
      <c r="M6" s="37"/>
      <c r="N6" s="49"/>
      <c r="O6" s="40"/>
      <c r="P6" s="107"/>
      <c r="Q6" s="107"/>
      <c r="R6" s="38"/>
      <c r="S6" s="9"/>
      <c r="T6" s="39"/>
      <c r="U6" s="39"/>
      <c r="V6" s="39"/>
      <c r="AF6" s="11"/>
      <c r="AG6" s="11"/>
      <c r="AH6" s="11"/>
      <c r="AI6" s="11"/>
      <c r="AJ6" s="11"/>
      <c r="AK6" s="11"/>
      <c r="AL6" s="11"/>
      <c r="AM6" s="11"/>
      <c r="AN6" s="11"/>
      <c r="AO6" s="11"/>
      <c r="AP6" s="11"/>
      <c r="AQ6" s="11"/>
      <c r="AR6" s="11"/>
      <c r="AS6" s="11"/>
      <c r="AT6" s="11"/>
      <c r="AU6" s="11"/>
      <c r="AV6" s="11"/>
      <c r="AW6" s="11"/>
      <c r="AX6" s="11"/>
      <c r="AY6" s="11"/>
      <c r="AZ6" s="11"/>
      <c r="BA6" s="11"/>
      <c r="BB6" s="11"/>
    </row>
    <row r="7" spans="1:54" x14ac:dyDescent="0.25">
      <c r="A7" s="27">
        <v>1</v>
      </c>
      <c r="B7" s="26" t="s">
        <v>32</v>
      </c>
      <c r="C7" s="52">
        <v>29</v>
      </c>
      <c r="D7" s="52"/>
      <c r="E7" s="52"/>
      <c r="F7" s="52"/>
      <c r="G7" s="52"/>
      <c r="H7" s="52"/>
      <c r="I7" s="52">
        <v>3</v>
      </c>
      <c r="J7" s="53"/>
      <c r="K7" s="54">
        <v>6</v>
      </c>
      <c r="L7" s="55"/>
      <c r="M7" s="56"/>
      <c r="N7" s="57"/>
      <c r="O7" s="52">
        <v>1</v>
      </c>
      <c r="P7" s="53"/>
      <c r="Q7" s="53">
        <v>1</v>
      </c>
      <c r="R7" s="54"/>
      <c r="S7" s="55"/>
      <c r="T7" s="58">
        <f>H7+I7+J7+K7+N7+P7+R7</f>
        <v>9</v>
      </c>
      <c r="U7" s="58">
        <f>C7*24+M7*24+O7*24+Q7*24+T7</f>
        <v>753</v>
      </c>
      <c r="V7" s="58">
        <f>U7/24</f>
        <v>31.375</v>
      </c>
      <c r="W7" s="50"/>
      <c r="AF7" s="12"/>
      <c r="AG7" s="12"/>
      <c r="AH7" s="12"/>
      <c r="AI7" s="12"/>
      <c r="AJ7" s="12"/>
      <c r="AK7" s="12"/>
      <c r="AL7" s="12"/>
      <c r="AM7" s="12"/>
      <c r="AN7" s="12"/>
      <c r="AO7" s="12"/>
      <c r="AP7" s="12"/>
      <c r="AQ7" s="12"/>
      <c r="AR7" s="12"/>
      <c r="AS7" s="12"/>
      <c r="AT7" s="12"/>
      <c r="AU7" s="12"/>
      <c r="AV7" s="12"/>
      <c r="AW7" s="12"/>
      <c r="AX7" s="12"/>
      <c r="AY7" s="12"/>
      <c r="AZ7" s="12"/>
      <c r="BA7" s="12"/>
      <c r="BB7" s="12"/>
    </row>
    <row r="8" spans="1:54" ht="19.5" thickBot="1" x14ac:dyDescent="0.3">
      <c r="A8" s="27">
        <f>A7+1</f>
        <v>2</v>
      </c>
      <c r="B8" s="42" t="s">
        <v>35</v>
      </c>
      <c r="C8" s="59">
        <f>36+30</f>
        <v>66</v>
      </c>
      <c r="D8" s="59"/>
      <c r="E8" s="59"/>
      <c r="F8" s="59"/>
      <c r="G8" s="59"/>
      <c r="H8" s="59"/>
      <c r="I8" s="59"/>
      <c r="J8" s="60"/>
      <c r="K8" s="61"/>
      <c r="L8" s="62"/>
      <c r="M8" s="63">
        <v>1</v>
      </c>
      <c r="N8" s="64"/>
      <c r="O8" s="65">
        <v>1</v>
      </c>
      <c r="P8" s="66">
        <v>12</v>
      </c>
      <c r="Q8" s="66">
        <v>1</v>
      </c>
      <c r="R8" s="67"/>
      <c r="S8" s="62"/>
      <c r="T8" s="68">
        <f t="shared" ref="T8:T41" si="0">H8+I8+J8+K8+N8+P8+R8</f>
        <v>12</v>
      </c>
      <c r="U8" s="69">
        <f>C8*24+M8*24+O8*24+Q8*24+T8</f>
        <v>1668</v>
      </c>
      <c r="V8" s="69">
        <f>U8/24</f>
        <v>69.5</v>
      </c>
      <c r="W8" s="50"/>
      <c r="AF8" s="12"/>
      <c r="AG8" s="12"/>
      <c r="AH8" s="12"/>
      <c r="AI8" s="12"/>
      <c r="AJ8" s="12"/>
      <c r="AK8" s="12"/>
      <c r="AL8" s="12"/>
      <c r="AM8" s="12"/>
      <c r="AN8" s="12"/>
      <c r="AO8" s="12"/>
      <c r="AP8" s="12"/>
      <c r="AQ8" s="12"/>
      <c r="AR8" s="12"/>
      <c r="AS8" s="12"/>
      <c r="AT8" s="12"/>
      <c r="AU8" s="12"/>
      <c r="AV8" s="12"/>
      <c r="AW8" s="12"/>
      <c r="AX8" s="12"/>
      <c r="AY8" s="12"/>
      <c r="AZ8" s="12"/>
      <c r="BA8" s="12"/>
      <c r="BB8" s="12"/>
    </row>
    <row r="9" spans="1:54" x14ac:dyDescent="0.25">
      <c r="A9" s="27">
        <f t="shared" ref="A9:A57" si="1">A8+1</f>
        <v>3</v>
      </c>
      <c r="B9" s="25" t="s">
        <v>33</v>
      </c>
      <c r="C9" s="70">
        <f>23+30</f>
        <v>53</v>
      </c>
      <c r="D9" s="70"/>
      <c r="E9" s="70"/>
      <c r="F9" s="70"/>
      <c r="G9" s="70"/>
      <c r="H9" s="70"/>
      <c r="I9" s="70"/>
      <c r="J9" s="71"/>
      <c r="K9" s="72"/>
      <c r="L9" s="55"/>
      <c r="M9" s="73"/>
      <c r="N9" s="74"/>
      <c r="O9" s="70"/>
      <c r="P9" s="71"/>
      <c r="Q9" s="71"/>
      <c r="R9" s="72"/>
      <c r="S9" s="55"/>
      <c r="T9" s="75">
        <f t="shared" si="0"/>
        <v>0</v>
      </c>
      <c r="U9" s="76">
        <f t="shared" ref="U9:U11" si="2">C9*24+M9*24+O9*24+Q9*24+T9</f>
        <v>1272</v>
      </c>
      <c r="V9" s="76">
        <f t="shared" ref="V9:V11" si="3">U9/24</f>
        <v>53</v>
      </c>
      <c r="W9" s="50"/>
      <c r="AF9" s="12"/>
      <c r="AG9" s="12"/>
      <c r="AH9" s="12"/>
      <c r="AI9" s="12"/>
      <c r="AJ9" s="12"/>
      <c r="AK9" s="12"/>
      <c r="AL9" s="12"/>
      <c r="AM9" s="12"/>
      <c r="AN9" s="12"/>
      <c r="AO9" s="12"/>
      <c r="AP9" s="12"/>
      <c r="AQ9" s="12"/>
      <c r="AR9" s="12"/>
      <c r="AS9" s="12"/>
      <c r="AT9" s="12"/>
      <c r="AU9" s="12"/>
      <c r="AV9" s="12"/>
      <c r="AW9" s="12"/>
      <c r="AX9" s="12"/>
      <c r="AY9" s="12"/>
      <c r="AZ9" s="12"/>
      <c r="BA9" s="12"/>
      <c r="BB9" s="12"/>
    </row>
    <row r="10" spans="1:54" x14ac:dyDescent="0.25">
      <c r="A10" s="27">
        <f t="shared" si="1"/>
        <v>4</v>
      </c>
      <c r="B10" s="26" t="s">
        <v>36</v>
      </c>
      <c r="C10" s="70">
        <v>9</v>
      </c>
      <c r="D10" s="70"/>
      <c r="E10" s="70"/>
      <c r="F10" s="70"/>
      <c r="G10" s="70"/>
      <c r="H10" s="70"/>
      <c r="I10" s="70"/>
      <c r="J10" s="71"/>
      <c r="K10" s="72"/>
      <c r="L10" s="55"/>
      <c r="M10" s="73"/>
      <c r="N10" s="74"/>
      <c r="O10" s="70">
        <v>1</v>
      </c>
      <c r="P10" s="71"/>
      <c r="Q10" s="71"/>
      <c r="R10" s="72"/>
      <c r="S10" s="55"/>
      <c r="T10" s="58">
        <f t="shared" si="0"/>
        <v>0</v>
      </c>
      <c r="U10" s="58">
        <f t="shared" si="2"/>
        <v>240</v>
      </c>
      <c r="V10" s="58">
        <f t="shared" si="3"/>
        <v>10</v>
      </c>
      <c r="W10" s="50"/>
      <c r="AF10" s="12"/>
      <c r="AG10" s="12"/>
      <c r="AH10" s="12"/>
      <c r="AI10" s="12"/>
      <c r="AJ10" s="12"/>
      <c r="AK10" s="12"/>
      <c r="AL10" s="12"/>
      <c r="AM10" s="12"/>
      <c r="AN10" s="12"/>
      <c r="AO10" s="12"/>
      <c r="AP10" s="12"/>
      <c r="AQ10" s="12"/>
      <c r="AR10" s="12"/>
      <c r="AS10" s="12"/>
      <c r="AT10" s="12"/>
      <c r="AU10" s="12"/>
      <c r="AV10" s="12"/>
      <c r="AW10" s="12"/>
      <c r="AX10" s="12"/>
      <c r="AY10" s="12"/>
      <c r="AZ10" s="12"/>
      <c r="BA10" s="12"/>
      <c r="BB10" s="12"/>
    </row>
    <row r="11" spans="1:54" x14ac:dyDescent="0.25">
      <c r="A11" s="27">
        <f t="shared" si="1"/>
        <v>5</v>
      </c>
      <c r="B11" s="26" t="s">
        <v>34</v>
      </c>
      <c r="C11" s="70"/>
      <c r="D11" s="70"/>
      <c r="E11" s="70"/>
      <c r="F11" s="70"/>
      <c r="G11" s="70"/>
      <c r="H11" s="70"/>
      <c r="I11" s="70"/>
      <c r="J11" s="71"/>
      <c r="K11" s="72">
        <v>2</v>
      </c>
      <c r="L11" s="55"/>
      <c r="M11" s="73"/>
      <c r="N11" s="74"/>
      <c r="O11" s="70"/>
      <c r="P11" s="71"/>
      <c r="Q11" s="71"/>
      <c r="R11" s="72"/>
      <c r="S11" s="55"/>
      <c r="T11" s="58">
        <f t="shared" si="0"/>
        <v>2</v>
      </c>
      <c r="U11" s="58">
        <f t="shared" si="2"/>
        <v>2</v>
      </c>
      <c r="V11" s="58">
        <f t="shared" si="3"/>
        <v>8.3333333333333329E-2</v>
      </c>
      <c r="AF11" s="12"/>
      <c r="AG11" s="12"/>
      <c r="AH11" s="12"/>
      <c r="AI11" s="12"/>
      <c r="AJ11" s="12"/>
      <c r="AK11" s="12"/>
      <c r="AL11" s="12"/>
      <c r="AM11" s="12"/>
      <c r="AN11" s="12"/>
      <c r="AO11" s="12"/>
      <c r="AP11" s="12"/>
      <c r="AQ11" s="12"/>
      <c r="AR11" s="12"/>
      <c r="AS11" s="12"/>
      <c r="AT11" s="12"/>
      <c r="AU11" s="12"/>
      <c r="AV11" s="12"/>
      <c r="AW11" s="12"/>
      <c r="AX11" s="12"/>
      <c r="AY11" s="12"/>
      <c r="AZ11" s="12"/>
      <c r="BA11" s="12"/>
      <c r="BB11" s="12"/>
    </row>
    <row r="12" spans="1:54" s="13" customFormat="1" ht="19.5" thickBot="1" x14ac:dyDescent="0.3">
      <c r="A12" s="27">
        <v>7</v>
      </c>
      <c r="B12" s="42" t="s">
        <v>30</v>
      </c>
      <c r="C12" s="70">
        <f>1224+53+4+504+24+1080+29</f>
        <v>2918</v>
      </c>
      <c r="D12" s="70"/>
      <c r="E12" s="70"/>
      <c r="F12" s="70"/>
      <c r="G12" s="70"/>
      <c r="H12" s="70"/>
      <c r="I12" s="70"/>
      <c r="J12" s="71"/>
      <c r="K12" s="72"/>
      <c r="L12" s="55"/>
      <c r="M12" s="73">
        <v>20</v>
      </c>
      <c r="N12" s="74">
        <v>2</v>
      </c>
      <c r="O12" s="70">
        <v>12</v>
      </c>
      <c r="P12" s="71">
        <v>18</v>
      </c>
      <c r="Q12" s="71">
        <v>22</v>
      </c>
      <c r="R12" s="72">
        <v>3</v>
      </c>
      <c r="S12" s="62"/>
      <c r="T12" s="69">
        <f t="shared" si="0"/>
        <v>23</v>
      </c>
      <c r="U12" s="69">
        <f>C12*24+M12*24+O12*24+Q12*24+T12</f>
        <v>71351</v>
      </c>
      <c r="V12" s="69">
        <f>U12/24</f>
        <v>2972.9583333333335</v>
      </c>
      <c r="W12" s="9"/>
      <c r="X12" s="9"/>
      <c r="Y12" s="9"/>
      <c r="Z12" s="9"/>
      <c r="AA12" s="9"/>
      <c r="AB12" s="9"/>
      <c r="AC12" s="9"/>
      <c r="AD12" s="9"/>
      <c r="AE12" s="9"/>
      <c r="AF12" s="12"/>
      <c r="AG12" s="12"/>
      <c r="AH12" s="12"/>
      <c r="AI12" s="12"/>
      <c r="AJ12" s="12"/>
      <c r="AK12" s="12"/>
      <c r="AL12" s="12"/>
      <c r="AM12" s="12"/>
      <c r="AN12" s="12"/>
      <c r="AO12" s="12"/>
      <c r="AP12" s="12"/>
      <c r="AQ12" s="12"/>
      <c r="AR12" s="12"/>
      <c r="AS12" s="12"/>
      <c r="AT12" s="12"/>
      <c r="AU12" s="12"/>
      <c r="AV12" s="12"/>
      <c r="AW12" s="12"/>
      <c r="AX12" s="12"/>
      <c r="AY12" s="12"/>
      <c r="AZ12" s="12"/>
      <c r="BA12" s="12"/>
      <c r="BB12" s="12"/>
    </row>
    <row r="13" spans="1:54" x14ac:dyDescent="0.25">
      <c r="A13" s="27">
        <v>11</v>
      </c>
      <c r="B13" s="25" t="s">
        <v>1</v>
      </c>
      <c r="C13" s="70">
        <v>2</v>
      </c>
      <c r="D13" s="70"/>
      <c r="E13" s="70"/>
      <c r="F13" s="70"/>
      <c r="G13" s="70"/>
      <c r="H13" s="70">
        <v>16</v>
      </c>
      <c r="I13" s="70"/>
      <c r="J13" s="71"/>
      <c r="K13" s="72"/>
      <c r="L13" s="55"/>
      <c r="M13" s="73"/>
      <c r="N13" s="74"/>
      <c r="O13" s="70"/>
      <c r="P13" s="71"/>
      <c r="Q13" s="71"/>
      <c r="R13" s="72"/>
      <c r="S13" s="55"/>
      <c r="T13" s="76">
        <f t="shared" si="0"/>
        <v>16</v>
      </c>
      <c r="U13" s="76">
        <f>C13*24+M13*24+O13*24+Q13*24+T13</f>
        <v>64</v>
      </c>
      <c r="V13" s="76">
        <f>U13/24</f>
        <v>2.6666666666666665</v>
      </c>
      <c r="AF13" s="12"/>
      <c r="AG13" s="12"/>
      <c r="AH13" s="12"/>
      <c r="AI13" s="12"/>
      <c r="AJ13" s="12"/>
      <c r="AK13" s="12"/>
      <c r="AL13" s="12"/>
      <c r="AM13" s="12"/>
      <c r="AN13" s="12"/>
      <c r="AO13" s="12"/>
      <c r="AP13" s="12"/>
      <c r="AQ13" s="12"/>
      <c r="AR13" s="12"/>
      <c r="AS13" s="12"/>
      <c r="AT13" s="12"/>
      <c r="AU13" s="12"/>
      <c r="AV13" s="12"/>
      <c r="AW13" s="12"/>
      <c r="AX13" s="12"/>
      <c r="AY13" s="12"/>
      <c r="AZ13" s="12"/>
      <c r="BA13" s="12"/>
      <c r="BB13" s="12"/>
    </row>
    <row r="14" spans="1:54" x14ac:dyDescent="0.25">
      <c r="A14" s="27">
        <f t="shared" si="1"/>
        <v>12</v>
      </c>
      <c r="B14" s="26" t="s">
        <v>2</v>
      </c>
      <c r="C14" s="70">
        <v>2</v>
      </c>
      <c r="D14" s="70"/>
      <c r="E14" s="70"/>
      <c r="F14" s="70"/>
      <c r="G14" s="70"/>
      <c r="H14" s="70"/>
      <c r="I14" s="70"/>
      <c r="J14" s="71"/>
      <c r="K14" s="72"/>
      <c r="L14" s="55"/>
      <c r="M14" s="73"/>
      <c r="N14" s="74"/>
      <c r="O14" s="70"/>
      <c r="P14" s="71"/>
      <c r="Q14" s="71"/>
      <c r="R14" s="72"/>
      <c r="S14" s="55"/>
      <c r="T14" s="58">
        <f t="shared" si="0"/>
        <v>0</v>
      </c>
      <c r="U14" s="75">
        <f t="shared" ref="U14:U36" si="4">C14*24+M14*24+O14*24+Q14*24+T14</f>
        <v>48</v>
      </c>
      <c r="V14" s="75">
        <f t="shared" ref="V14:V36" si="5">U14/24</f>
        <v>2</v>
      </c>
      <c r="AF14" s="12"/>
      <c r="AG14" s="12"/>
      <c r="AH14" s="12"/>
      <c r="AI14" s="12"/>
      <c r="AJ14" s="12"/>
      <c r="AK14" s="12"/>
      <c r="AL14" s="12"/>
      <c r="AM14" s="12"/>
      <c r="AN14" s="12"/>
      <c r="AO14" s="12"/>
      <c r="AP14" s="12"/>
      <c r="AQ14" s="12"/>
      <c r="AR14" s="12"/>
      <c r="AS14" s="12"/>
      <c r="AT14" s="12"/>
      <c r="AU14" s="12"/>
      <c r="AV14" s="12"/>
      <c r="AW14" s="12"/>
      <c r="AX14" s="12"/>
      <c r="AY14" s="12"/>
      <c r="AZ14" s="12"/>
      <c r="BA14" s="12"/>
      <c r="BB14" s="12"/>
    </row>
    <row r="15" spans="1:54" x14ac:dyDescent="0.25">
      <c r="A15" s="27">
        <f t="shared" si="1"/>
        <v>13</v>
      </c>
      <c r="B15" s="26" t="s">
        <v>3</v>
      </c>
      <c r="C15" s="70"/>
      <c r="D15" s="70"/>
      <c r="E15" s="70"/>
      <c r="F15" s="70"/>
      <c r="G15" s="70"/>
      <c r="H15" s="70"/>
      <c r="I15" s="70"/>
      <c r="J15" s="71"/>
      <c r="K15" s="72"/>
      <c r="L15" s="55"/>
      <c r="M15" s="73"/>
      <c r="N15" s="74"/>
      <c r="O15" s="70"/>
      <c r="P15" s="71"/>
      <c r="Q15" s="71"/>
      <c r="R15" s="72"/>
      <c r="S15" s="55"/>
      <c r="T15" s="58">
        <f t="shared" si="0"/>
        <v>0</v>
      </c>
      <c r="U15" s="75">
        <f t="shared" si="4"/>
        <v>0</v>
      </c>
      <c r="V15" s="75">
        <f t="shared" si="5"/>
        <v>0</v>
      </c>
      <c r="AF15" s="12"/>
      <c r="AG15" s="12"/>
      <c r="AH15" s="12"/>
      <c r="AI15" s="12"/>
      <c r="AJ15" s="12"/>
      <c r="AK15" s="12"/>
      <c r="AL15" s="12"/>
      <c r="AM15" s="12"/>
      <c r="AN15" s="12"/>
      <c r="AO15" s="12"/>
      <c r="AP15" s="12"/>
      <c r="AQ15" s="12"/>
      <c r="AR15" s="12"/>
      <c r="AS15" s="12"/>
      <c r="AT15" s="12"/>
      <c r="AU15" s="12"/>
      <c r="AV15" s="12"/>
      <c r="AW15" s="12"/>
      <c r="AX15" s="12"/>
      <c r="AY15" s="12"/>
      <c r="AZ15" s="12"/>
      <c r="BA15" s="12"/>
      <c r="BB15" s="12"/>
    </row>
    <row r="16" spans="1:54" x14ac:dyDescent="0.25">
      <c r="A16" s="27">
        <f t="shared" si="1"/>
        <v>14</v>
      </c>
      <c r="B16" s="26" t="s">
        <v>4</v>
      </c>
      <c r="C16" s="70"/>
      <c r="D16" s="70"/>
      <c r="E16" s="70"/>
      <c r="F16" s="70"/>
      <c r="G16" s="70"/>
      <c r="H16" s="70"/>
      <c r="I16" s="70"/>
      <c r="J16" s="71"/>
      <c r="K16" s="72"/>
      <c r="L16" s="55"/>
      <c r="M16" s="73"/>
      <c r="N16" s="74"/>
      <c r="O16" s="70"/>
      <c r="P16" s="71"/>
      <c r="Q16" s="71"/>
      <c r="R16" s="72"/>
      <c r="S16" s="55"/>
      <c r="T16" s="58">
        <f t="shared" si="0"/>
        <v>0</v>
      </c>
      <c r="U16" s="75">
        <f t="shared" si="4"/>
        <v>0</v>
      </c>
      <c r="V16" s="75">
        <f t="shared" si="5"/>
        <v>0</v>
      </c>
      <c r="AF16" s="12"/>
      <c r="AG16" s="12"/>
      <c r="AH16" s="12"/>
      <c r="AI16" s="12"/>
      <c r="AJ16" s="12"/>
      <c r="AK16" s="12"/>
      <c r="AL16" s="12"/>
      <c r="AM16" s="12"/>
      <c r="AN16" s="12"/>
      <c r="AO16" s="12"/>
      <c r="AP16" s="12"/>
      <c r="AQ16" s="12"/>
      <c r="AR16" s="12"/>
      <c r="AS16" s="12"/>
      <c r="AT16" s="12"/>
      <c r="AU16" s="12"/>
      <c r="AV16" s="12"/>
      <c r="AW16" s="12"/>
      <c r="AX16" s="12"/>
      <c r="AY16" s="12"/>
      <c r="AZ16" s="12"/>
      <c r="BA16" s="12"/>
      <c r="BB16" s="12"/>
    </row>
    <row r="17" spans="1:54" x14ac:dyDescent="0.25">
      <c r="A17" s="27">
        <f t="shared" si="1"/>
        <v>15</v>
      </c>
      <c r="B17" s="26" t="s">
        <v>5</v>
      </c>
      <c r="C17" s="70"/>
      <c r="D17" s="70"/>
      <c r="E17" s="70"/>
      <c r="F17" s="70"/>
      <c r="G17" s="70"/>
      <c r="H17" s="70">
        <f>3*24</f>
        <v>72</v>
      </c>
      <c r="I17" s="70"/>
      <c r="J17" s="71"/>
      <c r="K17" s="72"/>
      <c r="L17" s="55"/>
      <c r="M17" s="73"/>
      <c r="N17" s="74"/>
      <c r="O17" s="70"/>
      <c r="P17" s="71"/>
      <c r="Q17" s="71"/>
      <c r="R17" s="72"/>
      <c r="S17" s="55"/>
      <c r="T17" s="58">
        <f t="shared" si="0"/>
        <v>72</v>
      </c>
      <c r="U17" s="75">
        <f t="shared" si="4"/>
        <v>72</v>
      </c>
      <c r="V17" s="75">
        <f t="shared" si="5"/>
        <v>3</v>
      </c>
      <c r="AF17" s="12"/>
      <c r="AG17" s="12"/>
      <c r="AH17" s="12"/>
      <c r="AI17" s="12"/>
      <c r="AJ17" s="12"/>
      <c r="AK17" s="12"/>
      <c r="AL17" s="12"/>
      <c r="AM17" s="12"/>
      <c r="AN17" s="12"/>
      <c r="AO17" s="12"/>
      <c r="AP17" s="12"/>
      <c r="AQ17" s="12"/>
      <c r="AR17" s="12"/>
      <c r="AS17" s="12"/>
      <c r="AT17" s="12"/>
      <c r="AU17" s="12"/>
      <c r="AV17" s="12"/>
      <c r="AW17" s="12"/>
      <c r="AX17" s="12"/>
      <c r="AY17" s="12"/>
      <c r="AZ17" s="12"/>
      <c r="BA17" s="12"/>
      <c r="BB17" s="12"/>
    </row>
    <row r="18" spans="1:54" hidden="1" x14ac:dyDescent="0.25">
      <c r="A18" s="27">
        <f t="shared" si="1"/>
        <v>16</v>
      </c>
      <c r="B18" s="26" t="s">
        <v>9</v>
      </c>
      <c r="C18" s="70"/>
      <c r="D18" s="70"/>
      <c r="E18" s="70"/>
      <c r="F18" s="70"/>
      <c r="G18" s="70"/>
      <c r="H18" s="70"/>
      <c r="I18" s="70"/>
      <c r="J18" s="71"/>
      <c r="K18" s="72"/>
      <c r="L18" s="55"/>
      <c r="M18" s="73"/>
      <c r="N18" s="74"/>
      <c r="O18" s="70"/>
      <c r="P18" s="71"/>
      <c r="Q18" s="71"/>
      <c r="R18" s="72"/>
      <c r="S18" s="55"/>
      <c r="T18" s="58">
        <f t="shared" si="0"/>
        <v>0</v>
      </c>
      <c r="U18" s="75">
        <f t="shared" si="4"/>
        <v>0</v>
      </c>
      <c r="V18" s="75">
        <f t="shared" si="5"/>
        <v>0</v>
      </c>
      <c r="AF18" s="12"/>
      <c r="AG18" s="12"/>
      <c r="AH18" s="12"/>
      <c r="AI18" s="12"/>
      <c r="AJ18" s="12"/>
      <c r="AK18" s="12"/>
      <c r="AL18" s="12"/>
      <c r="AM18" s="12"/>
      <c r="AN18" s="12"/>
      <c r="AO18" s="12"/>
      <c r="AP18" s="12"/>
      <c r="AQ18" s="12"/>
      <c r="AR18" s="12"/>
      <c r="AS18" s="12"/>
      <c r="AT18" s="12"/>
      <c r="AU18" s="12"/>
      <c r="AV18" s="12"/>
      <c r="AW18" s="12"/>
      <c r="AX18" s="12"/>
      <c r="AY18" s="12"/>
      <c r="AZ18" s="12"/>
      <c r="BA18" s="12"/>
      <c r="BB18" s="12"/>
    </row>
    <row r="19" spans="1:54" x14ac:dyDescent="0.25">
      <c r="A19" s="27">
        <v>16</v>
      </c>
      <c r="B19" s="26" t="s">
        <v>53</v>
      </c>
      <c r="C19" s="70">
        <v>1</v>
      </c>
      <c r="D19" s="70"/>
      <c r="E19" s="70"/>
      <c r="F19" s="70"/>
      <c r="G19" s="70"/>
      <c r="H19" s="70">
        <f>20+24</f>
        <v>44</v>
      </c>
      <c r="I19" s="70"/>
      <c r="J19" s="71"/>
      <c r="K19" s="72"/>
      <c r="L19" s="55"/>
      <c r="M19" s="73"/>
      <c r="N19" s="74"/>
      <c r="O19" s="70"/>
      <c r="P19" s="71"/>
      <c r="Q19" s="71"/>
      <c r="R19" s="72"/>
      <c r="S19" s="55"/>
      <c r="T19" s="58">
        <f t="shared" si="0"/>
        <v>44</v>
      </c>
      <c r="U19" s="75">
        <f t="shared" si="4"/>
        <v>68</v>
      </c>
      <c r="V19" s="75">
        <f t="shared" si="5"/>
        <v>2.8333333333333335</v>
      </c>
      <c r="AF19" s="12"/>
      <c r="AG19" s="12"/>
      <c r="AH19" s="12"/>
      <c r="AI19" s="12"/>
      <c r="AJ19" s="12"/>
      <c r="AK19" s="12"/>
      <c r="AL19" s="12"/>
      <c r="AM19" s="12"/>
      <c r="AN19" s="12"/>
      <c r="AO19" s="12"/>
      <c r="AP19" s="12"/>
      <c r="AQ19" s="12"/>
      <c r="AR19" s="12"/>
      <c r="AS19" s="12"/>
      <c r="AT19" s="12"/>
      <c r="AU19" s="12"/>
      <c r="AV19" s="12"/>
      <c r="AW19" s="12"/>
      <c r="AX19" s="12"/>
      <c r="AY19" s="12"/>
      <c r="AZ19" s="12"/>
      <c r="BA19" s="12"/>
      <c r="BB19" s="12"/>
    </row>
    <row r="20" spans="1:54" x14ac:dyDescent="0.25">
      <c r="A20" s="27">
        <f t="shared" si="1"/>
        <v>17</v>
      </c>
      <c r="B20" s="26" t="s">
        <v>6</v>
      </c>
      <c r="C20" s="70">
        <v>5</v>
      </c>
      <c r="D20" s="70"/>
      <c r="E20" s="70"/>
      <c r="F20" s="70"/>
      <c r="G20" s="70"/>
      <c r="H20" s="70"/>
      <c r="I20" s="70"/>
      <c r="J20" s="71"/>
      <c r="K20" s="72"/>
      <c r="L20" s="55"/>
      <c r="M20" s="73"/>
      <c r="N20" s="74"/>
      <c r="O20" s="70"/>
      <c r="P20" s="71"/>
      <c r="Q20" s="71"/>
      <c r="R20" s="72"/>
      <c r="S20" s="55"/>
      <c r="T20" s="58">
        <f t="shared" si="0"/>
        <v>0</v>
      </c>
      <c r="U20" s="75">
        <f t="shared" si="4"/>
        <v>120</v>
      </c>
      <c r="V20" s="75">
        <f t="shared" si="5"/>
        <v>5</v>
      </c>
      <c r="AF20" s="12"/>
      <c r="AG20" s="12"/>
      <c r="AH20" s="12"/>
      <c r="AI20" s="12"/>
      <c r="AJ20" s="12"/>
      <c r="AK20" s="12"/>
      <c r="AL20" s="12"/>
      <c r="AM20" s="12"/>
      <c r="AN20" s="12"/>
      <c r="AO20" s="12"/>
      <c r="AP20" s="12"/>
      <c r="AQ20" s="12"/>
      <c r="AR20" s="12"/>
      <c r="AS20" s="12"/>
      <c r="AT20" s="12"/>
      <c r="AU20" s="12"/>
      <c r="AV20" s="12"/>
      <c r="AW20" s="12"/>
      <c r="AX20" s="12"/>
      <c r="AY20" s="12"/>
      <c r="AZ20" s="12"/>
      <c r="BA20" s="12"/>
      <c r="BB20" s="12"/>
    </row>
    <row r="21" spans="1:54" x14ac:dyDescent="0.25">
      <c r="A21" s="27">
        <f t="shared" si="1"/>
        <v>18</v>
      </c>
      <c r="B21" s="26" t="s">
        <v>7</v>
      </c>
      <c r="C21" s="70"/>
      <c r="D21" s="70"/>
      <c r="E21" s="70"/>
      <c r="F21" s="70"/>
      <c r="G21" s="70"/>
      <c r="H21" s="70">
        <f>2*24</f>
        <v>48</v>
      </c>
      <c r="I21" s="70"/>
      <c r="J21" s="71"/>
      <c r="K21" s="72"/>
      <c r="L21" s="55"/>
      <c r="M21" s="73"/>
      <c r="N21" s="74"/>
      <c r="O21" s="70"/>
      <c r="P21" s="71"/>
      <c r="Q21" s="71"/>
      <c r="R21" s="72"/>
      <c r="S21" s="55"/>
      <c r="T21" s="58">
        <f t="shared" si="0"/>
        <v>48</v>
      </c>
      <c r="U21" s="75">
        <f t="shared" si="4"/>
        <v>48</v>
      </c>
      <c r="V21" s="75">
        <f t="shared" si="5"/>
        <v>2</v>
      </c>
      <c r="AF21" s="12"/>
      <c r="AG21" s="12"/>
      <c r="AH21" s="12"/>
      <c r="AI21" s="12"/>
      <c r="AJ21" s="12"/>
      <c r="AK21" s="12"/>
      <c r="AL21" s="12"/>
      <c r="AM21" s="12"/>
      <c r="AN21" s="12"/>
      <c r="AO21" s="12"/>
      <c r="AP21" s="12"/>
      <c r="AQ21" s="12"/>
      <c r="AR21" s="12"/>
      <c r="AS21" s="12"/>
      <c r="AT21" s="12"/>
      <c r="AU21" s="12"/>
      <c r="AV21" s="12"/>
      <c r="AW21" s="12"/>
      <c r="AX21" s="12"/>
      <c r="AY21" s="12"/>
      <c r="AZ21" s="12"/>
      <c r="BA21" s="12"/>
      <c r="BB21" s="12"/>
    </row>
    <row r="22" spans="1:54" s="13" customFormat="1" x14ac:dyDescent="0.25">
      <c r="A22" s="27">
        <f t="shared" si="1"/>
        <v>19</v>
      </c>
      <c r="B22" s="26" t="s">
        <v>54</v>
      </c>
      <c r="C22" s="70">
        <v>1</v>
      </c>
      <c r="D22" s="70"/>
      <c r="E22" s="70"/>
      <c r="F22" s="70"/>
      <c r="G22" s="70"/>
      <c r="H22" s="70"/>
      <c r="I22" s="70">
        <v>20</v>
      </c>
      <c r="J22" s="71"/>
      <c r="K22" s="72"/>
      <c r="L22" s="55"/>
      <c r="M22" s="73"/>
      <c r="N22" s="74"/>
      <c r="O22" s="70"/>
      <c r="P22" s="71"/>
      <c r="Q22" s="71"/>
      <c r="R22" s="72"/>
      <c r="S22" s="55"/>
      <c r="T22" s="58">
        <f t="shared" si="0"/>
        <v>20</v>
      </c>
      <c r="U22" s="75">
        <f t="shared" si="4"/>
        <v>44</v>
      </c>
      <c r="V22" s="75">
        <f t="shared" si="5"/>
        <v>1.8333333333333333</v>
      </c>
      <c r="W22" s="9"/>
      <c r="X22" s="9"/>
      <c r="Y22" s="9"/>
      <c r="Z22" s="9"/>
      <c r="AA22" s="9"/>
      <c r="AB22" s="9"/>
      <c r="AC22" s="9"/>
      <c r="AD22" s="9"/>
      <c r="AE22" s="9"/>
      <c r="AF22" s="12"/>
      <c r="AG22" s="12"/>
      <c r="AH22" s="12"/>
      <c r="AI22" s="12"/>
      <c r="AJ22" s="12"/>
      <c r="AK22" s="12"/>
      <c r="AL22" s="12"/>
      <c r="AM22" s="12"/>
      <c r="AN22" s="12"/>
      <c r="AO22" s="12"/>
      <c r="AP22" s="12"/>
      <c r="AQ22" s="12"/>
      <c r="AR22" s="12"/>
      <c r="AS22" s="12"/>
      <c r="AT22" s="12"/>
      <c r="AU22" s="12"/>
      <c r="AV22" s="12"/>
      <c r="AW22" s="12"/>
      <c r="AX22" s="12"/>
      <c r="AY22" s="12"/>
      <c r="AZ22" s="12"/>
      <c r="BA22" s="12"/>
      <c r="BB22" s="12"/>
    </row>
    <row r="23" spans="1:54" s="13" customFormat="1" x14ac:dyDescent="0.25">
      <c r="A23" s="27">
        <f t="shared" si="1"/>
        <v>20</v>
      </c>
      <c r="B23" s="26" t="s">
        <v>55</v>
      </c>
      <c r="C23" s="70"/>
      <c r="D23" s="70"/>
      <c r="E23" s="70"/>
      <c r="F23" s="70"/>
      <c r="G23" s="70"/>
      <c r="H23" s="70">
        <f>37*24+19</f>
        <v>907</v>
      </c>
      <c r="I23" s="70"/>
      <c r="J23" s="71"/>
      <c r="K23" s="72"/>
      <c r="L23" s="55"/>
      <c r="M23" s="73"/>
      <c r="N23" s="74"/>
      <c r="O23" s="70"/>
      <c r="P23" s="71"/>
      <c r="Q23" s="71"/>
      <c r="R23" s="72"/>
      <c r="S23" s="55"/>
      <c r="T23" s="58">
        <f t="shared" si="0"/>
        <v>907</v>
      </c>
      <c r="U23" s="75">
        <f t="shared" si="4"/>
        <v>907</v>
      </c>
      <c r="V23" s="75">
        <f t="shared" si="5"/>
        <v>37.791666666666664</v>
      </c>
      <c r="W23" s="9"/>
      <c r="X23" s="9"/>
      <c r="Y23" s="9"/>
      <c r="Z23" s="9"/>
      <c r="AA23" s="9"/>
      <c r="AB23" s="9"/>
      <c r="AC23" s="9"/>
      <c r="AD23" s="9"/>
      <c r="AE23" s="9"/>
      <c r="AF23" s="12"/>
      <c r="AG23" s="12"/>
      <c r="AH23" s="12"/>
      <c r="AI23" s="12"/>
      <c r="AJ23" s="12"/>
      <c r="AK23" s="12"/>
      <c r="AL23" s="12"/>
      <c r="AM23" s="12"/>
      <c r="AN23" s="12"/>
      <c r="AO23" s="12"/>
      <c r="AP23" s="12"/>
      <c r="AQ23" s="12"/>
      <c r="AR23" s="12"/>
      <c r="AS23" s="12"/>
      <c r="AT23" s="12"/>
      <c r="AU23" s="12"/>
      <c r="AV23" s="12"/>
      <c r="AW23" s="12"/>
      <c r="AX23" s="12"/>
      <c r="AY23" s="12"/>
      <c r="AZ23" s="12"/>
      <c r="BA23" s="12"/>
      <c r="BB23" s="12"/>
    </row>
    <row r="24" spans="1:54" x14ac:dyDescent="0.25">
      <c r="A24" s="27">
        <f t="shared" si="1"/>
        <v>21</v>
      </c>
      <c r="B24" s="26" t="s">
        <v>56</v>
      </c>
      <c r="C24" s="70">
        <v>2</v>
      </c>
      <c r="D24" s="70"/>
      <c r="E24" s="70"/>
      <c r="F24" s="70"/>
      <c r="G24" s="70"/>
      <c r="H24" s="70">
        <f>3*24</f>
        <v>72</v>
      </c>
      <c r="I24" s="70"/>
      <c r="J24" s="71"/>
      <c r="K24" s="72"/>
      <c r="L24" s="55"/>
      <c r="M24" s="73"/>
      <c r="N24" s="74"/>
      <c r="O24" s="70"/>
      <c r="P24" s="71"/>
      <c r="Q24" s="71"/>
      <c r="R24" s="72"/>
      <c r="S24" s="55"/>
      <c r="T24" s="58">
        <f t="shared" si="0"/>
        <v>72</v>
      </c>
      <c r="U24" s="75">
        <f t="shared" si="4"/>
        <v>120</v>
      </c>
      <c r="V24" s="75">
        <f t="shared" si="5"/>
        <v>5</v>
      </c>
      <c r="AF24" s="12"/>
      <c r="AG24" s="12"/>
      <c r="AH24" s="12"/>
      <c r="AI24" s="12"/>
      <c r="AJ24" s="12"/>
      <c r="AK24" s="12"/>
      <c r="AL24" s="12"/>
      <c r="AM24" s="12"/>
      <c r="AN24" s="12"/>
      <c r="AO24" s="12"/>
      <c r="AP24" s="12"/>
      <c r="AQ24" s="12"/>
      <c r="AR24" s="12"/>
      <c r="AS24" s="12"/>
      <c r="AT24" s="12"/>
      <c r="AU24" s="12"/>
      <c r="AV24" s="12"/>
      <c r="AW24" s="12"/>
      <c r="AX24" s="12"/>
      <c r="AY24" s="12"/>
      <c r="AZ24" s="12"/>
      <c r="BA24" s="12"/>
      <c r="BB24" s="12"/>
    </row>
    <row r="25" spans="1:54" x14ac:dyDescent="0.25">
      <c r="A25" s="27">
        <f t="shared" si="1"/>
        <v>22</v>
      </c>
      <c r="B25" s="26" t="s">
        <v>8</v>
      </c>
      <c r="C25" s="70">
        <f>7+126</f>
        <v>133</v>
      </c>
      <c r="D25" s="70"/>
      <c r="E25" s="70"/>
      <c r="F25" s="70"/>
      <c r="G25" s="70"/>
      <c r="H25" s="70"/>
      <c r="I25" s="70">
        <v>1</v>
      </c>
      <c r="J25" s="71"/>
      <c r="K25" s="72"/>
      <c r="L25" s="55"/>
      <c r="M25" s="73"/>
      <c r="N25" s="74"/>
      <c r="O25" s="70">
        <v>1</v>
      </c>
      <c r="P25" s="71"/>
      <c r="Q25" s="71">
        <v>2</v>
      </c>
      <c r="R25" s="72"/>
      <c r="S25" s="55"/>
      <c r="T25" s="58">
        <f t="shared" si="0"/>
        <v>1</v>
      </c>
      <c r="U25" s="75">
        <f t="shared" si="4"/>
        <v>3265</v>
      </c>
      <c r="V25" s="75">
        <f t="shared" si="5"/>
        <v>136.04166666666666</v>
      </c>
      <c r="AY25" s="14" t="e">
        <f>#REF!-AY24</f>
        <v>#REF!</v>
      </c>
    </row>
    <row r="26" spans="1:54" s="13" customFormat="1" x14ac:dyDescent="0.25">
      <c r="A26" s="27">
        <f t="shared" si="1"/>
        <v>23</v>
      </c>
      <c r="B26" s="26" t="s">
        <v>10</v>
      </c>
      <c r="C26" s="70">
        <v>3</v>
      </c>
      <c r="D26" s="70"/>
      <c r="E26" s="70"/>
      <c r="F26" s="70"/>
      <c r="G26" s="70"/>
      <c r="H26" s="70"/>
      <c r="I26" s="70"/>
      <c r="J26" s="71"/>
      <c r="K26" s="72"/>
      <c r="L26" s="55"/>
      <c r="M26" s="73"/>
      <c r="N26" s="74"/>
      <c r="O26" s="70"/>
      <c r="P26" s="71"/>
      <c r="Q26" s="71">
        <v>2</v>
      </c>
      <c r="R26" s="72"/>
      <c r="S26" s="55"/>
      <c r="T26" s="58">
        <f t="shared" si="0"/>
        <v>0</v>
      </c>
      <c r="U26" s="75">
        <f t="shared" si="4"/>
        <v>120</v>
      </c>
      <c r="V26" s="75">
        <f t="shared" si="5"/>
        <v>5</v>
      </c>
      <c r="W26" s="9"/>
      <c r="X26" s="9"/>
      <c r="Y26" s="9"/>
      <c r="Z26" s="9"/>
      <c r="AA26" s="9"/>
      <c r="AB26" s="9"/>
      <c r="AC26" s="9"/>
      <c r="AD26" s="9"/>
      <c r="AE26" s="9"/>
    </row>
    <row r="27" spans="1:54" s="13" customFormat="1" x14ac:dyDescent="0.25">
      <c r="A27" s="27">
        <f t="shared" si="1"/>
        <v>24</v>
      </c>
      <c r="B27" s="26" t="s">
        <v>69</v>
      </c>
      <c r="C27" s="70">
        <v>1</v>
      </c>
      <c r="D27" s="70"/>
      <c r="E27" s="70"/>
      <c r="F27" s="70"/>
      <c r="G27" s="70"/>
      <c r="H27" s="70"/>
      <c r="I27" s="70"/>
      <c r="J27" s="71"/>
      <c r="K27" s="72"/>
      <c r="L27" s="55"/>
      <c r="M27" s="73"/>
      <c r="N27" s="74"/>
      <c r="O27" s="70"/>
      <c r="P27" s="71"/>
      <c r="Q27" s="71"/>
      <c r="R27" s="72"/>
      <c r="S27" s="55"/>
      <c r="T27" s="58">
        <f t="shared" si="0"/>
        <v>0</v>
      </c>
      <c r="U27" s="75">
        <f t="shared" si="4"/>
        <v>24</v>
      </c>
      <c r="V27" s="75">
        <f t="shared" si="5"/>
        <v>1</v>
      </c>
      <c r="W27" s="9"/>
      <c r="X27" s="9"/>
      <c r="Y27" s="9"/>
      <c r="Z27" s="9"/>
      <c r="AA27" s="9"/>
      <c r="AB27" s="9"/>
      <c r="AC27" s="9"/>
      <c r="AD27" s="9"/>
      <c r="AE27" s="9"/>
    </row>
    <row r="28" spans="1:54" s="13" customFormat="1" x14ac:dyDescent="0.25">
      <c r="A28" s="27">
        <f t="shared" si="1"/>
        <v>25</v>
      </c>
      <c r="B28" s="26" t="s">
        <v>11</v>
      </c>
      <c r="C28" s="70">
        <f>34+252</f>
        <v>286</v>
      </c>
      <c r="D28" s="70"/>
      <c r="E28" s="70"/>
      <c r="F28" s="70"/>
      <c r="G28" s="70"/>
      <c r="H28" s="70"/>
      <c r="I28" s="70"/>
      <c r="J28" s="71"/>
      <c r="K28" s="72"/>
      <c r="L28" s="55"/>
      <c r="M28" s="73"/>
      <c r="N28" s="74"/>
      <c r="O28" s="70">
        <v>3</v>
      </c>
      <c r="P28" s="71"/>
      <c r="Q28" s="71">
        <v>3</v>
      </c>
      <c r="R28" s="72"/>
      <c r="S28" s="55"/>
      <c r="T28" s="58">
        <f t="shared" si="0"/>
        <v>0</v>
      </c>
      <c r="U28" s="75">
        <f t="shared" si="4"/>
        <v>7008</v>
      </c>
      <c r="V28" s="75">
        <f t="shared" si="5"/>
        <v>292</v>
      </c>
      <c r="W28" s="9"/>
      <c r="X28" s="9"/>
      <c r="Y28" s="9"/>
      <c r="Z28" s="9"/>
      <c r="AA28" s="9"/>
      <c r="AB28" s="9"/>
      <c r="AC28" s="9"/>
      <c r="AD28" s="9"/>
      <c r="AE28" s="9"/>
    </row>
    <row r="29" spans="1:54" x14ac:dyDescent="0.25">
      <c r="A29" s="27">
        <f t="shared" si="1"/>
        <v>26</v>
      </c>
      <c r="B29" s="26" t="s">
        <v>13</v>
      </c>
      <c r="C29" s="70"/>
      <c r="D29" s="70"/>
      <c r="E29" s="70"/>
      <c r="F29" s="70"/>
      <c r="G29" s="70"/>
      <c r="H29" s="70"/>
      <c r="I29" s="70">
        <v>5</v>
      </c>
      <c r="J29" s="71"/>
      <c r="K29" s="72"/>
      <c r="L29" s="55"/>
      <c r="M29" s="73"/>
      <c r="N29" s="74"/>
      <c r="O29" s="70"/>
      <c r="P29" s="71"/>
      <c r="Q29" s="71"/>
      <c r="R29" s="72"/>
      <c r="S29" s="55"/>
      <c r="T29" s="58">
        <f t="shared" si="0"/>
        <v>5</v>
      </c>
      <c r="U29" s="75">
        <f t="shared" si="4"/>
        <v>5</v>
      </c>
      <c r="V29" s="75">
        <f t="shared" si="5"/>
        <v>0.20833333333333334</v>
      </c>
    </row>
    <row r="30" spans="1:54" x14ac:dyDescent="0.25">
      <c r="A30" s="27">
        <f t="shared" si="1"/>
        <v>27</v>
      </c>
      <c r="B30" s="26" t="s">
        <v>15</v>
      </c>
      <c r="C30" s="70"/>
      <c r="D30" s="70"/>
      <c r="E30" s="70"/>
      <c r="F30" s="70"/>
      <c r="G30" s="70"/>
      <c r="H30" s="70"/>
      <c r="I30" s="70"/>
      <c r="J30" s="71"/>
      <c r="K30" s="72"/>
      <c r="L30" s="55"/>
      <c r="M30" s="73"/>
      <c r="N30" s="74"/>
      <c r="O30" s="70"/>
      <c r="P30" s="71"/>
      <c r="Q30" s="71"/>
      <c r="R30" s="72"/>
      <c r="S30" s="55"/>
      <c r="T30" s="58">
        <f t="shared" si="0"/>
        <v>0</v>
      </c>
      <c r="U30" s="75">
        <f t="shared" si="4"/>
        <v>0</v>
      </c>
      <c r="V30" s="75">
        <f t="shared" si="5"/>
        <v>0</v>
      </c>
    </row>
    <row r="31" spans="1:54" x14ac:dyDescent="0.25">
      <c r="A31" s="27">
        <f t="shared" si="1"/>
        <v>28</v>
      </c>
      <c r="B31" s="26" t="s">
        <v>12</v>
      </c>
      <c r="C31" s="70"/>
      <c r="D31" s="70"/>
      <c r="E31" s="70"/>
      <c r="F31" s="70"/>
      <c r="G31" s="70"/>
      <c r="H31" s="70"/>
      <c r="I31" s="70"/>
      <c r="J31" s="71"/>
      <c r="K31" s="72"/>
      <c r="L31" s="55"/>
      <c r="M31" s="73"/>
      <c r="N31" s="74"/>
      <c r="O31" s="70"/>
      <c r="P31" s="71"/>
      <c r="Q31" s="71"/>
      <c r="R31" s="72"/>
      <c r="S31" s="55"/>
      <c r="T31" s="58">
        <f t="shared" si="0"/>
        <v>0</v>
      </c>
      <c r="U31" s="75">
        <f t="shared" si="4"/>
        <v>0</v>
      </c>
      <c r="V31" s="75">
        <f t="shared" si="5"/>
        <v>0</v>
      </c>
    </row>
    <row r="32" spans="1:54" x14ac:dyDescent="0.25">
      <c r="A32" s="27">
        <f t="shared" si="1"/>
        <v>29</v>
      </c>
      <c r="B32" s="26" t="s">
        <v>14</v>
      </c>
      <c r="C32" s="70"/>
      <c r="D32" s="70"/>
      <c r="E32" s="70"/>
      <c r="F32" s="70"/>
      <c r="G32" s="70"/>
      <c r="H32" s="70"/>
      <c r="I32" s="70"/>
      <c r="J32" s="71"/>
      <c r="K32" s="72"/>
      <c r="L32" s="55"/>
      <c r="M32" s="73"/>
      <c r="N32" s="74"/>
      <c r="O32" s="70"/>
      <c r="P32" s="71"/>
      <c r="Q32" s="71"/>
      <c r="R32" s="72"/>
      <c r="S32" s="55"/>
      <c r="T32" s="58">
        <f t="shared" si="0"/>
        <v>0</v>
      </c>
      <c r="U32" s="75">
        <f t="shared" si="4"/>
        <v>0</v>
      </c>
      <c r="V32" s="75">
        <f t="shared" si="5"/>
        <v>0</v>
      </c>
    </row>
    <row r="33" spans="1:23" x14ac:dyDescent="0.25">
      <c r="A33" s="27">
        <f t="shared" si="1"/>
        <v>30</v>
      </c>
      <c r="B33" s="26" t="s">
        <v>16</v>
      </c>
      <c r="C33" s="70"/>
      <c r="D33" s="70"/>
      <c r="E33" s="70"/>
      <c r="F33" s="70"/>
      <c r="G33" s="70"/>
      <c r="H33" s="70"/>
      <c r="I33" s="70"/>
      <c r="J33" s="71"/>
      <c r="K33" s="72"/>
      <c r="L33" s="55"/>
      <c r="M33" s="73"/>
      <c r="N33" s="74"/>
      <c r="O33" s="70"/>
      <c r="P33" s="71"/>
      <c r="Q33" s="71"/>
      <c r="R33" s="72"/>
      <c r="S33" s="55"/>
      <c r="T33" s="58">
        <f t="shared" si="0"/>
        <v>0</v>
      </c>
      <c r="U33" s="75">
        <f t="shared" si="4"/>
        <v>0</v>
      </c>
      <c r="V33" s="75">
        <f t="shared" si="5"/>
        <v>0</v>
      </c>
    </row>
    <row r="34" spans="1:23" x14ac:dyDescent="0.25">
      <c r="A34" s="27">
        <f t="shared" si="1"/>
        <v>31</v>
      </c>
      <c r="B34" s="26" t="s">
        <v>17</v>
      </c>
      <c r="C34" s="70">
        <f>72+52</f>
        <v>124</v>
      </c>
      <c r="D34" s="70"/>
      <c r="E34" s="70"/>
      <c r="F34" s="70"/>
      <c r="G34" s="70"/>
      <c r="H34" s="70"/>
      <c r="I34" s="70">
        <v>1</v>
      </c>
      <c r="J34" s="71"/>
      <c r="K34" s="72">
        <v>1</v>
      </c>
      <c r="L34" s="55"/>
      <c r="M34" s="73"/>
      <c r="N34" s="74"/>
      <c r="O34" s="70">
        <v>2</v>
      </c>
      <c r="P34" s="71"/>
      <c r="Q34" s="71">
        <v>2</v>
      </c>
      <c r="R34" s="72"/>
      <c r="S34" s="55"/>
      <c r="T34" s="58">
        <f t="shared" si="0"/>
        <v>2</v>
      </c>
      <c r="U34" s="75">
        <f t="shared" si="4"/>
        <v>3074</v>
      </c>
      <c r="V34" s="75">
        <f t="shared" si="5"/>
        <v>128.08333333333334</v>
      </c>
    </row>
    <row r="35" spans="1:23" hidden="1" x14ac:dyDescent="0.25">
      <c r="A35" s="27">
        <f t="shared" si="1"/>
        <v>32</v>
      </c>
      <c r="B35" s="26" t="s">
        <v>25</v>
      </c>
      <c r="C35" s="70"/>
      <c r="D35" s="70"/>
      <c r="E35" s="70"/>
      <c r="F35" s="70"/>
      <c r="G35" s="70"/>
      <c r="H35" s="70"/>
      <c r="I35" s="70"/>
      <c r="J35" s="71"/>
      <c r="K35" s="72"/>
      <c r="L35" s="55"/>
      <c r="M35" s="73"/>
      <c r="N35" s="74"/>
      <c r="O35" s="70"/>
      <c r="P35" s="71"/>
      <c r="Q35" s="71"/>
      <c r="R35" s="72"/>
      <c r="S35" s="55"/>
      <c r="T35" s="58">
        <f t="shared" si="0"/>
        <v>0</v>
      </c>
      <c r="U35" s="75">
        <f t="shared" si="4"/>
        <v>0</v>
      </c>
      <c r="V35" s="75">
        <f t="shared" si="5"/>
        <v>0</v>
      </c>
    </row>
    <row r="36" spans="1:23" x14ac:dyDescent="0.25">
      <c r="A36" s="27">
        <f t="shared" si="1"/>
        <v>33</v>
      </c>
      <c r="B36" s="26" t="s">
        <v>18</v>
      </c>
      <c r="C36" s="70"/>
      <c r="D36" s="70"/>
      <c r="E36" s="70"/>
      <c r="F36" s="70"/>
      <c r="G36" s="70"/>
      <c r="H36" s="70"/>
      <c r="I36" s="70"/>
      <c r="J36" s="71"/>
      <c r="K36" s="72"/>
      <c r="L36" s="55"/>
      <c r="M36" s="73"/>
      <c r="N36" s="74"/>
      <c r="O36" s="70"/>
      <c r="P36" s="71"/>
      <c r="Q36" s="71"/>
      <c r="R36" s="72"/>
      <c r="S36" s="55"/>
      <c r="T36" s="58">
        <f t="shared" si="0"/>
        <v>0</v>
      </c>
      <c r="U36" s="75">
        <f t="shared" si="4"/>
        <v>0</v>
      </c>
      <c r="V36" s="75">
        <f t="shared" si="5"/>
        <v>0</v>
      </c>
    </row>
    <row r="37" spans="1:23" ht="19.5" thickBot="1" x14ac:dyDescent="0.3">
      <c r="A37" s="27">
        <f t="shared" si="1"/>
        <v>34</v>
      </c>
      <c r="B37" s="42" t="s">
        <v>19</v>
      </c>
      <c r="C37" s="59">
        <f>864+1620+52</f>
        <v>2536</v>
      </c>
      <c r="D37" s="59"/>
      <c r="E37" s="59"/>
      <c r="F37" s="59"/>
      <c r="G37" s="59"/>
      <c r="H37" s="59">
        <v>3</v>
      </c>
      <c r="I37" s="59">
        <v>2</v>
      </c>
      <c r="J37" s="60"/>
      <c r="K37" s="61">
        <f>2*6+2</f>
        <v>14</v>
      </c>
      <c r="L37" s="62"/>
      <c r="M37" s="63">
        <v>151</v>
      </c>
      <c r="N37" s="64"/>
      <c r="O37" s="65">
        <v>38</v>
      </c>
      <c r="P37" s="66"/>
      <c r="Q37" s="66">
        <v>55</v>
      </c>
      <c r="R37" s="67"/>
      <c r="S37" s="62"/>
      <c r="T37" s="77">
        <f t="shared" si="0"/>
        <v>19</v>
      </c>
      <c r="U37" s="77">
        <f>C37*6+M37*6+O37*6+Q37*6+T37</f>
        <v>16699</v>
      </c>
      <c r="V37" s="77">
        <f>U37/6</f>
        <v>2783.1666666666665</v>
      </c>
      <c r="W37" s="50"/>
    </row>
    <row r="38" spans="1:23" x14ac:dyDescent="0.25">
      <c r="A38" s="27">
        <f t="shared" si="1"/>
        <v>35</v>
      </c>
      <c r="B38" s="25" t="s">
        <v>20</v>
      </c>
      <c r="C38" s="70">
        <v>3</v>
      </c>
      <c r="D38" s="70"/>
      <c r="E38" s="70"/>
      <c r="F38" s="70"/>
      <c r="G38" s="70"/>
      <c r="H38" s="70"/>
      <c r="I38" s="70"/>
      <c r="J38" s="71"/>
      <c r="K38" s="72"/>
      <c r="L38" s="55"/>
      <c r="M38" s="73"/>
      <c r="N38" s="74"/>
      <c r="O38" s="70"/>
      <c r="P38" s="71"/>
      <c r="Q38" s="71">
        <v>2</v>
      </c>
      <c r="R38" s="72"/>
      <c r="S38" s="55"/>
      <c r="T38" s="75">
        <f t="shared" si="0"/>
        <v>0</v>
      </c>
      <c r="U38" s="75">
        <f>C38*24+M38*24+O38*24+Q38*24+T38</f>
        <v>120</v>
      </c>
      <c r="V38" s="75">
        <f>U38/24</f>
        <v>5</v>
      </c>
    </row>
    <row r="39" spans="1:23" x14ac:dyDescent="0.25">
      <c r="A39" s="27">
        <f t="shared" si="1"/>
        <v>36</v>
      </c>
      <c r="B39" s="51" t="s">
        <v>62</v>
      </c>
      <c r="C39" s="78"/>
      <c r="D39" s="78"/>
      <c r="E39" s="78"/>
      <c r="F39" s="78"/>
      <c r="G39" s="78"/>
      <c r="H39" s="78"/>
      <c r="I39" s="78"/>
      <c r="J39" s="79"/>
      <c r="K39" s="80"/>
      <c r="L39" s="55"/>
      <c r="M39" s="73"/>
      <c r="N39" s="74"/>
      <c r="O39" s="70"/>
      <c r="P39" s="71"/>
      <c r="Q39" s="71"/>
      <c r="R39" s="72"/>
      <c r="S39" s="95"/>
      <c r="T39" s="75">
        <f t="shared" si="0"/>
        <v>0</v>
      </c>
      <c r="U39" s="75">
        <f>C39*24+M39*24+O39*24+Q39*24+T39</f>
        <v>0</v>
      </c>
      <c r="V39" s="75">
        <f>U39/24</f>
        <v>0</v>
      </c>
    </row>
    <row r="40" spans="1:23" ht="19.5" thickBot="1" x14ac:dyDescent="0.3">
      <c r="A40" s="27">
        <f t="shared" si="1"/>
        <v>37</v>
      </c>
      <c r="B40" s="42" t="s">
        <v>21</v>
      </c>
      <c r="C40" s="59">
        <f>252+46</f>
        <v>298</v>
      </c>
      <c r="D40" s="59"/>
      <c r="E40" s="59"/>
      <c r="F40" s="59"/>
      <c r="G40" s="59"/>
      <c r="H40" s="59"/>
      <c r="I40" s="59"/>
      <c r="J40" s="60"/>
      <c r="K40" s="61">
        <v>20</v>
      </c>
      <c r="L40" s="62"/>
      <c r="M40" s="63"/>
      <c r="N40" s="64"/>
      <c r="O40" s="65">
        <v>1</v>
      </c>
      <c r="P40" s="66"/>
      <c r="Q40" s="66">
        <v>3</v>
      </c>
      <c r="R40" s="67"/>
      <c r="S40" s="62"/>
      <c r="T40" s="77">
        <f t="shared" si="0"/>
        <v>20</v>
      </c>
      <c r="U40" s="77">
        <f>C40*24+M40*24+O40*24+Q40*24+T40</f>
        <v>7268</v>
      </c>
      <c r="V40" s="77">
        <f>U40/24</f>
        <v>302.83333333333331</v>
      </c>
    </row>
    <row r="41" spans="1:23" ht="19.5" thickBot="1" x14ac:dyDescent="0.3">
      <c r="A41" s="27">
        <f t="shared" si="1"/>
        <v>38</v>
      </c>
      <c r="B41" s="43" t="s">
        <v>22</v>
      </c>
      <c r="C41" s="82">
        <f>768+13</f>
        <v>781</v>
      </c>
      <c r="D41" s="82"/>
      <c r="E41" s="82"/>
      <c r="F41" s="82"/>
      <c r="G41" s="82"/>
      <c r="H41" s="82"/>
      <c r="I41" s="82"/>
      <c r="J41" s="83"/>
      <c r="K41" s="84"/>
      <c r="L41" s="85"/>
      <c r="M41" s="86"/>
      <c r="N41" s="87"/>
      <c r="O41" s="82">
        <v>8</v>
      </c>
      <c r="P41" s="83"/>
      <c r="Q41" s="83">
        <v>16</v>
      </c>
      <c r="R41" s="84"/>
      <c r="S41" s="85"/>
      <c r="T41" s="88">
        <f t="shared" si="0"/>
        <v>0</v>
      </c>
      <c r="U41" s="88">
        <f>C41*12+M41*12+O41*12+Q41*12+T41</f>
        <v>9660</v>
      </c>
      <c r="V41" s="88">
        <f>U41/12</f>
        <v>805</v>
      </c>
    </row>
    <row r="42" spans="1:23" hidden="1" x14ac:dyDescent="0.25">
      <c r="A42" s="27">
        <f t="shared" si="1"/>
        <v>39</v>
      </c>
      <c r="B42" s="25" t="s">
        <v>29</v>
      </c>
      <c r="C42" s="70"/>
      <c r="D42" s="70"/>
      <c r="E42" s="70"/>
      <c r="F42" s="70"/>
      <c r="G42" s="70"/>
      <c r="H42" s="70"/>
      <c r="I42" s="70"/>
      <c r="J42" s="71"/>
      <c r="K42" s="72"/>
      <c r="L42" s="55"/>
      <c r="M42" s="73"/>
      <c r="N42" s="74"/>
      <c r="O42" s="70"/>
      <c r="P42" s="71"/>
      <c r="Q42" s="71"/>
      <c r="R42" s="72"/>
      <c r="S42" s="55"/>
      <c r="T42" s="75"/>
      <c r="U42" s="75"/>
      <c r="V42" s="75"/>
    </row>
    <row r="43" spans="1:23" ht="19.5" thickBot="1" x14ac:dyDescent="0.3">
      <c r="A43" s="27">
        <f t="shared" si="1"/>
        <v>40</v>
      </c>
      <c r="B43" s="42" t="s">
        <v>23</v>
      </c>
      <c r="C43" s="65">
        <f>13932+19764+5144</f>
        <v>38840</v>
      </c>
      <c r="D43" s="65"/>
      <c r="E43" s="65"/>
      <c r="F43" s="65"/>
      <c r="G43" s="65"/>
      <c r="H43" s="65">
        <v>5</v>
      </c>
      <c r="I43" s="65">
        <v>12</v>
      </c>
      <c r="J43" s="66">
        <f>6*6+2</f>
        <v>38</v>
      </c>
      <c r="K43" s="67">
        <f>95*6+1</f>
        <v>571</v>
      </c>
      <c r="L43" s="62"/>
      <c r="M43" s="63">
        <v>260</v>
      </c>
      <c r="N43" s="64"/>
      <c r="O43" s="65">
        <v>466</v>
      </c>
      <c r="P43" s="66"/>
      <c r="Q43" s="66">
        <v>541</v>
      </c>
      <c r="R43" s="67"/>
      <c r="S43" s="62"/>
      <c r="T43" s="77">
        <f t="shared" ref="T43" si="6">H43+I43+J43+K43+N43+P43+R43</f>
        <v>626</v>
      </c>
      <c r="U43" s="77">
        <f>C43*6+M43*6+O43*6+Q43*6+T43</f>
        <v>241268</v>
      </c>
      <c r="V43" s="77">
        <f>U43/6</f>
        <v>40211.333333333336</v>
      </c>
    </row>
    <row r="44" spans="1:23" hidden="1" x14ac:dyDescent="0.25">
      <c r="A44" s="27">
        <f t="shared" si="1"/>
        <v>41</v>
      </c>
      <c r="B44" s="25" t="s">
        <v>31</v>
      </c>
      <c r="C44" s="70"/>
      <c r="D44" s="70"/>
      <c r="E44" s="70"/>
      <c r="F44" s="70"/>
      <c r="G44" s="70"/>
      <c r="H44" s="70"/>
      <c r="I44" s="70"/>
      <c r="J44" s="71"/>
      <c r="K44" s="72"/>
      <c r="L44" s="55"/>
      <c r="M44" s="73"/>
      <c r="N44" s="74"/>
      <c r="O44" s="70"/>
      <c r="P44" s="71"/>
      <c r="Q44" s="71"/>
      <c r="R44" s="72"/>
      <c r="S44" s="55"/>
      <c r="T44" s="75"/>
      <c r="U44" s="75"/>
      <c r="V44" s="75"/>
    </row>
    <row r="45" spans="1:23" x14ac:dyDescent="0.25">
      <c r="A45" s="27">
        <f t="shared" si="1"/>
        <v>42</v>
      </c>
      <c r="B45" s="26" t="s">
        <v>24</v>
      </c>
      <c r="C45" s="70">
        <v>5</v>
      </c>
      <c r="D45" s="70"/>
      <c r="E45" s="70"/>
      <c r="F45" s="70"/>
      <c r="G45" s="70"/>
      <c r="H45" s="70"/>
      <c r="I45" s="70"/>
      <c r="J45" s="71"/>
      <c r="K45" s="72"/>
      <c r="L45" s="55"/>
      <c r="M45" s="73"/>
      <c r="N45" s="74"/>
      <c r="O45" s="70"/>
      <c r="P45" s="71"/>
      <c r="Q45" s="71"/>
      <c r="R45" s="72"/>
      <c r="S45" s="55"/>
      <c r="T45" s="75">
        <f t="shared" ref="T45:T54" si="7">H45+I45+J45+K45+N45+P45+R45</f>
        <v>0</v>
      </c>
      <c r="U45" s="75">
        <f>C45*24+M45*24+O45*24+Q45*24+T45</f>
        <v>120</v>
      </c>
      <c r="V45" s="75">
        <f>U45/24</f>
        <v>5</v>
      </c>
    </row>
    <row r="46" spans="1:23" x14ac:dyDescent="0.25">
      <c r="A46" s="27">
        <f t="shared" si="1"/>
        <v>43</v>
      </c>
      <c r="B46" s="26" t="s">
        <v>57</v>
      </c>
      <c r="C46" s="70"/>
      <c r="D46" s="70"/>
      <c r="E46" s="70"/>
      <c r="F46" s="70"/>
      <c r="G46" s="70"/>
      <c r="H46" s="70"/>
      <c r="I46" s="70"/>
      <c r="J46" s="71"/>
      <c r="K46" s="72"/>
      <c r="L46" s="55"/>
      <c r="M46" s="73"/>
      <c r="N46" s="74"/>
      <c r="O46" s="70"/>
      <c r="P46" s="71"/>
      <c r="Q46" s="71"/>
      <c r="R46" s="72"/>
      <c r="S46" s="55"/>
      <c r="T46" s="75">
        <f t="shared" si="7"/>
        <v>0</v>
      </c>
      <c r="U46" s="75">
        <f t="shared" ref="U46:U50" si="8">C46*24+M46*24+O46*24+Q46*24+T46</f>
        <v>0</v>
      </c>
      <c r="V46" s="75">
        <f t="shared" ref="V46:V54" si="9">U46/24</f>
        <v>0</v>
      </c>
    </row>
    <row r="47" spans="1:23" ht="19.5" thickBot="1" x14ac:dyDescent="0.3">
      <c r="A47" s="27">
        <f t="shared" si="1"/>
        <v>44</v>
      </c>
      <c r="B47" s="42" t="s">
        <v>25</v>
      </c>
      <c r="C47" s="65">
        <f>89+648+324+88+432+83+103+324+432+106</f>
        <v>2629</v>
      </c>
      <c r="D47" s="65"/>
      <c r="E47" s="65"/>
      <c r="F47" s="65"/>
      <c r="G47" s="65"/>
      <c r="H47" s="65">
        <v>1</v>
      </c>
      <c r="I47" s="65"/>
      <c r="J47" s="66"/>
      <c r="K47" s="67">
        <v>5</v>
      </c>
      <c r="L47" s="62"/>
      <c r="M47" s="63">
        <v>2</v>
      </c>
      <c r="N47" s="64"/>
      <c r="O47" s="65">
        <v>15</v>
      </c>
      <c r="P47" s="66"/>
      <c r="Q47" s="66">
        <v>5</v>
      </c>
      <c r="R47" s="67">
        <v>3</v>
      </c>
      <c r="S47" s="62"/>
      <c r="T47" s="77">
        <f t="shared" si="7"/>
        <v>9</v>
      </c>
      <c r="U47" s="77">
        <f>C47*6+M47*6+O47*6+Q47*6+T47</f>
        <v>15915</v>
      </c>
      <c r="V47" s="77">
        <f>U47/6</f>
        <v>2652.5</v>
      </c>
    </row>
    <row r="48" spans="1:23" x14ac:dyDescent="0.25">
      <c r="A48" s="27">
        <f t="shared" si="1"/>
        <v>45</v>
      </c>
      <c r="B48" s="25" t="s">
        <v>58</v>
      </c>
      <c r="C48" s="70"/>
      <c r="D48" s="70"/>
      <c r="E48" s="70"/>
      <c r="F48" s="70"/>
      <c r="G48" s="70"/>
      <c r="H48" s="70">
        <v>24</v>
      </c>
      <c r="I48" s="70"/>
      <c r="J48" s="71"/>
      <c r="K48" s="72"/>
      <c r="L48" s="55"/>
      <c r="M48" s="73"/>
      <c r="N48" s="74"/>
      <c r="O48" s="70"/>
      <c r="P48" s="71"/>
      <c r="Q48" s="71"/>
      <c r="R48" s="72"/>
      <c r="S48" s="55"/>
      <c r="T48" s="75">
        <f t="shared" si="7"/>
        <v>24</v>
      </c>
      <c r="U48" s="75">
        <f t="shared" si="8"/>
        <v>24</v>
      </c>
      <c r="V48" s="75">
        <f t="shared" si="9"/>
        <v>1</v>
      </c>
    </row>
    <row r="49" spans="1:22" x14ac:dyDescent="0.25">
      <c r="A49" s="27">
        <f t="shared" si="1"/>
        <v>46</v>
      </c>
      <c r="B49" s="26" t="s">
        <v>26</v>
      </c>
      <c r="C49" s="70"/>
      <c r="D49" s="70"/>
      <c r="E49" s="70"/>
      <c r="F49" s="70"/>
      <c r="G49" s="70"/>
      <c r="H49" s="70"/>
      <c r="I49" s="70"/>
      <c r="J49" s="71"/>
      <c r="K49" s="72"/>
      <c r="L49" s="55"/>
      <c r="M49" s="73"/>
      <c r="N49" s="74"/>
      <c r="O49" s="70"/>
      <c r="P49" s="71"/>
      <c r="Q49" s="71"/>
      <c r="R49" s="72"/>
      <c r="S49" s="55"/>
      <c r="T49" s="75">
        <f t="shared" si="7"/>
        <v>0</v>
      </c>
      <c r="U49" s="75">
        <f t="shared" si="8"/>
        <v>0</v>
      </c>
      <c r="V49" s="75">
        <f t="shared" si="9"/>
        <v>0</v>
      </c>
    </row>
    <row r="50" spans="1:22" x14ac:dyDescent="0.25">
      <c r="A50" s="27">
        <f t="shared" si="1"/>
        <v>47</v>
      </c>
      <c r="B50" s="26" t="s">
        <v>59</v>
      </c>
      <c r="C50" s="70"/>
      <c r="D50" s="70"/>
      <c r="E50" s="70"/>
      <c r="F50" s="70"/>
      <c r="G50" s="70"/>
      <c r="H50" s="70"/>
      <c r="I50" s="70"/>
      <c r="J50" s="71"/>
      <c r="K50" s="72"/>
      <c r="L50" s="55"/>
      <c r="M50" s="73"/>
      <c r="N50" s="74"/>
      <c r="O50" s="70"/>
      <c r="P50" s="71"/>
      <c r="Q50" s="71"/>
      <c r="R50" s="72"/>
      <c r="S50" s="55"/>
      <c r="T50" s="75">
        <f t="shared" si="7"/>
        <v>0</v>
      </c>
      <c r="U50" s="75">
        <f t="shared" si="8"/>
        <v>0</v>
      </c>
      <c r="V50" s="75">
        <f t="shared" si="9"/>
        <v>0</v>
      </c>
    </row>
    <row r="51" spans="1:22" ht="19.5" thickBot="1" x14ac:dyDescent="0.3">
      <c r="A51" s="27">
        <f t="shared" si="1"/>
        <v>48</v>
      </c>
      <c r="B51" s="42" t="s">
        <v>27</v>
      </c>
      <c r="C51" s="65">
        <v>34</v>
      </c>
      <c r="D51" s="65"/>
      <c r="E51" s="65"/>
      <c r="F51" s="65"/>
      <c r="G51" s="65"/>
      <c r="H51" s="65"/>
      <c r="I51" s="65"/>
      <c r="J51" s="66"/>
      <c r="K51" s="67"/>
      <c r="L51" s="62"/>
      <c r="M51" s="63"/>
      <c r="N51" s="64"/>
      <c r="O51" s="65"/>
      <c r="P51" s="66"/>
      <c r="Q51" s="66"/>
      <c r="R51" s="67"/>
      <c r="S51" s="62"/>
      <c r="T51" s="77">
        <f t="shared" si="7"/>
        <v>0</v>
      </c>
      <c r="U51" s="77">
        <f>C51*6+M51*6+O51*6+Q51*6+T51</f>
        <v>204</v>
      </c>
      <c r="V51" s="77">
        <f>U51/6</f>
        <v>34</v>
      </c>
    </row>
    <row r="52" spans="1:22" x14ac:dyDescent="0.25">
      <c r="A52" s="27">
        <f t="shared" si="1"/>
        <v>49</v>
      </c>
      <c r="B52" s="25" t="s">
        <v>28</v>
      </c>
      <c r="C52" s="70"/>
      <c r="D52" s="70"/>
      <c r="E52" s="70"/>
      <c r="F52" s="70"/>
      <c r="G52" s="70"/>
      <c r="H52" s="70"/>
      <c r="I52" s="70"/>
      <c r="J52" s="71"/>
      <c r="K52" s="72"/>
      <c r="L52" s="55"/>
      <c r="M52" s="73"/>
      <c r="N52" s="74"/>
      <c r="O52" s="70"/>
      <c r="P52" s="71"/>
      <c r="Q52" s="71"/>
      <c r="R52" s="72"/>
      <c r="S52" s="55"/>
      <c r="T52" s="75">
        <f t="shared" si="7"/>
        <v>0</v>
      </c>
      <c r="U52" s="75">
        <f t="shared" ref="U52:U54" si="10">C52*24+M52*24+O52*24+Q52*24+T52</f>
        <v>0</v>
      </c>
      <c r="V52" s="75">
        <f t="shared" si="9"/>
        <v>0</v>
      </c>
    </row>
    <row r="53" spans="1:22" x14ac:dyDescent="0.25">
      <c r="A53" s="27">
        <f t="shared" si="1"/>
        <v>50</v>
      </c>
      <c r="B53" s="26" t="s">
        <v>63</v>
      </c>
      <c r="C53" s="70">
        <v>7</v>
      </c>
      <c r="D53" s="70"/>
      <c r="E53" s="70"/>
      <c r="F53" s="70"/>
      <c r="G53" s="70"/>
      <c r="H53" s="70"/>
      <c r="I53" s="70"/>
      <c r="J53" s="71"/>
      <c r="K53" s="72"/>
      <c r="L53" s="55"/>
      <c r="M53" s="73"/>
      <c r="N53" s="74"/>
      <c r="O53" s="70"/>
      <c r="P53" s="71"/>
      <c r="Q53" s="71"/>
      <c r="R53" s="72"/>
      <c r="S53" s="55"/>
      <c r="T53" s="75">
        <f t="shared" si="7"/>
        <v>0</v>
      </c>
      <c r="U53" s="75">
        <f t="shared" si="10"/>
        <v>168</v>
      </c>
      <c r="V53" s="75">
        <f t="shared" si="9"/>
        <v>7</v>
      </c>
    </row>
    <row r="54" spans="1:22" x14ac:dyDescent="0.25">
      <c r="A54" s="27">
        <f t="shared" si="1"/>
        <v>51</v>
      </c>
      <c r="B54" s="26"/>
      <c r="C54" s="70"/>
      <c r="D54" s="70"/>
      <c r="E54" s="70"/>
      <c r="F54" s="70"/>
      <c r="G54" s="70"/>
      <c r="H54" s="70"/>
      <c r="I54" s="70"/>
      <c r="J54" s="71"/>
      <c r="K54" s="72"/>
      <c r="L54" s="55"/>
      <c r="M54" s="73"/>
      <c r="N54" s="74"/>
      <c r="O54" s="70"/>
      <c r="P54" s="71"/>
      <c r="Q54" s="71"/>
      <c r="R54" s="72"/>
      <c r="S54" s="55"/>
      <c r="T54" s="75">
        <f t="shared" si="7"/>
        <v>0</v>
      </c>
      <c r="U54" s="75">
        <f t="shared" si="10"/>
        <v>0</v>
      </c>
      <c r="V54" s="75">
        <f t="shared" si="9"/>
        <v>0</v>
      </c>
    </row>
    <row r="55" spans="1:22" x14ac:dyDescent="0.25">
      <c r="A55" s="27">
        <f t="shared" si="1"/>
        <v>52</v>
      </c>
      <c r="B55" s="26"/>
      <c r="C55" s="70"/>
      <c r="D55" s="70"/>
      <c r="E55" s="70"/>
      <c r="F55" s="70"/>
      <c r="G55" s="70"/>
      <c r="H55" s="70"/>
      <c r="I55" s="70"/>
      <c r="J55" s="71"/>
      <c r="K55" s="72"/>
      <c r="L55" s="55"/>
      <c r="M55" s="73"/>
      <c r="N55" s="74"/>
      <c r="O55" s="70"/>
      <c r="P55" s="71"/>
      <c r="Q55" s="71"/>
      <c r="R55" s="72"/>
      <c r="S55" s="55"/>
      <c r="T55" s="75"/>
      <c r="U55" s="75"/>
      <c r="V55" s="75"/>
    </row>
    <row r="56" spans="1:22" x14ac:dyDescent="0.25">
      <c r="A56" s="27">
        <f t="shared" si="1"/>
        <v>53</v>
      </c>
      <c r="B56" s="26"/>
      <c r="C56" s="70"/>
      <c r="D56" s="70"/>
      <c r="E56" s="70"/>
      <c r="F56" s="70"/>
      <c r="G56" s="70"/>
      <c r="H56" s="70"/>
      <c r="I56" s="70"/>
      <c r="J56" s="71"/>
      <c r="K56" s="72"/>
      <c r="L56" s="55"/>
      <c r="M56" s="73"/>
      <c r="N56" s="74"/>
      <c r="O56" s="70"/>
      <c r="P56" s="71"/>
      <c r="Q56" s="71"/>
      <c r="R56" s="72"/>
      <c r="S56" s="55"/>
      <c r="T56" s="75"/>
      <c r="U56" s="75"/>
      <c r="V56" s="75"/>
    </row>
    <row r="57" spans="1:22" x14ac:dyDescent="0.25">
      <c r="A57" s="27">
        <f t="shared" si="1"/>
        <v>54</v>
      </c>
      <c r="B57" s="26"/>
      <c r="C57" s="70"/>
      <c r="D57" s="70"/>
      <c r="E57" s="70"/>
      <c r="F57" s="70"/>
      <c r="G57" s="70"/>
      <c r="H57" s="70"/>
      <c r="I57" s="70"/>
      <c r="J57" s="71"/>
      <c r="K57" s="72"/>
      <c r="L57" s="55"/>
      <c r="M57" s="73"/>
      <c r="N57" s="74"/>
      <c r="O57" s="70"/>
      <c r="P57" s="71"/>
      <c r="Q57" s="71"/>
      <c r="R57" s="72"/>
      <c r="S57" s="55"/>
      <c r="T57" s="75"/>
      <c r="U57" s="75"/>
      <c r="V57" s="75"/>
    </row>
    <row r="58" spans="1:22" s="15" customFormat="1" ht="19.5" thickBot="1" x14ac:dyDescent="0.3">
      <c r="B58" s="29" t="s">
        <v>50</v>
      </c>
      <c r="C58" s="2">
        <f>SUM(C7:C57)</f>
        <v>48768</v>
      </c>
      <c r="D58" s="2"/>
      <c r="E58" s="2"/>
      <c r="F58" s="2">
        <f t="shared" ref="F58:K58" si="11">SUM(F7:F57)</f>
        <v>0</v>
      </c>
      <c r="G58" s="2">
        <f t="shared" si="11"/>
        <v>0</v>
      </c>
      <c r="H58" s="2">
        <f t="shared" si="11"/>
        <v>1192</v>
      </c>
      <c r="I58" s="6">
        <f t="shared" si="11"/>
        <v>44</v>
      </c>
      <c r="J58" s="6">
        <f t="shared" si="11"/>
        <v>38</v>
      </c>
      <c r="K58" s="6">
        <f t="shared" si="11"/>
        <v>619</v>
      </c>
      <c r="M58" s="5">
        <f t="shared" ref="M58:R58" si="12">SUM(M7:M57)</f>
        <v>434</v>
      </c>
      <c r="N58" s="5">
        <f t="shared" si="12"/>
        <v>2</v>
      </c>
      <c r="O58" s="5">
        <f t="shared" si="12"/>
        <v>549</v>
      </c>
      <c r="P58" s="5">
        <f t="shared" si="12"/>
        <v>30</v>
      </c>
      <c r="Q58" s="5">
        <f t="shared" si="12"/>
        <v>655</v>
      </c>
      <c r="R58" s="5">
        <f t="shared" si="12"/>
        <v>6</v>
      </c>
      <c r="S58" s="55"/>
      <c r="T58" s="4">
        <f>SUM(T7:T57)</f>
        <v>1931</v>
      </c>
      <c r="U58" s="90">
        <f>SUM(U7:U57)</f>
        <v>381719</v>
      </c>
      <c r="V58" s="4">
        <f>SUM(V7:V57)</f>
        <v>50568.208333333336</v>
      </c>
    </row>
    <row r="59" spans="1:22" ht="7.5" customHeight="1" thickBot="1" x14ac:dyDescent="0.3"/>
    <row r="60" spans="1:22" ht="19.5" thickBot="1" x14ac:dyDescent="0.3">
      <c r="B60" s="30" t="s">
        <v>37</v>
      </c>
      <c r="C60" s="113" t="s">
        <v>41</v>
      </c>
      <c r="D60" s="114"/>
      <c r="E60" s="114"/>
      <c r="F60" s="114"/>
      <c r="G60" s="114"/>
      <c r="H60" s="114"/>
      <c r="I60" s="114"/>
      <c r="J60" s="114"/>
      <c r="K60" s="115"/>
      <c r="U60" s="24" t="s">
        <v>51</v>
      </c>
    </row>
    <row r="61" spans="1:22" x14ac:dyDescent="0.25">
      <c r="B61" s="31" t="s">
        <v>17</v>
      </c>
      <c r="C61" s="19"/>
      <c r="D61" s="19"/>
      <c r="E61" s="19"/>
      <c r="F61" s="19"/>
      <c r="G61" s="19"/>
      <c r="H61" s="19"/>
      <c r="I61" s="19"/>
      <c r="J61" s="45"/>
      <c r="K61" s="20"/>
      <c r="U61" s="7"/>
    </row>
    <row r="62" spans="1:22" x14ac:dyDescent="0.25">
      <c r="B62" s="32" t="s">
        <v>45</v>
      </c>
      <c r="C62" s="1"/>
      <c r="D62" s="1"/>
      <c r="E62" s="1"/>
      <c r="F62" s="1"/>
      <c r="G62" s="1"/>
      <c r="H62" s="1"/>
      <c r="I62" s="1"/>
      <c r="J62" s="44"/>
      <c r="K62" s="21"/>
      <c r="U62" s="3"/>
    </row>
    <row r="63" spans="1:22" ht="19.5" thickBot="1" x14ac:dyDescent="0.3">
      <c r="B63" s="33" t="s">
        <v>44</v>
      </c>
      <c r="C63" s="22"/>
      <c r="D63" s="22"/>
      <c r="E63" s="22"/>
      <c r="F63" s="22"/>
      <c r="G63" s="22"/>
      <c r="H63" s="22"/>
      <c r="I63" s="22"/>
      <c r="J63" s="46"/>
      <c r="K63" s="23"/>
      <c r="U63" s="8"/>
    </row>
    <row r="64" spans="1:22" ht="7.5" customHeight="1" thickBot="1" x14ac:dyDescent="0.3"/>
    <row r="65" spans="2:21" x14ac:dyDescent="0.25">
      <c r="B65" s="31" t="s">
        <v>46</v>
      </c>
      <c r="C65" s="19"/>
      <c r="D65" s="19"/>
      <c r="E65" s="19"/>
      <c r="F65" s="19"/>
      <c r="G65" s="19"/>
      <c r="H65" s="19"/>
      <c r="I65" s="19"/>
      <c r="J65" s="45"/>
      <c r="K65" s="20"/>
      <c r="U65" s="7"/>
    </row>
    <row r="66" spans="2:21" x14ac:dyDescent="0.25">
      <c r="B66" s="32" t="s">
        <v>45</v>
      </c>
      <c r="C66" s="1"/>
      <c r="D66" s="1"/>
      <c r="E66" s="1"/>
      <c r="F66" s="1"/>
      <c r="G66" s="1"/>
      <c r="H66" s="1"/>
      <c r="I66" s="1"/>
      <c r="J66" s="44"/>
      <c r="K66" s="21"/>
      <c r="U66" s="3"/>
    </row>
    <row r="67" spans="2:21" ht="19.5" thickBot="1" x14ac:dyDescent="0.3">
      <c r="B67" s="33" t="s">
        <v>44</v>
      </c>
      <c r="C67" s="22"/>
      <c r="D67" s="22"/>
      <c r="E67" s="22"/>
      <c r="F67" s="22"/>
      <c r="G67" s="22"/>
      <c r="H67" s="22"/>
      <c r="I67" s="22"/>
      <c r="J67" s="46"/>
      <c r="K67" s="23"/>
      <c r="U67" s="8"/>
    </row>
    <row r="68" spans="2:21" ht="7.5" customHeight="1" thickBot="1" x14ac:dyDescent="0.3"/>
    <row r="69" spans="2:21" x14ac:dyDescent="0.25">
      <c r="B69" s="31" t="s">
        <v>38</v>
      </c>
      <c r="C69" s="19"/>
      <c r="D69" s="19"/>
      <c r="E69" s="19"/>
      <c r="F69" s="19"/>
      <c r="G69" s="19"/>
      <c r="H69" s="19"/>
      <c r="I69" s="19"/>
      <c r="J69" s="45"/>
      <c r="K69" s="20"/>
      <c r="U69" s="7"/>
    </row>
    <row r="70" spans="2:21" x14ac:dyDescent="0.25">
      <c r="B70" s="32" t="s">
        <v>45</v>
      </c>
      <c r="C70" s="1"/>
      <c r="D70" s="1"/>
      <c r="E70" s="1"/>
      <c r="F70" s="1"/>
      <c r="G70" s="1"/>
      <c r="H70" s="1"/>
      <c r="I70" s="1"/>
      <c r="J70" s="44"/>
      <c r="K70" s="21"/>
      <c r="U70" s="3"/>
    </row>
    <row r="71" spans="2:21" ht="19.5" thickBot="1" x14ac:dyDescent="0.3">
      <c r="B71" s="33" t="s">
        <v>44</v>
      </c>
      <c r="C71" s="22"/>
      <c r="D71" s="22"/>
      <c r="E71" s="22"/>
      <c r="F71" s="22"/>
      <c r="G71" s="22"/>
      <c r="H71" s="22"/>
      <c r="I71" s="22"/>
      <c r="J71" s="46"/>
      <c r="K71" s="23"/>
      <c r="U71" s="8"/>
    </row>
    <row r="72" spans="2:21" ht="7.5" customHeight="1" thickBot="1" x14ac:dyDescent="0.3"/>
    <row r="73" spans="2:21" x14ac:dyDescent="0.25">
      <c r="B73" s="31" t="s">
        <v>47</v>
      </c>
      <c r="C73" s="19"/>
      <c r="D73" s="19"/>
      <c r="E73" s="19"/>
      <c r="F73" s="19"/>
      <c r="G73" s="19"/>
      <c r="H73" s="19"/>
      <c r="I73" s="19"/>
      <c r="J73" s="45"/>
      <c r="K73" s="20"/>
      <c r="U73" s="7"/>
    </row>
    <row r="74" spans="2:21" x14ac:dyDescent="0.25">
      <c r="B74" s="32" t="s">
        <v>45</v>
      </c>
      <c r="C74" s="1"/>
      <c r="D74" s="1"/>
      <c r="E74" s="1"/>
      <c r="F74" s="1"/>
      <c r="G74" s="1"/>
      <c r="H74" s="1"/>
      <c r="I74" s="1"/>
      <c r="J74" s="44"/>
      <c r="K74" s="21"/>
      <c r="U74" s="3"/>
    </row>
    <row r="75" spans="2:21" ht="19.5" thickBot="1" x14ac:dyDescent="0.3">
      <c r="B75" s="33" t="s">
        <v>44</v>
      </c>
      <c r="C75" s="22"/>
      <c r="D75" s="22"/>
      <c r="E75" s="22"/>
      <c r="F75" s="22"/>
      <c r="G75" s="22"/>
      <c r="H75" s="22"/>
      <c r="I75" s="22"/>
      <c r="J75" s="46"/>
      <c r="K75" s="23"/>
      <c r="U75" s="8"/>
    </row>
    <row r="76" spans="2:21" ht="7.5" customHeight="1" thickBot="1" x14ac:dyDescent="0.3"/>
    <row r="77" spans="2:21" x14ac:dyDescent="0.25">
      <c r="B77" s="31" t="s">
        <v>48</v>
      </c>
      <c r="C77" s="19"/>
      <c r="D77" s="19"/>
      <c r="E77" s="19"/>
      <c r="F77" s="19"/>
      <c r="G77" s="19"/>
      <c r="H77" s="19"/>
      <c r="I77" s="19"/>
      <c r="J77" s="45"/>
      <c r="K77" s="20"/>
      <c r="U77" s="7"/>
    </row>
    <row r="78" spans="2:21" x14ac:dyDescent="0.25">
      <c r="B78" s="32" t="s">
        <v>45</v>
      </c>
      <c r="C78" s="1"/>
      <c r="D78" s="1"/>
      <c r="E78" s="1"/>
      <c r="F78" s="1"/>
      <c r="G78" s="1"/>
      <c r="H78" s="1"/>
      <c r="I78" s="1"/>
      <c r="J78" s="44"/>
      <c r="K78" s="21"/>
      <c r="U78" s="3"/>
    </row>
    <row r="79" spans="2:21" ht="19.5" thickBot="1" x14ac:dyDescent="0.3">
      <c r="B79" s="33" t="s">
        <v>44</v>
      </c>
      <c r="C79" s="22"/>
      <c r="D79" s="22"/>
      <c r="E79" s="22"/>
      <c r="F79" s="22"/>
      <c r="G79" s="22"/>
      <c r="H79" s="22"/>
      <c r="I79" s="22"/>
      <c r="J79" s="46"/>
      <c r="K79" s="23"/>
      <c r="U79" s="8"/>
    </row>
    <row r="80" spans="2:21" ht="7.5" customHeight="1" thickBot="1" x14ac:dyDescent="0.3"/>
    <row r="81" spans="2:21" ht="19.5" thickBot="1" x14ac:dyDescent="0.3">
      <c r="B81" s="30" t="s">
        <v>49</v>
      </c>
      <c r="C81" s="17"/>
      <c r="D81" s="17"/>
      <c r="E81" s="17"/>
      <c r="F81" s="17"/>
      <c r="G81" s="17"/>
      <c r="H81" s="17"/>
      <c r="I81" s="17"/>
      <c r="J81" s="47"/>
      <c r="K81" s="18"/>
      <c r="U81" s="16"/>
    </row>
  </sheetData>
  <mergeCells count="7">
    <mergeCell ref="V4:V5"/>
    <mergeCell ref="J5:K5"/>
    <mergeCell ref="C60:K60"/>
    <mergeCell ref="I1:U1"/>
    <mergeCell ref="C4:K4"/>
    <mergeCell ref="T4:T5"/>
    <mergeCell ref="U4:U5"/>
  </mergeCells>
  <printOptions horizontalCentered="1" verticalCentered="1"/>
  <pageMargins left="0.19685039370078741" right="0.19685039370078741" top="0.19685039370078741" bottom="0.19685039370078741" header="0.19685039370078741" footer="0.19685039370078741"/>
  <pageSetup paperSize="14" scale="70" orientation="portrait" horizontalDpi="360" verticalDpi="360" r:id="rId1"/>
  <colBreaks count="1" manualBreakCount="1">
    <brk id="24" max="80" man="1"/>
  </colBreaks>
</worksheet>
</file>

<file path=xl/worksheets/sheet2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8771B395-0179-4958-9FA6-E2C851C4F87A}">
  <sheetPr>
    <pageSetUpPr fitToPage="1"/>
  </sheetPr>
  <dimension ref="A1:BB81"/>
  <sheetViews>
    <sheetView tabSelected="1" topLeftCell="A34" zoomScale="91" zoomScaleNormal="91" zoomScaleSheetLayoutView="115" workbookViewId="0">
      <selection activeCell="Y61" sqref="Y61"/>
    </sheetView>
  </sheetViews>
  <sheetFormatPr defaultColWidth="9.140625" defaultRowHeight="18.75" x14ac:dyDescent="0.25"/>
  <cols>
    <col min="1" max="1" width="4.140625" style="9" bestFit="1" customWidth="1"/>
    <col min="2" max="2" width="12.28515625" style="28" customWidth="1"/>
    <col min="3" max="6" width="10" style="9" customWidth="1"/>
    <col min="7" max="7" width="6.85546875" style="9" customWidth="1"/>
    <col min="8" max="8" width="7.5703125" style="9" bestFit="1" customWidth="1"/>
    <col min="9" max="9" width="6.7109375" style="9" bestFit="1" customWidth="1"/>
    <col min="10" max="10" width="6.85546875" style="9" customWidth="1"/>
    <col min="11" max="11" width="7.5703125" style="9" bestFit="1" customWidth="1"/>
    <col min="12" max="12" width="1.42578125" style="9" customWidth="1"/>
    <col min="13" max="13" width="10" style="9" customWidth="1"/>
    <col min="14" max="14" width="6.7109375" style="9" bestFit="1" customWidth="1"/>
    <col min="15" max="15" width="10" style="9" customWidth="1"/>
    <col min="16" max="16" width="5.5703125" style="9" customWidth="1"/>
    <col min="17" max="17" width="10" style="9" customWidth="1"/>
    <col min="18" max="18" width="6.7109375" style="9" bestFit="1" customWidth="1"/>
    <col min="19" max="19" width="1.42578125" style="9" customWidth="1"/>
    <col min="20" max="20" width="12.7109375" style="9" bestFit="1" customWidth="1"/>
    <col min="21" max="21" width="14.28515625" style="9" customWidth="1"/>
    <col min="22" max="22" width="19.5703125" style="9" bestFit="1" customWidth="1"/>
    <col min="23" max="49" width="7.28515625" style="9" customWidth="1"/>
    <col min="50" max="50" width="1.5703125" style="9" customWidth="1"/>
    <col min="51" max="51" width="9.42578125" style="9" customWidth="1"/>
    <col min="52" max="52" width="1.28515625" style="9" customWidth="1"/>
    <col min="53" max="53" width="12.7109375" style="9" bestFit="1" customWidth="1"/>
    <col min="54" max="54" width="10.28515625" style="9" bestFit="1" customWidth="1"/>
    <col min="55" max="16384" width="9.140625" style="9"/>
  </cols>
  <sheetData>
    <row r="1" spans="1:54" ht="15" customHeight="1" x14ac:dyDescent="0.25">
      <c r="B1" s="27" t="s">
        <v>42</v>
      </c>
      <c r="I1" s="116" t="s">
        <v>43</v>
      </c>
      <c r="J1" s="116"/>
      <c r="K1" s="116"/>
      <c r="L1" s="116"/>
      <c r="M1" s="116"/>
      <c r="N1" s="116"/>
      <c r="O1" s="116"/>
      <c r="P1" s="116"/>
      <c r="Q1" s="116"/>
      <c r="R1" s="116"/>
      <c r="S1" s="116"/>
      <c r="T1" s="116"/>
      <c r="U1" s="116"/>
    </row>
    <row r="2" spans="1:54" x14ac:dyDescent="0.25">
      <c r="B2" s="28" t="s">
        <v>91</v>
      </c>
    </row>
    <row r="3" spans="1:54" ht="19.5" thickBot="1" x14ac:dyDescent="0.3"/>
    <row r="4" spans="1:54" s="10" customFormat="1" ht="15.75" x14ac:dyDescent="0.25">
      <c r="B4" s="41" t="s">
        <v>52</v>
      </c>
      <c r="C4" s="117" t="s">
        <v>41</v>
      </c>
      <c r="D4" s="117"/>
      <c r="E4" s="117"/>
      <c r="F4" s="117"/>
      <c r="G4" s="117"/>
      <c r="H4" s="117"/>
      <c r="I4" s="117"/>
      <c r="J4" s="118"/>
      <c r="K4" s="119"/>
      <c r="M4" s="34" t="s">
        <v>0</v>
      </c>
      <c r="N4" s="48" t="s">
        <v>61</v>
      </c>
      <c r="O4" s="35" t="s">
        <v>39</v>
      </c>
      <c r="P4" s="48" t="s">
        <v>61</v>
      </c>
      <c r="Q4" s="36" t="s">
        <v>40</v>
      </c>
      <c r="R4" s="48" t="s">
        <v>61</v>
      </c>
      <c r="S4" s="9"/>
      <c r="T4" s="120" t="s">
        <v>68</v>
      </c>
      <c r="U4" s="126" t="s">
        <v>67</v>
      </c>
      <c r="V4" s="109" t="s">
        <v>66</v>
      </c>
      <c r="AF4" s="11"/>
      <c r="AG4" s="11"/>
      <c r="AH4" s="11"/>
      <c r="AI4" s="11"/>
      <c r="AJ4" s="11"/>
      <c r="AK4" s="11"/>
      <c r="AL4" s="11"/>
      <c r="AM4" s="11"/>
      <c r="AN4" s="11"/>
      <c r="AO4" s="11"/>
      <c r="AP4" s="11"/>
      <c r="AQ4" s="11"/>
      <c r="AR4" s="11"/>
      <c r="AS4" s="11"/>
      <c r="AT4" s="11"/>
      <c r="AU4" s="11"/>
      <c r="AV4" s="11"/>
      <c r="AW4" s="11"/>
      <c r="AX4" s="11"/>
      <c r="AY4" s="11"/>
      <c r="AZ4" s="11"/>
      <c r="BA4" s="11"/>
      <c r="BB4" s="11"/>
    </row>
    <row r="5" spans="1:54" s="10" customFormat="1" ht="15.75" x14ac:dyDescent="0.25">
      <c r="B5" s="37"/>
      <c r="C5" s="40"/>
      <c r="D5" s="40"/>
      <c r="E5" s="40"/>
      <c r="F5" s="40"/>
      <c r="G5" s="40"/>
      <c r="H5" s="40" t="s">
        <v>64</v>
      </c>
      <c r="I5" s="40" t="s">
        <v>60</v>
      </c>
      <c r="J5" s="124" t="s">
        <v>65</v>
      </c>
      <c r="K5" s="125"/>
      <c r="M5" s="37"/>
      <c r="N5" s="49"/>
      <c r="O5" s="40"/>
      <c r="P5" s="108"/>
      <c r="Q5" s="108"/>
      <c r="R5" s="38"/>
      <c r="S5" s="9"/>
      <c r="T5" s="121"/>
      <c r="U5" s="127"/>
      <c r="V5" s="110"/>
      <c r="AF5" s="11"/>
      <c r="AG5" s="11"/>
      <c r="AH5" s="11"/>
      <c r="AI5" s="11"/>
      <c r="AJ5" s="11"/>
      <c r="AK5" s="11"/>
      <c r="AL5" s="11"/>
      <c r="AM5" s="11"/>
      <c r="AN5" s="11"/>
      <c r="AO5" s="11"/>
      <c r="AP5" s="11"/>
      <c r="AQ5" s="11"/>
      <c r="AR5" s="11"/>
      <c r="AS5" s="11"/>
      <c r="AT5" s="11"/>
      <c r="AU5" s="11"/>
      <c r="AV5" s="11"/>
      <c r="AW5" s="11"/>
      <c r="AX5" s="11"/>
      <c r="AY5" s="11"/>
      <c r="AZ5" s="11"/>
      <c r="BA5" s="11"/>
      <c r="BB5" s="11"/>
    </row>
    <row r="6" spans="1:54" s="10" customFormat="1" ht="15.75" x14ac:dyDescent="0.25">
      <c r="B6" s="37"/>
      <c r="C6" s="40"/>
      <c r="D6" s="40"/>
      <c r="E6" s="40"/>
      <c r="F6" s="40"/>
      <c r="G6" s="40"/>
      <c r="H6" s="40"/>
      <c r="I6" s="40"/>
      <c r="J6" s="108"/>
      <c r="K6" s="38"/>
      <c r="M6" s="37"/>
      <c r="N6" s="49"/>
      <c r="O6" s="40"/>
      <c r="P6" s="108"/>
      <c r="Q6" s="108"/>
      <c r="R6" s="38"/>
      <c r="S6" s="9"/>
      <c r="T6" s="39"/>
      <c r="U6" s="39"/>
      <c r="V6" s="39"/>
      <c r="AF6" s="11"/>
      <c r="AG6" s="11"/>
      <c r="AH6" s="11"/>
      <c r="AI6" s="11"/>
      <c r="AJ6" s="11"/>
      <c r="AK6" s="11"/>
      <c r="AL6" s="11"/>
      <c r="AM6" s="11"/>
      <c r="AN6" s="11"/>
      <c r="AO6" s="11"/>
      <c r="AP6" s="11"/>
      <c r="AQ6" s="11"/>
      <c r="AR6" s="11"/>
      <c r="AS6" s="11"/>
      <c r="AT6" s="11"/>
      <c r="AU6" s="11"/>
      <c r="AV6" s="11"/>
      <c r="AW6" s="11"/>
      <c r="AX6" s="11"/>
      <c r="AY6" s="11"/>
      <c r="AZ6" s="11"/>
      <c r="BA6" s="11"/>
      <c r="BB6" s="11"/>
    </row>
    <row r="7" spans="1:54" x14ac:dyDescent="0.25">
      <c r="A7" s="27">
        <v>1</v>
      </c>
      <c r="B7" s="26" t="s">
        <v>32</v>
      </c>
      <c r="C7" s="52">
        <v>29</v>
      </c>
      <c r="D7" s="52"/>
      <c r="E7" s="52"/>
      <c r="F7" s="52"/>
      <c r="G7" s="52"/>
      <c r="H7" s="52"/>
      <c r="I7" s="52">
        <v>3</v>
      </c>
      <c r="J7" s="53"/>
      <c r="K7" s="54">
        <v>6</v>
      </c>
      <c r="L7" s="55"/>
      <c r="M7" s="56"/>
      <c r="N7" s="57"/>
      <c r="O7" s="52">
        <v>1</v>
      </c>
      <c r="P7" s="53"/>
      <c r="Q7" s="53">
        <v>1</v>
      </c>
      <c r="R7" s="54"/>
      <c r="S7" s="55"/>
      <c r="T7" s="58">
        <f>H7+I7+J7+K7+N7+P7+R7</f>
        <v>9</v>
      </c>
      <c r="U7" s="58">
        <f>C7*24+M7*24+O7*24+Q7*24+T7</f>
        <v>753</v>
      </c>
      <c r="V7" s="58">
        <f>U7/24</f>
        <v>31.375</v>
      </c>
      <c r="W7" s="50"/>
      <c r="AF7" s="12"/>
      <c r="AG7" s="12"/>
      <c r="AH7" s="12"/>
      <c r="AI7" s="12"/>
      <c r="AJ7" s="12"/>
      <c r="AK7" s="12"/>
      <c r="AL7" s="12"/>
      <c r="AM7" s="12"/>
      <c r="AN7" s="12"/>
      <c r="AO7" s="12"/>
      <c r="AP7" s="12"/>
      <c r="AQ7" s="12"/>
      <c r="AR7" s="12"/>
      <c r="AS7" s="12"/>
      <c r="AT7" s="12"/>
      <c r="AU7" s="12"/>
      <c r="AV7" s="12"/>
      <c r="AW7" s="12"/>
      <c r="AX7" s="12"/>
      <c r="AY7" s="12"/>
      <c r="AZ7" s="12"/>
      <c r="BA7" s="12"/>
      <c r="BB7" s="12"/>
    </row>
    <row r="8" spans="1:54" ht="19.5" thickBot="1" x14ac:dyDescent="0.3">
      <c r="A8" s="27">
        <f>A7+1</f>
        <v>2</v>
      </c>
      <c r="B8" s="42" t="s">
        <v>35</v>
      </c>
      <c r="C8" s="59">
        <f>36+30</f>
        <v>66</v>
      </c>
      <c r="D8" s="59"/>
      <c r="E8" s="59"/>
      <c r="F8" s="59"/>
      <c r="G8" s="59"/>
      <c r="H8" s="59"/>
      <c r="I8" s="59"/>
      <c r="J8" s="60"/>
      <c r="K8" s="61"/>
      <c r="L8" s="62"/>
      <c r="M8" s="63">
        <v>1</v>
      </c>
      <c r="N8" s="64"/>
      <c r="O8" s="65">
        <v>1</v>
      </c>
      <c r="P8" s="66">
        <v>12</v>
      </c>
      <c r="Q8" s="66"/>
      <c r="R8" s="67"/>
      <c r="S8" s="62"/>
      <c r="T8" s="68">
        <f t="shared" ref="T8:T41" si="0">H8+I8+J8+K8+N8+P8+R8</f>
        <v>12</v>
      </c>
      <c r="U8" s="69">
        <f>C8*24+M8*24+O8*24+Q8*24+T8</f>
        <v>1644</v>
      </c>
      <c r="V8" s="69">
        <f>U8/24</f>
        <v>68.5</v>
      </c>
      <c r="W8" s="50"/>
      <c r="AF8" s="12"/>
      <c r="AG8" s="12"/>
      <c r="AH8" s="12"/>
      <c r="AI8" s="12"/>
      <c r="AJ8" s="12"/>
      <c r="AK8" s="12"/>
      <c r="AL8" s="12"/>
      <c r="AM8" s="12"/>
      <c r="AN8" s="12"/>
      <c r="AO8" s="12"/>
      <c r="AP8" s="12"/>
      <c r="AQ8" s="12"/>
      <c r="AR8" s="12"/>
      <c r="AS8" s="12"/>
      <c r="AT8" s="12"/>
      <c r="AU8" s="12"/>
      <c r="AV8" s="12"/>
      <c r="AW8" s="12"/>
      <c r="AX8" s="12"/>
      <c r="AY8" s="12"/>
      <c r="AZ8" s="12"/>
      <c r="BA8" s="12"/>
      <c r="BB8" s="12"/>
    </row>
    <row r="9" spans="1:54" x14ac:dyDescent="0.25">
      <c r="A9" s="27">
        <f t="shared" ref="A9:A57" si="1">A8+1</f>
        <v>3</v>
      </c>
      <c r="B9" s="25" t="s">
        <v>33</v>
      </c>
      <c r="C9" s="70">
        <f>23+30</f>
        <v>53</v>
      </c>
      <c r="D9" s="70"/>
      <c r="E9" s="70"/>
      <c r="F9" s="70"/>
      <c r="G9" s="70"/>
      <c r="H9" s="70"/>
      <c r="I9" s="70"/>
      <c r="J9" s="71"/>
      <c r="K9" s="72"/>
      <c r="L9" s="55"/>
      <c r="M9" s="73"/>
      <c r="N9" s="74"/>
      <c r="O9" s="70"/>
      <c r="P9" s="71"/>
      <c r="Q9" s="71"/>
      <c r="R9" s="72"/>
      <c r="S9" s="55"/>
      <c r="T9" s="75">
        <f t="shared" si="0"/>
        <v>0</v>
      </c>
      <c r="U9" s="76">
        <f t="shared" ref="U9:U11" si="2">C9*24+M9*24+O9*24+Q9*24+T9</f>
        <v>1272</v>
      </c>
      <c r="V9" s="76">
        <f t="shared" ref="V9:V11" si="3">U9/24</f>
        <v>53</v>
      </c>
      <c r="W9" s="50"/>
      <c r="AF9" s="12"/>
      <c r="AG9" s="12"/>
      <c r="AH9" s="12"/>
      <c r="AI9" s="12"/>
      <c r="AJ9" s="12"/>
      <c r="AK9" s="12"/>
      <c r="AL9" s="12"/>
      <c r="AM9" s="12"/>
      <c r="AN9" s="12"/>
      <c r="AO9" s="12"/>
      <c r="AP9" s="12"/>
      <c r="AQ9" s="12"/>
      <c r="AR9" s="12"/>
      <c r="AS9" s="12"/>
      <c r="AT9" s="12"/>
      <c r="AU9" s="12"/>
      <c r="AV9" s="12"/>
      <c r="AW9" s="12"/>
      <c r="AX9" s="12"/>
      <c r="AY9" s="12"/>
      <c r="AZ9" s="12"/>
      <c r="BA9" s="12"/>
      <c r="BB9" s="12"/>
    </row>
    <row r="10" spans="1:54" x14ac:dyDescent="0.25">
      <c r="A10" s="27">
        <f t="shared" si="1"/>
        <v>4</v>
      </c>
      <c r="B10" s="26" t="s">
        <v>36</v>
      </c>
      <c r="C10" s="70">
        <v>9</v>
      </c>
      <c r="D10" s="70"/>
      <c r="E10" s="70"/>
      <c r="F10" s="70"/>
      <c r="G10" s="70"/>
      <c r="H10" s="70"/>
      <c r="I10" s="70"/>
      <c r="J10" s="71"/>
      <c r="K10" s="72"/>
      <c r="L10" s="55"/>
      <c r="M10" s="73"/>
      <c r="N10" s="74"/>
      <c r="O10" s="70"/>
      <c r="P10" s="71"/>
      <c r="Q10" s="71"/>
      <c r="R10" s="72"/>
      <c r="S10" s="55"/>
      <c r="T10" s="58">
        <f t="shared" si="0"/>
        <v>0</v>
      </c>
      <c r="U10" s="58">
        <f t="shared" si="2"/>
        <v>216</v>
      </c>
      <c r="V10" s="58">
        <f t="shared" si="3"/>
        <v>9</v>
      </c>
      <c r="W10" s="50"/>
      <c r="AF10" s="12"/>
      <c r="AG10" s="12"/>
      <c r="AH10" s="12"/>
      <c r="AI10" s="12"/>
      <c r="AJ10" s="12"/>
      <c r="AK10" s="12"/>
      <c r="AL10" s="12"/>
      <c r="AM10" s="12"/>
      <c r="AN10" s="12"/>
      <c r="AO10" s="12"/>
      <c r="AP10" s="12"/>
      <c r="AQ10" s="12"/>
      <c r="AR10" s="12"/>
      <c r="AS10" s="12"/>
      <c r="AT10" s="12"/>
      <c r="AU10" s="12"/>
      <c r="AV10" s="12"/>
      <c r="AW10" s="12"/>
      <c r="AX10" s="12"/>
      <c r="AY10" s="12"/>
      <c r="AZ10" s="12"/>
      <c r="BA10" s="12"/>
      <c r="BB10" s="12"/>
    </row>
    <row r="11" spans="1:54" x14ac:dyDescent="0.25">
      <c r="A11" s="27">
        <f t="shared" si="1"/>
        <v>5</v>
      </c>
      <c r="B11" s="26" t="s">
        <v>34</v>
      </c>
      <c r="C11" s="70"/>
      <c r="D11" s="70"/>
      <c r="E11" s="70"/>
      <c r="F11" s="70"/>
      <c r="G11" s="70"/>
      <c r="H11" s="70"/>
      <c r="I11" s="70"/>
      <c r="J11" s="71"/>
      <c r="K11" s="72">
        <v>2</v>
      </c>
      <c r="L11" s="55"/>
      <c r="M11" s="73"/>
      <c r="N11" s="74"/>
      <c r="O11" s="70"/>
      <c r="P11" s="71"/>
      <c r="Q11" s="71"/>
      <c r="R11" s="72"/>
      <c r="S11" s="55"/>
      <c r="T11" s="58">
        <f t="shared" si="0"/>
        <v>2</v>
      </c>
      <c r="U11" s="58">
        <f t="shared" si="2"/>
        <v>2</v>
      </c>
      <c r="V11" s="58">
        <f t="shared" si="3"/>
        <v>8.3333333333333329E-2</v>
      </c>
      <c r="AF11" s="12"/>
      <c r="AG11" s="12"/>
      <c r="AH11" s="12"/>
      <c r="AI11" s="12"/>
      <c r="AJ11" s="12"/>
      <c r="AK11" s="12"/>
      <c r="AL11" s="12"/>
      <c r="AM11" s="12"/>
      <c r="AN11" s="12"/>
      <c r="AO11" s="12"/>
      <c r="AP11" s="12"/>
      <c r="AQ11" s="12"/>
      <c r="AR11" s="12"/>
      <c r="AS11" s="12"/>
      <c r="AT11" s="12"/>
      <c r="AU11" s="12"/>
      <c r="AV11" s="12"/>
      <c r="AW11" s="12"/>
      <c r="AX11" s="12"/>
      <c r="AY11" s="12"/>
      <c r="AZ11" s="12"/>
      <c r="BA11" s="12"/>
      <c r="BB11" s="12"/>
    </row>
    <row r="12" spans="1:54" s="13" customFormat="1" ht="19.5" thickBot="1" x14ac:dyDescent="0.3">
      <c r="A12" s="27">
        <v>7</v>
      </c>
      <c r="B12" s="42" t="s">
        <v>30</v>
      </c>
      <c r="C12" s="59">
        <f>1224+53+432+57+1080+29</f>
        <v>2875</v>
      </c>
      <c r="D12" s="59"/>
      <c r="E12" s="59"/>
      <c r="F12" s="59"/>
      <c r="G12" s="59"/>
      <c r="H12" s="59"/>
      <c r="I12" s="59"/>
      <c r="J12" s="60"/>
      <c r="K12" s="61"/>
      <c r="L12" s="62"/>
      <c r="M12" s="63">
        <v>34</v>
      </c>
      <c r="N12" s="64">
        <v>11</v>
      </c>
      <c r="O12" s="65">
        <v>14</v>
      </c>
      <c r="P12" s="66">
        <v>12</v>
      </c>
      <c r="Q12" s="66">
        <v>16</v>
      </c>
      <c r="R12" s="67"/>
      <c r="S12" s="62"/>
      <c r="T12" s="69">
        <f t="shared" si="0"/>
        <v>23</v>
      </c>
      <c r="U12" s="69">
        <f>C12*24+M12*24+O12*24+Q12*24+T12</f>
        <v>70559</v>
      </c>
      <c r="V12" s="69">
        <f>U12/24</f>
        <v>2939.9583333333335</v>
      </c>
      <c r="W12" s="9"/>
      <c r="X12" s="9"/>
      <c r="Y12" s="9"/>
      <c r="Z12" s="9"/>
      <c r="AA12" s="9"/>
      <c r="AB12" s="9"/>
      <c r="AC12" s="9"/>
      <c r="AD12" s="9"/>
      <c r="AE12" s="9"/>
      <c r="AF12" s="12"/>
      <c r="AG12" s="12"/>
      <c r="AH12" s="12"/>
      <c r="AI12" s="12"/>
      <c r="AJ12" s="12"/>
      <c r="AK12" s="12"/>
      <c r="AL12" s="12"/>
      <c r="AM12" s="12"/>
      <c r="AN12" s="12"/>
      <c r="AO12" s="12"/>
      <c r="AP12" s="12"/>
      <c r="AQ12" s="12"/>
      <c r="AR12" s="12"/>
      <c r="AS12" s="12"/>
      <c r="AT12" s="12"/>
      <c r="AU12" s="12"/>
      <c r="AV12" s="12"/>
      <c r="AW12" s="12"/>
      <c r="AX12" s="12"/>
      <c r="AY12" s="12"/>
      <c r="AZ12" s="12"/>
      <c r="BA12" s="12"/>
      <c r="BB12" s="12"/>
    </row>
    <row r="13" spans="1:54" x14ac:dyDescent="0.25">
      <c r="A13" s="27">
        <v>11</v>
      </c>
      <c r="B13" s="25" t="s">
        <v>1</v>
      </c>
      <c r="C13" s="70">
        <v>2</v>
      </c>
      <c r="D13" s="70"/>
      <c r="E13" s="70"/>
      <c r="F13" s="70"/>
      <c r="G13" s="70"/>
      <c r="H13" s="70">
        <v>16</v>
      </c>
      <c r="I13" s="70"/>
      <c r="J13" s="71"/>
      <c r="K13" s="72"/>
      <c r="L13" s="55"/>
      <c r="M13" s="73"/>
      <c r="N13" s="74"/>
      <c r="O13" s="70"/>
      <c r="P13" s="71"/>
      <c r="Q13" s="71"/>
      <c r="R13" s="72"/>
      <c r="S13" s="55"/>
      <c r="T13" s="76">
        <f t="shared" si="0"/>
        <v>16</v>
      </c>
      <c r="U13" s="76">
        <f>C13*24+M13*24+O13*24+Q13*24+T13</f>
        <v>64</v>
      </c>
      <c r="V13" s="76">
        <f>U13/24</f>
        <v>2.6666666666666665</v>
      </c>
      <c r="AF13" s="12"/>
      <c r="AG13" s="12"/>
      <c r="AH13" s="12"/>
      <c r="AI13" s="12"/>
      <c r="AJ13" s="12"/>
      <c r="AK13" s="12"/>
      <c r="AL13" s="12"/>
      <c r="AM13" s="12"/>
      <c r="AN13" s="12"/>
      <c r="AO13" s="12"/>
      <c r="AP13" s="12"/>
      <c r="AQ13" s="12"/>
      <c r="AR13" s="12"/>
      <c r="AS13" s="12"/>
      <c r="AT13" s="12"/>
      <c r="AU13" s="12"/>
      <c r="AV13" s="12"/>
      <c r="AW13" s="12"/>
      <c r="AX13" s="12"/>
      <c r="AY13" s="12"/>
      <c r="AZ13" s="12"/>
      <c r="BA13" s="12"/>
      <c r="BB13" s="12"/>
    </row>
    <row r="14" spans="1:54" x14ac:dyDescent="0.25">
      <c r="A14" s="27">
        <f t="shared" si="1"/>
        <v>12</v>
      </c>
      <c r="B14" s="26" t="s">
        <v>2</v>
      </c>
      <c r="C14" s="70">
        <v>2</v>
      </c>
      <c r="D14" s="70"/>
      <c r="E14" s="70"/>
      <c r="F14" s="70"/>
      <c r="G14" s="70"/>
      <c r="H14" s="70"/>
      <c r="I14" s="70"/>
      <c r="J14" s="71"/>
      <c r="K14" s="72"/>
      <c r="L14" s="55"/>
      <c r="M14" s="73"/>
      <c r="N14" s="74"/>
      <c r="O14" s="70"/>
      <c r="P14" s="71"/>
      <c r="Q14" s="71"/>
      <c r="R14" s="72"/>
      <c r="S14" s="55"/>
      <c r="T14" s="58">
        <f t="shared" si="0"/>
        <v>0</v>
      </c>
      <c r="U14" s="75">
        <f t="shared" ref="U14:U36" si="4">C14*24+M14*24+O14*24+Q14*24+T14</f>
        <v>48</v>
      </c>
      <c r="V14" s="75">
        <f t="shared" ref="V14:V36" si="5">U14/24</f>
        <v>2</v>
      </c>
      <c r="AF14" s="12"/>
      <c r="AG14" s="12"/>
      <c r="AH14" s="12"/>
      <c r="AI14" s="12"/>
      <c r="AJ14" s="12"/>
      <c r="AK14" s="12"/>
      <c r="AL14" s="12"/>
      <c r="AM14" s="12"/>
      <c r="AN14" s="12"/>
      <c r="AO14" s="12"/>
      <c r="AP14" s="12"/>
      <c r="AQ14" s="12"/>
      <c r="AR14" s="12"/>
      <c r="AS14" s="12"/>
      <c r="AT14" s="12"/>
      <c r="AU14" s="12"/>
      <c r="AV14" s="12"/>
      <c r="AW14" s="12"/>
      <c r="AX14" s="12"/>
      <c r="AY14" s="12"/>
      <c r="AZ14" s="12"/>
      <c r="BA14" s="12"/>
      <c r="BB14" s="12"/>
    </row>
    <row r="15" spans="1:54" x14ac:dyDescent="0.25">
      <c r="A15" s="27">
        <f t="shared" si="1"/>
        <v>13</v>
      </c>
      <c r="B15" s="26" t="s">
        <v>3</v>
      </c>
      <c r="C15" s="70"/>
      <c r="D15" s="70"/>
      <c r="E15" s="70"/>
      <c r="F15" s="70"/>
      <c r="G15" s="70"/>
      <c r="H15" s="70"/>
      <c r="I15" s="70"/>
      <c r="J15" s="71"/>
      <c r="K15" s="72"/>
      <c r="L15" s="55"/>
      <c r="M15" s="73"/>
      <c r="N15" s="74"/>
      <c r="O15" s="70"/>
      <c r="P15" s="71"/>
      <c r="Q15" s="71"/>
      <c r="R15" s="72"/>
      <c r="S15" s="55"/>
      <c r="T15" s="58">
        <f t="shared" si="0"/>
        <v>0</v>
      </c>
      <c r="U15" s="75">
        <f t="shared" si="4"/>
        <v>0</v>
      </c>
      <c r="V15" s="75">
        <f t="shared" si="5"/>
        <v>0</v>
      </c>
      <c r="AF15" s="12"/>
      <c r="AG15" s="12"/>
      <c r="AH15" s="12"/>
      <c r="AI15" s="12"/>
      <c r="AJ15" s="12"/>
      <c r="AK15" s="12"/>
      <c r="AL15" s="12"/>
      <c r="AM15" s="12"/>
      <c r="AN15" s="12"/>
      <c r="AO15" s="12"/>
      <c r="AP15" s="12"/>
      <c r="AQ15" s="12"/>
      <c r="AR15" s="12"/>
      <c r="AS15" s="12"/>
      <c r="AT15" s="12"/>
      <c r="AU15" s="12"/>
      <c r="AV15" s="12"/>
      <c r="AW15" s="12"/>
      <c r="AX15" s="12"/>
      <c r="AY15" s="12"/>
      <c r="AZ15" s="12"/>
      <c r="BA15" s="12"/>
      <c r="BB15" s="12"/>
    </row>
    <row r="16" spans="1:54" x14ac:dyDescent="0.25">
      <c r="A16" s="27">
        <f t="shared" si="1"/>
        <v>14</v>
      </c>
      <c r="B16" s="26" t="s">
        <v>4</v>
      </c>
      <c r="C16" s="70"/>
      <c r="D16" s="70"/>
      <c r="E16" s="70"/>
      <c r="F16" s="70"/>
      <c r="G16" s="70"/>
      <c r="H16" s="70"/>
      <c r="I16" s="70"/>
      <c r="J16" s="71"/>
      <c r="K16" s="72"/>
      <c r="L16" s="55"/>
      <c r="M16" s="73"/>
      <c r="N16" s="74"/>
      <c r="O16" s="70"/>
      <c r="P16" s="71"/>
      <c r="Q16" s="71"/>
      <c r="R16" s="72"/>
      <c r="S16" s="55"/>
      <c r="T16" s="58">
        <f t="shared" si="0"/>
        <v>0</v>
      </c>
      <c r="U16" s="75">
        <f t="shared" si="4"/>
        <v>0</v>
      </c>
      <c r="V16" s="75">
        <f t="shared" si="5"/>
        <v>0</v>
      </c>
      <c r="AF16" s="12"/>
      <c r="AG16" s="12"/>
      <c r="AH16" s="12"/>
      <c r="AI16" s="12"/>
      <c r="AJ16" s="12"/>
      <c r="AK16" s="12"/>
      <c r="AL16" s="12"/>
      <c r="AM16" s="12"/>
      <c r="AN16" s="12"/>
      <c r="AO16" s="12"/>
      <c r="AP16" s="12"/>
      <c r="AQ16" s="12"/>
      <c r="AR16" s="12"/>
      <c r="AS16" s="12"/>
      <c r="AT16" s="12"/>
      <c r="AU16" s="12"/>
      <c r="AV16" s="12"/>
      <c r="AW16" s="12"/>
      <c r="AX16" s="12"/>
      <c r="AY16" s="12"/>
      <c r="AZ16" s="12"/>
      <c r="BA16" s="12"/>
      <c r="BB16" s="12"/>
    </row>
    <row r="17" spans="1:54" x14ac:dyDescent="0.25">
      <c r="A17" s="27">
        <f t="shared" si="1"/>
        <v>15</v>
      </c>
      <c r="B17" s="26" t="s">
        <v>5</v>
      </c>
      <c r="C17" s="70"/>
      <c r="D17" s="70"/>
      <c r="E17" s="70"/>
      <c r="F17" s="70"/>
      <c r="G17" s="70"/>
      <c r="H17" s="70">
        <f>3*24</f>
        <v>72</v>
      </c>
      <c r="I17" s="70"/>
      <c r="J17" s="71"/>
      <c r="K17" s="72"/>
      <c r="L17" s="55"/>
      <c r="M17" s="73"/>
      <c r="N17" s="74"/>
      <c r="O17" s="70"/>
      <c r="P17" s="71"/>
      <c r="Q17" s="71"/>
      <c r="R17" s="72"/>
      <c r="S17" s="55"/>
      <c r="T17" s="58">
        <f t="shared" si="0"/>
        <v>72</v>
      </c>
      <c r="U17" s="75">
        <f t="shared" si="4"/>
        <v>72</v>
      </c>
      <c r="V17" s="75">
        <f t="shared" si="5"/>
        <v>3</v>
      </c>
      <c r="AF17" s="12"/>
      <c r="AG17" s="12"/>
      <c r="AH17" s="12"/>
      <c r="AI17" s="12"/>
      <c r="AJ17" s="12"/>
      <c r="AK17" s="12"/>
      <c r="AL17" s="12"/>
      <c r="AM17" s="12"/>
      <c r="AN17" s="12"/>
      <c r="AO17" s="12"/>
      <c r="AP17" s="12"/>
      <c r="AQ17" s="12"/>
      <c r="AR17" s="12"/>
      <c r="AS17" s="12"/>
      <c r="AT17" s="12"/>
      <c r="AU17" s="12"/>
      <c r="AV17" s="12"/>
      <c r="AW17" s="12"/>
      <c r="AX17" s="12"/>
      <c r="AY17" s="12"/>
      <c r="AZ17" s="12"/>
      <c r="BA17" s="12"/>
      <c r="BB17" s="12"/>
    </row>
    <row r="18" spans="1:54" hidden="1" x14ac:dyDescent="0.25">
      <c r="A18" s="27">
        <f t="shared" si="1"/>
        <v>16</v>
      </c>
      <c r="B18" s="26" t="s">
        <v>9</v>
      </c>
      <c r="C18" s="70"/>
      <c r="D18" s="70"/>
      <c r="E18" s="70"/>
      <c r="F18" s="70"/>
      <c r="G18" s="70"/>
      <c r="H18" s="70"/>
      <c r="I18" s="70"/>
      <c r="J18" s="71"/>
      <c r="K18" s="72"/>
      <c r="L18" s="55"/>
      <c r="M18" s="73"/>
      <c r="N18" s="74"/>
      <c r="O18" s="70"/>
      <c r="P18" s="71"/>
      <c r="Q18" s="71"/>
      <c r="R18" s="72"/>
      <c r="S18" s="55"/>
      <c r="T18" s="58">
        <f t="shared" si="0"/>
        <v>0</v>
      </c>
      <c r="U18" s="75">
        <f t="shared" si="4"/>
        <v>0</v>
      </c>
      <c r="V18" s="75">
        <f t="shared" si="5"/>
        <v>0</v>
      </c>
      <c r="AF18" s="12"/>
      <c r="AG18" s="12"/>
      <c r="AH18" s="12"/>
      <c r="AI18" s="12"/>
      <c r="AJ18" s="12"/>
      <c r="AK18" s="12"/>
      <c r="AL18" s="12"/>
      <c r="AM18" s="12"/>
      <c r="AN18" s="12"/>
      <c r="AO18" s="12"/>
      <c r="AP18" s="12"/>
      <c r="AQ18" s="12"/>
      <c r="AR18" s="12"/>
      <c r="AS18" s="12"/>
      <c r="AT18" s="12"/>
      <c r="AU18" s="12"/>
      <c r="AV18" s="12"/>
      <c r="AW18" s="12"/>
      <c r="AX18" s="12"/>
      <c r="AY18" s="12"/>
      <c r="AZ18" s="12"/>
      <c r="BA18" s="12"/>
      <c r="BB18" s="12"/>
    </row>
    <row r="19" spans="1:54" x14ac:dyDescent="0.25">
      <c r="A19" s="27">
        <v>16</v>
      </c>
      <c r="B19" s="26" t="s">
        <v>53</v>
      </c>
      <c r="C19" s="70">
        <v>1</v>
      </c>
      <c r="D19" s="70"/>
      <c r="E19" s="70"/>
      <c r="F19" s="70"/>
      <c r="G19" s="70"/>
      <c r="H19" s="70">
        <f>24+20</f>
        <v>44</v>
      </c>
      <c r="I19" s="70"/>
      <c r="J19" s="71"/>
      <c r="K19" s="72"/>
      <c r="L19" s="55"/>
      <c r="M19" s="73"/>
      <c r="N19" s="74"/>
      <c r="O19" s="70"/>
      <c r="P19" s="71"/>
      <c r="Q19" s="71"/>
      <c r="R19" s="72"/>
      <c r="S19" s="55"/>
      <c r="T19" s="58">
        <f t="shared" si="0"/>
        <v>44</v>
      </c>
      <c r="U19" s="75">
        <f t="shared" si="4"/>
        <v>68</v>
      </c>
      <c r="V19" s="75">
        <f t="shared" si="5"/>
        <v>2.8333333333333335</v>
      </c>
      <c r="AF19" s="12"/>
      <c r="AG19" s="12"/>
      <c r="AH19" s="12"/>
      <c r="AI19" s="12"/>
      <c r="AJ19" s="12"/>
      <c r="AK19" s="12"/>
      <c r="AL19" s="12"/>
      <c r="AM19" s="12"/>
      <c r="AN19" s="12"/>
      <c r="AO19" s="12"/>
      <c r="AP19" s="12"/>
      <c r="AQ19" s="12"/>
      <c r="AR19" s="12"/>
      <c r="AS19" s="12"/>
      <c r="AT19" s="12"/>
      <c r="AU19" s="12"/>
      <c r="AV19" s="12"/>
      <c r="AW19" s="12"/>
      <c r="AX19" s="12"/>
      <c r="AY19" s="12"/>
      <c r="AZ19" s="12"/>
      <c r="BA19" s="12"/>
      <c r="BB19" s="12"/>
    </row>
    <row r="20" spans="1:54" x14ac:dyDescent="0.25">
      <c r="A20" s="27">
        <f t="shared" si="1"/>
        <v>17</v>
      </c>
      <c r="B20" s="26" t="s">
        <v>6</v>
      </c>
      <c r="C20" s="70">
        <v>5</v>
      </c>
      <c r="D20" s="70"/>
      <c r="E20" s="70"/>
      <c r="F20" s="70"/>
      <c r="G20" s="70"/>
      <c r="H20" s="70"/>
      <c r="I20" s="70"/>
      <c r="J20" s="71"/>
      <c r="K20" s="72"/>
      <c r="L20" s="55"/>
      <c r="M20" s="73"/>
      <c r="N20" s="74"/>
      <c r="O20" s="70"/>
      <c r="P20" s="71"/>
      <c r="Q20" s="71"/>
      <c r="R20" s="72"/>
      <c r="S20" s="55"/>
      <c r="T20" s="58">
        <f t="shared" si="0"/>
        <v>0</v>
      </c>
      <c r="U20" s="75">
        <f t="shared" si="4"/>
        <v>120</v>
      </c>
      <c r="V20" s="75">
        <f t="shared" si="5"/>
        <v>5</v>
      </c>
      <c r="AF20" s="12"/>
      <c r="AG20" s="12"/>
      <c r="AH20" s="12"/>
      <c r="AI20" s="12"/>
      <c r="AJ20" s="12"/>
      <c r="AK20" s="12"/>
      <c r="AL20" s="12"/>
      <c r="AM20" s="12"/>
      <c r="AN20" s="12"/>
      <c r="AO20" s="12"/>
      <c r="AP20" s="12"/>
      <c r="AQ20" s="12"/>
      <c r="AR20" s="12"/>
      <c r="AS20" s="12"/>
      <c r="AT20" s="12"/>
      <c r="AU20" s="12"/>
      <c r="AV20" s="12"/>
      <c r="AW20" s="12"/>
      <c r="AX20" s="12"/>
      <c r="AY20" s="12"/>
      <c r="AZ20" s="12"/>
      <c r="BA20" s="12"/>
      <c r="BB20" s="12"/>
    </row>
    <row r="21" spans="1:54" x14ac:dyDescent="0.25">
      <c r="A21" s="27">
        <f t="shared" si="1"/>
        <v>18</v>
      </c>
      <c r="B21" s="26" t="s">
        <v>7</v>
      </c>
      <c r="C21" s="70"/>
      <c r="D21" s="70"/>
      <c r="E21" s="70"/>
      <c r="F21" s="70"/>
      <c r="G21" s="70"/>
      <c r="H21" s="70">
        <f>2*24</f>
        <v>48</v>
      </c>
      <c r="I21" s="70"/>
      <c r="J21" s="71"/>
      <c r="K21" s="72"/>
      <c r="L21" s="55"/>
      <c r="M21" s="73"/>
      <c r="N21" s="74"/>
      <c r="O21" s="70"/>
      <c r="P21" s="71"/>
      <c r="Q21" s="71"/>
      <c r="R21" s="72"/>
      <c r="S21" s="55"/>
      <c r="T21" s="58">
        <f t="shared" si="0"/>
        <v>48</v>
      </c>
      <c r="U21" s="75">
        <f t="shared" si="4"/>
        <v>48</v>
      </c>
      <c r="V21" s="75">
        <f t="shared" si="5"/>
        <v>2</v>
      </c>
      <c r="AF21" s="12"/>
      <c r="AG21" s="12"/>
      <c r="AH21" s="12"/>
      <c r="AI21" s="12"/>
      <c r="AJ21" s="12"/>
      <c r="AK21" s="12"/>
      <c r="AL21" s="12"/>
      <c r="AM21" s="12"/>
      <c r="AN21" s="12"/>
      <c r="AO21" s="12"/>
      <c r="AP21" s="12"/>
      <c r="AQ21" s="12"/>
      <c r="AR21" s="12"/>
      <c r="AS21" s="12"/>
      <c r="AT21" s="12"/>
      <c r="AU21" s="12"/>
      <c r="AV21" s="12"/>
      <c r="AW21" s="12"/>
      <c r="AX21" s="12"/>
      <c r="AY21" s="12"/>
      <c r="AZ21" s="12"/>
      <c r="BA21" s="12"/>
      <c r="BB21" s="12"/>
    </row>
    <row r="22" spans="1:54" s="13" customFormat="1" x14ac:dyDescent="0.25">
      <c r="A22" s="27">
        <f t="shared" si="1"/>
        <v>19</v>
      </c>
      <c r="B22" s="26" t="s">
        <v>54</v>
      </c>
      <c r="C22" s="70">
        <v>1</v>
      </c>
      <c r="D22" s="70"/>
      <c r="E22" s="70"/>
      <c r="F22" s="70"/>
      <c r="G22" s="70"/>
      <c r="H22" s="70">
        <v>20</v>
      </c>
      <c r="I22" s="70"/>
      <c r="J22" s="71"/>
      <c r="K22" s="72"/>
      <c r="L22" s="55"/>
      <c r="M22" s="73"/>
      <c r="N22" s="74"/>
      <c r="O22" s="70"/>
      <c r="P22" s="71"/>
      <c r="Q22" s="71"/>
      <c r="R22" s="72"/>
      <c r="S22" s="55"/>
      <c r="T22" s="58">
        <f t="shared" si="0"/>
        <v>20</v>
      </c>
      <c r="U22" s="75">
        <f t="shared" si="4"/>
        <v>44</v>
      </c>
      <c r="V22" s="75">
        <f t="shared" si="5"/>
        <v>1.8333333333333333</v>
      </c>
      <c r="W22" s="9"/>
      <c r="X22" s="9"/>
      <c r="Y22" s="9"/>
      <c r="Z22" s="9"/>
      <c r="AA22" s="9"/>
      <c r="AB22" s="9"/>
      <c r="AC22" s="9"/>
      <c r="AD22" s="9"/>
      <c r="AE22" s="9"/>
      <c r="AF22" s="12"/>
      <c r="AG22" s="12"/>
      <c r="AH22" s="12"/>
      <c r="AI22" s="12"/>
      <c r="AJ22" s="12"/>
      <c r="AK22" s="12"/>
      <c r="AL22" s="12"/>
      <c r="AM22" s="12"/>
      <c r="AN22" s="12"/>
      <c r="AO22" s="12"/>
      <c r="AP22" s="12"/>
      <c r="AQ22" s="12"/>
      <c r="AR22" s="12"/>
      <c r="AS22" s="12"/>
      <c r="AT22" s="12"/>
      <c r="AU22" s="12"/>
      <c r="AV22" s="12"/>
      <c r="AW22" s="12"/>
      <c r="AX22" s="12"/>
      <c r="AY22" s="12"/>
      <c r="AZ22" s="12"/>
      <c r="BA22" s="12"/>
      <c r="BB22" s="12"/>
    </row>
    <row r="23" spans="1:54" s="13" customFormat="1" x14ac:dyDescent="0.25">
      <c r="A23" s="27">
        <f t="shared" si="1"/>
        <v>20</v>
      </c>
      <c r="B23" s="26" t="s">
        <v>55</v>
      </c>
      <c r="C23" s="70"/>
      <c r="D23" s="70"/>
      <c r="E23" s="70"/>
      <c r="F23" s="70"/>
      <c r="G23" s="70"/>
      <c r="H23" s="70">
        <f>37*24+19</f>
        <v>907</v>
      </c>
      <c r="I23" s="70"/>
      <c r="J23" s="71"/>
      <c r="K23" s="72"/>
      <c r="L23" s="55"/>
      <c r="M23" s="73"/>
      <c r="N23" s="74"/>
      <c r="O23" s="70"/>
      <c r="P23" s="71"/>
      <c r="Q23" s="71"/>
      <c r="R23" s="72"/>
      <c r="S23" s="55"/>
      <c r="T23" s="58">
        <f t="shared" si="0"/>
        <v>907</v>
      </c>
      <c r="U23" s="75">
        <f t="shared" si="4"/>
        <v>907</v>
      </c>
      <c r="V23" s="75">
        <f t="shared" si="5"/>
        <v>37.791666666666664</v>
      </c>
      <c r="W23" s="9"/>
      <c r="X23" s="9"/>
      <c r="Y23" s="9"/>
      <c r="Z23" s="9"/>
      <c r="AA23" s="9"/>
      <c r="AB23" s="9"/>
      <c r="AC23" s="9"/>
      <c r="AD23" s="9"/>
      <c r="AE23" s="9"/>
      <c r="AF23" s="12"/>
      <c r="AG23" s="12"/>
      <c r="AH23" s="12"/>
      <c r="AI23" s="12"/>
      <c r="AJ23" s="12"/>
      <c r="AK23" s="12"/>
      <c r="AL23" s="12"/>
      <c r="AM23" s="12"/>
      <c r="AN23" s="12"/>
      <c r="AO23" s="12"/>
      <c r="AP23" s="12"/>
      <c r="AQ23" s="12"/>
      <c r="AR23" s="12"/>
      <c r="AS23" s="12"/>
      <c r="AT23" s="12"/>
      <c r="AU23" s="12"/>
      <c r="AV23" s="12"/>
      <c r="AW23" s="12"/>
      <c r="AX23" s="12"/>
      <c r="AY23" s="12"/>
      <c r="AZ23" s="12"/>
      <c r="BA23" s="12"/>
      <c r="BB23" s="12"/>
    </row>
    <row r="24" spans="1:54" x14ac:dyDescent="0.25">
      <c r="A24" s="27">
        <f t="shared" si="1"/>
        <v>21</v>
      </c>
      <c r="B24" s="26" t="s">
        <v>56</v>
      </c>
      <c r="C24" s="70">
        <v>2</v>
      </c>
      <c r="D24" s="70"/>
      <c r="E24" s="70"/>
      <c r="F24" s="70"/>
      <c r="G24" s="70"/>
      <c r="H24" s="70">
        <f>3*24</f>
        <v>72</v>
      </c>
      <c r="I24" s="70"/>
      <c r="J24" s="71"/>
      <c r="K24" s="72"/>
      <c r="L24" s="55"/>
      <c r="M24" s="73"/>
      <c r="N24" s="74"/>
      <c r="O24" s="70"/>
      <c r="P24" s="71"/>
      <c r="Q24" s="71"/>
      <c r="R24" s="72"/>
      <c r="S24" s="55"/>
      <c r="T24" s="58">
        <f t="shared" si="0"/>
        <v>72</v>
      </c>
      <c r="U24" s="75">
        <f t="shared" si="4"/>
        <v>120</v>
      </c>
      <c r="V24" s="75">
        <f t="shared" si="5"/>
        <v>5</v>
      </c>
      <c r="AF24" s="12"/>
      <c r="AG24" s="12"/>
      <c r="AH24" s="12"/>
      <c r="AI24" s="12"/>
      <c r="AJ24" s="12"/>
      <c r="AK24" s="12"/>
      <c r="AL24" s="12"/>
      <c r="AM24" s="12"/>
      <c r="AN24" s="12"/>
      <c r="AO24" s="12"/>
      <c r="AP24" s="12"/>
      <c r="AQ24" s="12"/>
      <c r="AR24" s="12"/>
      <c r="AS24" s="12"/>
      <c r="AT24" s="12"/>
      <c r="AU24" s="12"/>
      <c r="AV24" s="12"/>
      <c r="AW24" s="12"/>
      <c r="AX24" s="12"/>
      <c r="AY24" s="12"/>
      <c r="AZ24" s="12"/>
      <c r="BA24" s="12"/>
      <c r="BB24" s="12"/>
    </row>
    <row r="25" spans="1:54" x14ac:dyDescent="0.25">
      <c r="A25" s="27">
        <f t="shared" si="1"/>
        <v>22</v>
      </c>
      <c r="B25" s="26" t="s">
        <v>8</v>
      </c>
      <c r="C25" s="70">
        <f>2+126</f>
        <v>128</v>
      </c>
      <c r="D25" s="70"/>
      <c r="E25" s="70"/>
      <c r="F25" s="70"/>
      <c r="G25" s="70"/>
      <c r="H25" s="70"/>
      <c r="I25" s="70">
        <v>1</v>
      </c>
      <c r="J25" s="71"/>
      <c r="K25" s="72"/>
      <c r="L25" s="55"/>
      <c r="M25" s="73">
        <v>1</v>
      </c>
      <c r="N25" s="74"/>
      <c r="O25" s="70"/>
      <c r="P25" s="71"/>
      <c r="Q25" s="71">
        <v>1</v>
      </c>
      <c r="R25" s="72"/>
      <c r="S25" s="55"/>
      <c r="T25" s="58">
        <f t="shared" si="0"/>
        <v>1</v>
      </c>
      <c r="U25" s="75">
        <f t="shared" si="4"/>
        <v>3121</v>
      </c>
      <c r="V25" s="75">
        <f t="shared" si="5"/>
        <v>130.04166666666666</v>
      </c>
      <c r="AY25" s="14" t="e">
        <f>#REF!-AY24</f>
        <v>#REF!</v>
      </c>
    </row>
    <row r="26" spans="1:54" s="13" customFormat="1" x14ac:dyDescent="0.25">
      <c r="A26" s="27">
        <f t="shared" si="1"/>
        <v>23</v>
      </c>
      <c r="B26" s="26" t="s">
        <v>10</v>
      </c>
      <c r="C26" s="70">
        <v>3</v>
      </c>
      <c r="D26" s="70"/>
      <c r="E26" s="70"/>
      <c r="F26" s="70"/>
      <c r="G26" s="70"/>
      <c r="H26" s="70"/>
      <c r="I26" s="70"/>
      <c r="J26" s="71"/>
      <c r="K26" s="72"/>
      <c r="L26" s="55"/>
      <c r="M26" s="73"/>
      <c r="N26" s="74"/>
      <c r="O26" s="70"/>
      <c r="P26" s="71"/>
      <c r="Q26" s="71"/>
      <c r="R26" s="72"/>
      <c r="S26" s="55"/>
      <c r="T26" s="58">
        <f t="shared" si="0"/>
        <v>0</v>
      </c>
      <c r="U26" s="75">
        <f t="shared" si="4"/>
        <v>72</v>
      </c>
      <c r="V26" s="75">
        <f t="shared" si="5"/>
        <v>3</v>
      </c>
      <c r="W26" s="9"/>
      <c r="X26" s="9"/>
      <c r="Y26" s="9"/>
      <c r="Z26" s="9"/>
      <c r="AA26" s="9"/>
      <c r="AB26" s="9"/>
      <c r="AC26" s="9"/>
      <c r="AD26" s="9"/>
      <c r="AE26" s="9"/>
    </row>
    <row r="27" spans="1:54" s="13" customFormat="1" x14ac:dyDescent="0.25">
      <c r="A27" s="27">
        <f t="shared" si="1"/>
        <v>24</v>
      </c>
      <c r="B27" s="26" t="s">
        <v>69</v>
      </c>
      <c r="C27" s="70">
        <v>1</v>
      </c>
      <c r="D27" s="70"/>
      <c r="E27" s="70"/>
      <c r="F27" s="70"/>
      <c r="G27" s="70"/>
      <c r="H27" s="70"/>
      <c r="I27" s="70"/>
      <c r="J27" s="71"/>
      <c r="K27" s="72"/>
      <c r="L27" s="55"/>
      <c r="M27" s="73"/>
      <c r="N27" s="74"/>
      <c r="O27" s="70"/>
      <c r="P27" s="71"/>
      <c r="Q27" s="71"/>
      <c r="R27" s="72"/>
      <c r="S27" s="55"/>
      <c r="T27" s="58">
        <f t="shared" si="0"/>
        <v>0</v>
      </c>
      <c r="U27" s="75">
        <f t="shared" si="4"/>
        <v>24</v>
      </c>
      <c r="V27" s="75">
        <f t="shared" si="5"/>
        <v>1</v>
      </c>
      <c r="W27" s="9"/>
      <c r="X27" s="9"/>
      <c r="Y27" s="9"/>
      <c r="Z27" s="9"/>
      <c r="AA27" s="9"/>
      <c r="AB27" s="9"/>
      <c r="AC27" s="9"/>
      <c r="AD27" s="9"/>
      <c r="AE27" s="9"/>
    </row>
    <row r="28" spans="1:54" s="13" customFormat="1" x14ac:dyDescent="0.25">
      <c r="A28" s="27">
        <f t="shared" si="1"/>
        <v>25</v>
      </c>
      <c r="B28" s="26" t="s">
        <v>11</v>
      </c>
      <c r="C28" s="70">
        <f>23+252</f>
        <v>275</v>
      </c>
      <c r="D28" s="70"/>
      <c r="E28" s="70"/>
      <c r="F28" s="70"/>
      <c r="G28" s="70"/>
      <c r="H28" s="70"/>
      <c r="I28" s="70"/>
      <c r="J28" s="71"/>
      <c r="K28" s="72"/>
      <c r="L28" s="55"/>
      <c r="M28" s="73">
        <v>2</v>
      </c>
      <c r="N28" s="74"/>
      <c r="O28" s="70">
        <v>5</v>
      </c>
      <c r="P28" s="71"/>
      <c r="Q28" s="71">
        <v>3</v>
      </c>
      <c r="R28" s="72"/>
      <c r="S28" s="55"/>
      <c r="T28" s="58">
        <f t="shared" si="0"/>
        <v>0</v>
      </c>
      <c r="U28" s="75">
        <f t="shared" si="4"/>
        <v>6840</v>
      </c>
      <c r="V28" s="75">
        <f t="shared" si="5"/>
        <v>285</v>
      </c>
      <c r="W28" s="9"/>
      <c r="X28" s="9"/>
      <c r="Y28" s="9"/>
      <c r="Z28" s="9"/>
      <c r="AA28" s="9"/>
      <c r="AB28" s="9"/>
      <c r="AC28" s="9"/>
      <c r="AD28" s="9"/>
      <c r="AE28" s="9"/>
    </row>
    <row r="29" spans="1:54" x14ac:dyDescent="0.25">
      <c r="A29" s="27">
        <f t="shared" si="1"/>
        <v>26</v>
      </c>
      <c r="B29" s="26" t="s">
        <v>13</v>
      </c>
      <c r="C29" s="70"/>
      <c r="D29" s="70"/>
      <c r="E29" s="70"/>
      <c r="F29" s="70"/>
      <c r="G29" s="70"/>
      <c r="H29" s="70"/>
      <c r="I29" s="70">
        <v>5</v>
      </c>
      <c r="J29" s="71"/>
      <c r="K29" s="72"/>
      <c r="L29" s="55"/>
      <c r="M29" s="73"/>
      <c r="N29" s="74"/>
      <c r="O29" s="70"/>
      <c r="P29" s="71"/>
      <c r="Q29" s="71"/>
      <c r="R29" s="72"/>
      <c r="S29" s="55"/>
      <c r="T29" s="58">
        <f t="shared" si="0"/>
        <v>5</v>
      </c>
      <c r="U29" s="75">
        <f t="shared" si="4"/>
        <v>5</v>
      </c>
      <c r="V29" s="75">
        <f t="shared" si="5"/>
        <v>0.20833333333333334</v>
      </c>
    </row>
    <row r="30" spans="1:54" x14ac:dyDescent="0.25">
      <c r="A30" s="27">
        <f t="shared" si="1"/>
        <v>27</v>
      </c>
      <c r="B30" s="26" t="s">
        <v>15</v>
      </c>
      <c r="C30" s="70"/>
      <c r="D30" s="70"/>
      <c r="E30" s="70"/>
      <c r="F30" s="70"/>
      <c r="G30" s="70"/>
      <c r="H30" s="70"/>
      <c r="I30" s="70"/>
      <c r="J30" s="71"/>
      <c r="K30" s="72"/>
      <c r="L30" s="55"/>
      <c r="M30" s="73"/>
      <c r="N30" s="74"/>
      <c r="O30" s="70"/>
      <c r="P30" s="71"/>
      <c r="Q30" s="71"/>
      <c r="R30" s="72"/>
      <c r="S30" s="55"/>
      <c r="T30" s="58">
        <f t="shared" si="0"/>
        <v>0</v>
      </c>
      <c r="U30" s="75">
        <f t="shared" si="4"/>
        <v>0</v>
      </c>
      <c r="V30" s="75">
        <f t="shared" si="5"/>
        <v>0</v>
      </c>
    </row>
    <row r="31" spans="1:54" x14ac:dyDescent="0.25">
      <c r="A31" s="27">
        <f t="shared" si="1"/>
        <v>28</v>
      </c>
      <c r="B31" s="26" t="s">
        <v>12</v>
      </c>
      <c r="C31" s="70"/>
      <c r="D31" s="70"/>
      <c r="E31" s="70"/>
      <c r="F31" s="70"/>
      <c r="G31" s="70"/>
      <c r="H31" s="70"/>
      <c r="I31" s="70"/>
      <c r="J31" s="71"/>
      <c r="K31" s="72"/>
      <c r="L31" s="55"/>
      <c r="M31" s="73"/>
      <c r="N31" s="74"/>
      <c r="O31" s="70"/>
      <c r="P31" s="71"/>
      <c r="Q31" s="71"/>
      <c r="R31" s="72"/>
      <c r="S31" s="55"/>
      <c r="T31" s="58">
        <f t="shared" si="0"/>
        <v>0</v>
      </c>
      <c r="U31" s="75">
        <f t="shared" si="4"/>
        <v>0</v>
      </c>
      <c r="V31" s="75">
        <f t="shared" si="5"/>
        <v>0</v>
      </c>
    </row>
    <row r="32" spans="1:54" x14ac:dyDescent="0.25">
      <c r="A32" s="27">
        <f t="shared" si="1"/>
        <v>29</v>
      </c>
      <c r="B32" s="26" t="s">
        <v>14</v>
      </c>
      <c r="C32" s="70"/>
      <c r="D32" s="70"/>
      <c r="E32" s="70"/>
      <c r="F32" s="70"/>
      <c r="G32" s="70"/>
      <c r="H32" s="70"/>
      <c r="I32" s="70"/>
      <c r="J32" s="71"/>
      <c r="K32" s="72"/>
      <c r="L32" s="55"/>
      <c r="M32" s="73"/>
      <c r="N32" s="74"/>
      <c r="O32" s="70"/>
      <c r="P32" s="71"/>
      <c r="Q32" s="71"/>
      <c r="R32" s="72"/>
      <c r="S32" s="55"/>
      <c r="T32" s="58">
        <f t="shared" si="0"/>
        <v>0</v>
      </c>
      <c r="U32" s="75">
        <f t="shared" si="4"/>
        <v>0</v>
      </c>
      <c r="V32" s="75">
        <f t="shared" si="5"/>
        <v>0</v>
      </c>
    </row>
    <row r="33" spans="1:23" x14ac:dyDescent="0.25">
      <c r="A33" s="27">
        <f t="shared" si="1"/>
        <v>30</v>
      </c>
      <c r="B33" s="26" t="s">
        <v>16</v>
      </c>
      <c r="C33" s="70"/>
      <c r="D33" s="70"/>
      <c r="E33" s="70"/>
      <c r="F33" s="70"/>
      <c r="G33" s="70"/>
      <c r="H33" s="70"/>
      <c r="I33" s="70"/>
      <c r="J33" s="71"/>
      <c r="K33" s="72"/>
      <c r="L33" s="55"/>
      <c r="M33" s="73"/>
      <c r="N33" s="74"/>
      <c r="O33" s="70"/>
      <c r="P33" s="71"/>
      <c r="Q33" s="71"/>
      <c r="R33" s="72"/>
      <c r="S33" s="55"/>
      <c r="T33" s="58">
        <f t="shared" si="0"/>
        <v>0</v>
      </c>
      <c r="U33" s="75">
        <f t="shared" si="4"/>
        <v>0</v>
      </c>
      <c r="V33" s="75">
        <f t="shared" si="5"/>
        <v>0</v>
      </c>
    </row>
    <row r="34" spans="1:23" x14ac:dyDescent="0.25">
      <c r="A34" s="27">
        <f t="shared" si="1"/>
        <v>31</v>
      </c>
      <c r="B34" s="26" t="s">
        <v>17</v>
      </c>
      <c r="C34" s="70">
        <f>50+72+144</f>
        <v>266</v>
      </c>
      <c r="D34" s="70"/>
      <c r="E34" s="70"/>
      <c r="F34" s="70"/>
      <c r="G34" s="70"/>
      <c r="H34" s="70"/>
      <c r="I34" s="70">
        <v>1</v>
      </c>
      <c r="J34" s="71"/>
      <c r="K34" s="72">
        <v>1</v>
      </c>
      <c r="L34" s="55"/>
      <c r="M34" s="73">
        <v>1</v>
      </c>
      <c r="N34" s="74"/>
      <c r="O34" s="70">
        <v>2</v>
      </c>
      <c r="P34" s="71"/>
      <c r="Q34" s="71">
        <v>2</v>
      </c>
      <c r="R34" s="72"/>
      <c r="S34" s="55"/>
      <c r="T34" s="58">
        <f t="shared" si="0"/>
        <v>2</v>
      </c>
      <c r="U34" s="75">
        <f t="shared" si="4"/>
        <v>6506</v>
      </c>
      <c r="V34" s="75">
        <f t="shared" si="5"/>
        <v>271.08333333333331</v>
      </c>
    </row>
    <row r="35" spans="1:23" hidden="1" x14ac:dyDescent="0.25">
      <c r="A35" s="27">
        <f t="shared" si="1"/>
        <v>32</v>
      </c>
      <c r="B35" s="26" t="s">
        <v>25</v>
      </c>
      <c r="C35" s="70"/>
      <c r="D35" s="70"/>
      <c r="E35" s="70"/>
      <c r="F35" s="70"/>
      <c r="G35" s="70"/>
      <c r="H35" s="70"/>
      <c r="I35" s="70"/>
      <c r="J35" s="71"/>
      <c r="K35" s="72"/>
      <c r="L35" s="55"/>
      <c r="M35" s="73"/>
      <c r="N35" s="74"/>
      <c r="O35" s="70"/>
      <c r="P35" s="71"/>
      <c r="Q35" s="71"/>
      <c r="R35" s="72"/>
      <c r="S35" s="55"/>
      <c r="T35" s="58">
        <f t="shared" si="0"/>
        <v>0</v>
      </c>
      <c r="U35" s="75">
        <f t="shared" si="4"/>
        <v>0</v>
      </c>
      <c r="V35" s="75">
        <f t="shared" si="5"/>
        <v>0</v>
      </c>
    </row>
    <row r="36" spans="1:23" x14ac:dyDescent="0.25">
      <c r="A36" s="27">
        <f t="shared" si="1"/>
        <v>33</v>
      </c>
      <c r="B36" s="26" t="s">
        <v>18</v>
      </c>
      <c r="C36" s="70"/>
      <c r="D36" s="70"/>
      <c r="E36" s="70"/>
      <c r="F36" s="70"/>
      <c r="G36" s="70"/>
      <c r="H36" s="70"/>
      <c r="I36" s="70"/>
      <c r="J36" s="71"/>
      <c r="K36" s="72"/>
      <c r="L36" s="55"/>
      <c r="M36" s="73"/>
      <c r="N36" s="74"/>
      <c r="O36" s="70"/>
      <c r="P36" s="71"/>
      <c r="Q36" s="71"/>
      <c r="R36" s="72"/>
      <c r="S36" s="55"/>
      <c r="T36" s="58">
        <f t="shared" si="0"/>
        <v>0</v>
      </c>
      <c r="U36" s="75">
        <f t="shared" si="4"/>
        <v>0</v>
      </c>
      <c r="V36" s="75">
        <f t="shared" si="5"/>
        <v>0</v>
      </c>
    </row>
    <row r="37" spans="1:23" ht="19.5" thickBot="1" x14ac:dyDescent="0.3">
      <c r="A37" s="27">
        <f t="shared" si="1"/>
        <v>34</v>
      </c>
      <c r="B37" s="42" t="s">
        <v>19</v>
      </c>
      <c r="C37" s="59">
        <f>324+2376+1620+33</f>
        <v>4353</v>
      </c>
      <c r="D37" s="59"/>
      <c r="E37" s="59"/>
      <c r="F37" s="59"/>
      <c r="G37" s="59"/>
      <c r="H37" s="59">
        <v>3</v>
      </c>
      <c r="I37" s="59">
        <v>2</v>
      </c>
      <c r="J37" s="60"/>
      <c r="K37" s="61">
        <f>2*6+2</f>
        <v>14</v>
      </c>
      <c r="L37" s="62"/>
      <c r="M37" s="63">
        <v>20</v>
      </c>
      <c r="N37" s="64"/>
      <c r="O37" s="65">
        <v>54</v>
      </c>
      <c r="P37" s="66"/>
      <c r="Q37" s="66">
        <v>48</v>
      </c>
      <c r="R37" s="67"/>
      <c r="S37" s="62"/>
      <c r="T37" s="77">
        <f t="shared" si="0"/>
        <v>19</v>
      </c>
      <c r="U37" s="77">
        <f>C37*6+M37*6+O37*6+Q37*6+T37</f>
        <v>26869</v>
      </c>
      <c r="V37" s="77">
        <f>U37/6</f>
        <v>4478.166666666667</v>
      </c>
      <c r="W37" s="50"/>
    </row>
    <row r="38" spans="1:23" x14ac:dyDescent="0.25">
      <c r="A38" s="27">
        <f t="shared" si="1"/>
        <v>35</v>
      </c>
      <c r="B38" s="25" t="s">
        <v>20</v>
      </c>
      <c r="C38" s="70">
        <v>3</v>
      </c>
      <c r="D38" s="70"/>
      <c r="E38" s="70"/>
      <c r="F38" s="70"/>
      <c r="G38" s="70"/>
      <c r="H38" s="70"/>
      <c r="I38" s="70"/>
      <c r="J38" s="71"/>
      <c r="K38" s="72"/>
      <c r="L38" s="55"/>
      <c r="M38" s="73"/>
      <c r="N38" s="74"/>
      <c r="O38" s="70"/>
      <c r="P38" s="71"/>
      <c r="Q38" s="71"/>
      <c r="R38" s="72"/>
      <c r="S38" s="55"/>
      <c r="T38" s="75">
        <f t="shared" si="0"/>
        <v>0</v>
      </c>
      <c r="U38" s="75">
        <f>C38*24+M38*24+O38*24+Q38*24+T38</f>
        <v>72</v>
      </c>
      <c r="V38" s="75">
        <f>U38/24</f>
        <v>3</v>
      </c>
    </row>
    <row r="39" spans="1:23" x14ac:dyDescent="0.25">
      <c r="A39" s="27">
        <f t="shared" si="1"/>
        <v>36</v>
      </c>
      <c r="B39" s="51" t="s">
        <v>62</v>
      </c>
      <c r="C39" s="78"/>
      <c r="D39" s="78"/>
      <c r="E39" s="78"/>
      <c r="F39" s="78"/>
      <c r="G39" s="78"/>
      <c r="H39" s="78"/>
      <c r="I39" s="78"/>
      <c r="J39" s="79"/>
      <c r="K39" s="80"/>
      <c r="L39" s="55"/>
      <c r="M39" s="73"/>
      <c r="N39" s="74"/>
      <c r="O39" s="70"/>
      <c r="P39" s="71"/>
      <c r="Q39" s="71"/>
      <c r="R39" s="72"/>
      <c r="S39" s="95"/>
      <c r="T39" s="75">
        <f t="shared" si="0"/>
        <v>0</v>
      </c>
      <c r="U39" s="75">
        <f>C39*24+M39*24+O39*24+Q39*24+T39</f>
        <v>0</v>
      </c>
      <c r="V39" s="75">
        <f>U39/24</f>
        <v>0</v>
      </c>
    </row>
    <row r="40" spans="1:23" ht="19.5" thickBot="1" x14ac:dyDescent="0.3">
      <c r="A40" s="27">
        <f t="shared" si="1"/>
        <v>37</v>
      </c>
      <c r="B40" s="42" t="s">
        <v>21</v>
      </c>
      <c r="C40" s="59">
        <v>252</v>
      </c>
      <c r="D40" s="59"/>
      <c r="E40" s="59"/>
      <c r="F40" s="59"/>
      <c r="G40" s="59"/>
      <c r="H40" s="59"/>
      <c r="I40" s="59"/>
      <c r="J40" s="60"/>
      <c r="K40" s="61">
        <v>20</v>
      </c>
      <c r="L40" s="62"/>
      <c r="M40" s="63">
        <v>2</v>
      </c>
      <c r="N40" s="64"/>
      <c r="O40" s="65"/>
      <c r="P40" s="66"/>
      <c r="Q40" s="66">
        <v>3</v>
      </c>
      <c r="R40" s="67"/>
      <c r="S40" s="62"/>
      <c r="T40" s="77">
        <f t="shared" si="0"/>
        <v>20</v>
      </c>
      <c r="U40" s="77">
        <f>C40*24+M40*24+O40*24+Q40*24+T40</f>
        <v>6188</v>
      </c>
      <c r="V40" s="77">
        <f>U40/24</f>
        <v>257.83333333333331</v>
      </c>
    </row>
    <row r="41" spans="1:23" ht="19.5" thickBot="1" x14ac:dyDescent="0.3">
      <c r="A41" s="27">
        <f t="shared" si="1"/>
        <v>38</v>
      </c>
      <c r="B41" s="43" t="s">
        <v>22</v>
      </c>
      <c r="C41" s="82">
        <f>86+672</f>
        <v>758</v>
      </c>
      <c r="D41" s="82"/>
      <c r="E41" s="82"/>
      <c r="F41" s="82"/>
      <c r="G41" s="82"/>
      <c r="H41" s="82"/>
      <c r="I41" s="82"/>
      <c r="J41" s="83"/>
      <c r="K41" s="84"/>
      <c r="L41" s="85"/>
      <c r="M41" s="86">
        <v>4</v>
      </c>
      <c r="N41" s="87"/>
      <c r="O41" s="82">
        <v>10</v>
      </c>
      <c r="P41" s="83"/>
      <c r="Q41" s="83"/>
      <c r="R41" s="84"/>
      <c r="S41" s="85"/>
      <c r="T41" s="88">
        <f t="shared" si="0"/>
        <v>0</v>
      </c>
      <c r="U41" s="88">
        <f>C41*12+M41*12+O41*12+Q41*12+T41</f>
        <v>9264</v>
      </c>
      <c r="V41" s="88">
        <f>U41/12</f>
        <v>772</v>
      </c>
    </row>
    <row r="42" spans="1:23" hidden="1" x14ac:dyDescent="0.25">
      <c r="A42" s="27">
        <f t="shared" si="1"/>
        <v>39</v>
      </c>
      <c r="B42" s="25" t="s">
        <v>29</v>
      </c>
      <c r="C42" s="70"/>
      <c r="D42" s="70"/>
      <c r="E42" s="70"/>
      <c r="F42" s="70"/>
      <c r="G42" s="70"/>
      <c r="H42" s="70"/>
      <c r="I42" s="70"/>
      <c r="J42" s="71"/>
      <c r="K42" s="72"/>
      <c r="L42" s="55"/>
      <c r="M42" s="73"/>
      <c r="N42" s="74"/>
      <c r="O42" s="70"/>
      <c r="P42" s="71"/>
      <c r="Q42" s="71"/>
      <c r="R42" s="72"/>
      <c r="S42" s="55"/>
      <c r="T42" s="75"/>
      <c r="U42" s="75"/>
      <c r="V42" s="75"/>
    </row>
    <row r="43" spans="1:23" ht="19.5" thickBot="1" x14ac:dyDescent="0.3">
      <c r="A43" s="27">
        <f t="shared" si="1"/>
        <v>40</v>
      </c>
      <c r="B43" s="42" t="s">
        <v>23</v>
      </c>
      <c r="C43" s="65">
        <f>13932+19764+3240+1620+44</f>
        <v>38600</v>
      </c>
      <c r="D43" s="65"/>
      <c r="E43" s="65"/>
      <c r="F43" s="65"/>
      <c r="G43" s="65"/>
      <c r="H43" s="65">
        <v>1</v>
      </c>
      <c r="I43" s="65">
        <v>12</v>
      </c>
      <c r="J43" s="66">
        <f>8*6</f>
        <v>48</v>
      </c>
      <c r="K43" s="67">
        <f>95*6+1</f>
        <v>571</v>
      </c>
      <c r="L43" s="62"/>
      <c r="M43" s="63">
        <v>1012</v>
      </c>
      <c r="N43" s="64"/>
      <c r="O43" s="65">
        <v>577</v>
      </c>
      <c r="P43" s="66"/>
      <c r="Q43" s="66">
        <v>433</v>
      </c>
      <c r="R43" s="67"/>
      <c r="S43" s="62"/>
      <c r="T43" s="77">
        <f t="shared" ref="T43" si="6">H43+I43+J43+K43+N43+P43+R43</f>
        <v>632</v>
      </c>
      <c r="U43" s="77">
        <f>C43*6+M43*6+O43*6+Q43*6+T43</f>
        <v>244364</v>
      </c>
      <c r="V43" s="77">
        <f>U43/6</f>
        <v>40727.333333333336</v>
      </c>
    </row>
    <row r="44" spans="1:23" hidden="1" x14ac:dyDescent="0.25">
      <c r="A44" s="27">
        <f t="shared" si="1"/>
        <v>41</v>
      </c>
      <c r="B44" s="25" t="s">
        <v>31</v>
      </c>
      <c r="C44" s="70"/>
      <c r="D44" s="70"/>
      <c r="E44" s="70"/>
      <c r="F44" s="70"/>
      <c r="G44" s="70"/>
      <c r="H44" s="70"/>
      <c r="I44" s="70"/>
      <c r="J44" s="71"/>
      <c r="K44" s="72"/>
      <c r="L44" s="55"/>
      <c r="M44" s="73"/>
      <c r="N44" s="74"/>
      <c r="O44" s="70"/>
      <c r="P44" s="71"/>
      <c r="Q44" s="71"/>
      <c r="R44" s="72"/>
      <c r="S44" s="55"/>
      <c r="T44" s="75"/>
      <c r="U44" s="75"/>
      <c r="V44" s="75"/>
    </row>
    <row r="45" spans="1:23" x14ac:dyDescent="0.25">
      <c r="A45" s="27">
        <f t="shared" si="1"/>
        <v>42</v>
      </c>
      <c r="B45" s="26" t="s">
        <v>24</v>
      </c>
      <c r="C45" s="70">
        <v>5</v>
      </c>
      <c r="D45" s="70"/>
      <c r="E45" s="70"/>
      <c r="F45" s="70"/>
      <c r="G45" s="70"/>
      <c r="H45" s="70"/>
      <c r="I45" s="70"/>
      <c r="J45" s="71"/>
      <c r="K45" s="72"/>
      <c r="L45" s="55"/>
      <c r="M45" s="73"/>
      <c r="N45" s="74"/>
      <c r="O45" s="70"/>
      <c r="P45" s="71"/>
      <c r="Q45" s="71"/>
      <c r="R45" s="72"/>
      <c r="S45" s="55"/>
      <c r="T45" s="75">
        <f t="shared" ref="T45:T54" si="7">H45+I45+J45+K45+N45+P45+R45</f>
        <v>0</v>
      </c>
      <c r="U45" s="75">
        <f>C45*24+M45*24+O45*24+Q45*24+T45</f>
        <v>120</v>
      </c>
      <c r="V45" s="75">
        <f>U45/24</f>
        <v>5</v>
      </c>
    </row>
    <row r="46" spans="1:23" x14ac:dyDescent="0.25">
      <c r="A46" s="27">
        <f t="shared" si="1"/>
        <v>43</v>
      </c>
      <c r="B46" s="26" t="s">
        <v>57</v>
      </c>
      <c r="C46" s="70"/>
      <c r="D46" s="70"/>
      <c r="E46" s="70"/>
      <c r="F46" s="70"/>
      <c r="G46" s="70"/>
      <c r="H46" s="70"/>
      <c r="I46" s="70"/>
      <c r="J46" s="71"/>
      <c r="K46" s="72"/>
      <c r="L46" s="55"/>
      <c r="M46" s="73"/>
      <c r="N46" s="74"/>
      <c r="O46" s="70"/>
      <c r="P46" s="71"/>
      <c r="Q46" s="71"/>
      <c r="R46" s="72"/>
      <c r="S46" s="55"/>
      <c r="T46" s="75">
        <f t="shared" si="7"/>
        <v>0</v>
      </c>
      <c r="U46" s="75">
        <f t="shared" ref="U46:U50" si="8">C46*24+M46*24+O46*24+Q46*24+T46</f>
        <v>0</v>
      </c>
      <c r="V46" s="75">
        <f t="shared" ref="V46:V54" si="9">U46/24</f>
        <v>0</v>
      </c>
    </row>
    <row r="47" spans="1:23" ht="19.5" thickBot="1" x14ac:dyDescent="0.3">
      <c r="A47" s="27">
        <f t="shared" si="1"/>
        <v>44</v>
      </c>
      <c r="B47" s="42" t="s">
        <v>25</v>
      </c>
      <c r="C47" s="65">
        <v>2629</v>
      </c>
      <c r="D47" s="65"/>
      <c r="E47" s="65"/>
      <c r="F47" s="65"/>
      <c r="G47" s="65"/>
      <c r="H47" s="65">
        <v>1</v>
      </c>
      <c r="I47" s="65"/>
      <c r="J47" s="66"/>
      <c r="K47" s="67">
        <v>5</v>
      </c>
      <c r="L47" s="62"/>
      <c r="M47" s="63">
        <v>2</v>
      </c>
      <c r="N47" s="64"/>
      <c r="O47" s="65">
        <v>14</v>
      </c>
      <c r="P47" s="66">
        <v>3</v>
      </c>
      <c r="Q47" s="66">
        <v>5</v>
      </c>
      <c r="R47" s="67">
        <v>3</v>
      </c>
      <c r="S47" s="62"/>
      <c r="T47" s="77">
        <f t="shared" si="7"/>
        <v>12</v>
      </c>
      <c r="U47" s="77">
        <f>C47*6+M47*6+O47*6+Q47*6+T47</f>
        <v>15912</v>
      </c>
      <c r="V47" s="77">
        <f>U47/6</f>
        <v>2652</v>
      </c>
    </row>
    <row r="48" spans="1:23" x14ac:dyDescent="0.25">
      <c r="A48" s="27">
        <f t="shared" si="1"/>
        <v>45</v>
      </c>
      <c r="B48" s="25" t="s">
        <v>58</v>
      </c>
      <c r="C48" s="70"/>
      <c r="D48" s="70"/>
      <c r="E48" s="70"/>
      <c r="F48" s="70"/>
      <c r="G48" s="70"/>
      <c r="H48" s="70">
        <v>24</v>
      </c>
      <c r="I48" s="70"/>
      <c r="J48" s="71"/>
      <c r="K48" s="72"/>
      <c r="L48" s="55"/>
      <c r="M48" s="73"/>
      <c r="N48" s="74"/>
      <c r="O48" s="70"/>
      <c r="P48" s="71"/>
      <c r="Q48" s="71"/>
      <c r="R48" s="72"/>
      <c r="S48" s="55"/>
      <c r="T48" s="75">
        <f t="shared" si="7"/>
        <v>24</v>
      </c>
      <c r="U48" s="75">
        <f t="shared" si="8"/>
        <v>24</v>
      </c>
      <c r="V48" s="75">
        <f t="shared" si="9"/>
        <v>1</v>
      </c>
    </row>
    <row r="49" spans="1:22" x14ac:dyDescent="0.25">
      <c r="A49" s="27">
        <f t="shared" si="1"/>
        <v>46</v>
      </c>
      <c r="B49" s="26" t="s">
        <v>26</v>
      </c>
      <c r="C49" s="70"/>
      <c r="D49" s="70"/>
      <c r="E49" s="70"/>
      <c r="F49" s="70"/>
      <c r="G49" s="70"/>
      <c r="H49" s="70"/>
      <c r="I49" s="70"/>
      <c r="J49" s="71"/>
      <c r="K49" s="72"/>
      <c r="L49" s="55"/>
      <c r="M49" s="73"/>
      <c r="N49" s="74"/>
      <c r="O49" s="70"/>
      <c r="P49" s="71"/>
      <c r="Q49" s="71"/>
      <c r="R49" s="72"/>
      <c r="S49" s="55"/>
      <c r="T49" s="75">
        <f t="shared" si="7"/>
        <v>0</v>
      </c>
      <c r="U49" s="75">
        <f t="shared" si="8"/>
        <v>0</v>
      </c>
      <c r="V49" s="75">
        <f t="shared" si="9"/>
        <v>0</v>
      </c>
    </row>
    <row r="50" spans="1:22" x14ac:dyDescent="0.25">
      <c r="A50" s="27">
        <f t="shared" si="1"/>
        <v>47</v>
      </c>
      <c r="B50" s="26" t="s">
        <v>59</v>
      </c>
      <c r="C50" s="70"/>
      <c r="D50" s="70"/>
      <c r="E50" s="70"/>
      <c r="F50" s="70"/>
      <c r="G50" s="70"/>
      <c r="H50" s="70"/>
      <c r="I50" s="70"/>
      <c r="J50" s="71"/>
      <c r="K50" s="72"/>
      <c r="L50" s="55"/>
      <c r="M50" s="73"/>
      <c r="N50" s="74"/>
      <c r="O50" s="70"/>
      <c r="P50" s="71"/>
      <c r="Q50" s="71"/>
      <c r="R50" s="72"/>
      <c r="S50" s="55"/>
      <c r="T50" s="75">
        <f t="shared" si="7"/>
        <v>0</v>
      </c>
      <c r="U50" s="75">
        <f t="shared" si="8"/>
        <v>0</v>
      </c>
      <c r="V50" s="75">
        <f t="shared" si="9"/>
        <v>0</v>
      </c>
    </row>
    <row r="51" spans="1:22" ht="19.5" thickBot="1" x14ac:dyDescent="0.3">
      <c r="A51" s="27">
        <f t="shared" si="1"/>
        <v>48</v>
      </c>
      <c r="B51" s="42" t="s">
        <v>27</v>
      </c>
      <c r="C51" s="65">
        <v>34</v>
      </c>
      <c r="D51" s="65"/>
      <c r="E51" s="65"/>
      <c r="F51" s="65"/>
      <c r="G51" s="65"/>
      <c r="H51" s="65"/>
      <c r="I51" s="65"/>
      <c r="J51" s="66"/>
      <c r="K51" s="67"/>
      <c r="L51" s="62"/>
      <c r="M51" s="63"/>
      <c r="N51" s="64"/>
      <c r="O51" s="65"/>
      <c r="P51" s="66"/>
      <c r="Q51" s="66"/>
      <c r="R51" s="67"/>
      <c r="S51" s="62"/>
      <c r="T51" s="77">
        <f t="shared" si="7"/>
        <v>0</v>
      </c>
      <c r="U51" s="77">
        <f>C51*6+M51*6+O51*6+Q51*6+T51</f>
        <v>204</v>
      </c>
      <c r="V51" s="77">
        <f>U51/6</f>
        <v>34</v>
      </c>
    </row>
    <row r="52" spans="1:22" x14ac:dyDescent="0.25">
      <c r="A52" s="27">
        <f t="shared" si="1"/>
        <v>49</v>
      </c>
      <c r="B52" s="25" t="s">
        <v>28</v>
      </c>
      <c r="C52" s="70"/>
      <c r="D52" s="70"/>
      <c r="E52" s="70"/>
      <c r="F52" s="70"/>
      <c r="G52" s="70"/>
      <c r="H52" s="70"/>
      <c r="I52" s="70"/>
      <c r="J52" s="71"/>
      <c r="K52" s="72"/>
      <c r="L52" s="55"/>
      <c r="M52" s="73"/>
      <c r="N52" s="74"/>
      <c r="O52" s="70"/>
      <c r="P52" s="71"/>
      <c r="Q52" s="71"/>
      <c r="R52" s="72"/>
      <c r="S52" s="55"/>
      <c r="T52" s="75">
        <f t="shared" si="7"/>
        <v>0</v>
      </c>
      <c r="U52" s="75">
        <f t="shared" ref="U52:U54" si="10">C52*24+M52*24+O52*24+Q52*24+T52</f>
        <v>0</v>
      </c>
      <c r="V52" s="75">
        <f t="shared" si="9"/>
        <v>0</v>
      </c>
    </row>
    <row r="53" spans="1:22" x14ac:dyDescent="0.25">
      <c r="A53" s="27">
        <f t="shared" si="1"/>
        <v>50</v>
      </c>
      <c r="B53" s="26" t="s">
        <v>63</v>
      </c>
      <c r="C53" s="70">
        <v>7</v>
      </c>
      <c r="D53" s="70"/>
      <c r="E53" s="70"/>
      <c r="F53" s="70"/>
      <c r="G53" s="70"/>
      <c r="H53" s="70"/>
      <c r="I53" s="70"/>
      <c r="J53" s="71"/>
      <c r="K53" s="72"/>
      <c r="L53" s="55"/>
      <c r="M53" s="73"/>
      <c r="N53" s="74"/>
      <c r="O53" s="70"/>
      <c r="P53" s="71"/>
      <c r="Q53" s="71"/>
      <c r="R53" s="72"/>
      <c r="S53" s="55"/>
      <c r="T53" s="75">
        <f t="shared" si="7"/>
        <v>0</v>
      </c>
      <c r="U53" s="75">
        <f t="shared" si="10"/>
        <v>168</v>
      </c>
      <c r="V53" s="75">
        <f t="shared" si="9"/>
        <v>7</v>
      </c>
    </row>
    <row r="54" spans="1:22" x14ac:dyDescent="0.25">
      <c r="A54" s="27">
        <f t="shared" si="1"/>
        <v>51</v>
      </c>
      <c r="B54" s="26"/>
      <c r="C54" s="70"/>
      <c r="D54" s="70"/>
      <c r="E54" s="70"/>
      <c r="F54" s="70"/>
      <c r="G54" s="70"/>
      <c r="H54" s="70"/>
      <c r="I54" s="70"/>
      <c r="J54" s="71"/>
      <c r="K54" s="72"/>
      <c r="L54" s="55"/>
      <c r="M54" s="73"/>
      <c r="N54" s="74"/>
      <c r="O54" s="70"/>
      <c r="P54" s="71"/>
      <c r="Q54" s="71"/>
      <c r="R54" s="72"/>
      <c r="S54" s="55"/>
      <c r="T54" s="75">
        <f t="shared" si="7"/>
        <v>0</v>
      </c>
      <c r="U54" s="75">
        <f t="shared" si="10"/>
        <v>0</v>
      </c>
      <c r="V54" s="75">
        <f t="shared" si="9"/>
        <v>0</v>
      </c>
    </row>
    <row r="55" spans="1:22" x14ac:dyDescent="0.25">
      <c r="A55" s="27">
        <f t="shared" si="1"/>
        <v>52</v>
      </c>
      <c r="B55" s="26"/>
      <c r="C55" s="70"/>
      <c r="D55" s="70"/>
      <c r="E55" s="70"/>
      <c r="F55" s="70"/>
      <c r="G55" s="70"/>
      <c r="H55" s="70"/>
      <c r="I55" s="70"/>
      <c r="J55" s="71"/>
      <c r="K55" s="72"/>
      <c r="L55" s="55"/>
      <c r="M55" s="73"/>
      <c r="N55" s="74"/>
      <c r="O55" s="70"/>
      <c r="P55" s="71"/>
      <c r="Q55" s="71"/>
      <c r="R55" s="72"/>
      <c r="S55" s="55"/>
      <c r="T55" s="75"/>
      <c r="U55" s="75"/>
      <c r="V55" s="75"/>
    </row>
    <row r="56" spans="1:22" x14ac:dyDescent="0.25">
      <c r="A56" s="27">
        <f t="shared" si="1"/>
        <v>53</v>
      </c>
      <c r="B56" s="26"/>
      <c r="C56" s="70"/>
      <c r="D56" s="70"/>
      <c r="E56" s="70"/>
      <c r="F56" s="70"/>
      <c r="G56" s="70"/>
      <c r="H56" s="70"/>
      <c r="I56" s="70"/>
      <c r="J56" s="71"/>
      <c r="K56" s="72"/>
      <c r="L56" s="55"/>
      <c r="M56" s="73"/>
      <c r="N56" s="74"/>
      <c r="O56" s="70"/>
      <c r="P56" s="71"/>
      <c r="Q56" s="71"/>
      <c r="R56" s="72"/>
      <c r="S56" s="55"/>
      <c r="T56" s="75"/>
      <c r="U56" s="75"/>
      <c r="V56" s="75"/>
    </row>
    <row r="57" spans="1:22" x14ac:dyDescent="0.25">
      <c r="A57" s="27">
        <f t="shared" si="1"/>
        <v>54</v>
      </c>
      <c r="B57" s="26"/>
      <c r="C57" s="70"/>
      <c r="D57" s="70"/>
      <c r="E57" s="70"/>
      <c r="F57" s="70"/>
      <c r="G57" s="70"/>
      <c r="H57" s="70"/>
      <c r="I57" s="70"/>
      <c r="J57" s="71"/>
      <c r="K57" s="72"/>
      <c r="L57" s="55"/>
      <c r="M57" s="73"/>
      <c r="N57" s="74"/>
      <c r="O57" s="70"/>
      <c r="P57" s="71"/>
      <c r="Q57" s="71"/>
      <c r="R57" s="72"/>
      <c r="S57" s="55"/>
      <c r="T57" s="75"/>
      <c r="U57" s="75"/>
      <c r="V57" s="75"/>
    </row>
    <row r="58" spans="1:22" s="15" customFormat="1" ht="19.5" thickBot="1" x14ac:dyDescent="0.3">
      <c r="B58" s="29" t="s">
        <v>50</v>
      </c>
      <c r="C58" s="2">
        <f>SUM(C7:C57)</f>
        <v>50359</v>
      </c>
      <c r="D58" s="2"/>
      <c r="E58" s="2"/>
      <c r="F58" s="2">
        <f t="shared" ref="F58:K58" si="11">SUM(F7:F57)</f>
        <v>0</v>
      </c>
      <c r="G58" s="2">
        <f t="shared" si="11"/>
        <v>0</v>
      </c>
      <c r="H58" s="2">
        <f t="shared" si="11"/>
        <v>1208</v>
      </c>
      <c r="I58" s="6">
        <f t="shared" si="11"/>
        <v>24</v>
      </c>
      <c r="J58" s="6">
        <f t="shared" si="11"/>
        <v>48</v>
      </c>
      <c r="K58" s="6">
        <f t="shared" si="11"/>
        <v>619</v>
      </c>
      <c r="M58" s="5">
        <f t="shared" ref="M58:R58" si="12">SUM(M7:M57)</f>
        <v>1079</v>
      </c>
      <c r="N58" s="5">
        <f t="shared" si="12"/>
        <v>11</v>
      </c>
      <c r="O58" s="5">
        <f t="shared" si="12"/>
        <v>678</v>
      </c>
      <c r="P58" s="5">
        <f t="shared" si="12"/>
        <v>27</v>
      </c>
      <c r="Q58" s="5">
        <f t="shared" si="12"/>
        <v>512</v>
      </c>
      <c r="R58" s="5">
        <f t="shared" si="12"/>
        <v>3</v>
      </c>
      <c r="S58" s="55"/>
      <c r="T58" s="4">
        <f>SUM(T7:T57)</f>
        <v>1940</v>
      </c>
      <c r="U58" s="90">
        <f>SUM(U7:U57)</f>
        <v>395690</v>
      </c>
      <c r="V58" s="4">
        <f>SUM(V7:V57)</f>
        <v>52791.708333333336</v>
      </c>
    </row>
    <row r="59" spans="1:22" ht="7.5" customHeight="1" thickBot="1" x14ac:dyDescent="0.3"/>
    <row r="60" spans="1:22" ht="19.5" thickBot="1" x14ac:dyDescent="0.3">
      <c r="B60" s="30" t="s">
        <v>37</v>
      </c>
      <c r="C60" s="113" t="s">
        <v>41</v>
      </c>
      <c r="D60" s="114"/>
      <c r="E60" s="114"/>
      <c r="F60" s="114"/>
      <c r="G60" s="114"/>
      <c r="H60" s="114"/>
      <c r="I60" s="114"/>
      <c r="J60" s="114"/>
      <c r="K60" s="115"/>
      <c r="U60" s="24" t="s">
        <v>51</v>
      </c>
    </row>
    <row r="61" spans="1:22" x14ac:dyDescent="0.25">
      <c r="B61" s="31" t="s">
        <v>17</v>
      </c>
      <c r="C61" s="19"/>
      <c r="D61" s="19"/>
      <c r="E61" s="19"/>
      <c r="F61" s="19"/>
      <c r="G61" s="19"/>
      <c r="H61" s="19"/>
      <c r="I61" s="19"/>
      <c r="J61" s="45"/>
      <c r="K61" s="20"/>
      <c r="U61" s="7"/>
    </row>
    <row r="62" spans="1:22" x14ac:dyDescent="0.25">
      <c r="B62" s="32" t="s">
        <v>45</v>
      </c>
      <c r="C62" s="1"/>
      <c r="D62" s="1"/>
      <c r="E62" s="1"/>
      <c r="F62" s="1"/>
      <c r="G62" s="1"/>
      <c r="H62" s="1"/>
      <c r="I62" s="1"/>
      <c r="J62" s="44"/>
      <c r="K62" s="21"/>
      <c r="U62" s="3"/>
    </row>
    <row r="63" spans="1:22" ht="19.5" thickBot="1" x14ac:dyDescent="0.3">
      <c r="B63" s="33" t="s">
        <v>44</v>
      </c>
      <c r="C63" s="22"/>
      <c r="D63" s="22"/>
      <c r="E63" s="22"/>
      <c r="F63" s="22"/>
      <c r="G63" s="22"/>
      <c r="H63" s="22"/>
      <c r="I63" s="22"/>
      <c r="J63" s="46"/>
      <c r="K63" s="23"/>
      <c r="U63" s="8"/>
    </row>
    <row r="64" spans="1:22" ht="7.5" customHeight="1" thickBot="1" x14ac:dyDescent="0.3"/>
    <row r="65" spans="2:21" x14ac:dyDescent="0.25">
      <c r="B65" s="31" t="s">
        <v>46</v>
      </c>
      <c r="C65" s="19"/>
      <c r="D65" s="19"/>
      <c r="E65" s="19"/>
      <c r="F65" s="19"/>
      <c r="G65" s="19"/>
      <c r="H65" s="19"/>
      <c r="I65" s="19"/>
      <c r="J65" s="45"/>
      <c r="K65" s="20"/>
      <c r="U65" s="7"/>
    </row>
    <row r="66" spans="2:21" x14ac:dyDescent="0.25">
      <c r="B66" s="32" t="s">
        <v>45</v>
      </c>
      <c r="C66" s="1"/>
      <c r="D66" s="1"/>
      <c r="E66" s="1"/>
      <c r="F66" s="1"/>
      <c r="G66" s="1"/>
      <c r="H66" s="1"/>
      <c r="I66" s="1"/>
      <c r="J66" s="44"/>
      <c r="K66" s="21"/>
      <c r="U66" s="3"/>
    </row>
    <row r="67" spans="2:21" ht="19.5" thickBot="1" x14ac:dyDescent="0.3">
      <c r="B67" s="33" t="s">
        <v>44</v>
      </c>
      <c r="C67" s="22"/>
      <c r="D67" s="22"/>
      <c r="E67" s="22"/>
      <c r="F67" s="22"/>
      <c r="G67" s="22"/>
      <c r="H67" s="22"/>
      <c r="I67" s="22"/>
      <c r="J67" s="46"/>
      <c r="K67" s="23"/>
      <c r="U67" s="8"/>
    </row>
    <row r="68" spans="2:21" ht="7.5" customHeight="1" thickBot="1" x14ac:dyDescent="0.3"/>
    <row r="69" spans="2:21" x14ac:dyDescent="0.25">
      <c r="B69" s="31" t="s">
        <v>38</v>
      </c>
      <c r="C69" s="19"/>
      <c r="D69" s="19"/>
      <c r="E69" s="19"/>
      <c r="F69" s="19"/>
      <c r="G69" s="19"/>
      <c r="H69" s="19"/>
      <c r="I69" s="19"/>
      <c r="J69" s="45"/>
      <c r="K69" s="20"/>
      <c r="U69" s="7"/>
    </row>
    <row r="70" spans="2:21" x14ac:dyDescent="0.25">
      <c r="B70" s="32" t="s">
        <v>45</v>
      </c>
      <c r="C70" s="1"/>
      <c r="D70" s="1"/>
      <c r="E70" s="1"/>
      <c r="F70" s="1"/>
      <c r="G70" s="1"/>
      <c r="H70" s="1"/>
      <c r="I70" s="1"/>
      <c r="J70" s="44"/>
      <c r="K70" s="21"/>
      <c r="U70" s="3"/>
    </row>
    <row r="71" spans="2:21" ht="19.5" thickBot="1" x14ac:dyDescent="0.3">
      <c r="B71" s="33" t="s">
        <v>44</v>
      </c>
      <c r="C71" s="22"/>
      <c r="D71" s="22"/>
      <c r="E71" s="22"/>
      <c r="F71" s="22"/>
      <c r="G71" s="22"/>
      <c r="H71" s="22"/>
      <c r="I71" s="22"/>
      <c r="J71" s="46"/>
      <c r="K71" s="23"/>
      <c r="U71" s="8"/>
    </row>
    <row r="72" spans="2:21" ht="7.5" customHeight="1" thickBot="1" x14ac:dyDescent="0.3"/>
    <row r="73" spans="2:21" x14ac:dyDescent="0.25">
      <c r="B73" s="31" t="s">
        <v>47</v>
      </c>
      <c r="C73" s="19"/>
      <c r="D73" s="19"/>
      <c r="E73" s="19"/>
      <c r="F73" s="19"/>
      <c r="G73" s="19"/>
      <c r="H73" s="19"/>
      <c r="I73" s="19"/>
      <c r="J73" s="45"/>
      <c r="K73" s="20"/>
      <c r="U73" s="7"/>
    </row>
    <row r="74" spans="2:21" x14ac:dyDescent="0.25">
      <c r="B74" s="32" t="s">
        <v>45</v>
      </c>
      <c r="C74" s="1"/>
      <c r="D74" s="1"/>
      <c r="E74" s="1"/>
      <c r="F74" s="1"/>
      <c r="G74" s="1"/>
      <c r="H74" s="1"/>
      <c r="I74" s="1"/>
      <c r="J74" s="44"/>
      <c r="K74" s="21"/>
      <c r="U74" s="3"/>
    </row>
    <row r="75" spans="2:21" ht="19.5" thickBot="1" x14ac:dyDescent="0.3">
      <c r="B75" s="33" t="s">
        <v>44</v>
      </c>
      <c r="C75" s="22"/>
      <c r="D75" s="22"/>
      <c r="E75" s="22"/>
      <c r="F75" s="22"/>
      <c r="G75" s="22"/>
      <c r="H75" s="22"/>
      <c r="I75" s="22"/>
      <c r="J75" s="46"/>
      <c r="K75" s="23"/>
      <c r="U75" s="8"/>
    </row>
    <row r="76" spans="2:21" ht="7.5" customHeight="1" thickBot="1" x14ac:dyDescent="0.3"/>
    <row r="77" spans="2:21" x14ac:dyDescent="0.25">
      <c r="B77" s="31" t="s">
        <v>48</v>
      </c>
      <c r="C77" s="19"/>
      <c r="D77" s="19"/>
      <c r="E77" s="19"/>
      <c r="F77" s="19"/>
      <c r="G77" s="19"/>
      <c r="H77" s="19"/>
      <c r="I77" s="19"/>
      <c r="J77" s="45"/>
      <c r="K77" s="20"/>
      <c r="U77" s="7"/>
    </row>
    <row r="78" spans="2:21" x14ac:dyDescent="0.25">
      <c r="B78" s="32" t="s">
        <v>45</v>
      </c>
      <c r="C78" s="1"/>
      <c r="D78" s="1"/>
      <c r="E78" s="1"/>
      <c r="F78" s="1"/>
      <c r="G78" s="1"/>
      <c r="H78" s="1"/>
      <c r="I78" s="1"/>
      <c r="J78" s="44"/>
      <c r="K78" s="21"/>
      <c r="U78" s="3"/>
    </row>
    <row r="79" spans="2:21" ht="19.5" thickBot="1" x14ac:dyDescent="0.3">
      <c r="B79" s="33" t="s">
        <v>44</v>
      </c>
      <c r="C79" s="22"/>
      <c r="D79" s="22"/>
      <c r="E79" s="22"/>
      <c r="F79" s="22"/>
      <c r="G79" s="22"/>
      <c r="H79" s="22"/>
      <c r="I79" s="22"/>
      <c r="J79" s="46"/>
      <c r="K79" s="23"/>
      <c r="U79" s="8"/>
    </row>
    <row r="80" spans="2:21" ht="7.5" customHeight="1" thickBot="1" x14ac:dyDescent="0.3"/>
    <row r="81" spans="2:21" ht="19.5" thickBot="1" x14ac:dyDescent="0.3">
      <c r="B81" s="30" t="s">
        <v>49</v>
      </c>
      <c r="C81" s="17"/>
      <c r="D81" s="17"/>
      <c r="E81" s="17"/>
      <c r="F81" s="17"/>
      <c r="G81" s="17"/>
      <c r="H81" s="17"/>
      <c r="I81" s="17"/>
      <c r="J81" s="47"/>
      <c r="K81" s="18"/>
      <c r="U81" s="16"/>
    </row>
  </sheetData>
  <mergeCells count="7">
    <mergeCell ref="C60:K60"/>
    <mergeCell ref="I1:U1"/>
    <mergeCell ref="C4:K4"/>
    <mergeCell ref="T4:T5"/>
    <mergeCell ref="U4:U5"/>
    <mergeCell ref="V4:V5"/>
    <mergeCell ref="J5:K5"/>
  </mergeCells>
  <printOptions horizontalCentered="1" verticalCentered="1"/>
  <pageMargins left="0.19685039370078741" right="0.19685039370078741" top="0.19685039370078741" bottom="0.19685039370078741" header="0.19685039370078741" footer="0.19685039370078741"/>
  <pageSetup paperSize="14" scale="70" orientation="portrait" horizontalDpi="360" verticalDpi="360" r:id="rId1"/>
  <colBreaks count="1" manualBreakCount="1">
    <brk id="24" max="80" man="1"/>
  </colBreaks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4" baseType="variant">
      <vt:variant>
        <vt:lpstr>Worksheets</vt:lpstr>
      </vt:variant>
      <vt:variant>
        <vt:i4>22</vt:i4>
      </vt:variant>
      <vt:variant>
        <vt:lpstr>Named Ranges</vt:lpstr>
      </vt:variant>
      <vt:variant>
        <vt:i4>22</vt:i4>
      </vt:variant>
    </vt:vector>
  </HeadingPairs>
  <TitlesOfParts>
    <vt:vector size="44" baseType="lpstr">
      <vt:lpstr>SAMPLE</vt:lpstr>
      <vt:lpstr>08-03-2026</vt:lpstr>
      <vt:lpstr>08-04-2026</vt:lpstr>
      <vt:lpstr>08-05-2026</vt:lpstr>
      <vt:lpstr>08-06-2026</vt:lpstr>
      <vt:lpstr>08-07-2026</vt:lpstr>
      <vt:lpstr>08-10-2026</vt:lpstr>
      <vt:lpstr>08-11-2026</vt:lpstr>
      <vt:lpstr>08-12-2026</vt:lpstr>
      <vt:lpstr>08-13-2026</vt:lpstr>
      <vt:lpstr>08-14-2026</vt:lpstr>
      <vt:lpstr>08-15-2026</vt:lpstr>
      <vt:lpstr>08-17-2026</vt:lpstr>
      <vt:lpstr>08-18-2026</vt:lpstr>
      <vt:lpstr>08-19-2026</vt:lpstr>
      <vt:lpstr>08-20-2026</vt:lpstr>
      <vt:lpstr>08-21-2026</vt:lpstr>
      <vt:lpstr>08-24-2026</vt:lpstr>
      <vt:lpstr>08-25-2026</vt:lpstr>
      <vt:lpstr>08-26-2026</vt:lpstr>
      <vt:lpstr>08-27-2026</vt:lpstr>
      <vt:lpstr>08-28-2026</vt:lpstr>
      <vt:lpstr>'08-03-2026'!Print_Area</vt:lpstr>
      <vt:lpstr>'08-04-2026'!Print_Area</vt:lpstr>
      <vt:lpstr>'08-05-2026'!Print_Area</vt:lpstr>
      <vt:lpstr>'08-06-2026'!Print_Area</vt:lpstr>
      <vt:lpstr>'08-07-2026'!Print_Area</vt:lpstr>
      <vt:lpstr>'08-10-2026'!Print_Area</vt:lpstr>
      <vt:lpstr>'08-11-2026'!Print_Area</vt:lpstr>
      <vt:lpstr>'08-12-2026'!Print_Area</vt:lpstr>
      <vt:lpstr>'08-13-2026'!Print_Area</vt:lpstr>
      <vt:lpstr>'08-14-2026'!Print_Area</vt:lpstr>
      <vt:lpstr>'08-15-2026'!Print_Area</vt:lpstr>
      <vt:lpstr>'08-17-2026'!Print_Area</vt:lpstr>
      <vt:lpstr>'08-18-2026'!Print_Area</vt:lpstr>
      <vt:lpstr>'08-19-2026'!Print_Area</vt:lpstr>
      <vt:lpstr>'08-20-2026'!Print_Area</vt:lpstr>
      <vt:lpstr>'08-21-2026'!Print_Area</vt:lpstr>
      <vt:lpstr>'08-24-2026'!Print_Area</vt:lpstr>
      <vt:lpstr>'08-25-2026'!Print_Area</vt:lpstr>
      <vt:lpstr>'08-26-2026'!Print_Area</vt:lpstr>
      <vt:lpstr>'08-27-2026'!Print_Area</vt:lpstr>
      <vt:lpstr>'08-28-2026'!Print_Area</vt:lpstr>
      <vt:lpstr>SAMPLE!Print_Area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User</dc:creator>
  <cp:lastModifiedBy>User</cp:lastModifiedBy>
  <cp:lastPrinted>2026-08-24T01:20:38Z</cp:lastPrinted>
  <dcterms:created xsi:type="dcterms:W3CDTF">2024-08-17T00:07:58Z</dcterms:created>
  <dcterms:modified xsi:type="dcterms:W3CDTF">2026-08-28T08:34:57Z</dcterms:modified>
</cp:coreProperties>
</file>