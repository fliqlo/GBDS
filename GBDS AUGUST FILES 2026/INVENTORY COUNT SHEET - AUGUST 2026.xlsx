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B1D556D-AD9A-4983-92C9-9A4B9FCFC299}" xr6:coauthVersionLast="45" xr6:coauthVersionMax="45" xr10:uidLastSave="{00000000-0000-0000-0000-000000000000}"/>
  <bookViews>
    <workbookView xWindow="-120" yWindow="-120" windowWidth="29040" windowHeight="15840" firstSheet="7" activeTab="16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  <sheet name="08-20-2026" sheetId="83" r:id="rId16"/>
    <sheet name="08-21-2026" sheetId="84" r:id="rId17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15">'08-20-2026'!$A$1:$W$59</definedName>
    <definedName name="_xlnm.Print_Area" localSheetId="16">'08-21-2026'!$A$1:$W$59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4" i="84" l="1"/>
  <c r="C47" i="84"/>
  <c r="K43" i="84"/>
  <c r="K58" i="84" s="1"/>
  <c r="J43" i="84"/>
  <c r="C43" i="84"/>
  <c r="C41" i="84"/>
  <c r="C40" i="84"/>
  <c r="K37" i="84"/>
  <c r="C37" i="84"/>
  <c r="C34" i="84"/>
  <c r="C25" i="84"/>
  <c r="U25" i="84" s="1"/>
  <c r="V25" i="84" s="1"/>
  <c r="H23" i="84"/>
  <c r="T23" i="84" s="1"/>
  <c r="U23" i="84" s="1"/>
  <c r="V23" i="84" s="1"/>
  <c r="H21" i="84"/>
  <c r="T21" i="84" s="1"/>
  <c r="U21" i="84" s="1"/>
  <c r="V21" i="84" s="1"/>
  <c r="H19" i="84"/>
  <c r="T19" i="84" s="1"/>
  <c r="U19" i="84" s="1"/>
  <c r="V19" i="84" s="1"/>
  <c r="H17" i="84"/>
  <c r="T17" i="84" s="1"/>
  <c r="U17" i="84" s="1"/>
  <c r="V17" i="84" s="1"/>
  <c r="C12" i="84"/>
  <c r="C10" i="84"/>
  <c r="U10" i="84" s="1"/>
  <c r="V10" i="84" s="1"/>
  <c r="C9" i="84"/>
  <c r="C8" i="84"/>
  <c r="R58" i="84"/>
  <c r="Q58" i="84"/>
  <c r="P58" i="84"/>
  <c r="O58" i="84"/>
  <c r="N58" i="84"/>
  <c r="M58" i="84"/>
  <c r="I58" i="84"/>
  <c r="G58" i="84"/>
  <c r="F58" i="84"/>
  <c r="T54" i="84"/>
  <c r="U54" i="84" s="1"/>
  <c r="V54" i="84" s="1"/>
  <c r="T53" i="84"/>
  <c r="U53" i="84" s="1"/>
  <c r="V53" i="84" s="1"/>
  <c r="T52" i="84"/>
  <c r="U52" i="84" s="1"/>
  <c r="V52" i="84" s="1"/>
  <c r="T51" i="84"/>
  <c r="U51" i="84" s="1"/>
  <c r="V51" i="84" s="1"/>
  <c r="T50" i="84"/>
  <c r="U50" i="84" s="1"/>
  <c r="V50" i="84" s="1"/>
  <c r="T49" i="84"/>
  <c r="U49" i="84" s="1"/>
  <c r="V49" i="84" s="1"/>
  <c r="T48" i="84"/>
  <c r="U48" i="84" s="1"/>
  <c r="V48" i="84" s="1"/>
  <c r="T47" i="84"/>
  <c r="U47" i="84" s="1"/>
  <c r="V47" i="84" s="1"/>
  <c r="U46" i="84"/>
  <c r="V46" i="84" s="1"/>
  <c r="T46" i="84"/>
  <c r="T45" i="84"/>
  <c r="U45" i="84" s="1"/>
  <c r="V45" i="84" s="1"/>
  <c r="J58" i="84"/>
  <c r="T41" i="84"/>
  <c r="T40" i="84"/>
  <c r="T39" i="84"/>
  <c r="U39" i="84" s="1"/>
  <c r="V39" i="84" s="1"/>
  <c r="T38" i="84"/>
  <c r="U38" i="84" s="1"/>
  <c r="V38" i="84" s="1"/>
  <c r="T36" i="84"/>
  <c r="U36" i="84" s="1"/>
  <c r="V36" i="84" s="1"/>
  <c r="T35" i="84"/>
  <c r="U35" i="84" s="1"/>
  <c r="V35" i="84" s="1"/>
  <c r="T34" i="84"/>
  <c r="T33" i="84"/>
  <c r="U33" i="84" s="1"/>
  <c r="V33" i="84" s="1"/>
  <c r="T32" i="84"/>
  <c r="U32" i="84" s="1"/>
  <c r="V32" i="84" s="1"/>
  <c r="T31" i="84"/>
  <c r="U31" i="84" s="1"/>
  <c r="V31" i="84" s="1"/>
  <c r="T30" i="84"/>
  <c r="U30" i="84" s="1"/>
  <c r="V30" i="84" s="1"/>
  <c r="T29" i="84"/>
  <c r="U29" i="84" s="1"/>
  <c r="V29" i="84" s="1"/>
  <c r="T28" i="84"/>
  <c r="U28" i="84" s="1"/>
  <c r="V28" i="84" s="1"/>
  <c r="T27" i="84"/>
  <c r="U27" i="84" s="1"/>
  <c r="V27" i="84" s="1"/>
  <c r="T26" i="84"/>
  <c r="U26" i="84" s="1"/>
  <c r="V26" i="84" s="1"/>
  <c r="AY25" i="84"/>
  <c r="T25" i="84"/>
  <c r="T24" i="84"/>
  <c r="U24" i="84" s="1"/>
  <c r="V24" i="84" s="1"/>
  <c r="T22" i="84"/>
  <c r="U22" i="84" s="1"/>
  <c r="V22" i="84" s="1"/>
  <c r="A21" i="84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T20" i="84"/>
  <c r="U20" i="84" s="1"/>
  <c r="V20" i="84" s="1"/>
  <c r="A20" i="84"/>
  <c r="U18" i="84"/>
  <c r="V18" i="84" s="1"/>
  <c r="T18" i="84"/>
  <c r="T16" i="84"/>
  <c r="U16" i="84" s="1"/>
  <c r="V16" i="84" s="1"/>
  <c r="T15" i="84"/>
  <c r="U15" i="84" s="1"/>
  <c r="V15" i="84" s="1"/>
  <c r="A15" i="84"/>
  <c r="A16" i="84" s="1"/>
  <c r="A17" i="84" s="1"/>
  <c r="A18" i="84" s="1"/>
  <c r="T14" i="84"/>
  <c r="U14" i="84" s="1"/>
  <c r="V14" i="84" s="1"/>
  <c r="A14" i="84"/>
  <c r="T13" i="84"/>
  <c r="U13" i="84" s="1"/>
  <c r="V13" i="84" s="1"/>
  <c r="T12" i="84"/>
  <c r="T11" i="84"/>
  <c r="U11" i="84" s="1"/>
  <c r="V11" i="84" s="1"/>
  <c r="T10" i="84"/>
  <c r="T9" i="84"/>
  <c r="A9" i="84"/>
  <c r="A10" i="84" s="1"/>
  <c r="A11" i="84" s="1"/>
  <c r="T8" i="84"/>
  <c r="A8" i="84"/>
  <c r="T7" i="84"/>
  <c r="U41" i="84" l="1"/>
  <c r="V41" i="84" s="1"/>
  <c r="U40" i="84"/>
  <c r="V40" i="84" s="1"/>
  <c r="U34" i="84"/>
  <c r="V34" i="84" s="1"/>
  <c r="H58" i="84"/>
  <c r="U12" i="84"/>
  <c r="V12" i="84" s="1"/>
  <c r="U9" i="84"/>
  <c r="V9" i="84" s="1"/>
  <c r="U8" i="84"/>
  <c r="V8" i="84" s="1"/>
  <c r="T43" i="84"/>
  <c r="U43" i="84" s="1"/>
  <c r="V43" i="84" s="1"/>
  <c r="C58" i="84"/>
  <c r="T37" i="84"/>
  <c r="T58" i="84" s="1"/>
  <c r="U7" i="84"/>
  <c r="K37" i="83"/>
  <c r="C47" i="83"/>
  <c r="K43" i="83"/>
  <c r="J43" i="83"/>
  <c r="C43" i="83"/>
  <c r="C41" i="83"/>
  <c r="C40" i="83"/>
  <c r="C37" i="83"/>
  <c r="C34" i="83"/>
  <c r="C25" i="83"/>
  <c r="H24" i="83"/>
  <c r="H23" i="83"/>
  <c r="H21" i="83"/>
  <c r="H19" i="83"/>
  <c r="H17" i="83"/>
  <c r="C12" i="83"/>
  <c r="C10" i="83"/>
  <c r="C9" i="83"/>
  <c r="C8" i="83"/>
  <c r="V7" i="84" l="1"/>
  <c r="U37" i="84"/>
  <c r="V37" i="84" s="1"/>
  <c r="R58" i="83"/>
  <c r="Q58" i="83"/>
  <c r="P58" i="83"/>
  <c r="O58" i="83"/>
  <c r="N58" i="83"/>
  <c r="M58" i="83"/>
  <c r="J58" i="83"/>
  <c r="I58" i="83"/>
  <c r="H58" i="83"/>
  <c r="G58" i="83"/>
  <c r="F58" i="83"/>
  <c r="C58" i="83"/>
  <c r="U54" i="83"/>
  <c r="V54" i="83" s="1"/>
  <c r="T54" i="83"/>
  <c r="T53" i="83"/>
  <c r="U53" i="83" s="1"/>
  <c r="V53" i="83" s="1"/>
  <c r="T52" i="83"/>
  <c r="U52" i="83" s="1"/>
  <c r="V52" i="83" s="1"/>
  <c r="T51" i="83"/>
  <c r="U51" i="83" s="1"/>
  <c r="V51" i="83" s="1"/>
  <c r="U50" i="83"/>
  <c r="V50" i="83" s="1"/>
  <c r="T50" i="83"/>
  <c r="T49" i="83"/>
  <c r="U49" i="83" s="1"/>
  <c r="V49" i="83" s="1"/>
  <c r="T48" i="83"/>
  <c r="U48" i="83" s="1"/>
  <c r="V48" i="83" s="1"/>
  <c r="T47" i="83"/>
  <c r="U47" i="83" s="1"/>
  <c r="V47" i="83" s="1"/>
  <c r="T46" i="83"/>
  <c r="U46" i="83" s="1"/>
  <c r="V46" i="83" s="1"/>
  <c r="T45" i="83"/>
  <c r="U45" i="83" s="1"/>
  <c r="V45" i="83" s="1"/>
  <c r="T43" i="83"/>
  <c r="U43" i="83" s="1"/>
  <c r="V43" i="83" s="1"/>
  <c r="T41" i="83"/>
  <c r="U41" i="83"/>
  <c r="V41" i="83" s="1"/>
  <c r="T40" i="83"/>
  <c r="U40" i="83" s="1"/>
  <c r="V40" i="83" s="1"/>
  <c r="T39" i="83"/>
  <c r="U39" i="83" s="1"/>
  <c r="V39" i="83" s="1"/>
  <c r="U38" i="83"/>
  <c r="V38" i="83" s="1"/>
  <c r="T38" i="83"/>
  <c r="K58" i="83"/>
  <c r="T36" i="83"/>
  <c r="U36" i="83" s="1"/>
  <c r="V36" i="83" s="1"/>
  <c r="T35" i="83"/>
  <c r="U35" i="83" s="1"/>
  <c r="V35" i="83" s="1"/>
  <c r="T34" i="83"/>
  <c r="U34" i="83" s="1"/>
  <c r="V34" i="83" s="1"/>
  <c r="T33" i="83"/>
  <c r="U33" i="83" s="1"/>
  <c r="V33" i="83" s="1"/>
  <c r="T32" i="83"/>
  <c r="U32" i="83" s="1"/>
  <c r="V32" i="83" s="1"/>
  <c r="T31" i="83"/>
  <c r="U31" i="83" s="1"/>
  <c r="V31" i="83" s="1"/>
  <c r="T30" i="83"/>
  <c r="U30" i="83" s="1"/>
  <c r="V30" i="83" s="1"/>
  <c r="T29" i="83"/>
  <c r="U29" i="83" s="1"/>
  <c r="V29" i="83" s="1"/>
  <c r="T28" i="83"/>
  <c r="U28" i="83" s="1"/>
  <c r="V28" i="83" s="1"/>
  <c r="T27" i="83"/>
  <c r="U27" i="83" s="1"/>
  <c r="V27" i="83" s="1"/>
  <c r="T26" i="83"/>
  <c r="U26" i="83" s="1"/>
  <c r="V26" i="83" s="1"/>
  <c r="AY25" i="83"/>
  <c r="T25" i="83"/>
  <c r="U25" i="83" s="1"/>
  <c r="V25" i="83" s="1"/>
  <c r="T24" i="83"/>
  <c r="U24" i="83" s="1"/>
  <c r="V24" i="83" s="1"/>
  <c r="T23" i="83"/>
  <c r="U23" i="83" s="1"/>
  <c r="V23" i="83" s="1"/>
  <c r="T22" i="83"/>
  <c r="U22" i="83" s="1"/>
  <c r="V22" i="83" s="1"/>
  <c r="A22" i="83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T21" i="83"/>
  <c r="U21" i="83" s="1"/>
  <c r="V21" i="83" s="1"/>
  <c r="A21" i="83"/>
  <c r="T20" i="83"/>
  <c r="U20" i="83" s="1"/>
  <c r="V20" i="83" s="1"/>
  <c r="A20" i="83"/>
  <c r="T19" i="83"/>
  <c r="U19" i="83" s="1"/>
  <c r="V19" i="83" s="1"/>
  <c r="T18" i="83"/>
  <c r="U18" i="83" s="1"/>
  <c r="V18" i="83" s="1"/>
  <c r="T17" i="83"/>
  <c r="U17" i="83" s="1"/>
  <c r="V17" i="83" s="1"/>
  <c r="U16" i="83"/>
  <c r="V16" i="83" s="1"/>
  <c r="T16" i="83"/>
  <c r="T15" i="83"/>
  <c r="U15" i="83" s="1"/>
  <c r="V15" i="83" s="1"/>
  <c r="T14" i="83"/>
  <c r="U14" i="83" s="1"/>
  <c r="V14" i="83" s="1"/>
  <c r="A14" i="83"/>
  <c r="A15" i="83" s="1"/>
  <c r="A16" i="83" s="1"/>
  <c r="A17" i="83" s="1"/>
  <c r="A18" i="83" s="1"/>
  <c r="T13" i="83"/>
  <c r="U13" i="83" s="1"/>
  <c r="V13" i="83" s="1"/>
  <c r="T12" i="83"/>
  <c r="U12" i="83" s="1"/>
  <c r="V12" i="83" s="1"/>
  <c r="T11" i="83"/>
  <c r="U11" i="83" s="1"/>
  <c r="V11" i="83" s="1"/>
  <c r="T10" i="83"/>
  <c r="U10" i="83" s="1"/>
  <c r="V10" i="83" s="1"/>
  <c r="A10" i="83"/>
  <c r="A11" i="83" s="1"/>
  <c r="T9" i="83"/>
  <c r="U9" i="83"/>
  <c r="V9" i="83" s="1"/>
  <c r="A9" i="83"/>
  <c r="T8" i="83"/>
  <c r="U8" i="83" s="1"/>
  <c r="V8" i="83" s="1"/>
  <c r="A8" i="83"/>
  <c r="T7" i="83"/>
  <c r="V58" i="84" l="1"/>
  <c r="U58" i="84"/>
  <c r="T37" i="83"/>
  <c r="T58" i="83" s="1"/>
  <c r="U7" i="83"/>
  <c r="K37" i="82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V7" i="83" l="1"/>
  <c r="U37" i="83"/>
  <c r="V37" i="83" s="1"/>
  <c r="K58" i="82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V58" i="83" l="1"/>
  <c r="U58" i="83"/>
  <c r="T58" i="82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<sst xmlns="http://schemas.openxmlformats.org/spreadsheetml/2006/main" count="1428" uniqueCount="87">
  <si>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</si>
  <si>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</si>
  <si>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</si>
  <si>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</si>
  <si>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</si>
  <si>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</si>
  <si>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</si>
  <si>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</si>
  <si>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</si>
  <si>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</si>
  <si>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</si>
  <si>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</si>
  <si>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</si>
  <si>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</si>
  <si>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</si>
  <si>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</si>
  <si>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</si>
  <si>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</si>
  <si>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</si>
  <si>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</si>
  <si>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</si>
  <si>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</si>
  <si>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</si>
  <si>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</si>
  <si>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</si>
  <si>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</si>
  <si>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</si>
  <si>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</si>
  <si>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</si>
  <si>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</si>
  <si>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</si>
  <si>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</si>
  <si>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</si>
  <si>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</si>
  <si>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</si>
  <si>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</si>
  <si>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</si>
  <si>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</si>
  <si>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</si>
  <si>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</si>
  <si>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</si>
  <si>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</si>
  <si>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</si>
  <si>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</si>
  <si>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</si>
  <si>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</si>
  <si>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</si>
  <si>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</si>
  <si>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</si>
  <si>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</si>
  <si>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</si>
  <si>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</si>
  <si>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</si>
  <si>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</si>
  <si>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</si>
  <si>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</si>
  <si>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</si>
  <si>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</si>
  <si>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</si>
  <si>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</si>
  <si>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</si>
  <si>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</si>
  <si>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</si>
  <si>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</si>
  <si>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</si>
  <si>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</si>
  <si>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</si>
  <si>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</si>
  <si>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</si>
  <si>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</si>
  <si>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</si>
  <si>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</si>
  <si>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</si>
  <si>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</si>
  <si>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</si>
  <si>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</si>
  <si>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</si>
  <si>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</si>
  <si>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</si>
  <si>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</si>
  <si>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</si>
  <si>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</si>
  <si>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</si>
  <si>
    <t>DATE: 08/20/2026</t>
  </si>
  <si>
    <t>DATE: 08/19/2026</t>
  </si>
  <si>
    <t>DATE: 08/18/2026</t>
  </si>
  <si>
    <t>DATE: 08/21/2026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</si>
</sst>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5" t="s">
        <v>68</v>
      </c>
      <c r="U4" s="117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6" t="s">
        <v>65</v>
      </c>
      <c r="K5" s="107"/>
      <c r="M5" s="37"/>
      <c r="N5" s="49"/>
      <c r="O5" s="40"/>
      <c r="P5" s="89"/>
      <c r="Q5" s="89"/>
      <c r="R5" s="38"/>
      <c r="S5" s="9"/>
      <c r="T5" s="116"/>
      <c r="U5" s="118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8" t="s">
        <v>41</v>
      </c>
      <c r="D62" s="109"/>
      <c r="E62" s="109"/>
      <c r="F62" s="109"/>
      <c r="G62" s="109"/>
      <c r="H62" s="109"/>
      <c r="I62" s="109"/>
      <c r="J62" s="109"/>
      <c r="K62" s="11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6"/>
      <c r="Q5" s="96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91" zoomScaleNormal="91" zoomScaleSheetLayoutView="115" workbookViewId="0">
      <selection activeCell="A12" sqref="A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0"/>
      <c r="Q5" s="100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1"/>
      <c r="Q5" s="101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ACD1-5C40-4744-844F-FD1ECB768037}">
  <sheetPr>
    <pageSetUpPr fitToPage="1"/>
  </sheetPr>
  <dimension ref="A1:BB81"/>
  <sheetViews>
    <sheetView topLeftCell="A28" zoomScale="91" zoomScaleNormal="91" zoomScaleSheetLayoutView="115" workbookViewId="0">
      <selection activeCell="AB56" sqref="AB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2"/>
      <c r="Q5" s="10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35+38</f>
        <v>73</v>
      </c>
      <c r="D8" s="59"/>
      <c r="E8" s="59"/>
      <c r="F8" s="59"/>
      <c r="G8" s="59"/>
      <c r="H8" s="59"/>
      <c r="I8" s="59"/>
      <c r="J8" s="60"/>
      <c r="K8" s="61"/>
      <c r="L8" s="62"/>
      <c r="M8" s="63">
        <v>4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1908</v>
      </c>
      <c r="V8" s="69">
        <f>U8/24</f>
        <v>79.5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30+41</f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10+10</f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10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720</v>
      </c>
      <c r="V10" s="58">
        <f t="shared" si="3"/>
        <v>30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>
        <v>9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1224+53+720+43+1080+29</f>
        <v>3149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>
        <v>20</v>
      </c>
      <c r="O12" s="65">
        <v>11</v>
      </c>
      <c r="P12" s="66">
        <v>18</v>
      </c>
      <c r="Q12" s="66">
        <v>21</v>
      </c>
      <c r="R12" s="67"/>
      <c r="S12" s="62"/>
      <c r="T12" s="69">
        <f t="shared" si="0"/>
        <v>38</v>
      </c>
      <c r="U12" s="69">
        <f>C12*24+M12*24+O12*24+Q12*24+T12</f>
        <v>76670</v>
      </c>
      <c r="V12" s="69">
        <f>U12/24</f>
        <v>3194.5833333333335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>
        <v>1</v>
      </c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35+126</f>
        <v>161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3985</v>
      </c>
      <c r="V25" s="75">
        <f t="shared" si="5"/>
        <v>166.04166666666666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1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11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3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144+23</f>
        <v>167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4346</v>
      </c>
      <c r="V34" s="75">
        <f t="shared" si="5"/>
        <v>181.08333333333334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64+864+2376</f>
        <v>3304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35</v>
      </c>
      <c r="N37" s="64"/>
      <c r="O37" s="65">
        <v>25</v>
      </c>
      <c r="P37" s="66"/>
      <c r="Q37" s="66">
        <v>157</v>
      </c>
      <c r="R37" s="67"/>
      <c r="S37" s="62"/>
      <c r="T37" s="77">
        <f t="shared" si="0"/>
        <v>19</v>
      </c>
      <c r="U37" s="77">
        <f>C37*6+M37*6+O37*6+Q37*6+T37</f>
        <v>21145</v>
      </c>
      <c r="V37" s="77">
        <f>U37/6</f>
        <v>3524.1666666666665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189+66</f>
        <v>255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6260</v>
      </c>
      <c r="V40" s="77">
        <f>U40/24</f>
        <v>260.83333333333331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288+39</f>
        <v>327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9</v>
      </c>
      <c r="P41" s="83"/>
      <c r="Q41" s="83">
        <v>44</v>
      </c>
      <c r="R41" s="84"/>
      <c r="S41" s="85"/>
      <c r="T41" s="88">
        <f t="shared" si="0"/>
        <v>0</v>
      </c>
      <c r="U41" s="88">
        <f>C41*12+M41*12+O41*12+Q41*12+T41</f>
        <v>4860</v>
      </c>
      <c r="V41" s="88">
        <f>U41/12</f>
        <v>405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8856+9720+19764</f>
        <v>38340</v>
      </c>
      <c r="D43" s="65"/>
      <c r="E43" s="65"/>
      <c r="F43" s="65"/>
      <c r="G43" s="65"/>
      <c r="H43" s="65">
        <v>9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422</v>
      </c>
      <c r="N43" s="64"/>
      <c r="O43" s="65">
        <v>443</v>
      </c>
      <c r="P43" s="66"/>
      <c r="Q43" s="66">
        <v>563</v>
      </c>
      <c r="R43" s="67"/>
      <c r="S43" s="62"/>
      <c r="T43" s="77">
        <f t="shared" ref="T43" si="6">H43+I43+J43+K43+N43+P43+R43</f>
        <v>596</v>
      </c>
      <c r="U43" s="77">
        <f>C43*6+M43*6+O43*6+Q43*6+T43</f>
        <v>239204</v>
      </c>
      <c r="V43" s="77">
        <f>U43/6</f>
        <v>39867.333333333336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89+648+324+88+432+98+103+324+432+106</f>
        <v>2644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15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48611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573</v>
      </c>
      <c r="N58" s="5">
        <f t="shared" si="12"/>
        <v>20</v>
      </c>
      <c r="O58" s="5">
        <f t="shared" si="12"/>
        <v>511</v>
      </c>
      <c r="P58" s="5">
        <f t="shared" si="12"/>
        <v>30</v>
      </c>
      <c r="Q58" s="5">
        <f t="shared" si="12"/>
        <v>798</v>
      </c>
      <c r="R58" s="5">
        <f t="shared" si="12"/>
        <v>3</v>
      </c>
      <c r="S58" s="55"/>
      <c r="T58" s="4">
        <f>SUM(T7:T57)</f>
        <v>1916</v>
      </c>
      <c r="U58" s="90">
        <f>SUM(U7:U57)</f>
        <v>380852</v>
      </c>
      <c r="V58" s="4">
        <f>SUM(V7:V57)</f>
        <v>50650.833333333336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7594-9AC5-434F-A2F7-C87D7699469D}">
  <sheetPr>
    <pageSetUpPr fitToPage="1"/>
  </sheetPr>
  <dimension ref="A1:BB81"/>
  <sheetViews>
    <sheetView tabSelected="1" topLeftCell="A34" zoomScale="91" zoomScaleNormal="91" zoomScaleSheetLayoutView="115" workbookViewId="0">
      <selection activeCell="AB61" sqref="AB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38+30</f>
        <v>68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6</v>
      </c>
      <c r="R8" s="67"/>
      <c r="S8" s="62"/>
      <c r="T8" s="68">
        <f t="shared" ref="T8:T41" si="0">H8+I8+J8+K8+N8+P8+R8</f>
        <v>12</v>
      </c>
      <c r="U8" s="69">
        <f>C8*24+M8*24+O8*24+Q8*24+T8</f>
        <v>1836</v>
      </c>
      <c r="V8" s="69">
        <f>U8/24</f>
        <v>76.5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1704</v>
      </c>
      <c r="V9" s="76">
        <f t="shared" ref="V9:V11" si="3">U9/24</f>
        <v>71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5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1224+53+720+38+1080+29</f>
        <v>3144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>
        <v>10</v>
      </c>
      <c r="O12" s="65">
        <v>13</v>
      </c>
      <c r="P12" s="66">
        <v>12</v>
      </c>
      <c r="Q12" s="66">
        <v>2</v>
      </c>
      <c r="R12" s="67"/>
      <c r="S12" s="62"/>
      <c r="T12" s="69">
        <f t="shared" si="0"/>
        <v>22</v>
      </c>
      <c r="U12" s="69">
        <f>C12*24+M12*24+O12*24+Q12*24+T12</f>
        <v>75838</v>
      </c>
      <c r="V12" s="69">
        <f>U12/24</f>
        <v>3159.9166666666665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126+25</f>
        <v>151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3889</v>
      </c>
      <c r="V25" s="75">
        <f t="shared" si="5"/>
        <v>162.04166666666666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8</v>
      </c>
      <c r="R29" s="72"/>
      <c r="S29" s="55"/>
      <c r="T29" s="58">
        <f t="shared" si="0"/>
        <v>5</v>
      </c>
      <c r="U29" s="75">
        <f t="shared" si="4"/>
        <v>197</v>
      </c>
      <c r="V29" s="75">
        <f t="shared" si="5"/>
        <v>8.2083333333333339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5</v>
      </c>
      <c r="P34" s="71"/>
      <c r="Q34" s="71">
        <v>23</v>
      </c>
      <c r="R34" s="72"/>
      <c r="S34" s="55"/>
      <c r="T34" s="58">
        <f t="shared" si="0"/>
        <v>2</v>
      </c>
      <c r="U34" s="75">
        <f t="shared" si="4"/>
        <v>4034</v>
      </c>
      <c r="V34" s="75">
        <f t="shared" si="5"/>
        <v>168.08333333333334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864+2376+16</f>
        <v>3256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2+6</f>
        <v>8</v>
      </c>
      <c r="L37" s="62"/>
      <c r="M37" s="63"/>
      <c r="N37" s="64"/>
      <c r="O37" s="65">
        <v>32</v>
      </c>
      <c r="P37" s="66"/>
      <c r="Q37" s="66">
        <v>54</v>
      </c>
      <c r="R37" s="67"/>
      <c r="S37" s="62"/>
      <c r="T37" s="77">
        <f t="shared" si="0"/>
        <v>19</v>
      </c>
      <c r="U37" s="77">
        <f>C37*6+M37*6+O37*6+Q37*6+T37</f>
        <v>20071</v>
      </c>
      <c r="V37" s="77">
        <f>U37/6</f>
        <v>3345.1666666666665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51+189</f>
        <v>240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15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192+91</f>
        <v>283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3936</v>
      </c>
      <c r="V41" s="88">
        <f>U41/12</f>
        <v>328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8856+19764+9033</f>
        <v>37653</v>
      </c>
      <c r="D43" s="65"/>
      <c r="E43" s="65"/>
      <c r="F43" s="65"/>
      <c r="G43" s="65"/>
      <c r="H43" s="65">
        <v>3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43</v>
      </c>
      <c r="N43" s="64"/>
      <c r="O43" s="65">
        <v>470</v>
      </c>
      <c r="P43" s="66"/>
      <c r="Q43" s="66">
        <v>364</v>
      </c>
      <c r="R43" s="67"/>
      <c r="S43" s="62"/>
      <c r="T43" s="77">
        <f t="shared" ref="T43" si="6">H43+I43+J43+K43+N43+P43+R43</f>
        <v>590</v>
      </c>
      <c r="U43" s="77">
        <f>C43*6+M43*6+O43*6+Q43*6+T43</f>
        <v>231770</v>
      </c>
      <c r="V43" s="77">
        <f>U43/6</f>
        <v>38628.333333333336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16005</v>
      </c>
      <c r="V47" s="77">
        <f>U47/6</f>
        <v>2667.5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47722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46</v>
      </c>
      <c r="N58" s="5">
        <f t="shared" si="12"/>
        <v>10</v>
      </c>
      <c r="O58" s="5">
        <f t="shared" si="12"/>
        <v>550</v>
      </c>
      <c r="P58" s="5">
        <f t="shared" si="12"/>
        <v>24</v>
      </c>
      <c r="Q58" s="5">
        <f t="shared" si="12"/>
        <v>561</v>
      </c>
      <c r="R58" s="5">
        <f t="shared" si="12"/>
        <v>3</v>
      </c>
      <c r="S58" s="55"/>
      <c r="T58" s="4">
        <f>SUM(T7:T57)</f>
        <v>1894</v>
      </c>
      <c r="U58" s="90">
        <f>SUM(U7:U57)</f>
        <v>368758</v>
      </c>
      <c r="V58" s="4">
        <f>SUM(V7:V57)</f>
        <v>49035.166666666672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08-20-2026</vt:lpstr>
      <vt:lpstr>08-21-2026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'08-20-2026'!Print_Area</vt:lpstr>
      <vt:lpstr>'08-21-2026'!Print_Area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2026-08-21T03:20:30Z</dcterms:modified>
</cp:coreProperties>
</file>