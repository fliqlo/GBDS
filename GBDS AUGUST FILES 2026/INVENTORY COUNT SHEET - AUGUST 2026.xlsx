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79B0F49-671B-440B-82EF-E317E23A2229}" xr6:coauthVersionLast="45" xr6:coauthVersionMax="45" xr10:uidLastSave="{00000000-0000-0000-0000-000000000000}"/>
  <bookViews>
    <workbookView xWindow="-120" yWindow="-120" windowWidth="29040" windowHeight="15840" firstSheet="6" activeTab="15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  <sheet name="08-18-2026" sheetId="81" r:id="rId14"/>
    <sheet name="08-19-2026" sheetId="82" r:id="rId15"/>
    <sheet name="08-20-2026" sheetId="83" r:id="rId16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13">'08-18-2026'!$A$1:$W$59</definedName>
    <definedName name="_xlnm.Print_Area" localSheetId="14">'08-19-2026'!$A$1:$W$59</definedName>
    <definedName name="_xlnm.Print_Area" localSheetId="15">'08-20-2026'!$A$1:$W$59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7" i="83" l="1"/>
  <c r="C47" i="83"/>
  <c r="K43" i="83"/>
  <c r="J43" i="83"/>
  <c r="C43" i="83"/>
  <c r="C41" i="83"/>
  <c r="C40" i="83"/>
  <c r="C37" i="83"/>
  <c r="C34" i="83"/>
  <c r="C25" i="83"/>
  <c r="H24" i="83"/>
  <c r="H23" i="83"/>
  <c r="H21" i="83"/>
  <c r="H19" i="83"/>
  <c r="H17" i="83"/>
  <c r="C12" i="83"/>
  <c r="C10" i="83"/>
  <c r="C9" i="83"/>
  <c r="C8" i="83"/>
  <c r="R58" i="83" l="1"/>
  <c r="Q58" i="83"/>
  <c r="P58" i="83"/>
  <c r="O58" i="83"/>
  <c r="N58" i="83"/>
  <c r="M58" i="83"/>
  <c r="J58" i="83"/>
  <c r="I58" i="83"/>
  <c r="H58" i="83"/>
  <c r="G58" i="83"/>
  <c r="F58" i="83"/>
  <c r="C58" i="83"/>
  <c r="U54" i="83"/>
  <c r="V54" i="83" s="1"/>
  <c r="T54" i="83"/>
  <c r="T53" i="83"/>
  <c r="U53" i="83" s="1"/>
  <c r="V53" i="83" s="1"/>
  <c r="T52" i="83"/>
  <c r="U52" i="83" s="1"/>
  <c r="V52" i="83" s="1"/>
  <c r="T51" i="83"/>
  <c r="U51" i="83" s="1"/>
  <c r="V51" i="83" s="1"/>
  <c r="U50" i="83"/>
  <c r="V50" i="83" s="1"/>
  <c r="T50" i="83"/>
  <c r="T49" i="83"/>
  <c r="U49" i="83" s="1"/>
  <c r="V49" i="83" s="1"/>
  <c r="T48" i="83"/>
  <c r="U48" i="83" s="1"/>
  <c r="V48" i="83" s="1"/>
  <c r="T47" i="83"/>
  <c r="U47" i="83" s="1"/>
  <c r="V47" i="83" s="1"/>
  <c r="T46" i="83"/>
  <c r="U46" i="83" s="1"/>
  <c r="V46" i="83" s="1"/>
  <c r="T45" i="83"/>
  <c r="U45" i="83" s="1"/>
  <c r="V45" i="83" s="1"/>
  <c r="T43" i="83"/>
  <c r="U43" i="83" s="1"/>
  <c r="V43" i="83" s="1"/>
  <c r="T41" i="83"/>
  <c r="U41" i="83"/>
  <c r="V41" i="83" s="1"/>
  <c r="T40" i="83"/>
  <c r="U40" i="83" s="1"/>
  <c r="V40" i="83" s="1"/>
  <c r="T39" i="83"/>
  <c r="U39" i="83" s="1"/>
  <c r="V39" i="83" s="1"/>
  <c r="U38" i="83"/>
  <c r="V38" i="83" s="1"/>
  <c r="T38" i="83"/>
  <c r="K58" i="83"/>
  <c r="T36" i="83"/>
  <c r="U36" i="83" s="1"/>
  <c r="V36" i="83" s="1"/>
  <c r="T35" i="83"/>
  <c r="U35" i="83" s="1"/>
  <c r="V35" i="83" s="1"/>
  <c r="T34" i="83"/>
  <c r="U34" i="83" s="1"/>
  <c r="V34" i="83" s="1"/>
  <c r="T33" i="83"/>
  <c r="U33" i="83" s="1"/>
  <c r="V33" i="83" s="1"/>
  <c r="T32" i="83"/>
  <c r="U32" i="83" s="1"/>
  <c r="V32" i="83" s="1"/>
  <c r="T31" i="83"/>
  <c r="U31" i="83" s="1"/>
  <c r="V31" i="83" s="1"/>
  <c r="T30" i="83"/>
  <c r="U30" i="83" s="1"/>
  <c r="V30" i="83" s="1"/>
  <c r="T29" i="83"/>
  <c r="U29" i="83" s="1"/>
  <c r="V29" i="83" s="1"/>
  <c r="T28" i="83"/>
  <c r="U28" i="83" s="1"/>
  <c r="V28" i="83" s="1"/>
  <c r="T27" i="83"/>
  <c r="U27" i="83" s="1"/>
  <c r="V27" i="83" s="1"/>
  <c r="T26" i="83"/>
  <c r="U26" i="83" s="1"/>
  <c r="V26" i="83" s="1"/>
  <c r="AY25" i="83"/>
  <c r="T25" i="83"/>
  <c r="U25" i="83" s="1"/>
  <c r="V25" i="83" s="1"/>
  <c r="T24" i="83"/>
  <c r="U24" i="83" s="1"/>
  <c r="V24" i="83" s="1"/>
  <c r="T23" i="83"/>
  <c r="U23" i="83" s="1"/>
  <c r="V23" i="83" s="1"/>
  <c r="T22" i="83"/>
  <c r="U22" i="83" s="1"/>
  <c r="V22" i="83" s="1"/>
  <c r="A22" i="83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T21" i="83"/>
  <c r="U21" i="83" s="1"/>
  <c r="V21" i="83" s="1"/>
  <c r="A21" i="83"/>
  <c r="T20" i="83"/>
  <c r="U20" i="83" s="1"/>
  <c r="V20" i="83" s="1"/>
  <c r="A20" i="83"/>
  <c r="T19" i="83"/>
  <c r="U19" i="83" s="1"/>
  <c r="V19" i="83" s="1"/>
  <c r="T18" i="83"/>
  <c r="U18" i="83" s="1"/>
  <c r="V18" i="83" s="1"/>
  <c r="T17" i="83"/>
  <c r="U17" i="83" s="1"/>
  <c r="V17" i="83" s="1"/>
  <c r="U16" i="83"/>
  <c r="V16" i="83" s="1"/>
  <c r="T16" i="83"/>
  <c r="T15" i="83"/>
  <c r="U15" i="83" s="1"/>
  <c r="V15" i="83" s="1"/>
  <c r="T14" i="83"/>
  <c r="U14" i="83" s="1"/>
  <c r="V14" i="83" s="1"/>
  <c r="A14" i="83"/>
  <c r="A15" i="83" s="1"/>
  <c r="A16" i="83" s="1"/>
  <c r="A17" i="83" s="1"/>
  <c r="A18" i="83" s="1"/>
  <c r="T13" i="83"/>
  <c r="U13" i="83" s="1"/>
  <c r="V13" i="83" s="1"/>
  <c r="T12" i="83"/>
  <c r="U12" i="83" s="1"/>
  <c r="V12" i="83" s="1"/>
  <c r="T11" i="83"/>
  <c r="U11" i="83" s="1"/>
  <c r="V11" i="83" s="1"/>
  <c r="T10" i="83"/>
  <c r="U10" i="83" s="1"/>
  <c r="V10" i="83" s="1"/>
  <c r="A10" i="83"/>
  <c r="A11" i="83" s="1"/>
  <c r="T9" i="83"/>
  <c r="U9" i="83"/>
  <c r="V9" i="83" s="1"/>
  <c r="A9" i="83"/>
  <c r="T8" i="83"/>
  <c r="U8" i="83" s="1"/>
  <c r="V8" i="83" s="1"/>
  <c r="A8" i="83"/>
  <c r="T7" i="83"/>
  <c r="T37" i="83" l="1"/>
  <c r="T58" i="83" s="1"/>
  <c r="U7" i="83"/>
  <c r="K37" i="82"/>
  <c r="T37" i="82" s="1"/>
  <c r="C43" i="82"/>
  <c r="C47" i="82"/>
  <c r="K43" i="82"/>
  <c r="J43" i="82"/>
  <c r="C41" i="82"/>
  <c r="U41" i="82" s="1"/>
  <c r="V41" i="82" s="1"/>
  <c r="C40" i="82"/>
  <c r="C37" i="82"/>
  <c r="C34" i="82"/>
  <c r="H24" i="82"/>
  <c r="H23" i="82"/>
  <c r="H21" i="82"/>
  <c r="H19" i="82"/>
  <c r="H17" i="82"/>
  <c r="T17" i="82" s="1"/>
  <c r="U17" i="82" s="1"/>
  <c r="V17" i="82" s="1"/>
  <c r="C12" i="82"/>
  <c r="C10" i="82"/>
  <c r="C9" i="82"/>
  <c r="C8" i="82"/>
  <c r="R58" i="82"/>
  <c r="Q58" i="82"/>
  <c r="P58" i="82"/>
  <c r="O58" i="82"/>
  <c r="N58" i="82"/>
  <c r="M58" i="82"/>
  <c r="I58" i="82"/>
  <c r="G58" i="82"/>
  <c r="F58" i="82"/>
  <c r="U54" i="82"/>
  <c r="V54" i="82" s="1"/>
  <c r="T54" i="82"/>
  <c r="T53" i="82"/>
  <c r="U53" i="82" s="1"/>
  <c r="V53" i="82" s="1"/>
  <c r="T52" i="82"/>
  <c r="U52" i="82" s="1"/>
  <c r="V52" i="82" s="1"/>
  <c r="T51" i="82"/>
  <c r="U51" i="82" s="1"/>
  <c r="V51" i="82" s="1"/>
  <c r="T50" i="82"/>
  <c r="U50" i="82" s="1"/>
  <c r="V50" i="82" s="1"/>
  <c r="T49" i="82"/>
  <c r="U49" i="82" s="1"/>
  <c r="V49" i="82" s="1"/>
  <c r="T48" i="82"/>
  <c r="U48" i="82" s="1"/>
  <c r="V48" i="82" s="1"/>
  <c r="T47" i="82"/>
  <c r="T46" i="82"/>
  <c r="U46" i="82" s="1"/>
  <c r="V46" i="82" s="1"/>
  <c r="T45" i="82"/>
  <c r="U45" i="82" s="1"/>
  <c r="V45" i="82" s="1"/>
  <c r="T41" i="82"/>
  <c r="T40" i="82"/>
  <c r="U40" i="82" s="1"/>
  <c r="V40" i="82" s="1"/>
  <c r="T39" i="82"/>
  <c r="U39" i="82" s="1"/>
  <c r="V39" i="82" s="1"/>
  <c r="T38" i="82"/>
  <c r="U38" i="82" s="1"/>
  <c r="V38" i="82" s="1"/>
  <c r="T36" i="82"/>
  <c r="U36" i="82" s="1"/>
  <c r="V36" i="82" s="1"/>
  <c r="T35" i="82"/>
  <c r="U35" i="82" s="1"/>
  <c r="V35" i="82" s="1"/>
  <c r="T34" i="82"/>
  <c r="U34" i="82" s="1"/>
  <c r="V34" i="82" s="1"/>
  <c r="T33" i="82"/>
  <c r="U33" i="82" s="1"/>
  <c r="V33" i="82" s="1"/>
  <c r="T32" i="82"/>
  <c r="U32" i="82" s="1"/>
  <c r="V32" i="82" s="1"/>
  <c r="T31" i="82"/>
  <c r="U31" i="82" s="1"/>
  <c r="V31" i="82" s="1"/>
  <c r="T30" i="82"/>
  <c r="U30" i="82" s="1"/>
  <c r="V30" i="82" s="1"/>
  <c r="T29" i="82"/>
  <c r="U29" i="82" s="1"/>
  <c r="V29" i="82" s="1"/>
  <c r="U28" i="82"/>
  <c r="V28" i="82" s="1"/>
  <c r="T28" i="82"/>
  <c r="T27" i="82"/>
  <c r="U27" i="82" s="1"/>
  <c r="V27" i="82" s="1"/>
  <c r="T26" i="82"/>
  <c r="U26" i="82" s="1"/>
  <c r="V26" i="82" s="1"/>
  <c r="AY25" i="82"/>
  <c r="T25" i="82"/>
  <c r="U25" i="82" s="1"/>
  <c r="V25" i="82" s="1"/>
  <c r="T24" i="82"/>
  <c r="U24" i="82" s="1"/>
  <c r="V24" i="82" s="1"/>
  <c r="T23" i="82"/>
  <c r="U23" i="82" s="1"/>
  <c r="V23" i="82" s="1"/>
  <c r="T22" i="82"/>
  <c r="U22" i="82" s="1"/>
  <c r="V22" i="82" s="1"/>
  <c r="A22" i="82"/>
  <c r="A23" i="82" s="1"/>
  <c r="A24" i="82" s="1"/>
  <c r="A25" i="82" s="1"/>
  <c r="A26" i="82" s="1"/>
  <c r="A27" i="82" s="1"/>
  <c r="A28" i="82" s="1"/>
  <c r="A29" i="82" s="1"/>
  <c r="A30" i="82" s="1"/>
  <c r="A31" i="82" s="1"/>
  <c r="A32" i="82" s="1"/>
  <c r="A33" i="82" s="1"/>
  <c r="A34" i="82" s="1"/>
  <c r="A35" i="82" s="1"/>
  <c r="A36" i="82" s="1"/>
  <c r="A37" i="82" s="1"/>
  <c r="A38" i="82" s="1"/>
  <c r="A39" i="82" s="1"/>
  <c r="A40" i="82" s="1"/>
  <c r="A41" i="82" s="1"/>
  <c r="A42" i="82" s="1"/>
  <c r="A43" i="82" s="1"/>
  <c r="A44" i="82" s="1"/>
  <c r="A45" i="82" s="1"/>
  <c r="A46" i="82" s="1"/>
  <c r="A47" i="82" s="1"/>
  <c r="A48" i="82" s="1"/>
  <c r="A49" i="82" s="1"/>
  <c r="A50" i="82" s="1"/>
  <c r="A51" i="82" s="1"/>
  <c r="A52" i="82" s="1"/>
  <c r="A53" i="82" s="1"/>
  <c r="A54" i="82" s="1"/>
  <c r="A55" i="82" s="1"/>
  <c r="A56" i="82" s="1"/>
  <c r="A57" i="82" s="1"/>
  <c r="T21" i="82"/>
  <c r="U21" i="82" s="1"/>
  <c r="V21" i="82" s="1"/>
  <c r="A21" i="82"/>
  <c r="T20" i="82"/>
  <c r="U20" i="82" s="1"/>
  <c r="V20" i="82" s="1"/>
  <c r="A20" i="82"/>
  <c r="T19" i="82"/>
  <c r="U19" i="82" s="1"/>
  <c r="V19" i="82" s="1"/>
  <c r="T18" i="82"/>
  <c r="U18" i="82" s="1"/>
  <c r="V18" i="82" s="1"/>
  <c r="U16" i="82"/>
  <c r="V16" i="82" s="1"/>
  <c r="T16" i="82"/>
  <c r="T15" i="82"/>
  <c r="U15" i="82" s="1"/>
  <c r="V15" i="82" s="1"/>
  <c r="T14" i="82"/>
  <c r="U14" i="82" s="1"/>
  <c r="V14" i="82" s="1"/>
  <c r="A14" i="82"/>
  <c r="A15" i="82" s="1"/>
  <c r="A16" i="82" s="1"/>
  <c r="A17" i="82" s="1"/>
  <c r="A18" i="82" s="1"/>
  <c r="T13" i="82"/>
  <c r="U13" i="82" s="1"/>
  <c r="V13" i="82" s="1"/>
  <c r="T12" i="82"/>
  <c r="T11" i="82"/>
  <c r="U11" i="82" s="1"/>
  <c r="V11" i="82" s="1"/>
  <c r="T10" i="82"/>
  <c r="T9" i="82"/>
  <c r="U9" i="82" s="1"/>
  <c r="V9" i="82" s="1"/>
  <c r="T8" i="82"/>
  <c r="U8" i="82" s="1"/>
  <c r="V8" i="82" s="1"/>
  <c r="A8" i="82"/>
  <c r="A9" i="82" s="1"/>
  <c r="A10" i="82" s="1"/>
  <c r="A11" i="82" s="1"/>
  <c r="T7" i="82"/>
  <c r="V7" i="83" l="1"/>
  <c r="U37" i="83"/>
  <c r="V37" i="83" s="1"/>
  <c r="K58" i="82"/>
  <c r="U47" i="82"/>
  <c r="V47" i="82" s="1"/>
  <c r="T43" i="82"/>
  <c r="U43" i="82" s="1"/>
  <c r="V43" i="82" s="1"/>
  <c r="J58" i="82"/>
  <c r="U37" i="82"/>
  <c r="V37" i="82" s="1"/>
  <c r="U12" i="82"/>
  <c r="V12" i="82" s="1"/>
  <c r="C58" i="82"/>
  <c r="U10" i="82"/>
  <c r="V10" i="82" s="1"/>
  <c r="H58" i="82"/>
  <c r="U7" i="82"/>
  <c r="K37" i="81"/>
  <c r="T37" i="81" s="1"/>
  <c r="C37" i="81"/>
  <c r="C47" i="81"/>
  <c r="J43" i="81"/>
  <c r="K43" i="81"/>
  <c r="C43" i="81"/>
  <c r="C41" i="81"/>
  <c r="C40" i="81"/>
  <c r="C34" i="81"/>
  <c r="H24" i="81"/>
  <c r="H23" i="81"/>
  <c r="T23" i="81" s="1"/>
  <c r="U23" i="81" s="1"/>
  <c r="V23" i="81" s="1"/>
  <c r="H21" i="81"/>
  <c r="H19" i="81"/>
  <c r="T19" i="81" s="1"/>
  <c r="U19" i="81" s="1"/>
  <c r="V19" i="81" s="1"/>
  <c r="H17" i="81"/>
  <c r="C12" i="81"/>
  <c r="C10" i="81"/>
  <c r="C9" i="81"/>
  <c r="U9" i="81" s="1"/>
  <c r="V9" i="81" s="1"/>
  <c r="C8" i="81"/>
  <c r="R58" i="81"/>
  <c r="Q58" i="81"/>
  <c r="P58" i="81"/>
  <c r="O58" i="81"/>
  <c r="N58" i="81"/>
  <c r="M58" i="81"/>
  <c r="I58" i="81"/>
  <c r="G58" i="81"/>
  <c r="F58" i="81"/>
  <c r="T54" i="81"/>
  <c r="U54" i="81" s="1"/>
  <c r="V54" i="81" s="1"/>
  <c r="T53" i="81"/>
  <c r="U53" i="81" s="1"/>
  <c r="V53" i="81" s="1"/>
  <c r="T52" i="81"/>
  <c r="U52" i="81" s="1"/>
  <c r="V52" i="81" s="1"/>
  <c r="T51" i="81"/>
  <c r="U51" i="81" s="1"/>
  <c r="V51" i="81" s="1"/>
  <c r="T50" i="81"/>
  <c r="U50" i="81" s="1"/>
  <c r="V50" i="81" s="1"/>
  <c r="U49" i="81"/>
  <c r="V49" i="81" s="1"/>
  <c r="T49" i="81"/>
  <c r="T48" i="81"/>
  <c r="U48" i="81" s="1"/>
  <c r="V48" i="81" s="1"/>
  <c r="T47" i="81"/>
  <c r="T46" i="81"/>
  <c r="U46" i="81" s="1"/>
  <c r="V46" i="81" s="1"/>
  <c r="T45" i="81"/>
  <c r="U45" i="81" s="1"/>
  <c r="V45" i="81" s="1"/>
  <c r="J58" i="81"/>
  <c r="T41" i="81"/>
  <c r="U41" i="81" s="1"/>
  <c r="V41" i="81" s="1"/>
  <c r="T40" i="81"/>
  <c r="U40" i="81" s="1"/>
  <c r="V40" i="81" s="1"/>
  <c r="T39" i="81"/>
  <c r="U39" i="81" s="1"/>
  <c r="V39" i="81" s="1"/>
  <c r="T38" i="81"/>
  <c r="U38" i="81" s="1"/>
  <c r="V38" i="81" s="1"/>
  <c r="T36" i="81"/>
  <c r="U36" i="81" s="1"/>
  <c r="V36" i="81" s="1"/>
  <c r="T35" i="81"/>
  <c r="U35" i="81" s="1"/>
  <c r="V35" i="81" s="1"/>
  <c r="T34" i="81"/>
  <c r="U34" i="81" s="1"/>
  <c r="V34" i="81" s="1"/>
  <c r="T33" i="81"/>
  <c r="U33" i="81" s="1"/>
  <c r="V33" i="81" s="1"/>
  <c r="T32" i="81"/>
  <c r="U32" i="81" s="1"/>
  <c r="V32" i="81" s="1"/>
  <c r="T31" i="81"/>
  <c r="U31" i="81" s="1"/>
  <c r="V31" i="81" s="1"/>
  <c r="T30" i="81"/>
  <c r="U30" i="81" s="1"/>
  <c r="V30" i="81" s="1"/>
  <c r="T29" i="81"/>
  <c r="U29" i="81" s="1"/>
  <c r="V29" i="81" s="1"/>
  <c r="T28" i="81"/>
  <c r="U28" i="81" s="1"/>
  <c r="V28" i="81" s="1"/>
  <c r="T27" i="81"/>
  <c r="U27" i="81" s="1"/>
  <c r="V27" i="81" s="1"/>
  <c r="T26" i="81"/>
  <c r="U26" i="81" s="1"/>
  <c r="V26" i="81" s="1"/>
  <c r="AY25" i="81"/>
  <c r="T25" i="81"/>
  <c r="U25" i="81" s="1"/>
  <c r="V25" i="81" s="1"/>
  <c r="T24" i="81"/>
  <c r="U24" i="81" s="1"/>
  <c r="V24" i="81" s="1"/>
  <c r="U22" i="81"/>
  <c r="V22" i="81" s="1"/>
  <c r="T22" i="81"/>
  <c r="T21" i="81"/>
  <c r="U21" i="81" s="1"/>
  <c r="V21" i="81" s="1"/>
  <c r="T20" i="81"/>
  <c r="U20" i="81" s="1"/>
  <c r="V20" i="81" s="1"/>
  <c r="A20" i="8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T18" i="81"/>
  <c r="U18" i="81" s="1"/>
  <c r="V18" i="81" s="1"/>
  <c r="T16" i="81"/>
  <c r="U16" i="81" s="1"/>
  <c r="V16" i="81" s="1"/>
  <c r="T15" i="81"/>
  <c r="U15" i="81" s="1"/>
  <c r="V15" i="81" s="1"/>
  <c r="T14" i="81"/>
  <c r="U14" i="81" s="1"/>
  <c r="V14" i="81" s="1"/>
  <c r="A14" i="81"/>
  <c r="A15" i="81" s="1"/>
  <c r="A16" i="81" s="1"/>
  <c r="A17" i="81" s="1"/>
  <c r="A18" i="81" s="1"/>
  <c r="T13" i="81"/>
  <c r="U13" i="81" s="1"/>
  <c r="V13" i="81" s="1"/>
  <c r="T12" i="81"/>
  <c r="T11" i="81"/>
  <c r="U11" i="81" s="1"/>
  <c r="V11" i="81" s="1"/>
  <c r="T10" i="81"/>
  <c r="T9" i="81"/>
  <c r="A9" i="81"/>
  <c r="A10" i="81" s="1"/>
  <c r="A11" i="81" s="1"/>
  <c r="T8" i="81"/>
  <c r="A8" i="81"/>
  <c r="T7" i="81"/>
  <c r="U7" i="81" s="1"/>
  <c r="V7" i="81" s="1"/>
  <c r="V58" i="83" l="1"/>
  <c r="U58" i="83"/>
  <c r="T58" i="82"/>
  <c r="U58" i="82"/>
  <c r="V7" i="82"/>
  <c r="V58" i="82" s="1"/>
  <c r="K58" i="81"/>
  <c r="U47" i="81"/>
  <c r="V47" i="81" s="1"/>
  <c r="C58" i="81"/>
  <c r="U37" i="81"/>
  <c r="V37" i="81" s="1"/>
  <c r="H58" i="81"/>
  <c r="U12" i="81"/>
  <c r="V12" i="81" s="1"/>
  <c r="U10" i="81"/>
  <c r="V10" i="81" s="1"/>
  <c r="T17" i="81"/>
  <c r="U17" i="81" s="1"/>
  <c r="V17" i="81" s="1"/>
  <c r="T43" i="81"/>
  <c r="U43" i="81" s="1"/>
  <c r="V43" i="81" s="1"/>
  <c r="U8" i="81"/>
  <c r="C8" i="80"/>
  <c r="K37" i="80"/>
  <c r="C37" i="80"/>
  <c r="C47" i="80"/>
  <c r="J43" i="80"/>
  <c r="K43" i="80"/>
  <c r="C43" i="80"/>
  <c r="C41" i="80"/>
  <c r="C40" i="80"/>
  <c r="C34" i="80"/>
  <c r="H24" i="80"/>
  <c r="H23" i="80"/>
  <c r="H21" i="80"/>
  <c r="H19" i="80"/>
  <c r="H17" i="80"/>
  <c r="C12" i="80"/>
  <c r="C10" i="80"/>
  <c r="C9" i="80"/>
  <c r="T58" i="81" l="1"/>
  <c r="U58" i="81"/>
  <c r="V8" i="81"/>
  <c r="V58" i="81" s="1"/>
  <c r="C8" i="79"/>
  <c r="K37" i="79"/>
  <c r="C47" i="79"/>
  <c r="J43" i="79"/>
  <c r="K43" i="79"/>
  <c r="C43" i="79"/>
  <c r="C41" i="79"/>
  <c r="C40" i="79"/>
  <c r="C37" i="79"/>
  <c r="C34" i="79"/>
  <c r="H24" i="79"/>
  <c r="H23" i="79"/>
  <c r="H21" i="79"/>
  <c r="H19" i="79"/>
  <c r="H17" i="79"/>
  <c r="H13" i="79"/>
  <c r="C12" i="79"/>
  <c r="C10" i="79" l="1"/>
  <c r="C9" i="79"/>
  <c r="K37" i="78" l="1"/>
  <c r="C47" i="78"/>
  <c r="C43" i="78"/>
  <c r="J43" i="78"/>
  <c r="K43" i="78"/>
  <c r="C41" i="78"/>
  <c r="C40" i="78"/>
  <c r="C37" i="78"/>
  <c r="C34" i="78"/>
  <c r="H24" i="78"/>
  <c r="H23" i="78"/>
  <c r="H21" i="78"/>
  <c r="H19" i="78"/>
  <c r="H17" i="78"/>
  <c r="C12" i="78"/>
  <c r="C10" i="78"/>
  <c r="C9" i="78"/>
  <c r="C8" i="78"/>
  <c r="C47" i="77" l="1"/>
  <c r="K43" i="77"/>
  <c r="J43" i="77"/>
  <c r="C43" i="77"/>
  <c r="C41" i="77"/>
  <c r="C40" i="77"/>
  <c r="K37" i="77"/>
  <c r="C37" i="77"/>
  <c r="C34" i="77"/>
  <c r="H24" i="77"/>
  <c r="H23" i="77"/>
  <c r="H21" i="77"/>
  <c r="H19" i="77"/>
  <c r="H17" i="77"/>
  <c r="C12" i="77"/>
  <c r="C10" i="77"/>
  <c r="C9" i="77"/>
  <c r="C8" i="77"/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T43" i="80"/>
  <c r="U43" i="80" s="1"/>
  <c r="V43" i="80" s="1"/>
  <c r="U41" i="80"/>
  <c r="V41" i="80" s="1"/>
  <c r="T41" i="80"/>
  <c r="T40" i="80"/>
  <c r="U40" i="80" s="1"/>
  <c r="V40" i="80" s="1"/>
  <c r="U39" i="80"/>
  <c r="V39" i="80" s="1"/>
  <c r="T39" i="80"/>
  <c r="T38" i="80"/>
  <c r="U38" i="80" s="1"/>
  <c r="V38" i="80" s="1"/>
  <c r="T37" i="80"/>
  <c r="U37" i="80" s="1"/>
  <c r="V37" i="80" s="1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T29" i="80"/>
  <c r="U29" i="80" s="1"/>
  <c r="V29" i="80" s="1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T13" i="80"/>
  <c r="U13" i="80" s="1"/>
  <c r="V13" i="80" s="1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T47" i="79"/>
  <c r="U47" i="79" s="1"/>
  <c r="V47" i="79" s="1"/>
  <c r="T46" i="79"/>
  <c r="U46" i="79" s="1"/>
  <c r="V46" i="79" s="1"/>
  <c r="T45" i="79"/>
  <c r="U45" i="79" s="1"/>
  <c r="V45" i="79" s="1"/>
  <c r="T43" i="79"/>
  <c r="U43" i="79" s="1"/>
  <c r="V43" i="79" s="1"/>
  <c r="T41" i="79"/>
  <c r="U41" i="79" s="1"/>
  <c r="V41" i="79" s="1"/>
  <c r="T40" i="79"/>
  <c r="U40" i="79" s="1"/>
  <c r="V40" i="79" s="1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T12" i="79"/>
  <c r="U12" i="79" s="1"/>
  <c r="V12" i="79" s="1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T47" i="78"/>
  <c r="U47" i="78" s="1"/>
  <c r="V47" i="78" s="1"/>
  <c r="U46" i="78"/>
  <c r="V46" i="78" s="1"/>
  <c r="T46" i="78"/>
  <c r="T45" i="78"/>
  <c r="U45" i="78" s="1"/>
  <c r="V45" i="78" s="1"/>
  <c r="T43" i="78"/>
  <c r="U43" i="78" s="1"/>
  <c r="V43" i="78" s="1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U12" i="78" s="1"/>
  <c r="V12" i="78" s="1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T8" i="78"/>
  <c r="U8" i="78" s="1"/>
  <c r="V8" i="78" s="1"/>
  <c r="A8" i="78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U43" i="77" s="1"/>
  <c r="V43" i="77" s="1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80" l="1"/>
  <c r="T58" i="79"/>
  <c r="T58" i="78"/>
  <c r="T58" i="77"/>
  <c r="U7" i="77"/>
  <c r="V7" i="77" s="1"/>
  <c r="V58" i="77" s="1"/>
  <c r="V7" i="80"/>
  <c r="V58" i="80" s="1"/>
  <c r="U58" i="80"/>
  <c r="U7" i="79"/>
  <c r="U7" i="78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7" l="1"/>
  <c r="U58" i="79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<sst xmlns="http://schemas.openxmlformats.org/spreadsheetml/2006/main" count="1344" uniqueCount="86">
  <si>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</si>
  <si>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</si>
  <si>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</si>
  <si>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</si>
  <si>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</si>
  <si>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</si>
  <si>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</si>
  <si>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</si>
  <si>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</si>
  <si>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</si>
  <si>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</si>
  <si>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</si>
  <si>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</si>
  <si>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</si>
  <si>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</si>
  <si>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</si>
  <si>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</si>
  <si>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</si>
  <si>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</si>
  <si>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</si>
  <si>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</si>
  <si>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</si>
  <si>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</si>
  <si>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</si>
  <si>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</si>
  <si>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</si>
  <si>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</si>
  <si>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</si>
  <si>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</si>
  <si>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</si>
  <si>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</si>
  <si>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</si>
  <si>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</si>
  <si>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</si>
  <si>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</si>
  <si>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</si>
  <si>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</si>
  <si>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</si>
  <si>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</si>
  <si>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</si>
  <si>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</si>
  <si>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</si>
  <si>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</si>
  <si>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</si>
  <si>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</si>
  <si>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</si>
  <si>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</si>
  <si>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</si>
  <si>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</si>
  <si>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</si>
  <si>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</si>
  <si>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</si>
  <si>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</si>
  <si>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</si>
  <si>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</si>
  <si>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</si>
  <si>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</si>
  <si>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</si>
  <si>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</si>
  <si>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</si>
  <si>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</si>
  <si>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</si>
  <si>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</si>
  <si>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</si>
  <si>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</si>
  <si>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</si>
  <si>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</si>
  <si>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</si>
  <si>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</si>
  <si>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</si>
  <si>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</si>
  <si>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</si>
  <si>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</si>
  <si>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</si>
  <si>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</si>
  <si>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</si>
  <si>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</si>
  <si>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</si>
  <si>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</si>
  <si>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</si>
  <si>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</si>
  <si>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</si>
  <si>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</si>
  <si>
    <t>DATE: 08/20/2026</t>
  </si>
  <si>
    <t>DATE: 08/19/2026</t>
  </si>
  <si>
    <t>DATE: 08/18/2026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</si>
</sst>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2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4" t="s">
        <v>68</v>
      </c>
      <c r="U4" s="116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5" t="s">
        <v>65</v>
      </c>
      <c r="K5" s="106"/>
      <c r="M5" s="37"/>
      <c r="N5" s="49"/>
      <c r="O5" s="40"/>
      <c r="P5" s="89"/>
      <c r="Q5" s="89"/>
      <c r="R5" s="38"/>
      <c r="S5" s="9"/>
      <c r="T5" s="115"/>
      <c r="U5" s="117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7" t="s">
        <v>41</v>
      </c>
      <c r="D62" s="108"/>
      <c r="E62" s="108"/>
      <c r="F62" s="108"/>
      <c r="G62" s="108"/>
      <c r="H62" s="108"/>
      <c r="I62" s="108"/>
      <c r="J62" s="108"/>
      <c r="K62" s="109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6"/>
      <c r="Q5" s="96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7"/>
      <c r="Q5" s="97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7"/>
      <c r="Q5" s="97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7"/>
      <c r="Q5" s="97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8"/>
      <c r="Q5" s="98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8"/>
      <c r="Q5" s="98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8"/>
      <c r="Q5" s="98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8"/>
      <c r="Q5" s="98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opLeftCell="F1" zoomScale="145" zoomScaleNormal="145" zoomScaleSheetLayoutView="115" workbookViewId="0">
      <selection activeCell="K12" sqref="K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9"/>
      <c r="Q5" s="99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34+10</f>
        <v>44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1224+53+3+936+1080+29</f>
        <v>3325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10</v>
      </c>
      <c r="P12" s="66"/>
      <c r="Q12" s="66">
        <v>20</v>
      </c>
      <c r="R12" s="67">
        <v>13</v>
      </c>
      <c r="S12" s="62"/>
      <c r="T12" s="69">
        <f t="shared" si="0"/>
        <v>13</v>
      </c>
      <c r="U12" s="69">
        <f>C12*24+M12*24+O12*24+Q12*24+T12</f>
        <v>80773</v>
      </c>
      <c r="V12" s="69">
        <f>U12/24</f>
        <v>3365.5416666666665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1273</v>
      </c>
      <c r="V25" s="75">
        <f t="shared" si="5"/>
        <v>53.041666666666664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/>
      <c r="J29" s="71">
        <v>5</v>
      </c>
      <c r="K29" s="72"/>
      <c r="L29" s="55">
        <v>1</v>
      </c>
      <c r="M29" s="73">
        <v>1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653</v>
      </c>
      <c r="V29" s="75">
        <f t="shared" si="5"/>
        <v>27.208333333333332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336</v>
      </c>
      <c r="V30" s="75">
        <f t="shared" si="5"/>
        <v>14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45+144</f>
        <v>189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3132+62</f>
        <v>3194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20</v>
      </c>
      <c r="N37" s="64"/>
      <c r="O37" s="65">
        <v>26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20185</v>
      </c>
      <c r="V37" s="77">
        <f>U37/6</f>
        <v>3364.1666666666665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50+315</f>
        <v>365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8852</v>
      </c>
      <c r="V40" s="77">
        <f>U40/24</f>
        <v>368.83333333333331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480+51</f>
        <v>531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6792</v>
      </c>
      <c r="V41" s="88">
        <f>U41/12</f>
        <v>566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50+6912+19764+10260</f>
        <v>36986</v>
      </c>
      <c r="D43" s="65"/>
      <c r="E43" s="65"/>
      <c r="F43" s="65"/>
      <c r="G43" s="65"/>
      <c r="H43" s="65">
        <v>1</v>
      </c>
      <c r="I43" s="65">
        <v>12</v>
      </c>
      <c r="J43" s="66">
        <f>18*6</f>
        <v>108</v>
      </c>
      <c r="K43" s="67">
        <f>71*6+2</f>
        <v>428</v>
      </c>
      <c r="L43" s="62"/>
      <c r="M43" s="63">
        <v>366</v>
      </c>
      <c r="N43" s="64"/>
      <c r="O43" s="65">
        <v>392</v>
      </c>
      <c r="P43" s="66"/>
      <c r="Q43" s="66">
        <v>446</v>
      </c>
      <c r="R43" s="67"/>
      <c r="S43" s="62"/>
      <c r="T43" s="77">
        <f t="shared" ref="T43" si="6">H43+I43+J43+K43+N43+P43+R43</f>
        <v>549</v>
      </c>
      <c r="U43" s="77">
        <f>C43*6+M43*6+O43*6+Q43*6+T43</f>
        <v>229689</v>
      </c>
      <c r="V43" s="77">
        <f>U43/6</f>
        <v>38281.5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4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104+648+324+88+540+103+324+432+106</f>
        <v>2669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10</v>
      </c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47679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38</v>
      </c>
      <c r="J58" s="6">
        <f t="shared" si="11"/>
        <v>119</v>
      </c>
      <c r="K58" s="6">
        <f t="shared" si="11"/>
        <v>470</v>
      </c>
      <c r="M58" s="5">
        <f t="shared" ref="M58:R58" si="12">SUM(M7:M57)</f>
        <v>406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634</v>
      </c>
      <c r="R58" s="5">
        <f t="shared" si="12"/>
        <v>16</v>
      </c>
      <c r="S58" s="55"/>
      <c r="T58" s="4">
        <f>SUM(T7:T57)</f>
        <v>1844</v>
      </c>
      <c r="U58" s="90">
        <f>SUM(U7:U57)</f>
        <v>378470</v>
      </c>
      <c r="V58" s="4">
        <f>SUM(V7:V57)</f>
        <v>49330.958333333328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topLeftCell="A33" zoomScale="130" zoomScaleNormal="130" zoomScaleSheetLayoutView="115" workbookViewId="0">
      <selection activeCell="K37" sqref="K3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9"/>
      <c r="Q5" s="99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33+10</f>
        <v>43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1056</v>
      </c>
      <c r="V10" s="58">
        <f t="shared" si="3"/>
        <v>44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1224+53+864+50+1080+29</f>
        <v>3300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11</v>
      </c>
      <c r="P12" s="66">
        <v>14</v>
      </c>
      <c r="Q12" s="66">
        <v>19</v>
      </c>
      <c r="R12" s="67">
        <v>11</v>
      </c>
      <c r="S12" s="62"/>
      <c r="T12" s="69">
        <f t="shared" si="0"/>
        <v>25</v>
      </c>
      <c r="U12" s="69">
        <f>C12*24+M12*24+O12*24+Q12*24+T12</f>
        <v>80113</v>
      </c>
      <c r="V12" s="69">
        <f>U12/24</f>
        <v>3338.0416666666665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47</v>
      </c>
      <c r="D25" s="70"/>
      <c r="E25" s="70"/>
      <c r="F25" s="70"/>
      <c r="G25" s="70"/>
      <c r="H25" s="70"/>
      <c r="I25" s="70"/>
      <c r="J25" s="71"/>
      <c r="K25" s="72">
        <v>1</v>
      </c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>
        <v>3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>
        <v>1</v>
      </c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4562</v>
      </c>
      <c r="V34" s="75">
        <f t="shared" si="5"/>
        <v>190.08333333333334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3024+22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20</v>
      </c>
      <c r="N37" s="64"/>
      <c r="O37" s="65">
        <v>20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19261</v>
      </c>
      <c r="V37" s="77">
        <f>U37/6</f>
        <v>3210.1666666666665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>
        <v>3</v>
      </c>
      <c r="R38" s="72"/>
      <c r="S38" s="55"/>
      <c r="T38" s="75">
        <f t="shared" si="0"/>
        <v>0</v>
      </c>
      <c r="U38" s="75">
        <f>C38*24+M38*24+O38*24+Q38*24+T38</f>
        <v>96</v>
      </c>
      <c r="V38" s="75">
        <f>U38/24</f>
        <v>4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7532</v>
      </c>
      <c r="V40" s="77">
        <f>U40/24</f>
        <v>313.83333333333331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480+11</f>
        <v>491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6432</v>
      </c>
      <c r="V41" s="88">
        <f>U41/12</f>
        <v>536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5832+19764+10260+29</f>
        <v>35885</v>
      </c>
      <c r="D43" s="65"/>
      <c r="E43" s="65"/>
      <c r="F43" s="65"/>
      <c r="G43" s="65"/>
      <c r="H43" s="65">
        <v>1</v>
      </c>
      <c r="I43" s="65">
        <v>12</v>
      </c>
      <c r="J43" s="66">
        <f>19*6</f>
        <v>114</v>
      </c>
      <c r="K43" s="67">
        <f>71*6+2</f>
        <v>428</v>
      </c>
      <c r="L43" s="62"/>
      <c r="M43" s="63">
        <v>364</v>
      </c>
      <c r="N43" s="64"/>
      <c r="O43" s="65">
        <v>371</v>
      </c>
      <c r="P43" s="66"/>
      <c r="Q43" s="66">
        <v>508</v>
      </c>
      <c r="R43" s="67"/>
      <c r="S43" s="62"/>
      <c r="T43" s="77">
        <f t="shared" ref="T43" si="6">H43+I43+J43+K43+N43+P43+R43</f>
        <v>555</v>
      </c>
      <c r="U43" s="77">
        <f>C43*6+M43*6+O43*6+Q43*6+T43</f>
        <v>223323</v>
      </c>
      <c r="V43" s="77">
        <f>U43/6</f>
        <v>37220.5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>
        <v>3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43</v>
      </c>
      <c r="J58" s="6">
        <f t="shared" si="11"/>
        <v>119</v>
      </c>
      <c r="K58" s="6">
        <f t="shared" si="11"/>
        <v>471</v>
      </c>
      <c r="M58" s="5">
        <f t="shared" ref="M58:R58" si="12">SUM(M7:M57)</f>
        <v>411</v>
      </c>
      <c r="N58" s="5">
        <f t="shared" si="12"/>
        <v>0</v>
      </c>
      <c r="O58" s="5">
        <f t="shared" si="12"/>
        <v>441</v>
      </c>
      <c r="P58" s="5">
        <f t="shared" si="12"/>
        <v>26</v>
      </c>
      <c r="Q58" s="5">
        <f t="shared" si="12"/>
        <v>693</v>
      </c>
      <c r="R58" s="5">
        <f t="shared" si="12"/>
        <v>14</v>
      </c>
      <c r="S58" s="55"/>
      <c r="T58" s="4">
        <f>SUM(T7:T57)</f>
        <v>1862</v>
      </c>
      <c r="U58" s="90">
        <f>SUM(U7:U57)</f>
        <v>368240</v>
      </c>
      <c r="V58" s="4">
        <f>SUM(V7:V57)</f>
        <v>47978.458333333336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zoomScale="98" zoomScaleNormal="98" zoomScaleSheetLayoutView="115" workbookViewId="0">
      <selection activeCell="Y41" sqref="Y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9"/>
      <c r="Q5" s="99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f>16</f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zoomScale="91" zoomScaleNormal="91" zoomScaleSheetLayoutView="115" workbookViewId="0">
      <selection activeCell="A12" sqref="A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9"/>
      <c r="Q5" s="99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04419-184F-4CE3-BF04-EDA1B752AE66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100"/>
      <c r="Q5" s="100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57+30</f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26+10</f>
        <v>36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912</v>
      </c>
      <c r="V10" s="58">
        <f t="shared" si="3"/>
        <v>38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1224+53+792+7+1080+29</f>
        <v>3185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4</v>
      </c>
      <c r="O12" s="65">
        <v>10</v>
      </c>
      <c r="P12" s="66">
        <v>18</v>
      </c>
      <c r="Q12" s="66">
        <v>24</v>
      </c>
      <c r="R12" s="67">
        <v>5</v>
      </c>
      <c r="S12" s="62"/>
      <c r="T12" s="69">
        <f t="shared" si="0"/>
        <v>27</v>
      </c>
      <c r="U12" s="69">
        <f>C12*24+M12*24+O12*24+Q12*24+T12</f>
        <v>77883</v>
      </c>
      <c r="V12" s="69">
        <f>U12/24</f>
        <v>3245.125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144+36</f>
        <v>180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/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2592+79</f>
        <v>2671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40</v>
      </c>
      <c r="N37" s="64"/>
      <c r="O37" s="65">
        <v>29</v>
      </c>
      <c r="P37" s="66"/>
      <c r="Q37" s="66">
        <v>101</v>
      </c>
      <c r="R37" s="67"/>
      <c r="S37" s="62"/>
      <c r="T37" s="77">
        <f t="shared" si="0"/>
        <v>19</v>
      </c>
      <c r="U37" s="77">
        <f>C37*6+M37*6+O37*6+Q37*6+T37</f>
        <v>17065</v>
      </c>
      <c r="V37" s="77">
        <f>U37/6</f>
        <v>2844.1666666666665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252+53</f>
        <v>305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384+27</f>
        <v>411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7</v>
      </c>
      <c r="N41" s="87"/>
      <c r="O41" s="82">
        <v>8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5352</v>
      </c>
      <c r="V41" s="88">
        <f>U41/12</f>
        <v>446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</f>
        <v>35856</v>
      </c>
      <c r="D43" s="65"/>
      <c r="E43" s="65"/>
      <c r="F43" s="65"/>
      <c r="G43" s="65"/>
      <c r="H43" s="65">
        <v>10</v>
      </c>
      <c r="I43" s="65">
        <v>12</v>
      </c>
      <c r="J43" s="66">
        <f>22*6+3</f>
        <v>135</v>
      </c>
      <c r="K43" s="67">
        <f>71*6+2</f>
        <v>428</v>
      </c>
      <c r="L43" s="62"/>
      <c r="M43" s="63">
        <v>759</v>
      </c>
      <c r="N43" s="64"/>
      <c r="O43" s="65">
        <v>444</v>
      </c>
      <c r="P43" s="66"/>
      <c r="Q43" s="66">
        <v>506</v>
      </c>
      <c r="R43" s="67"/>
      <c r="S43" s="62"/>
      <c r="T43" s="77">
        <f t="shared" ref="T43" si="6">H43+I43+J43+K43+N43+P43+R43</f>
        <v>585</v>
      </c>
      <c r="U43" s="77">
        <f>C43*6+M43*6+O43*6+Q43*6+T43</f>
        <v>225975</v>
      </c>
      <c r="V43" s="77">
        <f>U43/6</f>
        <v>37662.5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45638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44</v>
      </c>
      <c r="J58" s="6">
        <f t="shared" si="11"/>
        <v>140</v>
      </c>
      <c r="K58" s="6">
        <f t="shared" si="11"/>
        <v>470</v>
      </c>
      <c r="M58" s="5">
        <f t="shared" ref="M58:R58" si="12">SUM(M7:M57)</f>
        <v>838</v>
      </c>
      <c r="N58" s="5">
        <f t="shared" si="12"/>
        <v>4</v>
      </c>
      <c r="O58" s="5">
        <f t="shared" si="12"/>
        <v>518</v>
      </c>
      <c r="P58" s="5">
        <f t="shared" si="12"/>
        <v>30</v>
      </c>
      <c r="Q58" s="5">
        <f t="shared" si="12"/>
        <v>662</v>
      </c>
      <c r="R58" s="5">
        <f t="shared" si="12"/>
        <v>8</v>
      </c>
      <c r="S58" s="55"/>
      <c r="T58" s="4">
        <f>SUM(T7:T57)</f>
        <v>1894</v>
      </c>
      <c r="U58" s="90">
        <f>SUM(U7:U57)</f>
        <v>364036</v>
      </c>
      <c r="V58" s="4">
        <f>SUM(V7:V57)</f>
        <v>47811.541666666664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5A562-FC08-4F6D-8F24-EB56A0E8599E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101"/>
      <c r="Q5" s="101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56+30</f>
        <v>86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2088</v>
      </c>
      <c r="V9" s="76">
        <f t="shared" ref="V9:V11" si="3">U9/24</f>
        <v>87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25+10</f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864</v>
      </c>
      <c r="V10" s="58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1224+53+720+69+1080+29</f>
        <v>3175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12</v>
      </c>
      <c r="P12" s="66">
        <v>21</v>
      </c>
      <c r="Q12" s="66">
        <v>15</v>
      </c>
      <c r="R12" s="67">
        <v>5</v>
      </c>
      <c r="S12" s="62"/>
      <c r="T12" s="69">
        <f t="shared" si="0"/>
        <v>26</v>
      </c>
      <c r="U12" s="69">
        <f>C12*24+M12*24+O12*24+Q12*24+T12</f>
        <v>77234</v>
      </c>
      <c r="V12" s="69">
        <f>U12/24</f>
        <v>3218.0833333333335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39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144+34</f>
        <v>178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2592+60</f>
        <v>2652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50</v>
      </c>
      <c r="N37" s="64"/>
      <c r="O37" s="65">
        <v>15</v>
      </c>
      <c r="P37" s="66"/>
      <c r="Q37" s="66">
        <v>66</v>
      </c>
      <c r="R37" s="67"/>
      <c r="S37" s="62"/>
      <c r="T37" s="77">
        <f t="shared" si="0"/>
        <v>19</v>
      </c>
      <c r="U37" s="77">
        <f>C37*6+M37*6+O37*6+Q37*6+T37</f>
        <v>16717</v>
      </c>
      <c r="V37" s="77">
        <f>U37/6</f>
        <v>2786.1666666666665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51+252</f>
        <v>303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384+9</f>
        <v>393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5160</v>
      </c>
      <c r="V41" s="88">
        <f>U41/12</f>
        <v>430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6971+19764+10260</f>
        <v>36995</v>
      </c>
      <c r="D43" s="65"/>
      <c r="E43" s="65"/>
      <c r="F43" s="65"/>
      <c r="G43" s="65"/>
      <c r="H43" s="65">
        <v>8</v>
      </c>
      <c r="I43" s="65">
        <v>12</v>
      </c>
      <c r="J43" s="66">
        <f>22*6+5</f>
        <v>137</v>
      </c>
      <c r="K43" s="67">
        <f>69*6+1</f>
        <v>415</v>
      </c>
      <c r="L43" s="62"/>
      <c r="M43" s="63">
        <v>302</v>
      </c>
      <c r="N43" s="64"/>
      <c r="O43" s="65">
        <v>450</v>
      </c>
      <c r="P43" s="66"/>
      <c r="Q43" s="66">
        <v>448</v>
      </c>
      <c r="R43" s="67"/>
      <c r="S43" s="62"/>
      <c r="T43" s="77">
        <f t="shared" ref="T43" si="6">H43+I43+J43+K43+N43+P43+R43</f>
        <v>572</v>
      </c>
      <c r="U43" s="77">
        <f>C43*6+M43*6+O43*6+Q43*6+T43</f>
        <v>229742</v>
      </c>
      <c r="V43" s="77">
        <f>U43/6</f>
        <v>38290.333333333336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46721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142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508</v>
      </c>
      <c r="P58" s="5">
        <f t="shared" si="12"/>
        <v>33</v>
      </c>
      <c r="Q58" s="5">
        <f t="shared" si="12"/>
        <v>563</v>
      </c>
      <c r="R58" s="5">
        <f t="shared" si="12"/>
        <v>8</v>
      </c>
      <c r="S58" s="55"/>
      <c r="T58" s="4">
        <f>SUM(T7:T57)</f>
        <v>1880</v>
      </c>
      <c r="U58" s="90">
        <f>SUM(U7:U57)</f>
        <v>366434</v>
      </c>
      <c r="V58" s="4">
        <f>SUM(V7:V57)</f>
        <v>48326.333333333336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3ACD1-5C40-4744-844F-FD1ECB768037}">
  <sheetPr>
    <pageSetUpPr fitToPage="1"/>
  </sheetPr>
  <dimension ref="A1:BB81"/>
  <sheetViews>
    <sheetView tabSelected="1" topLeftCell="A28" zoomScale="91" zoomScaleNormal="91" zoomScaleSheetLayoutView="115" workbookViewId="0">
      <selection activeCell="Y51" sqref="Y5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102"/>
      <c r="Q5" s="102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35+38</f>
        <v>73</v>
      </c>
      <c r="D8" s="59"/>
      <c r="E8" s="59"/>
      <c r="F8" s="59"/>
      <c r="G8" s="59"/>
      <c r="H8" s="59"/>
      <c r="I8" s="59"/>
      <c r="J8" s="60"/>
      <c r="K8" s="61"/>
      <c r="L8" s="62"/>
      <c r="M8" s="63">
        <v>4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1908</v>
      </c>
      <c r="V8" s="69">
        <f>U8/24</f>
        <v>79.5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30+41</f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10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1944</v>
      </c>
      <c r="V9" s="76">
        <f t="shared" ref="V9:V11" si="3">U9/24</f>
        <v>81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10+10</f>
        <v>20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10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720</v>
      </c>
      <c r="V10" s="58">
        <f t="shared" si="3"/>
        <v>30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>
        <v>9</v>
      </c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1224+53+720+43+1080+29</f>
        <v>3149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>
        <v>20</v>
      </c>
      <c r="O12" s="65">
        <v>11</v>
      </c>
      <c r="P12" s="66">
        <v>18</v>
      </c>
      <c r="Q12" s="66">
        <v>21</v>
      </c>
      <c r="R12" s="67"/>
      <c r="S12" s="62"/>
      <c r="T12" s="69">
        <f t="shared" si="0"/>
        <v>38</v>
      </c>
      <c r="U12" s="69">
        <f>C12*24+M12*24+O12*24+Q12*24+T12</f>
        <v>76670</v>
      </c>
      <c r="V12" s="69">
        <f>U12/24</f>
        <v>3194.5833333333335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>
        <v>1</v>
      </c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>
        <v>1</v>
      </c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35+126</f>
        <v>161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3985</v>
      </c>
      <c r="V25" s="75">
        <f t="shared" si="5"/>
        <v>166.04166666666666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>
        <v>1</v>
      </c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11</v>
      </c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4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3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192</v>
      </c>
      <c r="V30" s="75">
        <f t="shared" si="5"/>
        <v>8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144+23</f>
        <v>167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11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4346</v>
      </c>
      <c r="V34" s="75">
        <f t="shared" si="5"/>
        <v>181.08333333333334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64+864+2376</f>
        <v>3304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6+2</f>
        <v>8</v>
      </c>
      <c r="L37" s="62"/>
      <c r="M37" s="63">
        <v>35</v>
      </c>
      <c r="N37" s="64"/>
      <c r="O37" s="65">
        <v>25</v>
      </c>
      <c r="P37" s="66"/>
      <c r="Q37" s="66">
        <v>157</v>
      </c>
      <c r="R37" s="67"/>
      <c r="S37" s="62"/>
      <c r="T37" s="77">
        <f t="shared" si="0"/>
        <v>19</v>
      </c>
      <c r="U37" s="77">
        <f>C37*6+M37*6+O37*6+Q37*6+T37</f>
        <v>21145</v>
      </c>
      <c r="V37" s="77">
        <f>U37/6</f>
        <v>3524.1666666666665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189+66</f>
        <v>255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6260</v>
      </c>
      <c r="V40" s="77">
        <f>U40/24</f>
        <v>260.83333333333331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288+39</f>
        <v>327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25</v>
      </c>
      <c r="N41" s="87"/>
      <c r="O41" s="82">
        <v>9</v>
      </c>
      <c r="P41" s="83"/>
      <c r="Q41" s="83">
        <v>44</v>
      </c>
      <c r="R41" s="84"/>
      <c r="S41" s="85"/>
      <c r="T41" s="88">
        <f t="shared" si="0"/>
        <v>0</v>
      </c>
      <c r="U41" s="88">
        <f>C41*12+M41*12+O41*12+Q41*12+T41</f>
        <v>4860</v>
      </c>
      <c r="V41" s="88">
        <f>U41/12</f>
        <v>405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8856+9720+19764</f>
        <v>38340</v>
      </c>
      <c r="D43" s="65"/>
      <c r="E43" s="65"/>
      <c r="F43" s="65"/>
      <c r="G43" s="65"/>
      <c r="H43" s="65">
        <v>9</v>
      </c>
      <c r="I43" s="65">
        <v>12</v>
      </c>
      <c r="J43" s="66">
        <f>26*6+4</f>
        <v>160</v>
      </c>
      <c r="K43" s="67">
        <f>69*6+1</f>
        <v>415</v>
      </c>
      <c r="L43" s="62"/>
      <c r="M43" s="63">
        <v>422</v>
      </c>
      <c r="N43" s="64"/>
      <c r="O43" s="65">
        <v>443</v>
      </c>
      <c r="P43" s="66"/>
      <c r="Q43" s="66">
        <v>563</v>
      </c>
      <c r="R43" s="67"/>
      <c r="S43" s="62"/>
      <c r="T43" s="77">
        <f t="shared" ref="T43" si="6">H43+I43+J43+K43+N43+P43+R43</f>
        <v>596</v>
      </c>
      <c r="U43" s="77">
        <f>C43*6+M43*6+O43*6+Q43*6+T43</f>
        <v>239204</v>
      </c>
      <c r="V43" s="77">
        <f>U43/6</f>
        <v>39867.333333333336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89+648+324+88+432+98+103+324+432+106</f>
        <v>2644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15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48611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166</v>
      </c>
      <c r="K58" s="6">
        <f t="shared" si="11"/>
        <v>457</v>
      </c>
      <c r="M58" s="5">
        <f t="shared" ref="M58:R58" si="12">SUM(M7:M57)</f>
        <v>573</v>
      </c>
      <c r="N58" s="5">
        <f t="shared" si="12"/>
        <v>20</v>
      </c>
      <c r="O58" s="5">
        <f t="shared" si="12"/>
        <v>511</v>
      </c>
      <c r="P58" s="5">
        <f t="shared" si="12"/>
        <v>30</v>
      </c>
      <c r="Q58" s="5">
        <f t="shared" si="12"/>
        <v>798</v>
      </c>
      <c r="R58" s="5">
        <f t="shared" si="12"/>
        <v>3</v>
      </c>
      <c r="S58" s="55"/>
      <c r="T58" s="4">
        <f>SUM(T7:T57)</f>
        <v>1916</v>
      </c>
      <c r="U58" s="90">
        <f>SUM(U7:U57)</f>
        <v>380852</v>
      </c>
      <c r="V58" s="4">
        <f>SUM(V7:V57)</f>
        <v>50650.833333333336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08-18-2026</vt:lpstr>
      <vt:lpstr>08-19-2026</vt:lpstr>
      <vt:lpstr>08-20-2026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'08-18-2026'!Print_Area</vt:lpstr>
      <vt:lpstr>'08-19-2026'!Print_Area</vt:lpstr>
      <vt:lpstr>'08-20-2026'!Print_Area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2026-08-20T02:21:31Z</dcterms:modified>
</cp:coreProperties>
</file>