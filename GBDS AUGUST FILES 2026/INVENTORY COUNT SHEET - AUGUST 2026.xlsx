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46E6EEEB-A172-4BB2-AC72-76B1FEA93262}" xr6:coauthVersionLast="45" xr6:coauthVersionMax="45" xr10:uidLastSave="{00000000-0000-0000-0000-000000000000}"/>
  <bookViews>
    <workbookView xWindow="-120" yWindow="-120" windowWidth="29040" windowHeight="15840" firstSheet="5" activeTab="14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  <sheet name="08-18-2026" sheetId="81" r:id="rId14"/>
    <sheet name="08-19-2026" sheetId="82" r:id="rId15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13">'08-18-2026'!$A$1:$W$59</definedName>
    <definedName name="_xlnm.Print_Area" localSheetId="14">'08-19-2026'!$A$1:$W$59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7" i="82" l="1"/>
  <c r="T37" i="82" s="1"/>
  <c r="C43" i="82"/>
  <c r="C47" i="82"/>
  <c r="K43" i="82"/>
  <c r="J43" i="82"/>
  <c r="C41" i="82"/>
  <c r="U41" i="82" s="1"/>
  <c r="V41" i="82" s="1"/>
  <c r="C40" i="82"/>
  <c r="C37" i="82"/>
  <c r="C34" i="82"/>
  <c r="H24" i="82"/>
  <c r="H23" i="82"/>
  <c r="H21" i="82"/>
  <c r="H19" i="82"/>
  <c r="H17" i="82"/>
  <c r="T17" i="82" s="1"/>
  <c r="U17" i="82" s="1"/>
  <c r="V17" i="82" s="1"/>
  <c r="C12" i="82"/>
  <c r="C10" i="82"/>
  <c r="C9" i="82"/>
  <c r="C8" i="82"/>
  <c r="R58" i="82"/>
  <c r="Q58" i="82"/>
  <c r="P58" i="82"/>
  <c r="O58" i="82"/>
  <c r="N58" i="82"/>
  <c r="M58" i="82"/>
  <c r="I58" i="82"/>
  <c r="G58" i="82"/>
  <c r="F58" i="82"/>
  <c r="U54" i="82"/>
  <c r="V54" i="82" s="1"/>
  <c r="T54" i="82"/>
  <c r="T53" i="82"/>
  <c r="U53" i="82" s="1"/>
  <c r="V53" i="82" s="1"/>
  <c r="T52" i="82"/>
  <c r="U52" i="82" s="1"/>
  <c r="V52" i="82" s="1"/>
  <c r="T51" i="82"/>
  <c r="U51" i="82" s="1"/>
  <c r="V51" i="82" s="1"/>
  <c r="T50" i="82"/>
  <c r="U50" i="82" s="1"/>
  <c r="V50" i="82" s="1"/>
  <c r="T49" i="82"/>
  <c r="U49" i="82" s="1"/>
  <c r="V49" i="82" s="1"/>
  <c r="T48" i="82"/>
  <c r="U48" i="82" s="1"/>
  <c r="V48" i="82" s="1"/>
  <c r="T47" i="82"/>
  <c r="T46" i="82"/>
  <c r="U46" i="82" s="1"/>
  <c r="V46" i="82" s="1"/>
  <c r="T45" i="82"/>
  <c r="U45" i="82" s="1"/>
  <c r="V45" i="82" s="1"/>
  <c r="T41" i="82"/>
  <c r="T40" i="82"/>
  <c r="U40" i="82" s="1"/>
  <c r="V40" i="82" s="1"/>
  <c r="T39" i="82"/>
  <c r="U39" i="82" s="1"/>
  <c r="V39" i="82" s="1"/>
  <c r="T38" i="82"/>
  <c r="U38" i="82" s="1"/>
  <c r="V38" i="82" s="1"/>
  <c r="T36" i="82"/>
  <c r="U36" i="82" s="1"/>
  <c r="V36" i="82" s="1"/>
  <c r="T35" i="82"/>
  <c r="U35" i="82" s="1"/>
  <c r="V35" i="82" s="1"/>
  <c r="T34" i="82"/>
  <c r="U34" i="82" s="1"/>
  <c r="V34" i="82" s="1"/>
  <c r="T33" i="82"/>
  <c r="U33" i="82" s="1"/>
  <c r="V33" i="82" s="1"/>
  <c r="T32" i="82"/>
  <c r="U32" i="82" s="1"/>
  <c r="V32" i="82" s="1"/>
  <c r="T31" i="82"/>
  <c r="U31" i="82" s="1"/>
  <c r="V31" i="82" s="1"/>
  <c r="T30" i="82"/>
  <c r="U30" i="82" s="1"/>
  <c r="V30" i="82" s="1"/>
  <c r="T29" i="82"/>
  <c r="U29" i="82" s="1"/>
  <c r="V29" i="82" s="1"/>
  <c r="U28" i="82"/>
  <c r="V28" i="82" s="1"/>
  <c r="T28" i="82"/>
  <c r="T27" i="82"/>
  <c r="U27" i="82" s="1"/>
  <c r="V27" i="82" s="1"/>
  <c r="T26" i="82"/>
  <c r="U26" i="82" s="1"/>
  <c r="V26" i="82" s="1"/>
  <c r="AY25" i="82"/>
  <c r="T25" i="82"/>
  <c r="U25" i="82" s="1"/>
  <c r="V25" i="82" s="1"/>
  <c r="T24" i="82"/>
  <c r="U24" i="82" s="1"/>
  <c r="V24" i="82" s="1"/>
  <c r="T23" i="82"/>
  <c r="U23" i="82" s="1"/>
  <c r="V23" i="82" s="1"/>
  <c r="T22" i="82"/>
  <c r="U22" i="82" s="1"/>
  <c r="V22" i="82" s="1"/>
  <c r="A22" i="82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T21" i="82"/>
  <c r="U21" i="82" s="1"/>
  <c r="V21" i="82" s="1"/>
  <c r="A21" i="82"/>
  <c r="T20" i="82"/>
  <c r="U20" i="82" s="1"/>
  <c r="V20" i="82" s="1"/>
  <c r="A20" i="82"/>
  <c r="T19" i="82"/>
  <c r="U19" i="82" s="1"/>
  <c r="V19" i="82" s="1"/>
  <c r="T18" i="82"/>
  <c r="U18" i="82" s="1"/>
  <c r="V18" i="82" s="1"/>
  <c r="U16" i="82"/>
  <c r="V16" i="82" s="1"/>
  <c r="T16" i="82"/>
  <c r="T15" i="82"/>
  <c r="U15" i="82" s="1"/>
  <c r="V15" i="82" s="1"/>
  <c r="T14" i="82"/>
  <c r="U14" i="82" s="1"/>
  <c r="V14" i="82" s="1"/>
  <c r="A14" i="82"/>
  <c r="A15" i="82" s="1"/>
  <c r="A16" i="82" s="1"/>
  <c r="A17" i="82" s="1"/>
  <c r="A18" i="82" s="1"/>
  <c r="T13" i="82"/>
  <c r="U13" i="82" s="1"/>
  <c r="V13" i="82" s="1"/>
  <c r="T12" i="82"/>
  <c r="T11" i="82"/>
  <c r="U11" i="82" s="1"/>
  <c r="V11" i="82" s="1"/>
  <c r="T10" i="82"/>
  <c r="T9" i="82"/>
  <c r="U9" i="82" s="1"/>
  <c r="V9" i="82" s="1"/>
  <c r="T8" i="82"/>
  <c r="U8" i="82" s="1"/>
  <c r="V8" i="82" s="1"/>
  <c r="A8" i="82"/>
  <c r="A9" i="82" s="1"/>
  <c r="A10" i="82" s="1"/>
  <c r="A11" i="82" s="1"/>
  <c r="T7" i="82"/>
  <c r="K58" i="82" l="1"/>
  <c r="U47" i="82"/>
  <c r="V47" i="82" s="1"/>
  <c r="T43" i="82"/>
  <c r="U43" i="82" s="1"/>
  <c r="V43" i="82" s="1"/>
  <c r="J58" i="82"/>
  <c r="U37" i="82"/>
  <c r="V37" i="82" s="1"/>
  <c r="U12" i="82"/>
  <c r="V12" i="82" s="1"/>
  <c r="C58" i="82"/>
  <c r="U10" i="82"/>
  <c r="V10" i="82" s="1"/>
  <c r="H58" i="82"/>
  <c r="U7" i="82"/>
  <c r="K37" i="81"/>
  <c r="T37" i="81" s="1"/>
  <c r="C37" i="81"/>
  <c r="C47" i="81"/>
  <c r="J43" i="81"/>
  <c r="K43" i="81"/>
  <c r="C43" i="81"/>
  <c r="C41" i="81"/>
  <c r="C40" i="81"/>
  <c r="C34" i="81"/>
  <c r="H24" i="81"/>
  <c r="H23" i="81"/>
  <c r="T23" i="81" s="1"/>
  <c r="U23" i="81" s="1"/>
  <c r="V23" i="81" s="1"/>
  <c r="H21" i="81"/>
  <c r="H19" i="81"/>
  <c r="T19" i="81" s="1"/>
  <c r="U19" i="81" s="1"/>
  <c r="V19" i="81" s="1"/>
  <c r="H17" i="81"/>
  <c r="C12" i="81"/>
  <c r="C10" i="81"/>
  <c r="C9" i="81"/>
  <c r="U9" i="81" s="1"/>
  <c r="V9" i="81" s="1"/>
  <c r="C8" i="81"/>
  <c r="R58" i="81"/>
  <c r="Q58" i="81"/>
  <c r="P58" i="81"/>
  <c r="O58" i="81"/>
  <c r="N58" i="81"/>
  <c r="M58" i="81"/>
  <c r="I58" i="81"/>
  <c r="G58" i="81"/>
  <c r="F58" i="81"/>
  <c r="T54" i="81"/>
  <c r="U54" i="81" s="1"/>
  <c r="V54" i="81" s="1"/>
  <c r="T53" i="81"/>
  <c r="U53" i="81" s="1"/>
  <c r="V53" i="81" s="1"/>
  <c r="T52" i="81"/>
  <c r="U52" i="81" s="1"/>
  <c r="V52" i="81" s="1"/>
  <c r="T51" i="81"/>
  <c r="U51" i="81" s="1"/>
  <c r="V51" i="81" s="1"/>
  <c r="T50" i="81"/>
  <c r="U50" i="81" s="1"/>
  <c r="V50" i="81" s="1"/>
  <c r="U49" i="81"/>
  <c r="V49" i="81" s="1"/>
  <c r="T49" i="81"/>
  <c r="T48" i="81"/>
  <c r="U48" i="81" s="1"/>
  <c r="V48" i="81" s="1"/>
  <c r="T47" i="81"/>
  <c r="T46" i="81"/>
  <c r="U46" i="81" s="1"/>
  <c r="V46" i="81" s="1"/>
  <c r="T45" i="81"/>
  <c r="U45" i="81" s="1"/>
  <c r="V45" i="81" s="1"/>
  <c r="J58" i="81"/>
  <c r="T41" i="81"/>
  <c r="U41" i="81" s="1"/>
  <c r="V41" i="81" s="1"/>
  <c r="T40" i="81"/>
  <c r="U40" i="81" s="1"/>
  <c r="V40" i="81" s="1"/>
  <c r="T39" i="81"/>
  <c r="U39" i="81" s="1"/>
  <c r="V39" i="81" s="1"/>
  <c r="T38" i="81"/>
  <c r="U38" i="81" s="1"/>
  <c r="V38" i="81" s="1"/>
  <c r="T36" i="81"/>
  <c r="U36" i="81" s="1"/>
  <c r="V36" i="81" s="1"/>
  <c r="T35" i="81"/>
  <c r="U35" i="81" s="1"/>
  <c r="V35" i="81" s="1"/>
  <c r="T34" i="81"/>
  <c r="U34" i="81" s="1"/>
  <c r="V34" i="81" s="1"/>
  <c r="T33" i="81"/>
  <c r="U33" i="81" s="1"/>
  <c r="V33" i="81" s="1"/>
  <c r="T32" i="81"/>
  <c r="U32" i="81" s="1"/>
  <c r="V32" i="81" s="1"/>
  <c r="T31" i="81"/>
  <c r="U31" i="81" s="1"/>
  <c r="V31" i="81" s="1"/>
  <c r="T30" i="81"/>
  <c r="U30" i="81" s="1"/>
  <c r="V30" i="81" s="1"/>
  <c r="T29" i="81"/>
  <c r="U29" i="81" s="1"/>
  <c r="V29" i="81" s="1"/>
  <c r="T28" i="81"/>
  <c r="U28" i="81" s="1"/>
  <c r="V28" i="81" s="1"/>
  <c r="T27" i="81"/>
  <c r="U27" i="81" s="1"/>
  <c r="V27" i="81" s="1"/>
  <c r="T26" i="81"/>
  <c r="U26" i="81" s="1"/>
  <c r="V26" i="81" s="1"/>
  <c r="AY25" i="81"/>
  <c r="T25" i="81"/>
  <c r="U25" i="81" s="1"/>
  <c r="V25" i="81" s="1"/>
  <c r="T24" i="81"/>
  <c r="U24" i="81" s="1"/>
  <c r="V24" i="81" s="1"/>
  <c r="U22" i="81"/>
  <c r="V22" i="81" s="1"/>
  <c r="T22" i="81"/>
  <c r="T21" i="81"/>
  <c r="U21" i="81" s="1"/>
  <c r="V21" i="81" s="1"/>
  <c r="T20" i="81"/>
  <c r="U20" i="81" s="1"/>
  <c r="V20" i="81" s="1"/>
  <c r="A20" i="8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T18" i="81"/>
  <c r="U18" i="81" s="1"/>
  <c r="V18" i="81" s="1"/>
  <c r="T16" i="81"/>
  <c r="U16" i="81" s="1"/>
  <c r="V16" i="81" s="1"/>
  <c r="T15" i="81"/>
  <c r="U15" i="81" s="1"/>
  <c r="V15" i="81" s="1"/>
  <c r="T14" i="81"/>
  <c r="U14" i="81" s="1"/>
  <c r="V14" i="81" s="1"/>
  <c r="A14" i="81"/>
  <c r="A15" i="81" s="1"/>
  <c r="A16" i="81" s="1"/>
  <c r="A17" i="81" s="1"/>
  <c r="A18" i="81" s="1"/>
  <c r="T13" i="81"/>
  <c r="U13" i="81" s="1"/>
  <c r="V13" i="81" s="1"/>
  <c r="T12" i="81"/>
  <c r="T11" i="81"/>
  <c r="U11" i="81" s="1"/>
  <c r="V11" i="81" s="1"/>
  <c r="T10" i="81"/>
  <c r="T9" i="81"/>
  <c r="A9" i="81"/>
  <c r="A10" i="81" s="1"/>
  <c r="A11" i="81" s="1"/>
  <c r="T8" i="81"/>
  <c r="A8" i="81"/>
  <c r="T7" i="81"/>
  <c r="U7" i="81" s="1"/>
  <c r="V7" i="81" s="1"/>
  <c r="T58" i="82" l="1"/>
  <c r="U58" i="82"/>
  <c r="V7" i="82"/>
  <c r="V58" i="82" s="1"/>
  <c r="K58" i="81"/>
  <c r="U47" i="81"/>
  <c r="V47" i="81" s="1"/>
  <c r="C58" i="81"/>
  <c r="U37" i="81"/>
  <c r="V37" i="81" s="1"/>
  <c r="H58" i="81"/>
  <c r="U12" i="81"/>
  <c r="V12" i="81" s="1"/>
  <c r="U10" i="81"/>
  <c r="V10" i="81" s="1"/>
  <c r="T17" i="81"/>
  <c r="U17" i="81" s="1"/>
  <c r="V17" i="81" s="1"/>
  <c r="T43" i="81"/>
  <c r="U43" i="81" s="1"/>
  <c r="V43" i="81" s="1"/>
  <c r="U8" i="81"/>
  <c r="C8" i="80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T58" i="81" l="1"/>
  <c r="U58" i="81"/>
  <c r="V8" i="81"/>
  <c r="V58" i="81" s="1"/>
  <c r="C8" i="79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<sst xmlns="http://schemas.openxmlformats.org/spreadsheetml/2006/main" count="1260" uniqueCount="83">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</sst>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1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3" t="s">
        <v>68</v>
      </c>
      <c r="U4" s="115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4" t="s">
        <v>65</v>
      </c>
      <c r="K5" s="105"/>
      <c r="M5" s="37"/>
      <c r="N5" s="49"/>
      <c r="O5" s="40"/>
      <c r="P5" s="89"/>
      <c r="Q5" s="89"/>
      <c r="R5" s="38"/>
      <c r="S5" s="9"/>
      <c r="T5" s="114"/>
      <c r="U5" s="116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6" t="s">
        <v>41</v>
      </c>
      <c r="D62" s="107"/>
      <c r="E62" s="107"/>
      <c r="F62" s="107"/>
      <c r="G62" s="107"/>
      <c r="H62" s="107"/>
      <c r="I62" s="107"/>
      <c r="J62" s="107"/>
      <c r="K62" s="108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6"/>
      <c r="Q5" s="96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7"/>
      <c r="Q5" s="97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7"/>
      <c r="Q5" s="97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7"/>
      <c r="Q5" s="97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9"/>
      <c r="Q5" s="99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9"/>
      <c r="Q5" s="99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topLeftCell="A28"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9"/>
      <c r="Q5" s="99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topLeftCell="A36" zoomScale="91" zoomScaleNormal="91" zoomScaleSheetLayoutView="115" workbookViewId="0">
      <selection activeCell="X53" sqref="X5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9"/>
      <c r="Q5" s="99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4419-184F-4CE3-BF04-EDA1B752AE66}">
  <sheetPr>
    <pageSetUpPr fitToPage="1"/>
  </sheetPr>
  <dimension ref="A1:BB81"/>
  <sheetViews>
    <sheetView topLeftCell="A24" zoomScale="91" zoomScaleNormal="91" zoomScaleSheetLayoutView="115" workbookViewId="0">
      <selection activeCell="Z50" sqref="Z5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0"/>
      <c r="Q5" s="100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57+30</f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26+10</f>
        <v>36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912</v>
      </c>
      <c r="V10" s="58">
        <f t="shared" si="3"/>
        <v>38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1224+53+792+7+1080+29</f>
        <v>3185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4</v>
      </c>
      <c r="O12" s="65">
        <v>10</v>
      </c>
      <c r="P12" s="66">
        <v>18</v>
      </c>
      <c r="Q12" s="66">
        <v>24</v>
      </c>
      <c r="R12" s="67">
        <v>5</v>
      </c>
      <c r="S12" s="62"/>
      <c r="T12" s="69">
        <f t="shared" si="0"/>
        <v>27</v>
      </c>
      <c r="U12" s="69">
        <f>C12*24+M12*24+O12*24+Q12*24+T12</f>
        <v>77883</v>
      </c>
      <c r="V12" s="69">
        <f>U12/24</f>
        <v>3245.125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144+36</f>
        <v>180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2592+79</f>
        <v>2671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40</v>
      </c>
      <c r="N37" s="64"/>
      <c r="O37" s="65">
        <v>29</v>
      </c>
      <c r="P37" s="66"/>
      <c r="Q37" s="66">
        <v>101</v>
      </c>
      <c r="R37" s="67"/>
      <c r="S37" s="62"/>
      <c r="T37" s="77">
        <f t="shared" si="0"/>
        <v>19</v>
      </c>
      <c r="U37" s="77">
        <f>C37*6+M37*6+O37*6+Q37*6+T37</f>
        <v>17065</v>
      </c>
      <c r="V37" s="77">
        <f>U37/6</f>
        <v>2844.1666666666665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252+53</f>
        <v>305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384+27</f>
        <v>411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7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5352</v>
      </c>
      <c r="V41" s="88">
        <f>U41/12</f>
        <v>446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</f>
        <v>35856</v>
      </c>
      <c r="D43" s="65"/>
      <c r="E43" s="65"/>
      <c r="F43" s="65"/>
      <c r="G43" s="65"/>
      <c r="H43" s="65">
        <v>10</v>
      </c>
      <c r="I43" s="65">
        <v>12</v>
      </c>
      <c r="J43" s="66">
        <f>22*6+3</f>
        <v>135</v>
      </c>
      <c r="K43" s="67">
        <f>71*6+2</f>
        <v>428</v>
      </c>
      <c r="L43" s="62"/>
      <c r="M43" s="63">
        <v>759</v>
      </c>
      <c r="N43" s="64"/>
      <c r="O43" s="65">
        <v>444</v>
      </c>
      <c r="P43" s="66"/>
      <c r="Q43" s="66">
        <v>506</v>
      </c>
      <c r="R43" s="67"/>
      <c r="S43" s="62"/>
      <c r="T43" s="77">
        <f t="shared" ref="T43" si="6">H43+I43+J43+K43+N43+P43+R43</f>
        <v>585</v>
      </c>
      <c r="U43" s="77">
        <f>C43*6+M43*6+O43*6+Q43*6+T43</f>
        <v>225975</v>
      </c>
      <c r="V43" s="77">
        <f>U43/6</f>
        <v>37662.5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45638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140</v>
      </c>
      <c r="K58" s="6">
        <f t="shared" si="11"/>
        <v>470</v>
      </c>
      <c r="M58" s="5">
        <f t="shared" ref="M58:R58" si="12">SUM(M7:M57)</f>
        <v>838</v>
      </c>
      <c r="N58" s="5">
        <f t="shared" si="12"/>
        <v>4</v>
      </c>
      <c r="O58" s="5">
        <f t="shared" si="12"/>
        <v>518</v>
      </c>
      <c r="P58" s="5">
        <f t="shared" si="12"/>
        <v>30</v>
      </c>
      <c r="Q58" s="5">
        <f t="shared" si="12"/>
        <v>662</v>
      </c>
      <c r="R58" s="5">
        <f t="shared" si="12"/>
        <v>8</v>
      </c>
      <c r="S58" s="55"/>
      <c r="T58" s="4">
        <f>SUM(T7:T57)</f>
        <v>1894</v>
      </c>
      <c r="U58" s="90">
        <f>SUM(U7:U57)</f>
        <v>364036</v>
      </c>
      <c r="V58" s="4">
        <f>SUM(V7:V57)</f>
        <v>47811.541666666664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A562-FC08-4F6D-8F24-EB56A0E8599E}">
  <sheetPr>
    <pageSetUpPr fitToPage="1"/>
  </sheetPr>
  <dimension ref="A1:BB81"/>
  <sheetViews>
    <sheetView tabSelected="1" topLeftCell="A25" zoomScale="91" zoomScaleNormal="91" zoomScaleSheetLayoutView="115" workbookViewId="0">
      <selection activeCell="Z46" sqref="Z4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1"/>
      <c r="Q5" s="101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56+30</f>
        <v>86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25+10</f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864</v>
      </c>
      <c r="V10" s="58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1224+53+720+69+1080+29</f>
        <v>3175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12</v>
      </c>
      <c r="P12" s="66">
        <v>21</v>
      </c>
      <c r="Q12" s="66">
        <v>15</v>
      </c>
      <c r="R12" s="67">
        <v>5</v>
      </c>
      <c r="S12" s="62"/>
      <c r="T12" s="69">
        <f t="shared" si="0"/>
        <v>26</v>
      </c>
      <c r="U12" s="69">
        <f>C12*24+M12*24+O12*24+Q12*24+T12</f>
        <v>77234</v>
      </c>
      <c r="V12" s="69">
        <f>U12/24</f>
        <v>3218.0833333333335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39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144+34</f>
        <v>178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2592+60</f>
        <v>2652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50</v>
      </c>
      <c r="N37" s="64"/>
      <c r="O37" s="65">
        <v>15</v>
      </c>
      <c r="P37" s="66"/>
      <c r="Q37" s="66">
        <v>66</v>
      </c>
      <c r="R37" s="67"/>
      <c r="S37" s="62"/>
      <c r="T37" s="77">
        <f t="shared" si="0"/>
        <v>19</v>
      </c>
      <c r="U37" s="77">
        <f>C37*6+M37*6+O37*6+Q37*6+T37</f>
        <v>16717</v>
      </c>
      <c r="V37" s="77">
        <f>U37/6</f>
        <v>2786.1666666666665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51+252</f>
        <v>303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384+9</f>
        <v>393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5160</v>
      </c>
      <c r="V41" s="88">
        <f>U41/12</f>
        <v>430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6971+19764+10260</f>
        <v>36995</v>
      </c>
      <c r="D43" s="65"/>
      <c r="E43" s="65"/>
      <c r="F43" s="65"/>
      <c r="G43" s="65"/>
      <c r="H43" s="65">
        <v>8</v>
      </c>
      <c r="I43" s="65">
        <v>12</v>
      </c>
      <c r="J43" s="66">
        <f>22*6+5</f>
        <v>137</v>
      </c>
      <c r="K43" s="67">
        <f>69*6+1</f>
        <v>415</v>
      </c>
      <c r="L43" s="62"/>
      <c r="M43" s="63">
        <v>302</v>
      </c>
      <c r="N43" s="64"/>
      <c r="O43" s="65">
        <v>450</v>
      </c>
      <c r="P43" s="66"/>
      <c r="Q43" s="66">
        <v>448</v>
      </c>
      <c r="R43" s="67"/>
      <c r="S43" s="62"/>
      <c r="T43" s="77">
        <f t="shared" ref="T43" si="6">H43+I43+J43+K43+N43+P43+R43</f>
        <v>572</v>
      </c>
      <c r="U43" s="77">
        <f>C43*6+M43*6+O43*6+Q43*6+T43</f>
        <v>229742</v>
      </c>
      <c r="V43" s="77">
        <f>U43/6</f>
        <v>38290.333333333336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46721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142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508</v>
      </c>
      <c r="P58" s="5">
        <f t="shared" si="12"/>
        <v>33</v>
      </c>
      <c r="Q58" s="5">
        <f t="shared" si="12"/>
        <v>563</v>
      </c>
      <c r="R58" s="5">
        <f t="shared" si="12"/>
        <v>8</v>
      </c>
      <c r="S58" s="55"/>
      <c r="T58" s="4">
        <f>SUM(T7:T57)</f>
        <v>1880</v>
      </c>
      <c r="U58" s="90">
        <f>SUM(U7:U57)</f>
        <v>366434</v>
      </c>
      <c r="V58" s="4">
        <f>SUM(V7:V57)</f>
        <v>48326.333333333336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08-18-2026</vt:lpstr>
      <vt:lpstr>08-19-2026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'08-18-2026'!Print_Area</vt:lpstr>
      <vt:lpstr>'08-19-2026'!Print_Area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2026-08-19T03:12:52Z</dcterms:modified>
</cp:coreProperties>
</file>