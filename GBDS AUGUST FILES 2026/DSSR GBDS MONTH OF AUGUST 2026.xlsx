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1B68AF99-1A4E-46FB-8CA9-B1683484910D}" xr6:coauthVersionLast="45" xr6:coauthVersionMax="45" xr10:uidLastSave="{00000000-0000-0000-0000-000000000000}"/>
  <bookViews>
    <workbookView xWindow="-120" yWindow="-120" windowWidth="29040" windowHeight="15840" firstSheet="3" activeTab="19" xr2:uid="{00000000-000D-0000-FFFF-FFFF00000000}"/>
  </bookViews>
  <sheets>
    <sheet name="EXAMPLE" sheetId="89" r:id="rId1"/>
    <sheet name="08,03" sheetId="132" r:id="rId2"/>
    <sheet name="08,04" sheetId="133" r:id="rId3"/>
    <sheet name="08,05" sheetId="134" r:id="rId4"/>
    <sheet name="08,06" sheetId="135" r:id="rId5"/>
    <sheet name="08,07" sheetId="136" r:id="rId6"/>
    <sheet name="08,08" sheetId="137" r:id="rId7"/>
    <sheet name="08,10" sheetId="138" r:id="rId8"/>
    <sheet name="08,11" sheetId="139" r:id="rId9"/>
    <sheet name="08,12" sheetId="140" r:id="rId10"/>
    <sheet name="08,13" sheetId="141" r:id="rId11"/>
    <sheet name="08,14" sheetId="142" r:id="rId12"/>
    <sheet name="08,15" sheetId="144" r:id="rId13"/>
    <sheet name="08,17" sheetId="145" r:id="rId14"/>
    <sheet name="08,18" sheetId="146" r:id="rId15"/>
    <sheet name="08,19" sheetId="147" r:id="rId16"/>
    <sheet name="08,20" sheetId="148" r:id="rId17"/>
    <sheet name="08,21" sheetId="150" r:id="rId18"/>
    <sheet name="08,24" sheetId="151" r:id="rId19"/>
    <sheet name="08,25" sheetId="152" r:id="rId20"/>
  </sheets>
  <definedNames>
    <definedName name="_xlnm.Print_Area" localSheetId="1">'08,03'!$A$1:$Y$61</definedName>
    <definedName name="_xlnm.Print_Area" localSheetId="2">'08,04'!$A$1:$Y$61</definedName>
    <definedName name="_xlnm.Print_Area" localSheetId="3">'08,05'!$A$1:$Y$61</definedName>
    <definedName name="_xlnm.Print_Area" localSheetId="4">'08,06'!$A$1:$Y$61</definedName>
    <definedName name="_xlnm.Print_Area" localSheetId="5">'08,07'!$A$1:$Y$61</definedName>
    <definedName name="_xlnm.Print_Area" localSheetId="6">'08,08'!$A$1:$Y$61</definedName>
    <definedName name="_xlnm.Print_Area" localSheetId="7">'08,10'!$A$1:$Y$61</definedName>
    <definedName name="_xlnm.Print_Area" localSheetId="8">'08,11'!$A$1:$Y$61</definedName>
    <definedName name="_xlnm.Print_Area" localSheetId="9">'08,12'!$A$1:$Y$61</definedName>
    <definedName name="_xlnm.Print_Area" localSheetId="10">'08,13'!$A$1:$Y$61</definedName>
    <definedName name="_xlnm.Print_Area" localSheetId="11">'08,14'!$A$1:$Y$61</definedName>
    <definedName name="_xlnm.Print_Area" localSheetId="12">'08,15'!$A$1:$Y$61</definedName>
    <definedName name="_xlnm.Print_Area" localSheetId="13">'08,17'!$A$1:$Y$61</definedName>
    <definedName name="_xlnm.Print_Area" localSheetId="14">'08,18'!$A$1:$Y$61</definedName>
    <definedName name="_xlnm.Print_Area" localSheetId="15">'08,19'!$A$1:$Y$61</definedName>
    <definedName name="_xlnm.Print_Area" localSheetId="16">'08,20'!$A$1:$Y$61</definedName>
    <definedName name="_xlnm.Print_Area" localSheetId="17">'08,21'!$A$1:$Y$61</definedName>
    <definedName name="_xlnm.Print_Area" localSheetId="18">'08,24'!$A$1:$Y$61</definedName>
    <definedName name="_xlnm.Print_Area" localSheetId="19">'08,25'!$A$1:$Y$61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4" i="152" l="1"/>
  <c r="I41" i="152"/>
  <c r="J13" i="152"/>
  <c r="I13" i="152"/>
  <c r="Q60" i="152"/>
  <c r="P60" i="152"/>
  <c r="O60" i="152"/>
  <c r="N60" i="152"/>
  <c r="M60" i="152"/>
  <c r="L60" i="152"/>
  <c r="H60" i="152"/>
  <c r="G60" i="152"/>
  <c r="E60" i="152"/>
  <c r="D60" i="152"/>
  <c r="C60" i="152"/>
  <c r="S59" i="152"/>
  <c r="R59" i="152"/>
  <c r="J59" i="152"/>
  <c r="I59" i="152"/>
  <c r="S58" i="152"/>
  <c r="R58" i="152"/>
  <c r="J58" i="152"/>
  <c r="I58" i="152"/>
  <c r="S57" i="152"/>
  <c r="R57" i="152"/>
  <c r="J57" i="152"/>
  <c r="I57" i="152"/>
  <c r="S56" i="152"/>
  <c r="R56" i="152"/>
  <c r="J56" i="152"/>
  <c r="I56" i="152"/>
  <c r="S55" i="152"/>
  <c r="R55" i="152"/>
  <c r="J55" i="152"/>
  <c r="I55" i="152"/>
  <c r="U54" i="152"/>
  <c r="V54" i="152" s="1"/>
  <c r="S54" i="152"/>
  <c r="R54" i="152"/>
  <c r="J54" i="152"/>
  <c r="I54" i="152"/>
  <c r="W54" i="152" s="1"/>
  <c r="U53" i="152"/>
  <c r="V53" i="152" s="1"/>
  <c r="S53" i="152"/>
  <c r="R53" i="152"/>
  <c r="J53" i="152"/>
  <c r="I53" i="152"/>
  <c r="W53" i="152" s="1"/>
  <c r="U52" i="152"/>
  <c r="V52" i="152" s="1"/>
  <c r="S52" i="152"/>
  <c r="R52" i="152"/>
  <c r="J52" i="152"/>
  <c r="I52" i="152"/>
  <c r="W52" i="152" s="1"/>
  <c r="U51" i="152"/>
  <c r="V51" i="152" s="1"/>
  <c r="S51" i="152"/>
  <c r="R51" i="152"/>
  <c r="J51" i="152"/>
  <c r="I51" i="152"/>
  <c r="W51" i="152" s="1"/>
  <c r="U50" i="152"/>
  <c r="V50" i="152" s="1"/>
  <c r="S50" i="152"/>
  <c r="R50" i="152"/>
  <c r="J50" i="152"/>
  <c r="I50" i="152"/>
  <c r="W50" i="152" s="1"/>
  <c r="U49" i="152"/>
  <c r="V49" i="152" s="1"/>
  <c r="S49" i="152"/>
  <c r="R49" i="152"/>
  <c r="J49" i="152"/>
  <c r="I49" i="152"/>
  <c r="W49" i="152" s="1"/>
  <c r="U48" i="152"/>
  <c r="V48" i="152" s="1"/>
  <c r="S48" i="152"/>
  <c r="R48" i="152"/>
  <c r="J48" i="152"/>
  <c r="I48" i="152"/>
  <c r="W48" i="152" s="1"/>
  <c r="U47" i="152"/>
  <c r="V47" i="152" s="1"/>
  <c r="S47" i="152"/>
  <c r="R47" i="152"/>
  <c r="J47" i="152"/>
  <c r="I47" i="152"/>
  <c r="W47" i="152" s="1"/>
  <c r="U46" i="152"/>
  <c r="V46" i="152" s="1"/>
  <c r="S46" i="152"/>
  <c r="R46" i="152"/>
  <c r="J46" i="152"/>
  <c r="I46" i="152"/>
  <c r="S45" i="152"/>
  <c r="R45" i="152"/>
  <c r="J45" i="152"/>
  <c r="I45" i="152"/>
  <c r="U44" i="152"/>
  <c r="V44" i="152" s="1"/>
  <c r="S44" i="152"/>
  <c r="J44" i="152"/>
  <c r="S43" i="152"/>
  <c r="R43" i="152"/>
  <c r="J43" i="152"/>
  <c r="I43" i="152"/>
  <c r="U42" i="152"/>
  <c r="V42" i="152" s="1"/>
  <c r="S42" i="152"/>
  <c r="R42" i="152"/>
  <c r="J42" i="152"/>
  <c r="I42" i="152"/>
  <c r="U41" i="152"/>
  <c r="V41" i="152" s="1"/>
  <c r="S41" i="152"/>
  <c r="R41" i="152"/>
  <c r="J41" i="152"/>
  <c r="U40" i="152"/>
  <c r="V40" i="152" s="1"/>
  <c r="S40" i="152"/>
  <c r="R40" i="152"/>
  <c r="J40" i="152"/>
  <c r="I40" i="152"/>
  <c r="W40" i="152" s="1"/>
  <c r="U39" i="152"/>
  <c r="V39" i="152" s="1"/>
  <c r="S39" i="152"/>
  <c r="R39" i="152"/>
  <c r="J39" i="152"/>
  <c r="I39" i="152"/>
  <c r="V38" i="152"/>
  <c r="S38" i="152"/>
  <c r="J38" i="152"/>
  <c r="I38" i="152"/>
  <c r="W38" i="152" s="1"/>
  <c r="U37" i="152"/>
  <c r="V37" i="152" s="1"/>
  <c r="S37" i="152"/>
  <c r="R37" i="152"/>
  <c r="J37" i="152"/>
  <c r="I37" i="152"/>
  <c r="W37" i="152" s="1"/>
  <c r="U36" i="152"/>
  <c r="V36" i="152" s="1"/>
  <c r="S36" i="152"/>
  <c r="R36" i="152"/>
  <c r="J36" i="152"/>
  <c r="I36" i="152"/>
  <c r="W36" i="152" s="1"/>
  <c r="U35" i="152"/>
  <c r="V35" i="152" s="1"/>
  <c r="S35" i="152"/>
  <c r="R35" i="152"/>
  <c r="J35" i="152"/>
  <c r="I35" i="152"/>
  <c r="U34" i="152"/>
  <c r="V34" i="152" s="1"/>
  <c r="S34" i="152"/>
  <c r="R34" i="152"/>
  <c r="J34" i="152"/>
  <c r="I34" i="152"/>
  <c r="W34" i="152" s="1"/>
  <c r="U33" i="152"/>
  <c r="V33" i="152" s="1"/>
  <c r="S33" i="152"/>
  <c r="R33" i="152"/>
  <c r="J33" i="152"/>
  <c r="I33" i="152"/>
  <c r="W33" i="152" s="1"/>
  <c r="U32" i="152"/>
  <c r="V32" i="152" s="1"/>
  <c r="S32" i="152"/>
  <c r="R32" i="152"/>
  <c r="J32" i="152"/>
  <c r="I32" i="152"/>
  <c r="W32" i="152" s="1"/>
  <c r="U31" i="152"/>
  <c r="V31" i="152" s="1"/>
  <c r="S31" i="152"/>
  <c r="R31" i="152"/>
  <c r="J31" i="152"/>
  <c r="I31" i="152"/>
  <c r="W31" i="152" s="1"/>
  <c r="U30" i="152"/>
  <c r="V30" i="152" s="1"/>
  <c r="S30" i="152"/>
  <c r="R30" i="152"/>
  <c r="J30" i="152"/>
  <c r="I30" i="152"/>
  <c r="U29" i="152"/>
  <c r="V29" i="152" s="1"/>
  <c r="S29" i="152"/>
  <c r="R29" i="152"/>
  <c r="J29" i="152"/>
  <c r="I29" i="152"/>
  <c r="U28" i="152"/>
  <c r="V28" i="152" s="1"/>
  <c r="S28" i="152"/>
  <c r="R28" i="152"/>
  <c r="J28" i="152"/>
  <c r="I28" i="152"/>
  <c r="W28" i="152" s="1"/>
  <c r="U27" i="152"/>
  <c r="V27" i="152" s="1"/>
  <c r="S27" i="152"/>
  <c r="R27" i="152"/>
  <c r="J27" i="152"/>
  <c r="I27" i="152"/>
  <c r="W27" i="152" s="1"/>
  <c r="BE26" i="152"/>
  <c r="U26" i="152"/>
  <c r="V26" i="152" s="1"/>
  <c r="S26" i="152"/>
  <c r="R26" i="152"/>
  <c r="J26" i="152"/>
  <c r="I26" i="152"/>
  <c r="U25" i="152"/>
  <c r="V25" i="152" s="1"/>
  <c r="S25" i="152"/>
  <c r="R25" i="152"/>
  <c r="J25" i="152"/>
  <c r="I25" i="152"/>
  <c r="W25" i="152" s="1"/>
  <c r="V24" i="152"/>
  <c r="U24" i="152"/>
  <c r="S24" i="152"/>
  <c r="R24" i="152"/>
  <c r="J24" i="152"/>
  <c r="I24" i="152"/>
  <c r="W24" i="152" s="1"/>
  <c r="U23" i="152"/>
  <c r="V23" i="152" s="1"/>
  <c r="S23" i="152"/>
  <c r="R23" i="152"/>
  <c r="J23" i="152"/>
  <c r="I23" i="152"/>
  <c r="V22" i="152"/>
  <c r="U22" i="152"/>
  <c r="S22" i="152"/>
  <c r="R22" i="152"/>
  <c r="J22" i="152"/>
  <c r="I22" i="152"/>
  <c r="W22" i="152" s="1"/>
  <c r="U21" i="152"/>
  <c r="V21" i="152" s="1"/>
  <c r="S21" i="152"/>
  <c r="R21" i="152"/>
  <c r="J21" i="152"/>
  <c r="I21" i="152"/>
  <c r="W21" i="152" s="1"/>
  <c r="V20" i="152"/>
  <c r="U20" i="152"/>
  <c r="S20" i="152"/>
  <c r="R20" i="152"/>
  <c r="J20" i="152"/>
  <c r="I20" i="152"/>
  <c r="U19" i="152"/>
  <c r="V19" i="152" s="1"/>
  <c r="S19" i="152"/>
  <c r="R19" i="152"/>
  <c r="J19" i="152"/>
  <c r="I19" i="152"/>
  <c r="W19" i="152" s="1"/>
  <c r="V18" i="152"/>
  <c r="U18" i="152"/>
  <c r="S18" i="152"/>
  <c r="R18" i="152"/>
  <c r="J18" i="152"/>
  <c r="I18" i="152"/>
  <c r="W18" i="152" s="1"/>
  <c r="U17" i="152"/>
  <c r="V17" i="152" s="1"/>
  <c r="S17" i="152"/>
  <c r="R17" i="152"/>
  <c r="J17" i="152"/>
  <c r="I17" i="152"/>
  <c r="W17" i="152" s="1"/>
  <c r="V16" i="152"/>
  <c r="U16" i="152"/>
  <c r="S16" i="152"/>
  <c r="R16" i="152"/>
  <c r="J16" i="152"/>
  <c r="I16" i="152"/>
  <c r="W16" i="152" s="1"/>
  <c r="U15" i="152"/>
  <c r="V15" i="152" s="1"/>
  <c r="S15" i="152"/>
  <c r="R15" i="152"/>
  <c r="J15" i="152"/>
  <c r="I15" i="152"/>
  <c r="W15" i="152" s="1"/>
  <c r="V14" i="152"/>
  <c r="U14" i="152"/>
  <c r="S14" i="152"/>
  <c r="R14" i="152"/>
  <c r="J14" i="152"/>
  <c r="I14" i="152"/>
  <c r="W14" i="152" s="1"/>
  <c r="U13" i="152"/>
  <c r="V13" i="152" s="1"/>
  <c r="S13" i="152"/>
  <c r="R13" i="152"/>
  <c r="V12" i="152"/>
  <c r="U12" i="152"/>
  <c r="S12" i="152"/>
  <c r="R12" i="152"/>
  <c r="J12" i="152"/>
  <c r="W12" i="152" s="1"/>
  <c r="I12" i="152"/>
  <c r="U11" i="152"/>
  <c r="V11" i="152" s="1"/>
  <c r="S11" i="152"/>
  <c r="J11" i="152"/>
  <c r="I11" i="152"/>
  <c r="U10" i="152"/>
  <c r="V10" i="152" s="1"/>
  <c r="S10" i="152"/>
  <c r="J10" i="152"/>
  <c r="I10" i="152"/>
  <c r="W10" i="152" s="1"/>
  <c r="U9" i="152"/>
  <c r="V9" i="152" s="1"/>
  <c r="S9" i="152"/>
  <c r="R9" i="152"/>
  <c r="J9" i="152"/>
  <c r="I9" i="152"/>
  <c r="A9" i="152"/>
  <c r="A10" i="152" s="1"/>
  <c r="A11" i="152" s="1"/>
  <c r="A12" i="152" s="1"/>
  <c r="A13" i="152" s="1"/>
  <c r="A14" i="152" s="1"/>
  <c r="A15" i="152" s="1"/>
  <c r="A16" i="152" s="1"/>
  <c r="A17" i="152" s="1"/>
  <c r="A18" i="152" s="1"/>
  <c r="A19" i="152" s="1"/>
  <c r="A20" i="152" s="1"/>
  <c r="A21" i="152" s="1"/>
  <c r="A22" i="152" s="1"/>
  <c r="A23" i="152" s="1"/>
  <c r="A24" i="152" s="1"/>
  <c r="A25" i="152" s="1"/>
  <c r="A26" i="152" s="1"/>
  <c r="A27" i="152" s="1"/>
  <c r="A28" i="152" s="1"/>
  <c r="A29" i="152" s="1"/>
  <c r="A30" i="152" s="1"/>
  <c r="A31" i="152" s="1"/>
  <c r="A32" i="152" s="1"/>
  <c r="A33" i="152" s="1"/>
  <c r="A34" i="152" s="1"/>
  <c r="A35" i="152" s="1"/>
  <c r="A36" i="152" s="1"/>
  <c r="A37" i="152" s="1"/>
  <c r="A38" i="152" s="1"/>
  <c r="A39" i="152" s="1"/>
  <c r="A40" i="152" s="1"/>
  <c r="A41" i="152" s="1"/>
  <c r="A42" i="152" s="1"/>
  <c r="A43" i="152" s="1"/>
  <c r="A44" i="152" s="1"/>
  <c r="A45" i="152" s="1"/>
  <c r="A46" i="152" s="1"/>
  <c r="A47" i="152" s="1"/>
  <c r="A48" i="152" s="1"/>
  <c r="A49" i="152" s="1"/>
  <c r="A50" i="152" s="1"/>
  <c r="A51" i="152" s="1"/>
  <c r="A52" i="152" s="1"/>
  <c r="A53" i="152" s="1"/>
  <c r="A54" i="152" s="1"/>
  <c r="A55" i="152" s="1"/>
  <c r="A56" i="152" s="1"/>
  <c r="A57" i="152" s="1"/>
  <c r="A58" i="152" s="1"/>
  <c r="A59" i="152" s="1"/>
  <c r="U8" i="152"/>
  <c r="S8" i="152"/>
  <c r="S60" i="152" s="1"/>
  <c r="R8" i="152"/>
  <c r="J8" i="152"/>
  <c r="I8" i="152"/>
  <c r="W8" i="152" s="1"/>
  <c r="W46" i="152" l="1"/>
  <c r="W44" i="152"/>
  <c r="W41" i="152"/>
  <c r="W39" i="152"/>
  <c r="W35" i="152"/>
  <c r="R60" i="152"/>
  <c r="W30" i="152"/>
  <c r="W26" i="152"/>
  <c r="W23" i="152"/>
  <c r="W20" i="152"/>
  <c r="U60" i="152"/>
  <c r="W9" i="152"/>
  <c r="I60" i="152"/>
  <c r="J60" i="152"/>
  <c r="W29" i="152"/>
  <c r="W42" i="152"/>
  <c r="V8" i="152"/>
  <c r="V60" i="152" s="1"/>
  <c r="W11" i="152"/>
  <c r="Q60" i="151"/>
  <c r="P60" i="151"/>
  <c r="O60" i="151"/>
  <c r="N60" i="151"/>
  <c r="M60" i="151"/>
  <c r="L60" i="151"/>
  <c r="H60" i="151"/>
  <c r="G60" i="151"/>
  <c r="E60" i="151"/>
  <c r="D60" i="151"/>
  <c r="C60" i="151"/>
  <c r="S59" i="151"/>
  <c r="R59" i="151"/>
  <c r="J59" i="151"/>
  <c r="I59" i="151"/>
  <c r="S58" i="151"/>
  <c r="R58" i="151"/>
  <c r="J58" i="151"/>
  <c r="I58" i="151"/>
  <c r="S57" i="151"/>
  <c r="R57" i="151"/>
  <c r="J57" i="151"/>
  <c r="I57" i="151"/>
  <c r="S56" i="151"/>
  <c r="R56" i="151"/>
  <c r="J56" i="151"/>
  <c r="I56" i="151"/>
  <c r="S55" i="151"/>
  <c r="R55" i="151"/>
  <c r="J55" i="151"/>
  <c r="I55" i="151"/>
  <c r="U54" i="151"/>
  <c r="V54" i="151" s="1"/>
  <c r="S54" i="151"/>
  <c r="R54" i="151"/>
  <c r="J54" i="151"/>
  <c r="I54" i="151"/>
  <c r="U53" i="151"/>
  <c r="V53" i="151" s="1"/>
  <c r="S53" i="151"/>
  <c r="R53" i="151"/>
  <c r="J53" i="151"/>
  <c r="I53" i="151"/>
  <c r="W53" i="151" s="1"/>
  <c r="U52" i="151"/>
  <c r="V52" i="151" s="1"/>
  <c r="S52" i="151"/>
  <c r="R52" i="151"/>
  <c r="J52" i="151"/>
  <c r="I52" i="151"/>
  <c r="W52" i="151" s="1"/>
  <c r="U51" i="151"/>
  <c r="V51" i="151" s="1"/>
  <c r="S51" i="151"/>
  <c r="R51" i="151"/>
  <c r="J51" i="151"/>
  <c r="I51" i="151"/>
  <c r="U50" i="151"/>
  <c r="V50" i="151" s="1"/>
  <c r="S50" i="151"/>
  <c r="R50" i="151"/>
  <c r="J50" i="151"/>
  <c r="I50" i="151"/>
  <c r="U49" i="151"/>
  <c r="V49" i="151" s="1"/>
  <c r="S49" i="151"/>
  <c r="R49" i="151"/>
  <c r="J49" i="151"/>
  <c r="I49" i="151"/>
  <c r="W49" i="151" s="1"/>
  <c r="U48" i="151"/>
  <c r="V48" i="151" s="1"/>
  <c r="S48" i="151"/>
  <c r="R48" i="151"/>
  <c r="J48" i="151"/>
  <c r="I48" i="151"/>
  <c r="U47" i="151"/>
  <c r="V47" i="151" s="1"/>
  <c r="S47" i="151"/>
  <c r="R47" i="151"/>
  <c r="J47" i="151"/>
  <c r="I47" i="151"/>
  <c r="W47" i="151" s="1"/>
  <c r="U46" i="151"/>
  <c r="V46" i="151" s="1"/>
  <c r="S46" i="151"/>
  <c r="R46" i="151"/>
  <c r="J46" i="151"/>
  <c r="I46" i="151"/>
  <c r="W46" i="151" s="1"/>
  <c r="S45" i="151"/>
  <c r="R45" i="151"/>
  <c r="J45" i="151"/>
  <c r="I45" i="151"/>
  <c r="U44" i="151"/>
  <c r="V44" i="151" s="1"/>
  <c r="S44" i="151"/>
  <c r="J44" i="151"/>
  <c r="S43" i="151"/>
  <c r="R43" i="151"/>
  <c r="J43" i="151"/>
  <c r="I43" i="151"/>
  <c r="U42" i="151"/>
  <c r="V42" i="151" s="1"/>
  <c r="S42" i="151"/>
  <c r="R42" i="151"/>
  <c r="J42" i="151"/>
  <c r="I42" i="151"/>
  <c r="W42" i="151" s="1"/>
  <c r="U41" i="151"/>
  <c r="V41" i="151" s="1"/>
  <c r="S41" i="151"/>
  <c r="R41" i="151"/>
  <c r="J41" i="151"/>
  <c r="U40" i="151"/>
  <c r="V40" i="151" s="1"/>
  <c r="S40" i="151"/>
  <c r="R40" i="151"/>
  <c r="J40" i="151"/>
  <c r="I40" i="151"/>
  <c r="W40" i="151" s="1"/>
  <c r="W39" i="151"/>
  <c r="U39" i="151"/>
  <c r="V39" i="151" s="1"/>
  <c r="S39" i="151"/>
  <c r="R39" i="151"/>
  <c r="J39" i="151"/>
  <c r="I39" i="151"/>
  <c r="V38" i="151"/>
  <c r="S38" i="151"/>
  <c r="J38" i="151"/>
  <c r="I38" i="151"/>
  <c r="U37" i="151"/>
  <c r="V37" i="151" s="1"/>
  <c r="S37" i="151"/>
  <c r="R37" i="151"/>
  <c r="J37" i="151"/>
  <c r="I37" i="151"/>
  <c r="W37" i="151" s="1"/>
  <c r="W36" i="151"/>
  <c r="U36" i="151"/>
  <c r="V36" i="151" s="1"/>
  <c r="S36" i="151"/>
  <c r="R36" i="151"/>
  <c r="J36" i="151"/>
  <c r="I36" i="151"/>
  <c r="U35" i="151"/>
  <c r="V35" i="151" s="1"/>
  <c r="S35" i="151"/>
  <c r="R35" i="151"/>
  <c r="J35" i="151"/>
  <c r="I35" i="151"/>
  <c r="U34" i="151"/>
  <c r="V34" i="151" s="1"/>
  <c r="S34" i="151"/>
  <c r="R34" i="151"/>
  <c r="J34" i="151"/>
  <c r="I34" i="151"/>
  <c r="W34" i="151" s="1"/>
  <c r="U33" i="151"/>
  <c r="V33" i="151" s="1"/>
  <c r="S33" i="151"/>
  <c r="R33" i="151"/>
  <c r="J33" i="151"/>
  <c r="I33" i="151"/>
  <c r="W33" i="151" s="1"/>
  <c r="U32" i="151"/>
  <c r="V32" i="151" s="1"/>
  <c r="S32" i="151"/>
  <c r="R32" i="151"/>
  <c r="J32" i="151"/>
  <c r="I32" i="151"/>
  <c r="W32" i="151" s="1"/>
  <c r="U31" i="151"/>
  <c r="V31" i="151" s="1"/>
  <c r="S31" i="151"/>
  <c r="R31" i="151"/>
  <c r="J31" i="151"/>
  <c r="I31" i="151"/>
  <c r="W31" i="151" s="1"/>
  <c r="U30" i="151"/>
  <c r="V30" i="151" s="1"/>
  <c r="S30" i="151"/>
  <c r="R30" i="151"/>
  <c r="J30" i="151"/>
  <c r="I30" i="151"/>
  <c r="U29" i="151"/>
  <c r="V29" i="151" s="1"/>
  <c r="S29" i="151"/>
  <c r="R29" i="151"/>
  <c r="J29" i="151"/>
  <c r="I29" i="151"/>
  <c r="W29" i="151" s="1"/>
  <c r="U28" i="151"/>
  <c r="V28" i="151" s="1"/>
  <c r="S28" i="151"/>
  <c r="R28" i="151"/>
  <c r="J28" i="151"/>
  <c r="I28" i="151"/>
  <c r="W28" i="151" s="1"/>
  <c r="U27" i="151"/>
  <c r="V27" i="151" s="1"/>
  <c r="S27" i="151"/>
  <c r="R27" i="151"/>
  <c r="J27" i="151"/>
  <c r="I27" i="151"/>
  <c r="W27" i="151" s="1"/>
  <c r="BE26" i="151"/>
  <c r="U26" i="151"/>
  <c r="V26" i="151" s="1"/>
  <c r="S26" i="151"/>
  <c r="R26" i="151"/>
  <c r="J26" i="151"/>
  <c r="I26" i="151"/>
  <c r="U25" i="151"/>
  <c r="V25" i="151" s="1"/>
  <c r="S25" i="151"/>
  <c r="R25" i="151"/>
  <c r="J25" i="151"/>
  <c r="I25" i="151"/>
  <c r="U24" i="151"/>
  <c r="V24" i="151" s="1"/>
  <c r="S24" i="151"/>
  <c r="R24" i="151"/>
  <c r="J24" i="151"/>
  <c r="I24" i="151"/>
  <c r="W24" i="151" s="1"/>
  <c r="U23" i="151"/>
  <c r="V23" i="151" s="1"/>
  <c r="S23" i="151"/>
  <c r="R23" i="151"/>
  <c r="J23" i="151"/>
  <c r="I23" i="151"/>
  <c r="W23" i="151" s="1"/>
  <c r="U22" i="151"/>
  <c r="V22" i="151" s="1"/>
  <c r="S22" i="151"/>
  <c r="R22" i="151"/>
  <c r="J22" i="151"/>
  <c r="I22" i="151"/>
  <c r="W22" i="151" s="1"/>
  <c r="U21" i="151"/>
  <c r="V21" i="151" s="1"/>
  <c r="S21" i="151"/>
  <c r="R21" i="151"/>
  <c r="J21" i="151"/>
  <c r="I21" i="151"/>
  <c r="W21" i="151" s="1"/>
  <c r="U20" i="151"/>
  <c r="V20" i="151" s="1"/>
  <c r="S20" i="151"/>
  <c r="R20" i="151"/>
  <c r="J20" i="151"/>
  <c r="I20" i="151"/>
  <c r="U19" i="151"/>
  <c r="V19" i="151" s="1"/>
  <c r="S19" i="151"/>
  <c r="R19" i="151"/>
  <c r="J19" i="151"/>
  <c r="I19" i="151"/>
  <c r="U18" i="151"/>
  <c r="V18" i="151" s="1"/>
  <c r="S18" i="151"/>
  <c r="R18" i="151"/>
  <c r="J18" i="151"/>
  <c r="I18" i="151"/>
  <c r="U17" i="151"/>
  <c r="V17" i="151" s="1"/>
  <c r="S17" i="151"/>
  <c r="R17" i="151"/>
  <c r="J17" i="151"/>
  <c r="I17" i="151"/>
  <c r="W17" i="151" s="1"/>
  <c r="U16" i="151"/>
  <c r="V16" i="151" s="1"/>
  <c r="S16" i="151"/>
  <c r="R16" i="151"/>
  <c r="J16" i="151"/>
  <c r="I16" i="151"/>
  <c r="W16" i="151" s="1"/>
  <c r="U15" i="151"/>
  <c r="V15" i="151" s="1"/>
  <c r="S15" i="151"/>
  <c r="R15" i="151"/>
  <c r="J15" i="151"/>
  <c r="I15" i="151"/>
  <c r="W15" i="151" s="1"/>
  <c r="U14" i="151"/>
  <c r="V14" i="151" s="1"/>
  <c r="S14" i="151"/>
  <c r="R14" i="151"/>
  <c r="J14" i="151"/>
  <c r="I14" i="151"/>
  <c r="W14" i="151" s="1"/>
  <c r="U13" i="151"/>
  <c r="V13" i="151" s="1"/>
  <c r="S13" i="151"/>
  <c r="R13" i="151"/>
  <c r="U12" i="151"/>
  <c r="V12" i="151" s="1"/>
  <c r="S12" i="151"/>
  <c r="R12" i="151"/>
  <c r="J12" i="151"/>
  <c r="I12" i="151"/>
  <c r="U11" i="151"/>
  <c r="V11" i="151" s="1"/>
  <c r="S11" i="151"/>
  <c r="J11" i="151"/>
  <c r="I11" i="151"/>
  <c r="W11" i="151" s="1"/>
  <c r="U10" i="151"/>
  <c r="V10" i="151" s="1"/>
  <c r="S10" i="151"/>
  <c r="J10" i="151"/>
  <c r="I10" i="151"/>
  <c r="W10" i="151" s="1"/>
  <c r="U9" i="151"/>
  <c r="V9" i="151" s="1"/>
  <c r="S9" i="151"/>
  <c r="R9" i="151"/>
  <c r="J9" i="151"/>
  <c r="I9" i="151"/>
  <c r="A9" i="15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A44" i="151" s="1"/>
  <c r="A45" i="151" s="1"/>
  <c r="A46" i="151" s="1"/>
  <c r="A47" i="151" s="1"/>
  <c r="A48" i="151" s="1"/>
  <c r="A49" i="151" s="1"/>
  <c r="A50" i="151" s="1"/>
  <c r="A51" i="151" s="1"/>
  <c r="A52" i="151" s="1"/>
  <c r="A53" i="151" s="1"/>
  <c r="A54" i="151" s="1"/>
  <c r="A55" i="151" s="1"/>
  <c r="A56" i="151" s="1"/>
  <c r="A57" i="151" s="1"/>
  <c r="A58" i="151" s="1"/>
  <c r="A59" i="151" s="1"/>
  <c r="U8" i="151"/>
  <c r="S8" i="151"/>
  <c r="R8" i="151"/>
  <c r="J8" i="151"/>
  <c r="I8" i="151"/>
  <c r="W60" i="152" l="1"/>
  <c r="W54" i="151"/>
  <c r="W48" i="151"/>
  <c r="W41" i="151"/>
  <c r="W38" i="151"/>
  <c r="W35" i="151"/>
  <c r="W30" i="151"/>
  <c r="W26" i="151"/>
  <c r="W20" i="151"/>
  <c r="R60" i="151"/>
  <c r="W12" i="151"/>
  <c r="W9" i="151"/>
  <c r="W8" i="151"/>
  <c r="S60" i="151"/>
  <c r="U60" i="151"/>
  <c r="W50" i="151"/>
  <c r="W18" i="151"/>
  <c r="W25" i="151"/>
  <c r="W44" i="151"/>
  <c r="J60" i="151"/>
  <c r="W19" i="151"/>
  <c r="W51" i="151"/>
  <c r="W13" i="151"/>
  <c r="I60" i="151"/>
  <c r="V8" i="151"/>
  <c r="V60" i="151" s="1"/>
  <c r="Q60" i="150"/>
  <c r="P60" i="150"/>
  <c r="O60" i="150"/>
  <c r="N60" i="150"/>
  <c r="M60" i="150"/>
  <c r="L60" i="150"/>
  <c r="H60" i="150"/>
  <c r="G60" i="150"/>
  <c r="E60" i="150"/>
  <c r="D60" i="150"/>
  <c r="C60" i="150"/>
  <c r="S59" i="150"/>
  <c r="R59" i="150"/>
  <c r="J59" i="150"/>
  <c r="I59" i="150"/>
  <c r="S58" i="150"/>
  <c r="R58" i="150"/>
  <c r="J58" i="150"/>
  <c r="I58" i="150"/>
  <c r="S57" i="150"/>
  <c r="R57" i="150"/>
  <c r="J57" i="150"/>
  <c r="I57" i="150"/>
  <c r="S56" i="150"/>
  <c r="R56" i="150"/>
  <c r="J56" i="150"/>
  <c r="I56" i="150"/>
  <c r="S55" i="150"/>
  <c r="R55" i="150"/>
  <c r="J55" i="150"/>
  <c r="I55" i="150"/>
  <c r="W54" i="150"/>
  <c r="U54" i="150"/>
  <c r="V54" i="150" s="1"/>
  <c r="S54" i="150"/>
  <c r="R54" i="150"/>
  <c r="J54" i="150"/>
  <c r="I54" i="150"/>
  <c r="W53" i="150"/>
  <c r="U53" i="150"/>
  <c r="V53" i="150" s="1"/>
  <c r="S53" i="150"/>
  <c r="R53" i="150"/>
  <c r="J53" i="150"/>
  <c r="I53" i="150"/>
  <c r="U52" i="150"/>
  <c r="V52" i="150" s="1"/>
  <c r="S52" i="150"/>
  <c r="R52" i="150"/>
  <c r="J52" i="150"/>
  <c r="I52" i="150"/>
  <c r="W52" i="150" s="1"/>
  <c r="W51" i="150"/>
  <c r="U51" i="150"/>
  <c r="V51" i="150" s="1"/>
  <c r="S51" i="150"/>
  <c r="R51" i="150"/>
  <c r="J51" i="150"/>
  <c r="I51" i="150"/>
  <c r="U50" i="150"/>
  <c r="V50" i="150" s="1"/>
  <c r="S50" i="150"/>
  <c r="R50" i="150"/>
  <c r="J50" i="150"/>
  <c r="I50" i="150"/>
  <c r="W50" i="150" s="1"/>
  <c r="U49" i="150"/>
  <c r="V49" i="150" s="1"/>
  <c r="S49" i="150"/>
  <c r="R49" i="150"/>
  <c r="J49" i="150"/>
  <c r="I49" i="150"/>
  <c r="W49" i="150" s="1"/>
  <c r="U48" i="150"/>
  <c r="V48" i="150" s="1"/>
  <c r="S48" i="150"/>
  <c r="R48" i="150"/>
  <c r="J48" i="150"/>
  <c r="I48" i="150"/>
  <c r="U47" i="150"/>
  <c r="V47" i="150" s="1"/>
  <c r="S47" i="150"/>
  <c r="R47" i="150"/>
  <c r="J47" i="150"/>
  <c r="I47" i="150"/>
  <c r="W47" i="150" s="1"/>
  <c r="W46" i="150"/>
  <c r="U46" i="150"/>
  <c r="V46" i="150" s="1"/>
  <c r="S46" i="150"/>
  <c r="R46" i="150"/>
  <c r="J46" i="150"/>
  <c r="I46" i="150"/>
  <c r="S45" i="150"/>
  <c r="R45" i="150"/>
  <c r="J45" i="150"/>
  <c r="I45" i="150"/>
  <c r="U44" i="150"/>
  <c r="V44" i="150" s="1"/>
  <c r="S44" i="150"/>
  <c r="R44" i="150"/>
  <c r="J44" i="150"/>
  <c r="I44" i="150"/>
  <c r="W44" i="150" s="1"/>
  <c r="S43" i="150"/>
  <c r="R43" i="150"/>
  <c r="J43" i="150"/>
  <c r="I43" i="150"/>
  <c r="U42" i="150"/>
  <c r="V42" i="150" s="1"/>
  <c r="S42" i="150"/>
  <c r="R42" i="150"/>
  <c r="J42" i="150"/>
  <c r="I42" i="150"/>
  <c r="W42" i="150" s="1"/>
  <c r="U41" i="150"/>
  <c r="V41" i="150" s="1"/>
  <c r="S41" i="150"/>
  <c r="R41" i="150"/>
  <c r="J41" i="150"/>
  <c r="I41" i="150"/>
  <c r="W40" i="150"/>
  <c r="U40" i="150"/>
  <c r="V40" i="150" s="1"/>
  <c r="S40" i="150"/>
  <c r="R40" i="150"/>
  <c r="J40" i="150"/>
  <c r="I40" i="150"/>
  <c r="W39" i="150"/>
  <c r="U39" i="150"/>
  <c r="V39" i="150" s="1"/>
  <c r="S39" i="150"/>
  <c r="R39" i="150"/>
  <c r="J39" i="150"/>
  <c r="I39" i="150"/>
  <c r="U38" i="150"/>
  <c r="V38" i="150" s="1"/>
  <c r="S38" i="150"/>
  <c r="R38" i="150"/>
  <c r="J38" i="150"/>
  <c r="I38" i="150"/>
  <c r="U37" i="150"/>
  <c r="V37" i="150" s="1"/>
  <c r="S37" i="150"/>
  <c r="R37" i="150"/>
  <c r="J37" i="150"/>
  <c r="I37" i="150"/>
  <c r="W37" i="150" s="1"/>
  <c r="U36" i="150"/>
  <c r="V36" i="150" s="1"/>
  <c r="S36" i="150"/>
  <c r="R36" i="150"/>
  <c r="J36" i="150"/>
  <c r="I36" i="150"/>
  <c r="W36" i="150" s="1"/>
  <c r="U35" i="150"/>
  <c r="V35" i="150" s="1"/>
  <c r="S35" i="150"/>
  <c r="R35" i="150"/>
  <c r="J35" i="150"/>
  <c r="I35" i="150"/>
  <c r="W35" i="150" s="1"/>
  <c r="W34" i="150"/>
  <c r="U34" i="150"/>
  <c r="V34" i="150" s="1"/>
  <c r="S34" i="150"/>
  <c r="R34" i="150"/>
  <c r="J34" i="150"/>
  <c r="I34" i="150"/>
  <c r="U33" i="150"/>
  <c r="V33" i="150" s="1"/>
  <c r="S33" i="150"/>
  <c r="R33" i="150"/>
  <c r="J33" i="150"/>
  <c r="I33" i="150"/>
  <c r="W33" i="150" s="1"/>
  <c r="U32" i="150"/>
  <c r="V32" i="150" s="1"/>
  <c r="S32" i="150"/>
  <c r="R32" i="150"/>
  <c r="J32" i="150"/>
  <c r="I32" i="150"/>
  <c r="W32" i="150" s="1"/>
  <c r="U31" i="150"/>
  <c r="V31" i="150" s="1"/>
  <c r="S31" i="150"/>
  <c r="R31" i="150"/>
  <c r="J31" i="150"/>
  <c r="I31" i="150"/>
  <c r="W31" i="150" s="1"/>
  <c r="W30" i="150"/>
  <c r="U30" i="150"/>
  <c r="V30" i="150" s="1"/>
  <c r="S30" i="150"/>
  <c r="R30" i="150"/>
  <c r="J30" i="150"/>
  <c r="I30" i="150"/>
  <c r="U29" i="150"/>
  <c r="V29" i="150" s="1"/>
  <c r="S29" i="150"/>
  <c r="R29" i="150"/>
  <c r="J29" i="150"/>
  <c r="I29" i="150"/>
  <c r="W29" i="150" s="1"/>
  <c r="U28" i="150"/>
  <c r="V28" i="150" s="1"/>
  <c r="S28" i="150"/>
  <c r="R28" i="150"/>
  <c r="J28" i="150"/>
  <c r="I28" i="150"/>
  <c r="U27" i="150"/>
  <c r="S27" i="150"/>
  <c r="R27" i="150"/>
  <c r="J27" i="150"/>
  <c r="W27" i="150" s="1"/>
  <c r="I27" i="150"/>
  <c r="BE26" i="150"/>
  <c r="U26" i="150"/>
  <c r="V26" i="150" s="1"/>
  <c r="S26" i="150"/>
  <c r="R26" i="150"/>
  <c r="J26" i="150"/>
  <c r="I26" i="150"/>
  <c r="U25" i="150"/>
  <c r="V25" i="150" s="1"/>
  <c r="S25" i="150"/>
  <c r="R25" i="150"/>
  <c r="J25" i="150"/>
  <c r="I25" i="150"/>
  <c r="U24" i="150"/>
  <c r="V24" i="150" s="1"/>
  <c r="S24" i="150"/>
  <c r="R24" i="150"/>
  <c r="J24" i="150"/>
  <c r="I24" i="150"/>
  <c r="W24" i="150" s="1"/>
  <c r="U23" i="150"/>
  <c r="V23" i="150" s="1"/>
  <c r="S23" i="150"/>
  <c r="R23" i="150"/>
  <c r="J23" i="150"/>
  <c r="I23" i="150"/>
  <c r="U22" i="150"/>
  <c r="V22" i="150" s="1"/>
  <c r="S22" i="150"/>
  <c r="R22" i="150"/>
  <c r="J22" i="150"/>
  <c r="I22" i="150"/>
  <c r="W22" i="150" s="1"/>
  <c r="U21" i="150"/>
  <c r="V21" i="150" s="1"/>
  <c r="S21" i="150"/>
  <c r="R21" i="150"/>
  <c r="J21" i="150"/>
  <c r="I21" i="150"/>
  <c r="W21" i="150" s="1"/>
  <c r="U20" i="150"/>
  <c r="V20" i="150" s="1"/>
  <c r="S20" i="150"/>
  <c r="R20" i="150"/>
  <c r="J20" i="150"/>
  <c r="I20" i="150"/>
  <c r="U19" i="150"/>
  <c r="V19" i="150" s="1"/>
  <c r="S19" i="150"/>
  <c r="R19" i="150"/>
  <c r="J19" i="150"/>
  <c r="I19" i="150"/>
  <c r="W19" i="150" s="1"/>
  <c r="W18" i="150"/>
  <c r="V18" i="150"/>
  <c r="U18" i="150"/>
  <c r="S18" i="150"/>
  <c r="R18" i="150"/>
  <c r="J18" i="150"/>
  <c r="I18" i="150"/>
  <c r="U17" i="150"/>
  <c r="V17" i="150" s="1"/>
  <c r="S17" i="150"/>
  <c r="R17" i="150"/>
  <c r="J17" i="150"/>
  <c r="I17" i="150"/>
  <c r="W17" i="150" s="1"/>
  <c r="U16" i="150"/>
  <c r="V16" i="150" s="1"/>
  <c r="S16" i="150"/>
  <c r="R16" i="150"/>
  <c r="J16" i="150"/>
  <c r="I16" i="150"/>
  <c r="W16" i="150" s="1"/>
  <c r="U15" i="150"/>
  <c r="V15" i="150" s="1"/>
  <c r="S15" i="150"/>
  <c r="R15" i="150"/>
  <c r="J15" i="150"/>
  <c r="I15" i="150"/>
  <c r="V14" i="150"/>
  <c r="U14" i="150"/>
  <c r="S14" i="150"/>
  <c r="R14" i="150"/>
  <c r="J14" i="150"/>
  <c r="I14" i="150"/>
  <c r="U13" i="150"/>
  <c r="V13" i="150" s="1"/>
  <c r="S13" i="150"/>
  <c r="R13" i="150"/>
  <c r="J13" i="150"/>
  <c r="I13" i="150"/>
  <c r="V12" i="150"/>
  <c r="U12" i="150"/>
  <c r="S12" i="150"/>
  <c r="R12" i="150"/>
  <c r="J12" i="150"/>
  <c r="W12" i="150" s="1"/>
  <c r="I12" i="150"/>
  <c r="U11" i="150"/>
  <c r="V11" i="150" s="1"/>
  <c r="S11" i="150"/>
  <c r="R11" i="150"/>
  <c r="J11" i="150"/>
  <c r="I11" i="150"/>
  <c r="W11" i="150" s="1"/>
  <c r="U10" i="150"/>
  <c r="V10" i="150" s="1"/>
  <c r="S10" i="150"/>
  <c r="R10" i="150"/>
  <c r="J10" i="150"/>
  <c r="I10" i="150"/>
  <c r="W10" i="150" s="1"/>
  <c r="U9" i="150"/>
  <c r="V9" i="150" s="1"/>
  <c r="S9" i="150"/>
  <c r="R9" i="150"/>
  <c r="J9" i="150"/>
  <c r="I9" i="150"/>
  <c r="A9" i="150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U8" i="150"/>
  <c r="V8" i="150" s="1"/>
  <c r="S8" i="150"/>
  <c r="R8" i="150"/>
  <c r="J8" i="150"/>
  <c r="I8" i="150"/>
  <c r="I8" i="148"/>
  <c r="W60" i="151" l="1"/>
  <c r="W38" i="150"/>
  <c r="W48" i="150"/>
  <c r="W41" i="150"/>
  <c r="W28" i="150"/>
  <c r="W26" i="150"/>
  <c r="W20" i="150"/>
  <c r="W14" i="150"/>
  <c r="W13" i="150"/>
  <c r="W8" i="150"/>
  <c r="U60" i="150"/>
  <c r="R60" i="150"/>
  <c r="S60" i="150"/>
  <c r="W9" i="150"/>
  <c r="W15" i="150"/>
  <c r="W25" i="150"/>
  <c r="I60" i="150"/>
  <c r="J60" i="150"/>
  <c r="W23" i="150"/>
  <c r="V27" i="150"/>
  <c r="V60" i="150" s="1"/>
  <c r="Q60" i="148"/>
  <c r="P60" i="148"/>
  <c r="O60" i="148"/>
  <c r="N60" i="148"/>
  <c r="M60" i="148"/>
  <c r="L60" i="148"/>
  <c r="H60" i="148"/>
  <c r="G60" i="148"/>
  <c r="E60" i="148"/>
  <c r="D60" i="148"/>
  <c r="C60" i="148"/>
  <c r="S59" i="148"/>
  <c r="R59" i="148"/>
  <c r="J59" i="148"/>
  <c r="I59" i="148"/>
  <c r="S58" i="148"/>
  <c r="R58" i="148"/>
  <c r="J58" i="148"/>
  <c r="I58" i="148"/>
  <c r="S57" i="148"/>
  <c r="R57" i="148"/>
  <c r="J57" i="148"/>
  <c r="I57" i="148"/>
  <c r="S56" i="148"/>
  <c r="R56" i="148"/>
  <c r="J56" i="148"/>
  <c r="I56" i="148"/>
  <c r="S55" i="148"/>
  <c r="R55" i="148"/>
  <c r="J55" i="148"/>
  <c r="I55" i="148"/>
  <c r="U54" i="148"/>
  <c r="V54" i="148" s="1"/>
  <c r="S54" i="148"/>
  <c r="R54" i="148"/>
  <c r="J54" i="148"/>
  <c r="I54" i="148"/>
  <c r="W54" i="148" s="1"/>
  <c r="U53" i="148"/>
  <c r="V53" i="148" s="1"/>
  <c r="S53" i="148"/>
  <c r="R53" i="148"/>
  <c r="J53" i="148"/>
  <c r="I53" i="148"/>
  <c r="W53" i="148" s="1"/>
  <c r="U52" i="148"/>
  <c r="V52" i="148" s="1"/>
  <c r="S52" i="148"/>
  <c r="R52" i="148"/>
  <c r="J52" i="148"/>
  <c r="I52" i="148"/>
  <c r="W52" i="148" s="1"/>
  <c r="U51" i="148"/>
  <c r="V51" i="148" s="1"/>
  <c r="S51" i="148"/>
  <c r="R51" i="148"/>
  <c r="J51" i="148"/>
  <c r="I51" i="148"/>
  <c r="W51" i="148" s="1"/>
  <c r="U50" i="148"/>
  <c r="V50" i="148" s="1"/>
  <c r="S50" i="148"/>
  <c r="R50" i="148"/>
  <c r="J50" i="148"/>
  <c r="I50" i="148"/>
  <c r="W50" i="148" s="1"/>
  <c r="U49" i="148"/>
  <c r="V49" i="148" s="1"/>
  <c r="S49" i="148"/>
  <c r="R49" i="148"/>
  <c r="J49" i="148"/>
  <c r="I49" i="148"/>
  <c r="U48" i="148"/>
  <c r="V48" i="148" s="1"/>
  <c r="S48" i="148"/>
  <c r="R48" i="148"/>
  <c r="J48" i="148"/>
  <c r="I48" i="148"/>
  <c r="W48" i="148" s="1"/>
  <c r="U47" i="148"/>
  <c r="V47" i="148" s="1"/>
  <c r="S47" i="148"/>
  <c r="R47" i="148"/>
  <c r="J47" i="148"/>
  <c r="I47" i="148"/>
  <c r="W47" i="148" s="1"/>
  <c r="U46" i="148"/>
  <c r="V46" i="148" s="1"/>
  <c r="S46" i="148"/>
  <c r="R46" i="148"/>
  <c r="J46" i="148"/>
  <c r="I46" i="148"/>
  <c r="S45" i="148"/>
  <c r="R45" i="148"/>
  <c r="J45" i="148"/>
  <c r="I45" i="148"/>
  <c r="U44" i="148"/>
  <c r="S44" i="148"/>
  <c r="R44" i="148"/>
  <c r="J44" i="148"/>
  <c r="I44" i="148"/>
  <c r="W44" i="148" s="1"/>
  <c r="S43" i="148"/>
  <c r="R43" i="148"/>
  <c r="J43" i="148"/>
  <c r="I43" i="148"/>
  <c r="W42" i="148"/>
  <c r="U42" i="148"/>
  <c r="V42" i="148" s="1"/>
  <c r="S42" i="148"/>
  <c r="R42" i="148"/>
  <c r="J42" i="148"/>
  <c r="I42" i="148"/>
  <c r="U41" i="148"/>
  <c r="V41" i="148" s="1"/>
  <c r="S41" i="148"/>
  <c r="R41" i="148"/>
  <c r="J41" i="148"/>
  <c r="I41" i="148"/>
  <c r="W41" i="148" s="1"/>
  <c r="V40" i="148"/>
  <c r="U40" i="148"/>
  <c r="S40" i="148"/>
  <c r="R40" i="148"/>
  <c r="J40" i="148"/>
  <c r="W40" i="148" s="1"/>
  <c r="I40" i="148"/>
  <c r="U39" i="148"/>
  <c r="V39" i="148" s="1"/>
  <c r="S39" i="148"/>
  <c r="R39" i="148"/>
  <c r="J39" i="148"/>
  <c r="I39" i="148"/>
  <c r="W39" i="148" s="1"/>
  <c r="U38" i="148"/>
  <c r="V38" i="148" s="1"/>
  <c r="S38" i="148"/>
  <c r="R38" i="148"/>
  <c r="J38" i="148"/>
  <c r="I38" i="148"/>
  <c r="W38" i="148" s="1"/>
  <c r="U37" i="148"/>
  <c r="V37" i="148" s="1"/>
  <c r="S37" i="148"/>
  <c r="R37" i="148"/>
  <c r="J37" i="148"/>
  <c r="I37" i="148"/>
  <c r="W37" i="148" s="1"/>
  <c r="W36" i="148"/>
  <c r="U36" i="148"/>
  <c r="V36" i="148" s="1"/>
  <c r="S36" i="148"/>
  <c r="R36" i="148"/>
  <c r="J36" i="148"/>
  <c r="I36" i="148"/>
  <c r="U35" i="148"/>
  <c r="V35" i="148" s="1"/>
  <c r="S35" i="148"/>
  <c r="R35" i="148"/>
  <c r="J35" i="148"/>
  <c r="I35" i="148"/>
  <c r="W34" i="148"/>
  <c r="U34" i="148"/>
  <c r="V34" i="148" s="1"/>
  <c r="S34" i="148"/>
  <c r="R34" i="148"/>
  <c r="J34" i="148"/>
  <c r="I34" i="148"/>
  <c r="U33" i="148"/>
  <c r="V33" i="148" s="1"/>
  <c r="S33" i="148"/>
  <c r="R33" i="148"/>
  <c r="J33" i="148"/>
  <c r="I33" i="148"/>
  <c r="W33" i="148" s="1"/>
  <c r="U32" i="148"/>
  <c r="V32" i="148" s="1"/>
  <c r="S32" i="148"/>
  <c r="R32" i="148"/>
  <c r="J32" i="148"/>
  <c r="W32" i="148" s="1"/>
  <c r="I32" i="148"/>
  <c r="U31" i="148"/>
  <c r="V31" i="148" s="1"/>
  <c r="S31" i="148"/>
  <c r="R31" i="148"/>
  <c r="J31" i="148"/>
  <c r="I31" i="148"/>
  <c r="W31" i="148" s="1"/>
  <c r="U30" i="148"/>
  <c r="V30" i="148" s="1"/>
  <c r="S30" i="148"/>
  <c r="R30" i="148"/>
  <c r="J30" i="148"/>
  <c r="I30" i="148"/>
  <c r="W30" i="148" s="1"/>
  <c r="U29" i="148"/>
  <c r="V29" i="148" s="1"/>
  <c r="S29" i="148"/>
  <c r="R29" i="148"/>
  <c r="J29" i="148"/>
  <c r="I29" i="148"/>
  <c r="W29" i="148" s="1"/>
  <c r="U28" i="148"/>
  <c r="V28" i="148" s="1"/>
  <c r="S28" i="148"/>
  <c r="R28" i="148"/>
  <c r="J28" i="148"/>
  <c r="I28" i="148"/>
  <c r="W28" i="148" s="1"/>
  <c r="U27" i="148"/>
  <c r="V27" i="148" s="1"/>
  <c r="S27" i="148"/>
  <c r="R27" i="148"/>
  <c r="J27" i="148"/>
  <c r="I27" i="148"/>
  <c r="W27" i="148" s="1"/>
  <c r="BE26" i="148"/>
  <c r="U26" i="148"/>
  <c r="V26" i="148" s="1"/>
  <c r="S26" i="148"/>
  <c r="R26" i="148"/>
  <c r="J26" i="148"/>
  <c r="I26" i="148"/>
  <c r="V25" i="148"/>
  <c r="U25" i="148"/>
  <c r="S25" i="148"/>
  <c r="R25" i="148"/>
  <c r="J25" i="148"/>
  <c r="I25" i="148"/>
  <c r="W25" i="148" s="1"/>
  <c r="U24" i="148"/>
  <c r="V24" i="148" s="1"/>
  <c r="S24" i="148"/>
  <c r="R24" i="148"/>
  <c r="J24" i="148"/>
  <c r="I24" i="148"/>
  <c r="W24" i="148" s="1"/>
  <c r="U23" i="148"/>
  <c r="V23" i="148" s="1"/>
  <c r="S23" i="148"/>
  <c r="R23" i="148"/>
  <c r="J23" i="148"/>
  <c r="I23" i="148"/>
  <c r="U22" i="148"/>
  <c r="V22" i="148" s="1"/>
  <c r="S22" i="148"/>
  <c r="R22" i="148"/>
  <c r="J22" i="148"/>
  <c r="I22" i="148"/>
  <c r="W22" i="148" s="1"/>
  <c r="U21" i="148"/>
  <c r="V21" i="148" s="1"/>
  <c r="S21" i="148"/>
  <c r="R21" i="148"/>
  <c r="J21" i="148"/>
  <c r="I21" i="148"/>
  <c r="W21" i="148" s="1"/>
  <c r="U20" i="148"/>
  <c r="V20" i="148" s="1"/>
  <c r="S20" i="148"/>
  <c r="R20" i="148"/>
  <c r="J20" i="148"/>
  <c r="I20" i="148"/>
  <c r="W20" i="148" s="1"/>
  <c r="U19" i="148"/>
  <c r="V19" i="148" s="1"/>
  <c r="S19" i="148"/>
  <c r="R19" i="148"/>
  <c r="J19" i="148"/>
  <c r="I19" i="148"/>
  <c r="W19" i="148" s="1"/>
  <c r="U18" i="148"/>
  <c r="V18" i="148" s="1"/>
  <c r="S18" i="148"/>
  <c r="R18" i="148"/>
  <c r="J18" i="148"/>
  <c r="I18" i="148"/>
  <c r="W18" i="148" s="1"/>
  <c r="V17" i="148"/>
  <c r="U17" i="148"/>
  <c r="S17" i="148"/>
  <c r="R17" i="148"/>
  <c r="J17" i="148"/>
  <c r="I17" i="148"/>
  <c r="W17" i="148" s="1"/>
  <c r="W16" i="148"/>
  <c r="U16" i="148"/>
  <c r="V16" i="148" s="1"/>
  <c r="S16" i="148"/>
  <c r="R16" i="148"/>
  <c r="J16" i="148"/>
  <c r="I16" i="148"/>
  <c r="U15" i="148"/>
  <c r="V15" i="148" s="1"/>
  <c r="S15" i="148"/>
  <c r="R15" i="148"/>
  <c r="J15" i="148"/>
  <c r="I15" i="148"/>
  <c r="V14" i="148"/>
  <c r="U14" i="148"/>
  <c r="S14" i="148"/>
  <c r="R14" i="148"/>
  <c r="J14" i="148"/>
  <c r="I14" i="148"/>
  <c r="U13" i="148"/>
  <c r="V13" i="148" s="1"/>
  <c r="S13" i="148"/>
  <c r="R13" i="148"/>
  <c r="J13" i="148"/>
  <c r="I13" i="148"/>
  <c r="W13" i="148" s="1"/>
  <c r="U12" i="148"/>
  <c r="V12" i="148" s="1"/>
  <c r="S12" i="148"/>
  <c r="R12" i="148"/>
  <c r="J12" i="148"/>
  <c r="I12" i="148"/>
  <c r="U11" i="148"/>
  <c r="V11" i="148" s="1"/>
  <c r="S11" i="148"/>
  <c r="R11" i="148"/>
  <c r="J11" i="148"/>
  <c r="I11" i="148"/>
  <c r="U10" i="148"/>
  <c r="V10" i="148" s="1"/>
  <c r="S10" i="148"/>
  <c r="R10" i="148"/>
  <c r="J10" i="148"/>
  <c r="I10" i="148"/>
  <c r="W10" i="148" s="1"/>
  <c r="U9" i="148"/>
  <c r="V9" i="148" s="1"/>
  <c r="S9" i="148"/>
  <c r="R9" i="148"/>
  <c r="J9" i="148"/>
  <c r="I9" i="148"/>
  <c r="A9" i="148"/>
  <c r="A10" i="148" s="1"/>
  <c r="A11" i="148" s="1"/>
  <c r="A12" i="148" s="1"/>
  <c r="A13" i="148" s="1"/>
  <c r="A14" i="148" s="1"/>
  <c r="A15" i="148" s="1"/>
  <c r="A16" i="148" s="1"/>
  <c r="A17" i="148" s="1"/>
  <c r="A18" i="148" s="1"/>
  <c r="A19" i="148" s="1"/>
  <c r="A20" i="148" s="1"/>
  <c r="A21" i="148" s="1"/>
  <c r="A22" i="148" s="1"/>
  <c r="A23" i="148" s="1"/>
  <c r="A24" i="148" s="1"/>
  <c r="A25" i="148" s="1"/>
  <c r="A26" i="148" s="1"/>
  <c r="A27" i="148" s="1"/>
  <c r="A28" i="148" s="1"/>
  <c r="A29" i="148" s="1"/>
  <c r="A30" i="148" s="1"/>
  <c r="A31" i="148" s="1"/>
  <c r="A32" i="148" s="1"/>
  <c r="A33" i="148" s="1"/>
  <c r="A34" i="148" s="1"/>
  <c r="A35" i="148" s="1"/>
  <c r="A36" i="148" s="1"/>
  <c r="A37" i="148" s="1"/>
  <c r="A38" i="148" s="1"/>
  <c r="A39" i="148" s="1"/>
  <c r="A40" i="148" s="1"/>
  <c r="A41" i="148" s="1"/>
  <c r="A42" i="148" s="1"/>
  <c r="A43" i="148" s="1"/>
  <c r="A44" i="148" s="1"/>
  <c r="A45" i="148" s="1"/>
  <c r="A46" i="148" s="1"/>
  <c r="A47" i="148" s="1"/>
  <c r="A48" i="148" s="1"/>
  <c r="A49" i="148" s="1"/>
  <c r="A50" i="148" s="1"/>
  <c r="A51" i="148" s="1"/>
  <c r="A52" i="148" s="1"/>
  <c r="A53" i="148" s="1"/>
  <c r="A54" i="148" s="1"/>
  <c r="A55" i="148" s="1"/>
  <c r="A56" i="148" s="1"/>
  <c r="A57" i="148" s="1"/>
  <c r="A58" i="148" s="1"/>
  <c r="A59" i="148" s="1"/>
  <c r="U8" i="148"/>
  <c r="V8" i="148" s="1"/>
  <c r="S8" i="148"/>
  <c r="R8" i="148"/>
  <c r="J8" i="148"/>
  <c r="W60" i="150" l="1"/>
  <c r="W49" i="148"/>
  <c r="W35" i="148"/>
  <c r="W26" i="148"/>
  <c r="W23" i="148"/>
  <c r="W14" i="148"/>
  <c r="R60" i="148"/>
  <c r="W12" i="148"/>
  <c r="W8" i="148"/>
  <c r="S60" i="148"/>
  <c r="U60" i="148"/>
  <c r="W15" i="148"/>
  <c r="W11" i="148"/>
  <c r="J60" i="148"/>
  <c r="I60" i="148"/>
  <c r="W9" i="148"/>
  <c r="W46" i="148"/>
  <c r="V44" i="148"/>
  <c r="V60" i="148" s="1"/>
  <c r="Q60" i="147"/>
  <c r="P60" i="147"/>
  <c r="O60" i="147"/>
  <c r="N60" i="147"/>
  <c r="M60" i="147"/>
  <c r="L60" i="147"/>
  <c r="H60" i="147"/>
  <c r="G60" i="147"/>
  <c r="E60" i="147"/>
  <c r="D60" i="147"/>
  <c r="C60" i="147"/>
  <c r="S59" i="147"/>
  <c r="R59" i="147"/>
  <c r="J59" i="147"/>
  <c r="I59" i="147"/>
  <c r="S58" i="147"/>
  <c r="R58" i="147"/>
  <c r="J58" i="147"/>
  <c r="I58" i="147"/>
  <c r="S57" i="147"/>
  <c r="R57" i="147"/>
  <c r="J57" i="147"/>
  <c r="I57" i="147"/>
  <c r="S56" i="147"/>
  <c r="R56" i="147"/>
  <c r="J56" i="147"/>
  <c r="I56" i="147"/>
  <c r="S55" i="147"/>
  <c r="R55" i="147"/>
  <c r="J55" i="147"/>
  <c r="I55" i="147"/>
  <c r="U54" i="147"/>
  <c r="V54" i="147" s="1"/>
  <c r="S54" i="147"/>
  <c r="R54" i="147"/>
  <c r="J54" i="147"/>
  <c r="I54" i="147"/>
  <c r="W54" i="147" s="1"/>
  <c r="W53" i="147"/>
  <c r="U53" i="147"/>
  <c r="V53" i="147" s="1"/>
  <c r="S53" i="147"/>
  <c r="R53" i="147"/>
  <c r="J53" i="147"/>
  <c r="I53" i="147"/>
  <c r="U52" i="147"/>
  <c r="V52" i="147" s="1"/>
  <c r="S52" i="147"/>
  <c r="R52" i="147"/>
  <c r="J52" i="147"/>
  <c r="I52" i="147"/>
  <c r="W52" i="147" s="1"/>
  <c r="W51" i="147"/>
  <c r="U51" i="147"/>
  <c r="V51" i="147" s="1"/>
  <c r="S51" i="147"/>
  <c r="R51" i="147"/>
  <c r="J51" i="147"/>
  <c r="I51" i="147"/>
  <c r="U50" i="147"/>
  <c r="V50" i="147" s="1"/>
  <c r="S50" i="147"/>
  <c r="R50" i="147"/>
  <c r="J50" i="147"/>
  <c r="I50" i="147"/>
  <c r="W50" i="147" s="1"/>
  <c r="U49" i="147"/>
  <c r="V49" i="147" s="1"/>
  <c r="S49" i="147"/>
  <c r="R49" i="147"/>
  <c r="J49" i="147"/>
  <c r="I49" i="147"/>
  <c r="W49" i="147" s="1"/>
  <c r="U48" i="147"/>
  <c r="V48" i="147" s="1"/>
  <c r="S48" i="147"/>
  <c r="R48" i="147"/>
  <c r="J48" i="147"/>
  <c r="I48" i="147"/>
  <c r="W48" i="147" s="1"/>
  <c r="W47" i="147"/>
  <c r="U47" i="147"/>
  <c r="V47" i="147" s="1"/>
  <c r="S47" i="147"/>
  <c r="R47" i="147"/>
  <c r="J47" i="147"/>
  <c r="I47" i="147"/>
  <c r="U46" i="147"/>
  <c r="V46" i="147" s="1"/>
  <c r="S46" i="147"/>
  <c r="R46" i="147"/>
  <c r="J46" i="147"/>
  <c r="I46" i="147"/>
  <c r="W46" i="147" s="1"/>
  <c r="S45" i="147"/>
  <c r="R45" i="147"/>
  <c r="J45" i="147"/>
  <c r="I45" i="147"/>
  <c r="U44" i="147"/>
  <c r="V44" i="147" s="1"/>
  <c r="S44" i="147"/>
  <c r="R44" i="147"/>
  <c r="J44" i="147"/>
  <c r="I44" i="147"/>
  <c r="W44" i="147" s="1"/>
  <c r="S43" i="147"/>
  <c r="R43" i="147"/>
  <c r="J43" i="147"/>
  <c r="I43" i="147"/>
  <c r="U42" i="147"/>
  <c r="V42" i="147" s="1"/>
  <c r="S42" i="147"/>
  <c r="R42" i="147"/>
  <c r="J42" i="147"/>
  <c r="I42" i="147"/>
  <c r="W42" i="147" s="1"/>
  <c r="W41" i="147"/>
  <c r="U41" i="147"/>
  <c r="V41" i="147" s="1"/>
  <c r="S41" i="147"/>
  <c r="R41" i="147"/>
  <c r="J41" i="147"/>
  <c r="I41" i="147"/>
  <c r="W40" i="147"/>
  <c r="V40" i="147"/>
  <c r="U40" i="147"/>
  <c r="S40" i="147"/>
  <c r="R40" i="147"/>
  <c r="J40" i="147"/>
  <c r="I40" i="147"/>
  <c r="W39" i="147"/>
  <c r="U39" i="147"/>
  <c r="V39" i="147" s="1"/>
  <c r="S39" i="147"/>
  <c r="R39" i="147"/>
  <c r="J39" i="147"/>
  <c r="I39" i="147"/>
  <c r="V38" i="147"/>
  <c r="U38" i="147"/>
  <c r="S38" i="147"/>
  <c r="R38" i="147"/>
  <c r="J38" i="147"/>
  <c r="I38" i="147"/>
  <c r="W37" i="147"/>
  <c r="U37" i="147"/>
  <c r="V37" i="147" s="1"/>
  <c r="S37" i="147"/>
  <c r="R37" i="147"/>
  <c r="J37" i="147"/>
  <c r="I37" i="147"/>
  <c r="W36" i="147"/>
  <c r="V36" i="147"/>
  <c r="U36" i="147"/>
  <c r="S36" i="147"/>
  <c r="R36" i="147"/>
  <c r="J36" i="147"/>
  <c r="I36" i="147"/>
  <c r="U35" i="147"/>
  <c r="V35" i="147" s="1"/>
  <c r="S35" i="147"/>
  <c r="R35" i="147"/>
  <c r="J35" i="147"/>
  <c r="I35" i="147"/>
  <c r="W35" i="147" s="1"/>
  <c r="U34" i="147"/>
  <c r="V34" i="147" s="1"/>
  <c r="S34" i="147"/>
  <c r="R34" i="147"/>
  <c r="J34" i="147"/>
  <c r="I34" i="147"/>
  <c r="W34" i="147" s="1"/>
  <c r="W33" i="147"/>
  <c r="U33" i="147"/>
  <c r="V33" i="147" s="1"/>
  <c r="S33" i="147"/>
  <c r="R33" i="147"/>
  <c r="J33" i="147"/>
  <c r="I33" i="147"/>
  <c r="W32" i="147"/>
  <c r="V32" i="147"/>
  <c r="U32" i="147"/>
  <c r="S32" i="147"/>
  <c r="R32" i="147"/>
  <c r="J32" i="147"/>
  <c r="I32" i="147"/>
  <c r="U31" i="147"/>
  <c r="V31" i="147" s="1"/>
  <c r="S31" i="147"/>
  <c r="R31" i="147"/>
  <c r="J31" i="147"/>
  <c r="I31" i="147"/>
  <c r="W31" i="147" s="1"/>
  <c r="U30" i="147"/>
  <c r="V30" i="147" s="1"/>
  <c r="S30" i="147"/>
  <c r="R30" i="147"/>
  <c r="J30" i="147"/>
  <c r="I30" i="147"/>
  <c r="W29" i="147"/>
  <c r="U29" i="147"/>
  <c r="V29" i="147" s="1"/>
  <c r="S29" i="147"/>
  <c r="R29" i="147"/>
  <c r="J29" i="147"/>
  <c r="I29" i="147"/>
  <c r="V28" i="147"/>
  <c r="U28" i="147"/>
  <c r="S28" i="147"/>
  <c r="R28" i="147"/>
  <c r="J28" i="147"/>
  <c r="I28" i="147"/>
  <c r="W28" i="147" s="1"/>
  <c r="W27" i="147"/>
  <c r="U27" i="147"/>
  <c r="V27" i="147" s="1"/>
  <c r="S27" i="147"/>
  <c r="R27" i="147"/>
  <c r="J27" i="147"/>
  <c r="I27" i="147"/>
  <c r="BE26" i="147"/>
  <c r="U26" i="147"/>
  <c r="V26" i="147" s="1"/>
  <c r="S26" i="147"/>
  <c r="R26" i="147"/>
  <c r="J26" i="147"/>
  <c r="I26" i="147"/>
  <c r="V25" i="147"/>
  <c r="U25" i="147"/>
  <c r="S25" i="147"/>
  <c r="R25" i="147"/>
  <c r="J25" i="147"/>
  <c r="I25" i="147"/>
  <c r="W25" i="147" s="1"/>
  <c r="V24" i="147"/>
  <c r="U24" i="147"/>
  <c r="S24" i="147"/>
  <c r="R24" i="147"/>
  <c r="J24" i="147"/>
  <c r="W24" i="147" s="1"/>
  <c r="I24" i="147"/>
  <c r="V23" i="147"/>
  <c r="U23" i="147"/>
  <c r="S23" i="147"/>
  <c r="R23" i="147"/>
  <c r="J23" i="147"/>
  <c r="I23" i="147"/>
  <c r="W23" i="147" s="1"/>
  <c r="V22" i="147"/>
  <c r="U22" i="147"/>
  <c r="S22" i="147"/>
  <c r="R22" i="147"/>
  <c r="J22" i="147"/>
  <c r="I22" i="147"/>
  <c r="W22" i="147" s="1"/>
  <c r="V21" i="147"/>
  <c r="U21" i="147"/>
  <c r="S21" i="147"/>
  <c r="R21" i="147"/>
  <c r="J21" i="147"/>
  <c r="I21" i="147"/>
  <c r="W21" i="147" s="1"/>
  <c r="V20" i="147"/>
  <c r="U20" i="147"/>
  <c r="S20" i="147"/>
  <c r="R20" i="147"/>
  <c r="J20" i="147"/>
  <c r="I20" i="147"/>
  <c r="V19" i="147"/>
  <c r="U19" i="147"/>
  <c r="S19" i="147"/>
  <c r="R19" i="147"/>
  <c r="J19" i="147"/>
  <c r="I19" i="147"/>
  <c r="W19" i="147" s="1"/>
  <c r="W18" i="147"/>
  <c r="V18" i="147"/>
  <c r="U18" i="147"/>
  <c r="S18" i="147"/>
  <c r="R18" i="147"/>
  <c r="J18" i="147"/>
  <c r="I18" i="147"/>
  <c r="V17" i="147"/>
  <c r="U17" i="147"/>
  <c r="S17" i="147"/>
  <c r="R17" i="147"/>
  <c r="J17" i="147"/>
  <c r="I17" i="147"/>
  <c r="W17" i="147" s="1"/>
  <c r="W16" i="147"/>
  <c r="V16" i="147"/>
  <c r="U16" i="147"/>
  <c r="S16" i="147"/>
  <c r="R16" i="147"/>
  <c r="J16" i="147"/>
  <c r="I16" i="147"/>
  <c r="V15" i="147"/>
  <c r="U15" i="147"/>
  <c r="S15" i="147"/>
  <c r="R15" i="147"/>
  <c r="J15" i="147"/>
  <c r="I15" i="147"/>
  <c r="W15" i="147" s="1"/>
  <c r="W14" i="147"/>
  <c r="V14" i="147"/>
  <c r="U14" i="147"/>
  <c r="S14" i="147"/>
  <c r="R14" i="147"/>
  <c r="J14" i="147"/>
  <c r="I14" i="147"/>
  <c r="U13" i="147"/>
  <c r="V13" i="147" s="1"/>
  <c r="S13" i="147"/>
  <c r="R13" i="147"/>
  <c r="J13" i="147"/>
  <c r="I13" i="147"/>
  <c r="V12" i="147"/>
  <c r="U12" i="147"/>
  <c r="S12" i="147"/>
  <c r="R12" i="147"/>
  <c r="J12" i="147"/>
  <c r="I12" i="147"/>
  <c r="W12" i="147" s="1"/>
  <c r="V11" i="147"/>
  <c r="U11" i="147"/>
  <c r="S11" i="147"/>
  <c r="R11" i="147"/>
  <c r="J11" i="147"/>
  <c r="I11" i="147"/>
  <c r="W11" i="147" s="1"/>
  <c r="U10" i="147"/>
  <c r="V10" i="147" s="1"/>
  <c r="S10" i="147"/>
  <c r="R10" i="147"/>
  <c r="J10" i="147"/>
  <c r="I10" i="147"/>
  <c r="W10" i="147" s="1"/>
  <c r="U9" i="147"/>
  <c r="V9" i="147" s="1"/>
  <c r="S9" i="147"/>
  <c r="R9" i="147"/>
  <c r="J9" i="147"/>
  <c r="I9" i="147"/>
  <c r="W9" i="147" s="1"/>
  <c r="A9" i="147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V8" i="147"/>
  <c r="U8" i="147"/>
  <c r="S8" i="147"/>
  <c r="R8" i="147"/>
  <c r="J8" i="147"/>
  <c r="I8" i="147"/>
  <c r="Q60" i="146"/>
  <c r="P60" i="146"/>
  <c r="O60" i="146"/>
  <c r="N60" i="146"/>
  <c r="M60" i="146"/>
  <c r="L60" i="146"/>
  <c r="H60" i="146"/>
  <c r="G60" i="146"/>
  <c r="E60" i="146"/>
  <c r="D60" i="146"/>
  <c r="C60" i="146"/>
  <c r="S59" i="146"/>
  <c r="R59" i="146"/>
  <c r="J59" i="146"/>
  <c r="I59" i="146"/>
  <c r="S58" i="146"/>
  <c r="R58" i="146"/>
  <c r="J58" i="146"/>
  <c r="I58" i="146"/>
  <c r="S57" i="146"/>
  <c r="R57" i="146"/>
  <c r="J57" i="146"/>
  <c r="I57" i="146"/>
  <c r="S56" i="146"/>
  <c r="R56" i="146"/>
  <c r="J56" i="146"/>
  <c r="I56" i="146"/>
  <c r="S55" i="146"/>
  <c r="R55" i="146"/>
  <c r="J55" i="146"/>
  <c r="I55" i="146"/>
  <c r="V54" i="146"/>
  <c r="U54" i="146"/>
  <c r="S54" i="146"/>
  <c r="R54" i="146"/>
  <c r="J54" i="146"/>
  <c r="I54" i="146"/>
  <c r="W54" i="146" s="1"/>
  <c r="W53" i="146"/>
  <c r="V53" i="146"/>
  <c r="U53" i="146"/>
  <c r="S53" i="146"/>
  <c r="R53" i="146"/>
  <c r="J53" i="146"/>
  <c r="I53" i="146"/>
  <c r="V52" i="146"/>
  <c r="U52" i="146"/>
  <c r="S52" i="146"/>
  <c r="R52" i="146"/>
  <c r="J52" i="146"/>
  <c r="I52" i="146"/>
  <c r="W52" i="146" s="1"/>
  <c r="W51" i="146"/>
  <c r="V51" i="146"/>
  <c r="U51" i="146"/>
  <c r="S51" i="146"/>
  <c r="R51" i="146"/>
  <c r="J51" i="146"/>
  <c r="I51" i="146"/>
  <c r="V50" i="146"/>
  <c r="U50" i="146"/>
  <c r="S50" i="146"/>
  <c r="R50" i="146"/>
  <c r="J50" i="146"/>
  <c r="I50" i="146"/>
  <c r="W50" i="146" s="1"/>
  <c r="W49" i="146"/>
  <c r="V49" i="146"/>
  <c r="U49" i="146"/>
  <c r="S49" i="146"/>
  <c r="R49" i="146"/>
  <c r="J49" i="146"/>
  <c r="I49" i="146"/>
  <c r="U48" i="146"/>
  <c r="V48" i="146" s="1"/>
  <c r="S48" i="146"/>
  <c r="R48" i="146"/>
  <c r="J48" i="146"/>
  <c r="I48" i="146"/>
  <c r="W48" i="146" s="1"/>
  <c r="W47" i="146"/>
  <c r="V47" i="146"/>
  <c r="U47" i="146"/>
  <c r="S47" i="146"/>
  <c r="R47" i="146"/>
  <c r="J47" i="146"/>
  <c r="I47" i="146"/>
  <c r="V46" i="146"/>
  <c r="U46" i="146"/>
  <c r="S46" i="146"/>
  <c r="R46" i="146"/>
  <c r="J46" i="146"/>
  <c r="I46" i="146"/>
  <c r="W46" i="146" s="1"/>
  <c r="S45" i="146"/>
  <c r="R45" i="146"/>
  <c r="J45" i="146"/>
  <c r="I45" i="146"/>
  <c r="U44" i="146"/>
  <c r="V44" i="146" s="1"/>
  <c r="S44" i="146"/>
  <c r="R44" i="146"/>
  <c r="J44" i="146"/>
  <c r="I44" i="146"/>
  <c r="S43" i="146"/>
  <c r="R43" i="146"/>
  <c r="J43" i="146"/>
  <c r="I43" i="146"/>
  <c r="W42" i="146"/>
  <c r="U42" i="146"/>
  <c r="V42" i="146" s="1"/>
  <c r="S42" i="146"/>
  <c r="R42" i="146"/>
  <c r="J42" i="146"/>
  <c r="I42" i="146"/>
  <c r="U41" i="146"/>
  <c r="V41" i="146" s="1"/>
  <c r="S41" i="146"/>
  <c r="R41" i="146"/>
  <c r="J41" i="146"/>
  <c r="I41" i="146"/>
  <c r="W41" i="146" s="1"/>
  <c r="W40" i="146"/>
  <c r="U40" i="146"/>
  <c r="V40" i="146" s="1"/>
  <c r="S40" i="146"/>
  <c r="R40" i="146"/>
  <c r="J40" i="146"/>
  <c r="I40" i="146"/>
  <c r="U39" i="146"/>
  <c r="V39" i="146" s="1"/>
  <c r="S39" i="146"/>
  <c r="R39" i="146"/>
  <c r="J39" i="146"/>
  <c r="I39" i="146"/>
  <c r="W39" i="146" s="1"/>
  <c r="U38" i="146"/>
  <c r="V38" i="146" s="1"/>
  <c r="S38" i="146"/>
  <c r="R38" i="146"/>
  <c r="J38" i="146"/>
  <c r="I38" i="146"/>
  <c r="W38" i="146" s="1"/>
  <c r="U37" i="146"/>
  <c r="V37" i="146" s="1"/>
  <c r="S37" i="146"/>
  <c r="R37" i="146"/>
  <c r="J37" i="146"/>
  <c r="I37" i="146"/>
  <c r="W37" i="146" s="1"/>
  <c r="W36" i="146"/>
  <c r="U36" i="146"/>
  <c r="V36" i="146" s="1"/>
  <c r="S36" i="146"/>
  <c r="R36" i="146"/>
  <c r="J36" i="146"/>
  <c r="I36" i="146"/>
  <c r="U35" i="146"/>
  <c r="V35" i="146" s="1"/>
  <c r="S35" i="146"/>
  <c r="R35" i="146"/>
  <c r="J35" i="146"/>
  <c r="I35" i="146"/>
  <c r="W35" i="146" s="1"/>
  <c r="W34" i="146"/>
  <c r="U34" i="146"/>
  <c r="V34" i="146" s="1"/>
  <c r="S34" i="146"/>
  <c r="R34" i="146"/>
  <c r="J34" i="146"/>
  <c r="I34" i="146"/>
  <c r="U33" i="146"/>
  <c r="V33" i="146" s="1"/>
  <c r="S33" i="146"/>
  <c r="R33" i="146"/>
  <c r="J33" i="146"/>
  <c r="I33" i="146"/>
  <c r="W33" i="146" s="1"/>
  <c r="W32" i="146"/>
  <c r="U32" i="146"/>
  <c r="V32" i="146" s="1"/>
  <c r="S32" i="146"/>
  <c r="R32" i="146"/>
  <c r="J32" i="146"/>
  <c r="I32" i="146"/>
  <c r="U31" i="146"/>
  <c r="V31" i="146" s="1"/>
  <c r="S31" i="146"/>
  <c r="R31" i="146"/>
  <c r="J31" i="146"/>
  <c r="I31" i="146"/>
  <c r="W31" i="146" s="1"/>
  <c r="W30" i="146"/>
  <c r="U30" i="146"/>
  <c r="V30" i="146" s="1"/>
  <c r="S30" i="146"/>
  <c r="R30" i="146"/>
  <c r="J30" i="146"/>
  <c r="I30" i="146"/>
  <c r="U29" i="146"/>
  <c r="V29" i="146" s="1"/>
  <c r="S29" i="146"/>
  <c r="R29" i="146"/>
  <c r="J29" i="146"/>
  <c r="I29" i="146"/>
  <c r="W29" i="146" s="1"/>
  <c r="W28" i="146"/>
  <c r="U28" i="146"/>
  <c r="S28" i="146"/>
  <c r="R28" i="146"/>
  <c r="J28" i="146"/>
  <c r="I28" i="146"/>
  <c r="U27" i="146"/>
  <c r="V27" i="146" s="1"/>
  <c r="S27" i="146"/>
  <c r="R27" i="146"/>
  <c r="J27" i="146"/>
  <c r="I27" i="146"/>
  <c r="W27" i="146" s="1"/>
  <c r="BE26" i="146"/>
  <c r="V26" i="146"/>
  <c r="U26" i="146"/>
  <c r="S26" i="146"/>
  <c r="R26" i="146"/>
  <c r="J26" i="146"/>
  <c r="W26" i="146" s="1"/>
  <c r="I26" i="146"/>
  <c r="U25" i="146"/>
  <c r="V25" i="146" s="1"/>
  <c r="S25" i="146"/>
  <c r="R25" i="146"/>
  <c r="J25" i="146"/>
  <c r="I25" i="146"/>
  <c r="W25" i="146" s="1"/>
  <c r="V24" i="146"/>
  <c r="U24" i="146"/>
  <c r="S24" i="146"/>
  <c r="R24" i="146"/>
  <c r="J24" i="146"/>
  <c r="I24" i="146"/>
  <c r="W24" i="146" s="1"/>
  <c r="U23" i="146"/>
  <c r="V23" i="146" s="1"/>
  <c r="S23" i="146"/>
  <c r="R23" i="146"/>
  <c r="J23" i="146"/>
  <c r="I23" i="146"/>
  <c r="W23" i="146" s="1"/>
  <c r="V22" i="146"/>
  <c r="U22" i="146"/>
  <c r="S22" i="146"/>
  <c r="R22" i="146"/>
  <c r="J22" i="146"/>
  <c r="I22" i="146"/>
  <c r="W22" i="146" s="1"/>
  <c r="U21" i="146"/>
  <c r="V21" i="146" s="1"/>
  <c r="S21" i="146"/>
  <c r="R21" i="146"/>
  <c r="J21" i="146"/>
  <c r="I21" i="146"/>
  <c r="W21" i="146" s="1"/>
  <c r="V20" i="146"/>
  <c r="U20" i="146"/>
  <c r="S20" i="146"/>
  <c r="R20" i="146"/>
  <c r="J20" i="146"/>
  <c r="I20" i="146"/>
  <c r="W20" i="146" s="1"/>
  <c r="U19" i="146"/>
  <c r="V19" i="146" s="1"/>
  <c r="S19" i="146"/>
  <c r="R19" i="146"/>
  <c r="J19" i="146"/>
  <c r="I19" i="146"/>
  <c r="W19" i="146" s="1"/>
  <c r="W18" i="146"/>
  <c r="V18" i="146"/>
  <c r="U18" i="146"/>
  <c r="S18" i="146"/>
  <c r="R18" i="146"/>
  <c r="J18" i="146"/>
  <c r="I18" i="146"/>
  <c r="U17" i="146"/>
  <c r="V17" i="146" s="1"/>
  <c r="S17" i="146"/>
  <c r="R17" i="146"/>
  <c r="J17" i="146"/>
  <c r="I17" i="146"/>
  <c r="W17" i="146" s="1"/>
  <c r="W16" i="146"/>
  <c r="V16" i="146"/>
  <c r="U16" i="146"/>
  <c r="S16" i="146"/>
  <c r="R16" i="146"/>
  <c r="J16" i="146"/>
  <c r="I16" i="146"/>
  <c r="U15" i="146"/>
  <c r="V15" i="146" s="1"/>
  <c r="S15" i="146"/>
  <c r="R15" i="146"/>
  <c r="J15" i="146"/>
  <c r="I15" i="146"/>
  <c r="W15" i="146" s="1"/>
  <c r="V14" i="146"/>
  <c r="U14" i="146"/>
  <c r="S14" i="146"/>
  <c r="R14" i="146"/>
  <c r="J14" i="146"/>
  <c r="I14" i="146"/>
  <c r="W14" i="146" s="1"/>
  <c r="U13" i="146"/>
  <c r="V13" i="146" s="1"/>
  <c r="S13" i="146"/>
  <c r="R13" i="146"/>
  <c r="J13" i="146"/>
  <c r="I13" i="146"/>
  <c r="W13" i="146" s="1"/>
  <c r="W12" i="146"/>
  <c r="V12" i="146"/>
  <c r="U12" i="146"/>
  <c r="S12" i="146"/>
  <c r="R12" i="146"/>
  <c r="J12" i="146"/>
  <c r="I12" i="146"/>
  <c r="U11" i="146"/>
  <c r="V11" i="146" s="1"/>
  <c r="S11" i="146"/>
  <c r="R11" i="146"/>
  <c r="J11" i="146"/>
  <c r="I11" i="146"/>
  <c r="W11" i="146" s="1"/>
  <c r="W10" i="146"/>
  <c r="U10" i="146"/>
  <c r="V10" i="146" s="1"/>
  <c r="S10" i="146"/>
  <c r="R10" i="146"/>
  <c r="J10" i="146"/>
  <c r="I10" i="146"/>
  <c r="U9" i="146"/>
  <c r="V9" i="146" s="1"/>
  <c r="S9" i="146"/>
  <c r="R9" i="146"/>
  <c r="J9" i="146"/>
  <c r="I9" i="146"/>
  <c r="W9" i="146" s="1"/>
  <c r="A9" i="146"/>
  <c r="A10" i="146" s="1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 s="1"/>
  <c r="A29" i="146" s="1"/>
  <c r="A30" i="146" s="1"/>
  <c r="A31" i="146" s="1"/>
  <c r="A32" i="146" s="1"/>
  <c r="A33" i="146" s="1"/>
  <c r="A34" i="146" s="1"/>
  <c r="A35" i="146" s="1"/>
  <c r="A36" i="146" s="1"/>
  <c r="A37" i="146" s="1"/>
  <c r="A38" i="146" s="1"/>
  <c r="A39" i="146" s="1"/>
  <c r="A40" i="146" s="1"/>
  <c r="A41" i="146" s="1"/>
  <c r="A42" i="146" s="1"/>
  <c r="A43" i="146" s="1"/>
  <c r="A44" i="146" s="1"/>
  <c r="A45" i="146" s="1"/>
  <c r="A46" i="146" s="1"/>
  <c r="A47" i="146" s="1"/>
  <c r="A48" i="146" s="1"/>
  <c r="A49" i="146" s="1"/>
  <c r="A50" i="146" s="1"/>
  <c r="A51" i="146" s="1"/>
  <c r="A52" i="146" s="1"/>
  <c r="A53" i="146" s="1"/>
  <c r="A54" i="146" s="1"/>
  <c r="A55" i="146" s="1"/>
  <c r="A56" i="146" s="1"/>
  <c r="A57" i="146" s="1"/>
  <c r="A58" i="146" s="1"/>
  <c r="A59" i="146" s="1"/>
  <c r="U8" i="146"/>
  <c r="V8" i="146" s="1"/>
  <c r="S8" i="146"/>
  <c r="R8" i="146"/>
  <c r="J8" i="146"/>
  <c r="I8" i="146"/>
  <c r="Q60" i="145"/>
  <c r="P60" i="145"/>
  <c r="O60" i="145"/>
  <c r="N60" i="145"/>
  <c r="M60" i="145"/>
  <c r="L60" i="145"/>
  <c r="H60" i="145"/>
  <c r="G60" i="145"/>
  <c r="E60" i="145"/>
  <c r="D60" i="145"/>
  <c r="C60" i="145"/>
  <c r="S59" i="145"/>
  <c r="R59" i="145"/>
  <c r="J59" i="145"/>
  <c r="I59" i="145"/>
  <c r="S58" i="145"/>
  <c r="R58" i="145"/>
  <c r="J58" i="145"/>
  <c r="I58" i="145"/>
  <c r="S57" i="145"/>
  <c r="R57" i="145"/>
  <c r="J57" i="145"/>
  <c r="I57" i="145"/>
  <c r="S56" i="145"/>
  <c r="R56" i="145"/>
  <c r="J56" i="145"/>
  <c r="I56" i="145"/>
  <c r="S55" i="145"/>
  <c r="R55" i="145"/>
  <c r="J55" i="145"/>
  <c r="I55" i="145"/>
  <c r="V54" i="145"/>
  <c r="U54" i="145"/>
  <c r="S54" i="145"/>
  <c r="R54" i="145"/>
  <c r="J54" i="145"/>
  <c r="I54" i="145"/>
  <c r="W54" i="145" s="1"/>
  <c r="U53" i="145"/>
  <c r="V53" i="145" s="1"/>
  <c r="S53" i="145"/>
  <c r="R53" i="145"/>
  <c r="J53" i="145"/>
  <c r="I53" i="145"/>
  <c r="W53" i="145" s="1"/>
  <c r="V52" i="145"/>
  <c r="U52" i="145"/>
  <c r="S52" i="145"/>
  <c r="R52" i="145"/>
  <c r="J52" i="145"/>
  <c r="I52" i="145"/>
  <c r="W52" i="145" s="1"/>
  <c r="U51" i="145"/>
  <c r="V51" i="145" s="1"/>
  <c r="S51" i="145"/>
  <c r="R51" i="145"/>
  <c r="J51" i="145"/>
  <c r="I51" i="145"/>
  <c r="W51" i="145" s="1"/>
  <c r="V50" i="145"/>
  <c r="U50" i="145"/>
  <c r="S50" i="145"/>
  <c r="R50" i="145"/>
  <c r="J50" i="145"/>
  <c r="I50" i="145"/>
  <c r="W50" i="145" s="1"/>
  <c r="U49" i="145"/>
  <c r="V49" i="145" s="1"/>
  <c r="S49" i="145"/>
  <c r="R49" i="145"/>
  <c r="J49" i="145"/>
  <c r="I49" i="145"/>
  <c r="W49" i="145" s="1"/>
  <c r="V48" i="145"/>
  <c r="U48" i="145"/>
  <c r="S48" i="145"/>
  <c r="R48" i="145"/>
  <c r="J48" i="145"/>
  <c r="I48" i="145"/>
  <c r="W48" i="145" s="1"/>
  <c r="U47" i="145"/>
  <c r="V47" i="145" s="1"/>
  <c r="S47" i="145"/>
  <c r="R47" i="145"/>
  <c r="J47" i="145"/>
  <c r="I47" i="145"/>
  <c r="W47" i="145" s="1"/>
  <c r="U46" i="145"/>
  <c r="V46" i="145" s="1"/>
  <c r="S46" i="145"/>
  <c r="R46" i="145"/>
  <c r="J46" i="145"/>
  <c r="I46" i="145"/>
  <c r="W46" i="145" s="1"/>
  <c r="S45" i="145"/>
  <c r="R45" i="145"/>
  <c r="J45" i="145"/>
  <c r="I45" i="145"/>
  <c r="U44" i="145"/>
  <c r="V44" i="145" s="1"/>
  <c r="S44" i="145"/>
  <c r="R44" i="145"/>
  <c r="J44" i="145"/>
  <c r="I44" i="145"/>
  <c r="S43" i="145"/>
  <c r="R43" i="145"/>
  <c r="J43" i="145"/>
  <c r="I43" i="145"/>
  <c r="U42" i="145"/>
  <c r="V42" i="145" s="1"/>
  <c r="S42" i="145"/>
  <c r="R42" i="145"/>
  <c r="J42" i="145"/>
  <c r="I42" i="145"/>
  <c r="U41" i="145"/>
  <c r="V41" i="145" s="1"/>
  <c r="S41" i="145"/>
  <c r="R41" i="145"/>
  <c r="J41" i="145"/>
  <c r="I41" i="145"/>
  <c r="V40" i="145"/>
  <c r="U40" i="145"/>
  <c r="S40" i="145"/>
  <c r="R40" i="145"/>
  <c r="J40" i="145"/>
  <c r="W40" i="145" s="1"/>
  <c r="I40" i="145"/>
  <c r="U39" i="145"/>
  <c r="V39" i="145" s="1"/>
  <c r="S39" i="145"/>
  <c r="R39" i="145"/>
  <c r="J39" i="145"/>
  <c r="I39" i="145"/>
  <c r="U38" i="145"/>
  <c r="V38" i="145" s="1"/>
  <c r="S38" i="145"/>
  <c r="R38" i="145"/>
  <c r="J38" i="145"/>
  <c r="I38" i="145"/>
  <c r="U37" i="145"/>
  <c r="V37" i="145" s="1"/>
  <c r="S37" i="145"/>
  <c r="R37" i="145"/>
  <c r="J37" i="145"/>
  <c r="W37" i="145" s="1"/>
  <c r="I37" i="145"/>
  <c r="V36" i="145"/>
  <c r="U36" i="145"/>
  <c r="S36" i="145"/>
  <c r="R36" i="145"/>
  <c r="J36" i="145"/>
  <c r="W36" i="145" s="1"/>
  <c r="I36" i="145"/>
  <c r="U35" i="145"/>
  <c r="V35" i="145" s="1"/>
  <c r="S35" i="145"/>
  <c r="R35" i="145"/>
  <c r="J35" i="145"/>
  <c r="I35" i="145"/>
  <c r="U34" i="145"/>
  <c r="V34" i="145" s="1"/>
  <c r="S34" i="145"/>
  <c r="R34" i="145"/>
  <c r="J34" i="145"/>
  <c r="I34" i="145"/>
  <c r="U33" i="145"/>
  <c r="V33" i="145" s="1"/>
  <c r="S33" i="145"/>
  <c r="R33" i="145"/>
  <c r="J33" i="145"/>
  <c r="W33" i="145" s="1"/>
  <c r="I33" i="145"/>
  <c r="V32" i="145"/>
  <c r="U32" i="145"/>
  <c r="S32" i="145"/>
  <c r="R32" i="145"/>
  <c r="J32" i="145"/>
  <c r="W32" i="145" s="1"/>
  <c r="I32" i="145"/>
  <c r="U31" i="145"/>
  <c r="V31" i="145" s="1"/>
  <c r="S31" i="145"/>
  <c r="R31" i="145"/>
  <c r="J31" i="145"/>
  <c r="W31" i="145" s="1"/>
  <c r="I31" i="145"/>
  <c r="U30" i="145"/>
  <c r="V30" i="145" s="1"/>
  <c r="S30" i="145"/>
  <c r="R30" i="145"/>
  <c r="J30" i="145"/>
  <c r="I30" i="145"/>
  <c r="U29" i="145"/>
  <c r="V29" i="145" s="1"/>
  <c r="S29" i="145"/>
  <c r="R29" i="145"/>
  <c r="J29" i="145"/>
  <c r="W29" i="145" s="1"/>
  <c r="I29" i="145"/>
  <c r="V28" i="145"/>
  <c r="U28" i="145"/>
  <c r="S28" i="145"/>
  <c r="R28" i="145"/>
  <c r="J28" i="145"/>
  <c r="W28" i="145" s="1"/>
  <c r="I28" i="145"/>
  <c r="U27" i="145"/>
  <c r="V27" i="145" s="1"/>
  <c r="S27" i="145"/>
  <c r="R27" i="145"/>
  <c r="J27" i="145"/>
  <c r="I27" i="145"/>
  <c r="BE26" i="145"/>
  <c r="U26" i="145"/>
  <c r="V26" i="145" s="1"/>
  <c r="S26" i="145"/>
  <c r="R26" i="145"/>
  <c r="J26" i="145"/>
  <c r="I26" i="145"/>
  <c r="W26" i="145" s="1"/>
  <c r="U25" i="145"/>
  <c r="V25" i="145" s="1"/>
  <c r="S25" i="145"/>
  <c r="R25" i="145"/>
  <c r="J25" i="145"/>
  <c r="I25" i="145"/>
  <c r="W25" i="145" s="1"/>
  <c r="U24" i="145"/>
  <c r="V24" i="145" s="1"/>
  <c r="S24" i="145"/>
  <c r="R24" i="145"/>
  <c r="J24" i="145"/>
  <c r="W24" i="145" s="1"/>
  <c r="I24" i="145"/>
  <c r="U23" i="145"/>
  <c r="V23" i="145" s="1"/>
  <c r="S23" i="145"/>
  <c r="R23" i="145"/>
  <c r="J23" i="145"/>
  <c r="I23" i="145"/>
  <c r="W23" i="145" s="1"/>
  <c r="W22" i="145"/>
  <c r="U22" i="145"/>
  <c r="V22" i="145" s="1"/>
  <c r="S22" i="145"/>
  <c r="R22" i="145"/>
  <c r="J22" i="145"/>
  <c r="I22" i="145"/>
  <c r="U21" i="145"/>
  <c r="V21" i="145" s="1"/>
  <c r="S21" i="145"/>
  <c r="R21" i="145"/>
  <c r="J21" i="145"/>
  <c r="I21" i="145"/>
  <c r="W21" i="145" s="1"/>
  <c r="U20" i="145"/>
  <c r="V20" i="145" s="1"/>
  <c r="S20" i="145"/>
  <c r="R20" i="145"/>
  <c r="J20" i="145"/>
  <c r="I20" i="145"/>
  <c r="U19" i="145"/>
  <c r="V19" i="145" s="1"/>
  <c r="S19" i="145"/>
  <c r="R19" i="145"/>
  <c r="J19" i="145"/>
  <c r="I19" i="145"/>
  <c r="W19" i="145" s="1"/>
  <c r="W18" i="145"/>
  <c r="U18" i="145"/>
  <c r="V18" i="145" s="1"/>
  <c r="S18" i="145"/>
  <c r="R18" i="145"/>
  <c r="J18" i="145"/>
  <c r="I18" i="145"/>
  <c r="U17" i="145"/>
  <c r="V17" i="145" s="1"/>
  <c r="S17" i="145"/>
  <c r="R17" i="145"/>
  <c r="J17" i="145"/>
  <c r="I17" i="145"/>
  <c r="W17" i="145" s="1"/>
  <c r="W16" i="145"/>
  <c r="U16" i="145"/>
  <c r="V16" i="145" s="1"/>
  <c r="S16" i="145"/>
  <c r="R16" i="145"/>
  <c r="J16" i="145"/>
  <c r="I16" i="145"/>
  <c r="U15" i="145"/>
  <c r="V15" i="145" s="1"/>
  <c r="S15" i="145"/>
  <c r="R15" i="145"/>
  <c r="J15" i="145"/>
  <c r="I15" i="145"/>
  <c r="W15" i="145" s="1"/>
  <c r="U14" i="145"/>
  <c r="V14" i="145" s="1"/>
  <c r="S14" i="145"/>
  <c r="R14" i="145"/>
  <c r="J14" i="145"/>
  <c r="I14" i="145"/>
  <c r="U13" i="145"/>
  <c r="V13" i="145" s="1"/>
  <c r="S13" i="145"/>
  <c r="R13" i="145"/>
  <c r="J13" i="145"/>
  <c r="I13" i="145"/>
  <c r="W12" i="145"/>
  <c r="U12" i="145"/>
  <c r="V12" i="145" s="1"/>
  <c r="S12" i="145"/>
  <c r="R12" i="145"/>
  <c r="J12" i="145"/>
  <c r="I12" i="145"/>
  <c r="U11" i="145"/>
  <c r="V11" i="145" s="1"/>
  <c r="S11" i="145"/>
  <c r="R11" i="145"/>
  <c r="J11" i="145"/>
  <c r="I11" i="145"/>
  <c r="W11" i="145" s="1"/>
  <c r="U10" i="145"/>
  <c r="V10" i="145" s="1"/>
  <c r="S10" i="145"/>
  <c r="R10" i="145"/>
  <c r="J10" i="145"/>
  <c r="I10" i="145"/>
  <c r="W10" i="145" s="1"/>
  <c r="U9" i="145"/>
  <c r="V9" i="145" s="1"/>
  <c r="S9" i="145"/>
  <c r="R9" i="145"/>
  <c r="J9" i="145"/>
  <c r="I9" i="145"/>
  <c r="W9" i="145" s="1"/>
  <c r="A9" i="145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U8" i="145"/>
  <c r="V8" i="145" s="1"/>
  <c r="S8" i="145"/>
  <c r="S60" i="145" s="1"/>
  <c r="R8" i="145"/>
  <c r="J8" i="145"/>
  <c r="I8" i="145"/>
  <c r="Q60" i="144"/>
  <c r="P60" i="144"/>
  <c r="O60" i="144"/>
  <c r="N60" i="144"/>
  <c r="M60" i="144"/>
  <c r="L60" i="144"/>
  <c r="H60" i="144"/>
  <c r="G60" i="144"/>
  <c r="E60" i="144"/>
  <c r="D60" i="144"/>
  <c r="C60" i="144"/>
  <c r="S59" i="144"/>
  <c r="R59" i="144"/>
  <c r="J59" i="144"/>
  <c r="I59" i="144"/>
  <c r="S58" i="144"/>
  <c r="R58" i="144"/>
  <c r="J58" i="144"/>
  <c r="I58" i="144"/>
  <c r="S57" i="144"/>
  <c r="R57" i="144"/>
  <c r="J57" i="144"/>
  <c r="I57" i="144"/>
  <c r="S56" i="144"/>
  <c r="R56" i="144"/>
  <c r="J56" i="144"/>
  <c r="I56" i="144"/>
  <c r="S55" i="144"/>
  <c r="R55" i="144"/>
  <c r="J55" i="144"/>
  <c r="I55" i="144"/>
  <c r="V54" i="144"/>
  <c r="U54" i="144"/>
  <c r="S54" i="144"/>
  <c r="R54" i="144"/>
  <c r="J54" i="144"/>
  <c r="I54" i="144"/>
  <c r="W54" i="144" s="1"/>
  <c r="U53" i="144"/>
  <c r="V53" i="144" s="1"/>
  <c r="S53" i="144"/>
  <c r="R53" i="144"/>
  <c r="J53" i="144"/>
  <c r="I53" i="144"/>
  <c r="W53" i="144" s="1"/>
  <c r="V52" i="144"/>
  <c r="U52" i="144"/>
  <c r="S52" i="144"/>
  <c r="R52" i="144"/>
  <c r="J52" i="144"/>
  <c r="I52" i="144"/>
  <c r="W52" i="144" s="1"/>
  <c r="U51" i="144"/>
  <c r="V51" i="144" s="1"/>
  <c r="S51" i="144"/>
  <c r="R51" i="144"/>
  <c r="J51" i="144"/>
  <c r="I51" i="144"/>
  <c r="W51" i="144" s="1"/>
  <c r="V50" i="144"/>
  <c r="U50" i="144"/>
  <c r="S50" i="144"/>
  <c r="R50" i="144"/>
  <c r="J50" i="144"/>
  <c r="I50" i="144"/>
  <c r="W50" i="144" s="1"/>
  <c r="U49" i="144"/>
  <c r="V49" i="144" s="1"/>
  <c r="S49" i="144"/>
  <c r="R49" i="144"/>
  <c r="J49" i="144"/>
  <c r="I49" i="144"/>
  <c r="W49" i="144" s="1"/>
  <c r="V48" i="144"/>
  <c r="U48" i="144"/>
  <c r="S48" i="144"/>
  <c r="R48" i="144"/>
  <c r="J48" i="144"/>
  <c r="I48" i="144"/>
  <c r="W48" i="144" s="1"/>
  <c r="U47" i="144"/>
  <c r="V47" i="144" s="1"/>
  <c r="S47" i="144"/>
  <c r="R47" i="144"/>
  <c r="J47" i="144"/>
  <c r="I47" i="144"/>
  <c r="W47" i="144" s="1"/>
  <c r="V46" i="144"/>
  <c r="U46" i="144"/>
  <c r="S46" i="144"/>
  <c r="R46" i="144"/>
  <c r="J46" i="144"/>
  <c r="I46" i="144"/>
  <c r="W46" i="144" s="1"/>
  <c r="S45" i="144"/>
  <c r="R45" i="144"/>
  <c r="J45" i="144"/>
  <c r="I45" i="144"/>
  <c r="W44" i="144"/>
  <c r="U44" i="144"/>
  <c r="V44" i="144" s="1"/>
  <c r="S44" i="144"/>
  <c r="R44" i="144"/>
  <c r="J44" i="144"/>
  <c r="I44" i="144"/>
  <c r="S43" i="144"/>
  <c r="R43" i="144"/>
  <c r="J43" i="144"/>
  <c r="I43" i="144"/>
  <c r="U42" i="144"/>
  <c r="V42" i="144" s="1"/>
  <c r="S42" i="144"/>
  <c r="R42" i="144"/>
  <c r="J42" i="144"/>
  <c r="I42" i="144"/>
  <c r="W41" i="144"/>
  <c r="U41" i="144"/>
  <c r="V41" i="144" s="1"/>
  <c r="S41" i="144"/>
  <c r="R41" i="144"/>
  <c r="J41" i="144"/>
  <c r="I41" i="144"/>
  <c r="U40" i="144"/>
  <c r="V40" i="144" s="1"/>
  <c r="S40" i="144"/>
  <c r="R40" i="144"/>
  <c r="J40" i="144"/>
  <c r="W40" i="144" s="1"/>
  <c r="I40" i="144"/>
  <c r="U39" i="144"/>
  <c r="V39" i="144" s="1"/>
  <c r="S39" i="144"/>
  <c r="R39" i="144"/>
  <c r="J39" i="144"/>
  <c r="I39" i="144"/>
  <c r="W39" i="144" s="1"/>
  <c r="U38" i="144"/>
  <c r="V38" i="144" s="1"/>
  <c r="S38" i="144"/>
  <c r="R38" i="144"/>
  <c r="J38" i="144"/>
  <c r="W38" i="144" s="1"/>
  <c r="I38" i="144"/>
  <c r="W37" i="144"/>
  <c r="U37" i="144"/>
  <c r="V37" i="144" s="1"/>
  <c r="S37" i="144"/>
  <c r="R37" i="144"/>
  <c r="J37" i="144"/>
  <c r="I37" i="144"/>
  <c r="U36" i="144"/>
  <c r="V36" i="144" s="1"/>
  <c r="S36" i="144"/>
  <c r="R36" i="144"/>
  <c r="J36" i="144"/>
  <c r="W36" i="144" s="1"/>
  <c r="I36" i="144"/>
  <c r="W35" i="144"/>
  <c r="U35" i="144"/>
  <c r="V35" i="144" s="1"/>
  <c r="S35" i="144"/>
  <c r="R35" i="144"/>
  <c r="J35" i="144"/>
  <c r="I35" i="144"/>
  <c r="U34" i="144"/>
  <c r="V34" i="144" s="1"/>
  <c r="S34" i="144"/>
  <c r="R34" i="144"/>
  <c r="J34" i="144"/>
  <c r="W34" i="144" s="1"/>
  <c r="I34" i="144"/>
  <c r="W33" i="144"/>
  <c r="U33" i="144"/>
  <c r="V33" i="144" s="1"/>
  <c r="S33" i="144"/>
  <c r="R33" i="144"/>
  <c r="J33" i="144"/>
  <c r="I33" i="144"/>
  <c r="U32" i="144"/>
  <c r="V32" i="144" s="1"/>
  <c r="S32" i="144"/>
  <c r="R32" i="144"/>
  <c r="J32" i="144"/>
  <c r="W32" i="144" s="1"/>
  <c r="I32" i="144"/>
  <c r="U31" i="144"/>
  <c r="V31" i="144" s="1"/>
  <c r="S31" i="144"/>
  <c r="R31" i="144"/>
  <c r="J31" i="144"/>
  <c r="I31" i="144"/>
  <c r="W31" i="144" s="1"/>
  <c r="U30" i="144"/>
  <c r="V30" i="144" s="1"/>
  <c r="S30" i="144"/>
  <c r="R30" i="144"/>
  <c r="J30" i="144"/>
  <c r="I30" i="144"/>
  <c r="W29" i="144"/>
  <c r="U29" i="144"/>
  <c r="V29" i="144" s="1"/>
  <c r="S29" i="144"/>
  <c r="R29" i="144"/>
  <c r="J29" i="144"/>
  <c r="I29" i="144"/>
  <c r="U28" i="144"/>
  <c r="V28" i="144" s="1"/>
  <c r="S28" i="144"/>
  <c r="R28" i="144"/>
  <c r="J28" i="144"/>
  <c r="I28" i="144"/>
  <c r="W27" i="144"/>
  <c r="U27" i="144"/>
  <c r="V27" i="144" s="1"/>
  <c r="S27" i="144"/>
  <c r="R27" i="144"/>
  <c r="J27" i="144"/>
  <c r="I27" i="144"/>
  <c r="BE26" i="144"/>
  <c r="U26" i="144"/>
  <c r="V26" i="144" s="1"/>
  <c r="S26" i="144"/>
  <c r="R26" i="144"/>
  <c r="J26" i="144"/>
  <c r="I26" i="144"/>
  <c r="U25" i="144"/>
  <c r="V25" i="144" s="1"/>
  <c r="S25" i="144"/>
  <c r="R25" i="144"/>
  <c r="J25" i="144"/>
  <c r="I25" i="144"/>
  <c r="W25" i="144" s="1"/>
  <c r="U24" i="144"/>
  <c r="V24" i="144" s="1"/>
  <c r="S24" i="144"/>
  <c r="R24" i="144"/>
  <c r="J24" i="144"/>
  <c r="I24" i="144"/>
  <c r="W24" i="144" s="1"/>
  <c r="U23" i="144"/>
  <c r="V23" i="144" s="1"/>
  <c r="S23" i="144"/>
  <c r="R23" i="144"/>
  <c r="J23" i="144"/>
  <c r="I23" i="144"/>
  <c r="W23" i="144" s="1"/>
  <c r="U22" i="144"/>
  <c r="V22" i="144" s="1"/>
  <c r="S22" i="144"/>
  <c r="R22" i="144"/>
  <c r="J22" i="144"/>
  <c r="I22" i="144"/>
  <c r="W22" i="144" s="1"/>
  <c r="U21" i="144"/>
  <c r="V21" i="144" s="1"/>
  <c r="S21" i="144"/>
  <c r="R21" i="144"/>
  <c r="J21" i="144"/>
  <c r="I21" i="144"/>
  <c r="W21" i="144" s="1"/>
  <c r="U20" i="144"/>
  <c r="V20" i="144" s="1"/>
  <c r="S20" i="144"/>
  <c r="R20" i="144"/>
  <c r="J20" i="144"/>
  <c r="I20" i="144"/>
  <c r="W20" i="144" s="1"/>
  <c r="U19" i="144"/>
  <c r="V19" i="144" s="1"/>
  <c r="S19" i="144"/>
  <c r="R19" i="144"/>
  <c r="J19" i="144"/>
  <c r="I19" i="144"/>
  <c r="W19" i="144" s="1"/>
  <c r="U18" i="144"/>
  <c r="V18" i="144" s="1"/>
  <c r="S18" i="144"/>
  <c r="R18" i="144"/>
  <c r="J18" i="144"/>
  <c r="I18" i="144"/>
  <c r="W18" i="144" s="1"/>
  <c r="U17" i="144"/>
  <c r="V17" i="144" s="1"/>
  <c r="S17" i="144"/>
  <c r="R17" i="144"/>
  <c r="J17" i="144"/>
  <c r="I17" i="144"/>
  <c r="W17" i="144" s="1"/>
  <c r="U16" i="144"/>
  <c r="V16" i="144" s="1"/>
  <c r="S16" i="144"/>
  <c r="R16" i="144"/>
  <c r="J16" i="144"/>
  <c r="I16" i="144"/>
  <c r="W16" i="144" s="1"/>
  <c r="U15" i="144"/>
  <c r="V15" i="144" s="1"/>
  <c r="S15" i="144"/>
  <c r="R15" i="144"/>
  <c r="J15" i="144"/>
  <c r="I15" i="144"/>
  <c r="W15" i="144" s="1"/>
  <c r="U14" i="144"/>
  <c r="V14" i="144" s="1"/>
  <c r="S14" i="144"/>
  <c r="R14" i="144"/>
  <c r="J14" i="144"/>
  <c r="I14" i="144"/>
  <c r="U13" i="144"/>
  <c r="V13" i="144" s="1"/>
  <c r="S13" i="144"/>
  <c r="R13" i="144"/>
  <c r="J13" i="144"/>
  <c r="I13" i="144"/>
  <c r="U12" i="144"/>
  <c r="V12" i="144" s="1"/>
  <c r="S12" i="144"/>
  <c r="R12" i="144"/>
  <c r="J12" i="144"/>
  <c r="I12" i="144"/>
  <c r="U11" i="144"/>
  <c r="V11" i="144" s="1"/>
  <c r="S11" i="144"/>
  <c r="R11" i="144"/>
  <c r="J11" i="144"/>
  <c r="I11" i="144"/>
  <c r="W11" i="144" s="1"/>
  <c r="U10" i="144"/>
  <c r="V10" i="144" s="1"/>
  <c r="S10" i="144"/>
  <c r="R10" i="144"/>
  <c r="J10" i="144"/>
  <c r="I10" i="144"/>
  <c r="W10" i="144" s="1"/>
  <c r="U9" i="144"/>
  <c r="V9" i="144" s="1"/>
  <c r="S9" i="144"/>
  <c r="R9" i="144"/>
  <c r="J9" i="144"/>
  <c r="I9" i="144"/>
  <c r="W9" i="144" s="1"/>
  <c r="A9" i="144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U8" i="144"/>
  <c r="S8" i="144"/>
  <c r="S60" i="144" s="1"/>
  <c r="R8" i="144"/>
  <c r="J8" i="144"/>
  <c r="I8" i="144"/>
  <c r="W8" i="144" s="1"/>
  <c r="W60" i="148" l="1"/>
  <c r="W38" i="147"/>
  <c r="W30" i="147"/>
  <c r="W26" i="147"/>
  <c r="W20" i="147"/>
  <c r="S60" i="147"/>
  <c r="W13" i="147"/>
  <c r="J60" i="147"/>
  <c r="R60" i="147"/>
  <c r="U60" i="147"/>
  <c r="I60" i="147"/>
  <c r="W8" i="147"/>
  <c r="W44" i="146"/>
  <c r="S60" i="146"/>
  <c r="R60" i="146"/>
  <c r="J60" i="146"/>
  <c r="I60" i="146"/>
  <c r="U60" i="146"/>
  <c r="W8" i="146"/>
  <c r="W60" i="146" s="1"/>
  <c r="W44" i="145"/>
  <c r="W42" i="145"/>
  <c r="W41" i="145"/>
  <c r="W39" i="145"/>
  <c r="W38" i="145"/>
  <c r="W35" i="145"/>
  <c r="W34" i="145"/>
  <c r="W30" i="145"/>
  <c r="W27" i="145"/>
  <c r="W20" i="145"/>
  <c r="W14" i="145"/>
  <c r="J60" i="145"/>
  <c r="W13" i="145"/>
  <c r="R60" i="145"/>
  <c r="W8" i="145"/>
  <c r="I60" i="145"/>
  <c r="W42" i="144"/>
  <c r="R60" i="144"/>
  <c r="W30" i="144"/>
  <c r="W28" i="144"/>
  <c r="W26" i="144"/>
  <c r="W14" i="144"/>
  <c r="W13" i="144"/>
  <c r="W12" i="144"/>
  <c r="U60" i="144"/>
  <c r="J60" i="144"/>
  <c r="V60" i="147"/>
  <c r="V28" i="146"/>
  <c r="V60" i="146" s="1"/>
  <c r="V60" i="145"/>
  <c r="U60" i="145"/>
  <c r="I60" i="144"/>
  <c r="V8" i="144"/>
  <c r="V60" i="144" s="1"/>
  <c r="Q60" i="142"/>
  <c r="P60" i="142"/>
  <c r="O60" i="142"/>
  <c r="N60" i="142"/>
  <c r="M60" i="142"/>
  <c r="L60" i="142"/>
  <c r="H60" i="142"/>
  <c r="G60" i="142"/>
  <c r="E60" i="142"/>
  <c r="D60" i="142"/>
  <c r="C60" i="142"/>
  <c r="S59" i="142"/>
  <c r="R59" i="142"/>
  <c r="J59" i="142"/>
  <c r="I59" i="142"/>
  <c r="S58" i="142"/>
  <c r="R58" i="142"/>
  <c r="J58" i="142"/>
  <c r="I58" i="142"/>
  <c r="S57" i="142"/>
  <c r="R57" i="142"/>
  <c r="J57" i="142"/>
  <c r="I57" i="142"/>
  <c r="S56" i="142"/>
  <c r="R56" i="142"/>
  <c r="J56" i="142"/>
  <c r="I56" i="142"/>
  <c r="S55" i="142"/>
  <c r="R55" i="142"/>
  <c r="J55" i="142"/>
  <c r="I55" i="142"/>
  <c r="V54" i="142"/>
  <c r="U54" i="142"/>
  <c r="S54" i="142"/>
  <c r="R54" i="142"/>
  <c r="J54" i="142"/>
  <c r="I54" i="142"/>
  <c r="W54" i="142" s="1"/>
  <c r="W53" i="142"/>
  <c r="V53" i="142"/>
  <c r="U53" i="142"/>
  <c r="S53" i="142"/>
  <c r="R53" i="142"/>
  <c r="J53" i="142"/>
  <c r="I53" i="142"/>
  <c r="V52" i="142"/>
  <c r="U52" i="142"/>
  <c r="S52" i="142"/>
  <c r="R52" i="142"/>
  <c r="J52" i="142"/>
  <c r="I52" i="142"/>
  <c r="W52" i="142" s="1"/>
  <c r="W51" i="142"/>
  <c r="V51" i="142"/>
  <c r="U51" i="142"/>
  <c r="S51" i="142"/>
  <c r="R51" i="142"/>
  <c r="J51" i="142"/>
  <c r="I51" i="142"/>
  <c r="W50" i="142"/>
  <c r="V50" i="142"/>
  <c r="U50" i="142"/>
  <c r="S50" i="142"/>
  <c r="R50" i="142"/>
  <c r="J50" i="142"/>
  <c r="I50" i="142"/>
  <c r="V49" i="142"/>
  <c r="U49" i="142"/>
  <c r="S49" i="142"/>
  <c r="R49" i="142"/>
  <c r="J49" i="142"/>
  <c r="I49" i="142"/>
  <c r="W49" i="142" s="1"/>
  <c r="U48" i="142"/>
  <c r="V48" i="142" s="1"/>
  <c r="S48" i="142"/>
  <c r="R48" i="142"/>
  <c r="J48" i="142"/>
  <c r="I48" i="142"/>
  <c r="W47" i="142"/>
  <c r="V47" i="142"/>
  <c r="U47" i="142"/>
  <c r="S47" i="142"/>
  <c r="R47" i="142"/>
  <c r="J47" i="142"/>
  <c r="I47" i="142"/>
  <c r="W46" i="142"/>
  <c r="U46" i="142"/>
  <c r="V46" i="142" s="1"/>
  <c r="S46" i="142"/>
  <c r="R46" i="142"/>
  <c r="J46" i="142"/>
  <c r="I46" i="142"/>
  <c r="S45" i="142"/>
  <c r="R45" i="142"/>
  <c r="J45" i="142"/>
  <c r="I45" i="142"/>
  <c r="U44" i="142"/>
  <c r="V44" i="142" s="1"/>
  <c r="S44" i="142"/>
  <c r="R44" i="142"/>
  <c r="J44" i="142"/>
  <c r="I44" i="142"/>
  <c r="W44" i="142" s="1"/>
  <c r="S43" i="142"/>
  <c r="R43" i="142"/>
  <c r="J43" i="142"/>
  <c r="I43" i="142"/>
  <c r="U42" i="142"/>
  <c r="V42" i="142" s="1"/>
  <c r="S42" i="142"/>
  <c r="R42" i="142"/>
  <c r="J42" i="142"/>
  <c r="I42" i="142"/>
  <c r="W42" i="142" s="1"/>
  <c r="U41" i="142"/>
  <c r="V41" i="142" s="1"/>
  <c r="S41" i="142"/>
  <c r="R41" i="142"/>
  <c r="J41" i="142"/>
  <c r="I41" i="142"/>
  <c r="U40" i="142"/>
  <c r="V40" i="142" s="1"/>
  <c r="S40" i="142"/>
  <c r="R40" i="142"/>
  <c r="J40" i="142"/>
  <c r="I40" i="142"/>
  <c r="W40" i="142" s="1"/>
  <c r="U39" i="142"/>
  <c r="V39" i="142" s="1"/>
  <c r="S39" i="142"/>
  <c r="R39" i="142"/>
  <c r="J39" i="142"/>
  <c r="I39" i="142"/>
  <c r="W39" i="142" s="1"/>
  <c r="U38" i="142"/>
  <c r="V38" i="142" s="1"/>
  <c r="S38" i="142"/>
  <c r="R38" i="142"/>
  <c r="J38" i="142"/>
  <c r="I38" i="142"/>
  <c r="U37" i="142"/>
  <c r="V37" i="142" s="1"/>
  <c r="S37" i="142"/>
  <c r="R37" i="142"/>
  <c r="J37" i="142"/>
  <c r="I37" i="142"/>
  <c r="W37" i="142" s="1"/>
  <c r="U36" i="142"/>
  <c r="V36" i="142" s="1"/>
  <c r="S36" i="142"/>
  <c r="R36" i="142"/>
  <c r="J36" i="142"/>
  <c r="I36" i="142"/>
  <c r="W36" i="142" s="1"/>
  <c r="U35" i="142"/>
  <c r="V35" i="142" s="1"/>
  <c r="S35" i="142"/>
  <c r="R35" i="142"/>
  <c r="J35" i="142"/>
  <c r="I35" i="142"/>
  <c r="U34" i="142"/>
  <c r="V34" i="142" s="1"/>
  <c r="S34" i="142"/>
  <c r="R34" i="142"/>
  <c r="J34" i="142"/>
  <c r="I34" i="142"/>
  <c r="W34" i="142" s="1"/>
  <c r="U33" i="142"/>
  <c r="V33" i="142" s="1"/>
  <c r="S33" i="142"/>
  <c r="R33" i="142"/>
  <c r="J33" i="142"/>
  <c r="I33" i="142"/>
  <c r="W33" i="142" s="1"/>
  <c r="U32" i="142"/>
  <c r="V32" i="142" s="1"/>
  <c r="S32" i="142"/>
  <c r="R32" i="142"/>
  <c r="J32" i="142"/>
  <c r="I32" i="142"/>
  <c r="W32" i="142" s="1"/>
  <c r="U31" i="142"/>
  <c r="V31" i="142" s="1"/>
  <c r="S31" i="142"/>
  <c r="R31" i="142"/>
  <c r="J31" i="142"/>
  <c r="I31" i="142"/>
  <c r="W31" i="142" s="1"/>
  <c r="U30" i="142"/>
  <c r="V30" i="142" s="1"/>
  <c r="S30" i="142"/>
  <c r="R30" i="142"/>
  <c r="J30" i="142"/>
  <c r="I30" i="142"/>
  <c r="W30" i="142" s="1"/>
  <c r="U29" i="142"/>
  <c r="V29" i="142" s="1"/>
  <c r="S29" i="142"/>
  <c r="R29" i="142"/>
  <c r="J29" i="142"/>
  <c r="I29" i="142"/>
  <c r="W29" i="142" s="1"/>
  <c r="U28" i="142"/>
  <c r="V28" i="142" s="1"/>
  <c r="S28" i="142"/>
  <c r="R28" i="142"/>
  <c r="J28" i="142"/>
  <c r="I28" i="142"/>
  <c r="W28" i="142" s="1"/>
  <c r="U27" i="142"/>
  <c r="S27" i="142"/>
  <c r="R27" i="142"/>
  <c r="J27" i="142"/>
  <c r="I27" i="142"/>
  <c r="W27" i="142" s="1"/>
  <c r="BE26" i="142"/>
  <c r="U26" i="142"/>
  <c r="V26" i="142" s="1"/>
  <c r="S26" i="142"/>
  <c r="R26" i="142"/>
  <c r="J26" i="142"/>
  <c r="I26" i="142"/>
  <c r="V25" i="142"/>
  <c r="U25" i="142"/>
  <c r="S25" i="142"/>
  <c r="R25" i="142"/>
  <c r="J25" i="142"/>
  <c r="I25" i="142"/>
  <c r="W25" i="142" s="1"/>
  <c r="U24" i="142"/>
  <c r="V24" i="142" s="1"/>
  <c r="S24" i="142"/>
  <c r="R24" i="142"/>
  <c r="J24" i="142"/>
  <c r="I24" i="142"/>
  <c r="W24" i="142" s="1"/>
  <c r="V23" i="142"/>
  <c r="U23" i="142"/>
  <c r="S23" i="142"/>
  <c r="R23" i="142"/>
  <c r="J23" i="142"/>
  <c r="I23" i="142"/>
  <c r="U22" i="142"/>
  <c r="V22" i="142" s="1"/>
  <c r="S22" i="142"/>
  <c r="R22" i="142"/>
  <c r="J22" i="142"/>
  <c r="I22" i="142"/>
  <c r="W22" i="142" s="1"/>
  <c r="V21" i="142"/>
  <c r="U21" i="142"/>
  <c r="S21" i="142"/>
  <c r="R21" i="142"/>
  <c r="J21" i="142"/>
  <c r="I21" i="142"/>
  <c r="W21" i="142" s="1"/>
  <c r="U20" i="142"/>
  <c r="V20" i="142" s="1"/>
  <c r="S20" i="142"/>
  <c r="R20" i="142"/>
  <c r="J20" i="142"/>
  <c r="I20" i="142"/>
  <c r="W20" i="142" s="1"/>
  <c r="V19" i="142"/>
  <c r="U19" i="142"/>
  <c r="S19" i="142"/>
  <c r="R19" i="142"/>
  <c r="J19" i="142"/>
  <c r="I19" i="142"/>
  <c r="W19" i="142" s="1"/>
  <c r="U18" i="142"/>
  <c r="V18" i="142" s="1"/>
  <c r="S18" i="142"/>
  <c r="R18" i="142"/>
  <c r="J18" i="142"/>
  <c r="I18" i="142"/>
  <c r="W18" i="142" s="1"/>
  <c r="V17" i="142"/>
  <c r="U17" i="142"/>
  <c r="S17" i="142"/>
  <c r="R17" i="142"/>
  <c r="J17" i="142"/>
  <c r="I17" i="142"/>
  <c r="W17" i="142" s="1"/>
  <c r="U16" i="142"/>
  <c r="V16" i="142" s="1"/>
  <c r="S16" i="142"/>
  <c r="R16" i="142"/>
  <c r="J16" i="142"/>
  <c r="I16" i="142"/>
  <c r="W16" i="142" s="1"/>
  <c r="V15" i="142"/>
  <c r="U15" i="142"/>
  <c r="S15" i="142"/>
  <c r="R15" i="142"/>
  <c r="J15" i="142"/>
  <c r="I15" i="142"/>
  <c r="W15" i="142" s="1"/>
  <c r="U14" i="142"/>
  <c r="V14" i="142" s="1"/>
  <c r="S14" i="142"/>
  <c r="R14" i="142"/>
  <c r="J14" i="142"/>
  <c r="I14" i="142"/>
  <c r="U13" i="142"/>
  <c r="V13" i="142" s="1"/>
  <c r="S13" i="142"/>
  <c r="R13" i="142"/>
  <c r="J13" i="142"/>
  <c r="I13" i="142"/>
  <c r="U12" i="142"/>
  <c r="V12" i="142" s="1"/>
  <c r="S12" i="142"/>
  <c r="R12" i="142"/>
  <c r="J12" i="142"/>
  <c r="I12" i="142"/>
  <c r="W12" i="142" s="1"/>
  <c r="U11" i="142"/>
  <c r="V11" i="142" s="1"/>
  <c r="S11" i="142"/>
  <c r="R11" i="142"/>
  <c r="J11" i="142"/>
  <c r="I11" i="142"/>
  <c r="W11" i="142" s="1"/>
  <c r="U10" i="142"/>
  <c r="V10" i="142" s="1"/>
  <c r="S10" i="142"/>
  <c r="R10" i="142"/>
  <c r="J10" i="142"/>
  <c r="I10" i="142"/>
  <c r="W10" i="142" s="1"/>
  <c r="A10" i="142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U9" i="142"/>
  <c r="V9" i="142" s="1"/>
  <c r="S9" i="142"/>
  <c r="R9" i="142"/>
  <c r="J9" i="142"/>
  <c r="I9" i="142"/>
  <c r="W9" i="142" s="1"/>
  <c r="A9" i="142"/>
  <c r="U8" i="142"/>
  <c r="V8" i="142" s="1"/>
  <c r="S8" i="142"/>
  <c r="R8" i="142"/>
  <c r="J8" i="142"/>
  <c r="I8" i="142"/>
  <c r="Q60" i="141"/>
  <c r="P60" i="141"/>
  <c r="O60" i="141"/>
  <c r="N60" i="141"/>
  <c r="M60" i="141"/>
  <c r="L60" i="141"/>
  <c r="H60" i="141"/>
  <c r="G60" i="141"/>
  <c r="E60" i="141"/>
  <c r="D60" i="141"/>
  <c r="C60" i="141"/>
  <c r="S59" i="141"/>
  <c r="R59" i="141"/>
  <c r="J59" i="141"/>
  <c r="I59" i="141"/>
  <c r="S58" i="141"/>
  <c r="R58" i="141"/>
  <c r="J58" i="141"/>
  <c r="I58" i="141"/>
  <c r="S57" i="141"/>
  <c r="R57" i="141"/>
  <c r="J57" i="141"/>
  <c r="I57" i="141"/>
  <c r="S56" i="141"/>
  <c r="R56" i="141"/>
  <c r="J56" i="141"/>
  <c r="I56" i="141"/>
  <c r="S55" i="141"/>
  <c r="R55" i="141"/>
  <c r="J55" i="141"/>
  <c r="I55" i="141"/>
  <c r="U54" i="141"/>
  <c r="V54" i="141" s="1"/>
  <c r="S54" i="141"/>
  <c r="R54" i="141"/>
  <c r="J54" i="141"/>
  <c r="I54" i="141"/>
  <c r="W54" i="141" s="1"/>
  <c r="W53" i="141"/>
  <c r="V53" i="141"/>
  <c r="U53" i="141"/>
  <c r="S53" i="141"/>
  <c r="R53" i="141"/>
  <c r="J53" i="141"/>
  <c r="I53" i="141"/>
  <c r="U52" i="141"/>
  <c r="V52" i="141" s="1"/>
  <c r="S52" i="141"/>
  <c r="R52" i="141"/>
  <c r="J52" i="141"/>
  <c r="I52" i="141"/>
  <c r="W52" i="141" s="1"/>
  <c r="W51" i="141"/>
  <c r="V51" i="141"/>
  <c r="U51" i="141"/>
  <c r="S51" i="141"/>
  <c r="R51" i="141"/>
  <c r="J51" i="141"/>
  <c r="I51" i="141"/>
  <c r="U50" i="141"/>
  <c r="V50" i="141" s="1"/>
  <c r="S50" i="141"/>
  <c r="R50" i="141"/>
  <c r="J50" i="141"/>
  <c r="I50" i="141"/>
  <c r="W50" i="141" s="1"/>
  <c r="V49" i="141"/>
  <c r="U49" i="141"/>
  <c r="S49" i="141"/>
  <c r="R49" i="141"/>
  <c r="J49" i="141"/>
  <c r="I49" i="141"/>
  <c r="W49" i="141" s="1"/>
  <c r="U48" i="141"/>
  <c r="V48" i="141" s="1"/>
  <c r="S48" i="141"/>
  <c r="R48" i="141"/>
  <c r="J48" i="141"/>
  <c r="I48" i="141"/>
  <c r="W48" i="141" s="1"/>
  <c r="W47" i="141"/>
  <c r="V47" i="141"/>
  <c r="U47" i="141"/>
  <c r="S47" i="141"/>
  <c r="R47" i="141"/>
  <c r="J47" i="141"/>
  <c r="I47" i="141"/>
  <c r="U46" i="141"/>
  <c r="V46" i="141" s="1"/>
  <c r="S46" i="141"/>
  <c r="R46" i="141"/>
  <c r="J46" i="141"/>
  <c r="I46" i="141"/>
  <c r="W46" i="141" s="1"/>
  <c r="S45" i="141"/>
  <c r="R45" i="141"/>
  <c r="J45" i="141"/>
  <c r="I45" i="141"/>
  <c r="U44" i="141"/>
  <c r="V44" i="141" s="1"/>
  <c r="S44" i="141"/>
  <c r="R44" i="141"/>
  <c r="J44" i="141"/>
  <c r="I44" i="141"/>
  <c r="S43" i="141"/>
  <c r="R43" i="141"/>
  <c r="J43" i="141"/>
  <c r="I43" i="141"/>
  <c r="U42" i="141"/>
  <c r="V42" i="141" s="1"/>
  <c r="S42" i="141"/>
  <c r="R42" i="141"/>
  <c r="J42" i="141"/>
  <c r="I42" i="141"/>
  <c r="W42" i="141" s="1"/>
  <c r="U41" i="141"/>
  <c r="V41" i="141" s="1"/>
  <c r="S41" i="141"/>
  <c r="R41" i="141"/>
  <c r="J41" i="141"/>
  <c r="I41" i="141"/>
  <c r="U40" i="141"/>
  <c r="V40" i="141" s="1"/>
  <c r="S40" i="141"/>
  <c r="R40" i="141"/>
  <c r="J40" i="141"/>
  <c r="I40" i="141"/>
  <c r="W40" i="141" s="1"/>
  <c r="U39" i="141"/>
  <c r="V39" i="141" s="1"/>
  <c r="S39" i="141"/>
  <c r="R39" i="141"/>
  <c r="J39" i="141"/>
  <c r="I39" i="141"/>
  <c r="W39" i="141" s="1"/>
  <c r="U38" i="141"/>
  <c r="V38" i="141" s="1"/>
  <c r="S38" i="141"/>
  <c r="R38" i="141"/>
  <c r="J38" i="141"/>
  <c r="I38" i="141"/>
  <c r="U37" i="141"/>
  <c r="V37" i="141" s="1"/>
  <c r="S37" i="141"/>
  <c r="R37" i="141"/>
  <c r="J37" i="141"/>
  <c r="I37" i="141"/>
  <c r="W37" i="141" s="1"/>
  <c r="U36" i="141"/>
  <c r="V36" i="141" s="1"/>
  <c r="S36" i="141"/>
  <c r="R36" i="141"/>
  <c r="J36" i="141"/>
  <c r="I36" i="141"/>
  <c r="W36" i="141" s="1"/>
  <c r="U35" i="141"/>
  <c r="V35" i="141" s="1"/>
  <c r="S35" i="141"/>
  <c r="R35" i="141"/>
  <c r="J35" i="141"/>
  <c r="I35" i="141"/>
  <c r="W35" i="141" s="1"/>
  <c r="U34" i="141"/>
  <c r="V34" i="141" s="1"/>
  <c r="S34" i="141"/>
  <c r="R34" i="141"/>
  <c r="J34" i="141"/>
  <c r="I34" i="141"/>
  <c r="W34" i="141" s="1"/>
  <c r="U33" i="141"/>
  <c r="V33" i="141" s="1"/>
  <c r="S33" i="141"/>
  <c r="R33" i="141"/>
  <c r="J33" i="141"/>
  <c r="I33" i="141"/>
  <c r="W33" i="141" s="1"/>
  <c r="U32" i="141"/>
  <c r="V32" i="141" s="1"/>
  <c r="S32" i="141"/>
  <c r="R32" i="141"/>
  <c r="J32" i="141"/>
  <c r="I32" i="141"/>
  <c r="W32" i="141" s="1"/>
  <c r="U31" i="141"/>
  <c r="V31" i="141" s="1"/>
  <c r="S31" i="141"/>
  <c r="R31" i="141"/>
  <c r="J31" i="141"/>
  <c r="I31" i="141"/>
  <c r="W31" i="141" s="1"/>
  <c r="U30" i="141"/>
  <c r="V30" i="141" s="1"/>
  <c r="S30" i="141"/>
  <c r="R30" i="141"/>
  <c r="J30" i="141"/>
  <c r="I30" i="141"/>
  <c r="U29" i="141"/>
  <c r="V29" i="141" s="1"/>
  <c r="S29" i="141"/>
  <c r="R29" i="141"/>
  <c r="J29" i="141"/>
  <c r="I29" i="141"/>
  <c r="W29" i="141" s="1"/>
  <c r="U28" i="141"/>
  <c r="V28" i="141" s="1"/>
  <c r="S28" i="141"/>
  <c r="R28" i="141"/>
  <c r="J28" i="141"/>
  <c r="I28" i="141"/>
  <c r="W28" i="141" s="1"/>
  <c r="U27" i="141"/>
  <c r="S27" i="141"/>
  <c r="R27" i="141"/>
  <c r="J27" i="141"/>
  <c r="I27" i="141"/>
  <c r="W27" i="141" s="1"/>
  <c r="BE26" i="141"/>
  <c r="U26" i="141"/>
  <c r="V26" i="141" s="1"/>
  <c r="S26" i="141"/>
  <c r="R26" i="141"/>
  <c r="J26" i="141"/>
  <c r="I26" i="141"/>
  <c r="W26" i="141" s="1"/>
  <c r="V25" i="141"/>
  <c r="U25" i="141"/>
  <c r="S25" i="141"/>
  <c r="R25" i="141"/>
  <c r="J25" i="141"/>
  <c r="I25" i="141"/>
  <c r="W25" i="141" s="1"/>
  <c r="V24" i="141"/>
  <c r="U24" i="141"/>
  <c r="S24" i="141"/>
  <c r="R24" i="141"/>
  <c r="J24" i="141"/>
  <c r="I24" i="141"/>
  <c r="W24" i="141" s="1"/>
  <c r="V23" i="141"/>
  <c r="U23" i="141"/>
  <c r="S23" i="141"/>
  <c r="R23" i="141"/>
  <c r="J23" i="141"/>
  <c r="I23" i="141"/>
  <c r="V22" i="141"/>
  <c r="U22" i="141"/>
  <c r="S22" i="141"/>
  <c r="R22" i="141"/>
  <c r="J22" i="141"/>
  <c r="I22" i="141"/>
  <c r="W22" i="141" s="1"/>
  <c r="V21" i="141"/>
  <c r="U21" i="141"/>
  <c r="S21" i="141"/>
  <c r="R21" i="141"/>
  <c r="J21" i="141"/>
  <c r="I21" i="141"/>
  <c r="W21" i="141" s="1"/>
  <c r="V20" i="141"/>
  <c r="U20" i="141"/>
  <c r="S20" i="141"/>
  <c r="R20" i="141"/>
  <c r="J20" i="141"/>
  <c r="I20" i="141"/>
  <c r="V19" i="141"/>
  <c r="U19" i="141"/>
  <c r="S19" i="141"/>
  <c r="R19" i="141"/>
  <c r="J19" i="141"/>
  <c r="I19" i="141"/>
  <c r="W19" i="141" s="1"/>
  <c r="V18" i="141"/>
  <c r="U18" i="141"/>
  <c r="S18" i="141"/>
  <c r="R18" i="141"/>
  <c r="J18" i="141"/>
  <c r="I18" i="141"/>
  <c r="W18" i="141" s="1"/>
  <c r="V17" i="141"/>
  <c r="U17" i="141"/>
  <c r="S17" i="141"/>
  <c r="R17" i="141"/>
  <c r="J17" i="141"/>
  <c r="I17" i="141"/>
  <c r="W17" i="141" s="1"/>
  <c r="V16" i="141"/>
  <c r="U16" i="141"/>
  <c r="S16" i="141"/>
  <c r="R16" i="141"/>
  <c r="J16" i="141"/>
  <c r="I16" i="141"/>
  <c r="W16" i="141" s="1"/>
  <c r="V15" i="141"/>
  <c r="U15" i="141"/>
  <c r="S15" i="141"/>
  <c r="R15" i="141"/>
  <c r="J15" i="141"/>
  <c r="I15" i="141"/>
  <c r="W15" i="141" s="1"/>
  <c r="V14" i="141"/>
  <c r="U14" i="141"/>
  <c r="S14" i="141"/>
  <c r="R14" i="141"/>
  <c r="J14" i="141"/>
  <c r="I14" i="141"/>
  <c r="U13" i="141"/>
  <c r="V13" i="141" s="1"/>
  <c r="S13" i="141"/>
  <c r="R13" i="141"/>
  <c r="J13" i="141"/>
  <c r="I13" i="141"/>
  <c r="V12" i="141"/>
  <c r="U12" i="141"/>
  <c r="S12" i="141"/>
  <c r="R12" i="141"/>
  <c r="J12" i="141"/>
  <c r="I12" i="141"/>
  <c r="W12" i="141" s="1"/>
  <c r="U11" i="141"/>
  <c r="V11" i="141" s="1"/>
  <c r="S11" i="141"/>
  <c r="R11" i="141"/>
  <c r="J11" i="141"/>
  <c r="I11" i="141"/>
  <c r="W11" i="141" s="1"/>
  <c r="V10" i="141"/>
  <c r="U10" i="141"/>
  <c r="S10" i="141"/>
  <c r="R10" i="141"/>
  <c r="J10" i="141"/>
  <c r="I10" i="141"/>
  <c r="W10" i="141" s="1"/>
  <c r="A10" i="14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V9" i="141"/>
  <c r="U9" i="141"/>
  <c r="S9" i="141"/>
  <c r="R9" i="141"/>
  <c r="J9" i="141"/>
  <c r="I9" i="141"/>
  <c r="W9" i="141" s="1"/>
  <c r="A9" i="141"/>
  <c r="V8" i="141"/>
  <c r="U8" i="141"/>
  <c r="S8" i="141"/>
  <c r="R8" i="141"/>
  <c r="J8" i="141"/>
  <c r="I8" i="141"/>
  <c r="W8" i="141" s="1"/>
  <c r="Q60" i="140"/>
  <c r="P60" i="140"/>
  <c r="O60" i="140"/>
  <c r="N60" i="140"/>
  <c r="M60" i="140"/>
  <c r="L60" i="140"/>
  <c r="H60" i="140"/>
  <c r="G60" i="140"/>
  <c r="E60" i="140"/>
  <c r="D60" i="140"/>
  <c r="C60" i="140"/>
  <c r="S59" i="140"/>
  <c r="R59" i="140"/>
  <c r="J59" i="140"/>
  <c r="I59" i="140"/>
  <c r="S58" i="140"/>
  <c r="R58" i="140"/>
  <c r="J58" i="140"/>
  <c r="I58" i="140"/>
  <c r="S57" i="140"/>
  <c r="R57" i="140"/>
  <c r="J57" i="140"/>
  <c r="I57" i="140"/>
  <c r="S56" i="140"/>
  <c r="R56" i="140"/>
  <c r="J56" i="140"/>
  <c r="I56" i="140"/>
  <c r="S55" i="140"/>
  <c r="R55" i="140"/>
  <c r="J55" i="140"/>
  <c r="I55" i="140"/>
  <c r="U54" i="140"/>
  <c r="V54" i="140" s="1"/>
  <c r="S54" i="140"/>
  <c r="R54" i="140"/>
  <c r="J54" i="140"/>
  <c r="I54" i="140"/>
  <c r="W54" i="140" s="1"/>
  <c r="U53" i="140"/>
  <c r="V53" i="140" s="1"/>
  <c r="S53" i="140"/>
  <c r="R53" i="140"/>
  <c r="J53" i="140"/>
  <c r="I53" i="140"/>
  <c r="W53" i="140" s="1"/>
  <c r="U52" i="140"/>
  <c r="V52" i="140" s="1"/>
  <c r="S52" i="140"/>
  <c r="R52" i="140"/>
  <c r="J52" i="140"/>
  <c r="I52" i="140"/>
  <c r="W52" i="140" s="1"/>
  <c r="U51" i="140"/>
  <c r="V51" i="140" s="1"/>
  <c r="S51" i="140"/>
  <c r="R51" i="140"/>
  <c r="J51" i="140"/>
  <c r="I51" i="140"/>
  <c r="W51" i="140" s="1"/>
  <c r="U50" i="140"/>
  <c r="V50" i="140" s="1"/>
  <c r="S50" i="140"/>
  <c r="R50" i="140"/>
  <c r="J50" i="140"/>
  <c r="I50" i="140"/>
  <c r="W50" i="140" s="1"/>
  <c r="U49" i="140"/>
  <c r="V49" i="140" s="1"/>
  <c r="S49" i="140"/>
  <c r="R49" i="140"/>
  <c r="J49" i="140"/>
  <c r="I49" i="140"/>
  <c r="W49" i="140" s="1"/>
  <c r="U48" i="140"/>
  <c r="V48" i="140" s="1"/>
  <c r="S48" i="140"/>
  <c r="R48" i="140"/>
  <c r="J48" i="140"/>
  <c r="I48" i="140"/>
  <c r="W48" i="140" s="1"/>
  <c r="U47" i="140"/>
  <c r="V47" i="140" s="1"/>
  <c r="S47" i="140"/>
  <c r="R47" i="140"/>
  <c r="J47" i="140"/>
  <c r="I47" i="140"/>
  <c r="W47" i="140" s="1"/>
  <c r="U46" i="140"/>
  <c r="V46" i="140" s="1"/>
  <c r="S46" i="140"/>
  <c r="R46" i="140"/>
  <c r="J46" i="140"/>
  <c r="I46" i="140"/>
  <c r="W46" i="140" s="1"/>
  <c r="S45" i="140"/>
  <c r="R45" i="140"/>
  <c r="J45" i="140"/>
  <c r="I45" i="140"/>
  <c r="U44" i="140"/>
  <c r="V44" i="140" s="1"/>
  <c r="S44" i="140"/>
  <c r="R44" i="140"/>
  <c r="J44" i="140"/>
  <c r="I44" i="140"/>
  <c r="S43" i="140"/>
  <c r="R43" i="140"/>
  <c r="J43" i="140"/>
  <c r="I43" i="140"/>
  <c r="U42" i="140"/>
  <c r="V42" i="140" s="1"/>
  <c r="S42" i="140"/>
  <c r="R42" i="140"/>
  <c r="J42" i="140"/>
  <c r="I42" i="140"/>
  <c r="W42" i="140" s="1"/>
  <c r="U41" i="140"/>
  <c r="V41" i="140" s="1"/>
  <c r="S41" i="140"/>
  <c r="R41" i="140"/>
  <c r="J41" i="140"/>
  <c r="I41" i="140"/>
  <c r="W41" i="140" s="1"/>
  <c r="U40" i="140"/>
  <c r="V40" i="140" s="1"/>
  <c r="S40" i="140"/>
  <c r="R40" i="140"/>
  <c r="J40" i="140"/>
  <c r="I40" i="140"/>
  <c r="W40" i="140" s="1"/>
  <c r="U39" i="140"/>
  <c r="V39" i="140" s="1"/>
  <c r="S39" i="140"/>
  <c r="R39" i="140"/>
  <c r="J39" i="140"/>
  <c r="I39" i="140"/>
  <c r="W39" i="140" s="1"/>
  <c r="U38" i="140"/>
  <c r="V38" i="140" s="1"/>
  <c r="S38" i="140"/>
  <c r="R38" i="140"/>
  <c r="J38" i="140"/>
  <c r="I38" i="140"/>
  <c r="W37" i="140"/>
  <c r="U37" i="140"/>
  <c r="V37" i="140" s="1"/>
  <c r="S37" i="140"/>
  <c r="R37" i="140"/>
  <c r="J37" i="140"/>
  <c r="I37" i="140"/>
  <c r="U36" i="140"/>
  <c r="V36" i="140" s="1"/>
  <c r="S36" i="140"/>
  <c r="R36" i="140"/>
  <c r="J36" i="140"/>
  <c r="I36" i="140"/>
  <c r="W36" i="140" s="1"/>
  <c r="U35" i="140"/>
  <c r="V35" i="140" s="1"/>
  <c r="S35" i="140"/>
  <c r="R35" i="140"/>
  <c r="J35" i="140"/>
  <c r="W35" i="140" s="1"/>
  <c r="I35" i="140"/>
  <c r="U34" i="140"/>
  <c r="V34" i="140" s="1"/>
  <c r="S34" i="140"/>
  <c r="R34" i="140"/>
  <c r="J34" i="140"/>
  <c r="I34" i="140"/>
  <c r="W34" i="140" s="1"/>
  <c r="W33" i="140"/>
  <c r="U33" i="140"/>
  <c r="V33" i="140" s="1"/>
  <c r="S33" i="140"/>
  <c r="R33" i="140"/>
  <c r="J33" i="140"/>
  <c r="I33" i="140"/>
  <c r="U32" i="140"/>
  <c r="V32" i="140" s="1"/>
  <c r="S32" i="140"/>
  <c r="R32" i="140"/>
  <c r="J32" i="140"/>
  <c r="I32" i="140"/>
  <c r="W32" i="140" s="1"/>
  <c r="U31" i="140"/>
  <c r="V31" i="140" s="1"/>
  <c r="S31" i="140"/>
  <c r="R31" i="140"/>
  <c r="J31" i="140"/>
  <c r="I31" i="140"/>
  <c r="W31" i="140" s="1"/>
  <c r="U30" i="140"/>
  <c r="V30" i="140" s="1"/>
  <c r="S30" i="140"/>
  <c r="R30" i="140"/>
  <c r="J30" i="140"/>
  <c r="I30" i="140"/>
  <c r="U29" i="140"/>
  <c r="V29" i="140" s="1"/>
  <c r="S29" i="140"/>
  <c r="R29" i="140"/>
  <c r="J29" i="140"/>
  <c r="I29" i="140"/>
  <c r="W29" i="140" s="1"/>
  <c r="U28" i="140"/>
  <c r="V28" i="140" s="1"/>
  <c r="S28" i="140"/>
  <c r="R28" i="140"/>
  <c r="J28" i="140"/>
  <c r="I28" i="140"/>
  <c r="W28" i="140" s="1"/>
  <c r="U27" i="140"/>
  <c r="V27" i="140" s="1"/>
  <c r="S27" i="140"/>
  <c r="R27" i="140"/>
  <c r="J27" i="140"/>
  <c r="I27" i="140"/>
  <c r="W27" i="140" s="1"/>
  <c r="BE26" i="140"/>
  <c r="U26" i="140"/>
  <c r="V26" i="140" s="1"/>
  <c r="S26" i="140"/>
  <c r="R26" i="140"/>
  <c r="J26" i="140"/>
  <c r="I26" i="140"/>
  <c r="W26" i="140" s="1"/>
  <c r="V25" i="140"/>
  <c r="U25" i="140"/>
  <c r="S25" i="140"/>
  <c r="R25" i="140"/>
  <c r="J25" i="140"/>
  <c r="I25" i="140"/>
  <c r="W25" i="140" s="1"/>
  <c r="U24" i="140"/>
  <c r="V24" i="140" s="1"/>
  <c r="S24" i="140"/>
  <c r="R24" i="140"/>
  <c r="J24" i="140"/>
  <c r="I24" i="140"/>
  <c r="W24" i="140" s="1"/>
  <c r="W23" i="140"/>
  <c r="V23" i="140"/>
  <c r="U23" i="140"/>
  <c r="S23" i="140"/>
  <c r="R23" i="140"/>
  <c r="J23" i="140"/>
  <c r="I23" i="140"/>
  <c r="U22" i="140"/>
  <c r="V22" i="140" s="1"/>
  <c r="S22" i="140"/>
  <c r="R22" i="140"/>
  <c r="J22" i="140"/>
  <c r="I22" i="140"/>
  <c r="W22" i="140" s="1"/>
  <c r="V21" i="140"/>
  <c r="U21" i="140"/>
  <c r="S21" i="140"/>
  <c r="R21" i="140"/>
  <c r="J21" i="140"/>
  <c r="I21" i="140"/>
  <c r="W21" i="140" s="1"/>
  <c r="U20" i="140"/>
  <c r="V20" i="140" s="1"/>
  <c r="S20" i="140"/>
  <c r="R20" i="140"/>
  <c r="J20" i="140"/>
  <c r="I20" i="140"/>
  <c r="W20" i="140" s="1"/>
  <c r="W19" i="140"/>
  <c r="V19" i="140"/>
  <c r="U19" i="140"/>
  <c r="S19" i="140"/>
  <c r="R19" i="140"/>
  <c r="J19" i="140"/>
  <c r="I19" i="140"/>
  <c r="U18" i="140"/>
  <c r="V18" i="140" s="1"/>
  <c r="S18" i="140"/>
  <c r="R18" i="140"/>
  <c r="J18" i="140"/>
  <c r="I18" i="140"/>
  <c r="W18" i="140" s="1"/>
  <c r="W17" i="140"/>
  <c r="V17" i="140"/>
  <c r="U17" i="140"/>
  <c r="S17" i="140"/>
  <c r="R17" i="140"/>
  <c r="J17" i="140"/>
  <c r="I17" i="140"/>
  <c r="U16" i="140"/>
  <c r="V16" i="140" s="1"/>
  <c r="S16" i="140"/>
  <c r="R16" i="140"/>
  <c r="J16" i="140"/>
  <c r="I16" i="140"/>
  <c r="W16" i="140" s="1"/>
  <c r="W15" i="140"/>
  <c r="V15" i="140"/>
  <c r="U15" i="140"/>
  <c r="S15" i="140"/>
  <c r="R15" i="140"/>
  <c r="J15" i="140"/>
  <c r="I15" i="140"/>
  <c r="U14" i="140"/>
  <c r="V14" i="140" s="1"/>
  <c r="S14" i="140"/>
  <c r="R14" i="140"/>
  <c r="J14" i="140"/>
  <c r="I14" i="140"/>
  <c r="U13" i="140"/>
  <c r="V13" i="140" s="1"/>
  <c r="S13" i="140"/>
  <c r="R13" i="140"/>
  <c r="J13" i="140"/>
  <c r="I13" i="140"/>
  <c r="U12" i="140"/>
  <c r="V12" i="140" s="1"/>
  <c r="S12" i="140"/>
  <c r="R12" i="140"/>
  <c r="J12" i="140"/>
  <c r="I12" i="140"/>
  <c r="W12" i="140" s="1"/>
  <c r="V11" i="140"/>
  <c r="U11" i="140"/>
  <c r="S11" i="140"/>
  <c r="R11" i="140"/>
  <c r="J11" i="140"/>
  <c r="I11" i="140"/>
  <c r="W11" i="140" s="1"/>
  <c r="U10" i="140"/>
  <c r="V10" i="140" s="1"/>
  <c r="S10" i="140"/>
  <c r="R10" i="140"/>
  <c r="J10" i="140"/>
  <c r="I10" i="140"/>
  <c r="W10" i="140" s="1"/>
  <c r="A10" i="140"/>
  <c r="A11" i="140" s="1"/>
  <c r="A12" i="140" s="1"/>
  <c r="A13" i="140" s="1"/>
  <c r="A14" i="140" s="1"/>
  <c r="A15" i="140" s="1"/>
  <c r="A16" i="140" s="1"/>
  <c r="A17" i="140" s="1"/>
  <c r="A18" i="140" s="1"/>
  <c r="A19" i="140" s="1"/>
  <c r="A20" i="140" s="1"/>
  <c r="A21" i="140" s="1"/>
  <c r="A22" i="140" s="1"/>
  <c r="A23" i="140" s="1"/>
  <c r="A24" i="140" s="1"/>
  <c r="A25" i="140" s="1"/>
  <c r="A26" i="140" s="1"/>
  <c r="A27" i="140" s="1"/>
  <c r="A28" i="140" s="1"/>
  <c r="A29" i="140" s="1"/>
  <c r="A30" i="140" s="1"/>
  <c r="A31" i="140" s="1"/>
  <c r="A32" i="140" s="1"/>
  <c r="A33" i="140" s="1"/>
  <c r="A34" i="140" s="1"/>
  <c r="A35" i="140" s="1"/>
  <c r="A36" i="140" s="1"/>
  <c r="A37" i="140" s="1"/>
  <c r="A38" i="140" s="1"/>
  <c r="A39" i="140" s="1"/>
  <c r="A40" i="140" s="1"/>
  <c r="A41" i="140" s="1"/>
  <c r="A42" i="140" s="1"/>
  <c r="A43" i="140" s="1"/>
  <c r="A44" i="140" s="1"/>
  <c r="A45" i="140" s="1"/>
  <c r="A46" i="140" s="1"/>
  <c r="A47" i="140" s="1"/>
  <c r="A48" i="140" s="1"/>
  <c r="A49" i="140" s="1"/>
  <c r="A50" i="140" s="1"/>
  <c r="A51" i="140" s="1"/>
  <c r="A52" i="140" s="1"/>
  <c r="A53" i="140" s="1"/>
  <c r="A54" i="140" s="1"/>
  <c r="A55" i="140" s="1"/>
  <c r="A56" i="140" s="1"/>
  <c r="A57" i="140" s="1"/>
  <c r="A58" i="140" s="1"/>
  <c r="A59" i="140" s="1"/>
  <c r="V9" i="140"/>
  <c r="U9" i="140"/>
  <c r="S9" i="140"/>
  <c r="R9" i="140"/>
  <c r="J9" i="140"/>
  <c r="I9" i="140"/>
  <c r="A9" i="140"/>
  <c r="U8" i="140"/>
  <c r="S8" i="140"/>
  <c r="R8" i="140"/>
  <c r="J8" i="140"/>
  <c r="I8" i="140"/>
  <c r="W8" i="140" s="1"/>
  <c r="W60" i="147" l="1"/>
  <c r="W60" i="145"/>
  <c r="W60" i="144"/>
  <c r="W48" i="142"/>
  <c r="W41" i="142"/>
  <c r="W38" i="142"/>
  <c r="W35" i="142"/>
  <c r="W26" i="142"/>
  <c r="W23" i="142"/>
  <c r="W14" i="142"/>
  <c r="S60" i="142"/>
  <c r="W13" i="142"/>
  <c r="U60" i="142"/>
  <c r="R60" i="142"/>
  <c r="J60" i="142"/>
  <c r="W8" i="142"/>
  <c r="W44" i="141"/>
  <c r="W41" i="141"/>
  <c r="W38" i="141"/>
  <c r="W30" i="141"/>
  <c r="W23" i="141"/>
  <c r="W20" i="141"/>
  <c r="W14" i="141"/>
  <c r="S60" i="141"/>
  <c r="W13" i="141"/>
  <c r="U60" i="141"/>
  <c r="R60" i="141"/>
  <c r="J60" i="141"/>
  <c r="W44" i="140"/>
  <c r="W38" i="140"/>
  <c r="W30" i="140"/>
  <c r="W14" i="140"/>
  <c r="S60" i="140"/>
  <c r="R60" i="140"/>
  <c r="U60" i="140"/>
  <c r="W13" i="140"/>
  <c r="J60" i="140"/>
  <c r="W9" i="140"/>
  <c r="V27" i="142"/>
  <c r="V60" i="142" s="1"/>
  <c r="I60" i="142"/>
  <c r="V27" i="141"/>
  <c r="V60" i="141" s="1"/>
  <c r="I60" i="141"/>
  <c r="I60" i="140"/>
  <c r="V8" i="140"/>
  <c r="V60" i="140" s="1"/>
  <c r="J13" i="134"/>
  <c r="W60" i="142" l="1"/>
  <c r="W60" i="141"/>
  <c r="W60" i="140"/>
  <c r="C48" i="132"/>
  <c r="Q60" i="139"/>
  <c r="P60" i="139"/>
  <c r="O60" i="139"/>
  <c r="N60" i="139"/>
  <c r="M60" i="139"/>
  <c r="L60" i="139"/>
  <c r="H60" i="139"/>
  <c r="G60" i="139"/>
  <c r="E60" i="139"/>
  <c r="D60" i="139"/>
  <c r="C60" i="139"/>
  <c r="S59" i="139"/>
  <c r="R59" i="139"/>
  <c r="J59" i="139"/>
  <c r="I59" i="139"/>
  <c r="S58" i="139"/>
  <c r="R58" i="139"/>
  <c r="J58" i="139"/>
  <c r="I58" i="139"/>
  <c r="S57" i="139"/>
  <c r="R57" i="139"/>
  <c r="J57" i="139"/>
  <c r="I57" i="139"/>
  <c r="S56" i="139"/>
  <c r="R56" i="139"/>
  <c r="J56" i="139"/>
  <c r="I56" i="139"/>
  <c r="S55" i="139"/>
  <c r="R55" i="139"/>
  <c r="J55" i="139"/>
  <c r="I55" i="139"/>
  <c r="U54" i="139"/>
  <c r="V54" i="139" s="1"/>
  <c r="S54" i="139"/>
  <c r="R54" i="139"/>
  <c r="J54" i="139"/>
  <c r="I54" i="139"/>
  <c r="W54" i="139" s="1"/>
  <c r="W53" i="139"/>
  <c r="V53" i="139"/>
  <c r="U53" i="139"/>
  <c r="S53" i="139"/>
  <c r="R53" i="139"/>
  <c r="J53" i="139"/>
  <c r="I53" i="139"/>
  <c r="U52" i="139"/>
  <c r="V52" i="139" s="1"/>
  <c r="S52" i="139"/>
  <c r="R52" i="139"/>
  <c r="J52" i="139"/>
  <c r="I52" i="139"/>
  <c r="W52" i="139" s="1"/>
  <c r="W51" i="139"/>
  <c r="V51" i="139"/>
  <c r="U51" i="139"/>
  <c r="S51" i="139"/>
  <c r="R51" i="139"/>
  <c r="J51" i="139"/>
  <c r="I51" i="139"/>
  <c r="U50" i="139"/>
  <c r="V50" i="139" s="1"/>
  <c r="S50" i="139"/>
  <c r="R50" i="139"/>
  <c r="J50" i="139"/>
  <c r="I50" i="139"/>
  <c r="W50" i="139" s="1"/>
  <c r="U49" i="139"/>
  <c r="V49" i="139" s="1"/>
  <c r="S49" i="139"/>
  <c r="R49" i="139"/>
  <c r="J49" i="139"/>
  <c r="I49" i="139"/>
  <c r="W49" i="139" s="1"/>
  <c r="U48" i="139"/>
  <c r="V48" i="139" s="1"/>
  <c r="S48" i="139"/>
  <c r="R48" i="139"/>
  <c r="J48" i="139"/>
  <c r="I48" i="139"/>
  <c r="W48" i="139" s="1"/>
  <c r="W47" i="139"/>
  <c r="U47" i="139"/>
  <c r="V47" i="139" s="1"/>
  <c r="S47" i="139"/>
  <c r="R47" i="139"/>
  <c r="J47" i="139"/>
  <c r="I47" i="139"/>
  <c r="W46" i="139"/>
  <c r="U46" i="139"/>
  <c r="V46" i="139" s="1"/>
  <c r="S46" i="139"/>
  <c r="R46" i="139"/>
  <c r="J46" i="139"/>
  <c r="I46" i="139"/>
  <c r="S45" i="139"/>
  <c r="R45" i="139"/>
  <c r="J45" i="139"/>
  <c r="I45" i="139"/>
  <c r="U44" i="139"/>
  <c r="V44" i="139" s="1"/>
  <c r="S44" i="139"/>
  <c r="R44" i="139"/>
  <c r="J44" i="139"/>
  <c r="I44" i="139"/>
  <c r="W44" i="139" s="1"/>
  <c r="S43" i="139"/>
  <c r="R43" i="139"/>
  <c r="J43" i="139"/>
  <c r="I43" i="139"/>
  <c r="U42" i="139"/>
  <c r="V42" i="139" s="1"/>
  <c r="S42" i="139"/>
  <c r="R42" i="139"/>
  <c r="J42" i="139"/>
  <c r="I42" i="139"/>
  <c r="W42" i="139" s="1"/>
  <c r="U41" i="139"/>
  <c r="V41" i="139" s="1"/>
  <c r="S41" i="139"/>
  <c r="R41" i="139"/>
  <c r="J41" i="139"/>
  <c r="I41" i="139"/>
  <c r="W41" i="139" s="1"/>
  <c r="W40" i="139"/>
  <c r="V40" i="139"/>
  <c r="U40" i="139"/>
  <c r="S40" i="139"/>
  <c r="R40" i="139"/>
  <c r="J40" i="139"/>
  <c r="I40" i="139"/>
  <c r="U39" i="139"/>
  <c r="V39" i="139" s="1"/>
  <c r="S39" i="139"/>
  <c r="R39" i="139"/>
  <c r="J39" i="139"/>
  <c r="I39" i="139"/>
  <c r="W39" i="139" s="1"/>
  <c r="U38" i="139"/>
  <c r="V38" i="139" s="1"/>
  <c r="S38" i="139"/>
  <c r="R38" i="139"/>
  <c r="J38" i="139"/>
  <c r="I38" i="139"/>
  <c r="W37" i="139"/>
  <c r="U37" i="139"/>
  <c r="V37" i="139" s="1"/>
  <c r="S37" i="139"/>
  <c r="R37" i="139"/>
  <c r="J37" i="139"/>
  <c r="I37" i="139"/>
  <c r="W36" i="139"/>
  <c r="V36" i="139"/>
  <c r="U36" i="139"/>
  <c r="S36" i="139"/>
  <c r="R36" i="139"/>
  <c r="J36" i="139"/>
  <c r="I36" i="139"/>
  <c r="W35" i="139"/>
  <c r="U35" i="139"/>
  <c r="V35" i="139" s="1"/>
  <c r="S35" i="139"/>
  <c r="R35" i="139"/>
  <c r="J35" i="139"/>
  <c r="I35" i="139"/>
  <c r="W34" i="139"/>
  <c r="V34" i="139"/>
  <c r="U34" i="139"/>
  <c r="S34" i="139"/>
  <c r="R34" i="139"/>
  <c r="J34" i="139"/>
  <c r="I34" i="139"/>
  <c r="W33" i="139"/>
  <c r="U33" i="139"/>
  <c r="V33" i="139" s="1"/>
  <c r="S33" i="139"/>
  <c r="R33" i="139"/>
  <c r="J33" i="139"/>
  <c r="I33" i="139"/>
  <c r="V32" i="139"/>
  <c r="U32" i="139"/>
  <c r="S32" i="139"/>
  <c r="R32" i="139"/>
  <c r="J32" i="139"/>
  <c r="I32" i="139"/>
  <c r="W32" i="139" s="1"/>
  <c r="U31" i="139"/>
  <c r="V31" i="139" s="1"/>
  <c r="S31" i="139"/>
  <c r="R31" i="139"/>
  <c r="J31" i="139"/>
  <c r="I31" i="139"/>
  <c r="W31" i="139" s="1"/>
  <c r="V30" i="139"/>
  <c r="U30" i="139"/>
  <c r="S30" i="139"/>
  <c r="R30" i="139"/>
  <c r="J30" i="139"/>
  <c r="W30" i="139" s="1"/>
  <c r="I30" i="139"/>
  <c r="U29" i="139"/>
  <c r="V29" i="139" s="1"/>
  <c r="S29" i="139"/>
  <c r="R29" i="139"/>
  <c r="J29" i="139"/>
  <c r="I29" i="139"/>
  <c r="W29" i="139" s="1"/>
  <c r="U28" i="139"/>
  <c r="V28" i="139" s="1"/>
  <c r="S28" i="139"/>
  <c r="R28" i="139"/>
  <c r="J28" i="139"/>
  <c r="I28" i="139"/>
  <c r="W28" i="139" s="1"/>
  <c r="U27" i="139"/>
  <c r="V27" i="139" s="1"/>
  <c r="S27" i="139"/>
  <c r="R27" i="139"/>
  <c r="J27" i="139"/>
  <c r="I27" i="139"/>
  <c r="W27" i="139" s="1"/>
  <c r="BE26" i="139"/>
  <c r="V26" i="139"/>
  <c r="U26" i="139"/>
  <c r="S26" i="139"/>
  <c r="R26" i="139"/>
  <c r="J26" i="139"/>
  <c r="I26" i="139"/>
  <c r="V25" i="139"/>
  <c r="U25" i="139"/>
  <c r="S25" i="139"/>
  <c r="R25" i="139"/>
  <c r="J25" i="139"/>
  <c r="I25" i="139"/>
  <c r="W25" i="139" s="1"/>
  <c r="V24" i="139"/>
  <c r="U24" i="139"/>
  <c r="S24" i="139"/>
  <c r="R24" i="139"/>
  <c r="J24" i="139"/>
  <c r="I24" i="139"/>
  <c r="V23" i="139"/>
  <c r="U23" i="139"/>
  <c r="S23" i="139"/>
  <c r="R23" i="139"/>
  <c r="J23" i="139"/>
  <c r="I23" i="139"/>
  <c r="V22" i="139"/>
  <c r="U22" i="139"/>
  <c r="S22" i="139"/>
  <c r="R22" i="139"/>
  <c r="J22" i="139"/>
  <c r="I22" i="139"/>
  <c r="W22" i="139" s="1"/>
  <c r="V21" i="139"/>
  <c r="U21" i="139"/>
  <c r="S21" i="139"/>
  <c r="R21" i="139"/>
  <c r="J21" i="139"/>
  <c r="I21" i="139"/>
  <c r="W21" i="139" s="1"/>
  <c r="V20" i="139"/>
  <c r="U20" i="139"/>
  <c r="S20" i="139"/>
  <c r="R20" i="139"/>
  <c r="J20" i="139"/>
  <c r="I20" i="139"/>
  <c r="V19" i="139"/>
  <c r="U19" i="139"/>
  <c r="S19" i="139"/>
  <c r="R19" i="139"/>
  <c r="J19" i="139"/>
  <c r="I19" i="139"/>
  <c r="W19" i="139" s="1"/>
  <c r="V18" i="139"/>
  <c r="U18" i="139"/>
  <c r="S18" i="139"/>
  <c r="R18" i="139"/>
  <c r="J18" i="139"/>
  <c r="I18" i="139"/>
  <c r="W18" i="139" s="1"/>
  <c r="V17" i="139"/>
  <c r="U17" i="139"/>
  <c r="S17" i="139"/>
  <c r="R17" i="139"/>
  <c r="J17" i="139"/>
  <c r="I17" i="139"/>
  <c r="W17" i="139" s="1"/>
  <c r="V16" i="139"/>
  <c r="U16" i="139"/>
  <c r="S16" i="139"/>
  <c r="R16" i="139"/>
  <c r="J16" i="139"/>
  <c r="I16" i="139"/>
  <c r="W16" i="139" s="1"/>
  <c r="V15" i="139"/>
  <c r="U15" i="139"/>
  <c r="S15" i="139"/>
  <c r="R15" i="139"/>
  <c r="J15" i="139"/>
  <c r="I15" i="139"/>
  <c r="W15" i="139" s="1"/>
  <c r="V14" i="139"/>
  <c r="U14" i="139"/>
  <c r="S14" i="139"/>
  <c r="R14" i="139"/>
  <c r="J14" i="139"/>
  <c r="I14" i="139"/>
  <c r="W14" i="139" s="1"/>
  <c r="V13" i="139"/>
  <c r="U13" i="139"/>
  <c r="S13" i="139"/>
  <c r="R13" i="139"/>
  <c r="J13" i="139"/>
  <c r="I13" i="139"/>
  <c r="V12" i="139"/>
  <c r="U12" i="139"/>
  <c r="S12" i="139"/>
  <c r="R12" i="139"/>
  <c r="J12" i="139"/>
  <c r="I12" i="139"/>
  <c r="W12" i="139" s="1"/>
  <c r="V11" i="139"/>
  <c r="U11" i="139"/>
  <c r="S11" i="139"/>
  <c r="R11" i="139"/>
  <c r="J11" i="139"/>
  <c r="I11" i="139"/>
  <c r="W11" i="139" s="1"/>
  <c r="V10" i="139"/>
  <c r="U10" i="139"/>
  <c r="S10" i="139"/>
  <c r="R10" i="139"/>
  <c r="J10" i="139"/>
  <c r="I10" i="139"/>
  <c r="W10" i="139" s="1"/>
  <c r="V9" i="139"/>
  <c r="U9" i="139"/>
  <c r="S9" i="139"/>
  <c r="R9" i="139"/>
  <c r="J9" i="139"/>
  <c r="I9" i="139"/>
  <c r="W9" i="139" s="1"/>
  <c r="A9" i="139"/>
  <c r="A10" i="139" s="1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V8" i="139"/>
  <c r="U8" i="139"/>
  <c r="S8" i="139"/>
  <c r="R8" i="139"/>
  <c r="J8" i="139"/>
  <c r="I8" i="139"/>
  <c r="Q60" i="138"/>
  <c r="P60" i="138"/>
  <c r="O60" i="138"/>
  <c r="N60" i="138"/>
  <c r="M60" i="138"/>
  <c r="L60" i="138"/>
  <c r="H60" i="138"/>
  <c r="G60" i="138"/>
  <c r="E60" i="138"/>
  <c r="D60" i="138"/>
  <c r="C60" i="138"/>
  <c r="S59" i="138"/>
  <c r="R59" i="138"/>
  <c r="J59" i="138"/>
  <c r="I59" i="138"/>
  <c r="S58" i="138"/>
  <c r="R58" i="138"/>
  <c r="J58" i="138"/>
  <c r="I58" i="138"/>
  <c r="S57" i="138"/>
  <c r="R57" i="138"/>
  <c r="J57" i="138"/>
  <c r="I57" i="138"/>
  <c r="S56" i="138"/>
  <c r="R56" i="138"/>
  <c r="J56" i="138"/>
  <c r="I56" i="138"/>
  <c r="S55" i="138"/>
  <c r="R55" i="138"/>
  <c r="J55" i="138"/>
  <c r="I55" i="138"/>
  <c r="W54" i="138"/>
  <c r="V54" i="138"/>
  <c r="U54" i="138"/>
  <c r="S54" i="138"/>
  <c r="R54" i="138"/>
  <c r="J54" i="138"/>
  <c r="I54" i="138"/>
  <c r="W53" i="138"/>
  <c r="U53" i="138"/>
  <c r="V53" i="138" s="1"/>
  <c r="S53" i="138"/>
  <c r="R53" i="138"/>
  <c r="J53" i="138"/>
  <c r="I53" i="138"/>
  <c r="V52" i="138"/>
  <c r="U52" i="138"/>
  <c r="S52" i="138"/>
  <c r="R52" i="138"/>
  <c r="J52" i="138"/>
  <c r="I52" i="138"/>
  <c r="W52" i="138" s="1"/>
  <c r="W51" i="138"/>
  <c r="U51" i="138"/>
  <c r="V51" i="138" s="1"/>
  <c r="S51" i="138"/>
  <c r="R51" i="138"/>
  <c r="J51" i="138"/>
  <c r="I51" i="138"/>
  <c r="V50" i="138"/>
  <c r="U50" i="138"/>
  <c r="S50" i="138"/>
  <c r="R50" i="138"/>
  <c r="J50" i="138"/>
  <c r="I50" i="138"/>
  <c r="W50" i="138" s="1"/>
  <c r="W49" i="138"/>
  <c r="U49" i="138"/>
  <c r="V49" i="138" s="1"/>
  <c r="S49" i="138"/>
  <c r="R49" i="138"/>
  <c r="J49" i="138"/>
  <c r="I49" i="138"/>
  <c r="V48" i="138"/>
  <c r="U48" i="138"/>
  <c r="S48" i="138"/>
  <c r="R48" i="138"/>
  <c r="J48" i="138"/>
  <c r="I48" i="138"/>
  <c r="W47" i="138"/>
  <c r="U47" i="138"/>
  <c r="V47" i="138" s="1"/>
  <c r="S47" i="138"/>
  <c r="R47" i="138"/>
  <c r="J47" i="138"/>
  <c r="I47" i="138"/>
  <c r="W46" i="138"/>
  <c r="V46" i="138"/>
  <c r="U46" i="138"/>
  <c r="S46" i="138"/>
  <c r="R46" i="138"/>
  <c r="J46" i="138"/>
  <c r="I46" i="138"/>
  <c r="S45" i="138"/>
  <c r="R45" i="138"/>
  <c r="J45" i="138"/>
  <c r="I45" i="138"/>
  <c r="U44" i="138"/>
  <c r="V44" i="138" s="1"/>
  <c r="S44" i="138"/>
  <c r="R44" i="138"/>
  <c r="J44" i="138"/>
  <c r="I44" i="138"/>
  <c r="S43" i="138"/>
  <c r="R43" i="138"/>
  <c r="J43" i="138"/>
  <c r="I43" i="138"/>
  <c r="U42" i="138"/>
  <c r="V42" i="138" s="1"/>
  <c r="S42" i="138"/>
  <c r="R42" i="138"/>
  <c r="J42" i="138"/>
  <c r="I42" i="138"/>
  <c r="W42" i="138" s="1"/>
  <c r="U41" i="138"/>
  <c r="V41" i="138" s="1"/>
  <c r="S41" i="138"/>
  <c r="R41" i="138"/>
  <c r="J41" i="138"/>
  <c r="I41" i="138"/>
  <c r="W40" i="138"/>
  <c r="U40" i="138"/>
  <c r="V40" i="138" s="1"/>
  <c r="S40" i="138"/>
  <c r="R40" i="138"/>
  <c r="J40" i="138"/>
  <c r="I40" i="138"/>
  <c r="U39" i="138"/>
  <c r="V39" i="138" s="1"/>
  <c r="S39" i="138"/>
  <c r="R39" i="138"/>
  <c r="J39" i="138"/>
  <c r="I39" i="138"/>
  <c r="W39" i="138" s="1"/>
  <c r="U38" i="138"/>
  <c r="V38" i="138" s="1"/>
  <c r="S38" i="138"/>
  <c r="R38" i="138"/>
  <c r="J38" i="138"/>
  <c r="I38" i="138"/>
  <c r="U37" i="138"/>
  <c r="V37" i="138" s="1"/>
  <c r="S37" i="138"/>
  <c r="R37" i="138"/>
  <c r="J37" i="138"/>
  <c r="I37" i="138"/>
  <c r="W37" i="138" s="1"/>
  <c r="W36" i="138"/>
  <c r="U36" i="138"/>
  <c r="V36" i="138" s="1"/>
  <c r="S36" i="138"/>
  <c r="R36" i="138"/>
  <c r="J36" i="138"/>
  <c r="I36" i="138"/>
  <c r="U35" i="138"/>
  <c r="V35" i="138" s="1"/>
  <c r="S35" i="138"/>
  <c r="R35" i="138"/>
  <c r="J35" i="138"/>
  <c r="I35" i="138"/>
  <c r="U34" i="138"/>
  <c r="V34" i="138" s="1"/>
  <c r="S34" i="138"/>
  <c r="R34" i="138"/>
  <c r="J34" i="138"/>
  <c r="I34" i="138"/>
  <c r="W34" i="138" s="1"/>
  <c r="U33" i="138"/>
  <c r="V33" i="138" s="1"/>
  <c r="S33" i="138"/>
  <c r="R33" i="138"/>
  <c r="J33" i="138"/>
  <c r="I33" i="138"/>
  <c r="W33" i="138" s="1"/>
  <c r="U32" i="138"/>
  <c r="V32" i="138" s="1"/>
  <c r="S32" i="138"/>
  <c r="R32" i="138"/>
  <c r="J32" i="138"/>
  <c r="I32" i="138"/>
  <c r="W32" i="138" s="1"/>
  <c r="U31" i="138"/>
  <c r="V31" i="138" s="1"/>
  <c r="S31" i="138"/>
  <c r="R31" i="138"/>
  <c r="J31" i="138"/>
  <c r="I31" i="138"/>
  <c r="W31" i="138" s="1"/>
  <c r="U30" i="138"/>
  <c r="V30" i="138" s="1"/>
  <c r="S30" i="138"/>
  <c r="R30" i="138"/>
  <c r="J30" i="138"/>
  <c r="I30" i="138"/>
  <c r="U29" i="138"/>
  <c r="V29" i="138" s="1"/>
  <c r="S29" i="138"/>
  <c r="R29" i="138"/>
  <c r="J29" i="138"/>
  <c r="I29" i="138"/>
  <c r="W28" i="138"/>
  <c r="U28" i="138"/>
  <c r="S28" i="138"/>
  <c r="R28" i="138"/>
  <c r="J28" i="138"/>
  <c r="I28" i="138"/>
  <c r="U27" i="138"/>
  <c r="V27" i="138" s="1"/>
  <c r="S27" i="138"/>
  <c r="R27" i="138"/>
  <c r="J27" i="138"/>
  <c r="I27" i="138"/>
  <c r="W27" i="138" s="1"/>
  <c r="BE26" i="138"/>
  <c r="V26" i="138"/>
  <c r="U26" i="138"/>
  <c r="S26" i="138"/>
  <c r="R26" i="138"/>
  <c r="J26" i="138"/>
  <c r="I26" i="138"/>
  <c r="V25" i="138"/>
  <c r="U25" i="138"/>
  <c r="S25" i="138"/>
  <c r="R25" i="138"/>
  <c r="J25" i="138"/>
  <c r="I25" i="138"/>
  <c r="W25" i="138" s="1"/>
  <c r="V24" i="138"/>
  <c r="U24" i="138"/>
  <c r="S24" i="138"/>
  <c r="R24" i="138"/>
  <c r="J24" i="138"/>
  <c r="I24" i="138"/>
  <c r="V23" i="138"/>
  <c r="U23" i="138"/>
  <c r="S23" i="138"/>
  <c r="R23" i="138"/>
  <c r="J23" i="138"/>
  <c r="I23" i="138"/>
  <c r="V22" i="138"/>
  <c r="U22" i="138"/>
  <c r="S22" i="138"/>
  <c r="R22" i="138"/>
  <c r="J22" i="138"/>
  <c r="I22" i="138"/>
  <c r="W22" i="138" s="1"/>
  <c r="V21" i="138"/>
  <c r="U21" i="138"/>
  <c r="S21" i="138"/>
  <c r="R21" i="138"/>
  <c r="J21" i="138"/>
  <c r="I21" i="138"/>
  <c r="W21" i="138" s="1"/>
  <c r="V20" i="138"/>
  <c r="U20" i="138"/>
  <c r="S20" i="138"/>
  <c r="R20" i="138"/>
  <c r="J20" i="138"/>
  <c r="I20" i="138"/>
  <c r="W20" i="138" s="1"/>
  <c r="V19" i="138"/>
  <c r="U19" i="138"/>
  <c r="S19" i="138"/>
  <c r="R19" i="138"/>
  <c r="J19" i="138"/>
  <c r="I19" i="138"/>
  <c r="W19" i="138" s="1"/>
  <c r="V18" i="138"/>
  <c r="U18" i="138"/>
  <c r="S18" i="138"/>
  <c r="R18" i="138"/>
  <c r="J18" i="138"/>
  <c r="I18" i="138"/>
  <c r="W18" i="138" s="1"/>
  <c r="V17" i="138"/>
  <c r="U17" i="138"/>
  <c r="S17" i="138"/>
  <c r="R17" i="138"/>
  <c r="J17" i="138"/>
  <c r="I17" i="138"/>
  <c r="W17" i="138" s="1"/>
  <c r="V16" i="138"/>
  <c r="U16" i="138"/>
  <c r="S16" i="138"/>
  <c r="R16" i="138"/>
  <c r="J16" i="138"/>
  <c r="I16" i="138"/>
  <c r="W16" i="138" s="1"/>
  <c r="V15" i="138"/>
  <c r="U15" i="138"/>
  <c r="S15" i="138"/>
  <c r="R15" i="138"/>
  <c r="J15" i="138"/>
  <c r="I15" i="138"/>
  <c r="W15" i="138" s="1"/>
  <c r="V14" i="138"/>
  <c r="U14" i="138"/>
  <c r="S14" i="138"/>
  <c r="R14" i="138"/>
  <c r="J14" i="138"/>
  <c r="I14" i="138"/>
  <c r="W14" i="138" s="1"/>
  <c r="U13" i="138"/>
  <c r="V13" i="138" s="1"/>
  <c r="S13" i="138"/>
  <c r="R13" i="138"/>
  <c r="J13" i="138"/>
  <c r="I13" i="138"/>
  <c r="V12" i="138"/>
  <c r="U12" i="138"/>
  <c r="S12" i="138"/>
  <c r="R12" i="138"/>
  <c r="J12" i="138"/>
  <c r="I12" i="138"/>
  <c r="V11" i="138"/>
  <c r="U11" i="138"/>
  <c r="S11" i="138"/>
  <c r="R11" i="138"/>
  <c r="J11" i="138"/>
  <c r="I11" i="138"/>
  <c r="W11" i="138" s="1"/>
  <c r="U10" i="138"/>
  <c r="V10" i="138" s="1"/>
  <c r="S10" i="138"/>
  <c r="R10" i="138"/>
  <c r="J10" i="138"/>
  <c r="I10" i="138"/>
  <c r="W10" i="138" s="1"/>
  <c r="V9" i="138"/>
  <c r="U9" i="138"/>
  <c r="S9" i="138"/>
  <c r="R9" i="138"/>
  <c r="J9" i="138"/>
  <c r="I9" i="138"/>
  <c r="A9" i="138"/>
  <c r="A10" i="138" s="1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V8" i="138"/>
  <c r="U8" i="138"/>
  <c r="S8" i="138"/>
  <c r="R8" i="138"/>
  <c r="J8" i="138"/>
  <c r="I8" i="138"/>
  <c r="Q60" i="137"/>
  <c r="P60" i="137"/>
  <c r="O60" i="137"/>
  <c r="N60" i="137"/>
  <c r="M60" i="137"/>
  <c r="L60" i="137"/>
  <c r="H60" i="137"/>
  <c r="G60" i="137"/>
  <c r="E60" i="137"/>
  <c r="D60" i="137"/>
  <c r="C60" i="137"/>
  <c r="S59" i="137"/>
  <c r="R59" i="137"/>
  <c r="J59" i="137"/>
  <c r="I59" i="137"/>
  <c r="S58" i="137"/>
  <c r="R58" i="137"/>
  <c r="J58" i="137"/>
  <c r="I58" i="137"/>
  <c r="S57" i="137"/>
  <c r="R57" i="137"/>
  <c r="J57" i="137"/>
  <c r="I57" i="137"/>
  <c r="S56" i="137"/>
  <c r="R56" i="137"/>
  <c r="J56" i="137"/>
  <c r="I56" i="137"/>
  <c r="S55" i="137"/>
  <c r="R55" i="137"/>
  <c r="J55" i="137"/>
  <c r="I55" i="137"/>
  <c r="W54" i="137"/>
  <c r="V54" i="137"/>
  <c r="U54" i="137"/>
  <c r="S54" i="137"/>
  <c r="R54" i="137"/>
  <c r="J54" i="137"/>
  <c r="I54" i="137"/>
  <c r="W53" i="137"/>
  <c r="U53" i="137"/>
  <c r="V53" i="137" s="1"/>
  <c r="S53" i="137"/>
  <c r="R53" i="137"/>
  <c r="J53" i="137"/>
  <c r="I53" i="137"/>
  <c r="V52" i="137"/>
  <c r="U52" i="137"/>
  <c r="S52" i="137"/>
  <c r="R52" i="137"/>
  <c r="J52" i="137"/>
  <c r="I52" i="137"/>
  <c r="W52" i="137" s="1"/>
  <c r="W51" i="137"/>
  <c r="U51" i="137"/>
  <c r="V51" i="137" s="1"/>
  <c r="S51" i="137"/>
  <c r="R51" i="137"/>
  <c r="J51" i="137"/>
  <c r="I51" i="137"/>
  <c r="V50" i="137"/>
  <c r="U50" i="137"/>
  <c r="S50" i="137"/>
  <c r="R50" i="137"/>
  <c r="J50" i="137"/>
  <c r="I50" i="137"/>
  <c r="W50" i="137" s="1"/>
  <c r="W49" i="137"/>
  <c r="U49" i="137"/>
  <c r="V49" i="137" s="1"/>
  <c r="S49" i="137"/>
  <c r="R49" i="137"/>
  <c r="J49" i="137"/>
  <c r="I49" i="137"/>
  <c r="W48" i="137"/>
  <c r="V48" i="137"/>
  <c r="U48" i="137"/>
  <c r="S48" i="137"/>
  <c r="R48" i="137"/>
  <c r="J48" i="137"/>
  <c r="I48" i="137"/>
  <c r="W47" i="137"/>
  <c r="U47" i="137"/>
  <c r="V47" i="137" s="1"/>
  <c r="S47" i="137"/>
  <c r="R47" i="137"/>
  <c r="J47" i="137"/>
  <c r="I47" i="137"/>
  <c r="W46" i="137"/>
  <c r="V46" i="137"/>
  <c r="U46" i="137"/>
  <c r="S46" i="137"/>
  <c r="R46" i="137"/>
  <c r="J46" i="137"/>
  <c r="I46" i="137"/>
  <c r="S45" i="137"/>
  <c r="R45" i="137"/>
  <c r="J45" i="137"/>
  <c r="I45" i="137"/>
  <c r="U44" i="137"/>
  <c r="V44" i="137" s="1"/>
  <c r="S44" i="137"/>
  <c r="R44" i="137"/>
  <c r="J44" i="137"/>
  <c r="I44" i="137"/>
  <c r="S43" i="137"/>
  <c r="R43" i="137"/>
  <c r="J43" i="137"/>
  <c r="I43" i="137"/>
  <c r="U42" i="137"/>
  <c r="V42" i="137" s="1"/>
  <c r="S42" i="137"/>
  <c r="R42" i="137"/>
  <c r="J42" i="137"/>
  <c r="I42" i="137"/>
  <c r="W42" i="137" s="1"/>
  <c r="U41" i="137"/>
  <c r="V41" i="137" s="1"/>
  <c r="S41" i="137"/>
  <c r="R41" i="137"/>
  <c r="J41" i="137"/>
  <c r="I41" i="137"/>
  <c r="W40" i="137"/>
  <c r="U40" i="137"/>
  <c r="V40" i="137" s="1"/>
  <c r="S40" i="137"/>
  <c r="R40" i="137"/>
  <c r="J40" i="137"/>
  <c r="I40" i="137"/>
  <c r="U39" i="137"/>
  <c r="V39" i="137" s="1"/>
  <c r="S39" i="137"/>
  <c r="R39" i="137"/>
  <c r="J39" i="137"/>
  <c r="I39" i="137"/>
  <c r="W39" i="137" s="1"/>
  <c r="U38" i="137"/>
  <c r="V38" i="137" s="1"/>
  <c r="S38" i="137"/>
  <c r="R38" i="137"/>
  <c r="J38" i="137"/>
  <c r="I38" i="137"/>
  <c r="U37" i="137"/>
  <c r="V37" i="137" s="1"/>
  <c r="S37" i="137"/>
  <c r="R37" i="137"/>
  <c r="J37" i="137"/>
  <c r="I37" i="137"/>
  <c r="W37" i="137" s="1"/>
  <c r="W36" i="137"/>
  <c r="U36" i="137"/>
  <c r="V36" i="137" s="1"/>
  <c r="S36" i="137"/>
  <c r="R36" i="137"/>
  <c r="J36" i="137"/>
  <c r="I36" i="137"/>
  <c r="U35" i="137"/>
  <c r="V35" i="137" s="1"/>
  <c r="S35" i="137"/>
  <c r="R35" i="137"/>
  <c r="J35" i="137"/>
  <c r="I35" i="137"/>
  <c r="U34" i="137"/>
  <c r="V34" i="137" s="1"/>
  <c r="S34" i="137"/>
  <c r="R34" i="137"/>
  <c r="J34" i="137"/>
  <c r="I34" i="137"/>
  <c r="W34" i="137" s="1"/>
  <c r="U33" i="137"/>
  <c r="V33" i="137" s="1"/>
  <c r="S33" i="137"/>
  <c r="R33" i="137"/>
  <c r="J33" i="137"/>
  <c r="I33" i="137"/>
  <c r="W33" i="137" s="1"/>
  <c r="W32" i="137"/>
  <c r="U32" i="137"/>
  <c r="V32" i="137" s="1"/>
  <c r="S32" i="137"/>
  <c r="R32" i="137"/>
  <c r="J32" i="137"/>
  <c r="I32" i="137"/>
  <c r="U31" i="137"/>
  <c r="V31" i="137" s="1"/>
  <c r="S31" i="137"/>
  <c r="R31" i="137"/>
  <c r="J31" i="137"/>
  <c r="I31" i="137"/>
  <c r="W31" i="137" s="1"/>
  <c r="U30" i="137"/>
  <c r="V30" i="137" s="1"/>
  <c r="S30" i="137"/>
  <c r="R30" i="137"/>
  <c r="J30" i="137"/>
  <c r="I30" i="137"/>
  <c r="U29" i="137"/>
  <c r="V29" i="137" s="1"/>
  <c r="S29" i="137"/>
  <c r="R29" i="137"/>
  <c r="J29" i="137"/>
  <c r="I29" i="137"/>
  <c r="W29" i="137" s="1"/>
  <c r="U28" i="137"/>
  <c r="V28" i="137" s="1"/>
  <c r="S28" i="137"/>
  <c r="R28" i="137"/>
  <c r="J28" i="137"/>
  <c r="I28" i="137"/>
  <c r="W28" i="137" s="1"/>
  <c r="U27" i="137"/>
  <c r="S27" i="137"/>
  <c r="R27" i="137"/>
  <c r="J27" i="137"/>
  <c r="I27" i="137"/>
  <c r="W27" i="137" s="1"/>
  <c r="BE26" i="137"/>
  <c r="V26" i="137"/>
  <c r="U26" i="137"/>
  <c r="S26" i="137"/>
  <c r="R26" i="137"/>
  <c r="J26" i="137"/>
  <c r="I26" i="137"/>
  <c r="V25" i="137"/>
  <c r="U25" i="137"/>
  <c r="S25" i="137"/>
  <c r="R25" i="137"/>
  <c r="J25" i="137"/>
  <c r="I25" i="137"/>
  <c r="W25" i="137" s="1"/>
  <c r="V24" i="137"/>
  <c r="U24" i="137"/>
  <c r="S24" i="137"/>
  <c r="R24" i="137"/>
  <c r="J24" i="137"/>
  <c r="I24" i="137"/>
  <c r="V23" i="137"/>
  <c r="U23" i="137"/>
  <c r="S23" i="137"/>
  <c r="R23" i="137"/>
  <c r="J23" i="137"/>
  <c r="I23" i="137"/>
  <c r="V22" i="137"/>
  <c r="U22" i="137"/>
  <c r="S22" i="137"/>
  <c r="R22" i="137"/>
  <c r="J22" i="137"/>
  <c r="I22" i="137"/>
  <c r="W22" i="137" s="1"/>
  <c r="V21" i="137"/>
  <c r="U21" i="137"/>
  <c r="S21" i="137"/>
  <c r="R21" i="137"/>
  <c r="J21" i="137"/>
  <c r="I21" i="137"/>
  <c r="W21" i="137" s="1"/>
  <c r="V20" i="137"/>
  <c r="U20" i="137"/>
  <c r="S20" i="137"/>
  <c r="R20" i="137"/>
  <c r="J20" i="137"/>
  <c r="I20" i="137"/>
  <c r="W20" i="137" s="1"/>
  <c r="V19" i="137"/>
  <c r="U19" i="137"/>
  <c r="S19" i="137"/>
  <c r="R19" i="137"/>
  <c r="J19" i="137"/>
  <c r="I19" i="137"/>
  <c r="W19" i="137" s="1"/>
  <c r="V18" i="137"/>
  <c r="U18" i="137"/>
  <c r="S18" i="137"/>
  <c r="R18" i="137"/>
  <c r="J18" i="137"/>
  <c r="I18" i="137"/>
  <c r="W18" i="137" s="1"/>
  <c r="V17" i="137"/>
  <c r="U17" i="137"/>
  <c r="S17" i="137"/>
  <c r="R17" i="137"/>
  <c r="J17" i="137"/>
  <c r="I17" i="137"/>
  <c r="W17" i="137" s="1"/>
  <c r="V16" i="137"/>
  <c r="U16" i="137"/>
  <c r="S16" i="137"/>
  <c r="R16" i="137"/>
  <c r="J16" i="137"/>
  <c r="I16" i="137"/>
  <c r="W16" i="137" s="1"/>
  <c r="V15" i="137"/>
  <c r="U15" i="137"/>
  <c r="S15" i="137"/>
  <c r="R15" i="137"/>
  <c r="J15" i="137"/>
  <c r="I15" i="137"/>
  <c r="W15" i="137" s="1"/>
  <c r="V14" i="137"/>
  <c r="U14" i="137"/>
  <c r="S14" i="137"/>
  <c r="R14" i="137"/>
  <c r="J14" i="137"/>
  <c r="I14" i="137"/>
  <c r="U13" i="137"/>
  <c r="V13" i="137" s="1"/>
  <c r="S13" i="137"/>
  <c r="R13" i="137"/>
  <c r="J13" i="137"/>
  <c r="I13" i="137"/>
  <c r="V12" i="137"/>
  <c r="U12" i="137"/>
  <c r="S12" i="137"/>
  <c r="R12" i="137"/>
  <c r="J12" i="137"/>
  <c r="I12" i="137"/>
  <c r="V11" i="137"/>
  <c r="U11" i="137"/>
  <c r="S11" i="137"/>
  <c r="R11" i="137"/>
  <c r="J11" i="137"/>
  <c r="I11" i="137"/>
  <c r="W11" i="137" s="1"/>
  <c r="V10" i="137"/>
  <c r="U10" i="137"/>
  <c r="S10" i="137"/>
  <c r="R10" i="137"/>
  <c r="J10" i="137"/>
  <c r="I10" i="137"/>
  <c r="W10" i="137" s="1"/>
  <c r="V9" i="137"/>
  <c r="U9" i="137"/>
  <c r="S9" i="137"/>
  <c r="R9" i="137"/>
  <c r="J9" i="137"/>
  <c r="I9" i="137"/>
  <c r="W9" i="137" s="1"/>
  <c r="A9" i="137"/>
  <c r="A10" i="137" s="1"/>
  <c r="A11" i="137" s="1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V8" i="137"/>
  <c r="U8" i="137"/>
  <c r="S8" i="137"/>
  <c r="R8" i="137"/>
  <c r="J8" i="137"/>
  <c r="I8" i="137"/>
  <c r="W8" i="137" s="1"/>
  <c r="Q60" i="136"/>
  <c r="P60" i="136"/>
  <c r="O60" i="136"/>
  <c r="N60" i="136"/>
  <c r="M60" i="136"/>
  <c r="L60" i="136"/>
  <c r="H60" i="136"/>
  <c r="G60" i="136"/>
  <c r="E60" i="136"/>
  <c r="D60" i="136"/>
  <c r="C60" i="136"/>
  <c r="S59" i="136"/>
  <c r="R59" i="136"/>
  <c r="J59" i="136"/>
  <c r="I59" i="136"/>
  <c r="S58" i="136"/>
  <c r="R58" i="136"/>
  <c r="J58" i="136"/>
  <c r="I58" i="136"/>
  <c r="S57" i="136"/>
  <c r="R57" i="136"/>
  <c r="J57" i="136"/>
  <c r="I57" i="136"/>
  <c r="S56" i="136"/>
  <c r="R56" i="136"/>
  <c r="J56" i="136"/>
  <c r="I56" i="136"/>
  <c r="S55" i="136"/>
  <c r="R55" i="136"/>
  <c r="J55" i="136"/>
  <c r="I55" i="136"/>
  <c r="U54" i="136"/>
  <c r="V54" i="136" s="1"/>
  <c r="S54" i="136"/>
  <c r="R54" i="136"/>
  <c r="J54" i="136"/>
  <c r="I54" i="136"/>
  <c r="W54" i="136" s="1"/>
  <c r="W53" i="136"/>
  <c r="V53" i="136"/>
  <c r="U53" i="136"/>
  <c r="S53" i="136"/>
  <c r="R53" i="136"/>
  <c r="J53" i="136"/>
  <c r="I53" i="136"/>
  <c r="U52" i="136"/>
  <c r="V52" i="136" s="1"/>
  <c r="S52" i="136"/>
  <c r="R52" i="136"/>
  <c r="J52" i="136"/>
  <c r="I52" i="136"/>
  <c r="W52" i="136" s="1"/>
  <c r="W51" i="136"/>
  <c r="V51" i="136"/>
  <c r="U51" i="136"/>
  <c r="S51" i="136"/>
  <c r="R51" i="136"/>
  <c r="J51" i="136"/>
  <c r="I51" i="136"/>
  <c r="U50" i="136"/>
  <c r="V50" i="136" s="1"/>
  <c r="S50" i="136"/>
  <c r="R50" i="136"/>
  <c r="J50" i="136"/>
  <c r="I50" i="136"/>
  <c r="W50" i="136" s="1"/>
  <c r="V49" i="136"/>
  <c r="U49" i="136"/>
  <c r="S49" i="136"/>
  <c r="R49" i="136"/>
  <c r="J49" i="136"/>
  <c r="I49" i="136"/>
  <c r="W49" i="136" s="1"/>
  <c r="W48" i="136"/>
  <c r="U48" i="136"/>
  <c r="V48" i="136" s="1"/>
  <c r="S48" i="136"/>
  <c r="R48" i="136"/>
  <c r="J48" i="136"/>
  <c r="I48" i="136"/>
  <c r="W47" i="136"/>
  <c r="V47" i="136"/>
  <c r="U47" i="136"/>
  <c r="S47" i="136"/>
  <c r="R47" i="136"/>
  <c r="J47" i="136"/>
  <c r="I47" i="136"/>
  <c r="W46" i="136"/>
  <c r="U46" i="136"/>
  <c r="V46" i="136" s="1"/>
  <c r="S46" i="136"/>
  <c r="R46" i="136"/>
  <c r="J46" i="136"/>
  <c r="I46" i="136"/>
  <c r="S45" i="136"/>
  <c r="R45" i="136"/>
  <c r="J45" i="136"/>
  <c r="I45" i="136"/>
  <c r="U44" i="136"/>
  <c r="V44" i="136" s="1"/>
  <c r="S44" i="136"/>
  <c r="R44" i="136"/>
  <c r="J44" i="136"/>
  <c r="I44" i="136"/>
  <c r="S43" i="136"/>
  <c r="R43" i="136"/>
  <c r="J43" i="136"/>
  <c r="I43" i="136"/>
  <c r="U42" i="136"/>
  <c r="V42" i="136" s="1"/>
  <c r="S42" i="136"/>
  <c r="R42" i="136"/>
  <c r="J42" i="136"/>
  <c r="I42" i="136"/>
  <c r="W42" i="136" s="1"/>
  <c r="U41" i="136"/>
  <c r="V41" i="136" s="1"/>
  <c r="S41" i="136"/>
  <c r="R41" i="136"/>
  <c r="J41" i="136"/>
  <c r="I41" i="136"/>
  <c r="U40" i="136"/>
  <c r="V40" i="136" s="1"/>
  <c r="S40" i="136"/>
  <c r="R40" i="136"/>
  <c r="J40" i="136"/>
  <c r="I40" i="136"/>
  <c r="W40" i="136" s="1"/>
  <c r="W39" i="136"/>
  <c r="U39" i="136"/>
  <c r="V39" i="136" s="1"/>
  <c r="S39" i="136"/>
  <c r="R39" i="136"/>
  <c r="J39" i="136"/>
  <c r="I39" i="136"/>
  <c r="U38" i="136"/>
  <c r="V38" i="136" s="1"/>
  <c r="S38" i="136"/>
  <c r="R38" i="136"/>
  <c r="J38" i="136"/>
  <c r="I38" i="136"/>
  <c r="W37" i="136"/>
  <c r="U37" i="136"/>
  <c r="V37" i="136" s="1"/>
  <c r="S37" i="136"/>
  <c r="R37" i="136"/>
  <c r="J37" i="136"/>
  <c r="I37" i="136"/>
  <c r="U36" i="136"/>
  <c r="V36" i="136" s="1"/>
  <c r="S36" i="136"/>
  <c r="R36" i="136"/>
  <c r="J36" i="136"/>
  <c r="I36" i="136"/>
  <c r="W36" i="136" s="1"/>
  <c r="U35" i="136"/>
  <c r="V35" i="136" s="1"/>
  <c r="S35" i="136"/>
  <c r="R35" i="136"/>
  <c r="J35" i="136"/>
  <c r="I35" i="136"/>
  <c r="W35" i="136" s="1"/>
  <c r="U34" i="136"/>
  <c r="V34" i="136" s="1"/>
  <c r="S34" i="136"/>
  <c r="R34" i="136"/>
  <c r="J34" i="136"/>
  <c r="I34" i="136"/>
  <c r="W34" i="136" s="1"/>
  <c r="W33" i="136"/>
  <c r="U33" i="136"/>
  <c r="V33" i="136" s="1"/>
  <c r="S33" i="136"/>
  <c r="R33" i="136"/>
  <c r="J33" i="136"/>
  <c r="I33" i="136"/>
  <c r="U32" i="136"/>
  <c r="V32" i="136" s="1"/>
  <c r="S32" i="136"/>
  <c r="R32" i="136"/>
  <c r="J32" i="136"/>
  <c r="I32" i="136"/>
  <c r="W32" i="136" s="1"/>
  <c r="U31" i="136"/>
  <c r="V31" i="136" s="1"/>
  <c r="S31" i="136"/>
  <c r="R31" i="136"/>
  <c r="J31" i="136"/>
  <c r="I31" i="136"/>
  <c r="W31" i="136" s="1"/>
  <c r="U30" i="136"/>
  <c r="V30" i="136" s="1"/>
  <c r="S30" i="136"/>
  <c r="R30" i="136"/>
  <c r="J30" i="136"/>
  <c r="I30" i="136"/>
  <c r="W30" i="136" s="1"/>
  <c r="U29" i="136"/>
  <c r="V29" i="136" s="1"/>
  <c r="S29" i="136"/>
  <c r="R29" i="136"/>
  <c r="J29" i="136"/>
  <c r="I29" i="136"/>
  <c r="W29" i="136" s="1"/>
  <c r="U28" i="136"/>
  <c r="V28" i="136" s="1"/>
  <c r="S28" i="136"/>
  <c r="R28" i="136"/>
  <c r="J28" i="136"/>
  <c r="I28" i="136"/>
  <c r="W28" i="136" s="1"/>
  <c r="W27" i="136"/>
  <c r="U27" i="136"/>
  <c r="S27" i="136"/>
  <c r="R27" i="136"/>
  <c r="J27" i="136"/>
  <c r="I27" i="136"/>
  <c r="BE26" i="136"/>
  <c r="V26" i="136"/>
  <c r="U26" i="136"/>
  <c r="S26" i="136"/>
  <c r="R26" i="136"/>
  <c r="J26" i="136"/>
  <c r="I26" i="136"/>
  <c r="W26" i="136" s="1"/>
  <c r="V25" i="136"/>
  <c r="U25" i="136"/>
  <c r="S25" i="136"/>
  <c r="R25" i="136"/>
  <c r="J25" i="136"/>
  <c r="I25" i="136"/>
  <c r="W25" i="136" s="1"/>
  <c r="V24" i="136"/>
  <c r="U24" i="136"/>
  <c r="S24" i="136"/>
  <c r="R24" i="136"/>
  <c r="J24" i="136"/>
  <c r="I24" i="136"/>
  <c r="V23" i="136"/>
  <c r="U23" i="136"/>
  <c r="S23" i="136"/>
  <c r="R23" i="136"/>
  <c r="J23" i="136"/>
  <c r="I23" i="136"/>
  <c r="W23" i="136" s="1"/>
  <c r="V22" i="136"/>
  <c r="U22" i="136"/>
  <c r="S22" i="136"/>
  <c r="R22" i="136"/>
  <c r="J22" i="136"/>
  <c r="I22" i="136"/>
  <c r="W22" i="136" s="1"/>
  <c r="V21" i="136"/>
  <c r="U21" i="136"/>
  <c r="S21" i="136"/>
  <c r="R21" i="136"/>
  <c r="J21" i="136"/>
  <c r="I21" i="136"/>
  <c r="W21" i="136" s="1"/>
  <c r="V20" i="136"/>
  <c r="U20" i="136"/>
  <c r="S20" i="136"/>
  <c r="R20" i="136"/>
  <c r="J20" i="136"/>
  <c r="I20" i="136"/>
  <c r="W20" i="136" s="1"/>
  <c r="V19" i="136"/>
  <c r="U19" i="136"/>
  <c r="S19" i="136"/>
  <c r="R19" i="136"/>
  <c r="J19" i="136"/>
  <c r="I19" i="136"/>
  <c r="W19" i="136" s="1"/>
  <c r="V18" i="136"/>
  <c r="U18" i="136"/>
  <c r="S18" i="136"/>
  <c r="R18" i="136"/>
  <c r="J18" i="136"/>
  <c r="I18" i="136"/>
  <c r="W18" i="136" s="1"/>
  <c r="V17" i="136"/>
  <c r="U17" i="136"/>
  <c r="S17" i="136"/>
  <c r="R17" i="136"/>
  <c r="J17" i="136"/>
  <c r="I17" i="136"/>
  <c r="W17" i="136" s="1"/>
  <c r="V16" i="136"/>
  <c r="U16" i="136"/>
  <c r="S16" i="136"/>
  <c r="R16" i="136"/>
  <c r="J16" i="136"/>
  <c r="I16" i="136"/>
  <c r="W16" i="136" s="1"/>
  <c r="V15" i="136"/>
  <c r="U15" i="136"/>
  <c r="S15" i="136"/>
  <c r="R15" i="136"/>
  <c r="J15" i="136"/>
  <c r="I15" i="136"/>
  <c r="W15" i="136" s="1"/>
  <c r="V14" i="136"/>
  <c r="U14" i="136"/>
  <c r="S14" i="136"/>
  <c r="R14" i="136"/>
  <c r="J14" i="136"/>
  <c r="I14" i="136"/>
  <c r="U13" i="136"/>
  <c r="V13" i="136" s="1"/>
  <c r="S13" i="136"/>
  <c r="R13" i="136"/>
  <c r="J13" i="136"/>
  <c r="I13" i="136"/>
  <c r="V12" i="136"/>
  <c r="U12" i="136"/>
  <c r="S12" i="136"/>
  <c r="R12" i="136"/>
  <c r="J12" i="136"/>
  <c r="I12" i="136"/>
  <c r="W12" i="136" s="1"/>
  <c r="U11" i="136"/>
  <c r="V11" i="136" s="1"/>
  <c r="S11" i="136"/>
  <c r="R11" i="136"/>
  <c r="J11" i="136"/>
  <c r="I11" i="136"/>
  <c r="W11" i="136" s="1"/>
  <c r="U10" i="136"/>
  <c r="V10" i="136" s="1"/>
  <c r="S10" i="136"/>
  <c r="R10" i="136"/>
  <c r="J10" i="136"/>
  <c r="I10" i="136"/>
  <c r="W10" i="136" s="1"/>
  <c r="A10" i="136"/>
  <c r="A11" i="136" s="1"/>
  <c r="A12" i="136" s="1"/>
  <c r="A13" i="136" s="1"/>
  <c r="A14" i="136" s="1"/>
  <c r="A15" i="136" s="1"/>
  <c r="A16" i="136" s="1"/>
  <c r="A17" i="136" s="1"/>
  <c r="A18" i="136" s="1"/>
  <c r="A19" i="136" s="1"/>
  <c r="A20" i="136" s="1"/>
  <c r="A21" i="136" s="1"/>
  <c r="A22" i="136" s="1"/>
  <c r="A23" i="136" s="1"/>
  <c r="A24" i="136" s="1"/>
  <c r="A25" i="136" s="1"/>
  <c r="A26" i="136" s="1"/>
  <c r="A27" i="136" s="1"/>
  <c r="A28" i="136" s="1"/>
  <c r="A29" i="136" s="1"/>
  <c r="A30" i="136" s="1"/>
  <c r="A31" i="136" s="1"/>
  <c r="A32" i="136" s="1"/>
  <c r="A33" i="136" s="1"/>
  <c r="A34" i="136" s="1"/>
  <c r="A35" i="136" s="1"/>
  <c r="A36" i="136" s="1"/>
  <c r="A37" i="136" s="1"/>
  <c r="A38" i="136" s="1"/>
  <c r="A39" i="136" s="1"/>
  <c r="A40" i="136" s="1"/>
  <c r="A41" i="136" s="1"/>
  <c r="A42" i="136" s="1"/>
  <c r="A43" i="136" s="1"/>
  <c r="A44" i="136" s="1"/>
  <c r="A45" i="136" s="1"/>
  <c r="A46" i="136" s="1"/>
  <c r="A47" i="136" s="1"/>
  <c r="A48" i="136" s="1"/>
  <c r="A49" i="136" s="1"/>
  <c r="A50" i="136" s="1"/>
  <c r="A51" i="136" s="1"/>
  <c r="A52" i="136" s="1"/>
  <c r="A53" i="136" s="1"/>
  <c r="A54" i="136" s="1"/>
  <c r="A55" i="136" s="1"/>
  <c r="A56" i="136" s="1"/>
  <c r="A57" i="136" s="1"/>
  <c r="A58" i="136" s="1"/>
  <c r="A59" i="136" s="1"/>
  <c r="V9" i="136"/>
  <c r="U9" i="136"/>
  <c r="S9" i="136"/>
  <c r="R9" i="136"/>
  <c r="J9" i="136"/>
  <c r="I9" i="136"/>
  <c r="W9" i="136" s="1"/>
  <c r="A9" i="136"/>
  <c r="V8" i="136"/>
  <c r="U8" i="136"/>
  <c r="S8" i="136"/>
  <c r="R8" i="136"/>
  <c r="J8" i="136"/>
  <c r="I8" i="136"/>
  <c r="Q60" i="135"/>
  <c r="P60" i="135"/>
  <c r="O60" i="135"/>
  <c r="N60" i="135"/>
  <c r="M60" i="135"/>
  <c r="L60" i="135"/>
  <c r="H60" i="135"/>
  <c r="G60" i="135"/>
  <c r="E60" i="135"/>
  <c r="D60" i="135"/>
  <c r="C60" i="135"/>
  <c r="S59" i="135"/>
  <c r="R59" i="135"/>
  <c r="J59" i="135"/>
  <c r="I59" i="135"/>
  <c r="S58" i="135"/>
  <c r="R58" i="135"/>
  <c r="J58" i="135"/>
  <c r="I58" i="135"/>
  <c r="S57" i="135"/>
  <c r="R57" i="135"/>
  <c r="J57" i="135"/>
  <c r="I57" i="135"/>
  <c r="S56" i="135"/>
  <c r="R56" i="135"/>
  <c r="J56" i="135"/>
  <c r="I56" i="135"/>
  <c r="S55" i="135"/>
  <c r="R55" i="135"/>
  <c r="J55" i="135"/>
  <c r="I55" i="135"/>
  <c r="U54" i="135"/>
  <c r="V54" i="135" s="1"/>
  <c r="S54" i="135"/>
  <c r="R54" i="135"/>
  <c r="J54" i="135"/>
  <c r="I54" i="135"/>
  <c r="W54" i="135" s="1"/>
  <c r="U53" i="135"/>
  <c r="V53" i="135" s="1"/>
  <c r="S53" i="135"/>
  <c r="R53" i="135"/>
  <c r="J53" i="135"/>
  <c r="I53" i="135"/>
  <c r="W53" i="135" s="1"/>
  <c r="U52" i="135"/>
  <c r="V52" i="135" s="1"/>
  <c r="S52" i="135"/>
  <c r="R52" i="135"/>
  <c r="J52" i="135"/>
  <c r="I52" i="135"/>
  <c r="W52" i="135" s="1"/>
  <c r="U51" i="135"/>
  <c r="V51" i="135" s="1"/>
  <c r="S51" i="135"/>
  <c r="R51" i="135"/>
  <c r="J51" i="135"/>
  <c r="I51" i="135"/>
  <c r="W51" i="135" s="1"/>
  <c r="U50" i="135"/>
  <c r="V50" i="135" s="1"/>
  <c r="S50" i="135"/>
  <c r="R50" i="135"/>
  <c r="J50" i="135"/>
  <c r="I50" i="135"/>
  <c r="W50" i="135" s="1"/>
  <c r="U49" i="135"/>
  <c r="V49" i="135" s="1"/>
  <c r="S49" i="135"/>
  <c r="R49" i="135"/>
  <c r="J49" i="135"/>
  <c r="I49" i="135"/>
  <c r="W49" i="135" s="1"/>
  <c r="U48" i="135"/>
  <c r="V48" i="135" s="1"/>
  <c r="S48" i="135"/>
  <c r="R48" i="135"/>
  <c r="J48" i="135"/>
  <c r="I48" i="135"/>
  <c r="W48" i="135" s="1"/>
  <c r="U47" i="135"/>
  <c r="V47" i="135" s="1"/>
  <c r="S47" i="135"/>
  <c r="R47" i="135"/>
  <c r="J47" i="135"/>
  <c r="I47" i="135"/>
  <c r="W47" i="135" s="1"/>
  <c r="U46" i="135"/>
  <c r="V46" i="135" s="1"/>
  <c r="S46" i="135"/>
  <c r="R46" i="135"/>
  <c r="J46" i="135"/>
  <c r="I46" i="135"/>
  <c r="W46" i="135" s="1"/>
  <c r="S45" i="135"/>
  <c r="R45" i="135"/>
  <c r="J45" i="135"/>
  <c r="I45" i="135"/>
  <c r="U44" i="135"/>
  <c r="V44" i="135" s="1"/>
  <c r="S44" i="135"/>
  <c r="R44" i="135"/>
  <c r="J44" i="135"/>
  <c r="I44" i="135"/>
  <c r="S43" i="135"/>
  <c r="R43" i="135"/>
  <c r="J43" i="135"/>
  <c r="I43" i="135"/>
  <c r="U42" i="135"/>
  <c r="V42" i="135" s="1"/>
  <c r="S42" i="135"/>
  <c r="R42" i="135"/>
  <c r="J42" i="135"/>
  <c r="I42" i="135"/>
  <c r="W42" i="135" s="1"/>
  <c r="U41" i="135"/>
  <c r="V41" i="135" s="1"/>
  <c r="S41" i="135"/>
  <c r="R41" i="135"/>
  <c r="J41" i="135"/>
  <c r="I41" i="135"/>
  <c r="W40" i="135"/>
  <c r="V40" i="135"/>
  <c r="U40" i="135"/>
  <c r="S40" i="135"/>
  <c r="R40" i="135"/>
  <c r="J40" i="135"/>
  <c r="I40" i="135"/>
  <c r="W39" i="135"/>
  <c r="U39" i="135"/>
  <c r="V39" i="135" s="1"/>
  <c r="S39" i="135"/>
  <c r="R39" i="135"/>
  <c r="J39" i="135"/>
  <c r="I39" i="135"/>
  <c r="W38" i="135"/>
  <c r="U38" i="135"/>
  <c r="V38" i="135" s="1"/>
  <c r="S38" i="135"/>
  <c r="R38" i="135"/>
  <c r="J38" i="135"/>
  <c r="I38" i="135"/>
  <c r="W37" i="135"/>
  <c r="U37" i="135"/>
  <c r="V37" i="135" s="1"/>
  <c r="S37" i="135"/>
  <c r="R37" i="135"/>
  <c r="J37" i="135"/>
  <c r="I37" i="135"/>
  <c r="W36" i="135"/>
  <c r="V36" i="135"/>
  <c r="U36" i="135"/>
  <c r="S36" i="135"/>
  <c r="R36" i="135"/>
  <c r="J36" i="135"/>
  <c r="I36" i="135"/>
  <c r="U35" i="135"/>
  <c r="V35" i="135" s="1"/>
  <c r="S35" i="135"/>
  <c r="R35" i="135"/>
  <c r="J35" i="135"/>
  <c r="I35" i="135"/>
  <c r="W35" i="135" s="1"/>
  <c r="V34" i="135"/>
  <c r="U34" i="135"/>
  <c r="S34" i="135"/>
  <c r="R34" i="135"/>
  <c r="J34" i="135"/>
  <c r="I34" i="135"/>
  <c r="W34" i="135" s="1"/>
  <c r="W33" i="135"/>
  <c r="U33" i="135"/>
  <c r="V33" i="135" s="1"/>
  <c r="S33" i="135"/>
  <c r="R33" i="135"/>
  <c r="J33" i="135"/>
  <c r="I33" i="135"/>
  <c r="V32" i="135"/>
  <c r="U32" i="135"/>
  <c r="S32" i="135"/>
  <c r="R32" i="135"/>
  <c r="J32" i="135"/>
  <c r="I32" i="135"/>
  <c r="W32" i="135" s="1"/>
  <c r="U31" i="135"/>
  <c r="V31" i="135" s="1"/>
  <c r="S31" i="135"/>
  <c r="R31" i="135"/>
  <c r="J31" i="135"/>
  <c r="I31" i="135"/>
  <c r="W31" i="135" s="1"/>
  <c r="V30" i="135"/>
  <c r="U30" i="135"/>
  <c r="S30" i="135"/>
  <c r="R30" i="135"/>
  <c r="J30" i="135"/>
  <c r="I30" i="135"/>
  <c r="U29" i="135"/>
  <c r="V29" i="135" s="1"/>
  <c r="S29" i="135"/>
  <c r="R29" i="135"/>
  <c r="J29" i="135"/>
  <c r="I29" i="135"/>
  <c r="W29" i="135" s="1"/>
  <c r="V28" i="135"/>
  <c r="U28" i="135"/>
  <c r="S28" i="135"/>
  <c r="R28" i="135"/>
  <c r="J28" i="135"/>
  <c r="I28" i="135"/>
  <c r="W28" i="135" s="1"/>
  <c r="W27" i="135"/>
  <c r="U27" i="135"/>
  <c r="V27" i="135" s="1"/>
  <c r="S27" i="135"/>
  <c r="R27" i="135"/>
  <c r="J27" i="135"/>
  <c r="I27" i="135"/>
  <c r="BE26" i="135"/>
  <c r="V26" i="135"/>
  <c r="U26" i="135"/>
  <c r="S26" i="135"/>
  <c r="R26" i="135"/>
  <c r="J26" i="135"/>
  <c r="I26" i="135"/>
  <c r="W26" i="135" s="1"/>
  <c r="V25" i="135"/>
  <c r="U25" i="135"/>
  <c r="S25" i="135"/>
  <c r="R25" i="135"/>
  <c r="J25" i="135"/>
  <c r="I25" i="135"/>
  <c r="W25" i="135" s="1"/>
  <c r="V24" i="135"/>
  <c r="U24" i="135"/>
  <c r="S24" i="135"/>
  <c r="R24" i="135"/>
  <c r="J24" i="135"/>
  <c r="I24" i="135"/>
  <c r="W24" i="135" s="1"/>
  <c r="V23" i="135"/>
  <c r="U23" i="135"/>
  <c r="S23" i="135"/>
  <c r="R23" i="135"/>
  <c r="J23" i="135"/>
  <c r="I23" i="135"/>
  <c r="W22" i="135"/>
  <c r="V22" i="135"/>
  <c r="U22" i="135"/>
  <c r="S22" i="135"/>
  <c r="R22" i="135"/>
  <c r="J22" i="135"/>
  <c r="I22" i="135"/>
  <c r="V21" i="135"/>
  <c r="U21" i="135"/>
  <c r="S21" i="135"/>
  <c r="R21" i="135"/>
  <c r="J21" i="135"/>
  <c r="I21" i="135"/>
  <c r="W21" i="135" s="1"/>
  <c r="V20" i="135"/>
  <c r="U20" i="135"/>
  <c r="S20" i="135"/>
  <c r="R20" i="135"/>
  <c r="J20" i="135"/>
  <c r="I20" i="135"/>
  <c r="V19" i="135"/>
  <c r="U19" i="135"/>
  <c r="S19" i="135"/>
  <c r="R19" i="135"/>
  <c r="J19" i="135"/>
  <c r="I19" i="135"/>
  <c r="W19" i="135" s="1"/>
  <c r="V18" i="135"/>
  <c r="U18" i="135"/>
  <c r="S18" i="135"/>
  <c r="R18" i="135"/>
  <c r="J18" i="135"/>
  <c r="I18" i="135"/>
  <c r="W18" i="135" s="1"/>
  <c r="V17" i="135"/>
  <c r="U17" i="135"/>
  <c r="S17" i="135"/>
  <c r="R17" i="135"/>
  <c r="J17" i="135"/>
  <c r="I17" i="135"/>
  <c r="W17" i="135" s="1"/>
  <c r="W16" i="135"/>
  <c r="V16" i="135"/>
  <c r="U16" i="135"/>
  <c r="S16" i="135"/>
  <c r="R16" i="135"/>
  <c r="J16" i="135"/>
  <c r="I16" i="135"/>
  <c r="V15" i="135"/>
  <c r="U15" i="135"/>
  <c r="S15" i="135"/>
  <c r="R15" i="135"/>
  <c r="J15" i="135"/>
  <c r="I15" i="135"/>
  <c r="W15" i="135" s="1"/>
  <c r="V14" i="135"/>
  <c r="U14" i="135"/>
  <c r="S14" i="135"/>
  <c r="R14" i="135"/>
  <c r="J14" i="135"/>
  <c r="I14" i="135"/>
  <c r="W14" i="135" s="1"/>
  <c r="U13" i="135"/>
  <c r="V13" i="135" s="1"/>
  <c r="S13" i="135"/>
  <c r="R13" i="135"/>
  <c r="J13" i="135"/>
  <c r="I13" i="135"/>
  <c r="V12" i="135"/>
  <c r="U12" i="135"/>
  <c r="S12" i="135"/>
  <c r="R12" i="135"/>
  <c r="J12" i="135"/>
  <c r="I12" i="135"/>
  <c r="W12" i="135" s="1"/>
  <c r="V11" i="135"/>
  <c r="U11" i="135"/>
  <c r="S11" i="135"/>
  <c r="R11" i="135"/>
  <c r="J11" i="135"/>
  <c r="I11" i="135"/>
  <c r="W11" i="135" s="1"/>
  <c r="W10" i="135"/>
  <c r="V10" i="135"/>
  <c r="U10" i="135"/>
  <c r="S10" i="135"/>
  <c r="R10" i="135"/>
  <c r="J10" i="135"/>
  <c r="I10" i="135"/>
  <c r="V9" i="135"/>
  <c r="U9" i="135"/>
  <c r="S9" i="135"/>
  <c r="R9" i="135"/>
  <c r="J9" i="135"/>
  <c r="I9" i="135"/>
  <c r="W9" i="135" s="1"/>
  <c r="A9" i="135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A20" i="135" s="1"/>
  <c r="A21" i="135" s="1"/>
  <c r="A22" i="135" s="1"/>
  <c r="A23" i="135" s="1"/>
  <c r="A24" i="135" s="1"/>
  <c r="A25" i="135" s="1"/>
  <c r="A26" i="135" s="1"/>
  <c r="A27" i="135" s="1"/>
  <c r="A28" i="135" s="1"/>
  <c r="A29" i="135" s="1"/>
  <c r="A30" i="135" s="1"/>
  <c r="A31" i="135" s="1"/>
  <c r="A32" i="135" s="1"/>
  <c r="A33" i="135" s="1"/>
  <c r="A34" i="135" s="1"/>
  <c r="A35" i="135" s="1"/>
  <c r="A36" i="135" s="1"/>
  <c r="A37" i="135" s="1"/>
  <c r="A38" i="135" s="1"/>
  <c r="A39" i="135" s="1"/>
  <c r="A40" i="135" s="1"/>
  <c r="A41" i="135" s="1"/>
  <c r="A42" i="135" s="1"/>
  <c r="A43" i="135" s="1"/>
  <c r="A44" i="135" s="1"/>
  <c r="A45" i="135" s="1"/>
  <c r="A46" i="135" s="1"/>
  <c r="A47" i="135" s="1"/>
  <c r="A48" i="135" s="1"/>
  <c r="A49" i="135" s="1"/>
  <c r="A50" i="135" s="1"/>
  <c r="A51" i="135" s="1"/>
  <c r="A52" i="135" s="1"/>
  <c r="A53" i="135" s="1"/>
  <c r="A54" i="135" s="1"/>
  <c r="A55" i="135" s="1"/>
  <c r="A56" i="135" s="1"/>
  <c r="A57" i="135" s="1"/>
  <c r="A58" i="135" s="1"/>
  <c r="A59" i="135" s="1"/>
  <c r="U8" i="135"/>
  <c r="S8" i="135"/>
  <c r="R8" i="135"/>
  <c r="J8" i="135"/>
  <c r="I8" i="135"/>
  <c r="Q60" i="134"/>
  <c r="P60" i="134"/>
  <c r="O60" i="134"/>
  <c r="N60" i="134"/>
  <c r="M60" i="134"/>
  <c r="L60" i="134"/>
  <c r="H60" i="134"/>
  <c r="G60" i="134"/>
  <c r="E60" i="134"/>
  <c r="D60" i="134"/>
  <c r="C60" i="134"/>
  <c r="S59" i="134"/>
  <c r="R59" i="134"/>
  <c r="J59" i="134"/>
  <c r="I59" i="134"/>
  <c r="S58" i="134"/>
  <c r="R58" i="134"/>
  <c r="J58" i="134"/>
  <c r="I58" i="134"/>
  <c r="S57" i="134"/>
  <c r="R57" i="134"/>
  <c r="J57" i="134"/>
  <c r="I57" i="134"/>
  <c r="S56" i="134"/>
  <c r="R56" i="134"/>
  <c r="J56" i="134"/>
  <c r="I56" i="134"/>
  <c r="S55" i="134"/>
  <c r="R55" i="134"/>
  <c r="J55" i="134"/>
  <c r="I55" i="134"/>
  <c r="W54" i="134"/>
  <c r="U54" i="134"/>
  <c r="V54" i="134" s="1"/>
  <c r="S54" i="134"/>
  <c r="R54" i="134"/>
  <c r="J54" i="134"/>
  <c r="I54" i="134"/>
  <c r="W53" i="134"/>
  <c r="U53" i="134"/>
  <c r="V53" i="134" s="1"/>
  <c r="S53" i="134"/>
  <c r="R53" i="134"/>
  <c r="J53" i="134"/>
  <c r="I53" i="134"/>
  <c r="U52" i="134"/>
  <c r="V52" i="134" s="1"/>
  <c r="S52" i="134"/>
  <c r="R52" i="134"/>
  <c r="J52" i="134"/>
  <c r="I52" i="134"/>
  <c r="W52" i="134" s="1"/>
  <c r="W51" i="134"/>
  <c r="U51" i="134"/>
  <c r="V51" i="134" s="1"/>
  <c r="S51" i="134"/>
  <c r="R51" i="134"/>
  <c r="J51" i="134"/>
  <c r="I51" i="134"/>
  <c r="U50" i="134"/>
  <c r="V50" i="134" s="1"/>
  <c r="S50" i="134"/>
  <c r="R50" i="134"/>
  <c r="J50" i="134"/>
  <c r="I50" i="134"/>
  <c r="W50" i="134" s="1"/>
  <c r="U49" i="134"/>
  <c r="V49" i="134" s="1"/>
  <c r="S49" i="134"/>
  <c r="R49" i="134"/>
  <c r="J49" i="134"/>
  <c r="I49" i="134"/>
  <c r="W49" i="134" s="1"/>
  <c r="U48" i="134"/>
  <c r="V48" i="134" s="1"/>
  <c r="S48" i="134"/>
  <c r="R48" i="134"/>
  <c r="J48" i="134"/>
  <c r="I48" i="134"/>
  <c r="W48" i="134" s="1"/>
  <c r="U47" i="134"/>
  <c r="V47" i="134" s="1"/>
  <c r="S47" i="134"/>
  <c r="R47" i="134"/>
  <c r="J47" i="134"/>
  <c r="I47" i="134"/>
  <c r="W47" i="134" s="1"/>
  <c r="W46" i="134"/>
  <c r="U46" i="134"/>
  <c r="V46" i="134" s="1"/>
  <c r="S46" i="134"/>
  <c r="R46" i="134"/>
  <c r="J46" i="134"/>
  <c r="I46" i="134"/>
  <c r="S45" i="134"/>
  <c r="R45" i="134"/>
  <c r="J45" i="134"/>
  <c r="I45" i="134"/>
  <c r="U44" i="134"/>
  <c r="V44" i="134" s="1"/>
  <c r="S44" i="134"/>
  <c r="R44" i="134"/>
  <c r="J44" i="134"/>
  <c r="I44" i="134"/>
  <c r="S43" i="134"/>
  <c r="R43" i="134"/>
  <c r="J43" i="134"/>
  <c r="I43" i="134"/>
  <c r="V42" i="134"/>
  <c r="U42" i="134"/>
  <c r="S42" i="134"/>
  <c r="R42" i="134"/>
  <c r="J42" i="134"/>
  <c r="I42" i="134"/>
  <c r="W42" i="134" s="1"/>
  <c r="U41" i="134"/>
  <c r="V41" i="134" s="1"/>
  <c r="S41" i="134"/>
  <c r="R41" i="134"/>
  <c r="J41" i="134"/>
  <c r="W41" i="134" s="1"/>
  <c r="I41" i="134"/>
  <c r="W40" i="134"/>
  <c r="V40" i="134"/>
  <c r="U40" i="134"/>
  <c r="S40" i="134"/>
  <c r="R40" i="134"/>
  <c r="J40" i="134"/>
  <c r="I40" i="134"/>
  <c r="U39" i="134"/>
  <c r="V39" i="134" s="1"/>
  <c r="S39" i="134"/>
  <c r="R39" i="134"/>
  <c r="J39" i="134"/>
  <c r="I39" i="134"/>
  <c r="W39" i="134" s="1"/>
  <c r="U38" i="134"/>
  <c r="V38" i="134" s="1"/>
  <c r="S38" i="134"/>
  <c r="R38" i="134"/>
  <c r="J38" i="134"/>
  <c r="I38" i="134"/>
  <c r="W38" i="134" s="1"/>
  <c r="W37" i="134"/>
  <c r="U37" i="134"/>
  <c r="V37" i="134" s="1"/>
  <c r="S37" i="134"/>
  <c r="R37" i="134"/>
  <c r="J37" i="134"/>
  <c r="I37" i="134"/>
  <c r="W36" i="134"/>
  <c r="V36" i="134"/>
  <c r="U36" i="134"/>
  <c r="S36" i="134"/>
  <c r="R36" i="134"/>
  <c r="J36" i="134"/>
  <c r="I36" i="134"/>
  <c r="U35" i="134"/>
  <c r="V35" i="134" s="1"/>
  <c r="S35" i="134"/>
  <c r="R35" i="134"/>
  <c r="J35" i="134"/>
  <c r="I35" i="134"/>
  <c r="W35" i="134" s="1"/>
  <c r="V34" i="134"/>
  <c r="U34" i="134"/>
  <c r="S34" i="134"/>
  <c r="R34" i="134"/>
  <c r="J34" i="134"/>
  <c r="I34" i="134"/>
  <c r="W34" i="134" s="1"/>
  <c r="W33" i="134"/>
  <c r="U33" i="134"/>
  <c r="V33" i="134" s="1"/>
  <c r="S33" i="134"/>
  <c r="R33" i="134"/>
  <c r="J33" i="134"/>
  <c r="I33" i="134"/>
  <c r="U32" i="134"/>
  <c r="V32" i="134" s="1"/>
  <c r="S32" i="134"/>
  <c r="R32" i="134"/>
  <c r="J32" i="134"/>
  <c r="I32" i="134"/>
  <c r="W32" i="134" s="1"/>
  <c r="W31" i="134"/>
  <c r="U31" i="134"/>
  <c r="V31" i="134" s="1"/>
  <c r="S31" i="134"/>
  <c r="R31" i="134"/>
  <c r="J31" i="134"/>
  <c r="I31" i="134"/>
  <c r="V30" i="134"/>
  <c r="U30" i="134"/>
  <c r="S30" i="134"/>
  <c r="R30" i="134"/>
  <c r="J30" i="134"/>
  <c r="I30" i="134"/>
  <c r="W30" i="134" s="1"/>
  <c r="U29" i="134"/>
  <c r="V29" i="134" s="1"/>
  <c r="S29" i="134"/>
  <c r="R29" i="134"/>
  <c r="J29" i="134"/>
  <c r="I29" i="134"/>
  <c r="W29" i="134" s="1"/>
  <c r="U28" i="134"/>
  <c r="V28" i="134" s="1"/>
  <c r="S28" i="134"/>
  <c r="R28" i="134"/>
  <c r="J28" i="134"/>
  <c r="I28" i="134"/>
  <c r="W28" i="134" s="1"/>
  <c r="U27" i="134"/>
  <c r="V27" i="134" s="1"/>
  <c r="S27" i="134"/>
  <c r="R27" i="134"/>
  <c r="J27" i="134"/>
  <c r="I27" i="134"/>
  <c r="W27" i="134" s="1"/>
  <c r="BE26" i="134"/>
  <c r="V26" i="134"/>
  <c r="U26" i="134"/>
  <c r="S26" i="134"/>
  <c r="R26" i="134"/>
  <c r="J26" i="134"/>
  <c r="I26" i="134"/>
  <c r="V25" i="134"/>
  <c r="U25" i="134"/>
  <c r="S25" i="134"/>
  <c r="R25" i="134"/>
  <c r="J25" i="134"/>
  <c r="I25" i="134"/>
  <c r="W25" i="134" s="1"/>
  <c r="V24" i="134"/>
  <c r="U24" i="134"/>
  <c r="S24" i="134"/>
  <c r="R24" i="134"/>
  <c r="J24" i="134"/>
  <c r="I24" i="134"/>
  <c r="W24" i="134" s="1"/>
  <c r="V23" i="134"/>
  <c r="U23" i="134"/>
  <c r="S23" i="134"/>
  <c r="R23" i="134"/>
  <c r="J23" i="134"/>
  <c r="I23" i="134"/>
  <c r="W23" i="134" s="1"/>
  <c r="V22" i="134"/>
  <c r="U22" i="134"/>
  <c r="S22" i="134"/>
  <c r="R22" i="134"/>
  <c r="J22" i="134"/>
  <c r="I22" i="134"/>
  <c r="W22" i="134" s="1"/>
  <c r="V21" i="134"/>
  <c r="U21" i="134"/>
  <c r="S21" i="134"/>
  <c r="R21" i="134"/>
  <c r="J21" i="134"/>
  <c r="I21" i="134"/>
  <c r="W21" i="134" s="1"/>
  <c r="V20" i="134"/>
  <c r="U20" i="134"/>
  <c r="S20" i="134"/>
  <c r="R20" i="134"/>
  <c r="J20" i="134"/>
  <c r="I20" i="134"/>
  <c r="W20" i="134" s="1"/>
  <c r="V19" i="134"/>
  <c r="U19" i="134"/>
  <c r="S19" i="134"/>
  <c r="R19" i="134"/>
  <c r="J19" i="134"/>
  <c r="I19" i="134"/>
  <c r="W19" i="134" s="1"/>
  <c r="V18" i="134"/>
  <c r="U18" i="134"/>
  <c r="S18" i="134"/>
  <c r="R18" i="134"/>
  <c r="J18" i="134"/>
  <c r="I18" i="134"/>
  <c r="W18" i="134" s="1"/>
  <c r="V17" i="134"/>
  <c r="U17" i="134"/>
  <c r="S17" i="134"/>
  <c r="R17" i="134"/>
  <c r="J17" i="134"/>
  <c r="I17" i="134"/>
  <c r="W17" i="134" s="1"/>
  <c r="V16" i="134"/>
  <c r="U16" i="134"/>
  <c r="S16" i="134"/>
  <c r="R16" i="134"/>
  <c r="J16" i="134"/>
  <c r="I16" i="134"/>
  <c r="W16" i="134" s="1"/>
  <c r="V15" i="134"/>
  <c r="U15" i="134"/>
  <c r="S15" i="134"/>
  <c r="R15" i="134"/>
  <c r="J15" i="134"/>
  <c r="I15" i="134"/>
  <c r="W15" i="134" s="1"/>
  <c r="V14" i="134"/>
  <c r="U14" i="134"/>
  <c r="S14" i="134"/>
  <c r="R14" i="134"/>
  <c r="J14" i="134"/>
  <c r="I14" i="134"/>
  <c r="U13" i="134"/>
  <c r="V13" i="134" s="1"/>
  <c r="S13" i="134"/>
  <c r="R13" i="134"/>
  <c r="I13" i="134"/>
  <c r="V12" i="134"/>
  <c r="U12" i="134"/>
  <c r="S12" i="134"/>
  <c r="R12" i="134"/>
  <c r="J12" i="134"/>
  <c r="I12" i="134"/>
  <c r="V11" i="134"/>
  <c r="U11" i="134"/>
  <c r="S11" i="134"/>
  <c r="R11" i="134"/>
  <c r="J11" i="134"/>
  <c r="I11" i="134"/>
  <c r="W11" i="134" s="1"/>
  <c r="V10" i="134"/>
  <c r="U10" i="134"/>
  <c r="S10" i="134"/>
  <c r="R10" i="134"/>
  <c r="J10" i="134"/>
  <c r="I10" i="134"/>
  <c r="W10" i="134" s="1"/>
  <c r="V9" i="134"/>
  <c r="U9" i="134"/>
  <c r="S9" i="134"/>
  <c r="R9" i="134"/>
  <c r="J9" i="134"/>
  <c r="I9" i="134"/>
  <c r="A9" i="134"/>
  <c r="A10" i="134" s="1"/>
  <c r="A11" i="134" s="1"/>
  <c r="A12" i="134" s="1"/>
  <c r="A13" i="134" s="1"/>
  <c r="A14" i="134" s="1"/>
  <c r="A15" i="134" s="1"/>
  <c r="A16" i="134" s="1"/>
  <c r="A17" i="134" s="1"/>
  <c r="A18" i="134" s="1"/>
  <c r="A19" i="134" s="1"/>
  <c r="A20" i="134" s="1"/>
  <c r="A21" i="134" s="1"/>
  <c r="A22" i="134" s="1"/>
  <c r="A23" i="134" s="1"/>
  <c r="A24" i="134" s="1"/>
  <c r="A25" i="134" s="1"/>
  <c r="A26" i="134" s="1"/>
  <c r="A27" i="134" s="1"/>
  <c r="A28" i="134" s="1"/>
  <c r="A29" i="134" s="1"/>
  <c r="A30" i="134" s="1"/>
  <c r="A31" i="134" s="1"/>
  <c r="A32" i="134" s="1"/>
  <c r="A33" i="134" s="1"/>
  <c r="A34" i="134" s="1"/>
  <c r="A35" i="134" s="1"/>
  <c r="A36" i="134" s="1"/>
  <c r="A37" i="134" s="1"/>
  <c r="A38" i="134" s="1"/>
  <c r="A39" i="134" s="1"/>
  <c r="A40" i="134" s="1"/>
  <c r="A41" i="134" s="1"/>
  <c r="A42" i="134" s="1"/>
  <c r="A43" i="134" s="1"/>
  <c r="A44" i="134" s="1"/>
  <c r="A45" i="134" s="1"/>
  <c r="A46" i="134" s="1"/>
  <c r="A47" i="134" s="1"/>
  <c r="A48" i="134" s="1"/>
  <c r="A49" i="134" s="1"/>
  <c r="A50" i="134" s="1"/>
  <c r="A51" i="134" s="1"/>
  <c r="A52" i="134" s="1"/>
  <c r="A53" i="134" s="1"/>
  <c r="A54" i="134" s="1"/>
  <c r="A55" i="134" s="1"/>
  <c r="A56" i="134" s="1"/>
  <c r="A57" i="134" s="1"/>
  <c r="A58" i="134" s="1"/>
  <c r="A59" i="134" s="1"/>
  <c r="V8" i="134"/>
  <c r="U8" i="134"/>
  <c r="S8" i="134"/>
  <c r="R8" i="134"/>
  <c r="J8" i="134"/>
  <c r="I8" i="134"/>
  <c r="Q60" i="133"/>
  <c r="P60" i="133"/>
  <c r="O60" i="133"/>
  <c r="N60" i="133"/>
  <c r="M60" i="133"/>
  <c r="L60" i="133"/>
  <c r="H60" i="133"/>
  <c r="G60" i="133"/>
  <c r="E60" i="133"/>
  <c r="D60" i="133"/>
  <c r="C60" i="133"/>
  <c r="S59" i="133"/>
  <c r="R59" i="133"/>
  <c r="J59" i="133"/>
  <c r="I59" i="133"/>
  <c r="S58" i="133"/>
  <c r="R58" i="133"/>
  <c r="J58" i="133"/>
  <c r="I58" i="133"/>
  <c r="S57" i="133"/>
  <c r="R57" i="133"/>
  <c r="J57" i="133"/>
  <c r="I57" i="133"/>
  <c r="S56" i="133"/>
  <c r="R56" i="133"/>
  <c r="J56" i="133"/>
  <c r="I56" i="133"/>
  <c r="S55" i="133"/>
  <c r="R55" i="133"/>
  <c r="J55" i="133"/>
  <c r="I55" i="133"/>
  <c r="W54" i="133"/>
  <c r="V54" i="133"/>
  <c r="U54" i="133"/>
  <c r="S54" i="133"/>
  <c r="R54" i="133"/>
  <c r="J54" i="133"/>
  <c r="I54" i="133"/>
  <c r="W53" i="133"/>
  <c r="U53" i="133"/>
  <c r="V53" i="133" s="1"/>
  <c r="S53" i="133"/>
  <c r="R53" i="133"/>
  <c r="J53" i="133"/>
  <c r="I53" i="133"/>
  <c r="V52" i="133"/>
  <c r="U52" i="133"/>
  <c r="S52" i="133"/>
  <c r="R52" i="133"/>
  <c r="J52" i="133"/>
  <c r="I52" i="133"/>
  <c r="W52" i="133" s="1"/>
  <c r="W51" i="133"/>
  <c r="V51" i="133"/>
  <c r="U51" i="133"/>
  <c r="S51" i="133"/>
  <c r="R51" i="133"/>
  <c r="J51" i="133"/>
  <c r="I51" i="133"/>
  <c r="W50" i="133"/>
  <c r="V50" i="133"/>
  <c r="U50" i="133"/>
  <c r="S50" i="133"/>
  <c r="R50" i="133"/>
  <c r="J50" i="133"/>
  <c r="I50" i="133"/>
  <c r="W49" i="133"/>
  <c r="U49" i="133"/>
  <c r="V49" i="133" s="1"/>
  <c r="S49" i="133"/>
  <c r="R49" i="133"/>
  <c r="J49" i="133"/>
  <c r="I49" i="133"/>
  <c r="W48" i="133"/>
  <c r="V48" i="133"/>
  <c r="U48" i="133"/>
  <c r="S48" i="133"/>
  <c r="R48" i="133"/>
  <c r="J48" i="133"/>
  <c r="I48" i="133"/>
  <c r="U47" i="133"/>
  <c r="V47" i="133" s="1"/>
  <c r="S47" i="133"/>
  <c r="R47" i="133"/>
  <c r="J47" i="133"/>
  <c r="I47" i="133"/>
  <c r="W47" i="133" s="1"/>
  <c r="W46" i="133"/>
  <c r="V46" i="133"/>
  <c r="U46" i="133"/>
  <c r="S46" i="133"/>
  <c r="R46" i="133"/>
  <c r="J46" i="133"/>
  <c r="I46" i="133"/>
  <c r="S45" i="133"/>
  <c r="R45" i="133"/>
  <c r="J45" i="133"/>
  <c r="I45" i="133"/>
  <c r="U44" i="133"/>
  <c r="S44" i="133"/>
  <c r="R44" i="133"/>
  <c r="J44" i="133"/>
  <c r="I44" i="133"/>
  <c r="S43" i="133"/>
  <c r="R43" i="133"/>
  <c r="J43" i="133"/>
  <c r="I43" i="133"/>
  <c r="U42" i="133"/>
  <c r="V42" i="133" s="1"/>
  <c r="S42" i="133"/>
  <c r="R42" i="133"/>
  <c r="J42" i="133"/>
  <c r="I42" i="133"/>
  <c r="W42" i="133" s="1"/>
  <c r="U41" i="133"/>
  <c r="V41" i="133" s="1"/>
  <c r="S41" i="133"/>
  <c r="R41" i="133"/>
  <c r="J41" i="133"/>
  <c r="I41" i="133"/>
  <c r="W40" i="133"/>
  <c r="V40" i="133"/>
  <c r="U40" i="133"/>
  <c r="S40" i="133"/>
  <c r="R40" i="133"/>
  <c r="J40" i="133"/>
  <c r="I40" i="133"/>
  <c r="U39" i="133"/>
  <c r="V39" i="133" s="1"/>
  <c r="S39" i="133"/>
  <c r="R39" i="133"/>
  <c r="J39" i="133"/>
  <c r="I39" i="133"/>
  <c r="W39" i="133" s="1"/>
  <c r="U38" i="133"/>
  <c r="V38" i="133" s="1"/>
  <c r="S38" i="133"/>
  <c r="R38" i="133"/>
  <c r="J38" i="133"/>
  <c r="I38" i="133"/>
  <c r="U37" i="133"/>
  <c r="V37" i="133" s="1"/>
  <c r="S37" i="133"/>
  <c r="R37" i="133"/>
  <c r="J37" i="133"/>
  <c r="I37" i="133"/>
  <c r="W37" i="133" s="1"/>
  <c r="W36" i="133"/>
  <c r="V36" i="133"/>
  <c r="U36" i="133"/>
  <c r="S36" i="133"/>
  <c r="R36" i="133"/>
  <c r="J36" i="133"/>
  <c r="I36" i="133"/>
  <c r="U35" i="133"/>
  <c r="V35" i="133" s="1"/>
  <c r="S35" i="133"/>
  <c r="R35" i="133"/>
  <c r="J35" i="133"/>
  <c r="I35" i="133"/>
  <c r="V34" i="133"/>
  <c r="U34" i="133"/>
  <c r="S34" i="133"/>
  <c r="R34" i="133"/>
  <c r="J34" i="133"/>
  <c r="I34" i="133"/>
  <c r="W34" i="133" s="1"/>
  <c r="U33" i="133"/>
  <c r="V33" i="133" s="1"/>
  <c r="S33" i="133"/>
  <c r="R33" i="133"/>
  <c r="J33" i="133"/>
  <c r="I33" i="133"/>
  <c r="W33" i="133" s="1"/>
  <c r="V32" i="133"/>
  <c r="U32" i="133"/>
  <c r="S32" i="133"/>
  <c r="R32" i="133"/>
  <c r="J32" i="133"/>
  <c r="I32" i="133"/>
  <c r="W32" i="133" s="1"/>
  <c r="U31" i="133"/>
  <c r="V31" i="133" s="1"/>
  <c r="S31" i="133"/>
  <c r="R31" i="133"/>
  <c r="J31" i="133"/>
  <c r="I31" i="133"/>
  <c r="W31" i="133" s="1"/>
  <c r="V30" i="133"/>
  <c r="U30" i="133"/>
  <c r="S30" i="133"/>
  <c r="R30" i="133"/>
  <c r="J30" i="133"/>
  <c r="I30" i="133"/>
  <c r="W30" i="133" s="1"/>
  <c r="U29" i="133"/>
  <c r="V29" i="133" s="1"/>
  <c r="S29" i="133"/>
  <c r="R29" i="133"/>
  <c r="J29" i="133"/>
  <c r="I29" i="133"/>
  <c r="W29" i="133" s="1"/>
  <c r="W28" i="133"/>
  <c r="V28" i="133"/>
  <c r="U28" i="133"/>
  <c r="S28" i="133"/>
  <c r="R28" i="133"/>
  <c r="J28" i="133"/>
  <c r="I28" i="133"/>
  <c r="U27" i="133"/>
  <c r="V27" i="133" s="1"/>
  <c r="S27" i="133"/>
  <c r="R27" i="133"/>
  <c r="J27" i="133"/>
  <c r="I27" i="133"/>
  <c r="W27" i="133" s="1"/>
  <c r="BE26" i="133"/>
  <c r="V26" i="133"/>
  <c r="U26" i="133"/>
  <c r="S26" i="133"/>
  <c r="R26" i="133"/>
  <c r="J26" i="133"/>
  <c r="I26" i="133"/>
  <c r="V25" i="133"/>
  <c r="U25" i="133"/>
  <c r="S25" i="133"/>
  <c r="R25" i="133"/>
  <c r="J25" i="133"/>
  <c r="I25" i="133"/>
  <c r="W25" i="133" s="1"/>
  <c r="W24" i="133"/>
  <c r="V24" i="133"/>
  <c r="U24" i="133"/>
  <c r="S24" i="133"/>
  <c r="R24" i="133"/>
  <c r="J24" i="133"/>
  <c r="I24" i="133"/>
  <c r="V23" i="133"/>
  <c r="U23" i="133"/>
  <c r="S23" i="133"/>
  <c r="R23" i="133"/>
  <c r="J23" i="133"/>
  <c r="I23" i="133"/>
  <c r="W23" i="133" s="1"/>
  <c r="W22" i="133"/>
  <c r="V22" i="133"/>
  <c r="U22" i="133"/>
  <c r="S22" i="133"/>
  <c r="R22" i="133"/>
  <c r="J22" i="133"/>
  <c r="I22" i="133"/>
  <c r="V21" i="133"/>
  <c r="U21" i="133"/>
  <c r="S21" i="133"/>
  <c r="R21" i="133"/>
  <c r="J21" i="133"/>
  <c r="I21" i="133"/>
  <c r="W21" i="133" s="1"/>
  <c r="V20" i="133"/>
  <c r="U20" i="133"/>
  <c r="S20" i="133"/>
  <c r="R20" i="133"/>
  <c r="J20" i="133"/>
  <c r="I20" i="133"/>
  <c r="W20" i="133" s="1"/>
  <c r="V19" i="133"/>
  <c r="U19" i="133"/>
  <c r="S19" i="133"/>
  <c r="R19" i="133"/>
  <c r="J19" i="133"/>
  <c r="I19" i="133"/>
  <c r="W19" i="133" s="1"/>
  <c r="V18" i="133"/>
  <c r="U18" i="133"/>
  <c r="S18" i="133"/>
  <c r="R18" i="133"/>
  <c r="J18" i="133"/>
  <c r="I18" i="133"/>
  <c r="W18" i="133" s="1"/>
  <c r="V17" i="133"/>
  <c r="U17" i="133"/>
  <c r="S17" i="133"/>
  <c r="R17" i="133"/>
  <c r="J17" i="133"/>
  <c r="I17" i="133"/>
  <c r="W17" i="133" s="1"/>
  <c r="V16" i="133"/>
  <c r="U16" i="133"/>
  <c r="S16" i="133"/>
  <c r="R16" i="133"/>
  <c r="J16" i="133"/>
  <c r="I16" i="133"/>
  <c r="W16" i="133" s="1"/>
  <c r="V15" i="133"/>
  <c r="U15" i="133"/>
  <c r="S15" i="133"/>
  <c r="R15" i="133"/>
  <c r="J15" i="133"/>
  <c r="I15" i="133"/>
  <c r="W15" i="133" s="1"/>
  <c r="V14" i="133"/>
  <c r="U14" i="133"/>
  <c r="S14" i="133"/>
  <c r="R14" i="133"/>
  <c r="J14" i="133"/>
  <c r="I14" i="133"/>
  <c r="W14" i="133" s="1"/>
  <c r="U13" i="133"/>
  <c r="V13" i="133" s="1"/>
  <c r="S13" i="133"/>
  <c r="R13" i="133"/>
  <c r="J13" i="133"/>
  <c r="I13" i="133"/>
  <c r="V12" i="133"/>
  <c r="U12" i="133"/>
  <c r="S12" i="133"/>
  <c r="R12" i="133"/>
  <c r="J12" i="133"/>
  <c r="I12" i="133"/>
  <c r="V11" i="133"/>
  <c r="U11" i="133"/>
  <c r="S11" i="133"/>
  <c r="R11" i="133"/>
  <c r="J11" i="133"/>
  <c r="I11" i="133"/>
  <c r="W11" i="133" s="1"/>
  <c r="V10" i="133"/>
  <c r="U10" i="133"/>
  <c r="S10" i="133"/>
  <c r="R10" i="133"/>
  <c r="J10" i="133"/>
  <c r="I10" i="133"/>
  <c r="W10" i="133" s="1"/>
  <c r="V9" i="133"/>
  <c r="U9" i="133"/>
  <c r="S9" i="133"/>
  <c r="R9" i="133"/>
  <c r="J9" i="133"/>
  <c r="I9" i="133"/>
  <c r="W9" i="133" s="1"/>
  <c r="A9" i="133"/>
  <c r="A10" i="133" s="1"/>
  <c r="A11" i="133" s="1"/>
  <c r="A12" i="133" s="1"/>
  <c r="A13" i="133" s="1"/>
  <c r="A14" i="133" s="1"/>
  <c r="A15" i="133" s="1"/>
  <c r="A16" i="133" s="1"/>
  <c r="A17" i="133" s="1"/>
  <c r="A18" i="133" s="1"/>
  <c r="A19" i="133" s="1"/>
  <c r="A20" i="133" s="1"/>
  <c r="A21" i="133" s="1"/>
  <c r="A22" i="133" s="1"/>
  <c r="A23" i="133" s="1"/>
  <c r="A24" i="133" s="1"/>
  <c r="A25" i="133" s="1"/>
  <c r="A26" i="133" s="1"/>
  <c r="A27" i="133" s="1"/>
  <c r="A28" i="133" s="1"/>
  <c r="A29" i="133" s="1"/>
  <c r="A30" i="133" s="1"/>
  <c r="A31" i="133" s="1"/>
  <c r="A32" i="133" s="1"/>
  <c r="A33" i="133" s="1"/>
  <c r="A34" i="133" s="1"/>
  <c r="A35" i="133" s="1"/>
  <c r="A36" i="133" s="1"/>
  <c r="A37" i="133" s="1"/>
  <c r="A38" i="133" s="1"/>
  <c r="A39" i="133" s="1"/>
  <c r="A40" i="133" s="1"/>
  <c r="A41" i="133" s="1"/>
  <c r="A42" i="133" s="1"/>
  <c r="A43" i="133" s="1"/>
  <c r="A44" i="133" s="1"/>
  <c r="A45" i="133" s="1"/>
  <c r="A46" i="133" s="1"/>
  <c r="A47" i="133" s="1"/>
  <c r="A48" i="133" s="1"/>
  <c r="A49" i="133" s="1"/>
  <c r="A50" i="133" s="1"/>
  <c r="A51" i="133" s="1"/>
  <c r="A52" i="133" s="1"/>
  <c r="A53" i="133" s="1"/>
  <c r="A54" i="133" s="1"/>
  <c r="A55" i="133" s="1"/>
  <c r="A56" i="133" s="1"/>
  <c r="A57" i="133" s="1"/>
  <c r="A58" i="133" s="1"/>
  <c r="A59" i="133" s="1"/>
  <c r="V8" i="133"/>
  <c r="U8" i="133"/>
  <c r="S8" i="133"/>
  <c r="R8" i="133"/>
  <c r="J8" i="133"/>
  <c r="W8" i="133" s="1"/>
  <c r="I8" i="133"/>
  <c r="W38" i="139" l="1"/>
  <c r="U60" i="139"/>
  <c r="W26" i="139"/>
  <c r="W24" i="139"/>
  <c r="W23" i="139"/>
  <c r="W20" i="139"/>
  <c r="R60" i="139"/>
  <c r="S60" i="139"/>
  <c r="W13" i="139"/>
  <c r="J60" i="139"/>
  <c r="W8" i="139"/>
  <c r="W48" i="138"/>
  <c r="W44" i="138"/>
  <c r="W41" i="138"/>
  <c r="W30" i="138"/>
  <c r="W38" i="138"/>
  <c r="W35" i="138"/>
  <c r="W29" i="138"/>
  <c r="W26" i="138"/>
  <c r="W24" i="138"/>
  <c r="W23" i="138"/>
  <c r="U60" i="138"/>
  <c r="S60" i="138"/>
  <c r="W13" i="138"/>
  <c r="W12" i="138"/>
  <c r="R60" i="138"/>
  <c r="W9" i="138"/>
  <c r="J60" i="138"/>
  <c r="W8" i="138"/>
  <c r="W44" i="137"/>
  <c r="W41" i="137"/>
  <c r="W38" i="137"/>
  <c r="W35" i="137"/>
  <c r="U60" i="137"/>
  <c r="W30" i="137"/>
  <c r="W26" i="137"/>
  <c r="W24" i="137"/>
  <c r="W23" i="137"/>
  <c r="W14" i="137"/>
  <c r="S60" i="137"/>
  <c r="R60" i="137"/>
  <c r="W13" i="137"/>
  <c r="W12" i="137"/>
  <c r="J60" i="137"/>
  <c r="W44" i="136"/>
  <c r="W41" i="136"/>
  <c r="W38" i="136"/>
  <c r="W24" i="136"/>
  <c r="W14" i="136"/>
  <c r="S60" i="136"/>
  <c r="R60" i="136"/>
  <c r="W13" i="136"/>
  <c r="J60" i="136"/>
  <c r="U60" i="136"/>
  <c r="W8" i="136"/>
  <c r="W44" i="135"/>
  <c r="W41" i="135"/>
  <c r="W30" i="135"/>
  <c r="W23" i="135"/>
  <c r="W20" i="135"/>
  <c r="S60" i="135"/>
  <c r="U60" i="135"/>
  <c r="W13" i="135"/>
  <c r="J60" i="135"/>
  <c r="I60" i="135"/>
  <c r="R60" i="135"/>
  <c r="V8" i="135"/>
  <c r="W8" i="135"/>
  <c r="W44" i="134"/>
  <c r="U60" i="134"/>
  <c r="W26" i="134"/>
  <c r="W14" i="134"/>
  <c r="S60" i="134"/>
  <c r="W13" i="134"/>
  <c r="W12" i="134"/>
  <c r="R60" i="134"/>
  <c r="W9" i="134"/>
  <c r="J60" i="134"/>
  <c r="W8" i="134"/>
  <c r="W44" i="133"/>
  <c r="W41" i="133"/>
  <c r="W38" i="133"/>
  <c r="W35" i="133"/>
  <c r="W26" i="133"/>
  <c r="S60" i="133"/>
  <c r="R60" i="133"/>
  <c r="U60" i="133"/>
  <c r="W13" i="133"/>
  <c r="W12" i="133"/>
  <c r="J60" i="133"/>
  <c r="I60" i="133"/>
  <c r="V60" i="139"/>
  <c r="I60" i="139"/>
  <c r="I60" i="138"/>
  <c r="V28" i="138"/>
  <c r="V60" i="138" s="1"/>
  <c r="V27" i="137"/>
  <c r="V60" i="137" s="1"/>
  <c r="I60" i="137"/>
  <c r="V27" i="136"/>
  <c r="V60" i="136" s="1"/>
  <c r="I60" i="136"/>
  <c r="V60" i="135"/>
  <c r="V60" i="134"/>
  <c r="I60" i="134"/>
  <c r="V44" i="133"/>
  <c r="V60" i="133" s="1"/>
  <c r="Q60" i="132"/>
  <c r="P60" i="132"/>
  <c r="O60" i="132"/>
  <c r="N60" i="132"/>
  <c r="M60" i="132"/>
  <c r="L60" i="132"/>
  <c r="H60" i="132"/>
  <c r="G60" i="132"/>
  <c r="E60" i="132"/>
  <c r="D60" i="132"/>
  <c r="C60" i="132"/>
  <c r="S59" i="132"/>
  <c r="R59" i="132"/>
  <c r="J59" i="132"/>
  <c r="I59" i="132"/>
  <c r="S58" i="132"/>
  <c r="R58" i="132"/>
  <c r="J58" i="132"/>
  <c r="I58" i="132"/>
  <c r="S57" i="132"/>
  <c r="R57" i="132"/>
  <c r="J57" i="132"/>
  <c r="I57" i="132"/>
  <c r="S56" i="132"/>
  <c r="R56" i="132"/>
  <c r="J56" i="132"/>
  <c r="I56" i="132"/>
  <c r="S55" i="132"/>
  <c r="R55" i="132"/>
  <c r="J55" i="132"/>
  <c r="I55" i="132"/>
  <c r="U54" i="132"/>
  <c r="V54" i="132" s="1"/>
  <c r="S54" i="132"/>
  <c r="R54" i="132"/>
  <c r="J54" i="132"/>
  <c r="I54" i="132"/>
  <c r="W54" i="132" s="1"/>
  <c r="W53" i="132"/>
  <c r="U53" i="132"/>
  <c r="V53" i="132" s="1"/>
  <c r="S53" i="132"/>
  <c r="R53" i="132"/>
  <c r="J53" i="132"/>
  <c r="I53" i="132"/>
  <c r="U52" i="132"/>
  <c r="V52" i="132" s="1"/>
  <c r="S52" i="132"/>
  <c r="R52" i="132"/>
  <c r="J52" i="132"/>
  <c r="I52" i="132"/>
  <c r="W52" i="132" s="1"/>
  <c r="W51" i="132"/>
  <c r="U51" i="132"/>
  <c r="V51" i="132" s="1"/>
  <c r="S51" i="132"/>
  <c r="R51" i="132"/>
  <c r="J51" i="132"/>
  <c r="I51" i="132"/>
  <c r="U50" i="132"/>
  <c r="V50" i="132" s="1"/>
  <c r="S50" i="132"/>
  <c r="R50" i="132"/>
  <c r="J50" i="132"/>
  <c r="I50" i="132"/>
  <c r="W50" i="132" s="1"/>
  <c r="W49" i="132"/>
  <c r="U49" i="132"/>
  <c r="V49" i="132" s="1"/>
  <c r="S49" i="132"/>
  <c r="R49" i="132"/>
  <c r="J49" i="132"/>
  <c r="I49" i="132"/>
  <c r="U48" i="132"/>
  <c r="V48" i="132" s="1"/>
  <c r="S48" i="132"/>
  <c r="R48" i="132"/>
  <c r="J48" i="132"/>
  <c r="I48" i="132"/>
  <c r="U47" i="132"/>
  <c r="V47" i="132" s="1"/>
  <c r="S47" i="132"/>
  <c r="R47" i="132"/>
  <c r="J47" i="132"/>
  <c r="I47" i="132"/>
  <c r="W47" i="132" s="1"/>
  <c r="U46" i="132"/>
  <c r="V46" i="132" s="1"/>
  <c r="S46" i="132"/>
  <c r="R46" i="132"/>
  <c r="J46" i="132"/>
  <c r="I46" i="132"/>
  <c r="W46" i="132" s="1"/>
  <c r="S45" i="132"/>
  <c r="R45" i="132"/>
  <c r="J45" i="132"/>
  <c r="I45" i="132"/>
  <c r="U44" i="132"/>
  <c r="V44" i="132" s="1"/>
  <c r="S44" i="132"/>
  <c r="R44" i="132"/>
  <c r="J44" i="132"/>
  <c r="I44" i="132"/>
  <c r="S43" i="132"/>
  <c r="R43" i="132"/>
  <c r="J43" i="132"/>
  <c r="I43" i="132"/>
  <c r="W42" i="132"/>
  <c r="U42" i="132"/>
  <c r="V42" i="132" s="1"/>
  <c r="S42" i="132"/>
  <c r="R42" i="132"/>
  <c r="J42" i="132"/>
  <c r="I42" i="132"/>
  <c r="U41" i="132"/>
  <c r="V41" i="132" s="1"/>
  <c r="S41" i="132"/>
  <c r="R41" i="132"/>
  <c r="J41" i="132"/>
  <c r="I41" i="132"/>
  <c r="W40" i="132"/>
  <c r="V40" i="132"/>
  <c r="U40" i="132"/>
  <c r="S40" i="132"/>
  <c r="R40" i="132"/>
  <c r="J40" i="132"/>
  <c r="I40" i="132"/>
  <c r="U39" i="132"/>
  <c r="V39" i="132" s="1"/>
  <c r="S39" i="132"/>
  <c r="R39" i="132"/>
  <c r="J39" i="132"/>
  <c r="I39" i="132"/>
  <c r="W39" i="132" s="1"/>
  <c r="U38" i="132"/>
  <c r="V38" i="132" s="1"/>
  <c r="S38" i="132"/>
  <c r="R38" i="132"/>
  <c r="J38" i="132"/>
  <c r="I38" i="132"/>
  <c r="W37" i="132"/>
  <c r="U37" i="132"/>
  <c r="V37" i="132" s="1"/>
  <c r="S37" i="132"/>
  <c r="R37" i="132"/>
  <c r="J37" i="132"/>
  <c r="I37" i="132"/>
  <c r="W36" i="132"/>
  <c r="V36" i="132"/>
  <c r="U36" i="132"/>
  <c r="S36" i="132"/>
  <c r="R36" i="132"/>
  <c r="J36" i="132"/>
  <c r="I36" i="132"/>
  <c r="W35" i="132"/>
  <c r="U35" i="132"/>
  <c r="V35" i="132" s="1"/>
  <c r="S35" i="132"/>
  <c r="R35" i="132"/>
  <c r="J35" i="132"/>
  <c r="I35" i="132"/>
  <c r="V34" i="132"/>
  <c r="U34" i="132"/>
  <c r="S34" i="132"/>
  <c r="R34" i="132"/>
  <c r="J34" i="132"/>
  <c r="I34" i="132"/>
  <c r="W34" i="132" s="1"/>
  <c r="W33" i="132"/>
  <c r="U33" i="132"/>
  <c r="V33" i="132" s="1"/>
  <c r="S33" i="132"/>
  <c r="R33" i="132"/>
  <c r="J33" i="132"/>
  <c r="I33" i="132"/>
  <c r="U32" i="132"/>
  <c r="V32" i="132" s="1"/>
  <c r="S32" i="132"/>
  <c r="R32" i="132"/>
  <c r="J32" i="132"/>
  <c r="I32" i="132"/>
  <c r="W32" i="132" s="1"/>
  <c r="U31" i="132"/>
  <c r="V31" i="132" s="1"/>
  <c r="S31" i="132"/>
  <c r="R31" i="132"/>
  <c r="J31" i="132"/>
  <c r="I31" i="132"/>
  <c r="W31" i="132" s="1"/>
  <c r="W30" i="132"/>
  <c r="U30" i="132"/>
  <c r="V30" i="132" s="1"/>
  <c r="S30" i="132"/>
  <c r="R30" i="132"/>
  <c r="J30" i="132"/>
  <c r="I30" i="132"/>
  <c r="U29" i="132"/>
  <c r="V29" i="132" s="1"/>
  <c r="S29" i="132"/>
  <c r="R29" i="132"/>
  <c r="J29" i="132"/>
  <c r="I29" i="132"/>
  <c r="W29" i="132" s="1"/>
  <c r="V28" i="132"/>
  <c r="U28" i="132"/>
  <c r="S28" i="132"/>
  <c r="R28" i="132"/>
  <c r="J28" i="132"/>
  <c r="I28" i="132"/>
  <c r="W28" i="132" s="1"/>
  <c r="U27" i="132"/>
  <c r="V27" i="132" s="1"/>
  <c r="S27" i="132"/>
  <c r="R27" i="132"/>
  <c r="J27" i="132"/>
  <c r="I27" i="132"/>
  <c r="W27" i="132" s="1"/>
  <c r="BE26" i="132"/>
  <c r="V26" i="132"/>
  <c r="U26" i="132"/>
  <c r="S26" i="132"/>
  <c r="R26" i="132"/>
  <c r="J26" i="132"/>
  <c r="I26" i="132"/>
  <c r="V25" i="132"/>
  <c r="U25" i="132"/>
  <c r="S25" i="132"/>
  <c r="R25" i="132"/>
  <c r="J25" i="132"/>
  <c r="I25" i="132"/>
  <c r="W25" i="132" s="1"/>
  <c r="V24" i="132"/>
  <c r="U24" i="132"/>
  <c r="S24" i="132"/>
  <c r="R24" i="132"/>
  <c r="J24" i="132"/>
  <c r="I24" i="132"/>
  <c r="V23" i="132"/>
  <c r="U23" i="132"/>
  <c r="S23" i="132"/>
  <c r="R23" i="132"/>
  <c r="J23" i="132"/>
  <c r="I23" i="132"/>
  <c r="V22" i="132"/>
  <c r="U22" i="132"/>
  <c r="S22" i="132"/>
  <c r="R22" i="132"/>
  <c r="J22" i="132"/>
  <c r="I22" i="132"/>
  <c r="W22" i="132" s="1"/>
  <c r="V21" i="132"/>
  <c r="U21" i="132"/>
  <c r="S21" i="132"/>
  <c r="R21" i="132"/>
  <c r="J21" i="132"/>
  <c r="I21" i="132"/>
  <c r="W21" i="132" s="1"/>
  <c r="V20" i="132"/>
  <c r="U20" i="132"/>
  <c r="S20" i="132"/>
  <c r="R20" i="132"/>
  <c r="J20" i="132"/>
  <c r="I20" i="132"/>
  <c r="W20" i="132" s="1"/>
  <c r="V19" i="132"/>
  <c r="U19" i="132"/>
  <c r="S19" i="132"/>
  <c r="R19" i="132"/>
  <c r="J19" i="132"/>
  <c r="I19" i="132"/>
  <c r="W19" i="132" s="1"/>
  <c r="V18" i="132"/>
  <c r="U18" i="132"/>
  <c r="S18" i="132"/>
  <c r="R18" i="132"/>
  <c r="J18" i="132"/>
  <c r="I18" i="132"/>
  <c r="W18" i="132" s="1"/>
  <c r="V17" i="132"/>
  <c r="U17" i="132"/>
  <c r="S17" i="132"/>
  <c r="R17" i="132"/>
  <c r="J17" i="132"/>
  <c r="I17" i="132"/>
  <c r="W17" i="132" s="1"/>
  <c r="U16" i="132"/>
  <c r="V16" i="132" s="1"/>
  <c r="S16" i="132"/>
  <c r="R16" i="132"/>
  <c r="J16" i="132"/>
  <c r="I16" i="132"/>
  <c r="W16" i="132" s="1"/>
  <c r="V15" i="132"/>
  <c r="U15" i="132"/>
  <c r="S15" i="132"/>
  <c r="R15" i="132"/>
  <c r="J15" i="132"/>
  <c r="I15" i="132"/>
  <c r="U14" i="132"/>
  <c r="V14" i="132" s="1"/>
  <c r="S14" i="132"/>
  <c r="R14" i="132"/>
  <c r="J14" i="132"/>
  <c r="I14" i="132"/>
  <c r="W14" i="132" s="1"/>
  <c r="U13" i="132"/>
  <c r="V13" i="132" s="1"/>
  <c r="S13" i="132"/>
  <c r="R13" i="132"/>
  <c r="J13" i="132"/>
  <c r="I13" i="132"/>
  <c r="W13" i="132" s="1"/>
  <c r="U12" i="132"/>
  <c r="V12" i="132" s="1"/>
  <c r="S12" i="132"/>
  <c r="R12" i="132"/>
  <c r="J12" i="132"/>
  <c r="I12" i="132"/>
  <c r="V11" i="132"/>
  <c r="U11" i="132"/>
  <c r="S11" i="132"/>
  <c r="R11" i="132"/>
  <c r="J11" i="132"/>
  <c r="I11" i="132"/>
  <c r="W11" i="132" s="1"/>
  <c r="U10" i="132"/>
  <c r="V10" i="132" s="1"/>
  <c r="S10" i="132"/>
  <c r="R10" i="132"/>
  <c r="J10" i="132"/>
  <c r="I10" i="132"/>
  <c r="W10" i="132" s="1"/>
  <c r="U9" i="132"/>
  <c r="V9" i="132" s="1"/>
  <c r="S9" i="132"/>
  <c r="R9" i="132"/>
  <c r="J9" i="132"/>
  <c r="I9" i="132"/>
  <c r="W9" i="132" s="1"/>
  <c r="A9" i="132"/>
  <c r="A10" i="132" s="1"/>
  <c r="A11" i="132" s="1"/>
  <c r="A12" i="132" s="1"/>
  <c r="A13" i="132" s="1"/>
  <c r="A14" i="132" s="1"/>
  <c r="A15" i="132" s="1"/>
  <c r="A16" i="132" s="1"/>
  <c r="A17" i="132" s="1"/>
  <c r="A18" i="132" s="1"/>
  <c r="A19" i="132" s="1"/>
  <c r="A20" i="132" s="1"/>
  <c r="A21" i="132" s="1"/>
  <c r="A22" i="132" s="1"/>
  <c r="A23" i="132" s="1"/>
  <c r="A24" i="132" s="1"/>
  <c r="A25" i="132" s="1"/>
  <c r="A26" i="132" s="1"/>
  <c r="A27" i="132" s="1"/>
  <c r="A28" i="132" s="1"/>
  <c r="A29" i="132" s="1"/>
  <c r="A30" i="132" s="1"/>
  <c r="A31" i="132" s="1"/>
  <c r="A32" i="132" s="1"/>
  <c r="A33" i="132" s="1"/>
  <c r="A34" i="132" s="1"/>
  <c r="A35" i="132" s="1"/>
  <c r="A36" i="132" s="1"/>
  <c r="A37" i="132" s="1"/>
  <c r="A38" i="132" s="1"/>
  <c r="A39" i="132" s="1"/>
  <c r="A40" i="132" s="1"/>
  <c r="A41" i="132" s="1"/>
  <c r="A42" i="132" s="1"/>
  <c r="A43" i="132" s="1"/>
  <c r="A44" i="132" s="1"/>
  <c r="A45" i="132" s="1"/>
  <c r="A46" i="132" s="1"/>
  <c r="A47" i="132" s="1"/>
  <c r="A48" i="132" s="1"/>
  <c r="A49" i="132" s="1"/>
  <c r="A50" i="132" s="1"/>
  <c r="A51" i="132" s="1"/>
  <c r="A52" i="132" s="1"/>
  <c r="A53" i="132" s="1"/>
  <c r="A54" i="132" s="1"/>
  <c r="A55" i="132" s="1"/>
  <c r="A56" i="132" s="1"/>
  <c r="A57" i="132" s="1"/>
  <c r="A58" i="132" s="1"/>
  <c r="A59" i="132" s="1"/>
  <c r="U8" i="132"/>
  <c r="S8" i="132"/>
  <c r="R8" i="132"/>
  <c r="J8" i="132"/>
  <c r="I8" i="132"/>
  <c r="W60" i="139" l="1"/>
  <c r="W60" i="138"/>
  <c r="W60" i="137"/>
  <c r="W60" i="136"/>
  <c r="W60" i="135"/>
  <c r="W60" i="134"/>
  <c r="W60" i="133"/>
  <c r="W48" i="132"/>
  <c r="W44" i="132"/>
  <c r="W41" i="132"/>
  <c r="W38" i="132"/>
  <c r="W26" i="132"/>
  <c r="W24" i="132"/>
  <c r="W23" i="132"/>
  <c r="W15" i="132"/>
  <c r="S60" i="132"/>
  <c r="W12" i="132"/>
  <c r="R60" i="132"/>
  <c r="U60" i="132"/>
  <c r="J60" i="132"/>
  <c r="W8" i="132"/>
  <c r="I60" i="132"/>
  <c r="V8" i="132"/>
  <c r="V60" i="132" s="1"/>
  <c r="W60" i="132" l="1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FEDBF46-3A61-40D4-A9E7-8D5D6810E2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5BA22E0-8DC5-4F92-9BD9-29A2FC377F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167C416A-F8F0-417C-88B3-02D4F0EB95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C5183DB-9B7D-4D47-8877-B81352DDCA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26DB93D6-FC71-477C-8254-4A23FB8667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D5DAE8D8-732A-4A4F-963D-F699D109CE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DBF4243-622F-4732-A2FD-BC4EBC6679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3518E34-E857-473D-90AB-5DFDBA2557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79F4785-D1D0-47E1-87D8-3E79A8E688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48343BB-5C42-49E5-ABD9-A018F76C71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1F7EC23-E322-438B-8DA8-8EF855D379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0ABCE2D-3805-49A6-B58B-6201AC84AA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D3C79E6E-0BB1-48FC-B0CA-79D5B11D5A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2F92D7-9253-4EF9-AE6A-E3C654AA72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2FCF3A8-DA9B-4E89-A69B-2703B204FB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8C7F67B-3A7F-443E-9FD6-10BAFDA162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5F05A4AB-0012-4137-B10C-4CCFA71B62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256E2CD7-BB1C-42BB-A3F2-BD9E332FE1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E39E72A-F5F9-4691-99E0-7BD24429A2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5D5CC4FE-09EF-4019-8774-23B33A3BA2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C39AA45-6DDC-4FA5-AEB9-E8EF2EAE25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F27C39E-FC20-4313-AB58-8D0138ACAE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22EE9285-234C-47D0-94FB-683585B93C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5A28E36-9F6D-4234-AD02-1DAC9B94C4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536CD40-BC13-4E16-B097-150CBD8026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F265114-368D-43B9-82A2-299BAADBF1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5E545812-7B2C-4165-825C-6361EF0175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17C14793-BBEA-40DF-A7B0-8BDDFA300F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23F6FAA-ADEE-455F-8A0F-F0CC24FCBF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7FD1A8A-CED5-4722-B146-09136186A7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95C3D00-E343-48D0-A4BE-AF1C90FD48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A71A40B-CEF1-40AD-B3B4-048FA49CF2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7F5163A-AE99-4D59-A1F5-4FA80BE27A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38BCF14-F18C-4CDE-B92D-E896700520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0EB7827-2134-4582-9873-AF5BDA9915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B353AE1-A206-4337-8CF5-DFFB253A5A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7BB7A52-D6CD-400E-9ACD-83EE7107B4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19717BA-C19C-4B1B-8856-68F0510530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4DFF860-DEA2-409E-8865-93A78E583B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55E2F61-22E6-473C-8FE4-0F535C53F8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1FC17ED-2A8E-47DB-A7C3-A5D4E49084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2B28AC2E-F654-4ACE-9829-3E7550EF37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9DADAC7-CD72-4037-A294-C24438DF43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1A27763-43A7-426F-B839-5C2832F71B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F6A181B7-C36B-46D4-85BF-B8F937EFED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4286E9F-5447-4EA2-B970-5CC3F3D153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A70275C-001F-4068-9EF3-D801EDAA33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90CC5E2-31DD-459B-93B7-8EE5389553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E1FCCDA-592E-4589-B88B-121FB3A21A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93743D5-2BA6-41E7-B323-925C83A622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0C29833-AF0E-4D4B-AE02-0CD8C20498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58C7BC6-2160-460A-8B9B-8EE19654E5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6F0C985F-0A2D-409F-958A-53BFEA951B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ECED33FF-757F-4353-8855-EC13CDFB57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F4F1203F-FD23-4002-96AA-70143799F7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1E064F0-61E8-4424-A741-279779F829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BB355CAC-4E2B-405D-869F-1F8A75E96E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<sst xmlns="http://schemas.openxmlformats.org/spreadsheetml/2006/main" count="2120" uniqueCount="82">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</sst>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B0F0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3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0" borderId="31" xfId="3" applyNumberFormat="1" applyFont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167" fontId="2" fillId="0" borderId="31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39" xfId="3" applyNumberFormat="1" applyFont="1" applyFill="1" applyBorder="1" applyAlignment="1">
      <alignment vertical="center"/>
    </xf>
    <xf numFmtId="167" fontId="2" fillId="0" borderId="41" xfId="3" applyNumberFormat="1" applyFont="1" applyFill="1" applyBorder="1" applyAlignment="1">
      <alignment vertical="center"/>
    </xf>
    <xf numFmtId="0" fontId="3" fillId="0" borderId="3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46" xfId="3" applyNumberFormat="1" applyFont="1" applyFill="1" applyBorder="1" applyAlignment="1">
      <alignment vertical="center"/>
    </xf>
    <xf numFmtId="167" fontId="2" fillId="0" borderId="46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47" xfId="1" applyFont="1" applyBorder="1" applyAlignment="1">
      <alignment horizontal="center" vertical="center"/>
    </xf>
    <xf numFmtId="167" fontId="2" fillId="0" borderId="37" xfId="3" applyNumberFormat="1" applyFont="1" applyBorder="1" applyAlignment="1">
      <alignment vertical="center"/>
    </xf>
    <xf numFmtId="167" fontId="2" fillId="2" borderId="49" xfId="3" applyNumberFormat="1" applyFont="1" applyFill="1" applyBorder="1" applyAlignment="1">
      <alignment vertical="center"/>
    </xf>
    <xf numFmtId="167" fontId="2" fillId="0" borderId="49" xfId="3" applyNumberFormat="1" applyFont="1" applyBorder="1" applyAlignment="1">
      <alignment vertical="center"/>
    </xf>
    <xf numFmtId="167" fontId="2" fillId="0" borderId="38" xfId="3" applyNumberFormat="1" applyFont="1" applyBorder="1" applyAlignment="1">
      <alignment vertical="center"/>
    </xf>
    <xf numFmtId="0" fontId="2" fillId="0" borderId="50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3" fontId="3" fillId="0" borderId="39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38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0" xfId="3" applyNumberFormat="1" applyFont="1" applyFill="1" applyBorder="1" applyAlignment="1">
      <alignment vertical="center"/>
    </xf>
    <xf numFmtId="3" fontId="3" fillId="0" borderId="51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0" fontId="5" fillId="0" borderId="53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1" xfId="3" applyNumberFormat="1" applyFont="1" applyFill="1" applyBorder="1" applyAlignment="1">
      <alignment vertical="center"/>
    </xf>
    <xf numFmtId="3" fontId="3" fillId="0" borderId="55" xfId="3" applyNumberFormat="1" applyFont="1" applyFill="1" applyBorder="1" applyAlignment="1">
      <alignment vertical="center"/>
    </xf>
    <xf numFmtId="0" fontId="2" fillId="0" borderId="52" xfId="1" applyFont="1" applyBorder="1" applyAlignment="1">
      <alignment horizontal="center" vertical="center" wrapText="1"/>
    </xf>
    <xf numFmtId="167" fontId="3" fillId="0" borderId="55" xfId="3" applyNumberFormat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 wrapText="1"/>
    </xf>
    <xf numFmtId="167" fontId="2" fillId="0" borderId="44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56" xfId="3" applyNumberFormat="1" applyFont="1" applyFill="1" applyBorder="1" applyAlignment="1">
      <alignment vertical="center"/>
    </xf>
    <xf numFmtId="3" fontId="3" fillId="0" borderId="52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3" fontId="3" fillId="0" borderId="59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2" xfId="3" applyNumberFormat="1" applyFont="1" applyFill="1" applyBorder="1" applyAlignment="1">
      <alignment vertical="center"/>
    </xf>
    <xf numFmtId="0" fontId="3" fillId="0" borderId="67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4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3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3" borderId="39" xfId="3" applyNumberFormat="1" applyFont="1" applyFill="1" applyBorder="1" applyAlignment="1">
      <alignment vertical="center"/>
    </xf>
    <xf numFmtId="3" fontId="3" fillId="3" borderId="39" xfId="3" applyNumberFormat="1" applyFont="1" applyFill="1" applyBorder="1" applyAlignment="1">
      <alignment vertical="center"/>
    </xf>
    <xf numFmtId="3" fontId="3" fillId="3" borderId="32" xfId="3" applyNumberFormat="1" applyFont="1" applyFill="1" applyBorder="1" applyAlignment="1">
      <alignment vertical="center"/>
    </xf>
    <xf numFmtId="3" fontId="3" fillId="3" borderId="48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0" xfId="3" applyNumberFormat="1" applyFont="1" applyFill="1" applyBorder="1" applyAlignment="1">
      <alignment vertical="center"/>
    </xf>
    <xf numFmtId="3" fontId="3" fillId="4" borderId="61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5" xfId="3" applyNumberFormat="1" applyFont="1" applyFill="1" applyBorder="1" applyAlignment="1">
      <alignment vertical="center"/>
    </xf>
    <xf numFmtId="167" fontId="3" fillId="3" borderId="42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3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31" xfId="3" applyNumberFormat="1" applyFont="1" applyFill="1" applyBorder="1" applyAlignment="1">
      <alignment vertical="center"/>
    </xf>
    <xf numFmtId="167" fontId="3" fillId="3" borderId="56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68" xfId="1" applyFont="1" applyBorder="1" applyAlignment="1">
      <alignment vertical="center"/>
    </xf>
    <xf numFmtId="3" fontId="3" fillId="0" borderId="48" xfId="3" applyNumberFormat="1" applyFont="1" applyFill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3" fontId="3" fillId="3" borderId="33" xfId="3" applyNumberFormat="1" applyFont="1" applyFill="1" applyBorder="1" applyAlignment="1">
      <alignment vertical="center"/>
    </xf>
    <xf numFmtId="3" fontId="3" fillId="3" borderId="69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4" borderId="70" xfId="3" applyNumberFormat="1" applyFont="1" applyFill="1" applyBorder="1" applyAlignment="1">
      <alignment vertical="center"/>
    </xf>
    <xf numFmtId="0" fontId="2" fillId="0" borderId="71" xfId="1" applyFont="1" applyBorder="1" applyAlignment="1">
      <alignment vertical="center"/>
    </xf>
    <xf numFmtId="3" fontId="3" fillId="3" borderId="71" xfId="3" applyNumberFormat="1" applyFont="1" applyFill="1" applyBorder="1" applyAlignment="1">
      <alignment vertical="center"/>
    </xf>
    <xf numFmtId="3" fontId="3" fillId="3" borderId="72" xfId="3" applyNumberFormat="1" applyFont="1" applyFill="1" applyBorder="1" applyAlignment="1">
      <alignment vertical="center"/>
    </xf>
    <xf numFmtId="3" fontId="3" fillId="3" borderId="73" xfId="3" applyNumberFormat="1" applyFont="1" applyFill="1" applyBorder="1" applyAlignment="1">
      <alignment vertical="center"/>
    </xf>
    <xf numFmtId="3" fontId="3" fillId="0" borderId="73" xfId="3" applyNumberFormat="1" applyFont="1" applyFill="1" applyBorder="1" applyAlignment="1">
      <alignment vertical="center"/>
    </xf>
    <xf numFmtId="3" fontId="3" fillId="0" borderId="74" xfId="3" applyNumberFormat="1" applyFont="1" applyFill="1" applyBorder="1" applyAlignment="1">
      <alignment vertical="center"/>
    </xf>
    <xf numFmtId="3" fontId="3" fillId="0" borderId="75" xfId="3" applyNumberFormat="1" applyFont="1" applyFill="1" applyBorder="1" applyAlignment="1">
      <alignment vertical="center"/>
    </xf>
    <xf numFmtId="3" fontId="3" fillId="0" borderId="76" xfId="3" applyNumberFormat="1" applyFont="1" applyFill="1" applyBorder="1" applyAlignment="1">
      <alignment vertical="center"/>
    </xf>
    <xf numFmtId="167" fontId="3" fillId="0" borderId="77" xfId="3" applyNumberFormat="1" applyFont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4" borderId="80" xfId="3" applyNumberFormat="1" applyFont="1" applyFill="1" applyBorder="1" applyAlignment="1">
      <alignment vertical="center"/>
    </xf>
    <xf numFmtId="167" fontId="3" fillId="3" borderId="71" xfId="3" applyNumberFormat="1" applyFont="1" applyFill="1" applyBorder="1" applyAlignment="1">
      <alignment vertical="center"/>
    </xf>
    <xf numFmtId="167" fontId="3" fillId="3" borderId="73" xfId="3" applyNumberFormat="1" applyFont="1" applyFill="1" applyBorder="1" applyAlignment="1">
      <alignment vertical="center"/>
    </xf>
    <xf numFmtId="167" fontId="3" fillId="0" borderId="76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0" fontId="2" fillId="0" borderId="82" xfId="1" applyFont="1" applyBorder="1" applyAlignment="1">
      <alignment vertical="center"/>
    </xf>
    <xf numFmtId="3" fontId="3" fillId="3" borderId="82" xfId="3" applyNumberFormat="1" applyFont="1" applyFill="1" applyBorder="1" applyAlignment="1">
      <alignment vertical="center"/>
    </xf>
    <xf numFmtId="3" fontId="3" fillId="3" borderId="83" xfId="3" applyNumberFormat="1" applyFont="1" applyFill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0" borderId="84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0" borderId="86" xfId="3" applyNumberFormat="1" applyFont="1" applyFill="1" applyBorder="1" applyAlignment="1">
      <alignment vertical="center"/>
    </xf>
    <xf numFmtId="167" fontId="3" fillId="0" borderId="87" xfId="3" applyNumberFormat="1" applyFont="1" applyBorder="1" applyAlignment="1">
      <alignment vertical="center"/>
    </xf>
    <xf numFmtId="3" fontId="3" fillId="3" borderId="85" xfId="3" applyNumberFormat="1" applyFont="1" applyFill="1" applyBorder="1" applyAlignment="1">
      <alignment vertical="center"/>
    </xf>
    <xf numFmtId="3" fontId="3" fillId="0" borderId="88" xfId="3" applyNumberFormat="1" applyFont="1" applyFill="1" applyBorder="1" applyAlignment="1">
      <alignment vertical="center"/>
    </xf>
    <xf numFmtId="3" fontId="3" fillId="4" borderId="89" xfId="3" applyNumberFormat="1" applyFont="1" applyFill="1" applyBorder="1" applyAlignment="1">
      <alignment vertical="center"/>
    </xf>
    <xf numFmtId="167" fontId="3" fillId="3" borderId="82" xfId="3" applyNumberFormat="1" applyFont="1" applyFill="1" applyBorder="1" applyAlignment="1">
      <alignment vertical="center"/>
    </xf>
    <xf numFmtId="167" fontId="3" fillId="3" borderId="84" xfId="3" applyNumberFormat="1" applyFont="1" applyFill="1" applyBorder="1" applyAlignment="1">
      <alignment vertical="center"/>
    </xf>
    <xf numFmtId="167" fontId="3" fillId="3" borderId="87" xfId="3" applyNumberFormat="1" applyFont="1" applyFill="1" applyBorder="1" applyAlignment="1">
      <alignment vertical="center"/>
    </xf>
    <xf numFmtId="167" fontId="3" fillId="0" borderId="86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4" borderId="92" xfId="3" applyNumberFormat="1" applyFont="1" applyFill="1" applyBorder="1" applyAlignment="1">
      <alignment vertical="center"/>
    </xf>
    <xf numFmtId="167" fontId="9" fillId="5" borderId="44" xfId="3" applyNumberFormat="1" applyFont="1" applyFill="1" applyBorder="1" applyAlignment="1">
      <alignment vertical="center"/>
    </xf>
    <xf numFmtId="3" fontId="3" fillId="0" borderId="93" xfId="3" applyNumberFormat="1" applyFont="1" applyFill="1" applyBorder="1" applyAlignment="1">
      <alignment vertical="center"/>
    </xf>
    <xf numFmtId="3" fontId="3" fillId="0" borderId="94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/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06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/>
      <c r="J8" s="77"/>
      <c r="K8" s="41"/>
      <c r="L8" s="112"/>
      <c r="M8" s="112"/>
      <c r="N8" s="112"/>
      <c r="O8" s="112"/>
      <c r="P8" s="112"/>
      <c r="Q8" s="120"/>
      <c r="R8" s="86"/>
      <c r="S8" s="124"/>
      <c r="T8" s="41"/>
      <c r="U8" s="107"/>
      <c r="V8" s="130"/>
      <c r="W8" s="129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13"/>
      <c r="D9" s="114"/>
      <c r="E9" s="115"/>
      <c r="F9" s="115"/>
      <c r="G9" s="78"/>
      <c r="H9" s="79"/>
      <c r="I9" s="78"/>
      <c r="J9" s="94"/>
      <c r="K9" s="51"/>
      <c r="L9" s="121"/>
      <c r="M9" s="121"/>
      <c r="N9" s="121"/>
      <c r="O9" s="121"/>
      <c r="P9" s="121"/>
      <c r="Q9" s="122"/>
      <c r="R9" s="98"/>
      <c r="S9" s="125"/>
      <c r="T9" s="51"/>
      <c r="U9" s="131"/>
      <c r="V9" s="132"/>
      <c r="W9" s="133"/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0"/>
      <c r="D10" s="111"/>
      <c r="E10" s="112"/>
      <c r="F10" s="112"/>
      <c r="G10" s="76"/>
      <c r="H10" s="73"/>
      <c r="I10" s="73"/>
      <c r="J10" s="95"/>
      <c r="K10" s="41"/>
      <c r="L10" s="112"/>
      <c r="M10" s="112"/>
      <c r="N10" s="112"/>
      <c r="O10" s="112"/>
      <c r="P10" s="112"/>
      <c r="Q10" s="120"/>
      <c r="R10" s="99"/>
      <c r="S10" s="126"/>
      <c r="T10" s="41"/>
      <c r="U10" s="107"/>
      <c r="V10" s="134"/>
      <c r="W10" s="129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0"/>
      <c r="D11" s="111"/>
      <c r="E11" s="112"/>
      <c r="F11" s="112"/>
      <c r="G11" s="76"/>
      <c r="H11" s="73"/>
      <c r="I11" s="73"/>
      <c r="J11" s="77"/>
      <c r="K11" s="41"/>
      <c r="L11" s="112"/>
      <c r="M11" s="112"/>
      <c r="N11" s="112"/>
      <c r="O11" s="112"/>
      <c r="P11" s="112"/>
      <c r="Q11" s="120"/>
      <c r="R11" s="86"/>
      <c r="S11" s="124"/>
      <c r="T11" s="41"/>
      <c r="U11" s="107"/>
      <c r="V11" s="130"/>
      <c r="W11" s="129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0"/>
      <c r="D12" s="111"/>
      <c r="E12" s="112"/>
      <c r="F12" s="112"/>
      <c r="G12" s="76"/>
      <c r="H12" s="73"/>
      <c r="I12" s="73"/>
      <c r="J12" s="77"/>
      <c r="K12" s="41"/>
      <c r="L12" s="112"/>
      <c r="M12" s="112"/>
      <c r="N12" s="112"/>
      <c r="O12" s="112"/>
      <c r="P12" s="112"/>
      <c r="Q12" s="120"/>
      <c r="R12" s="86"/>
      <c r="S12" s="124"/>
      <c r="T12" s="41"/>
      <c r="U12" s="107"/>
      <c r="V12" s="130"/>
      <c r="W12" s="129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13"/>
      <c r="D13" s="114"/>
      <c r="E13" s="115"/>
      <c r="F13" s="115"/>
      <c r="G13" s="78"/>
      <c r="H13" s="79"/>
      <c r="I13" s="80"/>
      <c r="J13" s="94"/>
      <c r="K13" s="53"/>
      <c r="L13" s="121"/>
      <c r="M13" s="121"/>
      <c r="N13" s="121"/>
      <c r="O13" s="121"/>
      <c r="P13" s="121"/>
      <c r="Q13" s="122"/>
      <c r="R13" s="97"/>
      <c r="S13" s="125"/>
      <c r="T13" s="53"/>
      <c r="U13" s="131"/>
      <c r="V13" s="135"/>
      <c r="W13" s="133"/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0"/>
      <c r="D14" s="111"/>
      <c r="E14" s="112"/>
      <c r="F14" s="112"/>
      <c r="G14" s="76"/>
      <c r="H14" s="73"/>
      <c r="I14" s="93"/>
      <c r="J14" s="95"/>
      <c r="K14" s="41"/>
      <c r="L14" s="112"/>
      <c r="M14" s="112"/>
      <c r="N14" s="112"/>
      <c r="O14" s="112"/>
      <c r="P14" s="112"/>
      <c r="Q14" s="120"/>
      <c r="R14" s="96"/>
      <c r="S14" s="126"/>
      <c r="T14" s="41"/>
      <c r="U14" s="107"/>
      <c r="V14" s="109"/>
      <c r="W14" s="129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0"/>
      <c r="D15" s="111"/>
      <c r="E15" s="112"/>
      <c r="F15" s="112"/>
      <c r="G15" s="76"/>
      <c r="H15" s="73"/>
      <c r="I15" s="73"/>
      <c r="J15" s="77"/>
      <c r="K15" s="41"/>
      <c r="L15" s="112"/>
      <c r="M15" s="112"/>
      <c r="N15" s="112"/>
      <c r="O15" s="112"/>
      <c r="P15" s="112"/>
      <c r="Q15" s="120"/>
      <c r="R15" s="86"/>
      <c r="S15" s="124"/>
      <c r="T15" s="41"/>
      <c r="U15" s="107"/>
      <c r="V15" s="130"/>
      <c r="W15" s="129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0"/>
      <c r="D16" s="111"/>
      <c r="E16" s="112"/>
      <c r="F16" s="112"/>
      <c r="G16" s="76"/>
      <c r="H16" s="73"/>
      <c r="I16" s="73"/>
      <c r="J16" s="77"/>
      <c r="K16" s="41"/>
      <c r="L16" s="112"/>
      <c r="M16" s="112"/>
      <c r="N16" s="112"/>
      <c r="O16" s="112"/>
      <c r="P16" s="112"/>
      <c r="Q16" s="120"/>
      <c r="R16" s="86"/>
      <c r="S16" s="124"/>
      <c r="T16" s="41"/>
      <c r="U16" s="107"/>
      <c r="V16" s="130"/>
      <c r="W16" s="129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0"/>
      <c r="D17" s="111"/>
      <c r="E17" s="112"/>
      <c r="F17" s="112"/>
      <c r="G17" s="76"/>
      <c r="H17" s="73"/>
      <c r="I17" s="73"/>
      <c r="J17" s="77"/>
      <c r="K17" s="41"/>
      <c r="L17" s="112"/>
      <c r="M17" s="112"/>
      <c r="N17" s="112"/>
      <c r="O17" s="112"/>
      <c r="P17" s="112"/>
      <c r="Q17" s="120"/>
      <c r="R17" s="86"/>
      <c r="S17" s="124"/>
      <c r="T17" s="41"/>
      <c r="U17" s="107"/>
      <c r="V17" s="130"/>
      <c r="W17" s="129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0"/>
      <c r="D18" s="111"/>
      <c r="E18" s="112"/>
      <c r="F18" s="112"/>
      <c r="G18" s="76"/>
      <c r="H18" s="73"/>
      <c r="I18" s="73"/>
      <c r="J18" s="77"/>
      <c r="K18" s="41"/>
      <c r="L18" s="112"/>
      <c r="M18" s="112"/>
      <c r="N18" s="112"/>
      <c r="O18" s="112"/>
      <c r="P18" s="112"/>
      <c r="Q18" s="120"/>
      <c r="R18" s="86"/>
      <c r="S18" s="124"/>
      <c r="T18" s="41"/>
      <c r="U18" s="107"/>
      <c r="V18" s="130"/>
      <c r="W18" s="129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0"/>
      <c r="D19" s="111"/>
      <c r="E19" s="112"/>
      <c r="F19" s="112"/>
      <c r="G19" s="76"/>
      <c r="H19" s="73"/>
      <c r="I19" s="73"/>
      <c r="J19" s="77"/>
      <c r="K19" s="41"/>
      <c r="L19" s="112"/>
      <c r="M19" s="112"/>
      <c r="N19" s="112"/>
      <c r="O19" s="112"/>
      <c r="P19" s="112"/>
      <c r="Q19" s="120"/>
      <c r="R19" s="86"/>
      <c r="S19" s="124"/>
      <c r="T19" s="41"/>
      <c r="U19" s="107"/>
      <c r="V19" s="130"/>
      <c r="W19" s="129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0"/>
      <c r="D20" s="111"/>
      <c r="E20" s="112"/>
      <c r="F20" s="112"/>
      <c r="G20" s="76"/>
      <c r="H20" s="73"/>
      <c r="I20" s="73"/>
      <c r="J20" s="77"/>
      <c r="K20" s="41"/>
      <c r="L20" s="112"/>
      <c r="M20" s="112"/>
      <c r="N20" s="112"/>
      <c r="O20" s="112"/>
      <c r="P20" s="112"/>
      <c r="Q20" s="120"/>
      <c r="R20" s="86"/>
      <c r="S20" s="124"/>
      <c r="T20" s="41"/>
      <c r="U20" s="107"/>
      <c r="V20" s="130"/>
      <c r="W20" s="129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0"/>
      <c r="D21" s="111"/>
      <c r="E21" s="112"/>
      <c r="F21" s="112"/>
      <c r="G21" s="76"/>
      <c r="H21" s="73"/>
      <c r="I21" s="73"/>
      <c r="J21" s="77"/>
      <c r="K21" s="41"/>
      <c r="L21" s="112"/>
      <c r="M21" s="112"/>
      <c r="N21" s="112"/>
      <c r="O21" s="112"/>
      <c r="P21" s="112"/>
      <c r="Q21" s="120"/>
      <c r="R21" s="86"/>
      <c r="S21" s="124"/>
      <c r="T21" s="41"/>
      <c r="U21" s="107"/>
      <c r="V21" s="130"/>
      <c r="W21" s="129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0"/>
      <c r="D22" s="111"/>
      <c r="E22" s="112"/>
      <c r="F22" s="112"/>
      <c r="G22" s="76"/>
      <c r="H22" s="73"/>
      <c r="I22" s="73"/>
      <c r="J22" s="77"/>
      <c r="K22" s="41"/>
      <c r="L22" s="112"/>
      <c r="M22" s="112"/>
      <c r="N22" s="112"/>
      <c r="O22" s="112"/>
      <c r="P22" s="112"/>
      <c r="Q22" s="120"/>
      <c r="R22" s="86"/>
      <c r="S22" s="124"/>
      <c r="T22" s="41"/>
      <c r="U22" s="107"/>
      <c r="V22" s="130"/>
      <c r="W22" s="129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0"/>
      <c r="D23" s="111"/>
      <c r="E23" s="112"/>
      <c r="F23" s="112"/>
      <c r="G23" s="76"/>
      <c r="H23" s="73"/>
      <c r="I23" s="73"/>
      <c r="J23" s="77"/>
      <c r="K23" s="42"/>
      <c r="L23" s="112"/>
      <c r="M23" s="112"/>
      <c r="N23" s="112"/>
      <c r="O23" s="112"/>
      <c r="P23" s="112"/>
      <c r="Q23" s="120"/>
      <c r="R23" s="86"/>
      <c r="S23" s="124"/>
      <c r="T23" s="42"/>
      <c r="U23" s="107"/>
      <c r="V23" s="130"/>
      <c r="W23" s="129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0"/>
      <c r="D24" s="111"/>
      <c r="E24" s="112"/>
      <c r="F24" s="112"/>
      <c r="G24" s="76"/>
      <c r="H24" s="73"/>
      <c r="I24" s="73"/>
      <c r="J24" s="77"/>
      <c r="K24" s="42"/>
      <c r="L24" s="112"/>
      <c r="M24" s="112"/>
      <c r="N24" s="112"/>
      <c r="O24" s="112"/>
      <c r="P24" s="112"/>
      <c r="Q24" s="120"/>
      <c r="R24" s="86"/>
      <c r="S24" s="124"/>
      <c r="T24" s="42"/>
      <c r="U24" s="107"/>
      <c r="V24" s="130"/>
      <c r="W24" s="129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0"/>
      <c r="D25" s="111"/>
      <c r="E25" s="112"/>
      <c r="F25" s="112"/>
      <c r="G25" s="76"/>
      <c r="H25" s="73"/>
      <c r="I25" s="73"/>
      <c r="J25" s="77"/>
      <c r="K25" s="41"/>
      <c r="L25" s="112"/>
      <c r="M25" s="112"/>
      <c r="N25" s="112"/>
      <c r="O25" s="112"/>
      <c r="P25" s="112"/>
      <c r="Q25" s="120"/>
      <c r="R25" s="86"/>
      <c r="S25" s="124"/>
      <c r="T25" s="41"/>
      <c r="U25" s="107"/>
      <c r="V25" s="130"/>
      <c r="W25" s="129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0"/>
      <c r="D26" s="111"/>
      <c r="E26" s="112"/>
      <c r="F26" s="112"/>
      <c r="G26" s="76"/>
      <c r="H26" s="73"/>
      <c r="I26" s="73"/>
      <c r="J26" s="77"/>
      <c r="K26" s="41"/>
      <c r="L26" s="112"/>
      <c r="M26" s="112"/>
      <c r="N26" s="112"/>
      <c r="O26" s="112"/>
      <c r="P26" s="112"/>
      <c r="Q26" s="120"/>
      <c r="R26" s="86"/>
      <c r="S26" s="124"/>
      <c r="T26" s="41"/>
      <c r="U26" s="107"/>
      <c r="V26" s="130"/>
      <c r="W26" s="129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0"/>
      <c r="D27" s="111"/>
      <c r="E27" s="112"/>
      <c r="F27" s="112"/>
      <c r="G27" s="76"/>
      <c r="H27" s="73"/>
      <c r="I27" s="73"/>
      <c r="J27" s="77"/>
      <c r="K27" s="42"/>
      <c r="L27" s="112"/>
      <c r="M27" s="112"/>
      <c r="N27" s="112"/>
      <c r="O27" s="112"/>
      <c r="P27" s="112"/>
      <c r="Q27" s="120"/>
      <c r="R27" s="86"/>
      <c r="S27" s="124"/>
      <c r="T27" s="42"/>
      <c r="U27" s="107"/>
      <c r="V27" s="130"/>
      <c r="W27" s="129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0"/>
      <c r="D28" s="111"/>
      <c r="E28" s="112"/>
      <c r="F28" s="112"/>
      <c r="G28" s="76"/>
      <c r="H28" s="73"/>
      <c r="I28" s="73"/>
      <c r="J28" s="77"/>
      <c r="K28" s="42"/>
      <c r="L28" s="112"/>
      <c r="M28" s="112"/>
      <c r="N28" s="112"/>
      <c r="O28" s="112"/>
      <c r="P28" s="112"/>
      <c r="Q28" s="120"/>
      <c r="R28" s="86"/>
      <c r="S28" s="124"/>
      <c r="T28" s="42"/>
      <c r="U28" s="107"/>
      <c r="V28" s="130"/>
      <c r="W28" s="129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0"/>
      <c r="D29" s="111"/>
      <c r="E29" s="112"/>
      <c r="F29" s="112"/>
      <c r="G29" s="76"/>
      <c r="H29" s="73"/>
      <c r="I29" s="73"/>
      <c r="J29" s="77"/>
      <c r="K29" s="42"/>
      <c r="L29" s="112"/>
      <c r="M29" s="112"/>
      <c r="N29" s="112"/>
      <c r="O29" s="112"/>
      <c r="P29" s="112"/>
      <c r="Q29" s="120"/>
      <c r="R29" s="86"/>
      <c r="S29" s="124"/>
      <c r="T29" s="42"/>
      <c r="U29" s="107"/>
      <c r="V29" s="130"/>
      <c r="W29" s="129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0"/>
      <c r="D30" s="111"/>
      <c r="E30" s="112"/>
      <c r="F30" s="112"/>
      <c r="G30" s="76"/>
      <c r="H30" s="73"/>
      <c r="I30" s="73"/>
      <c r="J30" s="77"/>
      <c r="K30" s="41"/>
      <c r="L30" s="112"/>
      <c r="M30" s="112"/>
      <c r="N30" s="112"/>
      <c r="O30" s="112"/>
      <c r="P30" s="112"/>
      <c r="Q30" s="120"/>
      <c r="R30" s="86"/>
      <c r="S30" s="124"/>
      <c r="T30" s="41"/>
      <c r="U30" s="107"/>
      <c r="V30" s="130"/>
      <c r="W30" s="129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0"/>
      <c r="D31" s="111"/>
      <c r="E31" s="112"/>
      <c r="F31" s="112"/>
      <c r="G31" s="76"/>
      <c r="H31" s="73"/>
      <c r="I31" s="73"/>
      <c r="J31" s="77"/>
      <c r="K31" s="41"/>
      <c r="L31" s="112"/>
      <c r="M31" s="112"/>
      <c r="N31" s="112"/>
      <c r="O31" s="112"/>
      <c r="P31" s="112"/>
      <c r="Q31" s="120"/>
      <c r="R31" s="86"/>
      <c r="S31" s="124"/>
      <c r="T31" s="41"/>
      <c r="U31" s="107"/>
      <c r="V31" s="130"/>
      <c r="W31" s="129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0"/>
      <c r="D32" s="111"/>
      <c r="E32" s="112"/>
      <c r="F32" s="112"/>
      <c r="G32" s="76"/>
      <c r="H32" s="73"/>
      <c r="I32" s="73"/>
      <c r="J32" s="77"/>
      <c r="K32" s="41"/>
      <c r="L32" s="112"/>
      <c r="M32" s="112"/>
      <c r="N32" s="112"/>
      <c r="O32" s="112"/>
      <c r="P32" s="112"/>
      <c r="Q32" s="120"/>
      <c r="R32" s="86"/>
      <c r="S32" s="124"/>
      <c r="T32" s="41"/>
      <c r="U32" s="107"/>
      <c r="V32" s="130"/>
      <c r="W32" s="129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0"/>
      <c r="D33" s="111"/>
      <c r="E33" s="112"/>
      <c r="F33" s="112"/>
      <c r="G33" s="76"/>
      <c r="H33" s="73"/>
      <c r="I33" s="73"/>
      <c r="J33" s="77"/>
      <c r="K33" s="41"/>
      <c r="L33" s="112"/>
      <c r="M33" s="112"/>
      <c r="N33" s="112"/>
      <c r="O33" s="112"/>
      <c r="P33" s="112"/>
      <c r="Q33" s="120"/>
      <c r="R33" s="86"/>
      <c r="S33" s="124"/>
      <c r="T33" s="41"/>
      <c r="U33" s="107"/>
      <c r="V33" s="130"/>
      <c r="W33" s="129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0"/>
      <c r="D34" s="111"/>
      <c r="E34" s="112"/>
      <c r="F34" s="112"/>
      <c r="G34" s="76"/>
      <c r="H34" s="73"/>
      <c r="I34" s="73"/>
      <c r="J34" s="77"/>
      <c r="K34" s="41"/>
      <c r="L34" s="112"/>
      <c r="M34" s="112"/>
      <c r="N34" s="112"/>
      <c r="O34" s="112"/>
      <c r="P34" s="112"/>
      <c r="Q34" s="120"/>
      <c r="R34" s="86"/>
      <c r="S34" s="124"/>
      <c r="T34" s="41"/>
      <c r="U34" s="107"/>
      <c r="V34" s="130"/>
      <c r="W34" s="129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0"/>
      <c r="D35" s="111"/>
      <c r="E35" s="112"/>
      <c r="F35" s="112"/>
      <c r="G35" s="76"/>
      <c r="H35" s="73"/>
      <c r="I35" s="73"/>
      <c r="J35" s="77"/>
      <c r="K35" s="41"/>
      <c r="L35" s="112"/>
      <c r="M35" s="112"/>
      <c r="N35" s="112"/>
      <c r="O35" s="112"/>
      <c r="P35" s="112"/>
      <c r="Q35" s="120"/>
      <c r="R35" s="86"/>
      <c r="S35" s="124"/>
      <c r="T35" s="41"/>
      <c r="U35" s="107"/>
      <c r="V35" s="130"/>
      <c r="W35" s="129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0"/>
      <c r="D36" s="111"/>
      <c r="E36" s="112"/>
      <c r="F36" s="112"/>
      <c r="G36" s="76"/>
      <c r="H36" s="73"/>
      <c r="I36" s="73"/>
      <c r="J36" s="77"/>
      <c r="K36" s="41"/>
      <c r="L36" s="112"/>
      <c r="M36" s="112"/>
      <c r="N36" s="112"/>
      <c r="O36" s="112"/>
      <c r="P36" s="112"/>
      <c r="Q36" s="120"/>
      <c r="R36" s="86"/>
      <c r="S36" s="124"/>
      <c r="T36" s="41"/>
      <c r="U36" s="107"/>
      <c r="V36" s="130"/>
      <c r="W36" s="129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0"/>
      <c r="D37" s="111"/>
      <c r="E37" s="112"/>
      <c r="F37" s="112"/>
      <c r="G37" s="76"/>
      <c r="H37" s="73"/>
      <c r="I37" s="73"/>
      <c r="J37" s="77"/>
      <c r="K37" s="41"/>
      <c r="L37" s="112"/>
      <c r="M37" s="112"/>
      <c r="N37" s="112"/>
      <c r="O37" s="112"/>
      <c r="P37" s="112"/>
      <c r="Q37" s="120"/>
      <c r="R37" s="86"/>
      <c r="S37" s="124"/>
      <c r="T37" s="41"/>
      <c r="U37" s="107"/>
      <c r="V37" s="130"/>
      <c r="W37" s="129"/>
      <c r="X37" s="27"/>
    </row>
    <row r="38" spans="1:26" ht="19.5" thickBot="1" x14ac:dyDescent="0.3">
      <c r="A38" s="3">
        <f t="shared" si="0"/>
        <v>31</v>
      </c>
      <c r="B38" s="138" t="s">
        <v>33</v>
      </c>
      <c r="C38" s="113"/>
      <c r="D38" s="114"/>
      <c r="E38" s="115"/>
      <c r="F38" s="115"/>
      <c r="G38" s="78"/>
      <c r="H38" s="79"/>
      <c r="I38" s="139"/>
      <c r="J38" s="140"/>
      <c r="K38" s="51"/>
      <c r="L38" s="121"/>
      <c r="M38" s="121"/>
      <c r="N38" s="121"/>
      <c r="O38" s="121"/>
      <c r="P38" s="121"/>
      <c r="Q38" s="122"/>
      <c r="R38" s="97"/>
      <c r="S38" s="125"/>
      <c r="T38" s="51"/>
      <c r="U38" s="131"/>
      <c r="V38" s="135"/>
      <c r="W38" s="133"/>
      <c r="X38" s="52"/>
    </row>
    <row r="39" spans="1:26" ht="19.5" thickBot="1" x14ac:dyDescent="0.3">
      <c r="A39" s="3">
        <f t="shared" si="0"/>
        <v>32</v>
      </c>
      <c r="B39" s="10" t="s">
        <v>34</v>
      </c>
      <c r="C39" s="110"/>
      <c r="D39" s="111"/>
      <c r="E39" s="112"/>
      <c r="F39" s="112"/>
      <c r="G39" s="76"/>
      <c r="H39" s="73"/>
      <c r="I39" s="76"/>
      <c r="J39" s="77"/>
      <c r="K39" s="41"/>
      <c r="L39" s="112"/>
      <c r="M39" s="112"/>
      <c r="N39" s="112"/>
      <c r="O39" s="112"/>
      <c r="P39" s="112"/>
      <c r="Q39" s="120"/>
      <c r="R39" s="96"/>
      <c r="S39" s="126"/>
      <c r="T39" s="41"/>
      <c r="U39" s="107"/>
      <c r="V39" s="109"/>
      <c r="W39" s="129"/>
      <c r="X39" s="27"/>
    </row>
    <row r="40" spans="1:26" ht="19.5" thickBot="1" x14ac:dyDescent="0.3">
      <c r="A40" s="3">
        <f t="shared" si="0"/>
        <v>33</v>
      </c>
      <c r="B40" s="81" t="s">
        <v>76</v>
      </c>
      <c r="C40" s="116"/>
      <c r="D40" s="117"/>
      <c r="E40" s="118"/>
      <c r="F40" s="118"/>
      <c r="G40" s="82"/>
      <c r="H40" s="80"/>
      <c r="I40" s="73"/>
      <c r="J40" s="77"/>
      <c r="K40" s="41"/>
      <c r="L40" s="112"/>
      <c r="M40" s="112"/>
      <c r="N40" s="112"/>
      <c r="O40" s="112"/>
      <c r="P40" s="112"/>
      <c r="Q40" s="120"/>
      <c r="R40" s="86"/>
      <c r="S40" s="124"/>
      <c r="T40" s="41"/>
      <c r="U40" s="136"/>
      <c r="V40" s="130"/>
      <c r="W40" s="137"/>
      <c r="X40" s="92"/>
    </row>
    <row r="41" spans="1:26" ht="19.5" thickBot="1" x14ac:dyDescent="0.3">
      <c r="A41" s="3">
        <f t="shared" si="0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/>
      <c r="J41" s="152"/>
      <c r="K41" s="153"/>
      <c r="L41" s="154"/>
      <c r="M41" s="154"/>
      <c r="N41" s="154"/>
      <c r="O41" s="154"/>
      <c r="P41" s="154"/>
      <c r="Q41" s="155"/>
      <c r="R41" s="156"/>
      <c r="S41" s="157"/>
      <c r="T41" s="153"/>
      <c r="U41" s="158"/>
      <c r="V41" s="159"/>
      <c r="W41" s="159"/>
      <c r="X41" s="160"/>
    </row>
    <row r="42" spans="1:26" ht="19.5" thickBot="1" x14ac:dyDescent="0.3">
      <c r="A42" s="3">
        <f t="shared" si="0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/>
      <c r="J42" s="168"/>
      <c r="K42" s="169"/>
      <c r="L42" s="165"/>
      <c r="M42" s="165"/>
      <c r="N42" s="165"/>
      <c r="O42" s="165"/>
      <c r="P42" s="165"/>
      <c r="Q42" s="170"/>
      <c r="R42" s="171"/>
      <c r="S42" s="172"/>
      <c r="T42" s="169"/>
      <c r="U42" s="173"/>
      <c r="V42" s="174"/>
      <c r="W42" s="175"/>
      <c r="X42" s="176"/>
    </row>
    <row r="43" spans="1:26" ht="18.75" hidden="1" customHeight="1" x14ac:dyDescent="0.3">
      <c r="A43" s="3">
        <f t="shared" si="0"/>
        <v>36</v>
      </c>
      <c r="B43" s="10" t="s">
        <v>43</v>
      </c>
      <c r="C43" s="110"/>
      <c r="D43" s="111"/>
      <c r="E43" s="112"/>
      <c r="F43" s="112"/>
      <c r="G43" s="76"/>
      <c r="H43" s="73"/>
      <c r="I43" s="73"/>
      <c r="J43" s="94"/>
      <c r="K43" s="41"/>
      <c r="L43" s="112"/>
      <c r="M43" s="112"/>
      <c r="N43" s="112"/>
      <c r="O43" s="112"/>
      <c r="P43" s="112"/>
      <c r="Q43" s="120"/>
      <c r="R43" s="161"/>
      <c r="S43" s="127"/>
      <c r="T43" s="41"/>
      <c r="U43" s="107"/>
      <c r="V43" s="109"/>
      <c r="W43" s="129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13"/>
      <c r="D44" s="114"/>
      <c r="E44" s="115"/>
      <c r="F44" s="115"/>
      <c r="G44" s="78"/>
      <c r="H44" s="79"/>
      <c r="I44" s="73"/>
      <c r="J44" s="177"/>
      <c r="K44" s="51"/>
      <c r="L44" s="121"/>
      <c r="M44" s="121"/>
      <c r="N44" s="121"/>
      <c r="O44" s="121"/>
      <c r="P44" s="121"/>
      <c r="Q44" s="122"/>
      <c r="R44" s="178"/>
      <c r="S44" s="179"/>
      <c r="T44" s="51"/>
      <c r="U44" s="131"/>
      <c r="V44" s="130"/>
      <c r="W44" s="133"/>
      <c r="X44" s="52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0"/>
      <c r="D45" s="111"/>
      <c r="E45" s="112"/>
      <c r="F45" s="112"/>
      <c r="G45" s="76"/>
      <c r="H45" s="73"/>
      <c r="I45" s="80"/>
      <c r="J45" s="77"/>
      <c r="K45" s="41"/>
      <c r="L45" s="112"/>
      <c r="M45" s="112"/>
      <c r="N45" s="112"/>
      <c r="O45" s="112"/>
      <c r="P45" s="112"/>
      <c r="Q45" s="120"/>
      <c r="R45" s="96"/>
      <c r="S45" s="127"/>
      <c r="T45" s="41"/>
      <c r="U45" s="107"/>
      <c r="V45" s="132"/>
      <c r="W45" s="129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0"/>
      <c r="D46" s="111"/>
      <c r="E46" s="112"/>
      <c r="F46" s="112"/>
      <c r="G46" s="76"/>
      <c r="H46" s="73"/>
      <c r="I46" s="93"/>
      <c r="J46" s="77"/>
      <c r="K46" s="41"/>
      <c r="L46" s="112"/>
      <c r="M46" s="112"/>
      <c r="N46" s="112"/>
      <c r="O46" s="112"/>
      <c r="P46" s="112"/>
      <c r="Q46" s="120"/>
      <c r="R46" s="86"/>
      <c r="S46" s="128"/>
      <c r="T46" s="41"/>
      <c r="U46" s="107"/>
      <c r="V46" s="134"/>
      <c r="W46" s="129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0"/>
      <c r="D47" s="111"/>
      <c r="E47" s="112"/>
      <c r="F47" s="112"/>
      <c r="G47" s="76"/>
      <c r="H47" s="73"/>
      <c r="I47" s="73"/>
      <c r="J47" s="77"/>
      <c r="K47" s="41"/>
      <c r="L47" s="112"/>
      <c r="M47" s="112"/>
      <c r="N47" s="112"/>
      <c r="O47" s="112"/>
      <c r="P47" s="112"/>
      <c r="Q47" s="120"/>
      <c r="R47" s="86"/>
      <c r="S47" s="124"/>
      <c r="T47" s="41"/>
      <c r="U47" s="107"/>
      <c r="V47" s="130"/>
      <c r="W47" s="129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41"/>
      <c r="D48" s="142"/>
      <c r="E48" s="121"/>
      <c r="F48" s="121"/>
      <c r="G48" s="143"/>
      <c r="H48" s="139"/>
      <c r="I48" s="139"/>
      <c r="J48" s="140"/>
      <c r="K48" s="51"/>
      <c r="L48" s="121"/>
      <c r="M48" s="121"/>
      <c r="N48" s="121"/>
      <c r="O48" s="121"/>
      <c r="P48" s="121"/>
      <c r="Q48" s="122"/>
      <c r="R48" s="97"/>
      <c r="S48" s="144"/>
      <c r="T48" s="51"/>
      <c r="U48" s="131"/>
      <c r="V48" s="135"/>
      <c r="W48" s="133"/>
      <c r="X48" s="52"/>
    </row>
    <row r="49" spans="1:24" ht="19.5" thickBot="1" x14ac:dyDescent="0.3">
      <c r="A49" s="3">
        <f t="shared" si="0"/>
        <v>42</v>
      </c>
      <c r="B49" s="10" t="s">
        <v>72</v>
      </c>
      <c r="C49" s="110"/>
      <c r="D49" s="111"/>
      <c r="E49" s="112"/>
      <c r="F49" s="112"/>
      <c r="G49" s="76"/>
      <c r="H49" s="73"/>
      <c r="I49" s="73"/>
      <c r="J49" s="77"/>
      <c r="K49" s="41"/>
      <c r="L49" s="112"/>
      <c r="M49" s="112"/>
      <c r="N49" s="112"/>
      <c r="O49" s="112"/>
      <c r="P49" s="112"/>
      <c r="Q49" s="120"/>
      <c r="R49" s="96"/>
      <c r="S49" s="126"/>
      <c r="T49" s="41"/>
      <c r="U49" s="107"/>
      <c r="V49" s="109"/>
      <c r="W49" s="129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0"/>
      <c r="D50" s="111"/>
      <c r="E50" s="112"/>
      <c r="F50" s="112"/>
      <c r="G50" s="76"/>
      <c r="H50" s="73"/>
      <c r="I50" s="73"/>
      <c r="J50" s="77"/>
      <c r="K50" s="41"/>
      <c r="L50" s="112"/>
      <c r="M50" s="112"/>
      <c r="N50" s="112"/>
      <c r="O50" s="112"/>
      <c r="P50" s="112"/>
      <c r="Q50" s="120"/>
      <c r="R50" s="86"/>
      <c r="S50" s="124"/>
      <c r="T50" s="41"/>
      <c r="U50" s="107"/>
      <c r="V50" s="130"/>
      <c r="W50" s="129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0"/>
      <c r="D51" s="111"/>
      <c r="E51" s="112"/>
      <c r="F51" s="112"/>
      <c r="G51" s="76"/>
      <c r="H51" s="73"/>
      <c r="I51" s="73"/>
      <c r="J51" s="77"/>
      <c r="K51" s="41"/>
      <c r="L51" s="112"/>
      <c r="M51" s="112"/>
      <c r="N51" s="112"/>
      <c r="O51" s="112"/>
      <c r="P51" s="112"/>
      <c r="Q51" s="120"/>
      <c r="R51" s="86"/>
      <c r="S51" s="124"/>
      <c r="T51" s="41"/>
      <c r="U51" s="107"/>
      <c r="V51" s="130"/>
      <c r="W51" s="129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41"/>
      <c r="D52" s="142"/>
      <c r="E52" s="121"/>
      <c r="F52" s="121"/>
      <c r="G52" s="143"/>
      <c r="H52" s="139"/>
      <c r="I52" s="139"/>
      <c r="J52" s="140"/>
      <c r="K52" s="51"/>
      <c r="L52" s="121"/>
      <c r="M52" s="121"/>
      <c r="N52" s="121"/>
      <c r="O52" s="121"/>
      <c r="P52" s="121"/>
      <c r="Q52" s="122"/>
      <c r="R52" s="97"/>
      <c r="S52" s="144"/>
      <c r="T52" s="51"/>
      <c r="U52" s="131"/>
      <c r="V52" s="135"/>
      <c r="W52" s="133"/>
      <c r="X52" s="52"/>
    </row>
    <row r="53" spans="1:24" ht="19.5" thickBot="1" x14ac:dyDescent="0.3">
      <c r="A53" s="3">
        <f t="shared" si="0"/>
        <v>46</v>
      </c>
      <c r="B53" s="10" t="s">
        <v>42</v>
      </c>
      <c r="C53" s="110"/>
      <c r="D53" s="111"/>
      <c r="E53" s="112"/>
      <c r="F53" s="112"/>
      <c r="G53" s="76"/>
      <c r="H53" s="73"/>
      <c r="I53" s="73"/>
      <c r="J53" s="77"/>
      <c r="K53" s="41"/>
      <c r="L53" s="112"/>
      <c r="M53" s="112"/>
      <c r="N53" s="112"/>
      <c r="O53" s="112"/>
      <c r="P53" s="112"/>
      <c r="Q53" s="120"/>
      <c r="R53" s="96"/>
      <c r="S53" s="126"/>
      <c r="T53" s="41"/>
      <c r="U53" s="107"/>
      <c r="V53" s="109"/>
      <c r="W53" s="129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0"/>
      <c r="D54" s="111"/>
      <c r="E54" s="112"/>
      <c r="F54" s="112"/>
      <c r="G54" s="76"/>
      <c r="H54" s="73"/>
      <c r="I54" s="73"/>
      <c r="J54" s="77"/>
      <c r="K54" s="41"/>
      <c r="L54" s="112"/>
      <c r="M54" s="112"/>
      <c r="N54" s="112"/>
      <c r="O54" s="112"/>
      <c r="P54" s="112"/>
      <c r="Q54" s="120"/>
      <c r="R54" s="86"/>
      <c r="S54" s="124"/>
      <c r="T54" s="41"/>
      <c r="U54" s="107"/>
      <c r="V54" s="130"/>
      <c r="W54" s="129"/>
      <c r="X54" s="27"/>
    </row>
    <row r="55" spans="1:24" ht="19.5" thickBot="1" x14ac:dyDescent="0.3">
      <c r="A55" s="3">
        <f t="shared" si="0"/>
        <v>48</v>
      </c>
      <c r="B55" s="13"/>
      <c r="C55" s="110"/>
      <c r="D55" s="111"/>
      <c r="E55" s="112"/>
      <c r="F55" s="112"/>
      <c r="G55" s="76"/>
      <c r="H55" s="73"/>
      <c r="I55" s="73"/>
      <c r="J55" s="77"/>
      <c r="K55" s="41"/>
      <c r="L55" s="112"/>
      <c r="M55" s="112"/>
      <c r="N55" s="112"/>
      <c r="O55" s="112"/>
      <c r="P55" s="112"/>
      <c r="Q55" s="120"/>
      <c r="R55" s="86"/>
      <c r="S55" s="124"/>
      <c r="T55" s="41"/>
      <c r="U55" s="107"/>
      <c r="V55" s="130"/>
      <c r="W55" s="129"/>
      <c r="X55" s="27"/>
    </row>
    <row r="56" spans="1:24" ht="19.5" thickBot="1" x14ac:dyDescent="0.3">
      <c r="A56" s="3">
        <f t="shared" si="0"/>
        <v>49</v>
      </c>
      <c r="B56" s="13"/>
      <c r="C56" s="110"/>
      <c r="D56" s="111"/>
      <c r="E56" s="112"/>
      <c r="F56" s="112"/>
      <c r="G56" s="76"/>
      <c r="H56" s="73"/>
      <c r="I56" s="73"/>
      <c r="J56" s="77"/>
      <c r="K56" s="41"/>
      <c r="L56" s="112"/>
      <c r="M56" s="112"/>
      <c r="N56" s="112"/>
      <c r="O56" s="112"/>
      <c r="P56" s="112"/>
      <c r="Q56" s="120"/>
      <c r="R56" s="86"/>
      <c r="S56" s="124"/>
      <c r="T56" s="41"/>
      <c r="U56" s="107"/>
      <c r="V56" s="130"/>
      <c r="W56" s="129"/>
      <c r="X56" s="27"/>
    </row>
    <row r="57" spans="1:24" ht="19.5" thickBot="1" x14ac:dyDescent="0.3">
      <c r="A57" s="3">
        <f t="shared" si="0"/>
        <v>50</v>
      </c>
      <c r="B57" s="13"/>
      <c r="C57" s="110"/>
      <c r="D57" s="111"/>
      <c r="E57" s="112"/>
      <c r="F57" s="112"/>
      <c r="G57" s="76"/>
      <c r="H57" s="73"/>
      <c r="I57" s="73"/>
      <c r="J57" s="77"/>
      <c r="K57" s="41"/>
      <c r="L57" s="112"/>
      <c r="M57" s="112"/>
      <c r="N57" s="112"/>
      <c r="O57" s="112"/>
      <c r="P57" s="112"/>
      <c r="Q57" s="120"/>
      <c r="R57" s="86"/>
      <c r="S57" s="124"/>
      <c r="T57" s="41"/>
      <c r="U57" s="107"/>
      <c r="V57" s="130"/>
      <c r="W57" s="129"/>
      <c r="X57" s="27"/>
    </row>
    <row r="58" spans="1:24" ht="19.5" thickBot="1" x14ac:dyDescent="0.3">
      <c r="A58" s="3">
        <f t="shared" si="0"/>
        <v>51</v>
      </c>
      <c r="B58" s="13"/>
      <c r="C58" s="110"/>
      <c r="D58" s="111"/>
      <c r="E58" s="112"/>
      <c r="F58" s="112"/>
      <c r="G58" s="76"/>
      <c r="H58" s="73"/>
      <c r="I58" s="73"/>
      <c r="J58" s="77"/>
      <c r="K58" s="41"/>
      <c r="L58" s="112"/>
      <c r="M58" s="112"/>
      <c r="N58" s="112"/>
      <c r="O58" s="112"/>
      <c r="P58" s="112"/>
      <c r="Q58" s="120"/>
      <c r="R58" s="86"/>
      <c r="S58" s="124"/>
      <c r="T58" s="41"/>
      <c r="U58" s="107"/>
      <c r="V58" s="130"/>
      <c r="W58" s="129"/>
      <c r="X58" s="27"/>
    </row>
    <row r="59" spans="1:24" ht="19.5" thickBot="1" x14ac:dyDescent="0.3">
      <c r="A59" s="3">
        <f t="shared" si="0"/>
        <v>52</v>
      </c>
      <c r="B59" s="13"/>
      <c r="C59" s="110"/>
      <c r="D59" s="111"/>
      <c r="E59" s="112"/>
      <c r="F59" s="112"/>
      <c r="G59" s="76"/>
      <c r="H59" s="73"/>
      <c r="I59" s="73"/>
      <c r="J59" s="77"/>
      <c r="K59" s="41"/>
      <c r="L59" s="112"/>
      <c r="M59" s="112"/>
      <c r="N59" s="112"/>
      <c r="O59" s="112"/>
      <c r="P59" s="112"/>
      <c r="Q59" s="120"/>
      <c r="R59" s="86"/>
      <c r="S59" s="124"/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/>
      <c r="D60" s="54"/>
      <c r="E60" s="44"/>
      <c r="F60" s="44"/>
      <c r="G60" s="28"/>
      <c r="H60" s="56"/>
      <c r="I60" s="56"/>
      <c r="J60" s="45"/>
      <c r="K60" s="46"/>
      <c r="L60" s="74"/>
      <c r="M60" s="74"/>
      <c r="N60" s="74"/>
      <c r="O60" s="74"/>
      <c r="P60" s="74"/>
      <c r="Q60" s="75"/>
      <c r="R60" s="85"/>
      <c r="S60" s="84"/>
      <c r="T60" s="46"/>
      <c r="U60" s="43"/>
      <c r="V60" s="102"/>
      <c r="W60" s="90"/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04" t="s">
        <v>3</v>
      </c>
      <c r="D69" s="1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E507-6FC2-4656-9A2D-0206CE979775}">
  <sheetPr>
    <pageSetUpPr fitToPage="1"/>
  </sheetPr>
  <dimension ref="A1:BH90"/>
  <sheetViews>
    <sheetView zoomScale="115" zoomScaleNormal="115" zoomScaleSheetLayoutView="85" zoomScalePageLayoutView="80" workbookViewId="0">
      <selection activeCell="B1" sqref="B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46237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5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35</v>
      </c>
      <c r="D8" s="111">
        <v>9</v>
      </c>
      <c r="E8" s="112"/>
      <c r="F8" s="112"/>
      <c r="G8" s="76"/>
      <c r="H8" s="73"/>
      <c r="I8" s="73">
        <f>C8+E8-G8</f>
        <v>35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849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88</v>
      </c>
      <c r="D9" s="114">
        <v>12</v>
      </c>
      <c r="E9" s="115"/>
      <c r="F9" s="115"/>
      <c r="G9" s="78">
        <v>1</v>
      </c>
      <c r="H9" s="79"/>
      <c r="I9" s="80">
        <f t="shared" ref="I9:I59" si="4">C9+E9-G9</f>
        <v>87</v>
      </c>
      <c r="J9" s="94">
        <f t="shared" si="0"/>
        <v>12</v>
      </c>
      <c r="K9" s="51"/>
      <c r="L9" s="121">
        <v>1</v>
      </c>
      <c r="M9" s="121"/>
      <c r="N9" s="121"/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94</v>
      </c>
      <c r="D10" s="111"/>
      <c r="E10" s="112"/>
      <c r="F10" s="112"/>
      <c r="G10" s="76">
        <v>1</v>
      </c>
      <c r="H10" s="73"/>
      <c r="I10" s="93">
        <f t="shared" si="4"/>
        <v>93</v>
      </c>
      <c r="J10" s="95">
        <f t="shared" si="0"/>
        <v>0</v>
      </c>
      <c r="K10" s="41"/>
      <c r="L10" s="112"/>
      <c r="M10" s="112"/>
      <c r="N10" s="112">
        <v>1</v>
      </c>
      <c r="O10" s="112"/>
      <c r="P10" s="112"/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2232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50</v>
      </c>
      <c r="D11" s="111"/>
      <c r="E11" s="112"/>
      <c r="F11" s="112"/>
      <c r="G11" s="76">
        <v>1</v>
      </c>
      <c r="H11" s="73"/>
      <c r="I11" s="73">
        <f t="shared" si="4"/>
        <v>49</v>
      </c>
      <c r="J11" s="77">
        <f t="shared" si="0"/>
        <v>0</v>
      </c>
      <c r="K11" s="41"/>
      <c r="L11" s="112"/>
      <c r="M11" s="112"/>
      <c r="N11" s="112">
        <v>1</v>
      </c>
      <c r="O11" s="112"/>
      <c r="P11" s="112"/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1176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3623</v>
      </c>
      <c r="D13" s="114"/>
      <c r="E13" s="115"/>
      <c r="F13" s="115"/>
      <c r="G13" s="78">
        <v>44</v>
      </c>
      <c r="H13" s="79">
        <v>19</v>
      </c>
      <c r="I13" s="80">
        <f t="shared" si="4"/>
        <v>3579</v>
      </c>
      <c r="J13" s="94">
        <f>D13-H13</f>
        <v>-19</v>
      </c>
      <c r="K13" s="53"/>
      <c r="L13" s="121">
        <v>2</v>
      </c>
      <c r="M13" s="121">
        <v>8</v>
      </c>
      <c r="N13" s="121">
        <v>25</v>
      </c>
      <c r="O13" s="121">
        <v>8</v>
      </c>
      <c r="P13" s="121">
        <v>17</v>
      </c>
      <c r="Q13" s="122">
        <v>3</v>
      </c>
      <c r="R13" s="97">
        <f>L13+N13+P13</f>
        <v>44</v>
      </c>
      <c r="S13" s="125">
        <f>M13+O13+Q13</f>
        <v>19</v>
      </c>
      <c r="T13" s="53"/>
      <c r="U13" s="131">
        <f>L13*24+N13*24+P13*24</f>
        <v>1056</v>
      </c>
      <c r="V13" s="135">
        <f t="shared" si="6"/>
        <v>44</v>
      </c>
      <c r="W13" s="133">
        <f>I13*24+J13</f>
        <v>85877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57</v>
      </c>
      <c r="D26" s="111">
        <v>1</v>
      </c>
      <c r="E26" s="112"/>
      <c r="F26" s="112"/>
      <c r="G26" s="76"/>
      <c r="H26" s="73"/>
      <c r="I26" s="73">
        <f t="shared" si="4"/>
        <v>57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1369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2</v>
      </c>
      <c r="D27" s="111"/>
      <c r="E27" s="112"/>
      <c r="F27" s="112"/>
      <c r="G27" s="76">
        <v>1</v>
      </c>
      <c r="H27" s="73"/>
      <c r="I27" s="73">
        <f t="shared" si="4"/>
        <v>1</v>
      </c>
      <c r="J27" s="77">
        <f t="shared" si="7"/>
        <v>0</v>
      </c>
      <c r="K27" s="42"/>
      <c r="L27" s="112"/>
      <c r="M27" s="112"/>
      <c r="N27" s="112">
        <v>1</v>
      </c>
      <c r="O27" s="112"/>
      <c r="P27" s="112"/>
      <c r="Q27" s="120"/>
      <c r="R27" s="86">
        <f t="shared" si="8"/>
        <v>1</v>
      </c>
      <c r="S27" s="124">
        <f t="shared" si="8"/>
        <v>0</v>
      </c>
      <c r="T27" s="42"/>
      <c r="U27" s="107">
        <f t="shared" si="5"/>
        <v>24</v>
      </c>
      <c r="V27" s="130">
        <f t="shared" si="6"/>
        <v>1</v>
      </c>
      <c r="W27" s="129">
        <f t="shared" si="9"/>
        <v>24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23</v>
      </c>
      <c r="D29" s="111"/>
      <c r="E29" s="112"/>
      <c r="F29" s="112"/>
      <c r="G29" s="76">
        <v>3</v>
      </c>
      <c r="H29" s="73"/>
      <c r="I29" s="73">
        <f t="shared" si="4"/>
        <v>20</v>
      </c>
      <c r="J29" s="77">
        <f t="shared" si="7"/>
        <v>0</v>
      </c>
      <c r="K29" s="42"/>
      <c r="L29" s="112">
        <v>1</v>
      </c>
      <c r="M29" s="112"/>
      <c r="N29" s="112"/>
      <c r="O29" s="112"/>
      <c r="P29" s="112">
        <v>2</v>
      </c>
      <c r="Q29" s="120"/>
      <c r="R29" s="86">
        <f t="shared" si="8"/>
        <v>3</v>
      </c>
      <c r="S29" s="124">
        <f t="shared" si="8"/>
        <v>0</v>
      </c>
      <c r="T29" s="42"/>
      <c r="U29" s="107">
        <f t="shared" si="5"/>
        <v>72</v>
      </c>
      <c r="V29" s="130">
        <f t="shared" si="6"/>
        <v>3</v>
      </c>
      <c r="W29" s="129">
        <f t="shared" si="9"/>
        <v>480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30</v>
      </c>
      <c r="D30" s="111">
        <v>5</v>
      </c>
      <c r="E30" s="112"/>
      <c r="F30" s="112"/>
      <c r="G30" s="76">
        <v>1</v>
      </c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>
        <v>1</v>
      </c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5</v>
      </c>
      <c r="D32" s="111"/>
      <c r="E32" s="112"/>
      <c r="F32" s="112"/>
      <c r="G32" s="76">
        <v>2</v>
      </c>
      <c r="H32" s="73"/>
      <c r="I32" s="73">
        <f t="shared" si="4"/>
        <v>3</v>
      </c>
      <c r="J32" s="77">
        <f t="shared" si="7"/>
        <v>0</v>
      </c>
      <c r="K32" s="41"/>
      <c r="L32" s="112"/>
      <c r="M32" s="112"/>
      <c r="N32" s="112">
        <v>2</v>
      </c>
      <c r="O32" s="112"/>
      <c r="P32" s="112"/>
      <c r="Q32" s="120"/>
      <c r="R32" s="86">
        <f t="shared" si="8"/>
        <v>2</v>
      </c>
      <c r="S32" s="124">
        <f t="shared" si="8"/>
        <v>0</v>
      </c>
      <c r="T32" s="41"/>
      <c r="U32" s="107">
        <f t="shared" si="5"/>
        <v>48</v>
      </c>
      <c r="V32" s="130">
        <f t="shared" si="6"/>
        <v>2</v>
      </c>
      <c r="W32" s="129">
        <f t="shared" si="9"/>
        <v>72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211</v>
      </c>
      <c r="D35" s="111">
        <v>2</v>
      </c>
      <c r="E35" s="112"/>
      <c r="F35" s="112"/>
      <c r="G35" s="76">
        <v>2</v>
      </c>
      <c r="H35" s="73"/>
      <c r="I35" s="73">
        <f t="shared" si="4"/>
        <v>209</v>
      </c>
      <c r="J35" s="77">
        <f t="shared" si="7"/>
        <v>2</v>
      </c>
      <c r="K35" s="41"/>
      <c r="L35" s="112"/>
      <c r="M35" s="112"/>
      <c r="N35" s="112"/>
      <c r="O35" s="112"/>
      <c r="P35" s="112">
        <v>2</v>
      </c>
      <c r="Q35" s="120"/>
      <c r="R35" s="86">
        <f t="shared" si="8"/>
        <v>2</v>
      </c>
      <c r="S35" s="124">
        <f t="shared" si="8"/>
        <v>0</v>
      </c>
      <c r="T35" s="41"/>
      <c r="U35" s="107">
        <f t="shared" si="5"/>
        <v>48</v>
      </c>
      <c r="V35" s="130">
        <f t="shared" si="6"/>
        <v>2</v>
      </c>
      <c r="W35" s="129">
        <f t="shared" si="9"/>
        <v>5018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4572</v>
      </c>
      <c r="D38" s="114">
        <v>1</v>
      </c>
      <c r="E38" s="115"/>
      <c r="F38" s="115"/>
      <c r="G38" s="78">
        <v>281</v>
      </c>
      <c r="H38" s="79"/>
      <c r="I38" s="80">
        <f t="shared" si="4"/>
        <v>4291</v>
      </c>
      <c r="J38" s="140">
        <f t="shared" si="7"/>
        <v>1</v>
      </c>
      <c r="K38" s="51"/>
      <c r="L38" s="121">
        <v>32</v>
      </c>
      <c r="M38" s="121"/>
      <c r="N38" s="121">
        <v>168</v>
      </c>
      <c r="O38" s="121"/>
      <c r="P38" s="121">
        <v>81</v>
      </c>
      <c r="Q38" s="122"/>
      <c r="R38" s="97">
        <f t="shared" si="8"/>
        <v>281</v>
      </c>
      <c r="S38" s="125">
        <f t="shared" si="8"/>
        <v>0</v>
      </c>
      <c r="T38" s="51"/>
      <c r="U38" s="131">
        <f>L38*6+N38*6+P38*6</f>
        <v>1686</v>
      </c>
      <c r="V38" s="135">
        <f>U38/6</f>
        <v>281</v>
      </c>
      <c r="W38" s="133">
        <f>I38*6+J38</f>
        <v>25747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2</v>
      </c>
      <c r="D39" s="111"/>
      <c r="E39" s="112"/>
      <c r="F39" s="112"/>
      <c r="G39" s="76">
        <v>1</v>
      </c>
      <c r="H39" s="73"/>
      <c r="I39" s="93">
        <f t="shared" si="4"/>
        <v>1</v>
      </c>
      <c r="J39" s="77">
        <f t="shared" si="7"/>
        <v>0</v>
      </c>
      <c r="K39" s="41"/>
      <c r="L39" s="112"/>
      <c r="M39" s="112"/>
      <c r="N39" s="112">
        <v>1</v>
      </c>
      <c r="O39" s="112"/>
      <c r="P39" s="112"/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24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208</v>
      </c>
      <c r="D41" s="147">
        <v>20</v>
      </c>
      <c r="E41" s="148"/>
      <c r="F41" s="148"/>
      <c r="G41" s="149"/>
      <c r="H41" s="150"/>
      <c r="I41" s="80">
        <f t="shared" si="4"/>
        <v>208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5012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156</v>
      </c>
      <c r="D42" s="164"/>
      <c r="E42" s="165"/>
      <c r="F42" s="165"/>
      <c r="G42" s="166">
        <v>29</v>
      </c>
      <c r="H42" s="167"/>
      <c r="I42" s="181">
        <f t="shared" si="4"/>
        <v>127</v>
      </c>
      <c r="J42" s="168">
        <f t="shared" si="7"/>
        <v>0</v>
      </c>
      <c r="K42" s="169"/>
      <c r="L42" s="165">
        <v>9</v>
      </c>
      <c r="M42" s="165"/>
      <c r="N42" s="165">
        <v>6</v>
      </c>
      <c r="O42" s="165"/>
      <c r="P42" s="165">
        <v>14</v>
      </c>
      <c r="Q42" s="170"/>
      <c r="R42" s="171">
        <f t="shared" si="8"/>
        <v>29</v>
      </c>
      <c r="S42" s="172">
        <f t="shared" si="8"/>
        <v>0</v>
      </c>
      <c r="T42" s="169"/>
      <c r="U42" s="173">
        <f>L42*12+N42*12+P42*12</f>
        <v>348</v>
      </c>
      <c r="V42" s="174">
        <f>U42/12</f>
        <v>29</v>
      </c>
      <c r="W42" s="175">
        <f>I42*12+J42</f>
        <v>1524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46426</v>
      </c>
      <c r="D44" s="114">
        <v>1</v>
      </c>
      <c r="E44" s="115"/>
      <c r="F44" s="115"/>
      <c r="G44" s="78">
        <v>1198</v>
      </c>
      <c r="H44" s="79"/>
      <c r="I44" s="182">
        <f t="shared" si="4"/>
        <v>45228</v>
      </c>
      <c r="J44" s="177">
        <f t="shared" si="7"/>
        <v>1</v>
      </c>
      <c r="K44" s="51"/>
      <c r="L44" s="121">
        <v>283</v>
      </c>
      <c r="M44" s="121"/>
      <c r="N44" s="121">
        <v>487</v>
      </c>
      <c r="O44" s="121"/>
      <c r="P44" s="121">
        <v>428</v>
      </c>
      <c r="Q44" s="122"/>
      <c r="R44" s="178">
        <f t="shared" si="8"/>
        <v>1198</v>
      </c>
      <c r="S44" s="179">
        <f t="shared" si="8"/>
        <v>0</v>
      </c>
      <c r="T44" s="51"/>
      <c r="U44" s="131">
        <f>L44*6+N44*6+P44*6</f>
        <v>7188</v>
      </c>
      <c r="V44" s="130">
        <f>U44/6</f>
        <v>1198</v>
      </c>
      <c r="W44" s="133">
        <f>I44*6+J44</f>
        <v>271369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2</v>
      </c>
      <c r="D46" s="111"/>
      <c r="E46" s="112"/>
      <c r="F46" s="112"/>
      <c r="G46" s="76">
        <v>2</v>
      </c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>
        <v>2</v>
      </c>
      <c r="O46" s="112"/>
      <c r="P46" s="112">
        <v>2</v>
      </c>
      <c r="Q46" s="120"/>
      <c r="R46" s="86">
        <f t="shared" si="8"/>
        <v>4</v>
      </c>
      <c r="S46" s="128">
        <f t="shared" si="8"/>
        <v>0</v>
      </c>
      <c r="T46" s="41"/>
      <c r="U46" s="107">
        <f t="shared" ref="U46:U47" si="12">L46*24+N46*24+P46*24</f>
        <v>96</v>
      </c>
      <c r="V46" s="134">
        <f t="shared" ref="V46:V47" si="13">U46/24</f>
        <v>4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2</v>
      </c>
      <c r="D47" s="111"/>
      <c r="E47" s="112"/>
      <c r="F47" s="112"/>
      <c r="G47" s="76">
        <v>1</v>
      </c>
      <c r="H47" s="73"/>
      <c r="I47" s="73">
        <f t="shared" si="4"/>
        <v>1</v>
      </c>
      <c r="J47" s="77">
        <f t="shared" si="7"/>
        <v>0</v>
      </c>
      <c r="K47" s="41"/>
      <c r="L47" s="112"/>
      <c r="M47" s="112"/>
      <c r="N47" s="112">
        <v>1</v>
      </c>
      <c r="O47" s="112"/>
      <c r="P47" s="112">
        <v>1</v>
      </c>
      <c r="Q47" s="120"/>
      <c r="R47" s="86">
        <f t="shared" si="8"/>
        <v>2</v>
      </c>
      <c r="S47" s="124">
        <f t="shared" si="8"/>
        <v>0</v>
      </c>
      <c r="T47" s="41"/>
      <c r="U47" s="107">
        <f t="shared" si="12"/>
        <v>48</v>
      </c>
      <c r="V47" s="130">
        <f t="shared" si="13"/>
        <v>2</v>
      </c>
      <c r="W47" s="129">
        <f t="shared" si="14"/>
        <v>24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f>2702</f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58431</v>
      </c>
      <c r="D60" s="54">
        <f>SUM(D8:D59)</f>
        <v>131</v>
      </c>
      <c r="E60" s="44">
        <f>SUM(E8:E59)</f>
        <v>0</v>
      </c>
      <c r="F60" s="44"/>
      <c r="G60" s="28">
        <f>SUM(G8:G59)</f>
        <v>1568</v>
      </c>
      <c r="H60" s="56">
        <f>SUM(H8:H59)</f>
        <v>19</v>
      </c>
      <c r="I60" s="56">
        <f>SUM(I8:I59)</f>
        <v>56863</v>
      </c>
      <c r="J60" s="45">
        <f>SUM(J8:J59)</f>
        <v>112</v>
      </c>
      <c r="K60" s="46"/>
      <c r="L60" s="74">
        <f t="shared" ref="L60:S60" si="21">SUM(L8:L59)</f>
        <v>328</v>
      </c>
      <c r="M60" s="74">
        <f t="shared" si="21"/>
        <v>8</v>
      </c>
      <c r="N60" s="74">
        <f t="shared" si="21"/>
        <v>695</v>
      </c>
      <c r="O60" s="74">
        <f t="shared" si="21"/>
        <v>8</v>
      </c>
      <c r="P60" s="74">
        <f t="shared" si="21"/>
        <v>548</v>
      </c>
      <c r="Q60" s="75">
        <f t="shared" si="21"/>
        <v>3</v>
      </c>
      <c r="R60" s="85">
        <f t="shared" si="21"/>
        <v>1571</v>
      </c>
      <c r="S60" s="84">
        <f t="shared" si="21"/>
        <v>19</v>
      </c>
      <c r="T60" s="46"/>
      <c r="U60" s="43">
        <f>SUM(U8:U59)</f>
        <v>10734</v>
      </c>
      <c r="V60" s="102">
        <f>SUM(V8:V59)</f>
        <v>1571</v>
      </c>
      <c r="W60" s="180">
        <f>SUM(W8:W59)</f>
        <v>422710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3" t="s">
        <v>3</v>
      </c>
      <c r="D69" s="18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DB5B-34D0-4242-A26E-899D8D04A5FA}">
  <sheetPr>
    <pageSetUpPr fitToPage="1"/>
  </sheetPr>
  <dimension ref="A1:BH90"/>
  <sheetViews>
    <sheetView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46238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35</v>
      </c>
      <c r="D8" s="111">
        <v>9</v>
      </c>
      <c r="E8" s="112"/>
      <c r="F8" s="112"/>
      <c r="G8" s="76"/>
      <c r="H8" s="73"/>
      <c r="I8" s="73">
        <f>C8+E8-G8</f>
        <v>35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849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93</v>
      </c>
      <c r="D10" s="111"/>
      <c r="E10" s="112"/>
      <c r="F10" s="112"/>
      <c r="G10" s="76"/>
      <c r="H10" s="73"/>
      <c r="I10" s="93">
        <f t="shared" si="4"/>
        <v>93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2232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49</v>
      </c>
      <c r="D11" s="111"/>
      <c r="E11" s="112"/>
      <c r="F11" s="112"/>
      <c r="G11" s="76"/>
      <c r="H11" s="73"/>
      <c r="I11" s="73">
        <f t="shared" si="4"/>
        <v>49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1176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3578</v>
      </c>
      <c r="D13" s="114">
        <v>5</v>
      </c>
      <c r="E13" s="115"/>
      <c r="F13" s="115"/>
      <c r="G13" s="78">
        <v>28</v>
      </c>
      <c r="H13" s="79">
        <v>9</v>
      </c>
      <c r="I13" s="80">
        <f t="shared" si="4"/>
        <v>3550</v>
      </c>
      <c r="J13" s="94">
        <f>D13-H13</f>
        <v>-4</v>
      </c>
      <c r="K13" s="53"/>
      <c r="L13" s="121"/>
      <c r="M13" s="121"/>
      <c r="N13" s="121">
        <v>11</v>
      </c>
      <c r="O13" s="121">
        <v>4</v>
      </c>
      <c r="P13" s="121">
        <v>17</v>
      </c>
      <c r="Q13" s="122">
        <v>5</v>
      </c>
      <c r="R13" s="97">
        <f>L13+N13+P13</f>
        <v>28</v>
      </c>
      <c r="S13" s="125">
        <f>M13+O13+Q13</f>
        <v>9</v>
      </c>
      <c r="T13" s="53"/>
      <c r="U13" s="131">
        <f>L13*24+N13*24+P13*24</f>
        <v>672</v>
      </c>
      <c r="V13" s="135">
        <f t="shared" si="6"/>
        <v>28</v>
      </c>
      <c r="W13" s="133">
        <f>I13*24+J13</f>
        <v>85196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57</v>
      </c>
      <c r="D26" s="111">
        <v>1</v>
      </c>
      <c r="E26" s="112"/>
      <c r="F26" s="112"/>
      <c r="G26" s="76">
        <v>2</v>
      </c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>
        <v>2</v>
      </c>
      <c r="Q26" s="120"/>
      <c r="R26" s="86">
        <f t="shared" si="8"/>
        <v>2</v>
      </c>
      <c r="S26" s="124">
        <f t="shared" si="8"/>
        <v>0</v>
      </c>
      <c r="T26" s="41"/>
      <c r="U26" s="107">
        <f t="shared" si="5"/>
        <v>48</v>
      </c>
      <c r="V26" s="130">
        <f t="shared" si="6"/>
        <v>2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1</v>
      </c>
      <c r="D27" s="111"/>
      <c r="E27" s="112"/>
      <c r="F27" s="112"/>
      <c r="G27" s="76"/>
      <c r="H27" s="73"/>
      <c r="I27" s="73">
        <f t="shared" si="4"/>
        <v>1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24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20</v>
      </c>
      <c r="D29" s="111"/>
      <c r="E29" s="112"/>
      <c r="F29" s="112"/>
      <c r="G29" s="76">
        <v>4</v>
      </c>
      <c r="H29" s="73"/>
      <c r="I29" s="73">
        <f t="shared" si="4"/>
        <v>16</v>
      </c>
      <c r="J29" s="77">
        <f t="shared" si="7"/>
        <v>0</v>
      </c>
      <c r="K29" s="42"/>
      <c r="L29" s="112"/>
      <c r="M29" s="112"/>
      <c r="N29" s="112"/>
      <c r="O29" s="112"/>
      <c r="P29" s="112">
        <v>4</v>
      </c>
      <c r="Q29" s="120"/>
      <c r="R29" s="86">
        <f t="shared" si="8"/>
        <v>4</v>
      </c>
      <c r="S29" s="124">
        <f t="shared" si="8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9"/>
        <v>384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/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3</v>
      </c>
      <c r="D32" s="111"/>
      <c r="E32" s="112"/>
      <c r="F32" s="112"/>
      <c r="G32" s="76"/>
      <c r="H32" s="73"/>
      <c r="I32" s="73">
        <f t="shared" si="4"/>
        <v>3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72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209</v>
      </c>
      <c r="D35" s="111">
        <v>2</v>
      </c>
      <c r="E35" s="112"/>
      <c r="F35" s="112"/>
      <c r="G35" s="76"/>
      <c r="H35" s="73"/>
      <c r="I35" s="73">
        <f t="shared" si="4"/>
        <v>209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5018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4291</v>
      </c>
      <c r="D38" s="114">
        <v>1</v>
      </c>
      <c r="E38" s="115"/>
      <c r="F38" s="115"/>
      <c r="G38" s="78">
        <v>75</v>
      </c>
      <c r="H38" s="79"/>
      <c r="I38" s="80">
        <f t="shared" si="4"/>
        <v>4216</v>
      </c>
      <c r="J38" s="140">
        <f t="shared" si="7"/>
        <v>1</v>
      </c>
      <c r="K38" s="51"/>
      <c r="L38" s="121"/>
      <c r="M38" s="121"/>
      <c r="N38" s="121">
        <v>20</v>
      </c>
      <c r="O38" s="121"/>
      <c r="P38" s="121">
        <v>55</v>
      </c>
      <c r="Q38" s="122"/>
      <c r="R38" s="97">
        <f t="shared" si="8"/>
        <v>75</v>
      </c>
      <c r="S38" s="125">
        <f t="shared" si="8"/>
        <v>0</v>
      </c>
      <c r="T38" s="51"/>
      <c r="U38" s="131">
        <f>L38*6+N38*6+P38*6</f>
        <v>450</v>
      </c>
      <c r="V38" s="135">
        <f>U38/6</f>
        <v>75</v>
      </c>
      <c r="W38" s="133">
        <f>I38*6+J38</f>
        <v>25297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1</v>
      </c>
      <c r="D39" s="111"/>
      <c r="E39" s="112"/>
      <c r="F39" s="112"/>
      <c r="G39" s="76"/>
      <c r="H39" s="73"/>
      <c r="I39" s="93">
        <f t="shared" si="4"/>
        <v>1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24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208</v>
      </c>
      <c r="D41" s="147">
        <v>20</v>
      </c>
      <c r="E41" s="148"/>
      <c r="F41" s="148"/>
      <c r="G41" s="149"/>
      <c r="H41" s="150"/>
      <c r="I41" s="80">
        <f t="shared" si="4"/>
        <v>208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5012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127</v>
      </c>
      <c r="D42" s="164"/>
      <c r="E42" s="165"/>
      <c r="F42" s="165"/>
      <c r="G42" s="166">
        <v>6</v>
      </c>
      <c r="H42" s="167"/>
      <c r="I42" s="181">
        <f t="shared" si="4"/>
        <v>121</v>
      </c>
      <c r="J42" s="168">
        <f t="shared" si="7"/>
        <v>0</v>
      </c>
      <c r="K42" s="169"/>
      <c r="L42" s="165"/>
      <c r="M42" s="165"/>
      <c r="N42" s="165">
        <v>2</v>
      </c>
      <c r="O42" s="165"/>
      <c r="P42" s="165">
        <v>4</v>
      </c>
      <c r="Q42" s="170"/>
      <c r="R42" s="171">
        <f t="shared" si="8"/>
        <v>6</v>
      </c>
      <c r="S42" s="172">
        <f t="shared" si="8"/>
        <v>0</v>
      </c>
      <c r="T42" s="169"/>
      <c r="U42" s="173">
        <f>L42*12+N42*12+P42*12</f>
        <v>72</v>
      </c>
      <c r="V42" s="174">
        <f>U42/12</f>
        <v>6</v>
      </c>
      <c r="W42" s="175">
        <f>I42*12+J42</f>
        <v>1452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45228</v>
      </c>
      <c r="D44" s="114">
        <v>1</v>
      </c>
      <c r="E44" s="115"/>
      <c r="F44" s="115"/>
      <c r="G44" s="78">
        <v>979</v>
      </c>
      <c r="H44" s="79"/>
      <c r="I44" s="182">
        <f t="shared" si="4"/>
        <v>44249</v>
      </c>
      <c r="J44" s="177">
        <f t="shared" si="7"/>
        <v>1</v>
      </c>
      <c r="K44" s="51"/>
      <c r="L44" s="121"/>
      <c r="M44" s="121"/>
      <c r="N44" s="121">
        <v>431</v>
      </c>
      <c r="O44" s="121"/>
      <c r="P44" s="121">
        <v>548</v>
      </c>
      <c r="Q44" s="122"/>
      <c r="R44" s="178">
        <f t="shared" si="8"/>
        <v>979</v>
      </c>
      <c r="S44" s="179">
        <f t="shared" si="8"/>
        <v>0</v>
      </c>
      <c r="T44" s="51"/>
      <c r="U44" s="131">
        <f>L44*6+N44*6+P44*6</f>
        <v>5874</v>
      </c>
      <c r="V44" s="130">
        <f>U44/6</f>
        <v>979</v>
      </c>
      <c r="W44" s="133">
        <f>I44*6+J44</f>
        <v>265495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1</v>
      </c>
      <c r="D47" s="111"/>
      <c r="E47" s="112"/>
      <c r="F47" s="112"/>
      <c r="G47" s="76"/>
      <c r="H47" s="73"/>
      <c r="I47" s="73">
        <f t="shared" si="4"/>
        <v>1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24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56862</v>
      </c>
      <c r="D60" s="54">
        <f>SUM(D8:D59)</f>
        <v>136</v>
      </c>
      <c r="E60" s="44">
        <f>SUM(E8:E59)</f>
        <v>0</v>
      </c>
      <c r="F60" s="44"/>
      <c r="G60" s="28">
        <f>SUM(G8:G59)</f>
        <v>1094</v>
      </c>
      <c r="H60" s="56">
        <f>SUM(H8:H59)</f>
        <v>9</v>
      </c>
      <c r="I60" s="56">
        <f>SUM(I8:I59)</f>
        <v>55768</v>
      </c>
      <c r="J60" s="45">
        <f>SUM(J8:J59)</f>
        <v>127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464</v>
      </c>
      <c r="O60" s="74">
        <f t="shared" si="21"/>
        <v>4</v>
      </c>
      <c r="P60" s="74">
        <f t="shared" si="21"/>
        <v>630</v>
      </c>
      <c r="Q60" s="75">
        <f t="shared" si="21"/>
        <v>5</v>
      </c>
      <c r="R60" s="85">
        <f t="shared" si="21"/>
        <v>1094</v>
      </c>
      <c r="S60" s="84">
        <f t="shared" si="21"/>
        <v>9</v>
      </c>
      <c r="T60" s="46"/>
      <c r="U60" s="43">
        <f>SUM(U8:U59)</f>
        <v>7212</v>
      </c>
      <c r="V60" s="102">
        <f>SUM(V8:V59)</f>
        <v>1094</v>
      </c>
      <c r="W60" s="180">
        <f>SUM(W8:W59)</f>
        <v>415489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E12A-ADEB-4FC9-817F-A2FB50AF5435}">
  <sheetPr>
    <pageSetUpPr fitToPage="1"/>
  </sheetPr>
  <dimension ref="A1:BH90"/>
  <sheetViews>
    <sheetView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46239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35</v>
      </c>
      <c r="D8" s="111">
        <v>9</v>
      </c>
      <c r="E8" s="112"/>
      <c r="F8" s="112"/>
      <c r="G8" s="76"/>
      <c r="H8" s="73"/>
      <c r="I8" s="73">
        <f>C8+E8-G8</f>
        <v>35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849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93</v>
      </c>
      <c r="D10" s="111"/>
      <c r="E10" s="112"/>
      <c r="F10" s="112"/>
      <c r="G10" s="76"/>
      <c r="H10" s="73"/>
      <c r="I10" s="93">
        <f t="shared" si="4"/>
        <v>93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2232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49</v>
      </c>
      <c r="D11" s="111"/>
      <c r="E11" s="112"/>
      <c r="F11" s="112"/>
      <c r="G11" s="76">
        <v>2</v>
      </c>
      <c r="H11" s="73"/>
      <c r="I11" s="73">
        <f t="shared" si="4"/>
        <v>47</v>
      </c>
      <c r="J11" s="77">
        <f t="shared" si="0"/>
        <v>0</v>
      </c>
      <c r="K11" s="41"/>
      <c r="L11" s="112"/>
      <c r="M11" s="112"/>
      <c r="N11" s="112">
        <v>2</v>
      </c>
      <c r="O11" s="112"/>
      <c r="P11" s="112"/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1128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3549</v>
      </c>
      <c r="D13" s="114">
        <v>20</v>
      </c>
      <c r="E13" s="115"/>
      <c r="F13" s="115"/>
      <c r="G13" s="78">
        <v>18</v>
      </c>
      <c r="H13" s="79">
        <v>10</v>
      </c>
      <c r="I13" s="80">
        <f t="shared" si="4"/>
        <v>3531</v>
      </c>
      <c r="J13" s="94">
        <f>D13-H13</f>
        <v>10</v>
      </c>
      <c r="K13" s="53"/>
      <c r="L13" s="121">
        <v>8</v>
      </c>
      <c r="M13" s="121"/>
      <c r="N13" s="121">
        <v>10</v>
      </c>
      <c r="O13" s="121">
        <v>10</v>
      </c>
      <c r="P13" s="121"/>
      <c r="Q13" s="122"/>
      <c r="R13" s="97">
        <f>L13+N13+P13</f>
        <v>18</v>
      </c>
      <c r="S13" s="125">
        <f>M13+O13+Q13</f>
        <v>10</v>
      </c>
      <c r="T13" s="53"/>
      <c r="U13" s="131">
        <f>L13*24+N13*24+P13*24</f>
        <v>432</v>
      </c>
      <c r="V13" s="135">
        <f t="shared" si="6"/>
        <v>18</v>
      </c>
      <c r="W13" s="133">
        <f>I13*24+J13</f>
        <v>84754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1</v>
      </c>
      <c r="D27" s="111"/>
      <c r="E27" s="112"/>
      <c r="F27" s="112"/>
      <c r="G27" s="76">
        <v>1</v>
      </c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>
        <v>1</v>
      </c>
      <c r="O27" s="112"/>
      <c r="P27" s="112"/>
      <c r="Q27" s="120"/>
      <c r="R27" s="86">
        <f t="shared" si="8"/>
        <v>1</v>
      </c>
      <c r="S27" s="124">
        <f t="shared" si="8"/>
        <v>0</v>
      </c>
      <c r="T27" s="42"/>
      <c r="U27" s="107">
        <f t="shared" si="5"/>
        <v>24</v>
      </c>
      <c r="V27" s="130">
        <f t="shared" si="6"/>
        <v>1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16</v>
      </c>
      <c r="D29" s="111"/>
      <c r="E29" s="112"/>
      <c r="F29" s="112"/>
      <c r="G29" s="76">
        <v>1</v>
      </c>
      <c r="H29" s="73"/>
      <c r="I29" s="73">
        <f t="shared" si="4"/>
        <v>15</v>
      </c>
      <c r="J29" s="77">
        <f t="shared" si="7"/>
        <v>0</v>
      </c>
      <c r="K29" s="42"/>
      <c r="L29" s="112"/>
      <c r="M29" s="112"/>
      <c r="N29" s="112">
        <v>1</v>
      </c>
      <c r="O29" s="112"/>
      <c r="P29" s="112"/>
      <c r="Q29" s="120"/>
      <c r="R29" s="86">
        <f t="shared" si="8"/>
        <v>1</v>
      </c>
      <c r="S29" s="124">
        <f t="shared" si="8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9"/>
        <v>360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/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3</v>
      </c>
      <c r="D32" s="111"/>
      <c r="E32" s="112"/>
      <c r="F32" s="112"/>
      <c r="G32" s="76">
        <v>1</v>
      </c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>
        <v>1</v>
      </c>
      <c r="O32" s="112"/>
      <c r="P32" s="112"/>
      <c r="Q32" s="120"/>
      <c r="R32" s="86">
        <f t="shared" si="8"/>
        <v>1</v>
      </c>
      <c r="S32" s="124">
        <f t="shared" si="8"/>
        <v>0</v>
      </c>
      <c r="T32" s="41"/>
      <c r="U32" s="107">
        <f t="shared" si="5"/>
        <v>24</v>
      </c>
      <c r="V32" s="130">
        <f t="shared" si="6"/>
        <v>1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209</v>
      </c>
      <c r="D35" s="111">
        <v>2</v>
      </c>
      <c r="E35" s="112"/>
      <c r="F35" s="112"/>
      <c r="G35" s="76"/>
      <c r="H35" s="73"/>
      <c r="I35" s="73">
        <f t="shared" si="4"/>
        <v>209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5018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4216</v>
      </c>
      <c r="D38" s="114">
        <v>1</v>
      </c>
      <c r="E38" s="115"/>
      <c r="F38" s="115"/>
      <c r="G38" s="78">
        <v>134</v>
      </c>
      <c r="H38" s="79"/>
      <c r="I38" s="80">
        <f t="shared" si="4"/>
        <v>4082</v>
      </c>
      <c r="J38" s="140">
        <f t="shared" si="7"/>
        <v>1</v>
      </c>
      <c r="K38" s="51"/>
      <c r="L38" s="121">
        <v>113</v>
      </c>
      <c r="M38" s="121"/>
      <c r="N38" s="121">
        <v>21</v>
      </c>
      <c r="O38" s="121"/>
      <c r="P38" s="121"/>
      <c r="Q38" s="122"/>
      <c r="R38" s="97">
        <f t="shared" si="8"/>
        <v>134</v>
      </c>
      <c r="S38" s="125">
        <f t="shared" si="8"/>
        <v>0</v>
      </c>
      <c r="T38" s="51"/>
      <c r="U38" s="131">
        <f>L38*6+N38*6+P38*6</f>
        <v>804</v>
      </c>
      <c r="V38" s="135">
        <f>U38/6</f>
        <v>134</v>
      </c>
      <c r="W38" s="133">
        <f>I38*6+J38</f>
        <v>24493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1</v>
      </c>
      <c r="D39" s="111"/>
      <c r="E39" s="112"/>
      <c r="F39" s="112"/>
      <c r="G39" s="76">
        <v>1</v>
      </c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>
        <v>1</v>
      </c>
      <c r="O39" s="112"/>
      <c r="P39" s="112"/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208</v>
      </c>
      <c r="D41" s="147">
        <v>20</v>
      </c>
      <c r="E41" s="148"/>
      <c r="F41" s="148"/>
      <c r="G41" s="149"/>
      <c r="H41" s="150"/>
      <c r="I41" s="80">
        <f t="shared" si="4"/>
        <v>208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5012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121</v>
      </c>
      <c r="D42" s="164"/>
      <c r="E42" s="165"/>
      <c r="F42" s="165"/>
      <c r="G42" s="166">
        <v>15</v>
      </c>
      <c r="H42" s="167"/>
      <c r="I42" s="181">
        <f t="shared" si="4"/>
        <v>106</v>
      </c>
      <c r="J42" s="168">
        <f t="shared" si="7"/>
        <v>0</v>
      </c>
      <c r="K42" s="169"/>
      <c r="L42" s="165">
        <v>15</v>
      </c>
      <c r="M42" s="165"/>
      <c r="N42" s="165"/>
      <c r="O42" s="165"/>
      <c r="P42" s="165"/>
      <c r="Q42" s="170"/>
      <c r="R42" s="171">
        <f t="shared" si="8"/>
        <v>15</v>
      </c>
      <c r="S42" s="172">
        <f t="shared" si="8"/>
        <v>0</v>
      </c>
      <c r="T42" s="169"/>
      <c r="U42" s="173">
        <f>L42*12+N42*12+P42*12</f>
        <v>180</v>
      </c>
      <c r="V42" s="174">
        <f>U42/12</f>
        <v>15</v>
      </c>
      <c r="W42" s="175">
        <f>I42*12+J42</f>
        <v>1272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44249</v>
      </c>
      <c r="D44" s="114">
        <v>1</v>
      </c>
      <c r="E44" s="115"/>
      <c r="F44" s="115"/>
      <c r="G44" s="78">
        <v>558</v>
      </c>
      <c r="H44" s="79"/>
      <c r="I44" s="182">
        <f t="shared" si="4"/>
        <v>43691</v>
      </c>
      <c r="J44" s="177">
        <f t="shared" si="7"/>
        <v>1</v>
      </c>
      <c r="K44" s="51"/>
      <c r="L44" s="121">
        <v>236</v>
      </c>
      <c r="M44" s="121"/>
      <c r="N44" s="121">
        <v>322</v>
      </c>
      <c r="O44" s="121"/>
      <c r="P44" s="121"/>
      <c r="Q44" s="122"/>
      <c r="R44" s="178">
        <f t="shared" si="8"/>
        <v>558</v>
      </c>
      <c r="S44" s="179">
        <f t="shared" si="8"/>
        <v>0</v>
      </c>
      <c r="T44" s="51"/>
      <c r="U44" s="131">
        <f>L44*6+N44*6+P44*6</f>
        <v>3348</v>
      </c>
      <c r="V44" s="130">
        <f>U44/6</f>
        <v>558</v>
      </c>
      <c r="W44" s="133">
        <f>I44*6+J44</f>
        <v>262147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>
        <v>1</v>
      </c>
      <c r="D47" s="111"/>
      <c r="E47" s="112"/>
      <c r="F47" s="112"/>
      <c r="G47" s="76">
        <v>1</v>
      </c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>
        <v>1</v>
      </c>
      <c r="O47" s="112"/>
      <c r="P47" s="112"/>
      <c r="Q47" s="120"/>
      <c r="R47" s="86">
        <f t="shared" si="8"/>
        <v>1</v>
      </c>
      <c r="S47" s="124">
        <f t="shared" si="8"/>
        <v>0</v>
      </c>
      <c r="T47" s="41"/>
      <c r="U47" s="107">
        <f t="shared" si="12"/>
        <v>24</v>
      </c>
      <c r="V47" s="130">
        <f t="shared" si="13"/>
        <v>1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55767</v>
      </c>
      <c r="D60" s="54">
        <f>SUM(D8:D59)</f>
        <v>151</v>
      </c>
      <c r="E60" s="44">
        <f>SUM(E8:E59)</f>
        <v>0</v>
      </c>
      <c r="F60" s="44"/>
      <c r="G60" s="28">
        <f>SUM(G8:G59)</f>
        <v>732</v>
      </c>
      <c r="H60" s="56">
        <f>SUM(H8:H59)</f>
        <v>10</v>
      </c>
      <c r="I60" s="56">
        <f>SUM(I8:I59)</f>
        <v>55035</v>
      </c>
      <c r="J60" s="45">
        <f>SUM(J8:J59)</f>
        <v>141</v>
      </c>
      <c r="K60" s="46"/>
      <c r="L60" s="74">
        <f t="shared" ref="L60:S60" si="21">SUM(L8:L59)</f>
        <v>372</v>
      </c>
      <c r="M60" s="74">
        <f t="shared" si="21"/>
        <v>0</v>
      </c>
      <c r="N60" s="74">
        <f t="shared" si="21"/>
        <v>360</v>
      </c>
      <c r="O60" s="74">
        <f t="shared" si="21"/>
        <v>10</v>
      </c>
      <c r="P60" s="74">
        <f t="shared" si="21"/>
        <v>0</v>
      </c>
      <c r="Q60" s="75">
        <f t="shared" si="21"/>
        <v>0</v>
      </c>
      <c r="R60" s="85">
        <f t="shared" si="21"/>
        <v>732</v>
      </c>
      <c r="S60" s="84">
        <f t="shared" si="21"/>
        <v>10</v>
      </c>
      <c r="T60" s="46"/>
      <c r="U60" s="43">
        <f>SUM(U8:U59)</f>
        <v>4932</v>
      </c>
      <c r="V60" s="102">
        <f>SUM(V8:V59)</f>
        <v>732</v>
      </c>
      <c r="W60" s="180">
        <f>SUM(W8:W59)</f>
        <v>410547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BFDE-0509-4D24-AD16-54AAC29EABC1}">
  <sheetPr>
    <pageSetUpPr fitToPage="1"/>
  </sheetPr>
  <dimension ref="A1:BH90"/>
  <sheetViews>
    <sheetView topLeftCell="A23" zoomScale="85" zoomScaleNormal="85" zoomScaleSheetLayoutView="85" zoomScalePageLayoutView="80" workbookViewId="0">
      <selection activeCell="C59" sqref="C5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46240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35</v>
      </c>
      <c r="D8" s="111">
        <v>9</v>
      </c>
      <c r="E8" s="112"/>
      <c r="F8" s="112"/>
      <c r="G8" s="76">
        <v>1</v>
      </c>
      <c r="H8" s="73"/>
      <c r="I8" s="73">
        <f>C8+E8-G8</f>
        <v>34</v>
      </c>
      <c r="J8" s="77">
        <f t="shared" ref="J8:J12" si="0">D8-H8</f>
        <v>9</v>
      </c>
      <c r="K8" s="41"/>
      <c r="L8" s="112"/>
      <c r="M8" s="112"/>
      <c r="N8" s="112"/>
      <c r="O8" s="112"/>
      <c r="P8" s="112">
        <v>1</v>
      </c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93</v>
      </c>
      <c r="D10" s="111"/>
      <c r="E10" s="112"/>
      <c r="F10" s="112"/>
      <c r="G10" s="76"/>
      <c r="H10" s="73"/>
      <c r="I10" s="93">
        <f t="shared" si="4"/>
        <v>93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2232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47</v>
      </c>
      <c r="D11" s="111"/>
      <c r="E11" s="112"/>
      <c r="F11" s="112"/>
      <c r="G11" s="76"/>
      <c r="H11" s="73"/>
      <c r="I11" s="73">
        <f t="shared" si="4"/>
        <v>47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1128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3531</v>
      </c>
      <c r="D13" s="114">
        <v>10</v>
      </c>
      <c r="E13" s="115"/>
      <c r="F13" s="115"/>
      <c r="G13" s="78">
        <v>22</v>
      </c>
      <c r="H13" s="79">
        <v>17</v>
      </c>
      <c r="I13" s="80">
        <f t="shared" si="4"/>
        <v>3509</v>
      </c>
      <c r="J13" s="94">
        <f>D13-H13</f>
        <v>-7</v>
      </c>
      <c r="K13" s="53"/>
      <c r="L13" s="121"/>
      <c r="M13" s="121"/>
      <c r="N13" s="121">
        <v>11</v>
      </c>
      <c r="O13" s="121">
        <v>12</v>
      </c>
      <c r="P13" s="121">
        <v>11</v>
      </c>
      <c r="Q13" s="122">
        <v>5</v>
      </c>
      <c r="R13" s="97">
        <f>L13+N13+P13</f>
        <v>22</v>
      </c>
      <c r="S13" s="125">
        <f>M13+O13+Q13</f>
        <v>17</v>
      </c>
      <c r="T13" s="53"/>
      <c r="U13" s="131">
        <f>L13*24+N13*24+P13*24</f>
        <v>528</v>
      </c>
      <c r="V13" s="135">
        <f t="shared" si="6"/>
        <v>22</v>
      </c>
      <c r="W13" s="133">
        <f>I13*24+J13</f>
        <v>84209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15</v>
      </c>
      <c r="D29" s="111"/>
      <c r="E29" s="112"/>
      <c r="F29" s="112"/>
      <c r="G29" s="76">
        <v>1</v>
      </c>
      <c r="H29" s="73"/>
      <c r="I29" s="73">
        <f t="shared" si="4"/>
        <v>14</v>
      </c>
      <c r="J29" s="77">
        <f t="shared" si="7"/>
        <v>0</v>
      </c>
      <c r="K29" s="42"/>
      <c r="L29" s="112"/>
      <c r="M29" s="112"/>
      <c r="N29" s="112"/>
      <c r="O29" s="112"/>
      <c r="P29" s="112">
        <v>1</v>
      </c>
      <c r="Q29" s="120"/>
      <c r="R29" s="86">
        <f t="shared" si="8"/>
        <v>1</v>
      </c>
      <c r="S29" s="124">
        <f t="shared" si="8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9"/>
        <v>336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/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209</v>
      </c>
      <c r="D35" s="111">
        <v>2</v>
      </c>
      <c r="E35" s="112"/>
      <c r="F35" s="112"/>
      <c r="G35" s="76">
        <v>6</v>
      </c>
      <c r="H35" s="73"/>
      <c r="I35" s="73">
        <f t="shared" si="4"/>
        <v>203</v>
      </c>
      <c r="J35" s="77">
        <f t="shared" si="7"/>
        <v>2</v>
      </c>
      <c r="K35" s="41"/>
      <c r="L35" s="112"/>
      <c r="M35" s="112"/>
      <c r="N35" s="112">
        <v>3</v>
      </c>
      <c r="O35" s="112"/>
      <c r="P35" s="112">
        <v>3</v>
      </c>
      <c r="Q35" s="120"/>
      <c r="R35" s="86">
        <f t="shared" si="8"/>
        <v>6</v>
      </c>
      <c r="S35" s="124">
        <f t="shared" si="8"/>
        <v>0</v>
      </c>
      <c r="T35" s="41"/>
      <c r="U35" s="107">
        <f t="shared" si="5"/>
        <v>144</v>
      </c>
      <c r="V35" s="130">
        <f t="shared" si="6"/>
        <v>6</v>
      </c>
      <c r="W35" s="129">
        <f t="shared" si="9"/>
        <v>4874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4082</v>
      </c>
      <c r="D38" s="114">
        <v>1</v>
      </c>
      <c r="E38" s="115"/>
      <c r="F38" s="115"/>
      <c r="G38" s="78">
        <v>28</v>
      </c>
      <c r="H38" s="79"/>
      <c r="I38" s="80">
        <f t="shared" si="4"/>
        <v>4054</v>
      </c>
      <c r="J38" s="140">
        <f t="shared" si="7"/>
        <v>1</v>
      </c>
      <c r="K38" s="51"/>
      <c r="L38" s="121"/>
      <c r="M38" s="121"/>
      <c r="N38" s="121">
        <v>28</v>
      </c>
      <c r="O38" s="121"/>
      <c r="P38" s="121"/>
      <c r="Q38" s="122"/>
      <c r="R38" s="97">
        <f t="shared" si="8"/>
        <v>28</v>
      </c>
      <c r="S38" s="125">
        <f t="shared" si="8"/>
        <v>0</v>
      </c>
      <c r="T38" s="51"/>
      <c r="U38" s="131">
        <f>L38*6+N38*6+P38*6</f>
        <v>168</v>
      </c>
      <c r="V38" s="135">
        <f>U38/6</f>
        <v>28</v>
      </c>
      <c r="W38" s="133">
        <f>I38*6+J38</f>
        <v>24325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208</v>
      </c>
      <c r="D41" s="147">
        <v>20</v>
      </c>
      <c r="E41" s="148"/>
      <c r="F41" s="148"/>
      <c r="G41" s="149">
        <v>87</v>
      </c>
      <c r="H41" s="150"/>
      <c r="I41" s="80">
        <f t="shared" si="4"/>
        <v>121</v>
      </c>
      <c r="J41" s="152">
        <f t="shared" si="7"/>
        <v>20</v>
      </c>
      <c r="K41" s="153"/>
      <c r="L41" s="154"/>
      <c r="M41" s="154"/>
      <c r="N41" s="154">
        <v>67</v>
      </c>
      <c r="O41" s="154"/>
      <c r="P41" s="154">
        <v>20</v>
      </c>
      <c r="Q41" s="155"/>
      <c r="R41" s="156">
        <f t="shared" si="8"/>
        <v>87</v>
      </c>
      <c r="S41" s="157">
        <f t="shared" si="8"/>
        <v>0</v>
      </c>
      <c r="T41" s="153"/>
      <c r="U41" s="158">
        <f t="shared" si="10"/>
        <v>2088</v>
      </c>
      <c r="V41" s="159">
        <f t="shared" si="6"/>
        <v>87</v>
      </c>
      <c r="W41" s="159">
        <f t="shared" si="11"/>
        <v>2924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106</v>
      </c>
      <c r="D42" s="164"/>
      <c r="E42" s="165"/>
      <c r="F42" s="165"/>
      <c r="G42" s="166">
        <v>24</v>
      </c>
      <c r="H42" s="167"/>
      <c r="I42" s="181">
        <f t="shared" si="4"/>
        <v>82</v>
      </c>
      <c r="J42" s="168">
        <f t="shared" si="7"/>
        <v>0</v>
      </c>
      <c r="K42" s="169"/>
      <c r="L42" s="165"/>
      <c r="M42" s="165"/>
      <c r="N42" s="165">
        <v>12</v>
      </c>
      <c r="O42" s="165"/>
      <c r="P42" s="165">
        <v>12</v>
      </c>
      <c r="Q42" s="170"/>
      <c r="R42" s="171">
        <f t="shared" si="8"/>
        <v>24</v>
      </c>
      <c r="S42" s="172">
        <f t="shared" si="8"/>
        <v>0</v>
      </c>
      <c r="T42" s="169"/>
      <c r="U42" s="173">
        <f>L42*12+N42*12+P42*12</f>
        <v>288</v>
      </c>
      <c r="V42" s="174">
        <f>U42/12</f>
        <v>24</v>
      </c>
      <c r="W42" s="175">
        <f>I42*12+J42</f>
        <v>984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43691</v>
      </c>
      <c r="D44" s="114">
        <v>1</v>
      </c>
      <c r="E44" s="115"/>
      <c r="F44" s="115"/>
      <c r="G44" s="78">
        <v>752</v>
      </c>
      <c r="H44" s="79"/>
      <c r="I44" s="182">
        <f t="shared" si="4"/>
        <v>42939</v>
      </c>
      <c r="J44" s="177">
        <f t="shared" si="7"/>
        <v>1</v>
      </c>
      <c r="K44" s="51"/>
      <c r="L44" s="121"/>
      <c r="M44" s="121"/>
      <c r="N44" s="121">
        <v>385</v>
      </c>
      <c r="O44" s="121"/>
      <c r="P44" s="121">
        <v>367</v>
      </c>
      <c r="Q44" s="122"/>
      <c r="R44" s="178">
        <f t="shared" si="8"/>
        <v>752</v>
      </c>
      <c r="S44" s="179">
        <f t="shared" si="8"/>
        <v>0</v>
      </c>
      <c r="T44" s="51"/>
      <c r="U44" s="131">
        <f>L44*6+N44*6+P44*6</f>
        <v>4512</v>
      </c>
      <c r="V44" s="130">
        <f>U44/6</f>
        <v>752</v>
      </c>
      <c r="W44" s="133">
        <f>I44*6+J44</f>
        <v>257635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55035</v>
      </c>
      <c r="D60" s="54">
        <f>SUM(D8:D59)</f>
        <v>141</v>
      </c>
      <c r="E60" s="44">
        <f>SUM(E8:E59)</f>
        <v>0</v>
      </c>
      <c r="F60" s="44"/>
      <c r="G60" s="28">
        <f>SUM(G8:G59)</f>
        <v>921</v>
      </c>
      <c r="H60" s="56">
        <f>SUM(H8:H59)</f>
        <v>17</v>
      </c>
      <c r="I60" s="56">
        <f>SUM(I8:I59)</f>
        <v>54114</v>
      </c>
      <c r="J60" s="45">
        <f>SUM(J8:J59)</f>
        <v>124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506</v>
      </c>
      <c r="O60" s="74">
        <f t="shared" si="21"/>
        <v>12</v>
      </c>
      <c r="P60" s="74">
        <f t="shared" si="21"/>
        <v>415</v>
      </c>
      <c r="Q60" s="75">
        <f t="shared" si="21"/>
        <v>5</v>
      </c>
      <c r="R60" s="85">
        <f t="shared" si="21"/>
        <v>921</v>
      </c>
      <c r="S60" s="84">
        <f t="shared" si="21"/>
        <v>17</v>
      </c>
      <c r="T60" s="46"/>
      <c r="U60" s="43">
        <f>SUM(U8:U59)</f>
        <v>7776</v>
      </c>
      <c r="V60" s="102">
        <f>SUM(V8:V59)</f>
        <v>921</v>
      </c>
      <c r="W60" s="180">
        <f>SUM(W8:W59)</f>
        <v>402754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3C58-E877-4645-94DB-094F9A37B04B}">
  <sheetPr>
    <pageSetUpPr fitToPage="1"/>
  </sheetPr>
  <dimension ref="A1:BH90"/>
  <sheetViews>
    <sheetView zoomScale="130" zoomScaleNormal="130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46241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/>
      <c r="H8" s="73"/>
      <c r="I8" s="73">
        <f>C8+E8-G8</f>
        <v>34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93</v>
      </c>
      <c r="D10" s="111"/>
      <c r="E10" s="112"/>
      <c r="F10" s="112"/>
      <c r="G10" s="76">
        <v>1</v>
      </c>
      <c r="H10" s="73"/>
      <c r="I10" s="93">
        <f t="shared" si="4"/>
        <v>92</v>
      </c>
      <c r="J10" s="95">
        <f t="shared" si="0"/>
        <v>0</v>
      </c>
      <c r="K10" s="41"/>
      <c r="L10" s="112"/>
      <c r="M10" s="112"/>
      <c r="N10" s="112"/>
      <c r="O10" s="112"/>
      <c r="P10" s="112">
        <v>1</v>
      </c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2208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47</v>
      </c>
      <c r="D11" s="111"/>
      <c r="E11" s="112"/>
      <c r="F11" s="112"/>
      <c r="G11" s="76">
        <v>1</v>
      </c>
      <c r="H11" s="73"/>
      <c r="I11" s="73">
        <f t="shared" si="4"/>
        <v>46</v>
      </c>
      <c r="J11" s="77">
        <f t="shared" si="0"/>
        <v>0</v>
      </c>
      <c r="K11" s="41"/>
      <c r="L11" s="112"/>
      <c r="M11" s="112"/>
      <c r="N11" s="112"/>
      <c r="O11" s="112"/>
      <c r="P11" s="112">
        <v>1</v>
      </c>
      <c r="Q11" s="120"/>
      <c r="R11" s="86">
        <f t="shared" si="1"/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1104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3508</v>
      </c>
      <c r="D13" s="114">
        <v>17</v>
      </c>
      <c r="E13" s="115"/>
      <c r="F13" s="115"/>
      <c r="G13" s="78">
        <v>27</v>
      </c>
      <c r="H13" s="79">
        <v>26</v>
      </c>
      <c r="I13" s="80">
        <f t="shared" si="4"/>
        <v>3481</v>
      </c>
      <c r="J13" s="94">
        <f>D13-H13</f>
        <v>-9</v>
      </c>
      <c r="K13" s="53"/>
      <c r="L13" s="121">
        <v>3</v>
      </c>
      <c r="M13" s="121">
        <v>17</v>
      </c>
      <c r="N13" s="121">
        <v>10</v>
      </c>
      <c r="O13" s="121">
        <v>5</v>
      </c>
      <c r="P13" s="121">
        <v>14</v>
      </c>
      <c r="Q13" s="122">
        <v>4</v>
      </c>
      <c r="R13" s="97">
        <f>L13+N13+P13</f>
        <v>27</v>
      </c>
      <c r="S13" s="125">
        <f>M13+O13+Q13</f>
        <v>26</v>
      </c>
      <c r="T13" s="53"/>
      <c r="U13" s="131">
        <f>L13*24+N13*24+P13*24</f>
        <v>648</v>
      </c>
      <c r="V13" s="135">
        <f t="shared" si="6"/>
        <v>27</v>
      </c>
      <c r="W13" s="133">
        <f>I13*24+J13</f>
        <v>83535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14</v>
      </c>
      <c r="D29" s="111"/>
      <c r="E29" s="112"/>
      <c r="F29" s="112"/>
      <c r="G29" s="76"/>
      <c r="H29" s="73"/>
      <c r="I29" s="73">
        <f t="shared" si="4"/>
        <v>14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336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/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203</v>
      </c>
      <c r="D35" s="111">
        <v>2</v>
      </c>
      <c r="E35" s="112"/>
      <c r="F35" s="112"/>
      <c r="G35" s="76">
        <v>3</v>
      </c>
      <c r="H35" s="73"/>
      <c r="I35" s="73">
        <f t="shared" si="4"/>
        <v>200</v>
      </c>
      <c r="J35" s="77">
        <f t="shared" si="7"/>
        <v>2</v>
      </c>
      <c r="K35" s="41"/>
      <c r="L35" s="112">
        <v>2</v>
      </c>
      <c r="M35" s="112"/>
      <c r="N35" s="112">
        <v>1</v>
      </c>
      <c r="O35" s="112"/>
      <c r="P35" s="112"/>
      <c r="Q35" s="120"/>
      <c r="R35" s="86">
        <f t="shared" si="8"/>
        <v>3</v>
      </c>
      <c r="S35" s="124">
        <f t="shared" si="8"/>
        <v>0</v>
      </c>
      <c r="T35" s="41"/>
      <c r="U35" s="107">
        <f t="shared" si="5"/>
        <v>72</v>
      </c>
      <c r="V35" s="130">
        <f t="shared" si="6"/>
        <v>3</v>
      </c>
      <c r="W35" s="129">
        <f t="shared" si="9"/>
        <v>4802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4054</v>
      </c>
      <c r="D38" s="114">
        <v>1</v>
      </c>
      <c r="E38" s="115"/>
      <c r="F38" s="115"/>
      <c r="G38" s="78">
        <v>169</v>
      </c>
      <c r="H38" s="79"/>
      <c r="I38" s="80">
        <f t="shared" si="4"/>
        <v>3885</v>
      </c>
      <c r="J38" s="140">
        <f t="shared" si="7"/>
        <v>1</v>
      </c>
      <c r="K38" s="51"/>
      <c r="L38" s="121">
        <v>37</v>
      </c>
      <c r="M38" s="121"/>
      <c r="N38" s="121">
        <v>24</v>
      </c>
      <c r="O38" s="121"/>
      <c r="P38" s="121">
        <v>108</v>
      </c>
      <c r="Q38" s="122"/>
      <c r="R38" s="97">
        <f t="shared" si="8"/>
        <v>169</v>
      </c>
      <c r="S38" s="125">
        <f t="shared" si="8"/>
        <v>0</v>
      </c>
      <c r="T38" s="51"/>
      <c r="U38" s="131">
        <f>L38*6+N38*6+P38*6</f>
        <v>1014</v>
      </c>
      <c r="V38" s="135">
        <f>U38/6</f>
        <v>169</v>
      </c>
      <c r="W38" s="133">
        <f>I38*6+J38</f>
        <v>23311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121</v>
      </c>
      <c r="D41" s="147">
        <v>20</v>
      </c>
      <c r="E41" s="148"/>
      <c r="F41" s="148"/>
      <c r="G41" s="149">
        <v>1</v>
      </c>
      <c r="H41" s="150"/>
      <c r="I41" s="80">
        <f t="shared" si="4"/>
        <v>120</v>
      </c>
      <c r="J41" s="152">
        <f t="shared" si="7"/>
        <v>20</v>
      </c>
      <c r="K41" s="153"/>
      <c r="L41" s="154"/>
      <c r="M41" s="154"/>
      <c r="N41" s="154"/>
      <c r="O41" s="154"/>
      <c r="P41" s="154">
        <v>1</v>
      </c>
      <c r="Q41" s="155"/>
      <c r="R41" s="156">
        <f t="shared" si="8"/>
        <v>1</v>
      </c>
      <c r="S41" s="157">
        <f t="shared" si="8"/>
        <v>0</v>
      </c>
      <c r="T41" s="153"/>
      <c r="U41" s="158">
        <f t="shared" si="10"/>
        <v>24</v>
      </c>
      <c r="V41" s="159">
        <f t="shared" si="6"/>
        <v>1</v>
      </c>
      <c r="W41" s="159">
        <f t="shared" si="11"/>
        <v>2900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82</v>
      </c>
      <c r="D42" s="164"/>
      <c r="E42" s="165"/>
      <c r="F42" s="165"/>
      <c r="G42" s="166">
        <v>31</v>
      </c>
      <c r="H42" s="167"/>
      <c r="I42" s="181">
        <f t="shared" si="4"/>
        <v>51</v>
      </c>
      <c r="J42" s="168">
        <f t="shared" si="7"/>
        <v>0</v>
      </c>
      <c r="K42" s="169"/>
      <c r="L42" s="165">
        <v>15</v>
      </c>
      <c r="M42" s="165"/>
      <c r="N42" s="165">
        <v>12</v>
      </c>
      <c r="O42" s="165"/>
      <c r="P42" s="165">
        <v>4</v>
      </c>
      <c r="Q42" s="170"/>
      <c r="R42" s="171">
        <f t="shared" si="8"/>
        <v>31</v>
      </c>
      <c r="S42" s="172">
        <f t="shared" si="8"/>
        <v>0</v>
      </c>
      <c r="T42" s="169"/>
      <c r="U42" s="173">
        <f>L42*12+N42*12+P42*12</f>
        <v>372</v>
      </c>
      <c r="V42" s="174">
        <f>U42/12</f>
        <v>31</v>
      </c>
      <c r="W42" s="175">
        <f>I42*12+J42</f>
        <v>612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42939</v>
      </c>
      <c r="D44" s="114">
        <v>1</v>
      </c>
      <c r="E44" s="115"/>
      <c r="F44" s="115"/>
      <c r="G44" s="78">
        <v>1242</v>
      </c>
      <c r="H44" s="79"/>
      <c r="I44" s="182">
        <f t="shared" si="4"/>
        <v>41697</v>
      </c>
      <c r="J44" s="177">
        <f t="shared" si="7"/>
        <v>1</v>
      </c>
      <c r="K44" s="51"/>
      <c r="L44" s="121">
        <v>482</v>
      </c>
      <c r="M44" s="121"/>
      <c r="N44" s="121">
        <v>373</v>
      </c>
      <c r="O44" s="121"/>
      <c r="P44" s="121">
        <v>387</v>
      </c>
      <c r="Q44" s="122"/>
      <c r="R44" s="178">
        <f t="shared" si="8"/>
        <v>1242</v>
      </c>
      <c r="S44" s="179">
        <f t="shared" si="8"/>
        <v>0</v>
      </c>
      <c r="T44" s="51"/>
      <c r="U44" s="131">
        <f>L44*6+N44*6+P44*6</f>
        <v>7452</v>
      </c>
      <c r="V44" s="130">
        <f>U44/6</f>
        <v>1242</v>
      </c>
      <c r="W44" s="133">
        <f>I44*6+J44</f>
        <v>250183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54113</v>
      </c>
      <c r="D60" s="54">
        <f>SUM(D8:D59)</f>
        <v>148</v>
      </c>
      <c r="E60" s="44">
        <f>SUM(E8:E59)</f>
        <v>0</v>
      </c>
      <c r="F60" s="44"/>
      <c r="G60" s="28">
        <f>SUM(G8:G59)</f>
        <v>1475</v>
      </c>
      <c r="H60" s="56">
        <f>SUM(H8:H59)</f>
        <v>26</v>
      </c>
      <c r="I60" s="56">
        <f>SUM(I8:I59)</f>
        <v>52638</v>
      </c>
      <c r="J60" s="45">
        <f>SUM(J8:J59)</f>
        <v>122</v>
      </c>
      <c r="K60" s="46"/>
      <c r="L60" s="74">
        <f t="shared" ref="L60:S60" si="21">SUM(L8:L59)</f>
        <v>539</v>
      </c>
      <c r="M60" s="74">
        <f t="shared" si="21"/>
        <v>17</v>
      </c>
      <c r="N60" s="74">
        <f t="shared" si="21"/>
        <v>420</v>
      </c>
      <c r="O60" s="74">
        <f t="shared" si="21"/>
        <v>5</v>
      </c>
      <c r="P60" s="74">
        <f t="shared" si="21"/>
        <v>516</v>
      </c>
      <c r="Q60" s="75">
        <f t="shared" si="21"/>
        <v>4</v>
      </c>
      <c r="R60" s="85">
        <f t="shared" si="21"/>
        <v>1475</v>
      </c>
      <c r="S60" s="84">
        <f t="shared" si="21"/>
        <v>26</v>
      </c>
      <c r="T60" s="46"/>
      <c r="U60" s="43">
        <f>SUM(U8:U59)</f>
        <v>9630</v>
      </c>
      <c r="V60" s="102">
        <f>SUM(V8:V59)</f>
        <v>1475</v>
      </c>
      <c r="W60" s="180">
        <f>SUM(W8:W59)</f>
        <v>393098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4B31-0C82-4AE9-B903-20AA37151487}">
  <sheetPr>
    <pageSetUpPr fitToPage="1"/>
  </sheetPr>
  <dimension ref="A1:BH90"/>
  <sheetViews>
    <sheetView topLeftCell="A40" zoomScale="115" zoomScaleNormal="11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46242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/>
      <c r="H8" s="73"/>
      <c r="I8" s="73">
        <f>C8+E8-G8</f>
        <v>34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92</v>
      </c>
      <c r="D10" s="111"/>
      <c r="E10" s="112"/>
      <c r="F10" s="112"/>
      <c r="G10" s="76"/>
      <c r="H10" s="73"/>
      <c r="I10" s="93">
        <f t="shared" si="4"/>
        <v>92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2208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46</v>
      </c>
      <c r="D11" s="111"/>
      <c r="E11" s="112"/>
      <c r="F11" s="112"/>
      <c r="G11" s="76"/>
      <c r="H11" s="73"/>
      <c r="I11" s="73">
        <f t="shared" si="4"/>
        <v>46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3480</v>
      </c>
      <c r="D13" s="114">
        <v>15</v>
      </c>
      <c r="E13" s="115"/>
      <c r="F13" s="115"/>
      <c r="G13" s="78">
        <v>18</v>
      </c>
      <c r="H13" s="79">
        <v>1</v>
      </c>
      <c r="I13" s="80">
        <f t="shared" si="4"/>
        <v>3462</v>
      </c>
      <c r="J13" s="94">
        <f>D13-H13</f>
        <v>14</v>
      </c>
      <c r="K13" s="53"/>
      <c r="L13" s="121"/>
      <c r="M13" s="121"/>
      <c r="N13" s="121">
        <v>11</v>
      </c>
      <c r="O13" s="121"/>
      <c r="P13" s="121">
        <v>7</v>
      </c>
      <c r="Q13" s="122">
        <v>1</v>
      </c>
      <c r="R13" s="97">
        <f>L13+N13+P13</f>
        <v>18</v>
      </c>
      <c r="S13" s="125">
        <f>M13+O13+Q13</f>
        <v>1</v>
      </c>
      <c r="T13" s="53"/>
      <c r="U13" s="131">
        <f>L13*24+N13*24+P13*24</f>
        <v>432</v>
      </c>
      <c r="V13" s="135">
        <f t="shared" si="6"/>
        <v>18</v>
      </c>
      <c r="W13" s="133">
        <f>I13*24+J13</f>
        <v>83102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14</v>
      </c>
      <c r="D29" s="111"/>
      <c r="E29" s="112"/>
      <c r="F29" s="112"/>
      <c r="G29" s="76">
        <v>2</v>
      </c>
      <c r="H29" s="73"/>
      <c r="I29" s="73">
        <f t="shared" si="4"/>
        <v>12</v>
      </c>
      <c r="J29" s="77">
        <f t="shared" si="7"/>
        <v>0</v>
      </c>
      <c r="K29" s="42"/>
      <c r="L29" s="112"/>
      <c r="M29" s="112"/>
      <c r="N29" s="112"/>
      <c r="O29" s="112"/>
      <c r="P29" s="112">
        <v>2</v>
      </c>
      <c r="Q29" s="120"/>
      <c r="R29" s="86">
        <f t="shared" si="8"/>
        <v>2</v>
      </c>
      <c r="S29" s="124">
        <f t="shared" si="8"/>
        <v>0</v>
      </c>
      <c r="T29" s="42"/>
      <c r="U29" s="107">
        <f t="shared" si="5"/>
        <v>48</v>
      </c>
      <c r="V29" s="130">
        <f t="shared" si="6"/>
        <v>2</v>
      </c>
      <c r="W29" s="129">
        <f t="shared" si="9"/>
        <v>288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/>
      <c r="H30" s="73"/>
      <c r="I30" s="73">
        <f t="shared" si="4"/>
        <v>29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701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200</v>
      </c>
      <c r="D35" s="111">
        <v>2</v>
      </c>
      <c r="E35" s="112"/>
      <c r="F35" s="112"/>
      <c r="G35" s="76">
        <v>2</v>
      </c>
      <c r="H35" s="73"/>
      <c r="I35" s="73">
        <f t="shared" si="4"/>
        <v>198</v>
      </c>
      <c r="J35" s="77">
        <f t="shared" si="7"/>
        <v>2</v>
      </c>
      <c r="K35" s="41"/>
      <c r="L35" s="112"/>
      <c r="M35" s="112"/>
      <c r="N35" s="112"/>
      <c r="O35" s="112"/>
      <c r="P35" s="112">
        <v>2</v>
      </c>
      <c r="Q35" s="120"/>
      <c r="R35" s="86">
        <f t="shared" si="8"/>
        <v>2</v>
      </c>
      <c r="S35" s="124">
        <f t="shared" si="8"/>
        <v>0</v>
      </c>
      <c r="T35" s="41"/>
      <c r="U35" s="107">
        <f t="shared" si="5"/>
        <v>48</v>
      </c>
      <c r="V35" s="130">
        <f t="shared" si="6"/>
        <v>2</v>
      </c>
      <c r="W35" s="129">
        <f t="shared" si="9"/>
        <v>4754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3885</v>
      </c>
      <c r="D38" s="114">
        <v>1</v>
      </c>
      <c r="E38" s="115"/>
      <c r="F38" s="115"/>
      <c r="G38" s="78">
        <v>120</v>
      </c>
      <c r="H38" s="79"/>
      <c r="I38" s="80">
        <f t="shared" si="4"/>
        <v>3765</v>
      </c>
      <c r="J38" s="140">
        <f t="shared" si="7"/>
        <v>1</v>
      </c>
      <c r="K38" s="51"/>
      <c r="L38" s="121"/>
      <c r="M38" s="121"/>
      <c r="N38" s="121">
        <v>12</v>
      </c>
      <c r="O38" s="121"/>
      <c r="P38" s="121">
        <v>108</v>
      </c>
      <c r="Q38" s="122"/>
      <c r="R38" s="97">
        <f t="shared" si="8"/>
        <v>120</v>
      </c>
      <c r="S38" s="125">
        <f t="shared" si="8"/>
        <v>0</v>
      </c>
      <c r="T38" s="51"/>
      <c r="U38" s="131">
        <f>L38*6+N38*6+P38*6</f>
        <v>720</v>
      </c>
      <c r="V38" s="135">
        <f>U38/6</f>
        <v>120</v>
      </c>
      <c r="W38" s="133">
        <f>I38*6+J38</f>
        <v>22591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120</v>
      </c>
      <c r="D41" s="147">
        <v>20</v>
      </c>
      <c r="E41" s="148"/>
      <c r="F41" s="148"/>
      <c r="G41" s="149"/>
      <c r="H41" s="150"/>
      <c r="I41" s="80">
        <f t="shared" si="4"/>
        <v>120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2900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51</v>
      </c>
      <c r="D42" s="164"/>
      <c r="E42" s="165"/>
      <c r="F42" s="165"/>
      <c r="G42" s="166">
        <v>15</v>
      </c>
      <c r="H42" s="167"/>
      <c r="I42" s="181">
        <f t="shared" si="4"/>
        <v>36</v>
      </c>
      <c r="J42" s="168">
        <f t="shared" si="7"/>
        <v>0</v>
      </c>
      <c r="K42" s="169"/>
      <c r="L42" s="165"/>
      <c r="M42" s="165"/>
      <c r="N42" s="165">
        <v>9</v>
      </c>
      <c r="O42" s="165"/>
      <c r="P42" s="165">
        <v>6</v>
      </c>
      <c r="Q42" s="170"/>
      <c r="R42" s="171">
        <f t="shared" si="8"/>
        <v>15</v>
      </c>
      <c r="S42" s="172">
        <f t="shared" si="8"/>
        <v>0</v>
      </c>
      <c r="T42" s="169"/>
      <c r="U42" s="173">
        <f>L42*12+N42*12+P42*12</f>
        <v>180</v>
      </c>
      <c r="V42" s="174">
        <f>U42/12</f>
        <v>15</v>
      </c>
      <c r="W42" s="175">
        <f>I42*12+J42</f>
        <v>432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41696</v>
      </c>
      <c r="D44" s="114">
        <v>4</v>
      </c>
      <c r="E44" s="115"/>
      <c r="F44" s="115"/>
      <c r="G44" s="78">
        <v>553</v>
      </c>
      <c r="H44" s="79"/>
      <c r="I44" s="182">
        <f t="shared" si="4"/>
        <v>41143</v>
      </c>
      <c r="J44" s="177">
        <f t="shared" si="7"/>
        <v>4</v>
      </c>
      <c r="K44" s="51"/>
      <c r="L44" s="121"/>
      <c r="M44" s="121"/>
      <c r="N44" s="121">
        <v>273</v>
      </c>
      <c r="O44" s="121"/>
      <c r="P44" s="121">
        <v>280</v>
      </c>
      <c r="Q44" s="122"/>
      <c r="R44" s="178">
        <f t="shared" si="8"/>
        <v>553</v>
      </c>
      <c r="S44" s="179">
        <f t="shared" si="8"/>
        <v>0</v>
      </c>
      <c r="T44" s="51"/>
      <c r="U44" s="131">
        <f>L44*6+N44*6+P44*6</f>
        <v>3318</v>
      </c>
      <c r="V44" s="130">
        <f>U44/6</f>
        <v>553</v>
      </c>
      <c r="W44" s="133">
        <f>I44*6+J44</f>
        <v>246862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52636</v>
      </c>
      <c r="D60" s="54">
        <f>SUM(D8:D59)</f>
        <v>149</v>
      </c>
      <c r="E60" s="44">
        <f>SUM(E8:E59)</f>
        <v>0</v>
      </c>
      <c r="F60" s="44"/>
      <c r="G60" s="28">
        <f>SUM(G8:G59)</f>
        <v>710</v>
      </c>
      <c r="H60" s="56">
        <f>SUM(H8:H59)</f>
        <v>1</v>
      </c>
      <c r="I60" s="56">
        <f>SUM(I8:I59)</f>
        <v>51926</v>
      </c>
      <c r="J60" s="45">
        <f>SUM(J8:J59)</f>
        <v>148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305</v>
      </c>
      <c r="O60" s="74">
        <f t="shared" si="21"/>
        <v>0</v>
      </c>
      <c r="P60" s="74">
        <f t="shared" si="21"/>
        <v>405</v>
      </c>
      <c r="Q60" s="75">
        <f t="shared" si="21"/>
        <v>1</v>
      </c>
      <c r="R60" s="85">
        <f t="shared" si="21"/>
        <v>710</v>
      </c>
      <c r="S60" s="84">
        <f t="shared" si="21"/>
        <v>1</v>
      </c>
      <c r="T60" s="46"/>
      <c r="U60" s="43">
        <f>SUM(U8:U59)</f>
        <v>4746</v>
      </c>
      <c r="V60" s="102">
        <f>SUM(V8:V59)</f>
        <v>710</v>
      </c>
      <c r="W60" s="180">
        <f>SUM(W8:W59)</f>
        <v>388348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8190-C589-449E-9407-1580A7DB16E8}">
  <sheetPr>
    <pageSetUpPr fitToPage="1"/>
  </sheetPr>
  <dimension ref="A1:BH90"/>
  <sheetViews>
    <sheetView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46244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/>
      <c r="H8" s="73"/>
      <c r="I8" s="73">
        <f>C8+E8-G8</f>
        <v>34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92</v>
      </c>
      <c r="D10" s="111"/>
      <c r="E10" s="112"/>
      <c r="F10" s="112"/>
      <c r="G10" s="76">
        <v>1</v>
      </c>
      <c r="H10" s="73"/>
      <c r="I10" s="93">
        <f t="shared" si="4"/>
        <v>91</v>
      </c>
      <c r="J10" s="95">
        <f t="shared" si="0"/>
        <v>0</v>
      </c>
      <c r="K10" s="41"/>
      <c r="L10" s="112"/>
      <c r="M10" s="112"/>
      <c r="N10" s="112">
        <v>1</v>
      </c>
      <c r="O10" s="112"/>
      <c r="P10" s="112"/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2184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46</v>
      </c>
      <c r="D11" s="111"/>
      <c r="E11" s="112"/>
      <c r="F11" s="112"/>
      <c r="G11" s="76"/>
      <c r="H11" s="73"/>
      <c r="I11" s="73">
        <f t="shared" si="4"/>
        <v>46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3462</v>
      </c>
      <c r="D13" s="114">
        <v>14</v>
      </c>
      <c r="E13" s="115"/>
      <c r="F13" s="115"/>
      <c r="G13" s="78">
        <v>34</v>
      </c>
      <c r="H13" s="79">
        <v>27</v>
      </c>
      <c r="I13" s="80">
        <f t="shared" si="4"/>
        <v>3428</v>
      </c>
      <c r="J13" s="94">
        <f>D13-H13</f>
        <v>-13</v>
      </c>
      <c r="K13" s="53"/>
      <c r="L13" s="121">
        <v>6</v>
      </c>
      <c r="M13" s="121">
        <v>7</v>
      </c>
      <c r="N13" s="121">
        <v>16</v>
      </c>
      <c r="O13" s="121">
        <v>17</v>
      </c>
      <c r="P13" s="121">
        <v>12</v>
      </c>
      <c r="Q13" s="122">
        <v>3</v>
      </c>
      <c r="R13" s="97">
        <f>L13+N13+P13</f>
        <v>34</v>
      </c>
      <c r="S13" s="125">
        <f>M13+O13+Q13</f>
        <v>27</v>
      </c>
      <c r="T13" s="53"/>
      <c r="U13" s="131">
        <f>L13*24+N13*24+P13*24</f>
        <v>816</v>
      </c>
      <c r="V13" s="135">
        <f t="shared" si="6"/>
        <v>34</v>
      </c>
      <c r="W13" s="133">
        <f>I13*24+J13</f>
        <v>82259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12</v>
      </c>
      <c r="D29" s="111"/>
      <c r="E29" s="112"/>
      <c r="F29" s="112"/>
      <c r="G29" s="76">
        <v>7</v>
      </c>
      <c r="H29" s="73"/>
      <c r="I29" s="73">
        <f t="shared" si="4"/>
        <v>5</v>
      </c>
      <c r="J29" s="77">
        <f t="shared" si="7"/>
        <v>0</v>
      </c>
      <c r="K29" s="42"/>
      <c r="L29" s="112">
        <v>1</v>
      </c>
      <c r="M29" s="112"/>
      <c r="N29" s="112">
        <v>6</v>
      </c>
      <c r="O29" s="112"/>
      <c r="P29" s="112"/>
      <c r="Q29" s="120"/>
      <c r="R29" s="86">
        <f t="shared" si="8"/>
        <v>7</v>
      </c>
      <c r="S29" s="124">
        <f t="shared" si="8"/>
        <v>0</v>
      </c>
      <c r="T29" s="42"/>
      <c r="U29" s="107">
        <f t="shared" si="5"/>
        <v>168</v>
      </c>
      <c r="V29" s="130">
        <f t="shared" si="6"/>
        <v>7</v>
      </c>
      <c r="W29" s="129">
        <f t="shared" si="9"/>
        <v>120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29</v>
      </c>
      <c r="D30" s="111">
        <v>5</v>
      </c>
      <c r="E30" s="112"/>
      <c r="F30" s="112"/>
      <c r="G30" s="76">
        <v>1</v>
      </c>
      <c r="H30" s="73"/>
      <c r="I30" s="73">
        <f t="shared" si="4"/>
        <v>28</v>
      </c>
      <c r="J30" s="77">
        <f t="shared" si="7"/>
        <v>5</v>
      </c>
      <c r="K30" s="41"/>
      <c r="L30" s="112"/>
      <c r="M30" s="112"/>
      <c r="N30" s="112">
        <v>1</v>
      </c>
      <c r="O30" s="112"/>
      <c r="P30" s="112"/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677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198</v>
      </c>
      <c r="D35" s="111">
        <v>2</v>
      </c>
      <c r="E35" s="112"/>
      <c r="F35" s="112"/>
      <c r="G35" s="76"/>
      <c r="H35" s="73"/>
      <c r="I35" s="73">
        <f t="shared" si="4"/>
        <v>198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4754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3765</v>
      </c>
      <c r="D38" s="114">
        <v>1</v>
      </c>
      <c r="E38" s="115"/>
      <c r="F38" s="115"/>
      <c r="G38" s="78">
        <v>225</v>
      </c>
      <c r="H38" s="79"/>
      <c r="I38" s="80">
        <f t="shared" si="4"/>
        <v>3540</v>
      </c>
      <c r="J38" s="140">
        <f t="shared" si="7"/>
        <v>1</v>
      </c>
      <c r="K38" s="51"/>
      <c r="L38" s="121">
        <v>8</v>
      </c>
      <c r="M38" s="121"/>
      <c r="N38" s="121">
        <v>125</v>
      </c>
      <c r="O38" s="121"/>
      <c r="P38" s="121">
        <v>92</v>
      </c>
      <c r="Q38" s="122"/>
      <c r="R38" s="97">
        <f t="shared" si="8"/>
        <v>225</v>
      </c>
      <c r="S38" s="125">
        <f t="shared" si="8"/>
        <v>0</v>
      </c>
      <c r="T38" s="51"/>
      <c r="U38" s="131">
        <f>L38*6+N38*6+P38*6</f>
        <v>1350</v>
      </c>
      <c r="V38" s="135">
        <f>U38/6</f>
        <v>225</v>
      </c>
      <c r="W38" s="133">
        <f>I38*6+J38</f>
        <v>21241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120</v>
      </c>
      <c r="D41" s="147">
        <v>20</v>
      </c>
      <c r="E41" s="148"/>
      <c r="F41" s="148"/>
      <c r="G41" s="149"/>
      <c r="H41" s="150"/>
      <c r="I41" s="80">
        <f t="shared" si="4"/>
        <v>120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2900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36</v>
      </c>
      <c r="D42" s="164"/>
      <c r="E42" s="165"/>
      <c r="F42" s="165"/>
      <c r="G42" s="166">
        <v>30</v>
      </c>
      <c r="H42" s="167"/>
      <c r="I42" s="181">
        <f t="shared" si="4"/>
        <v>6</v>
      </c>
      <c r="J42" s="168">
        <f t="shared" si="7"/>
        <v>0</v>
      </c>
      <c r="K42" s="169"/>
      <c r="L42" s="165">
        <v>2</v>
      </c>
      <c r="M42" s="165"/>
      <c r="N42" s="165">
        <v>2</v>
      </c>
      <c r="O42" s="165"/>
      <c r="P42" s="165">
        <v>26</v>
      </c>
      <c r="Q42" s="170"/>
      <c r="R42" s="171">
        <f t="shared" si="8"/>
        <v>30</v>
      </c>
      <c r="S42" s="172">
        <f t="shared" si="8"/>
        <v>0</v>
      </c>
      <c r="T42" s="169"/>
      <c r="U42" s="173">
        <f>L42*12+N42*12+P42*12</f>
        <v>360</v>
      </c>
      <c r="V42" s="174">
        <f>U42/12</f>
        <v>30</v>
      </c>
      <c r="W42" s="175">
        <f>I42*12+J42</f>
        <v>72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41143</v>
      </c>
      <c r="D44" s="114">
        <v>4</v>
      </c>
      <c r="E44" s="115"/>
      <c r="F44" s="115"/>
      <c r="G44" s="78">
        <v>1168</v>
      </c>
      <c r="H44" s="79"/>
      <c r="I44" s="182">
        <f t="shared" si="4"/>
        <v>39975</v>
      </c>
      <c r="J44" s="177">
        <f t="shared" si="7"/>
        <v>4</v>
      </c>
      <c r="K44" s="51"/>
      <c r="L44" s="121">
        <v>323</v>
      </c>
      <c r="M44" s="121"/>
      <c r="N44" s="121">
        <v>361</v>
      </c>
      <c r="O44" s="121"/>
      <c r="P44" s="121">
        <v>484</v>
      </c>
      <c r="Q44" s="122"/>
      <c r="R44" s="178">
        <f t="shared" si="8"/>
        <v>1168</v>
      </c>
      <c r="S44" s="179">
        <f t="shared" si="8"/>
        <v>0</v>
      </c>
      <c r="T44" s="51"/>
      <c r="U44" s="131">
        <f>L44*6+N44*6+P44*6</f>
        <v>7008</v>
      </c>
      <c r="V44" s="130">
        <f>U44/6</f>
        <v>1168</v>
      </c>
      <c r="W44" s="133">
        <f>I44*6+J44</f>
        <v>239854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/>
      <c r="H48" s="139"/>
      <c r="I48" s="80">
        <f t="shared" si="4"/>
        <v>2702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16215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51926</v>
      </c>
      <c r="D60" s="54">
        <f>SUM(D8:D59)</f>
        <v>148</v>
      </c>
      <c r="E60" s="44">
        <f>SUM(E8:E59)</f>
        <v>0</v>
      </c>
      <c r="F60" s="44"/>
      <c r="G60" s="28">
        <f>SUM(G8:G59)</f>
        <v>1466</v>
      </c>
      <c r="H60" s="56">
        <f>SUM(H8:H59)</f>
        <v>27</v>
      </c>
      <c r="I60" s="56">
        <f>SUM(I8:I59)</f>
        <v>50460</v>
      </c>
      <c r="J60" s="45">
        <f>SUM(J8:J59)</f>
        <v>121</v>
      </c>
      <c r="K60" s="46"/>
      <c r="L60" s="74">
        <f t="shared" ref="L60:S60" si="21">SUM(L8:L59)</f>
        <v>340</v>
      </c>
      <c r="M60" s="74">
        <f t="shared" si="21"/>
        <v>7</v>
      </c>
      <c r="N60" s="74">
        <f t="shared" si="21"/>
        <v>512</v>
      </c>
      <c r="O60" s="74">
        <f t="shared" si="21"/>
        <v>17</v>
      </c>
      <c r="P60" s="74">
        <f t="shared" si="21"/>
        <v>614</v>
      </c>
      <c r="Q60" s="75">
        <f t="shared" si="21"/>
        <v>3</v>
      </c>
      <c r="R60" s="85">
        <f t="shared" si="21"/>
        <v>1466</v>
      </c>
      <c r="S60" s="84">
        <f t="shared" si="21"/>
        <v>27</v>
      </c>
      <c r="T60" s="46"/>
      <c r="U60" s="43">
        <f>SUM(U8:U59)</f>
        <v>9750</v>
      </c>
      <c r="V60" s="102">
        <f>SUM(V8:V59)</f>
        <v>1466</v>
      </c>
      <c r="W60" s="180">
        <f>SUM(W8:W59)</f>
        <v>378571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2865-D744-4222-B262-492509451D20}">
  <sheetPr>
    <pageSetUpPr fitToPage="1"/>
  </sheetPr>
  <dimension ref="A1:BH90"/>
  <sheetViews>
    <sheetView zoomScale="115" zoomScaleNormal="11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46245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88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/>
      <c r="H8" s="73"/>
      <c r="I8" s="73">
        <f>C8+E8-G8</f>
        <v>34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825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91</v>
      </c>
      <c r="D10" s="111"/>
      <c r="E10" s="112"/>
      <c r="F10" s="112"/>
      <c r="G10" s="76"/>
      <c r="H10" s="73"/>
      <c r="I10" s="93">
        <f t="shared" si="4"/>
        <v>91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2184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46</v>
      </c>
      <c r="D11" s="111"/>
      <c r="E11" s="112"/>
      <c r="F11" s="112"/>
      <c r="G11" s="76"/>
      <c r="H11" s="73"/>
      <c r="I11" s="73">
        <f t="shared" si="4"/>
        <v>46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3427</v>
      </c>
      <c r="D13" s="114">
        <v>11</v>
      </c>
      <c r="E13" s="115"/>
      <c r="F13" s="115"/>
      <c r="G13" s="78">
        <v>33</v>
      </c>
      <c r="H13" s="79">
        <v>35</v>
      </c>
      <c r="I13" s="80">
        <f t="shared" si="4"/>
        <v>3394</v>
      </c>
      <c r="J13" s="94">
        <f>D13-H13</f>
        <v>-24</v>
      </c>
      <c r="K13" s="53"/>
      <c r="L13" s="121">
        <v>8</v>
      </c>
      <c r="M13" s="121">
        <v>14</v>
      </c>
      <c r="N13" s="121">
        <v>10</v>
      </c>
      <c r="O13" s="121">
        <v>18</v>
      </c>
      <c r="P13" s="121">
        <v>15</v>
      </c>
      <c r="Q13" s="122">
        <v>3</v>
      </c>
      <c r="R13" s="97">
        <f>L13+N13+P13</f>
        <v>33</v>
      </c>
      <c r="S13" s="125">
        <f>M13+O13+Q13</f>
        <v>35</v>
      </c>
      <c r="T13" s="53"/>
      <c r="U13" s="131">
        <f>L13*24+N13*24+P13*24</f>
        <v>792</v>
      </c>
      <c r="V13" s="135">
        <f t="shared" si="6"/>
        <v>33</v>
      </c>
      <c r="W13" s="133">
        <f>I13*24+J13</f>
        <v>81432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/>
      <c r="H26" s="73"/>
      <c r="I26" s="73">
        <f t="shared" si="4"/>
        <v>55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1321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>
        <v>5</v>
      </c>
      <c r="F27" s="112"/>
      <c r="G27" s="76"/>
      <c r="H27" s="73"/>
      <c r="I27" s="73">
        <f t="shared" si="4"/>
        <v>5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120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>
        <v>1</v>
      </c>
      <c r="H28" s="73"/>
      <c r="I28" s="73">
        <f t="shared" si="4"/>
        <v>3</v>
      </c>
      <c r="J28" s="77">
        <f t="shared" si="7"/>
        <v>0</v>
      </c>
      <c r="K28" s="42"/>
      <c r="L28" s="112">
        <v>1</v>
      </c>
      <c r="M28" s="112"/>
      <c r="N28" s="112"/>
      <c r="O28" s="112"/>
      <c r="P28" s="112"/>
      <c r="Q28" s="120"/>
      <c r="R28" s="86">
        <f t="shared" si="8"/>
        <v>1</v>
      </c>
      <c r="S28" s="124">
        <f t="shared" si="8"/>
        <v>0</v>
      </c>
      <c r="T28" s="42"/>
      <c r="U28" s="107">
        <f t="shared" si="5"/>
        <v>24</v>
      </c>
      <c r="V28" s="130">
        <f t="shared" si="6"/>
        <v>1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5</v>
      </c>
      <c r="D29" s="111"/>
      <c r="E29" s="112"/>
      <c r="F29" s="112"/>
      <c r="G29" s="76">
        <v>2</v>
      </c>
      <c r="H29" s="73"/>
      <c r="I29" s="73">
        <f t="shared" si="4"/>
        <v>3</v>
      </c>
      <c r="J29" s="77">
        <f t="shared" si="7"/>
        <v>0</v>
      </c>
      <c r="K29" s="42"/>
      <c r="L29" s="112">
        <v>1</v>
      </c>
      <c r="M29" s="112"/>
      <c r="N29" s="112"/>
      <c r="O29" s="112"/>
      <c r="P29" s="112">
        <v>1</v>
      </c>
      <c r="Q29" s="120"/>
      <c r="R29" s="86">
        <f t="shared" si="8"/>
        <v>2</v>
      </c>
      <c r="S29" s="124">
        <f t="shared" si="8"/>
        <v>0</v>
      </c>
      <c r="T29" s="42"/>
      <c r="U29" s="107">
        <f t="shared" si="5"/>
        <v>48</v>
      </c>
      <c r="V29" s="130">
        <f t="shared" si="6"/>
        <v>2</v>
      </c>
      <c r="W29" s="129">
        <f t="shared" si="9"/>
        <v>72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28</v>
      </c>
      <c r="D30" s="111">
        <v>5</v>
      </c>
      <c r="E30" s="112"/>
      <c r="F30" s="112"/>
      <c r="G30" s="76"/>
      <c r="H30" s="73"/>
      <c r="I30" s="73">
        <f t="shared" si="4"/>
        <v>28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677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/>
      <c r="H31" s="73"/>
      <c r="I31" s="73">
        <f t="shared" si="4"/>
        <v>15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360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198</v>
      </c>
      <c r="D35" s="111">
        <v>2</v>
      </c>
      <c r="E35" s="112"/>
      <c r="F35" s="112"/>
      <c r="G35" s="76">
        <v>4</v>
      </c>
      <c r="H35" s="73"/>
      <c r="I35" s="73">
        <f t="shared" si="4"/>
        <v>194</v>
      </c>
      <c r="J35" s="77">
        <f t="shared" si="7"/>
        <v>2</v>
      </c>
      <c r="K35" s="41"/>
      <c r="L35" s="112">
        <v>4</v>
      </c>
      <c r="M35" s="112"/>
      <c r="N35" s="112"/>
      <c r="O35" s="112"/>
      <c r="P35" s="112"/>
      <c r="Q35" s="120"/>
      <c r="R35" s="86">
        <f t="shared" si="8"/>
        <v>4</v>
      </c>
      <c r="S35" s="124">
        <f t="shared" si="8"/>
        <v>0</v>
      </c>
      <c r="T35" s="41"/>
      <c r="U35" s="107">
        <f t="shared" si="5"/>
        <v>96</v>
      </c>
      <c r="V35" s="130">
        <f t="shared" si="6"/>
        <v>4</v>
      </c>
      <c r="W35" s="129">
        <f t="shared" si="9"/>
        <v>4658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3540</v>
      </c>
      <c r="D38" s="114">
        <v>1</v>
      </c>
      <c r="E38" s="115"/>
      <c r="F38" s="115"/>
      <c r="G38" s="78">
        <v>83</v>
      </c>
      <c r="H38" s="79"/>
      <c r="I38" s="80">
        <f t="shared" si="4"/>
        <v>3457</v>
      </c>
      <c r="J38" s="140">
        <f t="shared" si="7"/>
        <v>1</v>
      </c>
      <c r="K38" s="51"/>
      <c r="L38" s="121">
        <v>30</v>
      </c>
      <c r="M38" s="121"/>
      <c r="N38" s="121">
        <v>23</v>
      </c>
      <c r="O38" s="121"/>
      <c r="P38" s="121">
        <v>30</v>
      </c>
      <c r="Q38" s="122"/>
      <c r="R38" s="97">
        <f t="shared" si="8"/>
        <v>83</v>
      </c>
      <c r="S38" s="125">
        <f t="shared" si="8"/>
        <v>0</v>
      </c>
      <c r="T38" s="51"/>
      <c r="U38" s="131">
        <f>L38*6+N38*6+P38*6</f>
        <v>498</v>
      </c>
      <c r="V38" s="135">
        <f>U38/6</f>
        <v>83</v>
      </c>
      <c r="W38" s="133">
        <f>I38*6+J38</f>
        <v>20743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>
        <v>5</v>
      </c>
      <c r="F39" s="112"/>
      <c r="G39" s="76"/>
      <c r="H39" s="73"/>
      <c r="I39" s="93">
        <f t="shared" si="4"/>
        <v>5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120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120</v>
      </c>
      <c r="D41" s="147">
        <v>20</v>
      </c>
      <c r="E41" s="148">
        <v>252</v>
      </c>
      <c r="F41" s="148"/>
      <c r="G41" s="149">
        <v>2</v>
      </c>
      <c r="H41" s="150"/>
      <c r="I41" s="80">
        <f t="shared" si="4"/>
        <v>370</v>
      </c>
      <c r="J41" s="152">
        <f t="shared" si="7"/>
        <v>20</v>
      </c>
      <c r="K41" s="153"/>
      <c r="L41" s="154">
        <v>2</v>
      </c>
      <c r="M41" s="154"/>
      <c r="N41" s="154"/>
      <c r="O41" s="154"/>
      <c r="P41" s="154"/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8900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6</v>
      </c>
      <c r="D42" s="164"/>
      <c r="E42" s="165">
        <v>576</v>
      </c>
      <c r="F42" s="165"/>
      <c r="G42" s="166">
        <v>6</v>
      </c>
      <c r="H42" s="167"/>
      <c r="I42" s="181">
        <f t="shared" si="4"/>
        <v>576</v>
      </c>
      <c r="J42" s="168">
        <f t="shared" si="7"/>
        <v>0</v>
      </c>
      <c r="K42" s="169"/>
      <c r="L42" s="165">
        <v>3</v>
      </c>
      <c r="M42" s="165"/>
      <c r="N42" s="165">
        <v>3</v>
      </c>
      <c r="O42" s="165"/>
      <c r="P42" s="165"/>
      <c r="Q42" s="170"/>
      <c r="R42" s="171">
        <f t="shared" si="8"/>
        <v>6</v>
      </c>
      <c r="S42" s="172">
        <f t="shared" si="8"/>
        <v>0</v>
      </c>
      <c r="T42" s="169"/>
      <c r="U42" s="173">
        <f>L42*12+N42*12+P42*12</f>
        <v>72</v>
      </c>
      <c r="V42" s="174">
        <f>U42/12</f>
        <v>6</v>
      </c>
      <c r="W42" s="175">
        <f>I42*12+J42</f>
        <v>6912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39975</v>
      </c>
      <c r="D44" s="114">
        <v>4</v>
      </c>
      <c r="E44" s="115">
        <v>756</v>
      </c>
      <c r="F44" s="115"/>
      <c r="G44" s="78">
        <v>1164</v>
      </c>
      <c r="H44" s="79"/>
      <c r="I44" s="182">
        <f t="shared" si="4"/>
        <v>39567</v>
      </c>
      <c r="J44" s="177">
        <f t="shared" si="7"/>
        <v>4</v>
      </c>
      <c r="K44" s="51"/>
      <c r="L44" s="121">
        <v>402</v>
      </c>
      <c r="M44" s="121"/>
      <c r="N44" s="121">
        <v>344</v>
      </c>
      <c r="O44" s="121"/>
      <c r="P44" s="121">
        <v>418</v>
      </c>
      <c r="Q44" s="122"/>
      <c r="R44" s="178">
        <f t="shared" si="8"/>
        <v>1164</v>
      </c>
      <c r="S44" s="179">
        <f t="shared" si="8"/>
        <v>0</v>
      </c>
      <c r="T44" s="51"/>
      <c r="U44" s="131">
        <f>L44*6+N44*6+P44*6</f>
        <v>6984</v>
      </c>
      <c r="V44" s="130">
        <f>U44/6</f>
        <v>1164</v>
      </c>
      <c r="W44" s="133">
        <f>I44*6+J44</f>
        <v>237406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>
        <v>5</v>
      </c>
      <c r="F46" s="112"/>
      <c r="G46" s="76"/>
      <c r="H46" s="73"/>
      <c r="I46" s="93">
        <f t="shared" si="4"/>
        <v>5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120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2702</v>
      </c>
      <c r="D48" s="142">
        <v>3</v>
      </c>
      <c r="E48" s="121"/>
      <c r="F48" s="121"/>
      <c r="G48" s="143">
        <v>6</v>
      </c>
      <c r="H48" s="139"/>
      <c r="I48" s="80">
        <f t="shared" si="4"/>
        <v>2696</v>
      </c>
      <c r="J48" s="140">
        <f t="shared" si="7"/>
        <v>3</v>
      </c>
      <c r="K48" s="51"/>
      <c r="L48" s="121">
        <v>6</v>
      </c>
      <c r="M48" s="121"/>
      <c r="N48" s="121"/>
      <c r="O48" s="121"/>
      <c r="P48" s="121"/>
      <c r="Q48" s="122"/>
      <c r="R48" s="97">
        <f t="shared" si="8"/>
        <v>6</v>
      </c>
      <c r="S48" s="144">
        <f t="shared" si="8"/>
        <v>0</v>
      </c>
      <c r="T48" s="51"/>
      <c r="U48" s="131">
        <f>L48*6+N48*6+P48*6</f>
        <v>36</v>
      </c>
      <c r="V48" s="135">
        <f>U48/6</f>
        <v>6</v>
      </c>
      <c r="W48" s="133">
        <f>I48*6+J48</f>
        <v>16179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50459</v>
      </c>
      <c r="D60" s="54">
        <f>SUM(D8:D59)</f>
        <v>145</v>
      </c>
      <c r="E60" s="44">
        <f>SUM(E8:E59)</f>
        <v>1599</v>
      </c>
      <c r="F60" s="44"/>
      <c r="G60" s="28">
        <f>SUM(G8:G59)</f>
        <v>1301</v>
      </c>
      <c r="H60" s="56">
        <f>SUM(H8:H59)</f>
        <v>35</v>
      </c>
      <c r="I60" s="56">
        <f>SUM(I8:I59)</f>
        <v>50757</v>
      </c>
      <c r="J60" s="45">
        <f>SUM(J8:J59)</f>
        <v>110</v>
      </c>
      <c r="K60" s="46"/>
      <c r="L60" s="74">
        <f t="shared" ref="L60:S60" si="21">SUM(L8:L59)</f>
        <v>457</v>
      </c>
      <c r="M60" s="74">
        <f t="shared" si="21"/>
        <v>14</v>
      </c>
      <c r="N60" s="74">
        <f t="shared" si="21"/>
        <v>380</v>
      </c>
      <c r="O60" s="74">
        <f t="shared" si="21"/>
        <v>18</v>
      </c>
      <c r="P60" s="74">
        <f t="shared" si="21"/>
        <v>464</v>
      </c>
      <c r="Q60" s="75">
        <f t="shared" si="21"/>
        <v>3</v>
      </c>
      <c r="R60" s="85">
        <f t="shared" si="21"/>
        <v>1301</v>
      </c>
      <c r="S60" s="84">
        <f t="shared" si="21"/>
        <v>35</v>
      </c>
      <c r="T60" s="46"/>
      <c r="U60" s="43">
        <f>SUM(U8:U59)</f>
        <v>8598</v>
      </c>
      <c r="V60" s="102">
        <f>SUM(V8:V59)</f>
        <v>1301</v>
      </c>
      <c r="W60" s="180">
        <f>SUM(W8:W59)</f>
        <v>387794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6" t="s">
        <v>3</v>
      </c>
      <c r="D69" s="187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C984-7640-4FF6-AB98-89B32DFF90F7}">
  <sheetPr>
    <pageSetUpPr fitToPage="1"/>
  </sheetPr>
  <dimension ref="A1:BH90"/>
  <sheetViews>
    <sheetView topLeftCell="A34" zoomScale="115" zoomScaleNormal="115" zoomScaleSheetLayoutView="85" zoomScalePageLayoutView="80" workbookViewId="0">
      <selection activeCell="C61" sqref="C6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46246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1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34</v>
      </c>
      <c r="D8" s="111">
        <v>9</v>
      </c>
      <c r="E8" s="112"/>
      <c r="F8" s="112"/>
      <c r="G8" s="76">
        <v>1</v>
      </c>
      <c r="H8" s="73"/>
      <c r="I8" s="73">
        <f>C8+E8-G8</f>
        <v>33</v>
      </c>
      <c r="J8" s="77">
        <f t="shared" ref="J8:J12" si="0">D8-H8</f>
        <v>9</v>
      </c>
      <c r="K8" s="41"/>
      <c r="L8" s="112"/>
      <c r="M8" s="112"/>
      <c r="N8" s="112"/>
      <c r="O8" s="112"/>
      <c r="P8" s="112">
        <v>1</v>
      </c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801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91</v>
      </c>
      <c r="D10" s="111"/>
      <c r="E10" s="112"/>
      <c r="F10" s="112"/>
      <c r="G10" s="76"/>
      <c r="H10" s="73"/>
      <c r="I10" s="93">
        <f t="shared" si="4"/>
        <v>91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2184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46</v>
      </c>
      <c r="D11" s="111"/>
      <c r="E11" s="112"/>
      <c r="F11" s="112"/>
      <c r="G11" s="76"/>
      <c r="H11" s="73"/>
      <c r="I11" s="73">
        <f t="shared" si="4"/>
        <v>46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1104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3393</v>
      </c>
      <c r="D13" s="114"/>
      <c r="E13" s="115"/>
      <c r="F13" s="115"/>
      <c r="G13" s="78">
        <v>26</v>
      </c>
      <c r="H13" s="79">
        <v>35</v>
      </c>
      <c r="I13" s="80">
        <f t="shared" si="4"/>
        <v>3367</v>
      </c>
      <c r="J13" s="94">
        <f>D13-H13</f>
        <v>-35</v>
      </c>
      <c r="K13" s="53"/>
      <c r="L13" s="121">
        <v>9</v>
      </c>
      <c r="M13" s="121">
        <v>10</v>
      </c>
      <c r="N13" s="121">
        <v>10</v>
      </c>
      <c r="O13" s="121">
        <v>13</v>
      </c>
      <c r="P13" s="121">
        <v>7</v>
      </c>
      <c r="Q13" s="122">
        <v>12</v>
      </c>
      <c r="R13" s="97">
        <f>L13+N13+P13</f>
        <v>26</v>
      </c>
      <c r="S13" s="125">
        <f>M13+O13+Q13</f>
        <v>35</v>
      </c>
      <c r="T13" s="53"/>
      <c r="U13" s="131">
        <f>L13*24+N13*24+P13*24</f>
        <v>624</v>
      </c>
      <c r="V13" s="135">
        <f t="shared" si="6"/>
        <v>26</v>
      </c>
      <c r="W13" s="133">
        <f>I13*24+J13</f>
        <v>80773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55</v>
      </c>
      <c r="D26" s="111">
        <v>1</v>
      </c>
      <c r="E26" s="112"/>
      <c r="F26" s="112"/>
      <c r="G26" s="76">
        <v>2</v>
      </c>
      <c r="H26" s="73"/>
      <c r="I26" s="73">
        <f t="shared" si="4"/>
        <v>53</v>
      </c>
      <c r="J26" s="77">
        <f t="shared" si="7"/>
        <v>1</v>
      </c>
      <c r="K26" s="41"/>
      <c r="L26" s="112"/>
      <c r="M26" s="112"/>
      <c r="N26" s="112"/>
      <c r="O26" s="112"/>
      <c r="P26" s="112">
        <v>2</v>
      </c>
      <c r="Q26" s="120"/>
      <c r="R26" s="86">
        <f t="shared" si="8"/>
        <v>2</v>
      </c>
      <c r="S26" s="124">
        <f t="shared" si="8"/>
        <v>0</v>
      </c>
      <c r="T26" s="41"/>
      <c r="U26" s="107">
        <f t="shared" si="5"/>
        <v>48</v>
      </c>
      <c r="V26" s="130">
        <f t="shared" si="6"/>
        <v>2</v>
      </c>
      <c r="W26" s="129">
        <f t="shared" si="9"/>
        <v>1273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5</v>
      </c>
      <c r="D27" s="111"/>
      <c r="E27" s="112"/>
      <c r="F27" s="112"/>
      <c r="G27" s="76"/>
      <c r="H27" s="73"/>
      <c r="I27" s="73">
        <f t="shared" si="4"/>
        <v>5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120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3</v>
      </c>
      <c r="D29" s="111"/>
      <c r="E29" s="112"/>
      <c r="F29" s="112"/>
      <c r="G29" s="76">
        <v>3</v>
      </c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>
        <v>3</v>
      </c>
      <c r="Q29" s="120"/>
      <c r="R29" s="86">
        <f t="shared" si="8"/>
        <v>3</v>
      </c>
      <c r="S29" s="124">
        <f t="shared" si="8"/>
        <v>0</v>
      </c>
      <c r="T29" s="42"/>
      <c r="U29" s="107">
        <f t="shared" si="5"/>
        <v>72</v>
      </c>
      <c r="V29" s="130">
        <f t="shared" si="6"/>
        <v>3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28</v>
      </c>
      <c r="D30" s="111">
        <v>5</v>
      </c>
      <c r="E30" s="112"/>
      <c r="F30" s="112"/>
      <c r="G30" s="76">
        <v>1</v>
      </c>
      <c r="H30" s="73"/>
      <c r="I30" s="73">
        <f t="shared" si="4"/>
        <v>27</v>
      </c>
      <c r="J30" s="77">
        <f t="shared" si="7"/>
        <v>5</v>
      </c>
      <c r="K30" s="41"/>
      <c r="L30" s="112"/>
      <c r="M30" s="112"/>
      <c r="N30" s="112"/>
      <c r="O30" s="112"/>
      <c r="P30" s="112">
        <v>1</v>
      </c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653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15</v>
      </c>
      <c r="D31" s="111"/>
      <c r="E31" s="112"/>
      <c r="F31" s="112"/>
      <c r="G31" s="76">
        <v>1</v>
      </c>
      <c r="H31" s="73"/>
      <c r="I31" s="73">
        <f t="shared" si="4"/>
        <v>14</v>
      </c>
      <c r="J31" s="77">
        <f t="shared" si="7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336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194</v>
      </c>
      <c r="D35" s="111">
        <v>2</v>
      </c>
      <c r="E35" s="112"/>
      <c r="F35" s="112"/>
      <c r="G35" s="76"/>
      <c r="H35" s="73"/>
      <c r="I35" s="73">
        <f t="shared" si="4"/>
        <v>194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4658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3457</v>
      </c>
      <c r="D38" s="114">
        <v>1</v>
      </c>
      <c r="E38" s="115"/>
      <c r="F38" s="115"/>
      <c r="G38" s="78">
        <v>93</v>
      </c>
      <c r="H38" s="79"/>
      <c r="I38" s="80">
        <f t="shared" si="4"/>
        <v>3364</v>
      </c>
      <c r="J38" s="140">
        <f t="shared" si="7"/>
        <v>1</v>
      </c>
      <c r="K38" s="51"/>
      <c r="L38" s="121">
        <v>32</v>
      </c>
      <c r="M38" s="121">
        <v>10</v>
      </c>
      <c r="N38" s="121"/>
      <c r="O38" s="121"/>
      <c r="P38" s="121">
        <v>51</v>
      </c>
      <c r="Q38" s="122"/>
      <c r="R38" s="97">
        <f t="shared" si="8"/>
        <v>83</v>
      </c>
      <c r="S38" s="125">
        <f t="shared" si="8"/>
        <v>10</v>
      </c>
      <c r="T38" s="51"/>
      <c r="U38" s="131">
        <f>L38*6+N38*6+P38*6</f>
        <v>498</v>
      </c>
      <c r="V38" s="135">
        <f>U38/6</f>
        <v>83</v>
      </c>
      <c r="W38" s="133">
        <f>I38*6+J38</f>
        <v>20185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5</v>
      </c>
      <c r="D39" s="111"/>
      <c r="E39" s="112"/>
      <c r="F39" s="112"/>
      <c r="G39" s="76"/>
      <c r="H39" s="73"/>
      <c r="I39" s="93">
        <f t="shared" si="4"/>
        <v>5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120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370</v>
      </c>
      <c r="D41" s="147">
        <v>20</v>
      </c>
      <c r="E41" s="148"/>
      <c r="F41" s="148"/>
      <c r="G41" s="149">
        <v>2</v>
      </c>
      <c r="H41" s="150"/>
      <c r="I41" s="80">
        <f t="shared" si="4"/>
        <v>368</v>
      </c>
      <c r="J41" s="152">
        <f t="shared" si="7"/>
        <v>20</v>
      </c>
      <c r="K41" s="153"/>
      <c r="L41" s="154"/>
      <c r="M41" s="154"/>
      <c r="N41" s="154"/>
      <c r="O41" s="154"/>
      <c r="P41" s="154">
        <v>2</v>
      </c>
      <c r="Q41" s="155"/>
      <c r="R41" s="156">
        <f t="shared" si="8"/>
        <v>2</v>
      </c>
      <c r="S41" s="157">
        <f t="shared" si="8"/>
        <v>0</v>
      </c>
      <c r="T41" s="153"/>
      <c r="U41" s="158">
        <f t="shared" si="10"/>
        <v>48</v>
      </c>
      <c r="V41" s="159">
        <f t="shared" si="6"/>
        <v>2</v>
      </c>
      <c r="W41" s="159">
        <f t="shared" si="11"/>
        <v>8852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576</v>
      </c>
      <c r="D42" s="164"/>
      <c r="E42" s="165"/>
      <c r="F42" s="165"/>
      <c r="G42" s="166">
        <v>10</v>
      </c>
      <c r="H42" s="167"/>
      <c r="I42" s="181">
        <f t="shared" si="4"/>
        <v>566</v>
      </c>
      <c r="J42" s="168">
        <f t="shared" si="7"/>
        <v>0</v>
      </c>
      <c r="K42" s="169"/>
      <c r="L42" s="165">
        <v>10</v>
      </c>
      <c r="M42" s="165"/>
      <c r="N42" s="165"/>
      <c r="O42" s="165"/>
      <c r="P42" s="165"/>
      <c r="Q42" s="170"/>
      <c r="R42" s="171">
        <f t="shared" si="8"/>
        <v>10</v>
      </c>
      <c r="S42" s="172">
        <f t="shared" si="8"/>
        <v>0</v>
      </c>
      <c r="T42" s="169"/>
      <c r="U42" s="173">
        <f>L42*12+N42*12+P42*12</f>
        <v>120</v>
      </c>
      <c r="V42" s="174">
        <f>U42/12</f>
        <v>10</v>
      </c>
      <c r="W42" s="175">
        <f>I42*12+J42</f>
        <v>6792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39567</v>
      </c>
      <c r="D44" s="114">
        <v>3</v>
      </c>
      <c r="E44" s="115"/>
      <c r="F44" s="115"/>
      <c r="G44" s="78">
        <v>1286</v>
      </c>
      <c r="H44" s="79"/>
      <c r="I44" s="182">
        <f t="shared" si="4"/>
        <v>38281</v>
      </c>
      <c r="J44" s="177">
        <f t="shared" si="7"/>
        <v>3</v>
      </c>
      <c r="K44" s="51"/>
      <c r="L44" s="121">
        <v>632</v>
      </c>
      <c r="M44" s="121"/>
      <c r="N44" s="121">
        <v>362</v>
      </c>
      <c r="O44" s="121"/>
      <c r="P44" s="121">
        <v>292</v>
      </c>
      <c r="Q44" s="122"/>
      <c r="R44" s="178">
        <f t="shared" si="8"/>
        <v>1286</v>
      </c>
      <c r="S44" s="179">
        <f t="shared" si="8"/>
        <v>0</v>
      </c>
      <c r="T44" s="51"/>
      <c r="U44" s="131">
        <f>L44*6+N44*6+P44*6</f>
        <v>7716</v>
      </c>
      <c r="V44" s="130">
        <f>U44/6</f>
        <v>1286</v>
      </c>
      <c r="W44" s="133">
        <f>I44*6+J44</f>
        <v>229689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5</v>
      </c>
      <c r="D46" s="111"/>
      <c r="E46" s="112"/>
      <c r="F46" s="112"/>
      <c r="G46" s="76"/>
      <c r="H46" s="73"/>
      <c r="I46" s="93">
        <f t="shared" si="4"/>
        <v>5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120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2696</v>
      </c>
      <c r="D48" s="142">
        <v>3</v>
      </c>
      <c r="E48" s="121"/>
      <c r="F48" s="121"/>
      <c r="G48" s="143">
        <v>5</v>
      </c>
      <c r="H48" s="139"/>
      <c r="I48" s="80">
        <f t="shared" si="4"/>
        <v>2691</v>
      </c>
      <c r="J48" s="140">
        <f t="shared" si="7"/>
        <v>3</v>
      </c>
      <c r="K48" s="51"/>
      <c r="L48" s="121">
        <v>5</v>
      </c>
      <c r="M48" s="121"/>
      <c r="N48" s="121"/>
      <c r="O48" s="121"/>
      <c r="P48" s="121"/>
      <c r="Q48" s="122"/>
      <c r="R48" s="97">
        <f t="shared" si="8"/>
        <v>5</v>
      </c>
      <c r="S48" s="144">
        <f t="shared" si="8"/>
        <v>0</v>
      </c>
      <c r="T48" s="51"/>
      <c r="U48" s="131">
        <f>L48*6+N48*6+P48*6</f>
        <v>30</v>
      </c>
      <c r="V48" s="135">
        <f>U48/6</f>
        <v>5</v>
      </c>
      <c r="W48" s="133">
        <f>I48*6+J48</f>
        <v>16149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50756</v>
      </c>
      <c r="D60" s="54">
        <f>SUM(D8:D59)</f>
        <v>133</v>
      </c>
      <c r="E60" s="44">
        <f>SUM(E8:E59)</f>
        <v>0</v>
      </c>
      <c r="F60" s="44"/>
      <c r="G60" s="28">
        <f>SUM(G8:G59)</f>
        <v>1430</v>
      </c>
      <c r="H60" s="56">
        <f>SUM(H8:H59)</f>
        <v>35</v>
      </c>
      <c r="I60" s="56">
        <f>SUM(I8:I59)</f>
        <v>49326</v>
      </c>
      <c r="J60" s="45">
        <f>SUM(J8:J59)</f>
        <v>98</v>
      </c>
      <c r="K60" s="46"/>
      <c r="L60" s="74">
        <f t="shared" ref="L60:S60" si="21">SUM(L8:L59)</f>
        <v>688</v>
      </c>
      <c r="M60" s="74">
        <f t="shared" si="21"/>
        <v>20</v>
      </c>
      <c r="N60" s="74">
        <f t="shared" si="21"/>
        <v>372</v>
      </c>
      <c r="O60" s="74">
        <f t="shared" si="21"/>
        <v>13</v>
      </c>
      <c r="P60" s="74">
        <f t="shared" si="21"/>
        <v>360</v>
      </c>
      <c r="Q60" s="75">
        <f t="shared" si="21"/>
        <v>12</v>
      </c>
      <c r="R60" s="85">
        <f t="shared" si="21"/>
        <v>1420</v>
      </c>
      <c r="S60" s="84">
        <f t="shared" si="21"/>
        <v>45</v>
      </c>
      <c r="T60" s="46"/>
      <c r="U60" s="43">
        <f>SUM(U8:U59)</f>
        <v>9228</v>
      </c>
      <c r="V60" s="102">
        <f>SUM(V8:V59)</f>
        <v>1420</v>
      </c>
      <c r="W60" s="180">
        <f>SUM(W8:W59)</f>
        <v>378470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9691-D32E-4EF3-A38C-64AA92DFEDB5}">
  <sheetPr>
    <pageSetUpPr fitToPage="1"/>
  </sheetPr>
  <dimension ref="A1:BH90"/>
  <sheetViews>
    <sheetView topLeftCell="A35" zoomScale="115" zoomScaleNormal="115" zoomScaleSheetLayoutView="85" zoomScalePageLayoutView="80" workbookViewId="0">
      <selection activeCell="C55" sqref="C55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46247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1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33</v>
      </c>
      <c r="D8" s="111">
        <v>9</v>
      </c>
      <c r="E8" s="112"/>
      <c r="F8" s="112"/>
      <c r="G8" s="76"/>
      <c r="H8" s="73"/>
      <c r="I8" s="73">
        <f>C8+E8-G8</f>
        <v>33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/>
      <c r="H9" s="79"/>
      <c r="I9" s="80">
        <f t="shared" ref="I9:I59" si="4">C9+E9-G9</f>
        <v>87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2100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91</v>
      </c>
      <c r="D10" s="111"/>
      <c r="E10" s="112"/>
      <c r="F10" s="112"/>
      <c r="G10" s="76"/>
      <c r="H10" s="73"/>
      <c r="I10" s="93">
        <f t="shared" si="4"/>
        <v>91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2184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46</v>
      </c>
      <c r="D11" s="111"/>
      <c r="E11" s="112"/>
      <c r="F11" s="112"/>
      <c r="G11" s="76">
        <v>2</v>
      </c>
      <c r="H11" s="73"/>
      <c r="I11" s="73">
        <f t="shared" si="4"/>
        <v>44</v>
      </c>
      <c r="J11" s="77">
        <f t="shared" si="0"/>
        <v>0</v>
      </c>
      <c r="K11" s="41"/>
      <c r="L11" s="112"/>
      <c r="M11" s="112"/>
      <c r="N11" s="112"/>
      <c r="O11" s="112"/>
      <c r="P11" s="112">
        <v>2</v>
      </c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1056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3365</v>
      </c>
      <c r="D13" s="114">
        <v>13</v>
      </c>
      <c r="E13" s="115"/>
      <c r="F13" s="115"/>
      <c r="G13" s="78">
        <v>27</v>
      </c>
      <c r="H13" s="79">
        <v>12</v>
      </c>
      <c r="I13" s="80">
        <f t="shared" si="4"/>
        <v>3338</v>
      </c>
      <c r="J13" s="94">
        <f>D13-H13</f>
        <v>1</v>
      </c>
      <c r="K13" s="53"/>
      <c r="L13" s="121">
        <v>3</v>
      </c>
      <c r="M13" s="121"/>
      <c r="N13" s="121">
        <v>8</v>
      </c>
      <c r="O13" s="121">
        <v>10</v>
      </c>
      <c r="P13" s="121">
        <v>16</v>
      </c>
      <c r="Q13" s="122">
        <v>2</v>
      </c>
      <c r="R13" s="97">
        <f>L13+N13+P13</f>
        <v>27</v>
      </c>
      <c r="S13" s="125">
        <f>M13+O13+Q13</f>
        <v>12</v>
      </c>
      <c r="T13" s="53"/>
      <c r="U13" s="131">
        <f>L13*24+N13*24+P13*24</f>
        <v>648</v>
      </c>
      <c r="V13" s="135">
        <f t="shared" si="6"/>
        <v>27</v>
      </c>
      <c r="W13" s="133">
        <f>I13*24+J13</f>
        <v>80113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53</v>
      </c>
      <c r="D26" s="111">
        <v>1</v>
      </c>
      <c r="E26" s="112"/>
      <c r="F26" s="112"/>
      <c r="G26" s="76">
        <v>4</v>
      </c>
      <c r="H26" s="73"/>
      <c r="I26" s="73">
        <f t="shared" si="4"/>
        <v>49</v>
      </c>
      <c r="J26" s="77">
        <f t="shared" si="7"/>
        <v>1</v>
      </c>
      <c r="K26" s="41"/>
      <c r="L26" s="112">
        <v>2</v>
      </c>
      <c r="M26" s="112"/>
      <c r="N26" s="112"/>
      <c r="O26" s="112"/>
      <c r="P26" s="112">
        <v>2</v>
      </c>
      <c r="Q26" s="120"/>
      <c r="R26" s="86">
        <f t="shared" si="8"/>
        <v>4</v>
      </c>
      <c r="S26" s="124">
        <f t="shared" si="8"/>
        <v>0</v>
      </c>
      <c r="T26" s="41"/>
      <c r="U26" s="107">
        <f t="shared" si="5"/>
        <v>96</v>
      </c>
      <c r="V26" s="130">
        <f t="shared" si="6"/>
        <v>4</v>
      </c>
      <c r="W26" s="129">
        <f t="shared" si="9"/>
        <v>1177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5</v>
      </c>
      <c r="D27" s="111"/>
      <c r="E27" s="112"/>
      <c r="F27" s="112"/>
      <c r="G27" s="76"/>
      <c r="H27" s="73"/>
      <c r="I27" s="73">
        <f t="shared" si="4"/>
        <v>5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120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27</v>
      </c>
      <c r="D30" s="111">
        <v>5</v>
      </c>
      <c r="E30" s="112"/>
      <c r="F30" s="112"/>
      <c r="G30" s="76">
        <v>1</v>
      </c>
      <c r="H30" s="73"/>
      <c r="I30" s="73">
        <f t="shared" si="4"/>
        <v>26</v>
      </c>
      <c r="J30" s="77">
        <f t="shared" si="7"/>
        <v>5</v>
      </c>
      <c r="K30" s="41"/>
      <c r="L30" s="112">
        <v>1</v>
      </c>
      <c r="M30" s="112"/>
      <c r="N30" s="112"/>
      <c r="O30" s="112"/>
      <c r="P30" s="112"/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629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14</v>
      </c>
      <c r="D31" s="111"/>
      <c r="E31" s="112"/>
      <c r="F31" s="112"/>
      <c r="G31" s="76">
        <v>2</v>
      </c>
      <c r="H31" s="73"/>
      <c r="I31" s="73">
        <f t="shared" si="4"/>
        <v>12</v>
      </c>
      <c r="J31" s="77">
        <f t="shared" si="7"/>
        <v>0</v>
      </c>
      <c r="K31" s="41"/>
      <c r="L31" s="112">
        <v>2</v>
      </c>
      <c r="M31" s="112"/>
      <c r="N31" s="112"/>
      <c r="O31" s="112"/>
      <c r="P31" s="112"/>
      <c r="Q31" s="120"/>
      <c r="R31" s="86">
        <f t="shared" si="8"/>
        <v>2</v>
      </c>
      <c r="S31" s="124">
        <f t="shared" si="8"/>
        <v>0</v>
      </c>
      <c r="T31" s="41"/>
      <c r="U31" s="107">
        <f t="shared" si="5"/>
        <v>48</v>
      </c>
      <c r="V31" s="130">
        <f t="shared" si="6"/>
        <v>2</v>
      </c>
      <c r="W31" s="129">
        <f t="shared" si="9"/>
        <v>288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>
        <v>1</v>
      </c>
      <c r="H32" s="73"/>
      <c r="I32" s="73">
        <f t="shared" si="4"/>
        <v>1</v>
      </c>
      <c r="J32" s="77">
        <f t="shared" si="7"/>
        <v>0</v>
      </c>
      <c r="K32" s="41"/>
      <c r="L32" s="112"/>
      <c r="M32" s="112"/>
      <c r="N32" s="112"/>
      <c r="O32" s="112"/>
      <c r="P32" s="112">
        <v>1</v>
      </c>
      <c r="Q32" s="120"/>
      <c r="R32" s="86">
        <f t="shared" si="8"/>
        <v>1</v>
      </c>
      <c r="S32" s="124">
        <f t="shared" si="8"/>
        <v>0</v>
      </c>
      <c r="T32" s="41"/>
      <c r="U32" s="107">
        <f t="shared" si="5"/>
        <v>24</v>
      </c>
      <c r="V32" s="130">
        <f t="shared" si="6"/>
        <v>1</v>
      </c>
      <c r="W32" s="129">
        <f t="shared" si="9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194</v>
      </c>
      <c r="D35" s="111">
        <v>2</v>
      </c>
      <c r="E35" s="112"/>
      <c r="F35" s="112"/>
      <c r="G35" s="76">
        <v>4</v>
      </c>
      <c r="H35" s="73"/>
      <c r="I35" s="73">
        <f t="shared" si="4"/>
        <v>190</v>
      </c>
      <c r="J35" s="77">
        <f t="shared" si="7"/>
        <v>2</v>
      </c>
      <c r="K35" s="41"/>
      <c r="L35" s="112">
        <v>3</v>
      </c>
      <c r="M35" s="112"/>
      <c r="N35" s="112">
        <v>1</v>
      </c>
      <c r="O35" s="112"/>
      <c r="P35" s="112"/>
      <c r="Q35" s="120"/>
      <c r="R35" s="86">
        <f t="shared" si="8"/>
        <v>4</v>
      </c>
      <c r="S35" s="124">
        <f t="shared" si="8"/>
        <v>0</v>
      </c>
      <c r="T35" s="41"/>
      <c r="U35" s="107">
        <f t="shared" si="5"/>
        <v>96</v>
      </c>
      <c r="V35" s="130">
        <f t="shared" si="6"/>
        <v>4</v>
      </c>
      <c r="W35" s="129">
        <f t="shared" si="9"/>
        <v>4562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3364</v>
      </c>
      <c r="D38" s="114">
        <v>1</v>
      </c>
      <c r="E38" s="115"/>
      <c r="F38" s="115"/>
      <c r="G38" s="78">
        <v>154</v>
      </c>
      <c r="H38" s="79"/>
      <c r="I38" s="80">
        <f t="shared" si="4"/>
        <v>3210</v>
      </c>
      <c r="J38" s="140">
        <f t="shared" si="7"/>
        <v>1</v>
      </c>
      <c r="K38" s="51"/>
      <c r="L38" s="121">
        <v>20</v>
      </c>
      <c r="M38" s="121"/>
      <c r="N38" s="121">
        <v>26</v>
      </c>
      <c r="O38" s="121"/>
      <c r="P38" s="121">
        <v>108</v>
      </c>
      <c r="Q38" s="122"/>
      <c r="R38" s="97">
        <f t="shared" si="8"/>
        <v>154</v>
      </c>
      <c r="S38" s="125">
        <f t="shared" si="8"/>
        <v>0</v>
      </c>
      <c r="T38" s="51"/>
      <c r="U38" s="131">
        <f>L38*6+N38*6+P38*6</f>
        <v>924</v>
      </c>
      <c r="V38" s="135">
        <f>U38/6</f>
        <v>154</v>
      </c>
      <c r="W38" s="133">
        <f>I38*6+J38</f>
        <v>19261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5</v>
      </c>
      <c r="D39" s="111"/>
      <c r="E39" s="112"/>
      <c r="F39" s="112"/>
      <c r="G39" s="76">
        <v>1</v>
      </c>
      <c r="H39" s="73"/>
      <c r="I39" s="93">
        <f t="shared" si="4"/>
        <v>4</v>
      </c>
      <c r="J39" s="77">
        <f t="shared" si="7"/>
        <v>0</v>
      </c>
      <c r="K39" s="41"/>
      <c r="L39" s="112"/>
      <c r="M39" s="112"/>
      <c r="N39" s="112"/>
      <c r="O39" s="112"/>
      <c r="P39" s="112">
        <v>1</v>
      </c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96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368</v>
      </c>
      <c r="D41" s="147">
        <v>20</v>
      </c>
      <c r="E41" s="148"/>
      <c r="F41" s="148"/>
      <c r="G41" s="149">
        <v>55</v>
      </c>
      <c r="H41" s="150"/>
      <c r="I41" s="80">
        <f t="shared" si="4"/>
        <v>313</v>
      </c>
      <c r="J41" s="152">
        <f t="shared" si="7"/>
        <v>20</v>
      </c>
      <c r="K41" s="153"/>
      <c r="L41" s="154">
        <v>55</v>
      </c>
      <c r="M41" s="154"/>
      <c r="N41" s="154"/>
      <c r="O41" s="154"/>
      <c r="P41" s="154"/>
      <c r="Q41" s="155"/>
      <c r="R41" s="156">
        <f t="shared" si="8"/>
        <v>55</v>
      </c>
      <c r="S41" s="157">
        <f t="shared" si="8"/>
        <v>0</v>
      </c>
      <c r="T41" s="153"/>
      <c r="U41" s="158">
        <f t="shared" si="10"/>
        <v>1320</v>
      </c>
      <c r="V41" s="159">
        <f t="shared" si="6"/>
        <v>55</v>
      </c>
      <c r="W41" s="159">
        <f t="shared" si="11"/>
        <v>7532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566</v>
      </c>
      <c r="D42" s="164"/>
      <c r="E42" s="165"/>
      <c r="F42" s="165"/>
      <c r="G42" s="166">
        <v>30</v>
      </c>
      <c r="H42" s="167"/>
      <c r="I42" s="181">
        <f t="shared" si="4"/>
        <v>536</v>
      </c>
      <c r="J42" s="168">
        <f t="shared" si="7"/>
        <v>0</v>
      </c>
      <c r="K42" s="169"/>
      <c r="L42" s="165">
        <v>8</v>
      </c>
      <c r="M42" s="165"/>
      <c r="N42" s="165">
        <v>10</v>
      </c>
      <c r="O42" s="165"/>
      <c r="P42" s="165">
        <v>12</v>
      </c>
      <c r="Q42" s="170"/>
      <c r="R42" s="171">
        <f t="shared" si="8"/>
        <v>30</v>
      </c>
      <c r="S42" s="172">
        <f t="shared" si="8"/>
        <v>0</v>
      </c>
      <c r="T42" s="169"/>
      <c r="U42" s="173">
        <f>L42*12+N42*12+P42*12</f>
        <v>360</v>
      </c>
      <c r="V42" s="174">
        <f>U42/12</f>
        <v>30</v>
      </c>
      <c r="W42" s="175">
        <f>I42*12+J42</f>
        <v>6432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38281</v>
      </c>
      <c r="D44" s="114">
        <v>3</v>
      </c>
      <c r="E44" s="115"/>
      <c r="F44" s="115"/>
      <c r="G44" s="78">
        <v>1061</v>
      </c>
      <c r="H44" s="79"/>
      <c r="I44" s="182">
        <f t="shared" si="4"/>
        <v>37220</v>
      </c>
      <c r="J44" s="177">
        <f t="shared" si="7"/>
        <v>3</v>
      </c>
      <c r="K44" s="51"/>
      <c r="L44" s="121">
        <v>347</v>
      </c>
      <c r="M44" s="121"/>
      <c r="N44" s="121">
        <v>345</v>
      </c>
      <c r="O44" s="121"/>
      <c r="P44" s="121">
        <v>369</v>
      </c>
      <c r="Q44" s="122"/>
      <c r="R44" s="178">
        <f t="shared" si="8"/>
        <v>1061</v>
      </c>
      <c r="S44" s="179">
        <f t="shared" si="8"/>
        <v>0</v>
      </c>
      <c r="T44" s="51"/>
      <c r="U44" s="131">
        <f>L44*6+N44*6+P44*6</f>
        <v>6366</v>
      </c>
      <c r="V44" s="130">
        <f>U44/6</f>
        <v>1061</v>
      </c>
      <c r="W44" s="133">
        <f>I44*6+J44</f>
        <v>223323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5</v>
      </c>
      <c r="D46" s="111"/>
      <c r="E46" s="112"/>
      <c r="F46" s="112"/>
      <c r="G46" s="76"/>
      <c r="H46" s="73"/>
      <c r="I46" s="93">
        <f t="shared" si="4"/>
        <v>5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120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2691</v>
      </c>
      <c r="D48" s="142">
        <v>3</v>
      </c>
      <c r="E48" s="121"/>
      <c r="F48" s="121"/>
      <c r="G48" s="143"/>
      <c r="H48" s="139"/>
      <c r="I48" s="80">
        <f t="shared" si="4"/>
        <v>2691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16149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>
        <v>10</v>
      </c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>
        <v>10</v>
      </c>
      <c r="Q50" s="120"/>
      <c r="R50" s="86">
        <f t="shared" si="8"/>
        <v>10</v>
      </c>
      <c r="S50" s="124">
        <f t="shared" si="8"/>
        <v>0</v>
      </c>
      <c r="T50" s="41"/>
      <c r="U50" s="107">
        <f t="shared" si="15"/>
        <v>240</v>
      </c>
      <c r="V50" s="130">
        <f t="shared" si="16"/>
        <v>10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49324</v>
      </c>
      <c r="D60" s="54">
        <f>SUM(D8:D59)</f>
        <v>146</v>
      </c>
      <c r="E60" s="44">
        <f>SUM(E8:E59)</f>
        <v>0</v>
      </c>
      <c r="F60" s="44"/>
      <c r="G60" s="28">
        <f>SUM(G8:G59)</f>
        <v>1352</v>
      </c>
      <c r="H60" s="56">
        <f>SUM(H8:H59)</f>
        <v>12</v>
      </c>
      <c r="I60" s="56">
        <f>SUM(I8:I59)</f>
        <v>47972</v>
      </c>
      <c r="J60" s="45">
        <f>SUM(J8:J59)</f>
        <v>134</v>
      </c>
      <c r="K60" s="46"/>
      <c r="L60" s="74">
        <f t="shared" ref="L60:S60" si="21">SUM(L8:L59)</f>
        <v>441</v>
      </c>
      <c r="M60" s="74">
        <f t="shared" si="21"/>
        <v>0</v>
      </c>
      <c r="N60" s="74">
        <f t="shared" si="21"/>
        <v>390</v>
      </c>
      <c r="O60" s="74">
        <f t="shared" si="21"/>
        <v>10</v>
      </c>
      <c r="P60" s="74">
        <f t="shared" si="21"/>
        <v>521</v>
      </c>
      <c r="Q60" s="75">
        <f t="shared" si="21"/>
        <v>2</v>
      </c>
      <c r="R60" s="85">
        <f t="shared" si="21"/>
        <v>1352</v>
      </c>
      <c r="S60" s="84">
        <f t="shared" si="21"/>
        <v>12</v>
      </c>
      <c r="T60" s="46"/>
      <c r="U60" s="43">
        <f>SUM(U8:U59)</f>
        <v>10218</v>
      </c>
      <c r="V60" s="102">
        <f>SUM(V8:V59)</f>
        <v>1352</v>
      </c>
      <c r="W60" s="180">
        <f>SUM(W8:W59)</f>
        <v>368240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866B-6F1F-4678-A0E6-52EC5609CFD0}">
  <sheetPr>
    <pageSetUpPr fitToPage="1"/>
  </sheetPr>
  <dimension ref="A1:BH90"/>
  <sheetViews>
    <sheetView topLeftCell="A32" zoomScaleNormal="100" zoomScaleSheetLayoutView="85" zoomScalePageLayoutView="80" workbookViewId="0">
      <selection activeCell="C50" sqref="C5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46248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1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33</v>
      </c>
      <c r="D8" s="111">
        <v>9</v>
      </c>
      <c r="E8" s="112"/>
      <c r="F8" s="112"/>
      <c r="G8" s="76"/>
      <c r="H8" s="73"/>
      <c r="I8" s="73">
        <f>C8+E8-G8</f>
        <v>33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87</v>
      </c>
      <c r="D9" s="114">
        <v>12</v>
      </c>
      <c r="E9" s="115"/>
      <c r="F9" s="115"/>
      <c r="G9" s="78">
        <v>1</v>
      </c>
      <c r="H9" s="79"/>
      <c r="I9" s="80">
        <f t="shared" ref="I9:I59" si="4">C9+E9-G9</f>
        <v>86</v>
      </c>
      <c r="J9" s="94">
        <f t="shared" si="0"/>
        <v>12</v>
      </c>
      <c r="K9" s="51"/>
      <c r="L9" s="121">
        <v>1</v>
      </c>
      <c r="M9" s="121"/>
      <c r="N9" s="121"/>
      <c r="O9" s="121"/>
      <c r="P9" s="121"/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2076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91</v>
      </c>
      <c r="D10" s="111"/>
      <c r="E10" s="112"/>
      <c r="F10" s="112"/>
      <c r="G10" s="76"/>
      <c r="H10" s="73"/>
      <c r="I10" s="93">
        <f t="shared" si="4"/>
        <v>91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2184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44</v>
      </c>
      <c r="D11" s="111"/>
      <c r="E11" s="112"/>
      <c r="F11" s="112"/>
      <c r="G11" s="76">
        <v>3</v>
      </c>
      <c r="H11" s="73"/>
      <c r="I11" s="73">
        <f t="shared" si="4"/>
        <v>41</v>
      </c>
      <c r="J11" s="77">
        <f t="shared" si="0"/>
        <v>0</v>
      </c>
      <c r="K11" s="41"/>
      <c r="L11" s="112">
        <v>2</v>
      </c>
      <c r="M11" s="112"/>
      <c r="N11" s="112"/>
      <c r="O11" s="112"/>
      <c r="P11" s="112">
        <v>1</v>
      </c>
      <c r="Q11" s="120"/>
      <c r="R11" s="86">
        <f t="shared" si="1"/>
        <v>3</v>
      </c>
      <c r="S11" s="124">
        <f t="shared" si="1"/>
        <v>0</v>
      </c>
      <c r="T11" s="41"/>
      <c r="U11" s="107">
        <f>L11*24+N11*24+P11*24</f>
        <v>72</v>
      </c>
      <c r="V11" s="130">
        <f>U11/24</f>
        <v>3</v>
      </c>
      <c r="W11" s="129">
        <f t="shared" si="2"/>
        <v>984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3338</v>
      </c>
      <c r="D13" s="114">
        <v>1</v>
      </c>
      <c r="E13" s="115"/>
      <c r="F13" s="115"/>
      <c r="G13" s="78">
        <v>28</v>
      </c>
      <c r="H13" s="79">
        <v>22</v>
      </c>
      <c r="I13" s="80">
        <f t="shared" si="4"/>
        <v>3310</v>
      </c>
      <c r="J13" s="94">
        <f>D13-H13</f>
        <v>-21</v>
      </c>
      <c r="K13" s="53"/>
      <c r="L13" s="121">
        <v>2</v>
      </c>
      <c r="M13" s="121">
        <v>15</v>
      </c>
      <c r="N13" s="121">
        <v>9</v>
      </c>
      <c r="O13" s="121">
        <v>2</v>
      </c>
      <c r="P13" s="121">
        <v>17</v>
      </c>
      <c r="Q13" s="122">
        <v>5</v>
      </c>
      <c r="R13" s="97">
        <f>L13+N13+P13</f>
        <v>28</v>
      </c>
      <c r="S13" s="125">
        <f>M13+O13+Q13</f>
        <v>22</v>
      </c>
      <c r="T13" s="53"/>
      <c r="U13" s="131">
        <f>L13*24+N13*24+P13*24</f>
        <v>672</v>
      </c>
      <c r="V13" s="135">
        <f t="shared" si="6"/>
        <v>28</v>
      </c>
      <c r="W13" s="133">
        <f>I13*24+J13</f>
        <v>79419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49</v>
      </c>
      <c r="D26" s="111">
        <v>1</v>
      </c>
      <c r="E26" s="112"/>
      <c r="F26" s="112"/>
      <c r="G26" s="76"/>
      <c r="H26" s="73"/>
      <c r="I26" s="73">
        <f t="shared" si="4"/>
        <v>49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1177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5</v>
      </c>
      <c r="D27" s="111"/>
      <c r="E27" s="112"/>
      <c r="F27" s="112"/>
      <c r="G27" s="76">
        <v>3</v>
      </c>
      <c r="H27" s="73"/>
      <c r="I27" s="73">
        <f t="shared" si="4"/>
        <v>2</v>
      </c>
      <c r="J27" s="77">
        <f t="shared" si="7"/>
        <v>0</v>
      </c>
      <c r="K27" s="42"/>
      <c r="L27" s="112"/>
      <c r="M27" s="112"/>
      <c r="N27" s="112"/>
      <c r="O27" s="112"/>
      <c r="P27" s="112">
        <v>3</v>
      </c>
      <c r="Q27" s="120"/>
      <c r="R27" s="86">
        <f t="shared" si="8"/>
        <v>3</v>
      </c>
      <c r="S27" s="124">
        <f t="shared" si="8"/>
        <v>0</v>
      </c>
      <c r="T27" s="42"/>
      <c r="U27" s="107">
        <f t="shared" si="5"/>
        <v>72</v>
      </c>
      <c r="V27" s="130">
        <f t="shared" si="6"/>
        <v>3</v>
      </c>
      <c r="W27" s="129">
        <f t="shared" si="9"/>
        <v>48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26</v>
      </c>
      <c r="D30" s="111">
        <v>5</v>
      </c>
      <c r="E30" s="112"/>
      <c r="F30" s="112"/>
      <c r="G30" s="76"/>
      <c r="H30" s="73"/>
      <c r="I30" s="73">
        <f t="shared" si="4"/>
        <v>26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629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12</v>
      </c>
      <c r="D31" s="111"/>
      <c r="E31" s="112"/>
      <c r="F31" s="112"/>
      <c r="G31" s="76"/>
      <c r="H31" s="73"/>
      <c r="I31" s="73">
        <f t="shared" si="4"/>
        <v>12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288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1</v>
      </c>
      <c r="D32" s="111"/>
      <c r="E32" s="112"/>
      <c r="F32" s="112"/>
      <c r="G32" s="76">
        <v>1</v>
      </c>
      <c r="H32" s="73"/>
      <c r="I32" s="73">
        <f t="shared" si="4"/>
        <v>0</v>
      </c>
      <c r="J32" s="77">
        <f t="shared" si="7"/>
        <v>0</v>
      </c>
      <c r="K32" s="41"/>
      <c r="L32" s="112">
        <v>1</v>
      </c>
      <c r="M32" s="112"/>
      <c r="N32" s="112"/>
      <c r="O32" s="112"/>
      <c r="P32" s="112"/>
      <c r="Q32" s="120"/>
      <c r="R32" s="86">
        <f t="shared" si="8"/>
        <v>1</v>
      </c>
      <c r="S32" s="124">
        <f t="shared" si="8"/>
        <v>0</v>
      </c>
      <c r="T32" s="41"/>
      <c r="U32" s="107">
        <f t="shared" si="5"/>
        <v>24</v>
      </c>
      <c r="V32" s="130">
        <f t="shared" si="6"/>
        <v>1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190</v>
      </c>
      <c r="D35" s="111">
        <v>2</v>
      </c>
      <c r="E35" s="112"/>
      <c r="F35" s="112"/>
      <c r="G35" s="76">
        <v>1</v>
      </c>
      <c r="H35" s="73"/>
      <c r="I35" s="73">
        <f t="shared" si="4"/>
        <v>189</v>
      </c>
      <c r="J35" s="77">
        <f t="shared" si="7"/>
        <v>2</v>
      </c>
      <c r="K35" s="41"/>
      <c r="L35" s="112"/>
      <c r="M35" s="112"/>
      <c r="N35" s="112"/>
      <c r="O35" s="112"/>
      <c r="P35" s="112">
        <v>1</v>
      </c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4538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3210</v>
      </c>
      <c r="D38" s="114">
        <v>1</v>
      </c>
      <c r="E38" s="115"/>
      <c r="F38" s="115"/>
      <c r="G38" s="78">
        <v>104</v>
      </c>
      <c r="H38" s="79"/>
      <c r="I38" s="80">
        <f t="shared" si="4"/>
        <v>3106</v>
      </c>
      <c r="J38" s="140">
        <f t="shared" si="7"/>
        <v>1</v>
      </c>
      <c r="K38" s="51"/>
      <c r="L38" s="121">
        <v>14</v>
      </c>
      <c r="M38" s="121"/>
      <c r="N38" s="121">
        <v>10</v>
      </c>
      <c r="O38" s="121"/>
      <c r="P38" s="121">
        <v>80</v>
      </c>
      <c r="Q38" s="122"/>
      <c r="R38" s="97">
        <f t="shared" si="8"/>
        <v>104</v>
      </c>
      <c r="S38" s="125">
        <f t="shared" si="8"/>
        <v>0</v>
      </c>
      <c r="T38" s="51"/>
      <c r="U38" s="131">
        <f>L38*6+N38*6+P38*6</f>
        <v>624</v>
      </c>
      <c r="V38" s="135">
        <f>U38/6</f>
        <v>104</v>
      </c>
      <c r="W38" s="133">
        <f>I38*6+J38</f>
        <v>18637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4</v>
      </c>
      <c r="D39" s="111"/>
      <c r="E39" s="112"/>
      <c r="F39" s="112"/>
      <c r="G39" s="76">
        <v>3</v>
      </c>
      <c r="H39" s="73"/>
      <c r="I39" s="93">
        <f t="shared" si="4"/>
        <v>1</v>
      </c>
      <c r="J39" s="77">
        <f t="shared" si="7"/>
        <v>0</v>
      </c>
      <c r="K39" s="41"/>
      <c r="L39" s="112"/>
      <c r="M39" s="112"/>
      <c r="N39" s="112"/>
      <c r="O39" s="112"/>
      <c r="P39" s="112">
        <v>3</v>
      </c>
      <c r="Q39" s="120"/>
      <c r="R39" s="96">
        <f t="shared" si="8"/>
        <v>3</v>
      </c>
      <c r="S39" s="126">
        <f t="shared" si="8"/>
        <v>0</v>
      </c>
      <c r="T39" s="41"/>
      <c r="U39" s="107">
        <f t="shared" ref="U39:U41" si="10">L39*24+N39*24+P39*24</f>
        <v>72</v>
      </c>
      <c r="V39" s="109">
        <f t="shared" si="6"/>
        <v>3</v>
      </c>
      <c r="W39" s="129">
        <f t="shared" ref="W39:W41" si="11">I39*24+J39</f>
        <v>24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313</v>
      </c>
      <c r="D41" s="147">
        <v>20</v>
      </c>
      <c r="E41" s="148"/>
      <c r="F41" s="148"/>
      <c r="G41" s="149">
        <v>1</v>
      </c>
      <c r="H41" s="150"/>
      <c r="I41" s="80">
        <f t="shared" si="4"/>
        <v>312</v>
      </c>
      <c r="J41" s="152">
        <f t="shared" si="7"/>
        <v>20</v>
      </c>
      <c r="K41" s="153"/>
      <c r="L41" s="154"/>
      <c r="M41" s="154"/>
      <c r="N41" s="154"/>
      <c r="O41" s="154"/>
      <c r="P41" s="154">
        <v>1</v>
      </c>
      <c r="Q41" s="155"/>
      <c r="R41" s="156">
        <f t="shared" si="8"/>
        <v>1</v>
      </c>
      <c r="S41" s="157">
        <f t="shared" si="8"/>
        <v>0</v>
      </c>
      <c r="T41" s="153"/>
      <c r="U41" s="158">
        <f t="shared" si="10"/>
        <v>24</v>
      </c>
      <c r="V41" s="159">
        <f t="shared" si="6"/>
        <v>1</v>
      </c>
      <c r="W41" s="159">
        <f t="shared" si="11"/>
        <v>7508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536</v>
      </c>
      <c r="D42" s="164"/>
      <c r="E42" s="165"/>
      <c r="F42" s="165"/>
      <c r="G42" s="166">
        <v>37</v>
      </c>
      <c r="H42" s="167"/>
      <c r="I42" s="181">
        <f t="shared" si="4"/>
        <v>499</v>
      </c>
      <c r="J42" s="168">
        <f t="shared" si="7"/>
        <v>0</v>
      </c>
      <c r="K42" s="169"/>
      <c r="L42" s="165">
        <v>10</v>
      </c>
      <c r="M42" s="165"/>
      <c r="N42" s="165">
        <v>2</v>
      </c>
      <c r="O42" s="165"/>
      <c r="P42" s="165">
        <v>25</v>
      </c>
      <c r="Q42" s="170"/>
      <c r="R42" s="171">
        <f t="shared" si="8"/>
        <v>37</v>
      </c>
      <c r="S42" s="172">
        <f t="shared" si="8"/>
        <v>0</v>
      </c>
      <c r="T42" s="169"/>
      <c r="U42" s="173">
        <f>L42*12+N42*12+P42*12</f>
        <v>444</v>
      </c>
      <c r="V42" s="174">
        <f>U42/12</f>
        <v>37</v>
      </c>
      <c r="W42" s="175">
        <f>I42*12+J42</f>
        <v>5988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37220</v>
      </c>
      <c r="D44" s="114">
        <v>3</v>
      </c>
      <c r="E44" s="115"/>
      <c r="F44" s="115"/>
      <c r="G44" s="78">
        <v>1206</v>
      </c>
      <c r="H44" s="79"/>
      <c r="I44" s="182">
        <f t="shared" si="4"/>
        <v>36014</v>
      </c>
      <c r="J44" s="177">
        <f t="shared" si="7"/>
        <v>3</v>
      </c>
      <c r="K44" s="51"/>
      <c r="L44" s="121">
        <v>412</v>
      </c>
      <c r="M44" s="121"/>
      <c r="N44" s="121">
        <v>288</v>
      </c>
      <c r="O44" s="121"/>
      <c r="P44" s="121">
        <v>506</v>
      </c>
      <c r="Q44" s="122"/>
      <c r="R44" s="178">
        <f t="shared" si="8"/>
        <v>1206</v>
      </c>
      <c r="S44" s="179">
        <f t="shared" si="8"/>
        <v>0</v>
      </c>
      <c r="T44" s="51"/>
      <c r="U44" s="131">
        <f>L44*6+N44*6+P44*6</f>
        <v>7236</v>
      </c>
      <c r="V44" s="130">
        <f>U44/6</f>
        <v>1206</v>
      </c>
      <c r="W44" s="133">
        <f>I44*6+J44</f>
        <v>216087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5</v>
      </c>
      <c r="D46" s="111"/>
      <c r="E46" s="112"/>
      <c r="F46" s="112"/>
      <c r="G46" s="76">
        <v>4</v>
      </c>
      <c r="H46" s="73"/>
      <c r="I46" s="93">
        <f t="shared" si="4"/>
        <v>1</v>
      </c>
      <c r="J46" s="77">
        <f t="shared" si="7"/>
        <v>0</v>
      </c>
      <c r="K46" s="41"/>
      <c r="L46" s="112">
        <v>1</v>
      </c>
      <c r="M46" s="112"/>
      <c r="N46" s="112"/>
      <c r="O46" s="112"/>
      <c r="P46" s="112">
        <v>3</v>
      </c>
      <c r="Q46" s="120"/>
      <c r="R46" s="86">
        <f t="shared" si="8"/>
        <v>4</v>
      </c>
      <c r="S46" s="128">
        <f t="shared" si="8"/>
        <v>0</v>
      </c>
      <c r="T46" s="41"/>
      <c r="U46" s="107">
        <f t="shared" ref="U46:U47" si="12">L46*24+N46*24+P46*24</f>
        <v>96</v>
      </c>
      <c r="V46" s="134">
        <f t="shared" ref="V46:V47" si="13">U46/24</f>
        <v>4</v>
      </c>
      <c r="W46" s="129">
        <f t="shared" ref="W46:W47" si="14">I46*24+J46</f>
        <v>24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2691</v>
      </c>
      <c r="D48" s="142">
        <v>3</v>
      </c>
      <c r="E48" s="121"/>
      <c r="F48" s="121"/>
      <c r="G48" s="143">
        <v>5</v>
      </c>
      <c r="H48" s="139"/>
      <c r="I48" s="80">
        <f t="shared" si="4"/>
        <v>2686</v>
      </c>
      <c r="J48" s="140">
        <f t="shared" si="7"/>
        <v>3</v>
      </c>
      <c r="K48" s="51"/>
      <c r="L48" s="121">
        <v>5</v>
      </c>
      <c r="M48" s="121"/>
      <c r="N48" s="121"/>
      <c r="O48" s="121"/>
      <c r="P48" s="121"/>
      <c r="Q48" s="122"/>
      <c r="R48" s="97">
        <f t="shared" si="8"/>
        <v>5</v>
      </c>
      <c r="S48" s="144">
        <f t="shared" si="8"/>
        <v>0</v>
      </c>
      <c r="T48" s="51"/>
      <c r="U48" s="131">
        <f>L48*6+N48*6+P48*6</f>
        <v>30</v>
      </c>
      <c r="V48" s="135">
        <f>U48/6</f>
        <v>5</v>
      </c>
      <c r="W48" s="133">
        <f>I48*6+J48</f>
        <v>16119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47972</v>
      </c>
      <c r="D60" s="54">
        <f>SUM(D8:D59)</f>
        <v>134</v>
      </c>
      <c r="E60" s="44">
        <f>SUM(E8:E59)</f>
        <v>0</v>
      </c>
      <c r="F60" s="44"/>
      <c r="G60" s="28">
        <f>SUM(G8:G59)</f>
        <v>1397</v>
      </c>
      <c r="H60" s="56">
        <f>SUM(H8:H59)</f>
        <v>22</v>
      </c>
      <c r="I60" s="56">
        <f>SUM(I8:I59)</f>
        <v>46575</v>
      </c>
      <c r="J60" s="45">
        <f>SUM(J8:J59)</f>
        <v>112</v>
      </c>
      <c r="K60" s="46"/>
      <c r="L60" s="74">
        <f t="shared" ref="L60:S60" si="21">SUM(L8:L59)</f>
        <v>448</v>
      </c>
      <c r="M60" s="74">
        <f t="shared" si="21"/>
        <v>15</v>
      </c>
      <c r="N60" s="74">
        <f t="shared" si="21"/>
        <v>309</v>
      </c>
      <c r="O60" s="74">
        <f t="shared" si="21"/>
        <v>2</v>
      </c>
      <c r="P60" s="74">
        <f t="shared" si="21"/>
        <v>640</v>
      </c>
      <c r="Q60" s="75">
        <f t="shared" si="21"/>
        <v>5</v>
      </c>
      <c r="R60" s="85">
        <f t="shared" si="21"/>
        <v>1397</v>
      </c>
      <c r="S60" s="84">
        <f t="shared" si="21"/>
        <v>22</v>
      </c>
      <c r="T60" s="46"/>
      <c r="U60" s="43">
        <f>SUM(U8:U59)</f>
        <v>9414</v>
      </c>
      <c r="V60" s="102">
        <f>SUM(V8:V59)</f>
        <v>1397</v>
      </c>
      <c r="W60" s="180">
        <f>SUM(W8:W59)</f>
        <v>358804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9" t="s">
        <v>3</v>
      </c>
      <c r="D69" s="190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6A9D-0226-470A-B84C-2D03A69F471A}">
  <sheetPr>
    <pageSetUpPr fitToPage="1"/>
  </sheetPr>
  <dimension ref="A1:BH90"/>
  <sheetViews>
    <sheetView zoomScale="112" zoomScaleNormal="112" zoomScaleSheetLayoutView="85" zoomScalePageLayoutView="80" workbookViewId="0">
      <selection activeCell="AE58" sqref="AE58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46249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4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33</v>
      </c>
      <c r="D8" s="111">
        <v>9</v>
      </c>
      <c r="E8" s="112"/>
      <c r="F8" s="112"/>
      <c r="G8" s="76"/>
      <c r="H8" s="73"/>
      <c r="I8" s="73">
        <f>C8+E8-G8</f>
        <v>33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86</v>
      </c>
      <c r="D9" s="114">
        <v>12</v>
      </c>
      <c r="E9" s="115"/>
      <c r="F9" s="115"/>
      <c r="G9" s="78">
        <v>1</v>
      </c>
      <c r="H9" s="79"/>
      <c r="I9" s="80">
        <f t="shared" ref="I9:I59" si="4">C9+E9-G9</f>
        <v>85</v>
      </c>
      <c r="J9" s="94">
        <f t="shared" si="0"/>
        <v>12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2052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91</v>
      </c>
      <c r="D10" s="111"/>
      <c r="E10" s="112"/>
      <c r="F10" s="112"/>
      <c r="G10" s="76">
        <v>1</v>
      </c>
      <c r="H10" s="73"/>
      <c r="I10" s="93">
        <f t="shared" si="4"/>
        <v>90</v>
      </c>
      <c r="J10" s="95">
        <f t="shared" si="0"/>
        <v>0</v>
      </c>
      <c r="K10" s="41"/>
      <c r="L10" s="112"/>
      <c r="M10" s="112"/>
      <c r="N10" s="112"/>
      <c r="O10" s="112"/>
      <c r="P10" s="112">
        <v>1</v>
      </c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2160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41</v>
      </c>
      <c r="D11" s="111"/>
      <c r="E11" s="112"/>
      <c r="F11" s="112"/>
      <c r="G11" s="76"/>
      <c r="H11" s="73"/>
      <c r="I11" s="73">
        <f t="shared" si="4"/>
        <v>41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984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3309</v>
      </c>
      <c r="D13" s="114">
        <v>3</v>
      </c>
      <c r="E13" s="115"/>
      <c r="F13" s="115"/>
      <c r="G13" s="78">
        <v>20</v>
      </c>
      <c r="H13" s="79">
        <v>1</v>
      </c>
      <c r="I13" s="80">
        <f t="shared" si="4"/>
        <v>3289</v>
      </c>
      <c r="J13" s="94">
        <f>D13-H13</f>
        <v>2</v>
      </c>
      <c r="K13" s="53"/>
      <c r="L13" s="121"/>
      <c r="M13" s="121"/>
      <c r="N13" s="121"/>
      <c r="O13" s="121"/>
      <c r="P13" s="121">
        <v>20</v>
      </c>
      <c r="Q13" s="122"/>
      <c r="R13" s="97">
        <f>L13+N13+P13</f>
        <v>20</v>
      </c>
      <c r="S13" s="125">
        <f>M13+O13+Q13</f>
        <v>0</v>
      </c>
      <c r="T13" s="53"/>
      <c r="U13" s="131">
        <f>L13*24+N13*24+P13*24</f>
        <v>480</v>
      </c>
      <c r="V13" s="135">
        <f t="shared" si="6"/>
        <v>20</v>
      </c>
      <c r="W13" s="133">
        <f>I13*24+J13</f>
        <v>78938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49</v>
      </c>
      <c r="D26" s="111">
        <v>1</v>
      </c>
      <c r="E26" s="112"/>
      <c r="F26" s="112"/>
      <c r="G26" s="76">
        <v>5</v>
      </c>
      <c r="H26" s="73"/>
      <c r="I26" s="73">
        <f t="shared" si="4"/>
        <v>44</v>
      </c>
      <c r="J26" s="77">
        <f t="shared" si="7"/>
        <v>1</v>
      </c>
      <c r="K26" s="41"/>
      <c r="L26" s="112"/>
      <c r="M26" s="112"/>
      <c r="N26" s="112"/>
      <c r="O26" s="112"/>
      <c r="P26" s="112">
        <v>5</v>
      </c>
      <c r="Q26" s="120"/>
      <c r="R26" s="86">
        <f t="shared" si="8"/>
        <v>5</v>
      </c>
      <c r="S26" s="124">
        <f t="shared" si="8"/>
        <v>0</v>
      </c>
      <c r="T26" s="41"/>
      <c r="U26" s="107">
        <f t="shared" si="5"/>
        <v>120</v>
      </c>
      <c r="V26" s="130">
        <f t="shared" si="6"/>
        <v>5</v>
      </c>
      <c r="W26" s="129">
        <f t="shared" si="9"/>
        <v>1057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2</v>
      </c>
      <c r="D27" s="111"/>
      <c r="E27" s="112"/>
      <c r="F27" s="112"/>
      <c r="G27" s="76"/>
      <c r="H27" s="73"/>
      <c r="I27" s="73">
        <f t="shared" si="4"/>
        <v>2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48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26</v>
      </c>
      <c r="D30" s="111">
        <v>5</v>
      </c>
      <c r="E30" s="112"/>
      <c r="F30" s="112"/>
      <c r="G30" s="76">
        <v>2</v>
      </c>
      <c r="H30" s="73"/>
      <c r="I30" s="73">
        <f t="shared" si="4"/>
        <v>24</v>
      </c>
      <c r="J30" s="77">
        <f t="shared" si="7"/>
        <v>5</v>
      </c>
      <c r="K30" s="41"/>
      <c r="L30" s="112"/>
      <c r="M30" s="112"/>
      <c r="N30" s="112"/>
      <c r="O30" s="112"/>
      <c r="P30" s="112">
        <v>2</v>
      </c>
      <c r="Q30" s="120"/>
      <c r="R30" s="86">
        <f t="shared" si="8"/>
        <v>2</v>
      </c>
      <c r="S30" s="124">
        <f t="shared" si="8"/>
        <v>0</v>
      </c>
      <c r="T30" s="41"/>
      <c r="U30" s="107">
        <f t="shared" si="5"/>
        <v>48</v>
      </c>
      <c r="V30" s="130">
        <f t="shared" si="6"/>
        <v>2</v>
      </c>
      <c r="W30" s="129">
        <f t="shared" si="9"/>
        <v>581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12</v>
      </c>
      <c r="D31" s="111"/>
      <c r="E31" s="112"/>
      <c r="F31" s="112"/>
      <c r="G31" s="76">
        <v>1</v>
      </c>
      <c r="H31" s="73"/>
      <c r="I31" s="73">
        <f t="shared" si="4"/>
        <v>11</v>
      </c>
      <c r="J31" s="77">
        <f t="shared" si="7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264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/>
      <c r="H34" s="73"/>
      <c r="I34" s="73">
        <f t="shared" si="4"/>
        <v>2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48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189</v>
      </c>
      <c r="D35" s="111">
        <v>2</v>
      </c>
      <c r="E35" s="112"/>
      <c r="F35" s="112"/>
      <c r="G35" s="76"/>
      <c r="H35" s="73"/>
      <c r="I35" s="73">
        <f t="shared" si="4"/>
        <v>189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4538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3106</v>
      </c>
      <c r="D38" s="114">
        <v>1</v>
      </c>
      <c r="E38" s="115"/>
      <c r="F38" s="115"/>
      <c r="G38" s="78">
        <v>9</v>
      </c>
      <c r="H38" s="79"/>
      <c r="I38" s="80">
        <f t="shared" si="4"/>
        <v>3097</v>
      </c>
      <c r="J38" s="140">
        <f t="shared" si="7"/>
        <v>1</v>
      </c>
      <c r="K38" s="51"/>
      <c r="L38" s="121"/>
      <c r="M38" s="121"/>
      <c r="N38" s="121"/>
      <c r="O38" s="121"/>
      <c r="P38" s="121">
        <v>9</v>
      </c>
      <c r="Q38" s="122"/>
      <c r="R38" s="97">
        <f t="shared" si="8"/>
        <v>9</v>
      </c>
      <c r="S38" s="125">
        <f t="shared" si="8"/>
        <v>0</v>
      </c>
      <c r="T38" s="51"/>
      <c r="U38" s="131">
        <f>L38*6+N38*6+P38*6</f>
        <v>54</v>
      </c>
      <c r="V38" s="135">
        <f>U38/6</f>
        <v>9</v>
      </c>
      <c r="W38" s="133">
        <f>I38*6+J38</f>
        <v>18583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1</v>
      </c>
      <c r="D39" s="111"/>
      <c r="E39" s="112"/>
      <c r="F39" s="112"/>
      <c r="G39" s="76"/>
      <c r="H39" s="73"/>
      <c r="I39" s="93">
        <f t="shared" si="4"/>
        <v>1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24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312</v>
      </c>
      <c r="D41" s="147">
        <v>20</v>
      </c>
      <c r="E41" s="148"/>
      <c r="F41" s="148"/>
      <c r="G41" s="149"/>
      <c r="H41" s="150"/>
      <c r="I41" s="80">
        <f t="shared" si="4"/>
        <v>312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7508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499</v>
      </c>
      <c r="D42" s="164"/>
      <c r="E42" s="165"/>
      <c r="F42" s="165"/>
      <c r="G42" s="166">
        <v>36</v>
      </c>
      <c r="H42" s="167"/>
      <c r="I42" s="181">
        <f t="shared" si="4"/>
        <v>463</v>
      </c>
      <c r="J42" s="168">
        <f t="shared" si="7"/>
        <v>0</v>
      </c>
      <c r="K42" s="169"/>
      <c r="L42" s="165"/>
      <c r="M42" s="165"/>
      <c r="N42" s="165"/>
      <c r="O42" s="165"/>
      <c r="P42" s="165">
        <v>36</v>
      </c>
      <c r="Q42" s="170"/>
      <c r="R42" s="171">
        <f t="shared" si="8"/>
        <v>36</v>
      </c>
      <c r="S42" s="172">
        <f t="shared" si="8"/>
        <v>0</v>
      </c>
      <c r="T42" s="169"/>
      <c r="U42" s="173">
        <f>L42*12+N42*12+P42*12</f>
        <v>432</v>
      </c>
      <c r="V42" s="174">
        <f>U42/12</f>
        <v>36</v>
      </c>
      <c r="W42" s="175">
        <f>I42*12+J42</f>
        <v>5556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36014</v>
      </c>
      <c r="D44" s="114">
        <v>3</v>
      </c>
      <c r="E44" s="115">
        <v>3672</v>
      </c>
      <c r="F44" s="115"/>
      <c r="G44" s="78">
        <v>594</v>
      </c>
      <c r="H44" s="79"/>
      <c r="I44" s="182">
        <f t="shared" si="4"/>
        <v>39092</v>
      </c>
      <c r="J44" s="177">
        <f t="shared" si="7"/>
        <v>3</v>
      </c>
      <c r="K44" s="51"/>
      <c r="L44" s="121"/>
      <c r="M44" s="121"/>
      <c r="N44" s="121"/>
      <c r="O44" s="121"/>
      <c r="P44" s="121">
        <v>594</v>
      </c>
      <c r="Q44" s="122"/>
      <c r="R44" s="178">
        <f t="shared" si="8"/>
        <v>594</v>
      </c>
      <c r="S44" s="179">
        <f t="shared" si="8"/>
        <v>0</v>
      </c>
      <c r="T44" s="51"/>
      <c r="U44" s="131">
        <f>L44*6+N44*6+P44*6</f>
        <v>3564</v>
      </c>
      <c r="V44" s="130">
        <f>U44/6</f>
        <v>594</v>
      </c>
      <c r="W44" s="133">
        <f>I44*6+J44</f>
        <v>234555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/>
      <c r="H46" s="73"/>
      <c r="I46" s="93">
        <f t="shared" si="4"/>
        <v>1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24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2686</v>
      </c>
      <c r="D48" s="142">
        <v>3</v>
      </c>
      <c r="E48" s="121"/>
      <c r="F48" s="121"/>
      <c r="G48" s="143"/>
      <c r="H48" s="139"/>
      <c r="I48" s="80">
        <f t="shared" si="4"/>
        <v>2686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16119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46574</v>
      </c>
      <c r="D60" s="54">
        <f>SUM(D8:D59)</f>
        <v>136</v>
      </c>
      <c r="E60" s="44">
        <f>SUM(E8:E59)</f>
        <v>3672</v>
      </c>
      <c r="F60" s="44"/>
      <c r="G60" s="28">
        <f>SUM(G8:G59)</f>
        <v>669</v>
      </c>
      <c r="H60" s="56">
        <f>SUM(H8:H59)</f>
        <v>1</v>
      </c>
      <c r="I60" s="56">
        <f>SUM(I8:I59)</f>
        <v>49577</v>
      </c>
      <c r="J60" s="45">
        <f>SUM(J8:J59)</f>
        <v>135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0</v>
      </c>
      <c r="O60" s="74">
        <f t="shared" si="21"/>
        <v>0</v>
      </c>
      <c r="P60" s="74">
        <f t="shared" si="21"/>
        <v>669</v>
      </c>
      <c r="Q60" s="75">
        <f t="shared" si="21"/>
        <v>0</v>
      </c>
      <c r="R60" s="85">
        <f t="shared" si="21"/>
        <v>669</v>
      </c>
      <c r="S60" s="84">
        <f t="shared" si="21"/>
        <v>0</v>
      </c>
      <c r="T60" s="46"/>
      <c r="U60" s="43">
        <f>SUM(U8:U59)</f>
        <v>4770</v>
      </c>
      <c r="V60" s="102">
        <f>SUM(V8:V59)</f>
        <v>669</v>
      </c>
      <c r="W60" s="180">
        <f>SUM(W8:W59)</f>
        <v>376065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2" t="s">
        <v>3</v>
      </c>
      <c r="D69" s="193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1801-E96B-4637-B974-520BC7C68FBA}">
  <sheetPr>
    <pageSetUpPr fitToPage="1"/>
  </sheetPr>
  <dimension ref="A1:BH90"/>
  <sheetViews>
    <sheetView zoomScaleNormal="100" zoomScaleSheetLayoutView="85" zoomScalePageLayoutView="80" workbookViewId="0">
      <selection activeCell="AA56" sqref="AA5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46251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4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33</v>
      </c>
      <c r="D8" s="111">
        <v>9</v>
      </c>
      <c r="E8" s="112"/>
      <c r="F8" s="112"/>
      <c r="G8" s="76"/>
      <c r="H8" s="73"/>
      <c r="I8" s="73">
        <f>C8+E8-G8</f>
        <v>33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801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85</v>
      </c>
      <c r="D9" s="114">
        <v>12</v>
      </c>
      <c r="E9" s="115"/>
      <c r="F9" s="115"/>
      <c r="G9" s="78">
        <v>5</v>
      </c>
      <c r="H9" s="79"/>
      <c r="I9" s="80">
        <f t="shared" ref="I9:I59" si="4">C9+E9-G9</f>
        <v>80</v>
      </c>
      <c r="J9" s="94">
        <f t="shared" si="0"/>
        <v>12</v>
      </c>
      <c r="K9" s="51"/>
      <c r="L9" s="121">
        <v>5</v>
      </c>
      <c r="M9" s="121"/>
      <c r="N9" s="121"/>
      <c r="O9" s="121"/>
      <c r="P9" s="121"/>
      <c r="Q9" s="122"/>
      <c r="R9" s="98">
        <f t="shared" si="1"/>
        <v>5</v>
      </c>
      <c r="S9" s="125">
        <f t="shared" si="1"/>
        <v>0</v>
      </c>
      <c r="T9" s="51"/>
      <c r="U9" s="131">
        <f>L9*24+N9*24+P9*24</f>
        <v>120</v>
      </c>
      <c r="V9" s="132">
        <f>U9/24</f>
        <v>5</v>
      </c>
      <c r="W9" s="133">
        <f t="shared" si="2"/>
        <v>1932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90</v>
      </c>
      <c r="D10" s="111"/>
      <c r="E10" s="112"/>
      <c r="F10" s="112"/>
      <c r="G10" s="76">
        <v>2</v>
      </c>
      <c r="H10" s="73"/>
      <c r="I10" s="93">
        <f t="shared" si="4"/>
        <v>88</v>
      </c>
      <c r="J10" s="95">
        <f t="shared" si="0"/>
        <v>0</v>
      </c>
      <c r="K10" s="41"/>
      <c r="L10" s="112">
        <v>1</v>
      </c>
      <c r="M10" s="112"/>
      <c r="N10" s="112">
        <v>1</v>
      </c>
      <c r="O10" s="112"/>
      <c r="P10" s="112"/>
      <c r="Q10" s="120"/>
      <c r="R10" s="99">
        <f t="shared" si="1"/>
        <v>2</v>
      </c>
      <c r="S10" s="126">
        <f t="shared" si="1"/>
        <v>0</v>
      </c>
      <c r="T10" s="41"/>
      <c r="U10" s="107">
        <f>L10*24+N10*24+P10*24</f>
        <v>48</v>
      </c>
      <c r="V10" s="134">
        <f>U10/24</f>
        <v>2</v>
      </c>
      <c r="W10" s="129">
        <f t="shared" si="2"/>
        <v>2112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41</v>
      </c>
      <c r="D11" s="111"/>
      <c r="E11" s="112"/>
      <c r="F11" s="112"/>
      <c r="G11" s="76">
        <v>3</v>
      </c>
      <c r="H11" s="73"/>
      <c r="I11" s="73">
        <f t="shared" si="4"/>
        <v>38</v>
      </c>
      <c r="J11" s="77">
        <f t="shared" si="0"/>
        <v>0</v>
      </c>
      <c r="K11" s="41"/>
      <c r="L11" s="112">
        <v>2</v>
      </c>
      <c r="M11" s="112"/>
      <c r="N11" s="112">
        <v>1</v>
      </c>
      <c r="O11" s="112"/>
      <c r="P11" s="112"/>
      <c r="Q11" s="120"/>
      <c r="R11" s="86">
        <f t="shared" si="1"/>
        <v>3</v>
      </c>
      <c r="S11" s="124">
        <f t="shared" si="1"/>
        <v>0</v>
      </c>
      <c r="T11" s="41"/>
      <c r="U11" s="107">
        <f>L11*24+N11*24+P11*24</f>
        <v>72</v>
      </c>
      <c r="V11" s="130">
        <f>U11/24</f>
        <v>3</v>
      </c>
      <c r="W11" s="129">
        <f t="shared" si="2"/>
        <v>912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3288</v>
      </c>
      <c r="D13" s="114">
        <v>26</v>
      </c>
      <c r="E13" s="115"/>
      <c r="F13" s="115"/>
      <c r="G13" s="78">
        <v>43</v>
      </c>
      <c r="H13" s="79">
        <v>23</v>
      </c>
      <c r="I13" s="80">
        <f t="shared" si="4"/>
        <v>3245</v>
      </c>
      <c r="J13" s="94">
        <f>D13-H13</f>
        <v>3</v>
      </c>
      <c r="K13" s="53"/>
      <c r="L13" s="121">
        <v>14</v>
      </c>
      <c r="M13" s="121">
        <v>5</v>
      </c>
      <c r="N13" s="121">
        <v>17</v>
      </c>
      <c r="O13" s="121">
        <v>18</v>
      </c>
      <c r="P13" s="121">
        <v>12</v>
      </c>
      <c r="Q13" s="122"/>
      <c r="R13" s="97">
        <f>L13+N13+P13</f>
        <v>43</v>
      </c>
      <c r="S13" s="125">
        <f>M13+O13+Q13</f>
        <v>23</v>
      </c>
      <c r="T13" s="53"/>
      <c r="U13" s="131">
        <f>L13*24+N13*24+P13*24</f>
        <v>1032</v>
      </c>
      <c r="V13" s="135">
        <f t="shared" si="6"/>
        <v>43</v>
      </c>
      <c r="W13" s="133">
        <f>I13*24+J13</f>
        <v>77883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44</v>
      </c>
      <c r="D26" s="111">
        <v>1</v>
      </c>
      <c r="E26" s="112"/>
      <c r="F26" s="112"/>
      <c r="G26" s="76">
        <v>1</v>
      </c>
      <c r="H26" s="73"/>
      <c r="I26" s="73">
        <f t="shared" si="4"/>
        <v>43</v>
      </c>
      <c r="J26" s="77">
        <f t="shared" si="7"/>
        <v>1</v>
      </c>
      <c r="K26" s="41"/>
      <c r="L26" s="112"/>
      <c r="M26" s="112"/>
      <c r="N26" s="112">
        <v>1</v>
      </c>
      <c r="O26" s="112"/>
      <c r="P26" s="112"/>
      <c r="Q26" s="120"/>
      <c r="R26" s="86">
        <f t="shared" si="8"/>
        <v>1</v>
      </c>
      <c r="S26" s="124">
        <f t="shared" si="8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9"/>
        <v>1033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2</v>
      </c>
      <c r="D27" s="111"/>
      <c r="E27" s="112"/>
      <c r="F27" s="112"/>
      <c r="G27" s="76">
        <v>1</v>
      </c>
      <c r="H27" s="73"/>
      <c r="I27" s="73">
        <f t="shared" si="4"/>
        <v>1</v>
      </c>
      <c r="J27" s="77">
        <f t="shared" si="7"/>
        <v>0</v>
      </c>
      <c r="K27" s="42"/>
      <c r="L27" s="112">
        <v>1</v>
      </c>
      <c r="M27" s="112"/>
      <c r="N27" s="112"/>
      <c r="O27" s="112"/>
      <c r="P27" s="112"/>
      <c r="Q27" s="120"/>
      <c r="R27" s="86">
        <f t="shared" si="8"/>
        <v>1</v>
      </c>
      <c r="S27" s="124">
        <f t="shared" si="8"/>
        <v>0</v>
      </c>
      <c r="T27" s="42"/>
      <c r="U27" s="107">
        <f t="shared" si="5"/>
        <v>24</v>
      </c>
      <c r="V27" s="130">
        <f t="shared" si="6"/>
        <v>1</v>
      </c>
      <c r="W27" s="129">
        <f t="shared" si="9"/>
        <v>24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24</v>
      </c>
      <c r="D30" s="111">
        <v>5</v>
      </c>
      <c r="E30" s="112"/>
      <c r="F30" s="112"/>
      <c r="G30" s="76">
        <v>1</v>
      </c>
      <c r="H30" s="73"/>
      <c r="I30" s="73">
        <f t="shared" si="4"/>
        <v>23</v>
      </c>
      <c r="J30" s="77">
        <f t="shared" si="7"/>
        <v>5</v>
      </c>
      <c r="K30" s="41"/>
      <c r="L30" s="112"/>
      <c r="M30" s="112"/>
      <c r="N30" s="112">
        <v>1</v>
      </c>
      <c r="O30" s="112"/>
      <c r="P30" s="112"/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557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11</v>
      </c>
      <c r="D31" s="111"/>
      <c r="E31" s="112"/>
      <c r="F31" s="112"/>
      <c r="G31" s="76"/>
      <c r="H31" s="73"/>
      <c r="I31" s="73">
        <f t="shared" si="4"/>
        <v>11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264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2</v>
      </c>
      <c r="D34" s="111"/>
      <c r="E34" s="112"/>
      <c r="F34" s="112"/>
      <c r="G34" s="76">
        <v>1</v>
      </c>
      <c r="H34" s="73"/>
      <c r="I34" s="73">
        <f t="shared" si="4"/>
        <v>1</v>
      </c>
      <c r="J34" s="77">
        <f t="shared" si="7"/>
        <v>0</v>
      </c>
      <c r="K34" s="41"/>
      <c r="L34" s="112">
        <v>1</v>
      </c>
      <c r="M34" s="112"/>
      <c r="N34" s="112"/>
      <c r="O34" s="112"/>
      <c r="P34" s="112"/>
      <c r="Q34" s="120"/>
      <c r="R34" s="86">
        <f t="shared" si="8"/>
        <v>1</v>
      </c>
      <c r="S34" s="124">
        <f t="shared" si="8"/>
        <v>0</v>
      </c>
      <c r="T34" s="41"/>
      <c r="U34" s="107">
        <f t="shared" si="5"/>
        <v>24</v>
      </c>
      <c r="V34" s="130">
        <f t="shared" si="6"/>
        <v>1</v>
      </c>
      <c r="W34" s="129">
        <f t="shared" si="9"/>
        <v>24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189</v>
      </c>
      <c r="D35" s="111">
        <v>2</v>
      </c>
      <c r="E35" s="112"/>
      <c r="F35" s="112"/>
      <c r="G35" s="76">
        <v>7</v>
      </c>
      <c r="H35" s="73"/>
      <c r="I35" s="73">
        <f t="shared" si="4"/>
        <v>182</v>
      </c>
      <c r="J35" s="77">
        <f t="shared" si="7"/>
        <v>2</v>
      </c>
      <c r="K35" s="41"/>
      <c r="L35" s="112">
        <v>5</v>
      </c>
      <c r="M35" s="112"/>
      <c r="N35" s="112">
        <v>1</v>
      </c>
      <c r="O35" s="112"/>
      <c r="P35" s="112">
        <v>1</v>
      </c>
      <c r="Q35" s="120"/>
      <c r="R35" s="86">
        <f t="shared" si="8"/>
        <v>7</v>
      </c>
      <c r="S35" s="124">
        <f t="shared" si="8"/>
        <v>0</v>
      </c>
      <c r="T35" s="41"/>
      <c r="U35" s="107">
        <f t="shared" si="5"/>
        <v>168</v>
      </c>
      <c r="V35" s="130">
        <f t="shared" si="6"/>
        <v>7</v>
      </c>
      <c r="W35" s="129">
        <f t="shared" si="9"/>
        <v>4370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3097</v>
      </c>
      <c r="D38" s="114">
        <v>1</v>
      </c>
      <c r="E38" s="115"/>
      <c r="F38" s="115"/>
      <c r="G38" s="78">
        <v>253</v>
      </c>
      <c r="H38" s="79"/>
      <c r="I38" s="80">
        <f t="shared" si="4"/>
        <v>2844</v>
      </c>
      <c r="J38" s="140">
        <f t="shared" si="7"/>
        <v>1</v>
      </c>
      <c r="K38" s="51"/>
      <c r="L38" s="121">
        <v>96</v>
      </c>
      <c r="M38" s="121"/>
      <c r="N38" s="121">
        <v>24</v>
      </c>
      <c r="O38" s="121"/>
      <c r="P38" s="121">
        <v>133</v>
      </c>
      <c r="Q38" s="122"/>
      <c r="R38" s="97">
        <f t="shared" si="8"/>
        <v>253</v>
      </c>
      <c r="S38" s="125">
        <f t="shared" si="8"/>
        <v>0</v>
      </c>
      <c r="T38" s="51"/>
      <c r="U38" s="131">
        <f>L38*6+N38*6+P38*6</f>
        <v>1518</v>
      </c>
      <c r="V38" s="135">
        <f>U38/6</f>
        <v>253</v>
      </c>
      <c r="W38" s="133">
        <f>I38*6+J38</f>
        <v>17065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1</v>
      </c>
      <c r="D39" s="111"/>
      <c r="E39" s="112"/>
      <c r="F39" s="112"/>
      <c r="G39" s="76">
        <v>1</v>
      </c>
      <c r="H39" s="73"/>
      <c r="I39" s="93">
        <f t="shared" si="4"/>
        <v>0</v>
      </c>
      <c r="J39" s="77">
        <f t="shared" si="7"/>
        <v>0</v>
      </c>
      <c r="K39" s="41"/>
      <c r="L39" s="112">
        <v>1</v>
      </c>
      <c r="M39" s="112"/>
      <c r="N39" s="112"/>
      <c r="O39" s="112"/>
      <c r="P39" s="112"/>
      <c r="Q39" s="120"/>
      <c r="R39" s="96">
        <f t="shared" si="8"/>
        <v>1</v>
      </c>
      <c r="S39" s="126">
        <f t="shared" si="8"/>
        <v>0</v>
      </c>
      <c r="T39" s="41"/>
      <c r="U39" s="107">
        <f t="shared" ref="U39:U41" si="10">L39*24+N39*24+P39*24</f>
        <v>24</v>
      </c>
      <c r="V39" s="109">
        <f t="shared" si="6"/>
        <v>1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312</v>
      </c>
      <c r="D41" s="147">
        <v>20</v>
      </c>
      <c r="E41" s="148"/>
      <c r="F41" s="148"/>
      <c r="G41" s="149">
        <v>5</v>
      </c>
      <c r="H41" s="150"/>
      <c r="I41" s="80">
        <f t="shared" si="4"/>
        <v>307</v>
      </c>
      <c r="J41" s="152">
        <f t="shared" si="7"/>
        <v>20</v>
      </c>
      <c r="K41" s="153"/>
      <c r="L41" s="154">
        <v>5</v>
      </c>
      <c r="M41" s="154"/>
      <c r="N41" s="154"/>
      <c r="O41" s="154"/>
      <c r="P41" s="154"/>
      <c r="Q41" s="155"/>
      <c r="R41" s="156">
        <f t="shared" si="8"/>
        <v>5</v>
      </c>
      <c r="S41" s="157">
        <f t="shared" si="8"/>
        <v>0</v>
      </c>
      <c r="T41" s="153"/>
      <c r="U41" s="158">
        <f t="shared" si="10"/>
        <v>120</v>
      </c>
      <c r="V41" s="159">
        <f t="shared" si="6"/>
        <v>5</v>
      </c>
      <c r="W41" s="159">
        <f t="shared" si="11"/>
        <v>7388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463</v>
      </c>
      <c r="D42" s="164"/>
      <c r="E42" s="165"/>
      <c r="F42" s="165"/>
      <c r="G42" s="166">
        <v>17</v>
      </c>
      <c r="H42" s="167"/>
      <c r="I42" s="181">
        <f t="shared" si="4"/>
        <v>446</v>
      </c>
      <c r="J42" s="168">
        <f t="shared" si="7"/>
        <v>0</v>
      </c>
      <c r="K42" s="169"/>
      <c r="L42" s="165">
        <v>3</v>
      </c>
      <c r="M42" s="165"/>
      <c r="N42" s="165">
        <v>2</v>
      </c>
      <c r="O42" s="165"/>
      <c r="P42" s="165">
        <v>12</v>
      </c>
      <c r="Q42" s="170"/>
      <c r="R42" s="171">
        <f t="shared" si="8"/>
        <v>17</v>
      </c>
      <c r="S42" s="172">
        <f t="shared" si="8"/>
        <v>0</v>
      </c>
      <c r="T42" s="169"/>
      <c r="U42" s="173">
        <f>L42*12+N42*12+P42*12</f>
        <v>204</v>
      </c>
      <c r="V42" s="174">
        <f>U42/12</f>
        <v>17</v>
      </c>
      <c r="W42" s="175">
        <f>I42*12+J42</f>
        <v>5352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39092</v>
      </c>
      <c r="D44" s="114">
        <v>3</v>
      </c>
      <c r="E44" s="115"/>
      <c r="F44" s="115"/>
      <c r="G44" s="78">
        <v>1430</v>
      </c>
      <c r="H44" s="79"/>
      <c r="I44" s="182">
        <f t="shared" si="4"/>
        <v>37662</v>
      </c>
      <c r="J44" s="177">
        <f t="shared" si="7"/>
        <v>3</v>
      </c>
      <c r="K44" s="51"/>
      <c r="L44" s="121">
        <v>409</v>
      </c>
      <c r="M44" s="121"/>
      <c r="N44" s="121">
        <v>501</v>
      </c>
      <c r="O44" s="121"/>
      <c r="P44" s="121">
        <v>520</v>
      </c>
      <c r="Q44" s="122"/>
      <c r="R44" s="178">
        <f t="shared" si="8"/>
        <v>1430</v>
      </c>
      <c r="S44" s="179">
        <f t="shared" si="8"/>
        <v>0</v>
      </c>
      <c r="T44" s="51"/>
      <c r="U44" s="131">
        <f>L44*6+N44*6+P44*6</f>
        <v>8580</v>
      </c>
      <c r="V44" s="130">
        <f>U44/6</f>
        <v>1430</v>
      </c>
      <c r="W44" s="133">
        <f>I44*6+J44</f>
        <v>225975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>
        <v>1</v>
      </c>
      <c r="H46" s="73"/>
      <c r="I46" s="93">
        <f t="shared" si="4"/>
        <v>0</v>
      </c>
      <c r="J46" s="77">
        <f t="shared" si="7"/>
        <v>0</v>
      </c>
      <c r="K46" s="41"/>
      <c r="L46" s="112">
        <v>1</v>
      </c>
      <c r="M46" s="112"/>
      <c r="N46" s="112"/>
      <c r="O46" s="112"/>
      <c r="P46" s="112"/>
      <c r="Q46" s="120"/>
      <c r="R46" s="86">
        <f t="shared" si="8"/>
        <v>1</v>
      </c>
      <c r="S46" s="128">
        <f t="shared" si="8"/>
        <v>0</v>
      </c>
      <c r="T46" s="41"/>
      <c r="U46" s="107">
        <f t="shared" ref="U46:U47" si="12">L46*24+N46*24+P46*24</f>
        <v>24</v>
      </c>
      <c r="V46" s="134">
        <f t="shared" ref="V46:V47" si="13">U46/24</f>
        <v>1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2686</v>
      </c>
      <c r="D48" s="142">
        <v>3</v>
      </c>
      <c r="E48" s="121"/>
      <c r="F48" s="121"/>
      <c r="G48" s="143"/>
      <c r="H48" s="139"/>
      <c r="I48" s="80">
        <f t="shared" si="4"/>
        <v>2686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16119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49576</v>
      </c>
      <c r="D60" s="54">
        <f>SUM(D8:D59)</f>
        <v>159</v>
      </c>
      <c r="E60" s="44">
        <f>SUM(E8:E59)</f>
        <v>0</v>
      </c>
      <c r="F60" s="44"/>
      <c r="G60" s="28">
        <f>SUM(G8:G59)</f>
        <v>1771</v>
      </c>
      <c r="H60" s="56">
        <f>SUM(H8:H59)</f>
        <v>23</v>
      </c>
      <c r="I60" s="56">
        <f>SUM(I8:I59)</f>
        <v>47805</v>
      </c>
      <c r="J60" s="45">
        <f>SUM(J8:J59)</f>
        <v>136</v>
      </c>
      <c r="K60" s="46"/>
      <c r="L60" s="74">
        <f t="shared" ref="L60:S60" si="21">SUM(L8:L59)</f>
        <v>544</v>
      </c>
      <c r="M60" s="74">
        <f t="shared" si="21"/>
        <v>5</v>
      </c>
      <c r="N60" s="74">
        <f t="shared" si="21"/>
        <v>549</v>
      </c>
      <c r="O60" s="74">
        <f t="shared" si="21"/>
        <v>18</v>
      </c>
      <c r="P60" s="74">
        <f t="shared" si="21"/>
        <v>678</v>
      </c>
      <c r="Q60" s="75">
        <f t="shared" si="21"/>
        <v>0</v>
      </c>
      <c r="R60" s="85">
        <f t="shared" si="21"/>
        <v>1771</v>
      </c>
      <c r="S60" s="84">
        <f t="shared" si="21"/>
        <v>23</v>
      </c>
      <c r="T60" s="46"/>
      <c r="U60" s="43">
        <f>SUM(U8:U59)</f>
        <v>12006</v>
      </c>
      <c r="V60" s="102">
        <f>SUM(V8:V59)</f>
        <v>1771</v>
      </c>
      <c r="W60" s="180">
        <f>SUM(W8:W59)</f>
        <v>364036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2" t="s">
        <v>3</v>
      </c>
      <c r="D69" s="193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795D-A993-4F17-9B92-2BCC20820EF3}">
  <sheetPr>
    <pageSetUpPr fitToPage="1"/>
  </sheetPr>
  <dimension ref="A1:BH90"/>
  <sheetViews>
    <sheetView topLeftCell="A35" zoomScale="85" zoomScaleNormal="85" zoomScaleSheetLayoutView="85" zoomScalePageLayoutView="80" workbookViewId="0">
      <selection activeCell="Z55" sqref="Z55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46252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4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33</v>
      </c>
      <c r="D8" s="111">
        <v>9</v>
      </c>
      <c r="E8" s="112"/>
      <c r="F8" s="112"/>
      <c r="G8" s="76">
        <v>1</v>
      </c>
      <c r="H8" s="73"/>
      <c r="I8" s="73">
        <f>C8+E8-G8</f>
        <v>32</v>
      </c>
      <c r="J8" s="77">
        <f t="shared" ref="J8:J12" si="0">D8-H8</f>
        <v>9</v>
      </c>
      <c r="K8" s="41"/>
      <c r="L8" s="112"/>
      <c r="M8" s="112"/>
      <c r="N8" s="112">
        <v>1</v>
      </c>
      <c r="O8" s="112"/>
      <c r="P8" s="112"/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777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80</v>
      </c>
      <c r="D9" s="114">
        <v>12</v>
      </c>
      <c r="E9" s="115"/>
      <c r="F9" s="115"/>
      <c r="G9" s="78"/>
      <c r="H9" s="79"/>
      <c r="I9" s="80">
        <f t="shared" ref="I9:I59" si="4">C9+E9-G9</f>
        <v>80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1932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88</v>
      </c>
      <c r="D10" s="111"/>
      <c r="E10" s="112"/>
      <c r="F10" s="112"/>
      <c r="G10" s="76">
        <v>1</v>
      </c>
      <c r="H10" s="73"/>
      <c r="I10" s="93">
        <f t="shared" si="4"/>
        <v>87</v>
      </c>
      <c r="J10" s="95">
        <f t="shared" si="0"/>
        <v>0</v>
      </c>
      <c r="K10" s="41"/>
      <c r="L10" s="112"/>
      <c r="M10" s="112"/>
      <c r="N10" s="112">
        <v>1</v>
      </c>
      <c r="O10" s="112"/>
      <c r="P10" s="112"/>
      <c r="Q10" s="120"/>
      <c r="R10" s="99">
        <f t="shared" si="1"/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2088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38</v>
      </c>
      <c r="D11" s="111"/>
      <c r="E11" s="112"/>
      <c r="F11" s="112"/>
      <c r="G11" s="76">
        <v>2</v>
      </c>
      <c r="H11" s="73"/>
      <c r="I11" s="73">
        <f t="shared" si="4"/>
        <v>36</v>
      </c>
      <c r="J11" s="77">
        <f t="shared" si="0"/>
        <v>0</v>
      </c>
      <c r="K11" s="41"/>
      <c r="L11" s="112"/>
      <c r="M11" s="112"/>
      <c r="N11" s="112">
        <v>1</v>
      </c>
      <c r="O11" s="112"/>
      <c r="P11" s="112">
        <v>1</v>
      </c>
      <c r="Q11" s="120"/>
      <c r="R11" s="86">
        <f t="shared" si="1"/>
        <v>2</v>
      </c>
      <c r="S11" s="124">
        <f t="shared" si="1"/>
        <v>0</v>
      </c>
      <c r="T11" s="41"/>
      <c r="U11" s="107">
        <f>L11*24+N11*24+P11*24</f>
        <v>48</v>
      </c>
      <c r="V11" s="130">
        <f>U11/24</f>
        <v>2</v>
      </c>
      <c r="W11" s="129">
        <f t="shared" si="2"/>
        <v>864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3245</v>
      </c>
      <c r="D13" s="114">
        <v>3</v>
      </c>
      <c r="E13" s="115"/>
      <c r="F13" s="115"/>
      <c r="G13" s="78">
        <v>26</v>
      </c>
      <c r="H13" s="79">
        <v>25</v>
      </c>
      <c r="I13" s="80">
        <f t="shared" si="4"/>
        <v>3219</v>
      </c>
      <c r="J13" s="94">
        <f>D13-H13</f>
        <v>-22</v>
      </c>
      <c r="K13" s="53"/>
      <c r="L13" s="121">
        <v>10</v>
      </c>
      <c r="M13" s="121">
        <v>4</v>
      </c>
      <c r="N13" s="121">
        <v>7</v>
      </c>
      <c r="O13" s="121">
        <v>21</v>
      </c>
      <c r="P13" s="121">
        <v>9</v>
      </c>
      <c r="Q13" s="122"/>
      <c r="R13" s="97">
        <f>L13+N13+P13</f>
        <v>26</v>
      </c>
      <c r="S13" s="125">
        <f>M13+O13+Q13</f>
        <v>25</v>
      </c>
      <c r="T13" s="53"/>
      <c r="U13" s="131">
        <f>L13*24+N13*24+P13*24</f>
        <v>624</v>
      </c>
      <c r="V13" s="135">
        <f t="shared" si="6"/>
        <v>26</v>
      </c>
      <c r="W13" s="133">
        <f>I13*24+J13</f>
        <v>77234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43</v>
      </c>
      <c r="D26" s="111">
        <v>1</v>
      </c>
      <c r="E26" s="112"/>
      <c r="F26" s="112"/>
      <c r="G26" s="76"/>
      <c r="H26" s="73"/>
      <c r="I26" s="73">
        <f t="shared" si="4"/>
        <v>43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1033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1</v>
      </c>
      <c r="D27" s="111"/>
      <c r="E27" s="112"/>
      <c r="F27" s="112"/>
      <c r="G27" s="76">
        <v>1</v>
      </c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>
        <v>1</v>
      </c>
      <c r="Q27" s="120"/>
      <c r="R27" s="86">
        <f t="shared" si="8"/>
        <v>1</v>
      </c>
      <c r="S27" s="124">
        <f t="shared" si="8"/>
        <v>0</v>
      </c>
      <c r="T27" s="42"/>
      <c r="U27" s="107">
        <f t="shared" si="5"/>
        <v>24</v>
      </c>
      <c r="V27" s="130">
        <f t="shared" si="6"/>
        <v>1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23</v>
      </c>
      <c r="D30" s="111">
        <v>5</v>
      </c>
      <c r="E30" s="112"/>
      <c r="F30" s="112"/>
      <c r="G30" s="76"/>
      <c r="H30" s="73"/>
      <c r="I30" s="73">
        <f t="shared" si="4"/>
        <v>23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557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11</v>
      </c>
      <c r="D31" s="111"/>
      <c r="E31" s="112"/>
      <c r="F31" s="112"/>
      <c r="G31" s="76">
        <v>1</v>
      </c>
      <c r="H31" s="73"/>
      <c r="I31" s="73">
        <f t="shared" si="4"/>
        <v>10</v>
      </c>
      <c r="J31" s="77">
        <f t="shared" si="7"/>
        <v>0</v>
      </c>
      <c r="K31" s="41"/>
      <c r="L31" s="112"/>
      <c r="M31" s="112"/>
      <c r="N31" s="112">
        <v>1</v>
      </c>
      <c r="O31" s="112"/>
      <c r="P31" s="112"/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240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1</v>
      </c>
      <c r="D34" s="111"/>
      <c r="E34" s="112"/>
      <c r="F34" s="112"/>
      <c r="G34" s="76"/>
      <c r="H34" s="73"/>
      <c r="I34" s="73">
        <f t="shared" si="4"/>
        <v>1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24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182</v>
      </c>
      <c r="D35" s="111">
        <v>2</v>
      </c>
      <c r="E35" s="112"/>
      <c r="F35" s="112"/>
      <c r="G35" s="76"/>
      <c r="H35" s="73"/>
      <c r="I35" s="73">
        <f t="shared" si="4"/>
        <v>182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4370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2844</v>
      </c>
      <c r="D38" s="114">
        <v>1</v>
      </c>
      <c r="E38" s="115"/>
      <c r="F38" s="115"/>
      <c r="G38" s="78">
        <v>58</v>
      </c>
      <c r="H38" s="79"/>
      <c r="I38" s="80">
        <f t="shared" si="4"/>
        <v>2786</v>
      </c>
      <c r="J38" s="140">
        <f t="shared" si="7"/>
        <v>1</v>
      </c>
      <c r="K38" s="51"/>
      <c r="L38" s="121"/>
      <c r="M38" s="121"/>
      <c r="N38" s="121">
        <v>23</v>
      </c>
      <c r="O38" s="121"/>
      <c r="P38" s="121">
        <v>35</v>
      </c>
      <c r="Q38" s="122"/>
      <c r="R38" s="97">
        <f t="shared" si="8"/>
        <v>58</v>
      </c>
      <c r="S38" s="125">
        <f t="shared" si="8"/>
        <v>0</v>
      </c>
      <c r="T38" s="51"/>
      <c r="U38" s="131">
        <f>L38*6+N38*6+P38*6</f>
        <v>348</v>
      </c>
      <c r="V38" s="135">
        <f>U38/6</f>
        <v>58</v>
      </c>
      <c r="W38" s="133">
        <f>I38*6+J38</f>
        <v>16717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307</v>
      </c>
      <c r="D41" s="147">
        <v>20</v>
      </c>
      <c r="E41" s="148"/>
      <c r="F41" s="148"/>
      <c r="G41" s="149"/>
      <c r="H41" s="150"/>
      <c r="I41" s="80">
        <f t="shared" si="4"/>
        <v>307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7388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446</v>
      </c>
      <c r="D42" s="164"/>
      <c r="E42" s="165"/>
      <c r="F42" s="165"/>
      <c r="G42" s="166">
        <v>16</v>
      </c>
      <c r="H42" s="167"/>
      <c r="I42" s="181">
        <f t="shared" si="4"/>
        <v>430</v>
      </c>
      <c r="J42" s="168">
        <f t="shared" si="7"/>
        <v>0</v>
      </c>
      <c r="K42" s="169"/>
      <c r="L42" s="165">
        <v>7</v>
      </c>
      <c r="M42" s="165"/>
      <c r="N42" s="165">
        <v>8</v>
      </c>
      <c r="O42" s="165"/>
      <c r="P42" s="165">
        <v>1</v>
      </c>
      <c r="Q42" s="170"/>
      <c r="R42" s="171">
        <f t="shared" si="8"/>
        <v>16</v>
      </c>
      <c r="S42" s="172">
        <f t="shared" si="8"/>
        <v>0</v>
      </c>
      <c r="T42" s="169"/>
      <c r="U42" s="173">
        <f>L42*12+N42*12+P42*12</f>
        <v>192</v>
      </c>
      <c r="V42" s="174">
        <f>U42/12</f>
        <v>16</v>
      </c>
      <c r="W42" s="175">
        <f>I42*12+J42</f>
        <v>5160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37662</v>
      </c>
      <c r="D44" s="114">
        <v>3</v>
      </c>
      <c r="E44" s="115">
        <v>1836</v>
      </c>
      <c r="F44" s="115"/>
      <c r="G44" s="78">
        <v>1206</v>
      </c>
      <c r="H44" s="79"/>
      <c r="I44" s="182">
        <f t="shared" si="4"/>
        <v>38292</v>
      </c>
      <c r="J44" s="177">
        <f t="shared" si="7"/>
        <v>3</v>
      </c>
      <c r="K44" s="51"/>
      <c r="L44" s="121">
        <v>673</v>
      </c>
      <c r="M44" s="121"/>
      <c r="N44" s="121">
        <v>259</v>
      </c>
      <c r="O44" s="121"/>
      <c r="P44" s="121">
        <v>274</v>
      </c>
      <c r="Q44" s="122"/>
      <c r="R44" s="178">
        <f t="shared" si="8"/>
        <v>1206</v>
      </c>
      <c r="S44" s="179">
        <f t="shared" si="8"/>
        <v>0</v>
      </c>
      <c r="T44" s="51"/>
      <c r="U44" s="131">
        <f>L44*6+N44*6+P44*6</f>
        <v>7236</v>
      </c>
      <c r="V44" s="130">
        <f>U44/6</f>
        <v>1206</v>
      </c>
      <c r="W44" s="133">
        <f>I44*6+J44</f>
        <v>229755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2686</v>
      </c>
      <c r="D48" s="142">
        <v>3</v>
      </c>
      <c r="E48" s="121"/>
      <c r="F48" s="121"/>
      <c r="G48" s="143">
        <v>6</v>
      </c>
      <c r="H48" s="139"/>
      <c r="I48" s="80">
        <f t="shared" si="4"/>
        <v>2680</v>
      </c>
      <c r="J48" s="140">
        <f t="shared" si="7"/>
        <v>3</v>
      </c>
      <c r="K48" s="51"/>
      <c r="L48" s="121">
        <v>5</v>
      </c>
      <c r="M48" s="121"/>
      <c r="N48" s="121">
        <v>1</v>
      </c>
      <c r="O48" s="121"/>
      <c r="P48" s="121"/>
      <c r="Q48" s="122"/>
      <c r="R48" s="97">
        <f t="shared" si="8"/>
        <v>6</v>
      </c>
      <c r="S48" s="144">
        <f t="shared" si="8"/>
        <v>0</v>
      </c>
      <c r="T48" s="51"/>
      <c r="U48" s="131">
        <f>L48*6+N48*6+P48*6</f>
        <v>36</v>
      </c>
      <c r="V48" s="135">
        <f>U48/6</f>
        <v>6</v>
      </c>
      <c r="W48" s="133">
        <f>I48*6+J48</f>
        <v>16083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47805</v>
      </c>
      <c r="D60" s="54">
        <f>SUM(D8:D59)</f>
        <v>136</v>
      </c>
      <c r="E60" s="44">
        <f>SUM(E8:E59)</f>
        <v>1836</v>
      </c>
      <c r="F60" s="44"/>
      <c r="G60" s="28">
        <f>SUM(G8:G59)</f>
        <v>1318</v>
      </c>
      <c r="H60" s="56">
        <f>SUM(H8:H59)</f>
        <v>25</v>
      </c>
      <c r="I60" s="56">
        <f>SUM(I8:I59)</f>
        <v>48323</v>
      </c>
      <c r="J60" s="45">
        <f>SUM(J8:J59)</f>
        <v>111</v>
      </c>
      <c r="K60" s="46"/>
      <c r="L60" s="74">
        <f t="shared" ref="L60:S60" si="21">SUM(L8:L59)</f>
        <v>695</v>
      </c>
      <c r="M60" s="74">
        <f t="shared" si="21"/>
        <v>4</v>
      </c>
      <c r="N60" s="74">
        <f t="shared" si="21"/>
        <v>302</v>
      </c>
      <c r="O60" s="74">
        <f t="shared" si="21"/>
        <v>21</v>
      </c>
      <c r="P60" s="74">
        <f t="shared" si="21"/>
        <v>321</v>
      </c>
      <c r="Q60" s="75">
        <f t="shared" si="21"/>
        <v>0</v>
      </c>
      <c r="R60" s="85">
        <f t="shared" si="21"/>
        <v>1318</v>
      </c>
      <c r="S60" s="84">
        <f t="shared" si="21"/>
        <v>25</v>
      </c>
      <c r="T60" s="46"/>
      <c r="U60" s="43">
        <f>SUM(U8:U59)</f>
        <v>8580</v>
      </c>
      <c r="V60" s="102">
        <f>SUM(V8:V59)</f>
        <v>1318</v>
      </c>
      <c r="W60" s="180">
        <f>SUM(W8:W59)</f>
        <v>366447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2" t="s">
        <v>3</v>
      </c>
      <c r="D69" s="193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A590-B76C-4AFD-9EF4-67C6D4FE5FE1}">
  <sheetPr>
    <pageSetUpPr fitToPage="1"/>
  </sheetPr>
  <dimension ref="A1:BH90"/>
  <sheetViews>
    <sheetView topLeftCell="D32" zoomScaleNormal="100" zoomScaleSheetLayoutView="85" zoomScalePageLayoutView="80" workbookViewId="0">
      <selection activeCell="AF54" sqref="AF54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46253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4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32</v>
      </c>
      <c r="D8" s="111">
        <v>9</v>
      </c>
      <c r="E8" s="112"/>
      <c r="F8" s="112"/>
      <c r="G8" s="76"/>
      <c r="H8" s="73"/>
      <c r="I8" s="73">
        <f>C8+E8-G8</f>
        <v>32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777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80</v>
      </c>
      <c r="D9" s="114">
        <v>12</v>
      </c>
      <c r="E9" s="115"/>
      <c r="F9" s="115"/>
      <c r="G9" s="78">
        <v>1</v>
      </c>
      <c r="H9" s="79"/>
      <c r="I9" s="80">
        <f t="shared" ref="I9:I59" si="4">C9+E9-G9</f>
        <v>79</v>
      </c>
      <c r="J9" s="94">
        <f t="shared" si="0"/>
        <v>12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1908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87</v>
      </c>
      <c r="D10" s="111"/>
      <c r="E10" s="112"/>
      <c r="F10" s="112"/>
      <c r="G10" s="76">
        <v>6</v>
      </c>
      <c r="H10" s="73"/>
      <c r="I10" s="93">
        <f t="shared" si="4"/>
        <v>81</v>
      </c>
      <c r="J10" s="95">
        <f t="shared" si="0"/>
        <v>0</v>
      </c>
      <c r="K10" s="41"/>
      <c r="L10" s="112">
        <v>6</v>
      </c>
      <c r="M10" s="112"/>
      <c r="N10" s="112"/>
      <c r="O10" s="112"/>
      <c r="P10" s="112"/>
      <c r="Q10" s="120"/>
      <c r="R10" s="99">
        <f t="shared" si="1"/>
        <v>6</v>
      </c>
      <c r="S10" s="126">
        <f t="shared" si="1"/>
        <v>0</v>
      </c>
      <c r="T10" s="41"/>
      <c r="U10" s="107">
        <f>L10*24+N10*24+P10*24</f>
        <v>144</v>
      </c>
      <c r="V10" s="134">
        <f>U10/24</f>
        <v>6</v>
      </c>
      <c r="W10" s="129">
        <f t="shared" si="2"/>
        <v>1944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36</v>
      </c>
      <c r="D11" s="111"/>
      <c r="E11" s="112"/>
      <c r="F11" s="112"/>
      <c r="G11" s="76">
        <v>6</v>
      </c>
      <c r="H11" s="73"/>
      <c r="I11" s="73">
        <f t="shared" si="4"/>
        <v>30</v>
      </c>
      <c r="J11" s="77">
        <f t="shared" si="0"/>
        <v>0</v>
      </c>
      <c r="K11" s="41"/>
      <c r="L11" s="112">
        <v>6</v>
      </c>
      <c r="M11" s="112"/>
      <c r="N11" s="112"/>
      <c r="O11" s="112"/>
      <c r="P11" s="112"/>
      <c r="Q11" s="120"/>
      <c r="R11" s="86">
        <f t="shared" si="1"/>
        <v>6</v>
      </c>
      <c r="S11" s="124">
        <f t="shared" si="1"/>
        <v>0</v>
      </c>
      <c r="T11" s="41"/>
      <c r="U11" s="107">
        <f>L11*24+N11*24+P11*24</f>
        <v>144</v>
      </c>
      <c r="V11" s="130">
        <f>U11/24</f>
        <v>6</v>
      </c>
      <c r="W11" s="129">
        <f t="shared" si="2"/>
        <v>720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/>
      <c r="H12" s="73"/>
      <c r="I12" s="73">
        <f t="shared" si="4"/>
        <v>9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218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3218</v>
      </c>
      <c r="D13" s="114">
        <v>2</v>
      </c>
      <c r="E13" s="115"/>
      <c r="F13" s="115"/>
      <c r="G13" s="78">
        <v>23</v>
      </c>
      <c r="H13" s="79">
        <v>12</v>
      </c>
      <c r="I13" s="80">
        <f t="shared" si="4"/>
        <v>3195</v>
      </c>
      <c r="J13" s="94">
        <f>D13-H13</f>
        <v>-10</v>
      </c>
      <c r="K13" s="53"/>
      <c r="L13" s="121">
        <v>2</v>
      </c>
      <c r="M13" s="121">
        <v>4</v>
      </c>
      <c r="N13" s="121">
        <v>12</v>
      </c>
      <c r="O13" s="121">
        <v>3</v>
      </c>
      <c r="P13" s="121">
        <v>9</v>
      </c>
      <c r="Q13" s="122">
        <v>5</v>
      </c>
      <c r="R13" s="97">
        <f>L13+N13+P13</f>
        <v>23</v>
      </c>
      <c r="S13" s="125">
        <f>M13+O13+Q13</f>
        <v>12</v>
      </c>
      <c r="T13" s="53"/>
      <c r="U13" s="131">
        <f>L13*24+N13*24+P13*24</f>
        <v>552</v>
      </c>
      <c r="V13" s="135">
        <f t="shared" si="6"/>
        <v>23</v>
      </c>
      <c r="W13" s="133">
        <f>I13*24+J13</f>
        <v>76670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/>
      <c r="H20" s="73"/>
      <c r="I20" s="73">
        <f t="shared" si="4"/>
        <v>3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92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43</v>
      </c>
      <c r="D26" s="111">
        <v>1</v>
      </c>
      <c r="E26" s="112">
        <v>126</v>
      </c>
      <c r="F26" s="112"/>
      <c r="G26" s="76">
        <v>3</v>
      </c>
      <c r="H26" s="73"/>
      <c r="I26" s="73">
        <f t="shared" si="4"/>
        <v>166</v>
      </c>
      <c r="J26" s="77">
        <f t="shared" si="7"/>
        <v>1</v>
      </c>
      <c r="K26" s="41"/>
      <c r="L26" s="112">
        <v>3</v>
      </c>
      <c r="M26" s="112"/>
      <c r="N26" s="112"/>
      <c r="O26" s="112"/>
      <c r="P26" s="112"/>
      <c r="Q26" s="120"/>
      <c r="R26" s="86">
        <f t="shared" si="8"/>
        <v>3</v>
      </c>
      <c r="S26" s="124">
        <f t="shared" si="8"/>
        <v>0</v>
      </c>
      <c r="T26" s="41"/>
      <c r="U26" s="107">
        <f t="shared" si="5"/>
        <v>72</v>
      </c>
      <c r="V26" s="130">
        <f t="shared" si="6"/>
        <v>3</v>
      </c>
      <c r="W26" s="129">
        <f t="shared" si="9"/>
        <v>3985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/>
      <c r="H28" s="73"/>
      <c r="I28" s="73">
        <f t="shared" si="4"/>
        <v>3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72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23</v>
      </c>
      <c r="D30" s="111">
        <v>5</v>
      </c>
      <c r="E30" s="112"/>
      <c r="F30" s="112"/>
      <c r="G30" s="76">
        <v>1</v>
      </c>
      <c r="H30" s="73"/>
      <c r="I30" s="73">
        <f t="shared" si="4"/>
        <v>22</v>
      </c>
      <c r="J30" s="77">
        <f t="shared" si="7"/>
        <v>5</v>
      </c>
      <c r="K30" s="41"/>
      <c r="L30" s="112">
        <v>1</v>
      </c>
      <c r="M30" s="112"/>
      <c r="N30" s="112"/>
      <c r="O30" s="112"/>
      <c r="P30" s="112"/>
      <c r="Q30" s="120"/>
      <c r="R30" s="86">
        <f t="shared" si="8"/>
        <v>1</v>
      </c>
      <c r="S30" s="124">
        <f t="shared" si="8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9"/>
        <v>533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10</v>
      </c>
      <c r="D31" s="111"/>
      <c r="E31" s="112"/>
      <c r="F31" s="112"/>
      <c r="G31" s="76">
        <v>2</v>
      </c>
      <c r="H31" s="73"/>
      <c r="I31" s="73">
        <f t="shared" si="4"/>
        <v>8</v>
      </c>
      <c r="J31" s="77">
        <f t="shared" si="7"/>
        <v>0</v>
      </c>
      <c r="K31" s="41"/>
      <c r="L31" s="112">
        <v>2</v>
      </c>
      <c r="M31" s="112"/>
      <c r="N31" s="112"/>
      <c r="O31" s="112"/>
      <c r="P31" s="112"/>
      <c r="Q31" s="120"/>
      <c r="R31" s="86">
        <f t="shared" si="8"/>
        <v>2</v>
      </c>
      <c r="S31" s="124">
        <f t="shared" si="8"/>
        <v>0</v>
      </c>
      <c r="T31" s="41"/>
      <c r="U31" s="107">
        <f t="shared" si="5"/>
        <v>48</v>
      </c>
      <c r="V31" s="130">
        <f t="shared" si="6"/>
        <v>2</v>
      </c>
      <c r="W31" s="129">
        <f t="shared" si="9"/>
        <v>192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1</v>
      </c>
      <c r="D34" s="111"/>
      <c r="E34" s="112"/>
      <c r="F34" s="112"/>
      <c r="G34" s="76">
        <v>1</v>
      </c>
      <c r="H34" s="73"/>
      <c r="I34" s="73">
        <f t="shared" si="4"/>
        <v>0</v>
      </c>
      <c r="J34" s="77">
        <f t="shared" si="7"/>
        <v>0</v>
      </c>
      <c r="K34" s="41"/>
      <c r="L34" s="112">
        <v>1</v>
      </c>
      <c r="M34" s="112"/>
      <c r="N34" s="112"/>
      <c r="O34" s="112"/>
      <c r="P34" s="112"/>
      <c r="Q34" s="120"/>
      <c r="R34" s="86">
        <f t="shared" si="8"/>
        <v>1</v>
      </c>
      <c r="S34" s="124">
        <f t="shared" si="8"/>
        <v>0</v>
      </c>
      <c r="T34" s="41"/>
      <c r="U34" s="107">
        <f t="shared" si="5"/>
        <v>24</v>
      </c>
      <c r="V34" s="130">
        <f t="shared" si="6"/>
        <v>1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182</v>
      </c>
      <c r="D35" s="111">
        <v>2</v>
      </c>
      <c r="E35" s="112"/>
      <c r="F35" s="112"/>
      <c r="G35" s="76">
        <v>1</v>
      </c>
      <c r="H35" s="73"/>
      <c r="I35" s="73">
        <f t="shared" si="4"/>
        <v>181</v>
      </c>
      <c r="J35" s="77">
        <f t="shared" si="7"/>
        <v>2</v>
      </c>
      <c r="K35" s="41"/>
      <c r="L35" s="112"/>
      <c r="M35" s="112"/>
      <c r="N35" s="112"/>
      <c r="O35" s="112"/>
      <c r="P35" s="112">
        <v>1</v>
      </c>
      <c r="Q35" s="120"/>
      <c r="R35" s="86">
        <f t="shared" si="8"/>
        <v>1</v>
      </c>
      <c r="S35" s="124">
        <f t="shared" si="8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9"/>
        <v>4346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2786</v>
      </c>
      <c r="D38" s="114">
        <v>1</v>
      </c>
      <c r="E38" s="115">
        <v>864</v>
      </c>
      <c r="F38" s="115"/>
      <c r="G38" s="78">
        <v>126</v>
      </c>
      <c r="H38" s="79"/>
      <c r="I38" s="80">
        <f t="shared" si="4"/>
        <v>3524</v>
      </c>
      <c r="J38" s="140">
        <f t="shared" si="7"/>
        <v>1</v>
      </c>
      <c r="K38" s="51"/>
      <c r="L38" s="121">
        <v>62</v>
      </c>
      <c r="M38" s="121"/>
      <c r="N38" s="121"/>
      <c r="O38" s="121"/>
      <c r="P38" s="121">
        <v>64</v>
      </c>
      <c r="Q38" s="122"/>
      <c r="R38" s="97">
        <f t="shared" si="8"/>
        <v>126</v>
      </c>
      <c r="S38" s="125">
        <f t="shared" si="8"/>
        <v>0</v>
      </c>
      <c r="T38" s="51"/>
      <c r="U38" s="131">
        <f>L38*6+N38*6+P38*6</f>
        <v>756</v>
      </c>
      <c r="V38" s="135">
        <f>U38/6</f>
        <v>126</v>
      </c>
      <c r="W38" s="133">
        <f>I38*6+J38</f>
        <v>21145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307</v>
      </c>
      <c r="D41" s="147">
        <v>20</v>
      </c>
      <c r="E41" s="148"/>
      <c r="F41" s="148"/>
      <c r="G41" s="149">
        <v>47</v>
      </c>
      <c r="H41" s="150"/>
      <c r="I41" s="80">
        <f t="shared" si="4"/>
        <v>260</v>
      </c>
      <c r="J41" s="152">
        <f t="shared" si="7"/>
        <v>20</v>
      </c>
      <c r="K41" s="153"/>
      <c r="L41" s="154">
        <v>47</v>
      </c>
      <c r="M41" s="154"/>
      <c r="N41" s="154"/>
      <c r="O41" s="154"/>
      <c r="P41" s="154"/>
      <c r="Q41" s="155"/>
      <c r="R41" s="156">
        <f t="shared" si="8"/>
        <v>47</v>
      </c>
      <c r="S41" s="157">
        <f t="shared" si="8"/>
        <v>0</v>
      </c>
      <c r="T41" s="153"/>
      <c r="U41" s="158">
        <f t="shared" si="10"/>
        <v>1128</v>
      </c>
      <c r="V41" s="159">
        <f t="shared" si="6"/>
        <v>47</v>
      </c>
      <c r="W41" s="159">
        <f t="shared" si="11"/>
        <v>6260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430</v>
      </c>
      <c r="D42" s="164"/>
      <c r="E42" s="165"/>
      <c r="F42" s="165"/>
      <c r="G42" s="166">
        <v>25</v>
      </c>
      <c r="H42" s="167"/>
      <c r="I42" s="181">
        <f t="shared" si="4"/>
        <v>405</v>
      </c>
      <c r="J42" s="168">
        <f t="shared" si="7"/>
        <v>0</v>
      </c>
      <c r="K42" s="169"/>
      <c r="L42" s="165">
        <v>10</v>
      </c>
      <c r="M42" s="165"/>
      <c r="N42" s="165"/>
      <c r="O42" s="165"/>
      <c r="P42" s="165">
        <v>15</v>
      </c>
      <c r="Q42" s="170"/>
      <c r="R42" s="171">
        <f t="shared" si="8"/>
        <v>25</v>
      </c>
      <c r="S42" s="172">
        <f t="shared" si="8"/>
        <v>0</v>
      </c>
      <c r="T42" s="169"/>
      <c r="U42" s="173">
        <f>L42*12+N42*12+P42*12</f>
        <v>300</v>
      </c>
      <c r="V42" s="174">
        <f>U42/12</f>
        <v>25</v>
      </c>
      <c r="W42" s="175">
        <f>I42*12+J42</f>
        <v>4860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38290</v>
      </c>
      <c r="D44" s="114">
        <v>2</v>
      </c>
      <c r="E44" s="115">
        <v>2592</v>
      </c>
      <c r="F44" s="115"/>
      <c r="G44" s="78">
        <v>1015</v>
      </c>
      <c r="H44" s="79"/>
      <c r="I44" s="182">
        <f t="shared" si="4"/>
        <v>39867</v>
      </c>
      <c r="J44" s="177">
        <f t="shared" si="7"/>
        <v>2</v>
      </c>
      <c r="K44" s="51"/>
      <c r="L44" s="121">
        <v>368</v>
      </c>
      <c r="M44" s="121"/>
      <c r="N44" s="121">
        <v>330</v>
      </c>
      <c r="O44" s="121"/>
      <c r="P44" s="121">
        <v>317</v>
      </c>
      <c r="Q44" s="122"/>
      <c r="R44" s="178">
        <f t="shared" si="8"/>
        <v>1015</v>
      </c>
      <c r="S44" s="179">
        <f t="shared" si="8"/>
        <v>0</v>
      </c>
      <c r="T44" s="51"/>
      <c r="U44" s="131">
        <f>L44*6+N44*6+P44*6</f>
        <v>6090</v>
      </c>
      <c r="V44" s="130">
        <f>U44/6</f>
        <v>1015</v>
      </c>
      <c r="W44" s="133">
        <f>I44*6+J44</f>
        <v>239204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2680</v>
      </c>
      <c r="D48" s="142">
        <v>3</v>
      </c>
      <c r="E48" s="121"/>
      <c r="F48" s="121"/>
      <c r="G48" s="143"/>
      <c r="H48" s="139"/>
      <c r="I48" s="80">
        <f t="shared" si="4"/>
        <v>2680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16083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48320</v>
      </c>
      <c r="D60" s="54">
        <f>SUM(D8:D59)</f>
        <v>134</v>
      </c>
      <c r="E60" s="44">
        <f>SUM(E8:E59)</f>
        <v>3582</v>
      </c>
      <c r="F60" s="44"/>
      <c r="G60" s="28">
        <f>SUM(G8:G59)</f>
        <v>1257</v>
      </c>
      <c r="H60" s="56">
        <f>SUM(H8:H59)</f>
        <v>12</v>
      </c>
      <c r="I60" s="56">
        <f>SUM(I8:I59)</f>
        <v>50645</v>
      </c>
      <c r="J60" s="45">
        <f>SUM(J8:J59)</f>
        <v>122</v>
      </c>
      <c r="K60" s="46"/>
      <c r="L60" s="74">
        <f t="shared" ref="L60:S60" si="21">SUM(L8:L59)</f>
        <v>508</v>
      </c>
      <c r="M60" s="74">
        <f t="shared" si="21"/>
        <v>4</v>
      </c>
      <c r="N60" s="74">
        <f t="shared" si="21"/>
        <v>342</v>
      </c>
      <c r="O60" s="74">
        <f t="shared" si="21"/>
        <v>3</v>
      </c>
      <c r="P60" s="74">
        <f t="shared" si="21"/>
        <v>407</v>
      </c>
      <c r="Q60" s="75">
        <f t="shared" si="21"/>
        <v>5</v>
      </c>
      <c r="R60" s="85">
        <f t="shared" si="21"/>
        <v>1257</v>
      </c>
      <c r="S60" s="84">
        <f t="shared" si="21"/>
        <v>12</v>
      </c>
      <c r="T60" s="46"/>
      <c r="U60" s="43">
        <f>SUM(U8:U59)</f>
        <v>9330</v>
      </c>
      <c r="V60" s="102">
        <f>SUM(V8:V59)</f>
        <v>1257</v>
      </c>
      <c r="W60" s="180">
        <f>SUM(W8:W59)</f>
        <v>380852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2" t="s">
        <v>3</v>
      </c>
      <c r="D69" s="193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2285-96FD-4DCB-9ED2-3AC211F72AC4}">
  <sheetPr>
    <pageSetUpPr fitToPage="1"/>
  </sheetPr>
  <dimension ref="A1:BH90"/>
  <sheetViews>
    <sheetView zoomScale="73" zoomScaleNormal="73" zoomScaleSheetLayoutView="85" zoomScalePageLayoutView="80" workbookViewId="0">
      <selection activeCell="N30" sqref="N3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46253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197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32</v>
      </c>
      <c r="D8" s="111">
        <v>9</v>
      </c>
      <c r="E8" s="112"/>
      <c r="F8" s="112"/>
      <c r="G8" s="76"/>
      <c r="H8" s="73"/>
      <c r="I8" s="73">
        <f>C8+E8-G8</f>
        <v>32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777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79</v>
      </c>
      <c r="D9" s="114">
        <v>12</v>
      </c>
      <c r="E9" s="115"/>
      <c r="F9" s="115"/>
      <c r="G9" s="78">
        <v>3</v>
      </c>
      <c r="H9" s="79"/>
      <c r="I9" s="80">
        <f t="shared" ref="I9:I59" si="4">C9+E9-G9</f>
        <v>76</v>
      </c>
      <c r="J9" s="94">
        <f t="shared" si="0"/>
        <v>12</v>
      </c>
      <c r="K9" s="51"/>
      <c r="L9" s="121">
        <v>3</v>
      </c>
      <c r="M9" s="121"/>
      <c r="N9" s="121"/>
      <c r="O9" s="121"/>
      <c r="P9" s="121"/>
      <c r="Q9" s="122"/>
      <c r="R9" s="98">
        <f t="shared" si="1"/>
        <v>3</v>
      </c>
      <c r="S9" s="125">
        <f t="shared" si="1"/>
        <v>0</v>
      </c>
      <c r="T9" s="51"/>
      <c r="U9" s="131">
        <f>L9*24+N9*24+P9*24</f>
        <v>72</v>
      </c>
      <c r="V9" s="132">
        <f>U9/24</f>
        <v>3</v>
      </c>
      <c r="W9" s="133">
        <f t="shared" si="2"/>
        <v>1836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81</v>
      </c>
      <c r="D10" s="111"/>
      <c r="E10" s="112"/>
      <c r="F10" s="112"/>
      <c r="G10" s="76">
        <v>10</v>
      </c>
      <c r="H10" s="73"/>
      <c r="I10" s="93">
        <f t="shared" si="4"/>
        <v>71</v>
      </c>
      <c r="J10" s="95">
        <f t="shared" si="0"/>
        <v>0</v>
      </c>
      <c r="K10" s="41"/>
      <c r="L10" s="112">
        <v>10</v>
      </c>
      <c r="M10" s="112"/>
      <c r="N10" s="112"/>
      <c r="O10" s="112"/>
      <c r="P10" s="112"/>
      <c r="Q10" s="120"/>
      <c r="R10" s="99">
        <f t="shared" si="1"/>
        <v>10</v>
      </c>
      <c r="S10" s="126">
        <f t="shared" si="1"/>
        <v>0</v>
      </c>
      <c r="T10" s="41"/>
      <c r="U10" s="107">
        <f>L10*24+N10*24+P10*24</f>
        <v>240</v>
      </c>
      <c r="V10" s="134">
        <f>U10/24</f>
        <v>10</v>
      </c>
      <c r="W10" s="129">
        <f t="shared" si="2"/>
        <v>1704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30</v>
      </c>
      <c r="D11" s="111"/>
      <c r="E11" s="112"/>
      <c r="F11" s="112"/>
      <c r="G11" s="76">
        <v>10</v>
      </c>
      <c r="H11" s="73"/>
      <c r="I11" s="73">
        <f t="shared" si="4"/>
        <v>20</v>
      </c>
      <c r="J11" s="77">
        <f t="shared" si="0"/>
        <v>0</v>
      </c>
      <c r="K11" s="41"/>
      <c r="L11" s="112">
        <v>10</v>
      </c>
      <c r="M11" s="112"/>
      <c r="N11" s="112"/>
      <c r="O11" s="112"/>
      <c r="P11" s="112"/>
      <c r="Q11" s="120"/>
      <c r="R11" s="86">
        <f t="shared" si="1"/>
        <v>10</v>
      </c>
      <c r="S11" s="124">
        <f t="shared" si="1"/>
        <v>0</v>
      </c>
      <c r="T11" s="41"/>
      <c r="U11" s="107">
        <f>L11*24+N11*24+P11*24</f>
        <v>240</v>
      </c>
      <c r="V11" s="130">
        <f>U11/24</f>
        <v>10</v>
      </c>
      <c r="W11" s="129">
        <f t="shared" si="2"/>
        <v>480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9</v>
      </c>
      <c r="D12" s="111">
        <v>2</v>
      </c>
      <c r="E12" s="112"/>
      <c r="F12" s="112"/>
      <c r="G12" s="76">
        <v>9</v>
      </c>
      <c r="H12" s="73"/>
      <c r="I12" s="73">
        <f t="shared" si="4"/>
        <v>0</v>
      </c>
      <c r="J12" s="77">
        <f t="shared" si="0"/>
        <v>2</v>
      </c>
      <c r="K12" s="41"/>
      <c r="L12" s="112">
        <v>9</v>
      </c>
      <c r="M12" s="112"/>
      <c r="N12" s="112"/>
      <c r="O12" s="112"/>
      <c r="P12" s="112"/>
      <c r="Q12" s="120"/>
      <c r="R12" s="86">
        <f t="shared" si="1"/>
        <v>9</v>
      </c>
      <c r="S12" s="124">
        <f t="shared" si="1"/>
        <v>0</v>
      </c>
      <c r="T12" s="41"/>
      <c r="U12" s="107">
        <f t="shared" ref="U12:U37" si="5">L12*24+N12*24+P12*24</f>
        <v>216</v>
      </c>
      <c r="V12" s="130">
        <f t="shared" ref="V12:V41" si="6">U12/24</f>
        <v>9</v>
      </c>
      <c r="W12" s="129">
        <f t="shared" si="2"/>
        <v>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3194</v>
      </c>
      <c r="D13" s="114">
        <v>14</v>
      </c>
      <c r="E13" s="115"/>
      <c r="F13" s="115"/>
      <c r="G13" s="78">
        <v>34</v>
      </c>
      <c r="H13" s="79">
        <v>16</v>
      </c>
      <c r="I13" s="80">
        <f t="shared" si="4"/>
        <v>3160</v>
      </c>
      <c r="J13" s="94">
        <f>D13-H13</f>
        <v>-2</v>
      </c>
      <c r="K13" s="53"/>
      <c r="L13" s="121">
        <v>12</v>
      </c>
      <c r="M13" s="121">
        <v>10</v>
      </c>
      <c r="N13" s="121">
        <v>3</v>
      </c>
      <c r="O13" s="121">
        <v>6</v>
      </c>
      <c r="P13" s="121">
        <v>19</v>
      </c>
      <c r="Q13" s="122"/>
      <c r="R13" s="97">
        <f>L13+N13+P13</f>
        <v>34</v>
      </c>
      <c r="S13" s="125">
        <f>M13+O13+Q13</f>
        <v>16</v>
      </c>
      <c r="T13" s="53"/>
      <c r="U13" s="131">
        <f>L13*24+N13*24+P13*24</f>
        <v>816</v>
      </c>
      <c r="V13" s="135">
        <f t="shared" si="6"/>
        <v>34</v>
      </c>
      <c r="W13" s="133">
        <f>I13*24+J13</f>
        <v>75838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3</v>
      </c>
      <c r="D20" s="111">
        <v>20</v>
      </c>
      <c r="E20" s="112"/>
      <c r="F20" s="112"/>
      <c r="G20" s="76">
        <v>1</v>
      </c>
      <c r="H20" s="73"/>
      <c r="I20" s="73">
        <f t="shared" si="4"/>
        <v>2</v>
      </c>
      <c r="J20" s="77">
        <f t="shared" si="7"/>
        <v>20</v>
      </c>
      <c r="K20" s="41"/>
      <c r="L20" s="112"/>
      <c r="M20" s="112"/>
      <c r="N20" s="112"/>
      <c r="O20" s="112"/>
      <c r="P20" s="112">
        <v>1</v>
      </c>
      <c r="Q20" s="120"/>
      <c r="R20" s="86">
        <f t="shared" si="8"/>
        <v>1</v>
      </c>
      <c r="S20" s="124">
        <f t="shared" si="8"/>
        <v>0</v>
      </c>
      <c r="T20" s="41"/>
      <c r="U20" s="107">
        <f t="shared" si="5"/>
        <v>24</v>
      </c>
      <c r="V20" s="130">
        <f t="shared" si="6"/>
        <v>1</v>
      </c>
      <c r="W20" s="129">
        <f t="shared" si="9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>
        <v>1</v>
      </c>
      <c r="H23" s="73"/>
      <c r="I23" s="73">
        <f t="shared" si="4"/>
        <v>1</v>
      </c>
      <c r="J23" s="77">
        <f t="shared" si="7"/>
        <v>20</v>
      </c>
      <c r="K23" s="42"/>
      <c r="L23" s="112">
        <v>1</v>
      </c>
      <c r="M23" s="112"/>
      <c r="N23" s="112"/>
      <c r="O23" s="112"/>
      <c r="P23" s="112"/>
      <c r="Q23" s="120"/>
      <c r="R23" s="86">
        <f t="shared" si="8"/>
        <v>1</v>
      </c>
      <c r="S23" s="124">
        <f t="shared" si="8"/>
        <v>0</v>
      </c>
      <c r="T23" s="42"/>
      <c r="U23" s="107">
        <f t="shared" si="5"/>
        <v>24</v>
      </c>
      <c r="V23" s="130">
        <f t="shared" si="6"/>
        <v>1</v>
      </c>
      <c r="W23" s="129">
        <f t="shared" si="9"/>
        <v>44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166</v>
      </c>
      <c r="D26" s="111">
        <v>1</v>
      </c>
      <c r="E26" s="112"/>
      <c r="F26" s="112"/>
      <c r="G26" s="76">
        <v>4</v>
      </c>
      <c r="H26" s="73"/>
      <c r="I26" s="73">
        <f t="shared" si="4"/>
        <v>162</v>
      </c>
      <c r="J26" s="77">
        <f t="shared" si="7"/>
        <v>1</v>
      </c>
      <c r="K26" s="41"/>
      <c r="L26" s="112">
        <v>2</v>
      </c>
      <c r="M26" s="112"/>
      <c r="N26" s="112"/>
      <c r="O26" s="112"/>
      <c r="P26" s="112">
        <v>2</v>
      </c>
      <c r="Q26" s="120"/>
      <c r="R26" s="86">
        <f t="shared" si="8"/>
        <v>4</v>
      </c>
      <c r="S26" s="124">
        <f t="shared" si="8"/>
        <v>0</v>
      </c>
      <c r="T26" s="41"/>
      <c r="U26" s="107">
        <f t="shared" si="5"/>
        <v>96</v>
      </c>
      <c r="V26" s="130">
        <f t="shared" si="6"/>
        <v>4</v>
      </c>
      <c r="W26" s="129">
        <f t="shared" si="9"/>
        <v>3889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3</v>
      </c>
      <c r="D28" s="111"/>
      <c r="E28" s="112"/>
      <c r="F28" s="112"/>
      <c r="G28" s="76">
        <v>1</v>
      </c>
      <c r="H28" s="73"/>
      <c r="I28" s="73">
        <f t="shared" si="4"/>
        <v>2</v>
      </c>
      <c r="J28" s="77">
        <f t="shared" si="7"/>
        <v>0</v>
      </c>
      <c r="K28" s="42"/>
      <c r="L28" s="112">
        <v>1</v>
      </c>
      <c r="M28" s="112"/>
      <c r="N28" s="112"/>
      <c r="O28" s="112"/>
      <c r="P28" s="112"/>
      <c r="Q28" s="120"/>
      <c r="R28" s="86">
        <f t="shared" si="8"/>
        <v>1</v>
      </c>
      <c r="S28" s="124">
        <f t="shared" si="8"/>
        <v>0</v>
      </c>
      <c r="T28" s="42"/>
      <c r="U28" s="107">
        <f t="shared" si="5"/>
        <v>24</v>
      </c>
      <c r="V28" s="130">
        <f t="shared" si="6"/>
        <v>1</v>
      </c>
      <c r="W28" s="129">
        <f t="shared" si="9"/>
        <v>48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22</v>
      </c>
      <c r="D30" s="111">
        <v>5</v>
      </c>
      <c r="E30" s="112"/>
      <c r="F30" s="112"/>
      <c r="G30" s="76">
        <v>14</v>
      </c>
      <c r="H30" s="73"/>
      <c r="I30" s="73">
        <f t="shared" si="4"/>
        <v>8</v>
      </c>
      <c r="J30" s="77">
        <f t="shared" si="7"/>
        <v>5</v>
      </c>
      <c r="K30" s="41"/>
      <c r="L30" s="112">
        <v>11</v>
      </c>
      <c r="M30" s="112"/>
      <c r="N30" s="112">
        <v>2</v>
      </c>
      <c r="O30" s="112"/>
      <c r="P30" s="112">
        <v>1</v>
      </c>
      <c r="Q30" s="120"/>
      <c r="R30" s="86">
        <f t="shared" si="8"/>
        <v>14</v>
      </c>
      <c r="S30" s="124">
        <f t="shared" si="8"/>
        <v>0</v>
      </c>
      <c r="T30" s="41"/>
      <c r="U30" s="107">
        <f t="shared" si="5"/>
        <v>336</v>
      </c>
      <c r="V30" s="130">
        <f t="shared" si="6"/>
        <v>14</v>
      </c>
      <c r="W30" s="129">
        <f t="shared" si="9"/>
        <v>197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8</v>
      </c>
      <c r="D31" s="111"/>
      <c r="E31" s="112"/>
      <c r="F31" s="112"/>
      <c r="G31" s="76">
        <v>4</v>
      </c>
      <c r="H31" s="73"/>
      <c r="I31" s="73">
        <f t="shared" si="4"/>
        <v>4</v>
      </c>
      <c r="J31" s="77">
        <f t="shared" si="7"/>
        <v>0</v>
      </c>
      <c r="K31" s="41"/>
      <c r="L31" s="112">
        <v>3</v>
      </c>
      <c r="M31" s="112"/>
      <c r="N31" s="112"/>
      <c r="O31" s="112"/>
      <c r="P31" s="112">
        <v>1</v>
      </c>
      <c r="Q31" s="120"/>
      <c r="R31" s="86">
        <f t="shared" si="8"/>
        <v>4</v>
      </c>
      <c r="S31" s="124">
        <f t="shared" si="8"/>
        <v>0</v>
      </c>
      <c r="T31" s="41"/>
      <c r="U31" s="107">
        <f t="shared" si="5"/>
        <v>96</v>
      </c>
      <c r="V31" s="130">
        <f t="shared" si="6"/>
        <v>4</v>
      </c>
      <c r="W31" s="129">
        <f t="shared" si="9"/>
        <v>96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181</v>
      </c>
      <c r="D35" s="111">
        <v>2</v>
      </c>
      <c r="E35" s="112"/>
      <c r="F35" s="112"/>
      <c r="G35" s="76">
        <v>13</v>
      </c>
      <c r="H35" s="73"/>
      <c r="I35" s="73">
        <f t="shared" si="4"/>
        <v>168</v>
      </c>
      <c r="J35" s="77">
        <f t="shared" si="7"/>
        <v>2</v>
      </c>
      <c r="K35" s="41"/>
      <c r="L35" s="112">
        <v>11</v>
      </c>
      <c r="M35" s="112"/>
      <c r="N35" s="112">
        <v>2</v>
      </c>
      <c r="O35" s="112"/>
      <c r="P35" s="112"/>
      <c r="Q35" s="120"/>
      <c r="R35" s="86">
        <f t="shared" si="8"/>
        <v>13</v>
      </c>
      <c r="S35" s="124">
        <f t="shared" si="8"/>
        <v>0</v>
      </c>
      <c r="T35" s="41"/>
      <c r="U35" s="107">
        <f t="shared" si="5"/>
        <v>312</v>
      </c>
      <c r="V35" s="130">
        <f t="shared" si="6"/>
        <v>13</v>
      </c>
      <c r="W35" s="129">
        <f t="shared" si="9"/>
        <v>4034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3524</v>
      </c>
      <c r="D38" s="114">
        <v>1</v>
      </c>
      <c r="E38" s="115"/>
      <c r="F38" s="115"/>
      <c r="G38" s="78">
        <v>179</v>
      </c>
      <c r="H38" s="79"/>
      <c r="I38" s="80">
        <f t="shared" si="4"/>
        <v>3345</v>
      </c>
      <c r="J38" s="140">
        <f t="shared" si="7"/>
        <v>1</v>
      </c>
      <c r="K38" s="51"/>
      <c r="L38" s="121">
        <v>48</v>
      </c>
      <c r="M38" s="121"/>
      <c r="N38" s="121">
        <v>21</v>
      </c>
      <c r="O38" s="121"/>
      <c r="P38" s="121">
        <v>110</v>
      </c>
      <c r="Q38" s="122"/>
      <c r="R38" s="97">
        <f t="shared" si="8"/>
        <v>179</v>
      </c>
      <c r="S38" s="125">
        <f t="shared" si="8"/>
        <v>0</v>
      </c>
      <c r="T38" s="51"/>
      <c r="U38" s="131">
        <f>L38*6+N38*6+P38*6</f>
        <v>1074</v>
      </c>
      <c r="V38" s="135">
        <f>U38/6</f>
        <v>179</v>
      </c>
      <c r="W38" s="133">
        <f>I38*6+J38</f>
        <v>20071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260</v>
      </c>
      <c r="D41" s="147">
        <v>20</v>
      </c>
      <c r="E41" s="148"/>
      <c r="F41" s="148"/>
      <c r="G41" s="149">
        <v>3</v>
      </c>
      <c r="H41" s="150"/>
      <c r="I41" s="80">
        <f t="shared" si="4"/>
        <v>257</v>
      </c>
      <c r="J41" s="152">
        <f t="shared" si="7"/>
        <v>20</v>
      </c>
      <c r="K41" s="153"/>
      <c r="L41" s="154">
        <v>1</v>
      </c>
      <c r="M41" s="154"/>
      <c r="N41" s="154"/>
      <c r="O41" s="154"/>
      <c r="P41" s="154">
        <v>2</v>
      </c>
      <c r="Q41" s="155"/>
      <c r="R41" s="156">
        <f t="shared" si="8"/>
        <v>3</v>
      </c>
      <c r="S41" s="157">
        <f t="shared" si="8"/>
        <v>0</v>
      </c>
      <c r="T41" s="153"/>
      <c r="U41" s="158">
        <f t="shared" si="10"/>
        <v>72</v>
      </c>
      <c r="V41" s="159">
        <f t="shared" si="6"/>
        <v>3</v>
      </c>
      <c r="W41" s="159">
        <f t="shared" si="11"/>
        <v>6188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405</v>
      </c>
      <c r="D42" s="164"/>
      <c r="E42" s="165"/>
      <c r="F42" s="165"/>
      <c r="G42" s="166">
        <v>77</v>
      </c>
      <c r="H42" s="167"/>
      <c r="I42" s="181">
        <f t="shared" si="4"/>
        <v>328</v>
      </c>
      <c r="J42" s="168">
        <f t="shared" si="7"/>
        <v>0</v>
      </c>
      <c r="K42" s="169"/>
      <c r="L42" s="165">
        <v>27</v>
      </c>
      <c r="M42" s="165"/>
      <c r="N42" s="165">
        <v>6</v>
      </c>
      <c r="O42" s="165"/>
      <c r="P42" s="165">
        <v>44</v>
      </c>
      <c r="Q42" s="170"/>
      <c r="R42" s="171">
        <f t="shared" si="8"/>
        <v>77</v>
      </c>
      <c r="S42" s="172">
        <f t="shared" si="8"/>
        <v>0</v>
      </c>
      <c r="T42" s="169"/>
      <c r="U42" s="173">
        <f>L42*12+N42*12+P42*12</f>
        <v>924</v>
      </c>
      <c r="V42" s="174">
        <f>U42/12</f>
        <v>77</v>
      </c>
      <c r="W42" s="175">
        <f>I42*12+J42</f>
        <v>3936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39867</v>
      </c>
      <c r="D44" s="114">
        <v>2</v>
      </c>
      <c r="E44" s="115"/>
      <c r="F44" s="115"/>
      <c r="G44" s="78">
        <v>1239</v>
      </c>
      <c r="H44" s="79"/>
      <c r="I44" s="182">
        <f t="shared" si="4"/>
        <v>38628</v>
      </c>
      <c r="J44" s="177">
        <f t="shared" si="7"/>
        <v>2</v>
      </c>
      <c r="K44" s="51"/>
      <c r="L44" s="121">
        <v>703</v>
      </c>
      <c r="M44" s="121"/>
      <c r="N44" s="121">
        <v>71</v>
      </c>
      <c r="O44" s="121"/>
      <c r="P44" s="121">
        <v>465</v>
      </c>
      <c r="Q44" s="122"/>
      <c r="R44" s="178">
        <f t="shared" si="8"/>
        <v>1239</v>
      </c>
      <c r="S44" s="179">
        <f t="shared" si="8"/>
        <v>0</v>
      </c>
      <c r="T44" s="51"/>
      <c r="U44" s="131">
        <f>L44*6+N44*6+P44*6</f>
        <v>7434</v>
      </c>
      <c r="V44" s="130">
        <f>U44/6</f>
        <v>1239</v>
      </c>
      <c r="W44" s="133">
        <f>I44*6+J44</f>
        <v>231770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2680</v>
      </c>
      <c r="D48" s="142">
        <v>3</v>
      </c>
      <c r="E48" s="121"/>
      <c r="F48" s="121"/>
      <c r="G48" s="143">
        <v>13</v>
      </c>
      <c r="H48" s="139"/>
      <c r="I48" s="80">
        <f t="shared" si="4"/>
        <v>2667</v>
      </c>
      <c r="J48" s="140">
        <f t="shared" si="7"/>
        <v>3</v>
      </c>
      <c r="K48" s="51"/>
      <c r="L48" s="121">
        <v>13</v>
      </c>
      <c r="M48" s="121"/>
      <c r="N48" s="121"/>
      <c r="O48" s="121"/>
      <c r="P48" s="121"/>
      <c r="Q48" s="122"/>
      <c r="R48" s="97">
        <f t="shared" si="8"/>
        <v>13</v>
      </c>
      <c r="S48" s="144">
        <f t="shared" si="8"/>
        <v>0</v>
      </c>
      <c r="T48" s="51"/>
      <c r="U48" s="131">
        <f>L48*6+N48*6+P48*6</f>
        <v>78</v>
      </c>
      <c r="V48" s="135">
        <f>U48/6</f>
        <v>13</v>
      </c>
      <c r="W48" s="133">
        <f>I48*6+J48</f>
        <v>16005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50644</v>
      </c>
      <c r="D60" s="54">
        <f>SUM(D8:D59)</f>
        <v>146</v>
      </c>
      <c r="E60" s="44">
        <f>SUM(E8:E59)</f>
        <v>0</v>
      </c>
      <c r="F60" s="44"/>
      <c r="G60" s="28">
        <f>SUM(G8:G59)</f>
        <v>1615</v>
      </c>
      <c r="H60" s="56">
        <f>SUM(H8:H59)</f>
        <v>16</v>
      </c>
      <c r="I60" s="56">
        <f>SUM(I8:I59)</f>
        <v>49029</v>
      </c>
      <c r="J60" s="45">
        <f>SUM(J8:J59)</f>
        <v>130</v>
      </c>
      <c r="K60" s="46"/>
      <c r="L60" s="74">
        <f t="shared" ref="L60:S60" si="21">SUM(L8:L59)</f>
        <v>865</v>
      </c>
      <c r="M60" s="74">
        <f t="shared" si="21"/>
        <v>10</v>
      </c>
      <c r="N60" s="74">
        <f t="shared" si="21"/>
        <v>105</v>
      </c>
      <c r="O60" s="74">
        <f t="shared" si="21"/>
        <v>6</v>
      </c>
      <c r="P60" s="74">
        <f t="shared" si="21"/>
        <v>645</v>
      </c>
      <c r="Q60" s="75">
        <f t="shared" si="21"/>
        <v>0</v>
      </c>
      <c r="R60" s="85">
        <f t="shared" si="21"/>
        <v>1615</v>
      </c>
      <c r="S60" s="84">
        <f t="shared" si="21"/>
        <v>16</v>
      </c>
      <c r="T60" s="46"/>
      <c r="U60" s="43">
        <f>SUM(U8:U59)</f>
        <v>12078</v>
      </c>
      <c r="V60" s="102">
        <f>SUM(V8:V59)</f>
        <v>1615</v>
      </c>
      <c r="W60" s="180">
        <f>SUM(W8:W59)</f>
        <v>368758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5" t="s">
        <v>3</v>
      </c>
      <c r="D69" s="196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41DE-51CB-42AF-8C4E-42C8FBC086FD}">
  <sheetPr>
    <pageSetUpPr fitToPage="1"/>
  </sheetPr>
  <dimension ref="A1:BH90"/>
  <sheetViews>
    <sheetView topLeftCell="A32" zoomScale="73" zoomScaleNormal="73" zoomScaleSheetLayoutView="85" zoomScalePageLayoutView="80" workbookViewId="0">
      <selection activeCell="AG59" sqref="AG5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46253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200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32</v>
      </c>
      <c r="D8" s="111">
        <v>9</v>
      </c>
      <c r="E8" s="112"/>
      <c r="F8" s="112"/>
      <c r="G8" s="76">
        <v>1</v>
      </c>
      <c r="H8" s="73"/>
      <c r="I8" s="73">
        <f>C8+E8-G8</f>
        <v>31</v>
      </c>
      <c r="J8" s="77">
        <f t="shared" ref="J8:J12" si="0">D8-H8</f>
        <v>9</v>
      </c>
      <c r="K8" s="41"/>
      <c r="L8" s="112"/>
      <c r="M8" s="112"/>
      <c r="N8" s="112"/>
      <c r="O8" s="112"/>
      <c r="P8" s="112">
        <v>1</v>
      </c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753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76</v>
      </c>
      <c r="D9" s="114">
        <v>12</v>
      </c>
      <c r="E9" s="115"/>
      <c r="F9" s="115"/>
      <c r="G9" s="78">
        <v>5</v>
      </c>
      <c r="H9" s="79"/>
      <c r="I9" s="80">
        <f t="shared" ref="I9:I59" si="4">C9+E9-G9</f>
        <v>71</v>
      </c>
      <c r="J9" s="94">
        <f t="shared" si="0"/>
        <v>12</v>
      </c>
      <c r="K9" s="51"/>
      <c r="L9" s="121"/>
      <c r="M9" s="121"/>
      <c r="N9" s="121"/>
      <c r="O9" s="121"/>
      <c r="P9" s="121">
        <v>5</v>
      </c>
      <c r="Q9" s="122"/>
      <c r="R9" s="98">
        <f t="shared" si="1"/>
        <v>5</v>
      </c>
      <c r="S9" s="125">
        <f t="shared" si="1"/>
        <v>0</v>
      </c>
      <c r="T9" s="51"/>
      <c r="U9" s="131">
        <f>L9*24+N9*24+P9*24</f>
        <v>120</v>
      </c>
      <c r="V9" s="132">
        <f>U9/24</f>
        <v>5</v>
      </c>
      <c r="W9" s="133">
        <f t="shared" si="2"/>
        <v>1716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71</v>
      </c>
      <c r="D10" s="111"/>
      <c r="E10" s="112"/>
      <c r="F10" s="112"/>
      <c r="G10" s="76">
        <v>15</v>
      </c>
      <c r="H10" s="73"/>
      <c r="I10" s="93">
        <f t="shared" si="4"/>
        <v>56</v>
      </c>
      <c r="J10" s="95">
        <f t="shared" si="0"/>
        <v>0</v>
      </c>
      <c r="K10" s="41"/>
      <c r="L10" s="112"/>
      <c r="M10" s="112"/>
      <c r="N10" s="112"/>
      <c r="O10" s="112"/>
      <c r="P10" s="112">
        <v>15</v>
      </c>
      <c r="Q10" s="120"/>
      <c r="R10" s="99">
        <f t="shared" si="1"/>
        <v>15</v>
      </c>
      <c r="S10" s="126">
        <f t="shared" si="1"/>
        <v>0</v>
      </c>
      <c r="T10" s="41"/>
      <c r="U10" s="107">
        <f>L10*24+N10*24+P10*24</f>
        <v>360</v>
      </c>
      <c r="V10" s="134">
        <f>U10/24</f>
        <v>15</v>
      </c>
      <c r="W10" s="129">
        <f t="shared" si="2"/>
        <v>1344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20</v>
      </c>
      <c r="D11" s="111"/>
      <c r="E11" s="112"/>
      <c r="F11" s="112"/>
      <c r="G11" s="76">
        <v>5</v>
      </c>
      <c r="H11" s="73"/>
      <c r="I11" s="73">
        <f t="shared" si="4"/>
        <v>15</v>
      </c>
      <c r="J11" s="77">
        <f t="shared" si="0"/>
        <v>0</v>
      </c>
      <c r="K11" s="41"/>
      <c r="L11" s="112"/>
      <c r="M11" s="112"/>
      <c r="N11" s="112"/>
      <c r="O11" s="112"/>
      <c r="P11" s="112">
        <v>5</v>
      </c>
      <c r="Q11" s="120"/>
      <c r="R11" s="86">
        <f t="shared" si="1"/>
        <v>5</v>
      </c>
      <c r="S11" s="124">
        <f t="shared" si="1"/>
        <v>0</v>
      </c>
      <c r="T11" s="41"/>
      <c r="U11" s="107">
        <f>L11*24+N11*24+P11*24</f>
        <v>120</v>
      </c>
      <c r="V11" s="130">
        <f>U11/24</f>
        <v>5</v>
      </c>
      <c r="W11" s="129">
        <f t="shared" si="2"/>
        <v>360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>
        <v>2</v>
      </c>
      <c r="E12" s="112"/>
      <c r="F12" s="112"/>
      <c r="G12" s="76"/>
      <c r="H12" s="73"/>
      <c r="I12" s="73">
        <f t="shared" si="4"/>
        <v>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3159</v>
      </c>
      <c r="D13" s="114">
        <v>22</v>
      </c>
      <c r="E13" s="115"/>
      <c r="F13" s="115"/>
      <c r="G13" s="78">
        <v>11</v>
      </c>
      <c r="H13" s="79"/>
      <c r="I13" s="80">
        <f t="shared" si="4"/>
        <v>3148</v>
      </c>
      <c r="J13" s="94">
        <f>D13-H13</f>
        <v>22</v>
      </c>
      <c r="K13" s="53"/>
      <c r="L13" s="121"/>
      <c r="M13" s="121"/>
      <c r="N13" s="121">
        <v>11</v>
      </c>
      <c r="O13" s="121"/>
      <c r="P13" s="121"/>
      <c r="Q13" s="122"/>
      <c r="R13" s="97">
        <f>L13+N13+P13</f>
        <v>11</v>
      </c>
      <c r="S13" s="125">
        <f>M13+O13+Q13</f>
        <v>0</v>
      </c>
      <c r="T13" s="53"/>
      <c r="U13" s="131">
        <f>L13*24+N13*24+P13*24</f>
        <v>264</v>
      </c>
      <c r="V13" s="135">
        <f t="shared" si="6"/>
        <v>11</v>
      </c>
      <c r="W13" s="133">
        <f>I13*24+J13</f>
        <v>75574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2</v>
      </c>
      <c r="D20" s="111">
        <v>20</v>
      </c>
      <c r="E20" s="112"/>
      <c r="F20" s="112"/>
      <c r="G20" s="76"/>
      <c r="H20" s="73"/>
      <c r="I20" s="73">
        <f t="shared" si="4"/>
        <v>2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1</v>
      </c>
      <c r="D23" s="111">
        <v>20</v>
      </c>
      <c r="E23" s="112"/>
      <c r="F23" s="112"/>
      <c r="G23" s="76"/>
      <c r="H23" s="73"/>
      <c r="I23" s="73">
        <f t="shared" si="4"/>
        <v>1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44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162</v>
      </c>
      <c r="D26" s="111">
        <v>1</v>
      </c>
      <c r="E26" s="112"/>
      <c r="F26" s="112"/>
      <c r="G26" s="76">
        <v>10</v>
      </c>
      <c r="H26" s="73"/>
      <c r="I26" s="73">
        <f t="shared" si="4"/>
        <v>152</v>
      </c>
      <c r="J26" s="77">
        <f t="shared" si="7"/>
        <v>1</v>
      </c>
      <c r="K26" s="41"/>
      <c r="L26" s="112"/>
      <c r="M26" s="112"/>
      <c r="N26" s="112"/>
      <c r="O26" s="112"/>
      <c r="P26" s="112">
        <v>10</v>
      </c>
      <c r="Q26" s="120"/>
      <c r="R26" s="86">
        <f t="shared" si="8"/>
        <v>10</v>
      </c>
      <c r="S26" s="124">
        <f t="shared" si="8"/>
        <v>0</v>
      </c>
      <c r="T26" s="41"/>
      <c r="U26" s="107">
        <f t="shared" si="5"/>
        <v>240</v>
      </c>
      <c r="V26" s="130">
        <f t="shared" si="6"/>
        <v>10</v>
      </c>
      <c r="W26" s="129">
        <f t="shared" si="9"/>
        <v>3649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2</v>
      </c>
      <c r="D28" s="111"/>
      <c r="E28" s="112"/>
      <c r="F28" s="112"/>
      <c r="G28" s="76">
        <v>1</v>
      </c>
      <c r="H28" s="73"/>
      <c r="I28" s="73">
        <f t="shared" si="4"/>
        <v>1</v>
      </c>
      <c r="J28" s="77">
        <f t="shared" si="7"/>
        <v>0</v>
      </c>
      <c r="K28" s="42"/>
      <c r="L28" s="112"/>
      <c r="M28" s="112"/>
      <c r="N28" s="112"/>
      <c r="O28" s="112"/>
      <c r="P28" s="112">
        <v>1</v>
      </c>
      <c r="Q28" s="120"/>
      <c r="R28" s="86">
        <f t="shared" si="8"/>
        <v>1</v>
      </c>
      <c r="S28" s="124">
        <f t="shared" si="8"/>
        <v>0</v>
      </c>
      <c r="T28" s="42"/>
      <c r="U28" s="107">
        <f t="shared" si="5"/>
        <v>24</v>
      </c>
      <c r="V28" s="130">
        <f t="shared" si="6"/>
        <v>1</v>
      </c>
      <c r="W28" s="129">
        <f t="shared" si="9"/>
        <v>24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8</v>
      </c>
      <c r="D30" s="111">
        <v>5</v>
      </c>
      <c r="E30" s="112"/>
      <c r="F30" s="112"/>
      <c r="G30" s="76">
        <v>8</v>
      </c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>
        <v>8</v>
      </c>
      <c r="Q30" s="120"/>
      <c r="R30" s="86">
        <f t="shared" si="8"/>
        <v>8</v>
      </c>
      <c r="S30" s="124">
        <f t="shared" si="8"/>
        <v>0</v>
      </c>
      <c r="T30" s="41"/>
      <c r="U30" s="107">
        <f t="shared" si="5"/>
        <v>192</v>
      </c>
      <c r="V30" s="130">
        <f t="shared" si="6"/>
        <v>8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</v>
      </c>
      <c r="D31" s="111"/>
      <c r="E31" s="112"/>
      <c r="F31" s="112"/>
      <c r="G31" s="76">
        <v>2</v>
      </c>
      <c r="H31" s="73"/>
      <c r="I31" s="73">
        <f t="shared" si="4"/>
        <v>2</v>
      </c>
      <c r="J31" s="77">
        <f t="shared" si="7"/>
        <v>0</v>
      </c>
      <c r="K31" s="41"/>
      <c r="L31" s="112"/>
      <c r="M31" s="112"/>
      <c r="N31" s="112"/>
      <c r="O31" s="112"/>
      <c r="P31" s="112"/>
      <c r="Q31" s="120"/>
      <c r="R31" s="86">
        <f t="shared" si="8"/>
        <v>0</v>
      </c>
      <c r="S31" s="124">
        <f t="shared" si="8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9"/>
        <v>48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168</v>
      </c>
      <c r="D35" s="111">
        <v>2</v>
      </c>
      <c r="E35" s="112"/>
      <c r="F35" s="112"/>
      <c r="G35" s="76">
        <v>25</v>
      </c>
      <c r="H35" s="73"/>
      <c r="I35" s="73">
        <f t="shared" si="4"/>
        <v>143</v>
      </c>
      <c r="J35" s="77">
        <f t="shared" si="7"/>
        <v>2</v>
      </c>
      <c r="K35" s="41"/>
      <c r="L35" s="112"/>
      <c r="M35" s="112"/>
      <c r="N35" s="112">
        <v>5</v>
      </c>
      <c r="O35" s="112"/>
      <c r="P35" s="112">
        <v>20</v>
      </c>
      <c r="Q35" s="120"/>
      <c r="R35" s="86">
        <f t="shared" si="8"/>
        <v>25</v>
      </c>
      <c r="S35" s="124">
        <f t="shared" si="8"/>
        <v>0</v>
      </c>
      <c r="T35" s="41"/>
      <c r="U35" s="107">
        <f t="shared" si="5"/>
        <v>600</v>
      </c>
      <c r="V35" s="130">
        <f t="shared" si="6"/>
        <v>25</v>
      </c>
      <c r="W35" s="129">
        <f t="shared" si="9"/>
        <v>3434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3345</v>
      </c>
      <c r="D38" s="114">
        <v>1</v>
      </c>
      <c r="E38" s="115"/>
      <c r="F38" s="115"/>
      <c r="G38" s="78">
        <v>101</v>
      </c>
      <c r="H38" s="79"/>
      <c r="I38" s="80">
        <f t="shared" si="4"/>
        <v>3244</v>
      </c>
      <c r="J38" s="140">
        <f t="shared" si="7"/>
        <v>1</v>
      </c>
      <c r="K38" s="51"/>
      <c r="L38" s="121"/>
      <c r="M38" s="121"/>
      <c r="N38" s="121">
        <v>51</v>
      </c>
      <c r="O38" s="121"/>
      <c r="P38" s="121">
        <v>50</v>
      </c>
      <c r="Q38" s="122"/>
      <c r="R38" s="97">
        <f t="shared" si="8"/>
        <v>101</v>
      </c>
      <c r="S38" s="125">
        <f t="shared" si="8"/>
        <v>0</v>
      </c>
      <c r="T38" s="51"/>
      <c r="U38" s="131">
        <f>L38*6+N38*6+P38*6</f>
        <v>606</v>
      </c>
      <c r="V38" s="135">
        <f>U38/6</f>
        <v>101</v>
      </c>
      <c r="W38" s="133">
        <f>I38*6+J38</f>
        <v>19465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257</v>
      </c>
      <c r="D41" s="147">
        <v>20</v>
      </c>
      <c r="E41" s="148"/>
      <c r="F41" s="148"/>
      <c r="G41" s="149">
        <v>16</v>
      </c>
      <c r="H41" s="150"/>
      <c r="I41" s="80">
        <f t="shared" si="4"/>
        <v>241</v>
      </c>
      <c r="J41" s="152">
        <f t="shared" si="7"/>
        <v>20</v>
      </c>
      <c r="K41" s="153"/>
      <c r="L41" s="154"/>
      <c r="M41" s="154"/>
      <c r="N41" s="154">
        <v>1</v>
      </c>
      <c r="O41" s="154"/>
      <c r="P41" s="154">
        <v>15</v>
      </c>
      <c r="Q41" s="155"/>
      <c r="R41" s="156">
        <f t="shared" si="8"/>
        <v>16</v>
      </c>
      <c r="S41" s="157">
        <f t="shared" si="8"/>
        <v>0</v>
      </c>
      <c r="T41" s="153"/>
      <c r="U41" s="158">
        <f t="shared" si="10"/>
        <v>384</v>
      </c>
      <c r="V41" s="159">
        <f t="shared" si="6"/>
        <v>16</v>
      </c>
      <c r="W41" s="159">
        <f t="shared" si="11"/>
        <v>5804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328</v>
      </c>
      <c r="D42" s="164"/>
      <c r="E42" s="165"/>
      <c r="F42" s="165"/>
      <c r="G42" s="166">
        <v>35</v>
      </c>
      <c r="H42" s="167"/>
      <c r="I42" s="181">
        <f t="shared" si="4"/>
        <v>293</v>
      </c>
      <c r="J42" s="168">
        <f t="shared" si="7"/>
        <v>0</v>
      </c>
      <c r="K42" s="169"/>
      <c r="L42" s="165"/>
      <c r="M42" s="165"/>
      <c r="N42" s="165"/>
      <c r="O42" s="165"/>
      <c r="P42" s="165">
        <v>35</v>
      </c>
      <c r="Q42" s="170"/>
      <c r="R42" s="171">
        <f t="shared" si="8"/>
        <v>35</v>
      </c>
      <c r="S42" s="172">
        <f t="shared" si="8"/>
        <v>0</v>
      </c>
      <c r="T42" s="169"/>
      <c r="U42" s="173">
        <f>L42*12+N42*12+P42*12</f>
        <v>420</v>
      </c>
      <c r="V42" s="174">
        <f>U42/12</f>
        <v>35</v>
      </c>
      <c r="W42" s="175">
        <f>I42*12+J42</f>
        <v>3516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38628</v>
      </c>
      <c r="D44" s="114">
        <v>2</v>
      </c>
      <c r="E44" s="115"/>
      <c r="F44" s="115"/>
      <c r="G44" s="78">
        <v>758</v>
      </c>
      <c r="H44" s="79"/>
      <c r="I44" s="182">
        <f t="shared" si="4"/>
        <v>37870</v>
      </c>
      <c r="J44" s="177">
        <f t="shared" si="7"/>
        <v>2</v>
      </c>
      <c r="K44" s="51"/>
      <c r="L44" s="121"/>
      <c r="M44" s="121"/>
      <c r="N44" s="121">
        <v>405</v>
      </c>
      <c r="O44" s="121"/>
      <c r="P44" s="121">
        <v>353</v>
      </c>
      <c r="Q44" s="122"/>
      <c r="R44" s="178">
        <f t="shared" si="8"/>
        <v>758</v>
      </c>
      <c r="S44" s="179">
        <f t="shared" si="8"/>
        <v>0</v>
      </c>
      <c r="T44" s="51"/>
      <c r="U44" s="131">
        <f>L44*6+N44*6+P44*6</f>
        <v>4548</v>
      </c>
      <c r="V44" s="130">
        <f>U44/6</f>
        <v>758</v>
      </c>
      <c r="W44" s="133">
        <f>I44*6+J44</f>
        <v>227222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2667</v>
      </c>
      <c r="D48" s="142">
        <v>3</v>
      </c>
      <c r="E48" s="121"/>
      <c r="F48" s="121"/>
      <c r="G48" s="143">
        <v>15</v>
      </c>
      <c r="H48" s="139"/>
      <c r="I48" s="80">
        <f t="shared" si="4"/>
        <v>2652</v>
      </c>
      <c r="J48" s="140">
        <f t="shared" si="7"/>
        <v>3</v>
      </c>
      <c r="K48" s="51"/>
      <c r="L48" s="121"/>
      <c r="M48" s="121"/>
      <c r="N48" s="121"/>
      <c r="O48" s="121"/>
      <c r="P48" s="121">
        <v>15</v>
      </c>
      <c r="Q48" s="122"/>
      <c r="R48" s="97">
        <f t="shared" si="8"/>
        <v>15</v>
      </c>
      <c r="S48" s="144">
        <f t="shared" si="8"/>
        <v>0</v>
      </c>
      <c r="T48" s="51"/>
      <c r="U48" s="131">
        <f>L48*6+N48*6+P48*6</f>
        <v>90</v>
      </c>
      <c r="V48" s="135">
        <f>U48/6</f>
        <v>15</v>
      </c>
      <c r="W48" s="133">
        <f>I48*6+J48</f>
        <v>15915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49028</v>
      </c>
      <c r="D60" s="54">
        <f>SUM(D8:D59)</f>
        <v>154</v>
      </c>
      <c r="E60" s="44">
        <f>SUM(E8:E59)</f>
        <v>0</v>
      </c>
      <c r="F60" s="44"/>
      <c r="G60" s="28">
        <f>SUM(G8:G59)</f>
        <v>1008</v>
      </c>
      <c r="H60" s="56">
        <f>SUM(H8:H59)</f>
        <v>0</v>
      </c>
      <c r="I60" s="56">
        <f>SUM(I8:I59)</f>
        <v>48020</v>
      </c>
      <c r="J60" s="45">
        <f>SUM(J8:J59)</f>
        <v>154</v>
      </c>
      <c r="K60" s="46"/>
      <c r="L60" s="74">
        <f t="shared" ref="L60:S60" si="21">SUM(L8:L59)</f>
        <v>0</v>
      </c>
      <c r="M60" s="74">
        <f t="shared" si="21"/>
        <v>0</v>
      </c>
      <c r="N60" s="74">
        <f t="shared" si="21"/>
        <v>473</v>
      </c>
      <c r="O60" s="74">
        <f t="shared" si="21"/>
        <v>0</v>
      </c>
      <c r="P60" s="74">
        <f t="shared" si="21"/>
        <v>533</v>
      </c>
      <c r="Q60" s="75">
        <f t="shared" si="21"/>
        <v>0</v>
      </c>
      <c r="R60" s="85">
        <f t="shared" si="21"/>
        <v>1006</v>
      </c>
      <c r="S60" s="84">
        <f t="shared" si="21"/>
        <v>0</v>
      </c>
      <c r="T60" s="46"/>
      <c r="U60" s="43">
        <f>SUM(U8:U59)</f>
        <v>7992</v>
      </c>
      <c r="V60" s="102">
        <f>SUM(V8:V59)</f>
        <v>1006</v>
      </c>
      <c r="W60" s="180">
        <f>SUM(W8:W59)</f>
        <v>360718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8" t="s">
        <v>3</v>
      </c>
      <c r="D69" s="199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A27D-1F85-4CEC-9921-09A8F107B9CE}">
  <sheetPr>
    <pageSetUpPr fitToPage="1"/>
  </sheetPr>
  <dimension ref="A1:BH90"/>
  <sheetViews>
    <sheetView topLeftCell="A18" zoomScale="73" zoomScaleNormal="73" zoomScaleSheetLayoutView="85" zoomScalePageLayoutView="80" workbookViewId="0">
      <selection activeCell="AE39" sqref="AE3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9.140625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46258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203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31</v>
      </c>
      <c r="D8" s="111">
        <v>9</v>
      </c>
      <c r="E8" s="112"/>
      <c r="F8" s="112"/>
      <c r="G8" s="76"/>
      <c r="H8" s="73"/>
      <c r="I8" s="73">
        <f>C8+E8-G8</f>
        <v>31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753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71</v>
      </c>
      <c r="D9" s="114">
        <v>12</v>
      </c>
      <c r="E9" s="115"/>
      <c r="F9" s="115"/>
      <c r="G9" s="78"/>
      <c r="H9" s="79"/>
      <c r="I9" s="80">
        <f t="shared" ref="I9:I59" si="4">C9+E9-G9</f>
        <v>71</v>
      </c>
      <c r="J9" s="94">
        <f t="shared" si="0"/>
        <v>12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1716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56</v>
      </c>
      <c r="D10" s="111"/>
      <c r="E10" s="112"/>
      <c r="F10" s="112"/>
      <c r="G10" s="76">
        <v>1</v>
      </c>
      <c r="H10" s="73"/>
      <c r="I10" s="93">
        <f t="shared" si="4"/>
        <v>55</v>
      </c>
      <c r="J10" s="95">
        <f t="shared" si="0"/>
        <v>0</v>
      </c>
      <c r="K10" s="41"/>
      <c r="L10" s="112"/>
      <c r="M10" s="112"/>
      <c r="N10" s="112">
        <v>1</v>
      </c>
      <c r="O10" s="112"/>
      <c r="P10" s="112"/>
      <c r="Q10" s="120"/>
      <c r="R10" s="99"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1320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15</v>
      </c>
      <c r="D11" s="111"/>
      <c r="E11" s="112"/>
      <c r="F11" s="112"/>
      <c r="G11" s="76">
        <v>1</v>
      </c>
      <c r="H11" s="73"/>
      <c r="I11" s="73">
        <f t="shared" si="4"/>
        <v>14</v>
      </c>
      <c r="J11" s="77">
        <f t="shared" si="0"/>
        <v>0</v>
      </c>
      <c r="K11" s="41"/>
      <c r="L11" s="112"/>
      <c r="M11" s="112"/>
      <c r="N11" s="112">
        <v>1</v>
      </c>
      <c r="O11" s="112"/>
      <c r="P11" s="112"/>
      <c r="Q11" s="120"/>
      <c r="R11" s="86"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336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>
        <v>2</v>
      </c>
      <c r="E12" s="112"/>
      <c r="F12" s="112"/>
      <c r="G12" s="76"/>
      <c r="H12" s="73"/>
      <c r="I12" s="73">
        <f t="shared" si="4"/>
        <v>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3148</v>
      </c>
      <c r="D13" s="114">
        <v>22</v>
      </c>
      <c r="E13" s="115"/>
      <c r="F13" s="115"/>
      <c r="G13" s="78">
        <v>58</v>
      </c>
      <c r="H13" s="79">
        <v>30</v>
      </c>
      <c r="I13" s="80">
        <v>3089</v>
      </c>
      <c r="J13" s="94">
        <v>16</v>
      </c>
      <c r="K13" s="53"/>
      <c r="L13" s="121">
        <v>33</v>
      </c>
      <c r="M13" s="121"/>
      <c r="N13" s="121">
        <v>10</v>
      </c>
      <c r="O13" s="121">
        <v>19</v>
      </c>
      <c r="P13" s="121">
        <v>15</v>
      </c>
      <c r="Q13" s="122">
        <v>11</v>
      </c>
      <c r="R13" s="97">
        <f>L13+N13+P13</f>
        <v>58</v>
      </c>
      <c r="S13" s="125">
        <f>M13+O13+Q13</f>
        <v>30</v>
      </c>
      <c r="T13" s="53"/>
      <c r="U13" s="131">
        <f>L13*24+N13*24+P13*24</f>
        <v>1392</v>
      </c>
      <c r="V13" s="135">
        <f t="shared" si="6"/>
        <v>58</v>
      </c>
      <c r="W13" s="133">
        <f>I13*24+J13</f>
        <v>74152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2</v>
      </c>
      <c r="D20" s="111">
        <v>20</v>
      </c>
      <c r="E20" s="112"/>
      <c r="F20" s="112"/>
      <c r="G20" s="76"/>
      <c r="H20" s="73"/>
      <c r="I20" s="73">
        <f t="shared" si="4"/>
        <v>2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1</v>
      </c>
      <c r="D23" s="111">
        <v>20</v>
      </c>
      <c r="E23" s="112"/>
      <c r="F23" s="112"/>
      <c r="G23" s="76"/>
      <c r="H23" s="73"/>
      <c r="I23" s="73">
        <f t="shared" si="4"/>
        <v>1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44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152</v>
      </c>
      <c r="D26" s="111">
        <v>1</v>
      </c>
      <c r="E26" s="112"/>
      <c r="F26" s="112"/>
      <c r="G26" s="76"/>
      <c r="H26" s="73"/>
      <c r="I26" s="73">
        <f t="shared" si="4"/>
        <v>152</v>
      </c>
      <c r="J26" s="77">
        <f t="shared" si="7"/>
        <v>1</v>
      </c>
      <c r="K26" s="41"/>
      <c r="L26" s="112"/>
      <c r="M26" s="112"/>
      <c r="N26" s="112"/>
      <c r="O26" s="112"/>
      <c r="P26" s="112"/>
      <c r="Q26" s="120"/>
      <c r="R26" s="86">
        <f t="shared" si="8"/>
        <v>0</v>
      </c>
      <c r="S26" s="124">
        <f t="shared" si="8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9"/>
        <v>3649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1</v>
      </c>
      <c r="D28" s="111"/>
      <c r="E28" s="112"/>
      <c r="F28" s="112"/>
      <c r="G28" s="76"/>
      <c r="H28" s="73"/>
      <c r="I28" s="73">
        <f t="shared" si="4"/>
        <v>1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24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>
        <v>316</v>
      </c>
      <c r="F29" s="112"/>
      <c r="G29" s="76"/>
      <c r="H29" s="73"/>
      <c r="I29" s="73">
        <f t="shared" si="4"/>
        <v>316</v>
      </c>
      <c r="J29" s="77">
        <f t="shared" si="7"/>
        <v>0</v>
      </c>
      <c r="K29" s="42"/>
      <c r="L29" s="112"/>
      <c r="M29" s="112"/>
      <c r="N29" s="112"/>
      <c r="O29" s="112"/>
      <c r="P29" s="112"/>
      <c r="Q29" s="120"/>
      <c r="R29" s="86">
        <f t="shared" si="8"/>
        <v>0</v>
      </c>
      <c r="S29" s="124">
        <f t="shared" si="8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9"/>
        <v>7584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>
        <v>5</v>
      </c>
      <c r="E30" s="112"/>
      <c r="F30" s="112"/>
      <c r="G30" s="76"/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2</v>
      </c>
      <c r="D31" s="111"/>
      <c r="E31" s="112"/>
      <c r="F31" s="112"/>
      <c r="G31" s="76">
        <v>1</v>
      </c>
      <c r="H31" s="73"/>
      <c r="I31" s="73">
        <f t="shared" si="4"/>
        <v>1</v>
      </c>
      <c r="J31" s="77">
        <f t="shared" si="7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24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143</v>
      </c>
      <c r="D35" s="111">
        <v>2</v>
      </c>
      <c r="E35" s="112"/>
      <c r="F35" s="112"/>
      <c r="G35" s="76">
        <v>3</v>
      </c>
      <c r="H35" s="73"/>
      <c r="I35" s="73">
        <f t="shared" si="4"/>
        <v>140</v>
      </c>
      <c r="J35" s="77">
        <f t="shared" si="7"/>
        <v>2</v>
      </c>
      <c r="K35" s="41"/>
      <c r="L35" s="112"/>
      <c r="M35" s="112"/>
      <c r="N35" s="112"/>
      <c r="O35" s="112"/>
      <c r="P35" s="112"/>
      <c r="Q35" s="120"/>
      <c r="R35" s="86">
        <f t="shared" si="8"/>
        <v>0</v>
      </c>
      <c r="S35" s="124">
        <f t="shared" si="8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9"/>
        <v>3362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3244</v>
      </c>
      <c r="D38" s="114">
        <v>1</v>
      </c>
      <c r="E38" s="115"/>
      <c r="F38" s="115"/>
      <c r="G38" s="78">
        <v>151</v>
      </c>
      <c r="H38" s="79"/>
      <c r="I38" s="80">
        <f t="shared" si="4"/>
        <v>3093</v>
      </c>
      <c r="J38" s="140">
        <f t="shared" si="7"/>
        <v>1</v>
      </c>
      <c r="K38" s="51"/>
      <c r="L38" s="121">
        <v>29</v>
      </c>
      <c r="M38" s="121"/>
      <c r="N38" s="121">
        <v>15</v>
      </c>
      <c r="O38" s="121"/>
      <c r="P38" s="121">
        <v>17</v>
      </c>
      <c r="Q38" s="122"/>
      <c r="R38" s="97">
        <v>151</v>
      </c>
      <c r="S38" s="125">
        <f t="shared" si="8"/>
        <v>0</v>
      </c>
      <c r="T38" s="51"/>
      <c r="U38" s="131">
        <v>906</v>
      </c>
      <c r="V38" s="135">
        <f>U38/6</f>
        <v>151</v>
      </c>
      <c r="W38" s="133">
        <f>I38*6+J38</f>
        <v>18559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93">
        <f t="shared" si="4"/>
        <v>0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244</v>
      </c>
      <c r="D41" s="147">
        <v>20</v>
      </c>
      <c r="E41" s="148"/>
      <c r="F41" s="148"/>
      <c r="G41" s="149"/>
      <c r="H41" s="150"/>
      <c r="I41" s="80">
        <v>241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5804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293</v>
      </c>
      <c r="D42" s="164"/>
      <c r="E42" s="165"/>
      <c r="F42" s="165"/>
      <c r="G42" s="166">
        <v>36</v>
      </c>
      <c r="H42" s="167"/>
      <c r="I42" s="181">
        <f t="shared" si="4"/>
        <v>257</v>
      </c>
      <c r="J42" s="168">
        <f t="shared" si="7"/>
        <v>0</v>
      </c>
      <c r="K42" s="169"/>
      <c r="L42" s="165">
        <v>21</v>
      </c>
      <c r="M42" s="165"/>
      <c r="N42" s="165"/>
      <c r="O42" s="165"/>
      <c r="P42" s="165">
        <v>15</v>
      </c>
      <c r="Q42" s="170"/>
      <c r="R42" s="171">
        <f t="shared" si="8"/>
        <v>36</v>
      </c>
      <c r="S42" s="172">
        <f t="shared" si="8"/>
        <v>0</v>
      </c>
      <c r="T42" s="169"/>
      <c r="U42" s="173">
        <f>L42*12+N42*12+P42*12</f>
        <v>432</v>
      </c>
      <c r="V42" s="174">
        <f>U42/12</f>
        <v>36</v>
      </c>
      <c r="W42" s="175">
        <f>I42*12+J42</f>
        <v>3084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37870</v>
      </c>
      <c r="D44" s="114">
        <v>2</v>
      </c>
      <c r="E44" s="115">
        <v>3132</v>
      </c>
      <c r="F44" s="115">
        <v>25</v>
      </c>
      <c r="G44" s="78">
        <v>1834</v>
      </c>
      <c r="H44" s="79"/>
      <c r="I44" s="182">
        <v>39193</v>
      </c>
      <c r="J44" s="177">
        <f t="shared" si="7"/>
        <v>2</v>
      </c>
      <c r="K44" s="51"/>
      <c r="L44" s="121">
        <v>906</v>
      </c>
      <c r="M44" s="121"/>
      <c r="N44" s="121">
        <v>370</v>
      </c>
      <c r="O44" s="121"/>
      <c r="P44" s="121">
        <v>557</v>
      </c>
      <c r="Q44" s="122"/>
      <c r="R44" s="178">
        <v>1834</v>
      </c>
      <c r="S44" s="179">
        <f t="shared" si="8"/>
        <v>0</v>
      </c>
      <c r="T44" s="51"/>
      <c r="U44" s="131">
        <f>L44*6+N44*6+P44*6</f>
        <v>10998</v>
      </c>
      <c r="V44" s="130">
        <f>U44/6</f>
        <v>1833</v>
      </c>
      <c r="W44" s="133">
        <f>I44*6+J44</f>
        <v>235160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2652</v>
      </c>
      <c r="D48" s="142">
        <v>3</v>
      </c>
      <c r="E48" s="121"/>
      <c r="F48" s="121"/>
      <c r="G48" s="143"/>
      <c r="H48" s="139"/>
      <c r="I48" s="80">
        <f t="shared" si="4"/>
        <v>2652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15915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>
        <v>1</v>
      </c>
      <c r="H49" s="73"/>
      <c r="I49" s="93">
        <f t="shared" si="4"/>
        <v>-1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-24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48022</v>
      </c>
      <c r="D60" s="54">
        <f>SUM(D8:D59)</f>
        <v>154</v>
      </c>
      <c r="E60" s="44">
        <f>SUM(E8:E59)</f>
        <v>3448</v>
      </c>
      <c r="F60" s="44"/>
      <c r="G60" s="28">
        <f>SUM(G8:G59)</f>
        <v>2086</v>
      </c>
      <c r="H60" s="56">
        <f>SUM(H8:H59)</f>
        <v>30</v>
      </c>
      <c r="I60" s="56">
        <f>SUM(I8:I59)</f>
        <v>49405</v>
      </c>
      <c r="J60" s="45">
        <f>SUM(J8:J59)</f>
        <v>148</v>
      </c>
      <c r="K60" s="46"/>
      <c r="L60" s="74">
        <f t="shared" ref="L60:S60" si="21">SUM(L8:L59)</f>
        <v>989</v>
      </c>
      <c r="M60" s="74">
        <f t="shared" si="21"/>
        <v>0</v>
      </c>
      <c r="N60" s="74">
        <f t="shared" si="21"/>
        <v>397</v>
      </c>
      <c r="O60" s="74">
        <f t="shared" si="21"/>
        <v>19</v>
      </c>
      <c r="P60" s="74">
        <f t="shared" si="21"/>
        <v>605</v>
      </c>
      <c r="Q60" s="75">
        <f t="shared" si="21"/>
        <v>11</v>
      </c>
      <c r="R60" s="85">
        <f t="shared" si="21"/>
        <v>2082</v>
      </c>
      <c r="S60" s="84">
        <f t="shared" si="21"/>
        <v>30</v>
      </c>
      <c r="T60" s="46"/>
      <c r="U60" s="43">
        <f>SUM(U8:U59)</f>
        <v>13800</v>
      </c>
      <c r="V60" s="102">
        <f>SUM(V8:V59)</f>
        <v>2081</v>
      </c>
      <c r="W60" s="180">
        <f>SUM(W8:W59)</f>
        <v>373288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1" t="s">
        <v>3</v>
      </c>
      <c r="D69" s="202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EC5D-10F0-4CD2-871C-B4E4474C4CAA}">
  <sheetPr>
    <pageSetUpPr fitToPage="1"/>
  </sheetPr>
  <dimension ref="A1:BH90"/>
  <sheetViews>
    <sheetView tabSelected="1" topLeftCell="A23" zoomScale="73" zoomScaleNormal="73" zoomScaleSheetLayoutView="85" zoomScalePageLayoutView="80" workbookViewId="0">
      <selection activeCell="AC56" sqref="AC5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9.140625" style="2" bestFit="1" customWidth="1"/>
    <col min="9" max="9" width="14.7109375" style="2" customWidth="1"/>
    <col min="10" max="10" width="11.8554687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12">
        <v>46258</v>
      </c>
      <c r="Q1" s="213"/>
      <c r="R1" s="213"/>
      <c r="S1" s="213"/>
      <c r="T1" s="213"/>
      <c r="U1" s="213"/>
      <c r="V1" s="213"/>
      <c r="W1" s="213"/>
      <c r="X1" s="214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15" t="s">
        <v>74</v>
      </c>
      <c r="C4" s="216" t="s">
        <v>3</v>
      </c>
      <c r="D4" s="217" t="s">
        <v>75</v>
      </c>
      <c r="E4" s="218" t="s">
        <v>4</v>
      </c>
      <c r="F4" s="219"/>
      <c r="G4" s="220" t="s">
        <v>5</v>
      </c>
      <c r="H4" s="222" t="s">
        <v>75</v>
      </c>
      <c r="I4" s="224" t="s">
        <v>6</v>
      </c>
      <c r="J4" s="222" t="s">
        <v>75</v>
      </c>
      <c r="L4" s="226" t="s">
        <v>7</v>
      </c>
      <c r="M4" s="227"/>
      <c r="N4" s="227"/>
      <c r="O4" s="227"/>
      <c r="P4" s="227"/>
      <c r="Q4" s="227"/>
      <c r="R4" s="227"/>
      <c r="S4" s="227"/>
      <c r="T4" s="227"/>
      <c r="U4" s="227"/>
      <c r="V4" s="228"/>
      <c r="W4" s="227"/>
      <c r="X4" s="229"/>
    </row>
    <row r="5" spans="1:60" s="3" customFormat="1" ht="57" thickBot="1" x14ac:dyDescent="0.3">
      <c r="A5" s="49"/>
      <c r="B5" s="215"/>
      <c r="C5" s="216"/>
      <c r="D5" s="217"/>
      <c r="E5" s="48" t="s">
        <v>8</v>
      </c>
      <c r="F5" s="206" t="s">
        <v>9</v>
      </c>
      <c r="G5" s="221"/>
      <c r="H5" s="223"/>
      <c r="I5" s="225"/>
      <c r="J5" s="223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31</v>
      </c>
      <c r="D8" s="111">
        <v>9</v>
      </c>
      <c r="E8" s="112"/>
      <c r="F8" s="112"/>
      <c r="G8" s="76"/>
      <c r="H8" s="73"/>
      <c r="I8" s="73">
        <f>C8+E8-G8</f>
        <v>31</v>
      </c>
      <c r="J8" s="77">
        <f t="shared" ref="J8:J12" si="0">D8-H8</f>
        <v>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753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71</v>
      </c>
      <c r="D9" s="114">
        <v>12</v>
      </c>
      <c r="E9" s="115"/>
      <c r="F9" s="115"/>
      <c r="G9" s="78">
        <v>2</v>
      </c>
      <c r="H9" s="79"/>
      <c r="I9" s="80">
        <f t="shared" ref="I9:I59" si="4">C9+E9-G9</f>
        <v>69</v>
      </c>
      <c r="J9" s="94">
        <f t="shared" si="0"/>
        <v>12</v>
      </c>
      <c r="K9" s="51"/>
      <c r="L9" s="121"/>
      <c r="M9" s="121"/>
      <c r="N9" s="121"/>
      <c r="O9" s="121"/>
      <c r="P9" s="121">
        <v>2</v>
      </c>
      <c r="Q9" s="122"/>
      <c r="R9" s="98">
        <f t="shared" si="1"/>
        <v>2</v>
      </c>
      <c r="S9" s="125">
        <f t="shared" si="1"/>
        <v>0</v>
      </c>
      <c r="T9" s="51"/>
      <c r="U9" s="131">
        <f>L9*24+N9*24+P9*24</f>
        <v>48</v>
      </c>
      <c r="V9" s="132">
        <f>U9/24</f>
        <v>2</v>
      </c>
      <c r="W9" s="133">
        <f t="shared" si="2"/>
        <v>1668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55</v>
      </c>
      <c r="D10" s="111"/>
      <c r="E10" s="112"/>
      <c r="F10" s="112"/>
      <c r="G10" s="76">
        <v>1</v>
      </c>
      <c r="H10" s="73"/>
      <c r="I10" s="93">
        <f t="shared" si="4"/>
        <v>54</v>
      </c>
      <c r="J10" s="95">
        <f t="shared" si="0"/>
        <v>0</v>
      </c>
      <c r="K10" s="41"/>
      <c r="L10" s="112"/>
      <c r="M10" s="112"/>
      <c r="N10" s="112">
        <v>1</v>
      </c>
      <c r="O10" s="112"/>
      <c r="P10" s="112"/>
      <c r="Q10" s="120"/>
      <c r="R10" s="99">
        <v>1</v>
      </c>
      <c r="S10" s="126">
        <f t="shared" si="1"/>
        <v>0</v>
      </c>
      <c r="T10" s="41"/>
      <c r="U10" s="107">
        <f>L10*24+N10*24+P10*24</f>
        <v>24</v>
      </c>
      <c r="V10" s="134">
        <f>U10/24</f>
        <v>1</v>
      </c>
      <c r="W10" s="129">
        <f t="shared" si="2"/>
        <v>1296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14</v>
      </c>
      <c r="D11" s="111"/>
      <c r="E11" s="112"/>
      <c r="F11" s="112"/>
      <c r="G11" s="76">
        <v>1</v>
      </c>
      <c r="H11" s="73"/>
      <c r="I11" s="73">
        <f t="shared" si="4"/>
        <v>13</v>
      </c>
      <c r="J11" s="77">
        <f t="shared" si="0"/>
        <v>0</v>
      </c>
      <c r="K11" s="41"/>
      <c r="L11" s="112"/>
      <c r="M11" s="112"/>
      <c r="N11" s="112">
        <v>1</v>
      </c>
      <c r="O11" s="112"/>
      <c r="P11" s="112"/>
      <c r="Q11" s="120"/>
      <c r="R11" s="86">
        <v>1</v>
      </c>
      <c r="S11" s="124">
        <f t="shared" si="1"/>
        <v>0</v>
      </c>
      <c r="T11" s="41"/>
      <c r="U11" s="107">
        <f>L11*24+N11*24+P11*24</f>
        <v>24</v>
      </c>
      <c r="V11" s="130">
        <f>U11/24</f>
        <v>1</v>
      </c>
      <c r="W11" s="129">
        <f t="shared" si="2"/>
        <v>312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>
        <v>2</v>
      </c>
      <c r="E12" s="112"/>
      <c r="F12" s="112"/>
      <c r="G12" s="76"/>
      <c r="H12" s="73"/>
      <c r="I12" s="73">
        <f t="shared" si="4"/>
        <v>0</v>
      </c>
      <c r="J12" s="77">
        <f t="shared" si="0"/>
        <v>2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2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3089</v>
      </c>
      <c r="D13" s="114">
        <v>16</v>
      </c>
      <c r="E13" s="115"/>
      <c r="F13" s="115"/>
      <c r="G13" s="78">
        <v>80</v>
      </c>
      <c r="H13" s="79">
        <v>16</v>
      </c>
      <c r="I13" s="80">
        <f>C13+E13-G13</f>
        <v>3009</v>
      </c>
      <c r="J13" s="94">
        <f>D13-E13</f>
        <v>16</v>
      </c>
      <c r="K13" s="53"/>
      <c r="L13" s="121">
        <v>30</v>
      </c>
      <c r="M13" s="121"/>
      <c r="N13" s="121">
        <v>25</v>
      </c>
      <c r="O13" s="121">
        <v>10</v>
      </c>
      <c r="P13" s="121">
        <v>25</v>
      </c>
      <c r="Q13" s="122">
        <v>6</v>
      </c>
      <c r="R13" s="97">
        <f>L13+N13+P13</f>
        <v>80</v>
      </c>
      <c r="S13" s="125">
        <f>M13+O13+Q13</f>
        <v>16</v>
      </c>
      <c r="T13" s="53"/>
      <c r="U13" s="131">
        <f>L13*24+N13*24+P13*24</f>
        <v>1920</v>
      </c>
      <c r="V13" s="135">
        <f t="shared" si="6"/>
        <v>80</v>
      </c>
      <c r="W13" s="133">
        <v>72216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2</v>
      </c>
      <c r="D14" s="111">
        <v>16</v>
      </c>
      <c r="E14" s="112"/>
      <c r="F14" s="112"/>
      <c r="G14" s="76"/>
      <c r="H14" s="73"/>
      <c r="I14" s="93">
        <f t="shared" si="4"/>
        <v>2</v>
      </c>
      <c r="J14" s="95">
        <f t="shared" ref="J14:J59" si="7">D14-H14</f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8">L14+N14+P14</f>
        <v>0</v>
      </c>
      <c r="S14" s="126">
        <f t="shared" si="8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9">I14*24+J14</f>
        <v>64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2</v>
      </c>
      <c r="D15" s="111"/>
      <c r="E15" s="112"/>
      <c r="F15" s="112"/>
      <c r="G15" s="76"/>
      <c r="H15" s="73"/>
      <c r="I15" s="73">
        <f t="shared" si="4"/>
        <v>2</v>
      </c>
      <c r="J15" s="77">
        <f t="shared" si="7"/>
        <v>0</v>
      </c>
      <c r="K15" s="41"/>
      <c r="L15" s="112"/>
      <c r="M15" s="112"/>
      <c r="N15" s="112"/>
      <c r="O15" s="112"/>
      <c r="P15" s="112"/>
      <c r="Q15" s="120"/>
      <c r="R15" s="86">
        <f t="shared" si="8"/>
        <v>0</v>
      </c>
      <c r="S15" s="124">
        <f t="shared" si="8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9"/>
        <v>48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7"/>
        <v>0</v>
      </c>
      <c r="K16" s="41"/>
      <c r="L16" s="112"/>
      <c r="M16" s="112"/>
      <c r="N16" s="112"/>
      <c r="O16" s="112"/>
      <c r="P16" s="112"/>
      <c r="Q16" s="120"/>
      <c r="R16" s="86">
        <f t="shared" si="8"/>
        <v>0</v>
      </c>
      <c r="S16" s="124">
        <f t="shared" si="8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9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7"/>
        <v>0</v>
      </c>
      <c r="K17" s="41"/>
      <c r="L17" s="112"/>
      <c r="M17" s="112"/>
      <c r="N17" s="112"/>
      <c r="O17" s="112"/>
      <c r="P17" s="112"/>
      <c r="Q17" s="120"/>
      <c r="R17" s="86">
        <f t="shared" si="8"/>
        <v>0</v>
      </c>
      <c r="S17" s="124">
        <f t="shared" si="8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9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7"/>
        <v>0</v>
      </c>
      <c r="K18" s="41"/>
      <c r="L18" s="112"/>
      <c r="M18" s="112"/>
      <c r="N18" s="112"/>
      <c r="O18" s="112"/>
      <c r="P18" s="112"/>
      <c r="Q18" s="120"/>
      <c r="R18" s="86">
        <f t="shared" si="8"/>
        <v>0</v>
      </c>
      <c r="S18" s="124">
        <f t="shared" si="8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9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7"/>
        <v>0</v>
      </c>
      <c r="K19" s="41"/>
      <c r="L19" s="112"/>
      <c r="M19" s="112"/>
      <c r="N19" s="112"/>
      <c r="O19" s="112"/>
      <c r="P19" s="112"/>
      <c r="Q19" s="120"/>
      <c r="R19" s="86">
        <f t="shared" si="8"/>
        <v>0</v>
      </c>
      <c r="S19" s="124">
        <f t="shared" si="8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9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2</v>
      </c>
      <c r="D20" s="111">
        <v>20</v>
      </c>
      <c r="E20" s="112"/>
      <c r="F20" s="112"/>
      <c r="G20" s="76"/>
      <c r="H20" s="73"/>
      <c r="I20" s="73">
        <f t="shared" si="4"/>
        <v>2</v>
      </c>
      <c r="J20" s="77">
        <f t="shared" si="7"/>
        <v>20</v>
      </c>
      <c r="K20" s="41"/>
      <c r="L20" s="112"/>
      <c r="M20" s="112"/>
      <c r="N20" s="112"/>
      <c r="O20" s="112"/>
      <c r="P20" s="112"/>
      <c r="Q20" s="120"/>
      <c r="R20" s="86">
        <f t="shared" si="8"/>
        <v>0</v>
      </c>
      <c r="S20" s="124">
        <f t="shared" si="8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9"/>
        <v>68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/>
      <c r="E21" s="112"/>
      <c r="F21" s="112"/>
      <c r="G21" s="76"/>
      <c r="H21" s="73"/>
      <c r="I21" s="73">
        <f t="shared" si="4"/>
        <v>5</v>
      </c>
      <c r="J21" s="77">
        <f t="shared" si="7"/>
        <v>0</v>
      </c>
      <c r="K21" s="41"/>
      <c r="L21" s="112"/>
      <c r="M21" s="112"/>
      <c r="N21" s="112"/>
      <c r="O21" s="112"/>
      <c r="P21" s="112"/>
      <c r="Q21" s="120"/>
      <c r="R21" s="86">
        <f t="shared" si="8"/>
        <v>0</v>
      </c>
      <c r="S21" s="124">
        <f t="shared" si="8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9"/>
        <v>120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2</v>
      </c>
      <c r="D22" s="111"/>
      <c r="E22" s="112"/>
      <c r="F22" s="112"/>
      <c r="G22" s="76"/>
      <c r="H22" s="73"/>
      <c r="I22" s="73">
        <f t="shared" si="4"/>
        <v>2</v>
      </c>
      <c r="J22" s="77">
        <f t="shared" si="7"/>
        <v>0</v>
      </c>
      <c r="K22" s="41"/>
      <c r="L22" s="112"/>
      <c r="M22" s="112"/>
      <c r="N22" s="112"/>
      <c r="O22" s="112"/>
      <c r="P22" s="112"/>
      <c r="Q22" s="120"/>
      <c r="R22" s="86">
        <f t="shared" si="8"/>
        <v>0</v>
      </c>
      <c r="S22" s="124">
        <f t="shared" si="8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9"/>
        <v>48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1</v>
      </c>
      <c r="D23" s="111">
        <v>20</v>
      </c>
      <c r="E23" s="112"/>
      <c r="F23" s="112"/>
      <c r="G23" s="76"/>
      <c r="H23" s="73"/>
      <c r="I23" s="73">
        <f t="shared" si="4"/>
        <v>1</v>
      </c>
      <c r="J23" s="77">
        <f t="shared" si="7"/>
        <v>20</v>
      </c>
      <c r="K23" s="42"/>
      <c r="L23" s="112"/>
      <c r="M23" s="112"/>
      <c r="N23" s="112"/>
      <c r="O23" s="112"/>
      <c r="P23" s="112"/>
      <c r="Q23" s="120"/>
      <c r="R23" s="86">
        <f t="shared" si="8"/>
        <v>0</v>
      </c>
      <c r="S23" s="124">
        <f t="shared" si="8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9"/>
        <v>44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7"/>
        <v>19</v>
      </c>
      <c r="K24" s="42"/>
      <c r="L24" s="112"/>
      <c r="M24" s="112"/>
      <c r="N24" s="112"/>
      <c r="O24" s="112"/>
      <c r="P24" s="112"/>
      <c r="Q24" s="120"/>
      <c r="R24" s="86">
        <f t="shared" si="8"/>
        <v>0</v>
      </c>
      <c r="S24" s="124">
        <f t="shared" si="8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9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5</v>
      </c>
      <c r="D25" s="111"/>
      <c r="E25" s="112"/>
      <c r="F25" s="112"/>
      <c r="G25" s="76"/>
      <c r="H25" s="73"/>
      <c r="I25" s="73">
        <f t="shared" si="4"/>
        <v>5</v>
      </c>
      <c r="J25" s="77">
        <f t="shared" si="7"/>
        <v>0</v>
      </c>
      <c r="K25" s="41"/>
      <c r="L25" s="112"/>
      <c r="M25" s="112"/>
      <c r="N25" s="112"/>
      <c r="O25" s="112"/>
      <c r="P25" s="112"/>
      <c r="Q25" s="120"/>
      <c r="R25" s="86">
        <f t="shared" si="8"/>
        <v>0</v>
      </c>
      <c r="S25" s="124">
        <f t="shared" si="8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9"/>
        <v>120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152</v>
      </c>
      <c r="D26" s="111">
        <v>1</v>
      </c>
      <c r="E26" s="112"/>
      <c r="F26" s="112"/>
      <c r="G26" s="76">
        <v>16</v>
      </c>
      <c r="H26" s="73"/>
      <c r="I26" s="73">
        <f t="shared" si="4"/>
        <v>136</v>
      </c>
      <c r="J26" s="77">
        <f t="shared" si="7"/>
        <v>1</v>
      </c>
      <c r="K26" s="41"/>
      <c r="L26" s="112"/>
      <c r="M26" s="112"/>
      <c r="N26" s="112"/>
      <c r="O26" s="112"/>
      <c r="P26" s="112">
        <v>16</v>
      </c>
      <c r="Q26" s="120"/>
      <c r="R26" s="86">
        <f t="shared" si="8"/>
        <v>16</v>
      </c>
      <c r="S26" s="124">
        <f t="shared" si="8"/>
        <v>0</v>
      </c>
      <c r="T26" s="41"/>
      <c r="U26" s="107">
        <f t="shared" si="5"/>
        <v>384</v>
      </c>
      <c r="V26" s="130">
        <f t="shared" si="6"/>
        <v>16</v>
      </c>
      <c r="W26" s="129">
        <f t="shared" si="9"/>
        <v>3265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>
        <v>5</v>
      </c>
      <c r="F27" s="112"/>
      <c r="G27" s="76"/>
      <c r="H27" s="73"/>
      <c r="I27" s="73">
        <f t="shared" si="4"/>
        <v>5</v>
      </c>
      <c r="J27" s="77">
        <f t="shared" si="7"/>
        <v>0</v>
      </c>
      <c r="K27" s="42"/>
      <c r="L27" s="112"/>
      <c r="M27" s="112"/>
      <c r="N27" s="112"/>
      <c r="O27" s="112"/>
      <c r="P27" s="112"/>
      <c r="Q27" s="120"/>
      <c r="R27" s="86">
        <f t="shared" si="8"/>
        <v>0</v>
      </c>
      <c r="S27" s="124">
        <f t="shared" si="8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9"/>
        <v>120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1</v>
      </c>
      <c r="D28" s="111"/>
      <c r="E28" s="112"/>
      <c r="F28" s="112"/>
      <c r="G28" s="76"/>
      <c r="H28" s="73"/>
      <c r="I28" s="73">
        <f t="shared" si="4"/>
        <v>1</v>
      </c>
      <c r="J28" s="77">
        <f t="shared" si="7"/>
        <v>0</v>
      </c>
      <c r="K28" s="42"/>
      <c r="L28" s="112"/>
      <c r="M28" s="112"/>
      <c r="N28" s="112"/>
      <c r="O28" s="112"/>
      <c r="P28" s="112"/>
      <c r="Q28" s="120"/>
      <c r="R28" s="86">
        <f t="shared" si="8"/>
        <v>0</v>
      </c>
      <c r="S28" s="124">
        <f t="shared" si="8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9"/>
        <v>24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316</v>
      </c>
      <c r="D29" s="111"/>
      <c r="E29" s="112"/>
      <c r="F29" s="112"/>
      <c r="G29" s="76">
        <v>17</v>
      </c>
      <c r="H29" s="73"/>
      <c r="I29" s="73">
        <f t="shared" si="4"/>
        <v>299</v>
      </c>
      <c r="J29" s="77">
        <f t="shared" si="7"/>
        <v>0</v>
      </c>
      <c r="K29" s="42"/>
      <c r="L29" s="112"/>
      <c r="M29" s="112"/>
      <c r="N29" s="112"/>
      <c r="O29" s="112"/>
      <c r="P29" s="112">
        <v>17</v>
      </c>
      <c r="Q29" s="120"/>
      <c r="R29" s="86">
        <f t="shared" si="8"/>
        <v>17</v>
      </c>
      <c r="S29" s="124">
        <f t="shared" si="8"/>
        <v>0</v>
      </c>
      <c r="T29" s="42"/>
      <c r="U29" s="107">
        <f t="shared" si="5"/>
        <v>408</v>
      </c>
      <c r="V29" s="130">
        <f t="shared" si="6"/>
        <v>17</v>
      </c>
      <c r="W29" s="129">
        <f t="shared" si="9"/>
        <v>7176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>
        <v>5</v>
      </c>
      <c r="E30" s="112"/>
      <c r="F30" s="112"/>
      <c r="G30" s="76"/>
      <c r="H30" s="73"/>
      <c r="I30" s="73">
        <f t="shared" si="4"/>
        <v>0</v>
      </c>
      <c r="J30" s="77">
        <f t="shared" si="7"/>
        <v>5</v>
      </c>
      <c r="K30" s="41"/>
      <c r="L30" s="112"/>
      <c r="M30" s="112"/>
      <c r="N30" s="112"/>
      <c r="O30" s="112"/>
      <c r="P30" s="112"/>
      <c r="Q30" s="120"/>
      <c r="R30" s="86">
        <f t="shared" si="8"/>
        <v>0</v>
      </c>
      <c r="S30" s="124">
        <f t="shared" si="8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9"/>
        <v>5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1</v>
      </c>
      <c r="D31" s="111"/>
      <c r="E31" s="112"/>
      <c r="F31" s="112"/>
      <c r="G31" s="76">
        <v>1</v>
      </c>
      <c r="H31" s="73"/>
      <c r="I31" s="73">
        <f t="shared" si="4"/>
        <v>0</v>
      </c>
      <c r="J31" s="77">
        <f t="shared" si="7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8"/>
        <v>1</v>
      </c>
      <c r="S31" s="124">
        <f t="shared" si="8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9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7"/>
        <v>0</v>
      </c>
      <c r="K32" s="41"/>
      <c r="L32" s="112"/>
      <c r="M32" s="112"/>
      <c r="N32" s="112"/>
      <c r="O32" s="112"/>
      <c r="P32" s="112"/>
      <c r="Q32" s="120"/>
      <c r="R32" s="86">
        <f t="shared" si="8"/>
        <v>0</v>
      </c>
      <c r="S32" s="124">
        <f t="shared" si="8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9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7"/>
        <v>0</v>
      </c>
      <c r="K33" s="41"/>
      <c r="L33" s="112"/>
      <c r="M33" s="112"/>
      <c r="N33" s="112"/>
      <c r="O33" s="112"/>
      <c r="P33" s="112"/>
      <c r="Q33" s="120"/>
      <c r="R33" s="86">
        <f t="shared" si="8"/>
        <v>0</v>
      </c>
      <c r="S33" s="124">
        <f t="shared" si="8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9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7"/>
        <v>0</v>
      </c>
      <c r="K34" s="41"/>
      <c r="L34" s="112"/>
      <c r="M34" s="112"/>
      <c r="N34" s="112"/>
      <c r="O34" s="112"/>
      <c r="P34" s="112"/>
      <c r="Q34" s="120"/>
      <c r="R34" s="86">
        <f t="shared" si="8"/>
        <v>0</v>
      </c>
      <c r="S34" s="124">
        <f t="shared" si="8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9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140</v>
      </c>
      <c r="D35" s="111">
        <v>2</v>
      </c>
      <c r="E35" s="112"/>
      <c r="F35" s="112"/>
      <c r="G35" s="76">
        <v>8</v>
      </c>
      <c r="H35" s="73"/>
      <c r="I35" s="73">
        <f t="shared" si="4"/>
        <v>132</v>
      </c>
      <c r="J35" s="77">
        <f t="shared" si="7"/>
        <v>2</v>
      </c>
      <c r="K35" s="41"/>
      <c r="L35" s="112"/>
      <c r="M35" s="112"/>
      <c r="N35" s="112"/>
      <c r="O35" s="112"/>
      <c r="P35" s="112">
        <v>8</v>
      </c>
      <c r="Q35" s="120"/>
      <c r="R35" s="86">
        <f t="shared" si="8"/>
        <v>8</v>
      </c>
      <c r="S35" s="124">
        <f t="shared" si="8"/>
        <v>0</v>
      </c>
      <c r="T35" s="41"/>
      <c r="U35" s="107">
        <f t="shared" si="5"/>
        <v>192</v>
      </c>
      <c r="V35" s="130">
        <f t="shared" si="6"/>
        <v>8</v>
      </c>
      <c r="W35" s="129">
        <f t="shared" si="9"/>
        <v>3170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7"/>
        <v>0</v>
      </c>
      <c r="K36" s="41"/>
      <c r="L36" s="112"/>
      <c r="M36" s="112"/>
      <c r="N36" s="112"/>
      <c r="O36" s="112"/>
      <c r="P36" s="112"/>
      <c r="Q36" s="120"/>
      <c r="R36" s="86">
        <f t="shared" si="8"/>
        <v>0</v>
      </c>
      <c r="S36" s="124">
        <f t="shared" si="8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9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7"/>
        <v>0</v>
      </c>
      <c r="K37" s="41"/>
      <c r="L37" s="112"/>
      <c r="M37" s="112"/>
      <c r="N37" s="112"/>
      <c r="O37" s="112"/>
      <c r="P37" s="112"/>
      <c r="Q37" s="120"/>
      <c r="R37" s="86">
        <f t="shared" si="8"/>
        <v>0</v>
      </c>
      <c r="S37" s="124">
        <f t="shared" si="8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9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3093</v>
      </c>
      <c r="D38" s="114">
        <v>1</v>
      </c>
      <c r="E38" s="115"/>
      <c r="F38" s="115"/>
      <c r="G38" s="78">
        <v>194</v>
      </c>
      <c r="H38" s="79"/>
      <c r="I38" s="80">
        <f t="shared" si="4"/>
        <v>2899</v>
      </c>
      <c r="J38" s="140">
        <f t="shared" si="7"/>
        <v>1</v>
      </c>
      <c r="K38" s="51"/>
      <c r="L38" s="121">
        <v>21</v>
      </c>
      <c r="M38" s="121"/>
      <c r="N38" s="121">
        <v>136</v>
      </c>
      <c r="O38" s="121"/>
      <c r="P38" s="121">
        <v>37</v>
      </c>
      <c r="Q38" s="122"/>
      <c r="R38" s="97">
        <v>151</v>
      </c>
      <c r="S38" s="125">
        <f t="shared" si="8"/>
        <v>0</v>
      </c>
      <c r="T38" s="51"/>
      <c r="U38" s="131">
        <v>906</v>
      </c>
      <c r="V38" s="135">
        <f>U38/6</f>
        <v>151</v>
      </c>
      <c r="W38" s="133">
        <f>I38*6+J38</f>
        <v>17395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>
        <v>5</v>
      </c>
      <c r="F39" s="112"/>
      <c r="G39" s="76"/>
      <c r="H39" s="73"/>
      <c r="I39" s="93">
        <f t="shared" si="4"/>
        <v>5</v>
      </c>
      <c r="J39" s="77">
        <f t="shared" si="7"/>
        <v>0</v>
      </c>
      <c r="K39" s="41"/>
      <c r="L39" s="112"/>
      <c r="M39" s="112"/>
      <c r="N39" s="112"/>
      <c r="O39" s="112"/>
      <c r="P39" s="112"/>
      <c r="Q39" s="120"/>
      <c r="R39" s="96">
        <f t="shared" si="8"/>
        <v>0</v>
      </c>
      <c r="S39" s="126">
        <f t="shared" si="8"/>
        <v>0</v>
      </c>
      <c r="T39" s="41"/>
      <c r="U39" s="107">
        <f t="shared" ref="U39:U41" si="10">L39*24+N39*24+P39*24</f>
        <v>0</v>
      </c>
      <c r="V39" s="109">
        <f t="shared" si="6"/>
        <v>0</v>
      </c>
      <c r="W39" s="129">
        <f t="shared" ref="W39:W41" si="11">I39*24+J39</f>
        <v>120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7"/>
        <v>0</v>
      </c>
      <c r="K40" s="41"/>
      <c r="L40" s="112"/>
      <c r="M40" s="112"/>
      <c r="N40" s="112"/>
      <c r="O40" s="112"/>
      <c r="P40" s="112"/>
      <c r="Q40" s="120"/>
      <c r="R40" s="86">
        <f t="shared" si="8"/>
        <v>0</v>
      </c>
      <c r="S40" s="124">
        <f t="shared" si="8"/>
        <v>0</v>
      </c>
      <c r="T40" s="41"/>
      <c r="U40" s="136">
        <f t="shared" si="10"/>
        <v>0</v>
      </c>
      <c r="V40" s="130">
        <f t="shared" si="6"/>
        <v>0</v>
      </c>
      <c r="W40" s="137">
        <f t="shared" si="11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241</v>
      </c>
      <c r="D41" s="147">
        <v>20</v>
      </c>
      <c r="E41" s="148">
        <v>64</v>
      </c>
      <c r="F41" s="148"/>
      <c r="G41" s="149"/>
      <c r="H41" s="150"/>
      <c r="I41" s="80">
        <f>C41+E41-G41</f>
        <v>305</v>
      </c>
      <c r="J41" s="152">
        <f t="shared" si="7"/>
        <v>20</v>
      </c>
      <c r="K41" s="153"/>
      <c r="L41" s="154"/>
      <c r="M41" s="154"/>
      <c r="N41" s="154"/>
      <c r="O41" s="154"/>
      <c r="P41" s="154"/>
      <c r="Q41" s="155"/>
      <c r="R41" s="156">
        <f t="shared" si="8"/>
        <v>0</v>
      </c>
      <c r="S41" s="157">
        <f t="shared" si="8"/>
        <v>0</v>
      </c>
      <c r="T41" s="153"/>
      <c r="U41" s="158">
        <f t="shared" si="10"/>
        <v>0</v>
      </c>
      <c r="V41" s="159">
        <f t="shared" si="6"/>
        <v>0</v>
      </c>
      <c r="W41" s="159">
        <f t="shared" si="11"/>
        <v>7340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257</v>
      </c>
      <c r="D42" s="164"/>
      <c r="E42" s="165">
        <v>576</v>
      </c>
      <c r="F42" s="165"/>
      <c r="G42" s="166">
        <v>6</v>
      </c>
      <c r="H42" s="167"/>
      <c r="I42" s="181">
        <f t="shared" si="4"/>
        <v>827</v>
      </c>
      <c r="J42" s="168">
        <f t="shared" si="7"/>
        <v>0</v>
      </c>
      <c r="K42" s="169"/>
      <c r="L42" s="165"/>
      <c r="M42" s="165"/>
      <c r="N42" s="165"/>
      <c r="O42" s="165"/>
      <c r="P42" s="165">
        <v>6</v>
      </c>
      <c r="Q42" s="170"/>
      <c r="R42" s="171">
        <f t="shared" si="8"/>
        <v>6</v>
      </c>
      <c r="S42" s="172">
        <f t="shared" si="8"/>
        <v>0</v>
      </c>
      <c r="T42" s="169"/>
      <c r="U42" s="173">
        <f>L42*12+N42*12+P42*12</f>
        <v>72</v>
      </c>
      <c r="V42" s="174">
        <f>U42/12</f>
        <v>6</v>
      </c>
      <c r="W42" s="175">
        <f>I42*12+J42</f>
        <v>9924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80">
        <f t="shared" si="4"/>
        <v>0</v>
      </c>
      <c r="J43" s="94">
        <f t="shared" si="7"/>
        <v>0</v>
      </c>
      <c r="K43" s="41"/>
      <c r="L43" s="112"/>
      <c r="M43" s="112"/>
      <c r="N43" s="112"/>
      <c r="O43" s="112"/>
      <c r="P43" s="112"/>
      <c r="Q43" s="120"/>
      <c r="R43" s="161">
        <f t="shared" si="8"/>
        <v>0</v>
      </c>
      <c r="S43" s="127">
        <f t="shared" si="8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39193</v>
      </c>
      <c r="D44" s="114">
        <v>2</v>
      </c>
      <c r="E44" s="115">
        <v>2916</v>
      </c>
      <c r="F44" s="115"/>
      <c r="G44" s="78">
        <v>2292</v>
      </c>
      <c r="H44" s="79"/>
      <c r="I44" s="182">
        <v>39817</v>
      </c>
      <c r="J44" s="177">
        <f t="shared" si="7"/>
        <v>2</v>
      </c>
      <c r="K44" s="51"/>
      <c r="L44" s="121">
        <v>993</v>
      </c>
      <c r="M44" s="121"/>
      <c r="N44" s="121">
        <v>544</v>
      </c>
      <c r="O44" s="121"/>
      <c r="P44" s="121">
        <v>755</v>
      </c>
      <c r="Q44" s="122"/>
      <c r="R44" s="178">
        <f>L44+N44+P44</f>
        <v>2292</v>
      </c>
      <c r="S44" s="179">
        <f t="shared" si="8"/>
        <v>0</v>
      </c>
      <c r="T44" s="51"/>
      <c r="U44" s="131">
        <f>L44*6+N44*6+P44*6</f>
        <v>13752</v>
      </c>
      <c r="V44" s="130">
        <f>U44/6</f>
        <v>2292</v>
      </c>
      <c r="W44" s="133">
        <f>I44*6+J44</f>
        <v>238904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7"/>
        <v>0</v>
      </c>
      <c r="K45" s="41"/>
      <c r="L45" s="112"/>
      <c r="M45" s="112"/>
      <c r="N45" s="112"/>
      <c r="O45" s="112"/>
      <c r="P45" s="112"/>
      <c r="Q45" s="120"/>
      <c r="R45" s="96">
        <f t="shared" si="8"/>
        <v>0</v>
      </c>
      <c r="S45" s="127">
        <f t="shared" si="8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>
        <v>5</v>
      </c>
      <c r="F46" s="112"/>
      <c r="G46" s="76"/>
      <c r="H46" s="73"/>
      <c r="I46" s="93">
        <f t="shared" si="4"/>
        <v>5</v>
      </c>
      <c r="J46" s="77">
        <f t="shared" si="7"/>
        <v>0</v>
      </c>
      <c r="K46" s="41"/>
      <c r="L46" s="112"/>
      <c r="M46" s="112"/>
      <c r="N46" s="112"/>
      <c r="O46" s="112"/>
      <c r="P46" s="112"/>
      <c r="Q46" s="120"/>
      <c r="R46" s="86">
        <f t="shared" si="8"/>
        <v>0</v>
      </c>
      <c r="S46" s="128">
        <f t="shared" si="8"/>
        <v>0</v>
      </c>
      <c r="T46" s="41"/>
      <c r="U46" s="107">
        <f t="shared" ref="U46:U47" si="12">L46*24+N46*24+P46*24</f>
        <v>0</v>
      </c>
      <c r="V46" s="134">
        <f t="shared" ref="V46:V47" si="13">U46/24</f>
        <v>0</v>
      </c>
      <c r="W46" s="129">
        <f t="shared" ref="W46:W47" si="14">I46*24+J46</f>
        <v>120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7"/>
        <v>0</v>
      </c>
      <c r="K47" s="41"/>
      <c r="L47" s="112"/>
      <c r="M47" s="112"/>
      <c r="N47" s="112"/>
      <c r="O47" s="112"/>
      <c r="P47" s="112"/>
      <c r="Q47" s="120"/>
      <c r="R47" s="86">
        <f t="shared" si="8"/>
        <v>0</v>
      </c>
      <c r="S47" s="124">
        <f t="shared" si="8"/>
        <v>0</v>
      </c>
      <c r="T47" s="41"/>
      <c r="U47" s="107">
        <f t="shared" si="12"/>
        <v>0</v>
      </c>
      <c r="V47" s="130">
        <f t="shared" si="13"/>
        <v>0</v>
      </c>
      <c r="W47" s="129">
        <f t="shared" si="14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2652</v>
      </c>
      <c r="D48" s="142">
        <v>3</v>
      </c>
      <c r="E48" s="121"/>
      <c r="F48" s="121"/>
      <c r="G48" s="143"/>
      <c r="H48" s="139"/>
      <c r="I48" s="80">
        <f t="shared" si="4"/>
        <v>2652</v>
      </c>
      <c r="J48" s="140">
        <f t="shared" si="7"/>
        <v>3</v>
      </c>
      <c r="K48" s="51"/>
      <c r="L48" s="121"/>
      <c r="M48" s="121"/>
      <c r="N48" s="121"/>
      <c r="O48" s="121"/>
      <c r="P48" s="121"/>
      <c r="Q48" s="122"/>
      <c r="R48" s="97">
        <f t="shared" si="8"/>
        <v>0</v>
      </c>
      <c r="S48" s="144">
        <f t="shared" si="8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15915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93">
        <f t="shared" si="4"/>
        <v>1</v>
      </c>
      <c r="J49" s="77">
        <f t="shared" si="7"/>
        <v>0</v>
      </c>
      <c r="K49" s="41"/>
      <c r="L49" s="112"/>
      <c r="M49" s="112"/>
      <c r="N49" s="112"/>
      <c r="O49" s="112"/>
      <c r="P49" s="112"/>
      <c r="Q49" s="120"/>
      <c r="R49" s="96">
        <f t="shared" si="8"/>
        <v>0</v>
      </c>
      <c r="S49" s="126">
        <f t="shared" si="8"/>
        <v>0</v>
      </c>
      <c r="T49" s="41"/>
      <c r="U49" s="107">
        <f t="shared" ref="U49:U51" si="15">L49*24+N49*24+P49*24</f>
        <v>0</v>
      </c>
      <c r="V49" s="109">
        <f t="shared" ref="V49:V51" si="16">U49/24</f>
        <v>0</v>
      </c>
      <c r="W49" s="129">
        <f t="shared" ref="W49:W51" si="17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7"/>
        <v>0</v>
      </c>
      <c r="K50" s="41"/>
      <c r="L50" s="112"/>
      <c r="M50" s="112"/>
      <c r="N50" s="112"/>
      <c r="O50" s="112"/>
      <c r="P50" s="112"/>
      <c r="Q50" s="120"/>
      <c r="R50" s="86">
        <f t="shared" si="8"/>
        <v>0</v>
      </c>
      <c r="S50" s="124">
        <f t="shared" si="8"/>
        <v>0</v>
      </c>
      <c r="T50" s="41"/>
      <c r="U50" s="107">
        <f t="shared" si="15"/>
        <v>0</v>
      </c>
      <c r="V50" s="130">
        <f t="shared" si="16"/>
        <v>0</v>
      </c>
      <c r="W50" s="129">
        <f t="shared" si="17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7"/>
        <v>0</v>
      </c>
      <c r="K51" s="41"/>
      <c r="L51" s="112"/>
      <c r="M51" s="112"/>
      <c r="N51" s="112"/>
      <c r="O51" s="112"/>
      <c r="P51" s="112"/>
      <c r="Q51" s="120"/>
      <c r="R51" s="86">
        <f t="shared" si="8"/>
        <v>0</v>
      </c>
      <c r="S51" s="124">
        <f t="shared" si="8"/>
        <v>0</v>
      </c>
      <c r="T51" s="41"/>
      <c r="U51" s="107">
        <f t="shared" si="15"/>
        <v>0</v>
      </c>
      <c r="V51" s="130">
        <f t="shared" si="16"/>
        <v>0</v>
      </c>
      <c r="W51" s="129">
        <f t="shared" si="17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78">
        <f t="shared" si="4"/>
        <v>34</v>
      </c>
      <c r="J52" s="140">
        <f t="shared" si="7"/>
        <v>0</v>
      </c>
      <c r="K52" s="51"/>
      <c r="L52" s="121"/>
      <c r="M52" s="121"/>
      <c r="N52" s="121"/>
      <c r="O52" s="121"/>
      <c r="P52" s="121"/>
      <c r="Q52" s="122"/>
      <c r="R52" s="97">
        <f t="shared" si="8"/>
        <v>0</v>
      </c>
      <c r="S52" s="144">
        <f t="shared" si="8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7"/>
        <v>0</v>
      </c>
      <c r="K53" s="41"/>
      <c r="L53" s="112"/>
      <c r="M53" s="112"/>
      <c r="N53" s="112"/>
      <c r="O53" s="112"/>
      <c r="P53" s="112"/>
      <c r="Q53" s="120"/>
      <c r="R53" s="96">
        <f t="shared" si="8"/>
        <v>0</v>
      </c>
      <c r="S53" s="126">
        <f t="shared" si="8"/>
        <v>0</v>
      </c>
      <c r="T53" s="41"/>
      <c r="U53" s="107">
        <f t="shared" ref="U53:U54" si="18">L53*24+N53*24+P53*24</f>
        <v>0</v>
      </c>
      <c r="V53" s="109">
        <f t="shared" ref="V53:V54" si="19">U53/24</f>
        <v>0</v>
      </c>
      <c r="W53" s="129">
        <f t="shared" ref="W53:W54" si="20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7</v>
      </c>
      <c r="D54" s="111"/>
      <c r="E54" s="112"/>
      <c r="F54" s="112"/>
      <c r="G54" s="76"/>
      <c r="H54" s="73"/>
      <c r="I54" s="73">
        <f t="shared" si="4"/>
        <v>7</v>
      </c>
      <c r="J54" s="77">
        <f t="shared" si="7"/>
        <v>0</v>
      </c>
      <c r="K54" s="41"/>
      <c r="L54" s="112"/>
      <c r="M54" s="112"/>
      <c r="N54" s="112"/>
      <c r="O54" s="112"/>
      <c r="P54" s="112"/>
      <c r="Q54" s="120"/>
      <c r="R54" s="86">
        <f t="shared" si="8"/>
        <v>0</v>
      </c>
      <c r="S54" s="124">
        <f t="shared" si="8"/>
        <v>0</v>
      </c>
      <c r="T54" s="41"/>
      <c r="U54" s="107">
        <f t="shared" si="18"/>
        <v>0</v>
      </c>
      <c r="V54" s="130">
        <f t="shared" si="19"/>
        <v>0</v>
      </c>
      <c r="W54" s="129">
        <f t="shared" si="20"/>
        <v>168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7"/>
        <v>0</v>
      </c>
      <c r="K55" s="41"/>
      <c r="L55" s="112"/>
      <c r="M55" s="112"/>
      <c r="N55" s="112"/>
      <c r="O55" s="112"/>
      <c r="P55" s="112"/>
      <c r="Q55" s="120"/>
      <c r="R55" s="86">
        <f t="shared" si="8"/>
        <v>0</v>
      </c>
      <c r="S55" s="124">
        <f t="shared" si="8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7"/>
        <v>0</v>
      </c>
      <c r="K56" s="41"/>
      <c r="L56" s="112"/>
      <c r="M56" s="112"/>
      <c r="N56" s="112"/>
      <c r="O56" s="112"/>
      <c r="P56" s="112"/>
      <c r="Q56" s="120"/>
      <c r="R56" s="86">
        <f t="shared" si="8"/>
        <v>0</v>
      </c>
      <c r="S56" s="124">
        <f t="shared" si="8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7"/>
        <v>0</v>
      </c>
      <c r="K57" s="41"/>
      <c r="L57" s="112"/>
      <c r="M57" s="112"/>
      <c r="N57" s="112"/>
      <c r="O57" s="112"/>
      <c r="P57" s="112"/>
      <c r="Q57" s="120"/>
      <c r="R57" s="86">
        <f t="shared" si="8"/>
        <v>0</v>
      </c>
      <c r="S57" s="124">
        <f t="shared" si="8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7"/>
        <v>0</v>
      </c>
      <c r="K58" s="41"/>
      <c r="L58" s="112"/>
      <c r="M58" s="112"/>
      <c r="N58" s="112"/>
      <c r="O58" s="112"/>
      <c r="P58" s="112"/>
      <c r="Q58" s="120"/>
      <c r="R58" s="86">
        <f t="shared" si="8"/>
        <v>0</v>
      </c>
      <c r="S58" s="124">
        <f t="shared" si="8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7"/>
        <v>0</v>
      </c>
      <c r="K59" s="41"/>
      <c r="L59" s="112"/>
      <c r="M59" s="112"/>
      <c r="N59" s="112"/>
      <c r="O59" s="112"/>
      <c r="P59" s="112"/>
      <c r="Q59" s="120"/>
      <c r="R59" s="86">
        <f t="shared" si="8"/>
        <v>0</v>
      </c>
      <c r="S59" s="124">
        <f t="shared" si="8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49407</v>
      </c>
      <c r="D60" s="54">
        <f>SUM(D8:D59)</f>
        <v>148</v>
      </c>
      <c r="E60" s="44">
        <f>SUM(E8:E59)</f>
        <v>3571</v>
      </c>
      <c r="F60" s="44"/>
      <c r="G60" s="28">
        <f>SUM(G8:G59)</f>
        <v>2618</v>
      </c>
      <c r="H60" s="56">
        <f>SUM(H8:H59)</f>
        <v>16</v>
      </c>
      <c r="I60" s="56">
        <f>SUM(I8:I59)</f>
        <v>50360</v>
      </c>
      <c r="J60" s="45">
        <f>SUM(J8:J59)</f>
        <v>148</v>
      </c>
      <c r="K60" s="46"/>
      <c r="L60" s="74">
        <f t="shared" ref="L60:S60" si="21">SUM(L8:L59)</f>
        <v>1044</v>
      </c>
      <c r="M60" s="74">
        <f t="shared" si="21"/>
        <v>0</v>
      </c>
      <c r="N60" s="74">
        <f t="shared" si="21"/>
        <v>707</v>
      </c>
      <c r="O60" s="74">
        <f t="shared" si="21"/>
        <v>10</v>
      </c>
      <c r="P60" s="74">
        <f t="shared" si="21"/>
        <v>867</v>
      </c>
      <c r="Q60" s="75">
        <f t="shared" si="21"/>
        <v>6</v>
      </c>
      <c r="R60" s="85">
        <f t="shared" si="21"/>
        <v>2575</v>
      </c>
      <c r="S60" s="84">
        <f t="shared" si="21"/>
        <v>16</v>
      </c>
      <c r="T60" s="46"/>
      <c r="U60" s="43">
        <f>SUM(U8:U59)</f>
        <v>17754</v>
      </c>
      <c r="V60" s="102">
        <f>SUM(V8:V59)</f>
        <v>2575</v>
      </c>
      <c r="W60" s="180">
        <f>SUM(W8:W59)</f>
        <v>381612</v>
      </c>
      <c r="X60" s="45"/>
    </row>
    <row r="61" spans="1:24" ht="19.5" thickBot="1" x14ac:dyDescent="0.3">
      <c r="V61" s="103"/>
    </row>
    <row r="62" spans="1:24" ht="18.75" customHeight="1" x14ac:dyDescent="0.25">
      <c r="G62" s="207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208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209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210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210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11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204" t="s">
        <v>3</v>
      </c>
      <c r="D69" s="2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EXAMPLE</vt:lpstr>
      <vt:lpstr>08,03</vt:lpstr>
      <vt:lpstr>08,04</vt:lpstr>
      <vt:lpstr>08,05</vt:lpstr>
      <vt:lpstr>08,06</vt:lpstr>
      <vt:lpstr>08,07</vt:lpstr>
      <vt:lpstr>08,08</vt:lpstr>
      <vt:lpstr>08,10</vt:lpstr>
      <vt:lpstr>08,11</vt:lpstr>
      <vt:lpstr>08,12</vt:lpstr>
      <vt:lpstr>08,13</vt:lpstr>
      <vt:lpstr>08,14</vt:lpstr>
      <vt:lpstr>08,15</vt:lpstr>
      <vt:lpstr>08,17</vt:lpstr>
      <vt:lpstr>08,18</vt:lpstr>
      <vt:lpstr>08,19</vt:lpstr>
      <vt:lpstr>08,20</vt:lpstr>
      <vt:lpstr>08,21</vt:lpstr>
      <vt:lpstr>08,24</vt:lpstr>
      <vt:lpstr>08,25</vt:lpstr>
      <vt:lpstr>'08,03'!Print_Area</vt:lpstr>
      <vt:lpstr>'08,04'!Print_Area</vt:lpstr>
      <vt:lpstr>'08,05'!Print_Area</vt:lpstr>
      <vt:lpstr>'08,06'!Print_Area</vt:lpstr>
      <vt:lpstr>'08,07'!Print_Area</vt:lpstr>
      <vt:lpstr>'08,08'!Print_Area</vt:lpstr>
      <vt:lpstr>'08,10'!Print_Area</vt:lpstr>
      <vt:lpstr>'08,11'!Print_Area</vt:lpstr>
      <vt:lpstr>'08,12'!Print_Area</vt:lpstr>
      <vt:lpstr>'08,13'!Print_Area</vt:lpstr>
      <vt:lpstr>'08,14'!Print_Area</vt:lpstr>
      <vt:lpstr>'08,15'!Print_Area</vt:lpstr>
      <vt:lpstr>'08,17'!Print_Area</vt:lpstr>
      <vt:lpstr>'08,18'!Print_Area</vt:lpstr>
      <vt:lpstr>'08,19'!Print_Area</vt:lpstr>
      <vt:lpstr>'08,20'!Print_Area</vt:lpstr>
      <vt:lpstr>'08,21'!Print_Area</vt:lpstr>
      <vt:lpstr>'08,24'!Print_Area</vt:lpstr>
      <vt:lpstr>'08,25'!Print_Area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2026-08-21T08:20:14Z</cp:lastPrinted>
  <dcterms:created xsi:type="dcterms:W3CDTF">2024-09-01T23:32:49Z</dcterms:created>
  <dcterms:modified xsi:type="dcterms:W3CDTF">2026-08-26T03:46:12Z</dcterms:modified>
</cp:coreProperties>
</file>