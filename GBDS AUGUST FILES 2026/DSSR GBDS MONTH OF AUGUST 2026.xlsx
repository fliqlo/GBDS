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87411F3-121E-40A2-99EC-C0C8C371A014}" xr6:coauthVersionLast="45" xr6:coauthVersionMax="45" xr10:uidLastSave="{00000000-0000-0000-0000-000000000000}"/>
  <bookViews>
    <workbookView xWindow="-120" yWindow="-120" windowWidth="29040" windowHeight="15840" firstSheet="4" activeTab="20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  <sheet name="08,12" sheetId="140" r:id="rId10"/>
    <sheet name="08,13" sheetId="141" r:id="rId11"/>
    <sheet name="08,14" sheetId="142" r:id="rId12"/>
    <sheet name="08,15" sheetId="144" r:id="rId13"/>
    <sheet name="08,17" sheetId="145" r:id="rId14"/>
    <sheet name="08,18" sheetId="146" r:id="rId15"/>
    <sheet name="08,19" sheetId="147" r:id="rId16"/>
    <sheet name="08,20" sheetId="148" r:id="rId17"/>
    <sheet name="08,21" sheetId="150" r:id="rId18"/>
    <sheet name="08,24" sheetId="151" r:id="rId19"/>
    <sheet name="08,25" sheetId="152" r:id="rId20"/>
    <sheet name="08,26" sheetId="153" r:id="rId21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9">'08,12'!$A$1:$Y$61</definedName>
    <definedName name="_xlnm.Print_Area" localSheetId="10">'08,13'!$A$1:$Y$61</definedName>
    <definedName name="_xlnm.Print_Area" localSheetId="11">'08,14'!$A$1:$Y$61</definedName>
    <definedName name="_xlnm.Print_Area" localSheetId="12">'08,15'!$A$1:$Y$61</definedName>
    <definedName name="_xlnm.Print_Area" localSheetId="13">'08,17'!$A$1:$Y$61</definedName>
    <definedName name="_xlnm.Print_Area" localSheetId="14">'08,18'!$A$1:$Y$61</definedName>
    <definedName name="_xlnm.Print_Area" localSheetId="15">'08,19'!$A$1:$Y$61</definedName>
    <definedName name="_xlnm.Print_Area" localSheetId="16">'08,20'!$A$1:$Y$61</definedName>
    <definedName name="_xlnm.Print_Area" localSheetId="17">'08,21'!$A$1:$Y$61</definedName>
    <definedName name="_xlnm.Print_Area" localSheetId="18">'08,24'!$A$1:$Y$61</definedName>
    <definedName name="_xlnm.Print_Area" localSheetId="19">'08,25'!$A$1:$Y$61</definedName>
    <definedName name="_xlnm.Print_Area" localSheetId="20">'08,26'!$A$1:$Y$61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44" i="153" l="1"/>
  <c r="U38" i="153"/>
  <c r="V38" i="153" s="1"/>
  <c r="R38" i="153"/>
  <c r="Q60" i="153"/>
  <c r="P60" i="153"/>
  <c r="O60" i="153"/>
  <c r="N60" i="153"/>
  <c r="M60" i="153"/>
  <c r="L60" i="153"/>
  <c r="H60" i="153"/>
  <c r="G60" i="153"/>
  <c r="E60" i="153"/>
  <c r="D60" i="153"/>
  <c r="C60" i="153"/>
  <c r="S59" i="153"/>
  <c r="R59" i="153"/>
  <c r="J59" i="153"/>
  <c r="I59" i="153"/>
  <c r="S58" i="153"/>
  <c r="R58" i="153"/>
  <c r="J58" i="153"/>
  <c r="I58" i="153"/>
  <c r="S57" i="153"/>
  <c r="R57" i="153"/>
  <c r="J57" i="153"/>
  <c r="I57" i="153"/>
  <c r="S56" i="153"/>
  <c r="R56" i="153"/>
  <c r="J56" i="153"/>
  <c r="I56" i="153"/>
  <c r="S55" i="153"/>
  <c r="R55" i="153"/>
  <c r="J55" i="153"/>
  <c r="I55" i="153"/>
  <c r="U54" i="153"/>
  <c r="V54" i="153" s="1"/>
  <c r="S54" i="153"/>
  <c r="R54" i="153"/>
  <c r="J54" i="153"/>
  <c r="I54" i="153"/>
  <c r="W54" i="153" s="1"/>
  <c r="U53" i="153"/>
  <c r="V53" i="153" s="1"/>
  <c r="S53" i="153"/>
  <c r="R53" i="153"/>
  <c r="J53" i="153"/>
  <c r="I53" i="153"/>
  <c r="W53" i="153" s="1"/>
  <c r="U52" i="153"/>
  <c r="V52" i="153" s="1"/>
  <c r="S52" i="153"/>
  <c r="R52" i="153"/>
  <c r="J52" i="153"/>
  <c r="I52" i="153"/>
  <c r="U51" i="153"/>
  <c r="V51" i="153" s="1"/>
  <c r="S51" i="153"/>
  <c r="R51" i="153"/>
  <c r="J51" i="153"/>
  <c r="W51" i="153" s="1"/>
  <c r="I51" i="153"/>
  <c r="U50" i="153"/>
  <c r="V50" i="153" s="1"/>
  <c r="S50" i="153"/>
  <c r="R50" i="153"/>
  <c r="J50" i="153"/>
  <c r="I50" i="153"/>
  <c r="W50" i="153" s="1"/>
  <c r="U49" i="153"/>
  <c r="V49" i="153" s="1"/>
  <c r="S49" i="153"/>
  <c r="R49" i="153"/>
  <c r="J49" i="153"/>
  <c r="I49" i="153"/>
  <c r="W49" i="153" s="1"/>
  <c r="U48" i="153"/>
  <c r="V48" i="153" s="1"/>
  <c r="S48" i="153"/>
  <c r="R48" i="153"/>
  <c r="J48" i="153"/>
  <c r="I48" i="153"/>
  <c r="U47" i="153"/>
  <c r="V47" i="153" s="1"/>
  <c r="S47" i="153"/>
  <c r="R47" i="153"/>
  <c r="J47" i="153"/>
  <c r="I47" i="153"/>
  <c r="W47" i="153" s="1"/>
  <c r="W46" i="153"/>
  <c r="U46" i="153"/>
  <c r="V46" i="153" s="1"/>
  <c r="S46" i="153"/>
  <c r="R46" i="153"/>
  <c r="J46" i="153"/>
  <c r="I46" i="153"/>
  <c r="S45" i="153"/>
  <c r="R45" i="153"/>
  <c r="J45" i="153"/>
  <c r="I45" i="153"/>
  <c r="U44" i="153"/>
  <c r="V44" i="153" s="1"/>
  <c r="S44" i="153"/>
  <c r="R44" i="153"/>
  <c r="J44" i="153"/>
  <c r="S43" i="153"/>
  <c r="R43" i="153"/>
  <c r="J43" i="153"/>
  <c r="I43" i="153"/>
  <c r="U42" i="153"/>
  <c r="V42" i="153" s="1"/>
  <c r="S42" i="153"/>
  <c r="R42" i="153"/>
  <c r="J42" i="153"/>
  <c r="I42" i="153"/>
  <c r="W42" i="153" s="1"/>
  <c r="U41" i="153"/>
  <c r="V41" i="153" s="1"/>
  <c r="S41" i="153"/>
  <c r="R41" i="153"/>
  <c r="J41" i="153"/>
  <c r="I41" i="153"/>
  <c r="W41" i="153" s="1"/>
  <c r="U40" i="153"/>
  <c r="V40" i="153" s="1"/>
  <c r="S40" i="153"/>
  <c r="R40" i="153"/>
  <c r="J40" i="153"/>
  <c r="I40" i="153"/>
  <c r="W40" i="153" s="1"/>
  <c r="U39" i="153"/>
  <c r="V39" i="153" s="1"/>
  <c r="S39" i="153"/>
  <c r="R39" i="153"/>
  <c r="J39" i="153"/>
  <c r="I39" i="153"/>
  <c r="S38" i="153"/>
  <c r="J38" i="153"/>
  <c r="I38" i="153"/>
  <c r="W38" i="153" s="1"/>
  <c r="U37" i="153"/>
  <c r="V37" i="153" s="1"/>
  <c r="S37" i="153"/>
  <c r="R37" i="153"/>
  <c r="J37" i="153"/>
  <c r="I37" i="153"/>
  <c r="W36" i="153"/>
  <c r="V36" i="153"/>
  <c r="U36" i="153"/>
  <c r="S36" i="153"/>
  <c r="R36" i="153"/>
  <c r="J36" i="153"/>
  <c r="I36" i="153"/>
  <c r="U35" i="153"/>
  <c r="V35" i="153" s="1"/>
  <c r="S35" i="153"/>
  <c r="R35" i="153"/>
  <c r="J35" i="153"/>
  <c r="I35" i="153"/>
  <c r="W34" i="153"/>
  <c r="V34" i="153"/>
  <c r="U34" i="153"/>
  <c r="S34" i="153"/>
  <c r="R34" i="153"/>
  <c r="J34" i="153"/>
  <c r="I34" i="153"/>
  <c r="V33" i="153"/>
  <c r="U33" i="153"/>
  <c r="S33" i="153"/>
  <c r="R33" i="153"/>
  <c r="J33" i="153"/>
  <c r="I33" i="153"/>
  <c r="U32" i="153"/>
  <c r="V32" i="153" s="1"/>
  <c r="S32" i="153"/>
  <c r="R32" i="153"/>
  <c r="J32" i="153"/>
  <c r="I32" i="153"/>
  <c r="W32" i="153" s="1"/>
  <c r="U31" i="153"/>
  <c r="V31" i="153" s="1"/>
  <c r="S31" i="153"/>
  <c r="R31" i="153"/>
  <c r="J31" i="153"/>
  <c r="W31" i="153" s="1"/>
  <c r="I31" i="153"/>
  <c r="U30" i="153"/>
  <c r="V30" i="153" s="1"/>
  <c r="S30" i="153"/>
  <c r="R30" i="153"/>
  <c r="J30" i="153"/>
  <c r="I30" i="153"/>
  <c r="U29" i="153"/>
  <c r="V29" i="153" s="1"/>
  <c r="S29" i="153"/>
  <c r="R29" i="153"/>
  <c r="J29" i="153"/>
  <c r="I29" i="153"/>
  <c r="U28" i="153"/>
  <c r="V28" i="153" s="1"/>
  <c r="S28" i="153"/>
  <c r="R28" i="153"/>
  <c r="J28" i="153"/>
  <c r="I28" i="153"/>
  <c r="W28" i="153" s="1"/>
  <c r="U27" i="153"/>
  <c r="V27" i="153" s="1"/>
  <c r="S27" i="153"/>
  <c r="R27" i="153"/>
  <c r="J27" i="153"/>
  <c r="I27" i="153"/>
  <c r="BE26" i="153"/>
  <c r="U26" i="153"/>
  <c r="V26" i="153" s="1"/>
  <c r="S26" i="153"/>
  <c r="R26" i="153"/>
  <c r="J26" i="153"/>
  <c r="I26" i="153"/>
  <c r="W26" i="153" s="1"/>
  <c r="U25" i="153"/>
  <c r="V25" i="153" s="1"/>
  <c r="S25" i="153"/>
  <c r="R25" i="153"/>
  <c r="J25" i="153"/>
  <c r="I25" i="153"/>
  <c r="W25" i="153" s="1"/>
  <c r="W24" i="153"/>
  <c r="U24" i="153"/>
  <c r="V24" i="153" s="1"/>
  <c r="S24" i="153"/>
  <c r="R24" i="153"/>
  <c r="J24" i="153"/>
  <c r="I24" i="153"/>
  <c r="U23" i="153"/>
  <c r="V23" i="153" s="1"/>
  <c r="S23" i="153"/>
  <c r="R23" i="153"/>
  <c r="J23" i="153"/>
  <c r="I23" i="153"/>
  <c r="W23" i="153" s="1"/>
  <c r="U22" i="153"/>
  <c r="V22" i="153" s="1"/>
  <c r="S22" i="153"/>
  <c r="R22" i="153"/>
  <c r="J22" i="153"/>
  <c r="I22" i="153"/>
  <c r="W22" i="153" s="1"/>
  <c r="U21" i="153"/>
  <c r="V21" i="153" s="1"/>
  <c r="S21" i="153"/>
  <c r="R21" i="153"/>
  <c r="J21" i="153"/>
  <c r="I21" i="153"/>
  <c r="W21" i="153" s="1"/>
  <c r="U20" i="153"/>
  <c r="V20" i="153" s="1"/>
  <c r="S20" i="153"/>
  <c r="R20" i="153"/>
  <c r="J20" i="153"/>
  <c r="I20" i="153"/>
  <c r="W20" i="153" s="1"/>
  <c r="W19" i="153"/>
  <c r="U19" i="153"/>
  <c r="V19" i="153" s="1"/>
  <c r="S19" i="153"/>
  <c r="R19" i="153"/>
  <c r="J19" i="153"/>
  <c r="I19" i="153"/>
  <c r="U18" i="153"/>
  <c r="V18" i="153" s="1"/>
  <c r="S18" i="153"/>
  <c r="R18" i="153"/>
  <c r="J18" i="153"/>
  <c r="I18" i="153"/>
  <c r="W18" i="153" s="1"/>
  <c r="U17" i="153"/>
  <c r="V17" i="153" s="1"/>
  <c r="S17" i="153"/>
  <c r="R17" i="153"/>
  <c r="J17" i="153"/>
  <c r="I17" i="153"/>
  <c r="W17" i="153" s="1"/>
  <c r="U16" i="153"/>
  <c r="V16" i="153" s="1"/>
  <c r="S16" i="153"/>
  <c r="R16" i="153"/>
  <c r="J16" i="153"/>
  <c r="I16" i="153"/>
  <c r="W16" i="153" s="1"/>
  <c r="U15" i="153"/>
  <c r="V15" i="153" s="1"/>
  <c r="S15" i="153"/>
  <c r="R15" i="153"/>
  <c r="J15" i="153"/>
  <c r="I15" i="153"/>
  <c r="W15" i="153" s="1"/>
  <c r="U14" i="153"/>
  <c r="V14" i="153" s="1"/>
  <c r="S14" i="153"/>
  <c r="R14" i="153"/>
  <c r="J14" i="153"/>
  <c r="I14" i="153"/>
  <c r="W14" i="153" s="1"/>
  <c r="U13" i="153"/>
  <c r="V13" i="153" s="1"/>
  <c r="S13" i="153"/>
  <c r="J13" i="153"/>
  <c r="V12" i="153"/>
  <c r="U12" i="153"/>
  <c r="S12" i="153"/>
  <c r="R12" i="153"/>
  <c r="J12" i="153"/>
  <c r="I12" i="153"/>
  <c r="W12" i="153" s="1"/>
  <c r="U11" i="153"/>
  <c r="V11" i="153" s="1"/>
  <c r="S11" i="153"/>
  <c r="J11" i="153"/>
  <c r="I11" i="153"/>
  <c r="W11" i="153" s="1"/>
  <c r="U10" i="153"/>
  <c r="V10" i="153" s="1"/>
  <c r="S10" i="153"/>
  <c r="J10" i="153"/>
  <c r="I10" i="153"/>
  <c r="W10" i="153" s="1"/>
  <c r="U9" i="153"/>
  <c r="V9" i="153" s="1"/>
  <c r="S9" i="153"/>
  <c r="R9" i="153"/>
  <c r="J9" i="153"/>
  <c r="I9" i="153"/>
  <c r="W9" i="153" s="1"/>
  <c r="A9" i="153"/>
  <c r="A10" i="153" s="1"/>
  <c r="A11" i="153" s="1"/>
  <c r="A12" i="153" s="1"/>
  <c r="A13" i="153" s="1"/>
  <c r="A14" i="153" s="1"/>
  <c r="A15" i="153" s="1"/>
  <c r="A16" i="153" s="1"/>
  <c r="A17" i="153" s="1"/>
  <c r="A18" i="153" s="1"/>
  <c r="A19" i="153" s="1"/>
  <c r="A20" i="153" s="1"/>
  <c r="A21" i="153" s="1"/>
  <c r="A22" i="153" s="1"/>
  <c r="A23" i="153" s="1"/>
  <c r="A24" i="153" s="1"/>
  <c r="A25" i="153" s="1"/>
  <c r="A26" i="153" s="1"/>
  <c r="A27" i="153" s="1"/>
  <c r="A28" i="153" s="1"/>
  <c r="A29" i="153" s="1"/>
  <c r="A30" i="153" s="1"/>
  <c r="A31" i="153" s="1"/>
  <c r="A32" i="153" s="1"/>
  <c r="A33" i="153" s="1"/>
  <c r="A34" i="153" s="1"/>
  <c r="A35" i="153" s="1"/>
  <c r="A36" i="153" s="1"/>
  <c r="A37" i="153" s="1"/>
  <c r="A38" i="153" s="1"/>
  <c r="A39" i="153" s="1"/>
  <c r="A40" i="153" s="1"/>
  <c r="A41" i="153" s="1"/>
  <c r="A42" i="153" s="1"/>
  <c r="A43" i="153" s="1"/>
  <c r="A44" i="153" s="1"/>
  <c r="A45" i="153" s="1"/>
  <c r="A46" i="153" s="1"/>
  <c r="A47" i="153" s="1"/>
  <c r="A48" i="153" s="1"/>
  <c r="A49" i="153" s="1"/>
  <c r="A50" i="153" s="1"/>
  <c r="A51" i="153" s="1"/>
  <c r="A52" i="153" s="1"/>
  <c r="A53" i="153" s="1"/>
  <c r="A54" i="153" s="1"/>
  <c r="A55" i="153" s="1"/>
  <c r="A56" i="153" s="1"/>
  <c r="A57" i="153" s="1"/>
  <c r="A58" i="153" s="1"/>
  <c r="A59" i="153" s="1"/>
  <c r="U8" i="153"/>
  <c r="V8" i="153" s="1"/>
  <c r="S8" i="153"/>
  <c r="R8" i="153"/>
  <c r="J8" i="153"/>
  <c r="I8" i="153"/>
  <c r="W8" i="153" s="1"/>
  <c r="W44" i="153" l="1"/>
  <c r="W52" i="153"/>
  <c r="W48" i="153"/>
  <c r="W30" i="153"/>
  <c r="W29" i="153"/>
  <c r="R60" i="153"/>
  <c r="V60" i="153"/>
  <c r="S60" i="153"/>
  <c r="W27" i="153"/>
  <c r="W33" i="153"/>
  <c r="J60" i="153"/>
  <c r="W35" i="153"/>
  <c r="W39" i="153"/>
  <c r="W37" i="153"/>
  <c r="I60" i="153"/>
  <c r="U60" i="153"/>
  <c r="R44" i="152"/>
  <c r="I41" i="152"/>
  <c r="J13" i="152"/>
  <c r="I13" i="152"/>
  <c r="Q60" i="152"/>
  <c r="P60" i="152"/>
  <c r="O60" i="152"/>
  <c r="N60" i="152"/>
  <c r="M60" i="152"/>
  <c r="L60" i="152"/>
  <c r="H60" i="152"/>
  <c r="G60" i="152"/>
  <c r="E60" i="152"/>
  <c r="D60" i="152"/>
  <c r="C60" i="152"/>
  <c r="S59" i="152"/>
  <c r="R59" i="152"/>
  <c r="J59" i="152"/>
  <c r="I59" i="152"/>
  <c r="S58" i="152"/>
  <c r="R58" i="152"/>
  <c r="J58" i="152"/>
  <c r="I58" i="152"/>
  <c r="S57" i="152"/>
  <c r="R57" i="152"/>
  <c r="J57" i="152"/>
  <c r="I57" i="152"/>
  <c r="S56" i="152"/>
  <c r="R56" i="152"/>
  <c r="J56" i="152"/>
  <c r="I56" i="152"/>
  <c r="S55" i="152"/>
  <c r="R55" i="152"/>
  <c r="J55" i="152"/>
  <c r="I55" i="152"/>
  <c r="U54" i="152"/>
  <c r="V54" i="152" s="1"/>
  <c r="S54" i="152"/>
  <c r="R54" i="152"/>
  <c r="J54" i="152"/>
  <c r="I54" i="152"/>
  <c r="W54" i="152" s="1"/>
  <c r="U53" i="152"/>
  <c r="V53" i="152" s="1"/>
  <c r="S53" i="152"/>
  <c r="R53" i="152"/>
  <c r="J53" i="152"/>
  <c r="I53" i="152"/>
  <c r="W53" i="152" s="1"/>
  <c r="U52" i="152"/>
  <c r="V52" i="152" s="1"/>
  <c r="S52" i="152"/>
  <c r="R52" i="152"/>
  <c r="J52" i="152"/>
  <c r="I52" i="152"/>
  <c r="W52" i="152" s="1"/>
  <c r="U51" i="152"/>
  <c r="V51" i="152" s="1"/>
  <c r="S51" i="152"/>
  <c r="R51" i="152"/>
  <c r="J51" i="152"/>
  <c r="I51" i="152"/>
  <c r="W51" i="152" s="1"/>
  <c r="U50" i="152"/>
  <c r="V50" i="152" s="1"/>
  <c r="S50" i="152"/>
  <c r="R50" i="152"/>
  <c r="J50" i="152"/>
  <c r="I50" i="152"/>
  <c r="W50" i="152" s="1"/>
  <c r="U49" i="152"/>
  <c r="V49" i="152" s="1"/>
  <c r="S49" i="152"/>
  <c r="R49" i="152"/>
  <c r="J49" i="152"/>
  <c r="I49" i="152"/>
  <c r="W49" i="152" s="1"/>
  <c r="U48" i="152"/>
  <c r="V48" i="152" s="1"/>
  <c r="S48" i="152"/>
  <c r="R48" i="152"/>
  <c r="J48" i="152"/>
  <c r="I48" i="152"/>
  <c r="W48" i="152" s="1"/>
  <c r="U47" i="152"/>
  <c r="V47" i="152" s="1"/>
  <c r="S47" i="152"/>
  <c r="R47" i="152"/>
  <c r="J47" i="152"/>
  <c r="I47" i="152"/>
  <c r="W47" i="152" s="1"/>
  <c r="U46" i="152"/>
  <c r="V46" i="152" s="1"/>
  <c r="S46" i="152"/>
  <c r="R46" i="152"/>
  <c r="J46" i="152"/>
  <c r="I46" i="152"/>
  <c r="S45" i="152"/>
  <c r="R45" i="152"/>
  <c r="J45" i="152"/>
  <c r="I45" i="152"/>
  <c r="U44" i="152"/>
  <c r="V44" i="152" s="1"/>
  <c r="S44" i="152"/>
  <c r="J44" i="152"/>
  <c r="S43" i="152"/>
  <c r="R43" i="152"/>
  <c r="J43" i="152"/>
  <c r="I43" i="152"/>
  <c r="U42" i="152"/>
  <c r="V42" i="152" s="1"/>
  <c r="S42" i="152"/>
  <c r="R42" i="152"/>
  <c r="J42" i="152"/>
  <c r="I42" i="152"/>
  <c r="U41" i="152"/>
  <c r="V41" i="152" s="1"/>
  <c r="S41" i="152"/>
  <c r="R41" i="152"/>
  <c r="J41" i="152"/>
  <c r="U40" i="152"/>
  <c r="V40" i="152" s="1"/>
  <c r="S40" i="152"/>
  <c r="R40" i="152"/>
  <c r="J40" i="152"/>
  <c r="I40" i="152"/>
  <c r="W40" i="152" s="1"/>
  <c r="U39" i="152"/>
  <c r="V39" i="152" s="1"/>
  <c r="S39" i="152"/>
  <c r="R39" i="152"/>
  <c r="J39" i="152"/>
  <c r="I39" i="152"/>
  <c r="V38" i="152"/>
  <c r="S38" i="152"/>
  <c r="J38" i="152"/>
  <c r="I38" i="152"/>
  <c r="W38" i="152" s="1"/>
  <c r="U37" i="152"/>
  <c r="V37" i="152" s="1"/>
  <c r="S37" i="152"/>
  <c r="R37" i="152"/>
  <c r="J37" i="152"/>
  <c r="I37" i="152"/>
  <c r="W37" i="152" s="1"/>
  <c r="U36" i="152"/>
  <c r="V36" i="152" s="1"/>
  <c r="S36" i="152"/>
  <c r="R36" i="152"/>
  <c r="J36" i="152"/>
  <c r="I36" i="152"/>
  <c r="W36" i="152" s="1"/>
  <c r="U35" i="152"/>
  <c r="V35" i="152" s="1"/>
  <c r="S35" i="152"/>
  <c r="R35" i="152"/>
  <c r="J35" i="152"/>
  <c r="I35" i="152"/>
  <c r="U34" i="152"/>
  <c r="V34" i="152" s="1"/>
  <c r="S34" i="152"/>
  <c r="R34" i="152"/>
  <c r="J34" i="152"/>
  <c r="I34" i="152"/>
  <c r="W34" i="152" s="1"/>
  <c r="U33" i="152"/>
  <c r="V33" i="152" s="1"/>
  <c r="S33" i="152"/>
  <c r="R33" i="152"/>
  <c r="J33" i="152"/>
  <c r="I33" i="152"/>
  <c r="W33" i="152" s="1"/>
  <c r="U32" i="152"/>
  <c r="V32" i="152" s="1"/>
  <c r="S32" i="152"/>
  <c r="R32" i="152"/>
  <c r="J32" i="152"/>
  <c r="I32" i="152"/>
  <c r="W32" i="152" s="1"/>
  <c r="U31" i="152"/>
  <c r="V31" i="152" s="1"/>
  <c r="S31" i="152"/>
  <c r="R31" i="152"/>
  <c r="J31" i="152"/>
  <c r="I31" i="152"/>
  <c r="W31" i="152" s="1"/>
  <c r="U30" i="152"/>
  <c r="V30" i="152" s="1"/>
  <c r="S30" i="152"/>
  <c r="R30" i="152"/>
  <c r="J30" i="152"/>
  <c r="I30" i="152"/>
  <c r="U29" i="152"/>
  <c r="V29" i="152" s="1"/>
  <c r="S29" i="152"/>
  <c r="R29" i="152"/>
  <c r="J29" i="152"/>
  <c r="I29" i="152"/>
  <c r="U28" i="152"/>
  <c r="V28" i="152" s="1"/>
  <c r="S28" i="152"/>
  <c r="R28" i="152"/>
  <c r="J28" i="152"/>
  <c r="I28" i="152"/>
  <c r="W28" i="152" s="1"/>
  <c r="U27" i="152"/>
  <c r="V27" i="152" s="1"/>
  <c r="S27" i="152"/>
  <c r="R27" i="152"/>
  <c r="J27" i="152"/>
  <c r="I27" i="152"/>
  <c r="W27" i="152" s="1"/>
  <c r="BE26" i="152"/>
  <c r="U26" i="152"/>
  <c r="V26" i="152" s="1"/>
  <c r="S26" i="152"/>
  <c r="R26" i="152"/>
  <c r="J26" i="152"/>
  <c r="I26" i="152"/>
  <c r="U25" i="152"/>
  <c r="V25" i="152" s="1"/>
  <c r="S25" i="152"/>
  <c r="R25" i="152"/>
  <c r="J25" i="152"/>
  <c r="I25" i="152"/>
  <c r="W25" i="152" s="1"/>
  <c r="V24" i="152"/>
  <c r="U24" i="152"/>
  <c r="S24" i="152"/>
  <c r="R24" i="152"/>
  <c r="J24" i="152"/>
  <c r="I24" i="152"/>
  <c r="W24" i="152" s="1"/>
  <c r="U23" i="152"/>
  <c r="V23" i="152" s="1"/>
  <c r="S23" i="152"/>
  <c r="R23" i="152"/>
  <c r="J23" i="152"/>
  <c r="I23" i="152"/>
  <c r="V22" i="152"/>
  <c r="U22" i="152"/>
  <c r="S22" i="152"/>
  <c r="R22" i="152"/>
  <c r="J22" i="152"/>
  <c r="I22" i="152"/>
  <c r="W22" i="152" s="1"/>
  <c r="U21" i="152"/>
  <c r="V21" i="152" s="1"/>
  <c r="S21" i="152"/>
  <c r="R21" i="152"/>
  <c r="J21" i="152"/>
  <c r="I21" i="152"/>
  <c r="W21" i="152" s="1"/>
  <c r="V20" i="152"/>
  <c r="U20" i="152"/>
  <c r="S20" i="152"/>
  <c r="R20" i="152"/>
  <c r="J20" i="152"/>
  <c r="I20" i="152"/>
  <c r="U19" i="152"/>
  <c r="V19" i="152" s="1"/>
  <c r="S19" i="152"/>
  <c r="R19" i="152"/>
  <c r="J19" i="152"/>
  <c r="I19" i="152"/>
  <c r="W19" i="152" s="1"/>
  <c r="V18" i="152"/>
  <c r="U18" i="152"/>
  <c r="S18" i="152"/>
  <c r="R18" i="152"/>
  <c r="J18" i="152"/>
  <c r="I18" i="152"/>
  <c r="W18" i="152" s="1"/>
  <c r="U17" i="152"/>
  <c r="V17" i="152" s="1"/>
  <c r="S17" i="152"/>
  <c r="R17" i="152"/>
  <c r="J17" i="152"/>
  <c r="I17" i="152"/>
  <c r="W17" i="152" s="1"/>
  <c r="V16" i="152"/>
  <c r="U16" i="152"/>
  <c r="S16" i="152"/>
  <c r="R16" i="152"/>
  <c r="J16" i="152"/>
  <c r="I16" i="152"/>
  <c r="W16" i="152" s="1"/>
  <c r="U15" i="152"/>
  <c r="V15" i="152" s="1"/>
  <c r="S15" i="152"/>
  <c r="R15" i="152"/>
  <c r="J15" i="152"/>
  <c r="I15" i="152"/>
  <c r="W15" i="152" s="1"/>
  <c r="V14" i="152"/>
  <c r="U14" i="152"/>
  <c r="S14" i="152"/>
  <c r="R14" i="152"/>
  <c r="J14" i="152"/>
  <c r="I14" i="152"/>
  <c r="W14" i="152" s="1"/>
  <c r="U13" i="152"/>
  <c r="V13" i="152" s="1"/>
  <c r="S13" i="152"/>
  <c r="R13" i="152"/>
  <c r="V12" i="152"/>
  <c r="U12" i="152"/>
  <c r="S12" i="152"/>
  <c r="R12" i="152"/>
  <c r="J12" i="152"/>
  <c r="W12" i="152" s="1"/>
  <c r="I12" i="152"/>
  <c r="U11" i="152"/>
  <c r="V11" i="152" s="1"/>
  <c r="S11" i="152"/>
  <c r="J11" i="152"/>
  <c r="I11" i="152"/>
  <c r="U10" i="152"/>
  <c r="V10" i="152" s="1"/>
  <c r="S10" i="152"/>
  <c r="J10" i="152"/>
  <c r="I10" i="152"/>
  <c r="W10" i="152" s="1"/>
  <c r="U9" i="152"/>
  <c r="V9" i="152" s="1"/>
  <c r="S9" i="152"/>
  <c r="R9" i="152"/>
  <c r="J9" i="152"/>
  <c r="I9" i="152"/>
  <c r="A9" i="152"/>
  <c r="A10" i="152" s="1"/>
  <c r="A11" i="152" s="1"/>
  <c r="A12" i="152" s="1"/>
  <c r="A13" i="152" s="1"/>
  <c r="A14" i="152" s="1"/>
  <c r="A15" i="152" s="1"/>
  <c r="A16" i="152" s="1"/>
  <c r="A17" i="152" s="1"/>
  <c r="A18" i="152" s="1"/>
  <c r="A19" i="152" s="1"/>
  <c r="A20" i="152" s="1"/>
  <c r="A21" i="152" s="1"/>
  <c r="A22" i="152" s="1"/>
  <c r="A23" i="152" s="1"/>
  <c r="A24" i="152" s="1"/>
  <c r="A25" i="152" s="1"/>
  <c r="A26" i="152" s="1"/>
  <c r="A27" i="152" s="1"/>
  <c r="A28" i="152" s="1"/>
  <c r="A29" i="152" s="1"/>
  <c r="A30" i="152" s="1"/>
  <c r="A31" i="152" s="1"/>
  <c r="A32" i="152" s="1"/>
  <c r="A33" i="152" s="1"/>
  <c r="A34" i="152" s="1"/>
  <c r="A35" i="152" s="1"/>
  <c r="A36" i="152" s="1"/>
  <c r="A37" i="152" s="1"/>
  <c r="A38" i="152" s="1"/>
  <c r="A39" i="152" s="1"/>
  <c r="A40" i="152" s="1"/>
  <c r="A41" i="152" s="1"/>
  <c r="A42" i="152" s="1"/>
  <c r="A43" i="152" s="1"/>
  <c r="A44" i="152" s="1"/>
  <c r="A45" i="152" s="1"/>
  <c r="A46" i="152" s="1"/>
  <c r="A47" i="152" s="1"/>
  <c r="A48" i="152" s="1"/>
  <c r="A49" i="152" s="1"/>
  <c r="A50" i="152" s="1"/>
  <c r="A51" i="152" s="1"/>
  <c r="A52" i="152" s="1"/>
  <c r="A53" i="152" s="1"/>
  <c r="A54" i="152" s="1"/>
  <c r="A55" i="152" s="1"/>
  <c r="A56" i="152" s="1"/>
  <c r="A57" i="152" s="1"/>
  <c r="A58" i="152" s="1"/>
  <c r="A59" i="152" s="1"/>
  <c r="U8" i="152"/>
  <c r="S8" i="152"/>
  <c r="S60" i="152" s="1"/>
  <c r="R8" i="152"/>
  <c r="J8" i="152"/>
  <c r="I8" i="152"/>
  <c r="W8" i="152" s="1"/>
  <c r="W60" i="153" l="1"/>
  <c r="W46" i="152"/>
  <c r="W44" i="152"/>
  <c r="W41" i="152"/>
  <c r="W39" i="152"/>
  <c r="W35" i="152"/>
  <c r="R60" i="152"/>
  <c r="W30" i="152"/>
  <c r="W26" i="152"/>
  <c r="W23" i="152"/>
  <c r="W20" i="152"/>
  <c r="U60" i="152"/>
  <c r="W9" i="152"/>
  <c r="I60" i="152"/>
  <c r="J60" i="152"/>
  <c r="W29" i="152"/>
  <c r="W42" i="152"/>
  <c r="V8" i="152"/>
  <c r="V60" i="152" s="1"/>
  <c r="W11" i="152"/>
  <c r="Q60" i="151"/>
  <c r="P60" i="151"/>
  <c r="O60" i="151"/>
  <c r="N60" i="151"/>
  <c r="M60" i="151"/>
  <c r="L60" i="151"/>
  <c r="H60" i="151"/>
  <c r="G60" i="151"/>
  <c r="E60" i="151"/>
  <c r="D60" i="151"/>
  <c r="C60" i="151"/>
  <c r="S59" i="151"/>
  <c r="R59" i="151"/>
  <c r="J59" i="151"/>
  <c r="I59" i="151"/>
  <c r="S58" i="151"/>
  <c r="R58" i="151"/>
  <c r="J58" i="151"/>
  <c r="I58" i="151"/>
  <c r="S57" i="151"/>
  <c r="R57" i="151"/>
  <c r="J57" i="151"/>
  <c r="I57" i="151"/>
  <c r="S56" i="151"/>
  <c r="R56" i="151"/>
  <c r="J56" i="151"/>
  <c r="I56" i="151"/>
  <c r="S55" i="151"/>
  <c r="R55" i="151"/>
  <c r="J55" i="151"/>
  <c r="I55" i="151"/>
  <c r="U54" i="151"/>
  <c r="V54" i="151" s="1"/>
  <c r="S54" i="151"/>
  <c r="R54" i="151"/>
  <c r="J54" i="151"/>
  <c r="I54" i="151"/>
  <c r="U53" i="151"/>
  <c r="V53" i="151" s="1"/>
  <c r="S53" i="151"/>
  <c r="R53" i="151"/>
  <c r="J53" i="151"/>
  <c r="I53" i="151"/>
  <c r="W53" i="151" s="1"/>
  <c r="U52" i="151"/>
  <c r="V52" i="151" s="1"/>
  <c r="S52" i="151"/>
  <c r="R52" i="151"/>
  <c r="J52" i="151"/>
  <c r="I52" i="151"/>
  <c r="W52" i="151" s="1"/>
  <c r="U51" i="151"/>
  <c r="V51" i="151" s="1"/>
  <c r="S51" i="151"/>
  <c r="R51" i="151"/>
  <c r="J51" i="151"/>
  <c r="I51" i="151"/>
  <c r="U50" i="151"/>
  <c r="V50" i="151" s="1"/>
  <c r="S50" i="151"/>
  <c r="R50" i="151"/>
  <c r="J50" i="151"/>
  <c r="I50" i="151"/>
  <c r="U49" i="151"/>
  <c r="V49" i="151" s="1"/>
  <c r="S49" i="151"/>
  <c r="R49" i="151"/>
  <c r="J49" i="151"/>
  <c r="I49" i="151"/>
  <c r="W49" i="151" s="1"/>
  <c r="U48" i="151"/>
  <c r="V48" i="151" s="1"/>
  <c r="S48" i="151"/>
  <c r="R48" i="151"/>
  <c r="J48" i="151"/>
  <c r="I48" i="151"/>
  <c r="U47" i="151"/>
  <c r="V47" i="151" s="1"/>
  <c r="S47" i="151"/>
  <c r="R47" i="151"/>
  <c r="J47" i="151"/>
  <c r="I47" i="151"/>
  <c r="W47" i="151" s="1"/>
  <c r="U46" i="151"/>
  <c r="V46" i="151" s="1"/>
  <c r="S46" i="151"/>
  <c r="R46" i="151"/>
  <c r="J46" i="151"/>
  <c r="I46" i="151"/>
  <c r="W46" i="151" s="1"/>
  <c r="S45" i="151"/>
  <c r="R45" i="151"/>
  <c r="J45" i="151"/>
  <c r="I45" i="151"/>
  <c r="U44" i="151"/>
  <c r="V44" i="151" s="1"/>
  <c r="S44" i="151"/>
  <c r="J44" i="151"/>
  <c r="S43" i="151"/>
  <c r="R43" i="151"/>
  <c r="J43" i="151"/>
  <c r="I43" i="151"/>
  <c r="U42" i="151"/>
  <c r="V42" i="151" s="1"/>
  <c r="S42" i="151"/>
  <c r="R42" i="151"/>
  <c r="J42" i="151"/>
  <c r="I42" i="151"/>
  <c r="W42" i="151" s="1"/>
  <c r="U41" i="151"/>
  <c r="V41" i="151" s="1"/>
  <c r="S41" i="151"/>
  <c r="R41" i="151"/>
  <c r="J41" i="151"/>
  <c r="U40" i="151"/>
  <c r="V40" i="151" s="1"/>
  <c r="S40" i="151"/>
  <c r="R40" i="151"/>
  <c r="J40" i="151"/>
  <c r="I40" i="151"/>
  <c r="W40" i="151" s="1"/>
  <c r="W39" i="151"/>
  <c r="U39" i="151"/>
  <c r="V39" i="151" s="1"/>
  <c r="S39" i="151"/>
  <c r="R39" i="151"/>
  <c r="J39" i="151"/>
  <c r="I39" i="151"/>
  <c r="V38" i="151"/>
  <c r="S38" i="151"/>
  <c r="J38" i="151"/>
  <c r="I38" i="151"/>
  <c r="U37" i="151"/>
  <c r="V37" i="151" s="1"/>
  <c r="S37" i="151"/>
  <c r="R37" i="151"/>
  <c r="J37" i="151"/>
  <c r="I37" i="151"/>
  <c r="W37" i="151" s="1"/>
  <c r="W36" i="151"/>
  <c r="U36" i="151"/>
  <c r="V36" i="151" s="1"/>
  <c r="S36" i="151"/>
  <c r="R36" i="151"/>
  <c r="J36" i="151"/>
  <c r="I36" i="151"/>
  <c r="U35" i="151"/>
  <c r="V35" i="151" s="1"/>
  <c r="S35" i="151"/>
  <c r="R35" i="151"/>
  <c r="J35" i="151"/>
  <c r="I35" i="151"/>
  <c r="U34" i="151"/>
  <c r="V34" i="151" s="1"/>
  <c r="S34" i="151"/>
  <c r="R34" i="151"/>
  <c r="J34" i="151"/>
  <c r="I34" i="151"/>
  <c r="W34" i="151" s="1"/>
  <c r="U33" i="151"/>
  <c r="V33" i="151" s="1"/>
  <c r="S33" i="151"/>
  <c r="R33" i="151"/>
  <c r="J33" i="151"/>
  <c r="I33" i="151"/>
  <c r="W33" i="151" s="1"/>
  <c r="U32" i="151"/>
  <c r="V32" i="151" s="1"/>
  <c r="S32" i="151"/>
  <c r="R32" i="151"/>
  <c r="J32" i="151"/>
  <c r="I32" i="151"/>
  <c r="W32" i="151" s="1"/>
  <c r="U31" i="151"/>
  <c r="V31" i="151" s="1"/>
  <c r="S31" i="151"/>
  <c r="R31" i="151"/>
  <c r="J31" i="151"/>
  <c r="I31" i="151"/>
  <c r="W31" i="151" s="1"/>
  <c r="U30" i="151"/>
  <c r="V30" i="151" s="1"/>
  <c r="S30" i="151"/>
  <c r="R30" i="151"/>
  <c r="J30" i="151"/>
  <c r="I30" i="151"/>
  <c r="U29" i="151"/>
  <c r="V29" i="151" s="1"/>
  <c r="S29" i="151"/>
  <c r="R29" i="151"/>
  <c r="J29" i="151"/>
  <c r="I29" i="151"/>
  <c r="W29" i="151" s="1"/>
  <c r="U28" i="151"/>
  <c r="V28" i="151" s="1"/>
  <c r="S28" i="151"/>
  <c r="R28" i="151"/>
  <c r="J28" i="151"/>
  <c r="I28" i="151"/>
  <c r="W28" i="151" s="1"/>
  <c r="U27" i="151"/>
  <c r="V27" i="151" s="1"/>
  <c r="S27" i="151"/>
  <c r="R27" i="151"/>
  <c r="J27" i="151"/>
  <c r="I27" i="151"/>
  <c r="W27" i="151" s="1"/>
  <c r="BE26" i="151"/>
  <c r="U26" i="151"/>
  <c r="V26" i="151" s="1"/>
  <c r="S26" i="151"/>
  <c r="R26" i="151"/>
  <c r="J26" i="151"/>
  <c r="I26" i="151"/>
  <c r="U25" i="151"/>
  <c r="V25" i="151" s="1"/>
  <c r="S25" i="151"/>
  <c r="R25" i="151"/>
  <c r="J25" i="151"/>
  <c r="I25" i="151"/>
  <c r="U24" i="151"/>
  <c r="V24" i="151" s="1"/>
  <c r="S24" i="151"/>
  <c r="R24" i="151"/>
  <c r="J24" i="151"/>
  <c r="I24" i="151"/>
  <c r="W24" i="151" s="1"/>
  <c r="U23" i="151"/>
  <c r="V23" i="151" s="1"/>
  <c r="S23" i="151"/>
  <c r="R23" i="151"/>
  <c r="J23" i="151"/>
  <c r="I23" i="151"/>
  <c r="W23" i="151" s="1"/>
  <c r="U22" i="151"/>
  <c r="V22" i="151" s="1"/>
  <c r="S22" i="151"/>
  <c r="R22" i="151"/>
  <c r="J22" i="151"/>
  <c r="I22" i="151"/>
  <c r="W22" i="151" s="1"/>
  <c r="U21" i="151"/>
  <c r="V21" i="151" s="1"/>
  <c r="S21" i="151"/>
  <c r="R21" i="151"/>
  <c r="J21" i="151"/>
  <c r="I21" i="151"/>
  <c r="W21" i="151" s="1"/>
  <c r="U20" i="151"/>
  <c r="V20" i="151" s="1"/>
  <c r="S20" i="151"/>
  <c r="R20" i="151"/>
  <c r="J20" i="151"/>
  <c r="I20" i="151"/>
  <c r="U19" i="151"/>
  <c r="V19" i="151" s="1"/>
  <c r="S19" i="151"/>
  <c r="R19" i="151"/>
  <c r="J19" i="151"/>
  <c r="I19" i="151"/>
  <c r="U18" i="151"/>
  <c r="V18" i="151" s="1"/>
  <c r="S18" i="151"/>
  <c r="R18" i="151"/>
  <c r="J18" i="151"/>
  <c r="I18" i="151"/>
  <c r="U17" i="151"/>
  <c r="V17" i="151" s="1"/>
  <c r="S17" i="151"/>
  <c r="R17" i="151"/>
  <c r="J17" i="151"/>
  <c r="I17" i="151"/>
  <c r="W17" i="151" s="1"/>
  <c r="U16" i="151"/>
  <c r="V16" i="151" s="1"/>
  <c r="S16" i="151"/>
  <c r="R16" i="151"/>
  <c r="J16" i="151"/>
  <c r="I16" i="151"/>
  <c r="W16" i="151" s="1"/>
  <c r="U15" i="151"/>
  <c r="V15" i="151" s="1"/>
  <c r="S15" i="151"/>
  <c r="R15" i="151"/>
  <c r="J15" i="151"/>
  <c r="I15" i="151"/>
  <c r="W15" i="151" s="1"/>
  <c r="U14" i="151"/>
  <c r="V14" i="151" s="1"/>
  <c r="S14" i="151"/>
  <c r="R14" i="151"/>
  <c r="J14" i="151"/>
  <c r="I14" i="151"/>
  <c r="W14" i="151" s="1"/>
  <c r="U13" i="151"/>
  <c r="V13" i="151" s="1"/>
  <c r="S13" i="151"/>
  <c r="R13" i="151"/>
  <c r="U12" i="151"/>
  <c r="V12" i="151" s="1"/>
  <c r="S12" i="151"/>
  <c r="R12" i="151"/>
  <c r="J12" i="151"/>
  <c r="I12" i="151"/>
  <c r="U11" i="151"/>
  <c r="V11" i="151" s="1"/>
  <c r="S11" i="151"/>
  <c r="J11" i="151"/>
  <c r="I11" i="151"/>
  <c r="W11" i="151" s="1"/>
  <c r="U10" i="151"/>
  <c r="V10" i="151" s="1"/>
  <c r="S10" i="151"/>
  <c r="J10" i="151"/>
  <c r="I10" i="151"/>
  <c r="W10" i="151" s="1"/>
  <c r="U9" i="151"/>
  <c r="V9" i="151" s="1"/>
  <c r="S9" i="151"/>
  <c r="R9" i="151"/>
  <c r="J9" i="151"/>
  <c r="I9" i="151"/>
  <c r="A9" i="151"/>
  <c r="A10" i="151" s="1"/>
  <c r="A11" i="151" s="1"/>
  <c r="A12" i="151" s="1"/>
  <c r="A13" i="151" s="1"/>
  <c r="A14" i="151" s="1"/>
  <c r="A15" i="151" s="1"/>
  <c r="A16" i="151" s="1"/>
  <c r="A17" i="151" s="1"/>
  <c r="A18" i="151" s="1"/>
  <c r="A19" i="151" s="1"/>
  <c r="A20" i="151" s="1"/>
  <c r="A21" i="151" s="1"/>
  <c r="A22" i="151" s="1"/>
  <c r="A23" i="151" s="1"/>
  <c r="A24" i="151" s="1"/>
  <c r="A25" i="151" s="1"/>
  <c r="A26" i="151" s="1"/>
  <c r="A27" i="151" s="1"/>
  <c r="A28" i="151" s="1"/>
  <c r="A29" i="151" s="1"/>
  <c r="A30" i="151" s="1"/>
  <c r="A31" i="151" s="1"/>
  <c r="A32" i="151" s="1"/>
  <c r="A33" i="151" s="1"/>
  <c r="A34" i="151" s="1"/>
  <c r="A35" i="151" s="1"/>
  <c r="A36" i="151" s="1"/>
  <c r="A37" i="151" s="1"/>
  <c r="A38" i="151" s="1"/>
  <c r="A39" i="151" s="1"/>
  <c r="A40" i="151" s="1"/>
  <c r="A41" i="151" s="1"/>
  <c r="A42" i="151" s="1"/>
  <c r="A43" i="151" s="1"/>
  <c r="A44" i="151" s="1"/>
  <c r="A45" i="151" s="1"/>
  <c r="A46" i="151" s="1"/>
  <c r="A47" i="151" s="1"/>
  <c r="A48" i="151" s="1"/>
  <c r="A49" i="151" s="1"/>
  <c r="A50" i="151" s="1"/>
  <c r="A51" i="151" s="1"/>
  <c r="A52" i="151" s="1"/>
  <c r="A53" i="151" s="1"/>
  <c r="A54" i="151" s="1"/>
  <c r="A55" i="151" s="1"/>
  <c r="A56" i="151" s="1"/>
  <c r="A57" i="151" s="1"/>
  <c r="A58" i="151" s="1"/>
  <c r="A59" i="151" s="1"/>
  <c r="U8" i="151"/>
  <c r="S8" i="151"/>
  <c r="R8" i="151"/>
  <c r="J8" i="151"/>
  <c r="I8" i="151"/>
  <c r="W60" i="152" l="1"/>
  <c r="W54" i="151"/>
  <c r="W48" i="151"/>
  <c r="W41" i="151"/>
  <c r="W38" i="151"/>
  <c r="W35" i="151"/>
  <c r="W30" i="151"/>
  <c r="W26" i="151"/>
  <c r="W20" i="151"/>
  <c r="R60" i="151"/>
  <c r="W12" i="151"/>
  <c r="W9" i="151"/>
  <c r="W8" i="151"/>
  <c r="S60" i="151"/>
  <c r="U60" i="151"/>
  <c r="W50" i="151"/>
  <c r="W18" i="151"/>
  <c r="W25" i="151"/>
  <c r="W44" i="151"/>
  <c r="J60" i="151"/>
  <c r="W19" i="151"/>
  <c r="W51" i="151"/>
  <c r="W13" i="151"/>
  <c r="I60" i="151"/>
  <c r="V8" i="151"/>
  <c r="V60" i="151" s="1"/>
  <c r="Q60" i="150"/>
  <c r="P60" i="150"/>
  <c r="O60" i="150"/>
  <c r="N60" i="150"/>
  <c r="M60" i="150"/>
  <c r="L60" i="150"/>
  <c r="H60" i="150"/>
  <c r="G60" i="150"/>
  <c r="E60" i="150"/>
  <c r="D60" i="150"/>
  <c r="C60" i="150"/>
  <c r="S59" i="150"/>
  <c r="R59" i="150"/>
  <c r="J59" i="150"/>
  <c r="I59" i="150"/>
  <c r="S58" i="150"/>
  <c r="R58" i="150"/>
  <c r="J58" i="150"/>
  <c r="I58" i="150"/>
  <c r="S57" i="150"/>
  <c r="R57" i="150"/>
  <c r="J57" i="150"/>
  <c r="I57" i="150"/>
  <c r="S56" i="150"/>
  <c r="R56" i="150"/>
  <c r="J56" i="150"/>
  <c r="I56" i="150"/>
  <c r="S55" i="150"/>
  <c r="R55" i="150"/>
  <c r="J55" i="150"/>
  <c r="I55" i="150"/>
  <c r="W54" i="150"/>
  <c r="U54" i="150"/>
  <c r="V54" i="150" s="1"/>
  <c r="S54" i="150"/>
  <c r="R54" i="150"/>
  <c r="J54" i="150"/>
  <c r="I54" i="150"/>
  <c r="W53" i="150"/>
  <c r="U53" i="150"/>
  <c r="V53" i="150" s="1"/>
  <c r="S53" i="150"/>
  <c r="R53" i="150"/>
  <c r="J53" i="150"/>
  <c r="I53" i="150"/>
  <c r="U52" i="150"/>
  <c r="V52" i="150" s="1"/>
  <c r="S52" i="150"/>
  <c r="R52" i="150"/>
  <c r="J52" i="150"/>
  <c r="I52" i="150"/>
  <c r="W52" i="150" s="1"/>
  <c r="W51" i="150"/>
  <c r="U51" i="150"/>
  <c r="V51" i="150" s="1"/>
  <c r="S51" i="150"/>
  <c r="R51" i="150"/>
  <c r="J51" i="150"/>
  <c r="I51" i="150"/>
  <c r="U50" i="150"/>
  <c r="V50" i="150" s="1"/>
  <c r="S50" i="150"/>
  <c r="R50" i="150"/>
  <c r="J50" i="150"/>
  <c r="I50" i="150"/>
  <c r="W50" i="150" s="1"/>
  <c r="U49" i="150"/>
  <c r="V49" i="150" s="1"/>
  <c r="S49" i="150"/>
  <c r="R49" i="150"/>
  <c r="J49" i="150"/>
  <c r="I49" i="150"/>
  <c r="W49" i="150" s="1"/>
  <c r="U48" i="150"/>
  <c r="V48" i="150" s="1"/>
  <c r="S48" i="150"/>
  <c r="R48" i="150"/>
  <c r="J48" i="150"/>
  <c r="I48" i="150"/>
  <c r="U47" i="150"/>
  <c r="V47" i="150" s="1"/>
  <c r="S47" i="150"/>
  <c r="R47" i="150"/>
  <c r="J47" i="150"/>
  <c r="I47" i="150"/>
  <c r="W47" i="150" s="1"/>
  <c r="W46" i="150"/>
  <c r="U46" i="150"/>
  <c r="V46" i="150" s="1"/>
  <c r="S46" i="150"/>
  <c r="R46" i="150"/>
  <c r="J46" i="150"/>
  <c r="I46" i="150"/>
  <c r="S45" i="150"/>
  <c r="R45" i="150"/>
  <c r="J45" i="150"/>
  <c r="I45" i="150"/>
  <c r="U44" i="150"/>
  <c r="V44" i="150" s="1"/>
  <c r="S44" i="150"/>
  <c r="R44" i="150"/>
  <c r="J44" i="150"/>
  <c r="I44" i="150"/>
  <c r="W44" i="150" s="1"/>
  <c r="S43" i="150"/>
  <c r="R43" i="150"/>
  <c r="J43" i="150"/>
  <c r="I43" i="150"/>
  <c r="U42" i="150"/>
  <c r="V42" i="150" s="1"/>
  <c r="S42" i="150"/>
  <c r="R42" i="150"/>
  <c r="J42" i="150"/>
  <c r="I42" i="150"/>
  <c r="W42" i="150" s="1"/>
  <c r="U41" i="150"/>
  <c r="V41" i="150" s="1"/>
  <c r="S41" i="150"/>
  <c r="R41" i="150"/>
  <c r="J41" i="150"/>
  <c r="I41" i="150"/>
  <c r="W40" i="150"/>
  <c r="U40" i="150"/>
  <c r="V40" i="150" s="1"/>
  <c r="S40" i="150"/>
  <c r="R40" i="150"/>
  <c r="J40" i="150"/>
  <c r="I40" i="150"/>
  <c r="W39" i="150"/>
  <c r="U39" i="150"/>
  <c r="V39" i="150" s="1"/>
  <c r="S39" i="150"/>
  <c r="R39" i="150"/>
  <c r="J39" i="150"/>
  <c r="I39" i="150"/>
  <c r="U38" i="150"/>
  <c r="V38" i="150" s="1"/>
  <c r="S38" i="150"/>
  <c r="R38" i="150"/>
  <c r="J38" i="150"/>
  <c r="I38" i="150"/>
  <c r="U37" i="150"/>
  <c r="V37" i="150" s="1"/>
  <c r="S37" i="150"/>
  <c r="R37" i="150"/>
  <c r="J37" i="150"/>
  <c r="I37" i="150"/>
  <c r="W37" i="150" s="1"/>
  <c r="U36" i="150"/>
  <c r="V36" i="150" s="1"/>
  <c r="S36" i="150"/>
  <c r="R36" i="150"/>
  <c r="J36" i="150"/>
  <c r="I36" i="150"/>
  <c r="W36" i="150" s="1"/>
  <c r="U35" i="150"/>
  <c r="V35" i="150" s="1"/>
  <c r="S35" i="150"/>
  <c r="R35" i="150"/>
  <c r="J35" i="150"/>
  <c r="I35" i="150"/>
  <c r="W35" i="150" s="1"/>
  <c r="W34" i="150"/>
  <c r="U34" i="150"/>
  <c r="V34" i="150" s="1"/>
  <c r="S34" i="150"/>
  <c r="R34" i="150"/>
  <c r="J34" i="150"/>
  <c r="I34" i="150"/>
  <c r="U33" i="150"/>
  <c r="V33" i="150" s="1"/>
  <c r="S33" i="150"/>
  <c r="R33" i="150"/>
  <c r="J33" i="150"/>
  <c r="I33" i="150"/>
  <c r="W33" i="150" s="1"/>
  <c r="U32" i="150"/>
  <c r="V32" i="150" s="1"/>
  <c r="S32" i="150"/>
  <c r="R32" i="150"/>
  <c r="J32" i="150"/>
  <c r="I32" i="150"/>
  <c r="W32" i="150" s="1"/>
  <c r="U31" i="150"/>
  <c r="V31" i="150" s="1"/>
  <c r="S31" i="150"/>
  <c r="R31" i="150"/>
  <c r="J31" i="150"/>
  <c r="I31" i="150"/>
  <c r="W31" i="150" s="1"/>
  <c r="W30" i="150"/>
  <c r="U30" i="150"/>
  <c r="V30" i="150" s="1"/>
  <c r="S30" i="150"/>
  <c r="R30" i="150"/>
  <c r="J30" i="150"/>
  <c r="I30" i="150"/>
  <c r="U29" i="150"/>
  <c r="V29" i="150" s="1"/>
  <c r="S29" i="150"/>
  <c r="R29" i="150"/>
  <c r="J29" i="150"/>
  <c r="I29" i="150"/>
  <c r="W29" i="150" s="1"/>
  <c r="U28" i="150"/>
  <c r="V28" i="150" s="1"/>
  <c r="S28" i="150"/>
  <c r="R28" i="150"/>
  <c r="J28" i="150"/>
  <c r="I28" i="150"/>
  <c r="U27" i="150"/>
  <c r="S27" i="150"/>
  <c r="R27" i="150"/>
  <c r="J27" i="150"/>
  <c r="W27" i="150" s="1"/>
  <c r="I27" i="150"/>
  <c r="BE26" i="150"/>
  <c r="U26" i="150"/>
  <c r="V26" i="150" s="1"/>
  <c r="S26" i="150"/>
  <c r="R26" i="150"/>
  <c r="J26" i="150"/>
  <c r="I26" i="150"/>
  <c r="U25" i="150"/>
  <c r="V25" i="150" s="1"/>
  <c r="S25" i="150"/>
  <c r="R25" i="150"/>
  <c r="J25" i="150"/>
  <c r="I25" i="150"/>
  <c r="U24" i="150"/>
  <c r="V24" i="150" s="1"/>
  <c r="S24" i="150"/>
  <c r="R24" i="150"/>
  <c r="J24" i="150"/>
  <c r="I24" i="150"/>
  <c r="W24" i="150" s="1"/>
  <c r="U23" i="150"/>
  <c r="V23" i="150" s="1"/>
  <c r="S23" i="150"/>
  <c r="R23" i="150"/>
  <c r="J23" i="150"/>
  <c r="I23" i="150"/>
  <c r="U22" i="150"/>
  <c r="V22" i="150" s="1"/>
  <c r="S22" i="150"/>
  <c r="R22" i="150"/>
  <c r="J22" i="150"/>
  <c r="I22" i="150"/>
  <c r="W22" i="150" s="1"/>
  <c r="U21" i="150"/>
  <c r="V21" i="150" s="1"/>
  <c r="S21" i="150"/>
  <c r="R21" i="150"/>
  <c r="J21" i="150"/>
  <c r="I21" i="150"/>
  <c r="W21" i="150" s="1"/>
  <c r="U20" i="150"/>
  <c r="V20" i="150" s="1"/>
  <c r="S20" i="150"/>
  <c r="R20" i="150"/>
  <c r="J20" i="150"/>
  <c r="I20" i="150"/>
  <c r="U19" i="150"/>
  <c r="V19" i="150" s="1"/>
  <c r="S19" i="150"/>
  <c r="R19" i="150"/>
  <c r="J19" i="150"/>
  <c r="I19" i="150"/>
  <c r="W19" i="150" s="1"/>
  <c r="W18" i="150"/>
  <c r="V18" i="150"/>
  <c r="U18" i="150"/>
  <c r="S18" i="150"/>
  <c r="R18" i="150"/>
  <c r="J18" i="150"/>
  <c r="I18" i="150"/>
  <c r="U17" i="150"/>
  <c r="V17" i="150" s="1"/>
  <c r="S17" i="150"/>
  <c r="R17" i="150"/>
  <c r="J17" i="150"/>
  <c r="I17" i="150"/>
  <c r="W17" i="150" s="1"/>
  <c r="U16" i="150"/>
  <c r="V16" i="150" s="1"/>
  <c r="S16" i="150"/>
  <c r="R16" i="150"/>
  <c r="J16" i="150"/>
  <c r="I16" i="150"/>
  <c r="W16" i="150" s="1"/>
  <c r="U15" i="150"/>
  <c r="V15" i="150" s="1"/>
  <c r="S15" i="150"/>
  <c r="R15" i="150"/>
  <c r="J15" i="150"/>
  <c r="I15" i="150"/>
  <c r="V14" i="150"/>
  <c r="U14" i="150"/>
  <c r="S14" i="150"/>
  <c r="R14" i="150"/>
  <c r="J14" i="150"/>
  <c r="I14" i="150"/>
  <c r="U13" i="150"/>
  <c r="V13" i="150" s="1"/>
  <c r="S13" i="150"/>
  <c r="R13" i="150"/>
  <c r="J13" i="150"/>
  <c r="I13" i="150"/>
  <c r="V12" i="150"/>
  <c r="U12" i="150"/>
  <c r="S12" i="150"/>
  <c r="R12" i="150"/>
  <c r="J12" i="150"/>
  <c r="W12" i="150" s="1"/>
  <c r="I12" i="150"/>
  <c r="U11" i="150"/>
  <c r="V11" i="150" s="1"/>
  <c r="S11" i="150"/>
  <c r="R11" i="150"/>
  <c r="J11" i="150"/>
  <c r="I11" i="150"/>
  <c r="W11" i="150" s="1"/>
  <c r="U10" i="150"/>
  <c r="V10" i="150" s="1"/>
  <c r="S10" i="150"/>
  <c r="R10" i="150"/>
  <c r="J10" i="150"/>
  <c r="I10" i="150"/>
  <c r="W10" i="150" s="1"/>
  <c r="U9" i="150"/>
  <c r="V9" i="150" s="1"/>
  <c r="S9" i="150"/>
  <c r="R9" i="150"/>
  <c r="J9" i="150"/>
  <c r="I9" i="150"/>
  <c r="A9" i="150"/>
  <c r="A10" i="150" s="1"/>
  <c r="A11" i="150" s="1"/>
  <c r="A12" i="150" s="1"/>
  <c r="A13" i="150" s="1"/>
  <c r="A14" i="150" s="1"/>
  <c r="A15" i="150" s="1"/>
  <c r="A16" i="150" s="1"/>
  <c r="A17" i="150" s="1"/>
  <c r="A18" i="150" s="1"/>
  <c r="A19" i="150" s="1"/>
  <c r="A20" i="150" s="1"/>
  <c r="A21" i="150" s="1"/>
  <c r="A22" i="150" s="1"/>
  <c r="A23" i="150" s="1"/>
  <c r="A24" i="150" s="1"/>
  <c r="A25" i="150" s="1"/>
  <c r="A26" i="150" s="1"/>
  <c r="A27" i="150" s="1"/>
  <c r="A28" i="150" s="1"/>
  <c r="A29" i="150" s="1"/>
  <c r="A30" i="150" s="1"/>
  <c r="A31" i="150" s="1"/>
  <c r="A32" i="150" s="1"/>
  <c r="A33" i="150" s="1"/>
  <c r="A34" i="150" s="1"/>
  <c r="A35" i="150" s="1"/>
  <c r="A36" i="150" s="1"/>
  <c r="A37" i="150" s="1"/>
  <c r="A38" i="150" s="1"/>
  <c r="A39" i="150" s="1"/>
  <c r="A40" i="150" s="1"/>
  <c r="A41" i="150" s="1"/>
  <c r="A42" i="150" s="1"/>
  <c r="A43" i="150" s="1"/>
  <c r="A44" i="150" s="1"/>
  <c r="A45" i="150" s="1"/>
  <c r="A46" i="150" s="1"/>
  <c r="A47" i="150" s="1"/>
  <c r="A48" i="150" s="1"/>
  <c r="A49" i="150" s="1"/>
  <c r="A50" i="150" s="1"/>
  <c r="A51" i="150" s="1"/>
  <c r="A52" i="150" s="1"/>
  <c r="A53" i="150" s="1"/>
  <c r="A54" i="150" s="1"/>
  <c r="A55" i="150" s="1"/>
  <c r="A56" i="150" s="1"/>
  <c r="A57" i="150" s="1"/>
  <c r="A58" i="150" s="1"/>
  <c r="A59" i="150" s="1"/>
  <c r="U8" i="150"/>
  <c r="V8" i="150" s="1"/>
  <c r="S8" i="150"/>
  <c r="R8" i="150"/>
  <c r="J8" i="150"/>
  <c r="I8" i="150"/>
  <c r="I8" i="148"/>
  <c r="W60" i="151" l="1"/>
  <c r="W38" i="150"/>
  <c r="W48" i="150"/>
  <c r="W41" i="150"/>
  <c r="W28" i="150"/>
  <c r="W26" i="150"/>
  <c r="W20" i="150"/>
  <c r="W14" i="150"/>
  <c r="W13" i="150"/>
  <c r="W8" i="150"/>
  <c r="U60" i="150"/>
  <c r="R60" i="150"/>
  <c r="S60" i="150"/>
  <c r="W9" i="150"/>
  <c r="W15" i="150"/>
  <c r="W25" i="150"/>
  <c r="I60" i="150"/>
  <c r="J60" i="150"/>
  <c r="W23" i="150"/>
  <c r="V27" i="150"/>
  <c r="V60" i="150" s="1"/>
  <c r="Q60" i="148"/>
  <c r="P60" i="148"/>
  <c r="O60" i="148"/>
  <c r="N60" i="148"/>
  <c r="M60" i="148"/>
  <c r="L60" i="148"/>
  <c r="H60" i="148"/>
  <c r="G60" i="148"/>
  <c r="E60" i="148"/>
  <c r="D60" i="148"/>
  <c r="C60" i="148"/>
  <c r="S59" i="148"/>
  <c r="R59" i="148"/>
  <c r="J59" i="148"/>
  <c r="I59" i="148"/>
  <c r="S58" i="148"/>
  <c r="R58" i="148"/>
  <c r="J58" i="148"/>
  <c r="I58" i="148"/>
  <c r="S57" i="148"/>
  <c r="R57" i="148"/>
  <c r="J57" i="148"/>
  <c r="I57" i="148"/>
  <c r="S56" i="148"/>
  <c r="R56" i="148"/>
  <c r="J56" i="148"/>
  <c r="I56" i="148"/>
  <c r="S55" i="148"/>
  <c r="R55" i="148"/>
  <c r="J55" i="148"/>
  <c r="I55" i="148"/>
  <c r="U54" i="148"/>
  <c r="V54" i="148" s="1"/>
  <c r="S54" i="148"/>
  <c r="R54" i="148"/>
  <c r="J54" i="148"/>
  <c r="I54" i="148"/>
  <c r="W54" i="148" s="1"/>
  <c r="U53" i="148"/>
  <c r="V53" i="148" s="1"/>
  <c r="S53" i="148"/>
  <c r="R53" i="148"/>
  <c r="J53" i="148"/>
  <c r="I53" i="148"/>
  <c r="W53" i="148" s="1"/>
  <c r="U52" i="148"/>
  <c r="V52" i="148" s="1"/>
  <c r="S52" i="148"/>
  <c r="R52" i="148"/>
  <c r="J52" i="148"/>
  <c r="I52" i="148"/>
  <c r="W52" i="148" s="1"/>
  <c r="U51" i="148"/>
  <c r="V51" i="148" s="1"/>
  <c r="S51" i="148"/>
  <c r="R51" i="148"/>
  <c r="J51" i="148"/>
  <c r="I51" i="148"/>
  <c r="W51" i="148" s="1"/>
  <c r="U50" i="148"/>
  <c r="V50" i="148" s="1"/>
  <c r="S50" i="148"/>
  <c r="R50" i="148"/>
  <c r="J50" i="148"/>
  <c r="I50" i="148"/>
  <c r="W50" i="148" s="1"/>
  <c r="U49" i="148"/>
  <c r="V49" i="148" s="1"/>
  <c r="S49" i="148"/>
  <c r="R49" i="148"/>
  <c r="J49" i="148"/>
  <c r="I49" i="148"/>
  <c r="U48" i="148"/>
  <c r="V48" i="148" s="1"/>
  <c r="S48" i="148"/>
  <c r="R48" i="148"/>
  <c r="J48" i="148"/>
  <c r="I48" i="148"/>
  <c r="W48" i="148" s="1"/>
  <c r="U47" i="148"/>
  <c r="V47" i="148" s="1"/>
  <c r="S47" i="148"/>
  <c r="R47" i="148"/>
  <c r="J47" i="148"/>
  <c r="I47" i="148"/>
  <c r="W47" i="148" s="1"/>
  <c r="U46" i="148"/>
  <c r="V46" i="148" s="1"/>
  <c r="S46" i="148"/>
  <c r="R46" i="148"/>
  <c r="J46" i="148"/>
  <c r="I46" i="148"/>
  <c r="S45" i="148"/>
  <c r="R45" i="148"/>
  <c r="J45" i="148"/>
  <c r="I45" i="148"/>
  <c r="U44" i="148"/>
  <c r="S44" i="148"/>
  <c r="R44" i="148"/>
  <c r="J44" i="148"/>
  <c r="I44" i="148"/>
  <c r="W44" i="148" s="1"/>
  <c r="S43" i="148"/>
  <c r="R43" i="148"/>
  <c r="J43" i="148"/>
  <c r="I43" i="148"/>
  <c r="W42" i="148"/>
  <c r="U42" i="148"/>
  <c r="V42" i="148" s="1"/>
  <c r="S42" i="148"/>
  <c r="R42" i="148"/>
  <c r="J42" i="148"/>
  <c r="I42" i="148"/>
  <c r="U41" i="148"/>
  <c r="V41" i="148" s="1"/>
  <c r="S41" i="148"/>
  <c r="R41" i="148"/>
  <c r="J41" i="148"/>
  <c r="I41" i="148"/>
  <c r="W41" i="148" s="1"/>
  <c r="V40" i="148"/>
  <c r="U40" i="148"/>
  <c r="S40" i="148"/>
  <c r="R40" i="148"/>
  <c r="J40" i="148"/>
  <c r="W40" i="148" s="1"/>
  <c r="I40" i="148"/>
  <c r="U39" i="148"/>
  <c r="V39" i="148" s="1"/>
  <c r="S39" i="148"/>
  <c r="R39" i="148"/>
  <c r="J39" i="148"/>
  <c r="I39" i="148"/>
  <c r="W39" i="148" s="1"/>
  <c r="U38" i="148"/>
  <c r="V38" i="148" s="1"/>
  <c r="S38" i="148"/>
  <c r="R38" i="148"/>
  <c r="J38" i="148"/>
  <c r="I38" i="148"/>
  <c r="W38" i="148" s="1"/>
  <c r="U37" i="148"/>
  <c r="V37" i="148" s="1"/>
  <c r="S37" i="148"/>
  <c r="R37" i="148"/>
  <c r="J37" i="148"/>
  <c r="I37" i="148"/>
  <c r="W37" i="148" s="1"/>
  <c r="W36" i="148"/>
  <c r="U36" i="148"/>
  <c r="V36" i="148" s="1"/>
  <c r="S36" i="148"/>
  <c r="R36" i="148"/>
  <c r="J36" i="148"/>
  <c r="I36" i="148"/>
  <c r="U35" i="148"/>
  <c r="V35" i="148" s="1"/>
  <c r="S35" i="148"/>
  <c r="R35" i="148"/>
  <c r="J35" i="148"/>
  <c r="I35" i="148"/>
  <c r="W34" i="148"/>
  <c r="U34" i="148"/>
  <c r="V34" i="148" s="1"/>
  <c r="S34" i="148"/>
  <c r="R34" i="148"/>
  <c r="J34" i="148"/>
  <c r="I34" i="148"/>
  <c r="U33" i="148"/>
  <c r="V33" i="148" s="1"/>
  <c r="S33" i="148"/>
  <c r="R33" i="148"/>
  <c r="J33" i="148"/>
  <c r="I33" i="148"/>
  <c r="W33" i="148" s="1"/>
  <c r="U32" i="148"/>
  <c r="V32" i="148" s="1"/>
  <c r="S32" i="148"/>
  <c r="R32" i="148"/>
  <c r="J32" i="148"/>
  <c r="W32" i="148" s="1"/>
  <c r="I32" i="148"/>
  <c r="U31" i="148"/>
  <c r="V31" i="148" s="1"/>
  <c r="S31" i="148"/>
  <c r="R31" i="148"/>
  <c r="J31" i="148"/>
  <c r="I31" i="148"/>
  <c r="W31" i="148" s="1"/>
  <c r="U30" i="148"/>
  <c r="V30" i="148" s="1"/>
  <c r="S30" i="148"/>
  <c r="R30" i="148"/>
  <c r="J30" i="148"/>
  <c r="I30" i="148"/>
  <c r="W30" i="148" s="1"/>
  <c r="U29" i="148"/>
  <c r="V29" i="148" s="1"/>
  <c r="S29" i="148"/>
  <c r="R29" i="148"/>
  <c r="J29" i="148"/>
  <c r="I29" i="148"/>
  <c r="W29" i="148" s="1"/>
  <c r="U28" i="148"/>
  <c r="V28" i="148" s="1"/>
  <c r="S28" i="148"/>
  <c r="R28" i="148"/>
  <c r="J28" i="148"/>
  <c r="I28" i="148"/>
  <c r="W28" i="148" s="1"/>
  <c r="U27" i="148"/>
  <c r="V27" i="148" s="1"/>
  <c r="S27" i="148"/>
  <c r="R27" i="148"/>
  <c r="J27" i="148"/>
  <c r="I27" i="148"/>
  <c r="W27" i="148" s="1"/>
  <c r="BE26" i="148"/>
  <c r="U26" i="148"/>
  <c r="V26" i="148" s="1"/>
  <c r="S26" i="148"/>
  <c r="R26" i="148"/>
  <c r="J26" i="148"/>
  <c r="I26" i="148"/>
  <c r="V25" i="148"/>
  <c r="U25" i="148"/>
  <c r="S25" i="148"/>
  <c r="R25" i="148"/>
  <c r="J25" i="148"/>
  <c r="I25" i="148"/>
  <c r="W25" i="148" s="1"/>
  <c r="U24" i="148"/>
  <c r="V24" i="148" s="1"/>
  <c r="S24" i="148"/>
  <c r="R24" i="148"/>
  <c r="J24" i="148"/>
  <c r="I24" i="148"/>
  <c r="W24" i="148" s="1"/>
  <c r="U23" i="148"/>
  <c r="V23" i="148" s="1"/>
  <c r="S23" i="148"/>
  <c r="R23" i="148"/>
  <c r="J23" i="148"/>
  <c r="I23" i="148"/>
  <c r="U22" i="148"/>
  <c r="V22" i="148" s="1"/>
  <c r="S22" i="148"/>
  <c r="R22" i="148"/>
  <c r="J22" i="148"/>
  <c r="I22" i="148"/>
  <c r="W22" i="148" s="1"/>
  <c r="U21" i="148"/>
  <c r="V21" i="148" s="1"/>
  <c r="S21" i="148"/>
  <c r="R21" i="148"/>
  <c r="J21" i="148"/>
  <c r="I21" i="148"/>
  <c r="W21" i="148" s="1"/>
  <c r="U20" i="148"/>
  <c r="V20" i="148" s="1"/>
  <c r="S20" i="148"/>
  <c r="R20" i="148"/>
  <c r="J20" i="148"/>
  <c r="I20" i="148"/>
  <c r="W20" i="148" s="1"/>
  <c r="U19" i="148"/>
  <c r="V19" i="148" s="1"/>
  <c r="S19" i="148"/>
  <c r="R19" i="148"/>
  <c r="J19" i="148"/>
  <c r="I19" i="148"/>
  <c r="W19" i="148" s="1"/>
  <c r="U18" i="148"/>
  <c r="V18" i="148" s="1"/>
  <c r="S18" i="148"/>
  <c r="R18" i="148"/>
  <c r="J18" i="148"/>
  <c r="I18" i="148"/>
  <c r="W18" i="148" s="1"/>
  <c r="V17" i="148"/>
  <c r="U17" i="148"/>
  <c r="S17" i="148"/>
  <c r="R17" i="148"/>
  <c r="J17" i="148"/>
  <c r="I17" i="148"/>
  <c r="W17" i="148" s="1"/>
  <c r="W16" i="148"/>
  <c r="U16" i="148"/>
  <c r="V16" i="148" s="1"/>
  <c r="S16" i="148"/>
  <c r="R16" i="148"/>
  <c r="J16" i="148"/>
  <c r="I16" i="148"/>
  <c r="U15" i="148"/>
  <c r="V15" i="148" s="1"/>
  <c r="S15" i="148"/>
  <c r="R15" i="148"/>
  <c r="J15" i="148"/>
  <c r="I15" i="148"/>
  <c r="V14" i="148"/>
  <c r="U14" i="148"/>
  <c r="S14" i="148"/>
  <c r="R14" i="148"/>
  <c r="J14" i="148"/>
  <c r="I14" i="148"/>
  <c r="U13" i="148"/>
  <c r="V13" i="148" s="1"/>
  <c r="S13" i="148"/>
  <c r="R13" i="148"/>
  <c r="J13" i="148"/>
  <c r="I13" i="148"/>
  <c r="W13" i="148" s="1"/>
  <c r="U12" i="148"/>
  <c r="V12" i="148" s="1"/>
  <c r="S12" i="148"/>
  <c r="R12" i="148"/>
  <c r="J12" i="148"/>
  <c r="I12" i="148"/>
  <c r="U11" i="148"/>
  <c r="V11" i="148" s="1"/>
  <c r="S11" i="148"/>
  <c r="R11" i="148"/>
  <c r="J11" i="148"/>
  <c r="I11" i="148"/>
  <c r="U10" i="148"/>
  <c r="V10" i="148" s="1"/>
  <c r="S10" i="148"/>
  <c r="R10" i="148"/>
  <c r="J10" i="148"/>
  <c r="I10" i="148"/>
  <c r="W10" i="148" s="1"/>
  <c r="U9" i="148"/>
  <c r="V9" i="148" s="1"/>
  <c r="S9" i="148"/>
  <c r="R9" i="148"/>
  <c r="J9" i="148"/>
  <c r="I9" i="148"/>
  <c r="A9" i="148"/>
  <c r="A10" i="148" s="1"/>
  <c r="A11" i="148" s="1"/>
  <c r="A12" i="148" s="1"/>
  <c r="A13" i="148" s="1"/>
  <c r="A14" i="148" s="1"/>
  <c r="A15" i="148" s="1"/>
  <c r="A16" i="148" s="1"/>
  <c r="A17" i="148" s="1"/>
  <c r="A18" i="148" s="1"/>
  <c r="A19" i="148" s="1"/>
  <c r="A20" i="148" s="1"/>
  <c r="A21" i="148" s="1"/>
  <c r="A22" i="148" s="1"/>
  <c r="A23" i="148" s="1"/>
  <c r="A24" i="148" s="1"/>
  <c r="A25" i="148" s="1"/>
  <c r="A26" i="148" s="1"/>
  <c r="A27" i="148" s="1"/>
  <c r="A28" i="148" s="1"/>
  <c r="A29" i="148" s="1"/>
  <c r="A30" i="148" s="1"/>
  <c r="A31" i="148" s="1"/>
  <c r="A32" i="148" s="1"/>
  <c r="A33" i="148" s="1"/>
  <c r="A34" i="148" s="1"/>
  <c r="A35" i="148" s="1"/>
  <c r="A36" i="148" s="1"/>
  <c r="A37" i="148" s="1"/>
  <c r="A38" i="148" s="1"/>
  <c r="A39" i="148" s="1"/>
  <c r="A40" i="148" s="1"/>
  <c r="A41" i="148" s="1"/>
  <c r="A42" i="148" s="1"/>
  <c r="A43" i="148" s="1"/>
  <c r="A44" i="148" s="1"/>
  <c r="A45" i="148" s="1"/>
  <c r="A46" i="148" s="1"/>
  <c r="A47" i="148" s="1"/>
  <c r="A48" i="148" s="1"/>
  <c r="A49" i="148" s="1"/>
  <c r="A50" i="148" s="1"/>
  <c r="A51" i="148" s="1"/>
  <c r="A52" i="148" s="1"/>
  <c r="A53" i="148" s="1"/>
  <c r="A54" i="148" s="1"/>
  <c r="A55" i="148" s="1"/>
  <c r="A56" i="148" s="1"/>
  <c r="A57" i="148" s="1"/>
  <c r="A58" i="148" s="1"/>
  <c r="A59" i="148" s="1"/>
  <c r="U8" i="148"/>
  <c r="V8" i="148" s="1"/>
  <c r="S8" i="148"/>
  <c r="R8" i="148"/>
  <c r="J8" i="148"/>
  <c r="W60" i="150" l="1"/>
  <c r="W49" i="148"/>
  <c r="W35" i="148"/>
  <c r="W26" i="148"/>
  <c r="W23" i="148"/>
  <c r="W14" i="148"/>
  <c r="R60" i="148"/>
  <c r="W12" i="148"/>
  <c r="W8" i="148"/>
  <c r="S60" i="148"/>
  <c r="U60" i="148"/>
  <c r="W15" i="148"/>
  <c r="W11" i="148"/>
  <c r="J60" i="148"/>
  <c r="I60" i="148"/>
  <c r="W9" i="148"/>
  <c r="W46" i="148"/>
  <c r="V44" i="148"/>
  <c r="V60" i="148" s="1"/>
  <c r="Q60" i="147"/>
  <c r="P60" i="147"/>
  <c r="O60" i="147"/>
  <c r="N60" i="147"/>
  <c r="M60" i="147"/>
  <c r="L60" i="147"/>
  <c r="H60" i="147"/>
  <c r="G60" i="147"/>
  <c r="E60" i="147"/>
  <c r="D60" i="147"/>
  <c r="C60" i="147"/>
  <c r="S59" i="147"/>
  <c r="R59" i="147"/>
  <c r="J59" i="147"/>
  <c r="I59" i="147"/>
  <c r="S58" i="147"/>
  <c r="R58" i="147"/>
  <c r="J58" i="147"/>
  <c r="I58" i="147"/>
  <c r="S57" i="147"/>
  <c r="R57" i="147"/>
  <c r="J57" i="147"/>
  <c r="I57" i="147"/>
  <c r="S56" i="147"/>
  <c r="R56" i="147"/>
  <c r="J56" i="147"/>
  <c r="I56" i="147"/>
  <c r="S55" i="147"/>
  <c r="R55" i="147"/>
  <c r="J55" i="147"/>
  <c r="I55" i="147"/>
  <c r="U54" i="147"/>
  <c r="V54" i="147" s="1"/>
  <c r="S54" i="147"/>
  <c r="R54" i="147"/>
  <c r="J54" i="147"/>
  <c r="I54" i="147"/>
  <c r="W54" i="147" s="1"/>
  <c r="W53" i="147"/>
  <c r="U53" i="147"/>
  <c r="V53" i="147" s="1"/>
  <c r="S53" i="147"/>
  <c r="R53" i="147"/>
  <c r="J53" i="147"/>
  <c r="I53" i="147"/>
  <c r="U52" i="147"/>
  <c r="V52" i="147" s="1"/>
  <c r="S52" i="147"/>
  <c r="R52" i="147"/>
  <c r="J52" i="147"/>
  <c r="I52" i="147"/>
  <c r="W52" i="147" s="1"/>
  <c r="W51" i="147"/>
  <c r="U51" i="147"/>
  <c r="V51" i="147" s="1"/>
  <c r="S51" i="147"/>
  <c r="R51" i="147"/>
  <c r="J51" i="147"/>
  <c r="I51" i="147"/>
  <c r="U50" i="147"/>
  <c r="V50" i="147" s="1"/>
  <c r="S50" i="147"/>
  <c r="R50" i="147"/>
  <c r="J50" i="147"/>
  <c r="I50" i="147"/>
  <c r="W50" i="147" s="1"/>
  <c r="U49" i="147"/>
  <c r="V49" i="147" s="1"/>
  <c r="S49" i="147"/>
  <c r="R49" i="147"/>
  <c r="J49" i="147"/>
  <c r="I49" i="147"/>
  <c r="W49" i="147" s="1"/>
  <c r="U48" i="147"/>
  <c r="V48" i="147" s="1"/>
  <c r="S48" i="147"/>
  <c r="R48" i="147"/>
  <c r="J48" i="147"/>
  <c r="I48" i="147"/>
  <c r="W48" i="147" s="1"/>
  <c r="W47" i="147"/>
  <c r="U47" i="147"/>
  <c r="V47" i="147" s="1"/>
  <c r="S47" i="147"/>
  <c r="R47" i="147"/>
  <c r="J47" i="147"/>
  <c r="I47" i="147"/>
  <c r="U46" i="147"/>
  <c r="V46" i="147" s="1"/>
  <c r="S46" i="147"/>
  <c r="R46" i="147"/>
  <c r="J46" i="147"/>
  <c r="I46" i="147"/>
  <c r="W46" i="147" s="1"/>
  <c r="S45" i="147"/>
  <c r="R45" i="147"/>
  <c r="J45" i="147"/>
  <c r="I45" i="147"/>
  <c r="U44" i="147"/>
  <c r="V44" i="147" s="1"/>
  <c r="S44" i="147"/>
  <c r="R44" i="147"/>
  <c r="J44" i="147"/>
  <c r="I44" i="147"/>
  <c r="W44" i="147" s="1"/>
  <c r="S43" i="147"/>
  <c r="R43" i="147"/>
  <c r="J43" i="147"/>
  <c r="I43" i="147"/>
  <c r="U42" i="147"/>
  <c r="V42" i="147" s="1"/>
  <c r="S42" i="147"/>
  <c r="R42" i="147"/>
  <c r="J42" i="147"/>
  <c r="I42" i="147"/>
  <c r="W42" i="147" s="1"/>
  <c r="W41" i="147"/>
  <c r="U41" i="147"/>
  <c r="V41" i="147" s="1"/>
  <c r="S41" i="147"/>
  <c r="R41" i="147"/>
  <c r="J41" i="147"/>
  <c r="I41" i="147"/>
  <c r="W40" i="147"/>
  <c r="V40" i="147"/>
  <c r="U40" i="147"/>
  <c r="S40" i="147"/>
  <c r="R40" i="147"/>
  <c r="J40" i="147"/>
  <c r="I40" i="147"/>
  <c r="W39" i="147"/>
  <c r="U39" i="147"/>
  <c r="V39" i="147" s="1"/>
  <c r="S39" i="147"/>
  <c r="R39" i="147"/>
  <c r="J39" i="147"/>
  <c r="I39" i="147"/>
  <c r="V38" i="147"/>
  <c r="U38" i="147"/>
  <c r="S38" i="147"/>
  <c r="R38" i="147"/>
  <c r="J38" i="147"/>
  <c r="I38" i="147"/>
  <c r="W37" i="147"/>
  <c r="U37" i="147"/>
  <c r="V37" i="147" s="1"/>
  <c r="S37" i="147"/>
  <c r="R37" i="147"/>
  <c r="J37" i="147"/>
  <c r="I37" i="147"/>
  <c r="W36" i="147"/>
  <c r="V36" i="147"/>
  <c r="U36" i="147"/>
  <c r="S36" i="147"/>
  <c r="R36" i="147"/>
  <c r="J36" i="147"/>
  <c r="I36" i="147"/>
  <c r="U35" i="147"/>
  <c r="V35" i="147" s="1"/>
  <c r="S35" i="147"/>
  <c r="R35" i="147"/>
  <c r="J35" i="147"/>
  <c r="I35" i="147"/>
  <c r="W35" i="147" s="1"/>
  <c r="U34" i="147"/>
  <c r="V34" i="147" s="1"/>
  <c r="S34" i="147"/>
  <c r="R34" i="147"/>
  <c r="J34" i="147"/>
  <c r="I34" i="147"/>
  <c r="W34" i="147" s="1"/>
  <c r="W33" i="147"/>
  <c r="U33" i="147"/>
  <c r="V33" i="147" s="1"/>
  <c r="S33" i="147"/>
  <c r="R33" i="147"/>
  <c r="J33" i="147"/>
  <c r="I33" i="147"/>
  <c r="W32" i="147"/>
  <c r="V32" i="147"/>
  <c r="U32" i="147"/>
  <c r="S32" i="147"/>
  <c r="R32" i="147"/>
  <c r="J32" i="147"/>
  <c r="I32" i="147"/>
  <c r="U31" i="147"/>
  <c r="V31" i="147" s="1"/>
  <c r="S31" i="147"/>
  <c r="R31" i="147"/>
  <c r="J31" i="147"/>
  <c r="I31" i="147"/>
  <c r="W31" i="147" s="1"/>
  <c r="U30" i="147"/>
  <c r="V30" i="147" s="1"/>
  <c r="S30" i="147"/>
  <c r="R30" i="147"/>
  <c r="J30" i="147"/>
  <c r="I30" i="147"/>
  <c r="W29" i="147"/>
  <c r="U29" i="147"/>
  <c r="V29" i="147" s="1"/>
  <c r="S29" i="147"/>
  <c r="R29" i="147"/>
  <c r="J29" i="147"/>
  <c r="I29" i="147"/>
  <c r="V28" i="147"/>
  <c r="U28" i="147"/>
  <c r="S28" i="147"/>
  <c r="R28" i="147"/>
  <c r="J28" i="147"/>
  <c r="I28" i="147"/>
  <c r="W28" i="147" s="1"/>
  <c r="W27" i="147"/>
  <c r="U27" i="147"/>
  <c r="V27" i="147" s="1"/>
  <c r="S27" i="147"/>
  <c r="R27" i="147"/>
  <c r="J27" i="147"/>
  <c r="I27" i="147"/>
  <c r="BE26" i="147"/>
  <c r="U26" i="147"/>
  <c r="V26" i="147" s="1"/>
  <c r="S26" i="147"/>
  <c r="R26" i="147"/>
  <c r="J26" i="147"/>
  <c r="I26" i="147"/>
  <c r="V25" i="147"/>
  <c r="U25" i="147"/>
  <c r="S25" i="147"/>
  <c r="R25" i="147"/>
  <c r="J25" i="147"/>
  <c r="I25" i="147"/>
  <c r="W25" i="147" s="1"/>
  <c r="V24" i="147"/>
  <c r="U24" i="147"/>
  <c r="S24" i="147"/>
  <c r="R24" i="147"/>
  <c r="J24" i="147"/>
  <c r="W24" i="147" s="1"/>
  <c r="I24" i="147"/>
  <c r="V23" i="147"/>
  <c r="U23" i="147"/>
  <c r="S23" i="147"/>
  <c r="R23" i="147"/>
  <c r="J23" i="147"/>
  <c r="I23" i="147"/>
  <c r="W23" i="147" s="1"/>
  <c r="V22" i="147"/>
  <c r="U22" i="147"/>
  <c r="S22" i="147"/>
  <c r="R22" i="147"/>
  <c r="J22" i="147"/>
  <c r="I22" i="147"/>
  <c r="W22" i="147" s="1"/>
  <c r="V21" i="147"/>
  <c r="U21" i="147"/>
  <c r="S21" i="147"/>
  <c r="R21" i="147"/>
  <c r="J21" i="147"/>
  <c r="I21" i="147"/>
  <c r="W21" i="147" s="1"/>
  <c r="V20" i="147"/>
  <c r="U20" i="147"/>
  <c r="S20" i="147"/>
  <c r="R20" i="147"/>
  <c r="J20" i="147"/>
  <c r="I20" i="147"/>
  <c r="V19" i="147"/>
  <c r="U19" i="147"/>
  <c r="S19" i="147"/>
  <c r="R19" i="147"/>
  <c r="J19" i="147"/>
  <c r="I19" i="147"/>
  <c r="W19" i="147" s="1"/>
  <c r="W18" i="147"/>
  <c r="V18" i="147"/>
  <c r="U18" i="147"/>
  <c r="S18" i="147"/>
  <c r="R18" i="147"/>
  <c r="J18" i="147"/>
  <c r="I18" i="147"/>
  <c r="V17" i="147"/>
  <c r="U17" i="147"/>
  <c r="S17" i="147"/>
  <c r="R17" i="147"/>
  <c r="J17" i="147"/>
  <c r="I17" i="147"/>
  <c r="W17" i="147" s="1"/>
  <c r="W16" i="147"/>
  <c r="V16" i="147"/>
  <c r="U16" i="147"/>
  <c r="S16" i="147"/>
  <c r="R16" i="147"/>
  <c r="J16" i="147"/>
  <c r="I16" i="147"/>
  <c r="V15" i="147"/>
  <c r="U15" i="147"/>
  <c r="S15" i="147"/>
  <c r="R15" i="147"/>
  <c r="J15" i="147"/>
  <c r="I15" i="147"/>
  <c r="W15" i="147" s="1"/>
  <c r="W14" i="147"/>
  <c r="V14" i="147"/>
  <c r="U14" i="147"/>
  <c r="S14" i="147"/>
  <c r="R14" i="147"/>
  <c r="J14" i="147"/>
  <c r="I14" i="147"/>
  <c r="U13" i="147"/>
  <c r="V13" i="147" s="1"/>
  <c r="S13" i="147"/>
  <c r="R13" i="147"/>
  <c r="J13" i="147"/>
  <c r="I13" i="147"/>
  <c r="V12" i="147"/>
  <c r="U12" i="147"/>
  <c r="S12" i="147"/>
  <c r="R12" i="147"/>
  <c r="J12" i="147"/>
  <c r="I12" i="147"/>
  <c r="W12" i="147" s="1"/>
  <c r="V11" i="147"/>
  <c r="U11" i="147"/>
  <c r="S11" i="147"/>
  <c r="R11" i="147"/>
  <c r="J11" i="147"/>
  <c r="I11" i="147"/>
  <c r="W11" i="147" s="1"/>
  <c r="U10" i="147"/>
  <c r="V10" i="147" s="1"/>
  <c r="S10" i="147"/>
  <c r="R10" i="147"/>
  <c r="J10" i="147"/>
  <c r="I10" i="147"/>
  <c r="W10" i="147" s="1"/>
  <c r="U9" i="147"/>
  <c r="V9" i="147" s="1"/>
  <c r="S9" i="147"/>
  <c r="R9" i="147"/>
  <c r="J9" i="147"/>
  <c r="I9" i="147"/>
  <c r="W9" i="147" s="1"/>
  <c r="A9" i="147"/>
  <c r="A10" i="147" s="1"/>
  <c r="A11" i="147" s="1"/>
  <c r="A12" i="147" s="1"/>
  <c r="A13" i="147" s="1"/>
  <c r="A14" i="147" s="1"/>
  <c r="A15" i="147" s="1"/>
  <c r="A16" i="147" s="1"/>
  <c r="A17" i="147" s="1"/>
  <c r="A18" i="147" s="1"/>
  <c r="A19" i="147" s="1"/>
  <c r="A20" i="147" s="1"/>
  <c r="A21" i="147" s="1"/>
  <c r="A22" i="147" s="1"/>
  <c r="A23" i="147" s="1"/>
  <c r="A24" i="147" s="1"/>
  <c r="A25" i="147" s="1"/>
  <c r="A26" i="147" s="1"/>
  <c r="A27" i="147" s="1"/>
  <c r="A28" i="147" s="1"/>
  <c r="A29" i="147" s="1"/>
  <c r="A30" i="147" s="1"/>
  <c r="A31" i="147" s="1"/>
  <c r="A32" i="147" s="1"/>
  <c r="A33" i="147" s="1"/>
  <c r="A34" i="147" s="1"/>
  <c r="A35" i="147" s="1"/>
  <c r="A36" i="147" s="1"/>
  <c r="A37" i="147" s="1"/>
  <c r="A38" i="147" s="1"/>
  <c r="A39" i="147" s="1"/>
  <c r="A40" i="147" s="1"/>
  <c r="A41" i="147" s="1"/>
  <c r="A42" i="147" s="1"/>
  <c r="A43" i="147" s="1"/>
  <c r="A44" i="147" s="1"/>
  <c r="A45" i="147" s="1"/>
  <c r="A46" i="147" s="1"/>
  <c r="A47" i="147" s="1"/>
  <c r="A48" i="147" s="1"/>
  <c r="A49" i="147" s="1"/>
  <c r="A50" i="147" s="1"/>
  <c r="A51" i="147" s="1"/>
  <c r="A52" i="147" s="1"/>
  <c r="A53" i="147" s="1"/>
  <c r="A54" i="147" s="1"/>
  <c r="A55" i="147" s="1"/>
  <c r="A56" i="147" s="1"/>
  <c r="A57" i="147" s="1"/>
  <c r="A58" i="147" s="1"/>
  <c r="A59" i="147" s="1"/>
  <c r="V8" i="147"/>
  <c r="U8" i="147"/>
  <c r="S8" i="147"/>
  <c r="R8" i="147"/>
  <c r="J8" i="147"/>
  <c r="I8" i="147"/>
  <c r="Q60" i="146"/>
  <c r="P60" i="146"/>
  <c r="O60" i="146"/>
  <c r="N60" i="146"/>
  <c r="M60" i="146"/>
  <c r="L60" i="146"/>
  <c r="H60" i="146"/>
  <c r="G60" i="146"/>
  <c r="E60" i="146"/>
  <c r="D60" i="146"/>
  <c r="C60" i="146"/>
  <c r="S59" i="146"/>
  <c r="R59" i="146"/>
  <c r="J59" i="146"/>
  <c r="I59" i="146"/>
  <c r="S58" i="146"/>
  <c r="R58" i="146"/>
  <c r="J58" i="146"/>
  <c r="I58" i="146"/>
  <c r="S57" i="146"/>
  <c r="R57" i="146"/>
  <c r="J57" i="146"/>
  <c r="I57" i="146"/>
  <c r="S56" i="146"/>
  <c r="R56" i="146"/>
  <c r="J56" i="146"/>
  <c r="I56" i="146"/>
  <c r="S55" i="146"/>
  <c r="R55" i="146"/>
  <c r="J55" i="146"/>
  <c r="I55" i="146"/>
  <c r="V54" i="146"/>
  <c r="U54" i="146"/>
  <c r="S54" i="146"/>
  <c r="R54" i="146"/>
  <c r="J54" i="146"/>
  <c r="I54" i="146"/>
  <c r="W54" i="146" s="1"/>
  <c r="W53" i="146"/>
  <c r="V53" i="146"/>
  <c r="U53" i="146"/>
  <c r="S53" i="146"/>
  <c r="R53" i="146"/>
  <c r="J53" i="146"/>
  <c r="I53" i="146"/>
  <c r="V52" i="146"/>
  <c r="U52" i="146"/>
  <c r="S52" i="146"/>
  <c r="R52" i="146"/>
  <c r="J52" i="146"/>
  <c r="I52" i="146"/>
  <c r="W52" i="146" s="1"/>
  <c r="W51" i="146"/>
  <c r="V51" i="146"/>
  <c r="U51" i="146"/>
  <c r="S51" i="146"/>
  <c r="R51" i="146"/>
  <c r="J51" i="146"/>
  <c r="I51" i="146"/>
  <c r="V50" i="146"/>
  <c r="U50" i="146"/>
  <c r="S50" i="146"/>
  <c r="R50" i="146"/>
  <c r="J50" i="146"/>
  <c r="I50" i="146"/>
  <c r="W50" i="146" s="1"/>
  <c r="W49" i="146"/>
  <c r="V49" i="146"/>
  <c r="U49" i="146"/>
  <c r="S49" i="146"/>
  <c r="R49" i="146"/>
  <c r="J49" i="146"/>
  <c r="I49" i="146"/>
  <c r="U48" i="146"/>
  <c r="V48" i="146" s="1"/>
  <c r="S48" i="146"/>
  <c r="R48" i="146"/>
  <c r="J48" i="146"/>
  <c r="I48" i="146"/>
  <c r="W48" i="146" s="1"/>
  <c r="W47" i="146"/>
  <c r="V47" i="146"/>
  <c r="U47" i="146"/>
  <c r="S47" i="146"/>
  <c r="R47" i="146"/>
  <c r="J47" i="146"/>
  <c r="I47" i="146"/>
  <c r="V46" i="146"/>
  <c r="U46" i="146"/>
  <c r="S46" i="146"/>
  <c r="R46" i="146"/>
  <c r="J46" i="146"/>
  <c r="I46" i="146"/>
  <c r="W46" i="146" s="1"/>
  <c r="S45" i="146"/>
  <c r="R45" i="146"/>
  <c r="J45" i="146"/>
  <c r="I45" i="146"/>
  <c r="U44" i="146"/>
  <c r="V44" i="146" s="1"/>
  <c r="S44" i="146"/>
  <c r="R44" i="146"/>
  <c r="J44" i="146"/>
  <c r="I44" i="146"/>
  <c r="S43" i="146"/>
  <c r="R43" i="146"/>
  <c r="J43" i="146"/>
  <c r="I43" i="146"/>
  <c r="W42" i="146"/>
  <c r="U42" i="146"/>
  <c r="V42" i="146" s="1"/>
  <c r="S42" i="146"/>
  <c r="R42" i="146"/>
  <c r="J42" i="146"/>
  <c r="I42" i="146"/>
  <c r="U41" i="146"/>
  <c r="V41" i="146" s="1"/>
  <c r="S41" i="146"/>
  <c r="R41" i="146"/>
  <c r="J41" i="146"/>
  <c r="I41" i="146"/>
  <c r="W41" i="146" s="1"/>
  <c r="W40" i="146"/>
  <c r="U40" i="146"/>
  <c r="V40" i="146" s="1"/>
  <c r="S40" i="146"/>
  <c r="R40" i="146"/>
  <c r="J40" i="146"/>
  <c r="I40" i="146"/>
  <c r="U39" i="146"/>
  <c r="V39" i="146" s="1"/>
  <c r="S39" i="146"/>
  <c r="R39" i="146"/>
  <c r="J39" i="146"/>
  <c r="I39" i="146"/>
  <c r="W39" i="146" s="1"/>
  <c r="U38" i="146"/>
  <c r="V38" i="146" s="1"/>
  <c r="S38" i="146"/>
  <c r="R38" i="146"/>
  <c r="J38" i="146"/>
  <c r="I38" i="146"/>
  <c r="W38" i="146" s="1"/>
  <c r="U37" i="146"/>
  <c r="V37" i="146" s="1"/>
  <c r="S37" i="146"/>
  <c r="R37" i="146"/>
  <c r="J37" i="146"/>
  <c r="I37" i="146"/>
  <c r="W37" i="146" s="1"/>
  <c r="W36" i="146"/>
  <c r="U36" i="146"/>
  <c r="V36" i="146" s="1"/>
  <c r="S36" i="146"/>
  <c r="R36" i="146"/>
  <c r="J36" i="146"/>
  <c r="I36" i="146"/>
  <c r="U35" i="146"/>
  <c r="V35" i="146" s="1"/>
  <c r="S35" i="146"/>
  <c r="R35" i="146"/>
  <c r="J35" i="146"/>
  <c r="I35" i="146"/>
  <c r="W35" i="146" s="1"/>
  <c r="W34" i="146"/>
  <c r="U34" i="146"/>
  <c r="V34" i="146" s="1"/>
  <c r="S34" i="146"/>
  <c r="R34" i="146"/>
  <c r="J34" i="146"/>
  <c r="I34" i="146"/>
  <c r="U33" i="146"/>
  <c r="V33" i="146" s="1"/>
  <c r="S33" i="146"/>
  <c r="R33" i="146"/>
  <c r="J33" i="146"/>
  <c r="I33" i="146"/>
  <c r="W33" i="146" s="1"/>
  <c r="W32" i="146"/>
  <c r="U32" i="146"/>
  <c r="V32" i="146" s="1"/>
  <c r="S32" i="146"/>
  <c r="R32" i="146"/>
  <c r="J32" i="146"/>
  <c r="I32" i="146"/>
  <c r="U31" i="146"/>
  <c r="V31" i="146" s="1"/>
  <c r="S31" i="146"/>
  <c r="R31" i="146"/>
  <c r="J31" i="146"/>
  <c r="I31" i="146"/>
  <c r="W31" i="146" s="1"/>
  <c r="W30" i="146"/>
  <c r="U30" i="146"/>
  <c r="V30" i="146" s="1"/>
  <c r="S30" i="146"/>
  <c r="R30" i="146"/>
  <c r="J30" i="146"/>
  <c r="I30" i="146"/>
  <c r="U29" i="146"/>
  <c r="V29" i="146" s="1"/>
  <c r="S29" i="146"/>
  <c r="R29" i="146"/>
  <c r="J29" i="146"/>
  <c r="I29" i="146"/>
  <c r="W29" i="146" s="1"/>
  <c r="W28" i="146"/>
  <c r="U28" i="146"/>
  <c r="S28" i="146"/>
  <c r="R28" i="146"/>
  <c r="J28" i="146"/>
  <c r="I28" i="146"/>
  <c r="U27" i="146"/>
  <c r="V27" i="146" s="1"/>
  <c r="S27" i="146"/>
  <c r="R27" i="146"/>
  <c r="J27" i="146"/>
  <c r="I27" i="146"/>
  <c r="W27" i="146" s="1"/>
  <c r="BE26" i="146"/>
  <c r="V26" i="146"/>
  <c r="U26" i="146"/>
  <c r="S26" i="146"/>
  <c r="R26" i="146"/>
  <c r="J26" i="146"/>
  <c r="W26" i="146" s="1"/>
  <c r="I26" i="146"/>
  <c r="U25" i="146"/>
  <c r="V25" i="146" s="1"/>
  <c r="S25" i="146"/>
  <c r="R25" i="146"/>
  <c r="J25" i="146"/>
  <c r="I25" i="146"/>
  <c r="W25" i="146" s="1"/>
  <c r="V24" i="146"/>
  <c r="U24" i="146"/>
  <c r="S24" i="146"/>
  <c r="R24" i="146"/>
  <c r="J24" i="146"/>
  <c r="I24" i="146"/>
  <c r="W24" i="146" s="1"/>
  <c r="U23" i="146"/>
  <c r="V23" i="146" s="1"/>
  <c r="S23" i="146"/>
  <c r="R23" i="146"/>
  <c r="J23" i="146"/>
  <c r="I23" i="146"/>
  <c r="W23" i="146" s="1"/>
  <c r="V22" i="146"/>
  <c r="U22" i="146"/>
  <c r="S22" i="146"/>
  <c r="R22" i="146"/>
  <c r="J22" i="146"/>
  <c r="I22" i="146"/>
  <c r="W22" i="146" s="1"/>
  <c r="U21" i="146"/>
  <c r="V21" i="146" s="1"/>
  <c r="S21" i="146"/>
  <c r="R21" i="146"/>
  <c r="J21" i="146"/>
  <c r="I21" i="146"/>
  <c r="W21" i="146" s="1"/>
  <c r="V20" i="146"/>
  <c r="U20" i="146"/>
  <c r="S20" i="146"/>
  <c r="R20" i="146"/>
  <c r="J20" i="146"/>
  <c r="I20" i="146"/>
  <c r="W20" i="146" s="1"/>
  <c r="U19" i="146"/>
  <c r="V19" i="146" s="1"/>
  <c r="S19" i="146"/>
  <c r="R19" i="146"/>
  <c r="J19" i="146"/>
  <c r="I19" i="146"/>
  <c r="W19" i="146" s="1"/>
  <c r="W18" i="146"/>
  <c r="V18" i="146"/>
  <c r="U18" i="146"/>
  <c r="S18" i="146"/>
  <c r="R18" i="146"/>
  <c r="J18" i="146"/>
  <c r="I18" i="146"/>
  <c r="U17" i="146"/>
  <c r="V17" i="146" s="1"/>
  <c r="S17" i="146"/>
  <c r="R17" i="146"/>
  <c r="J17" i="146"/>
  <c r="I17" i="146"/>
  <c r="W17" i="146" s="1"/>
  <c r="W16" i="146"/>
  <c r="V16" i="146"/>
  <c r="U16" i="146"/>
  <c r="S16" i="146"/>
  <c r="R16" i="146"/>
  <c r="J16" i="146"/>
  <c r="I16" i="146"/>
  <c r="U15" i="146"/>
  <c r="V15" i="146" s="1"/>
  <c r="S15" i="146"/>
  <c r="R15" i="146"/>
  <c r="J15" i="146"/>
  <c r="I15" i="146"/>
  <c r="W15" i="146" s="1"/>
  <c r="V14" i="146"/>
  <c r="U14" i="146"/>
  <c r="S14" i="146"/>
  <c r="R14" i="146"/>
  <c r="J14" i="146"/>
  <c r="I14" i="146"/>
  <c r="W14" i="146" s="1"/>
  <c r="U13" i="146"/>
  <c r="V13" i="146" s="1"/>
  <c r="S13" i="146"/>
  <c r="R13" i="146"/>
  <c r="J13" i="146"/>
  <c r="I13" i="146"/>
  <c r="W13" i="146" s="1"/>
  <c r="W12" i="146"/>
  <c r="V12" i="146"/>
  <c r="U12" i="146"/>
  <c r="S12" i="146"/>
  <c r="R12" i="146"/>
  <c r="J12" i="146"/>
  <c r="I12" i="146"/>
  <c r="U11" i="146"/>
  <c r="V11" i="146" s="1"/>
  <c r="S11" i="146"/>
  <c r="R11" i="146"/>
  <c r="J11" i="146"/>
  <c r="I11" i="146"/>
  <c r="W11" i="146" s="1"/>
  <c r="W10" i="146"/>
  <c r="U10" i="146"/>
  <c r="V10" i="146" s="1"/>
  <c r="S10" i="146"/>
  <c r="R10" i="146"/>
  <c r="J10" i="146"/>
  <c r="I10" i="146"/>
  <c r="U9" i="146"/>
  <c r="V9" i="146" s="1"/>
  <c r="S9" i="146"/>
  <c r="R9" i="146"/>
  <c r="J9" i="146"/>
  <c r="I9" i="146"/>
  <c r="W9" i="146" s="1"/>
  <c r="A9" i="146"/>
  <c r="A10" i="146" s="1"/>
  <c r="A11" i="146" s="1"/>
  <c r="A12" i="146" s="1"/>
  <c r="A13" i="146" s="1"/>
  <c r="A14" i="146" s="1"/>
  <c r="A15" i="146" s="1"/>
  <c r="A16" i="146" s="1"/>
  <c r="A17" i="146" s="1"/>
  <c r="A18" i="146" s="1"/>
  <c r="A19" i="146" s="1"/>
  <c r="A20" i="146" s="1"/>
  <c r="A21" i="146" s="1"/>
  <c r="A22" i="146" s="1"/>
  <c r="A23" i="146" s="1"/>
  <c r="A24" i="146" s="1"/>
  <c r="A25" i="146" s="1"/>
  <c r="A26" i="146" s="1"/>
  <c r="A27" i="146" s="1"/>
  <c r="A28" i="146" s="1"/>
  <c r="A29" i="146" s="1"/>
  <c r="A30" i="146" s="1"/>
  <c r="A31" i="146" s="1"/>
  <c r="A32" i="146" s="1"/>
  <c r="A33" i="146" s="1"/>
  <c r="A34" i="146" s="1"/>
  <c r="A35" i="146" s="1"/>
  <c r="A36" i="146" s="1"/>
  <c r="A37" i="146" s="1"/>
  <c r="A38" i="146" s="1"/>
  <c r="A39" i="146" s="1"/>
  <c r="A40" i="146" s="1"/>
  <c r="A41" i="146" s="1"/>
  <c r="A42" i="146" s="1"/>
  <c r="A43" i="146" s="1"/>
  <c r="A44" i="146" s="1"/>
  <c r="A45" i="146" s="1"/>
  <c r="A46" i="146" s="1"/>
  <c r="A47" i="146" s="1"/>
  <c r="A48" i="146" s="1"/>
  <c r="A49" i="146" s="1"/>
  <c r="A50" i="146" s="1"/>
  <c r="A51" i="146" s="1"/>
  <c r="A52" i="146" s="1"/>
  <c r="A53" i="146" s="1"/>
  <c r="A54" i="146" s="1"/>
  <c r="A55" i="146" s="1"/>
  <c r="A56" i="146" s="1"/>
  <c r="A57" i="146" s="1"/>
  <c r="A58" i="146" s="1"/>
  <c r="A59" i="146" s="1"/>
  <c r="U8" i="146"/>
  <c r="V8" i="146" s="1"/>
  <c r="S8" i="146"/>
  <c r="R8" i="146"/>
  <c r="J8" i="146"/>
  <c r="I8" i="146"/>
  <c r="Q60" i="145"/>
  <c r="P60" i="145"/>
  <c r="O60" i="145"/>
  <c r="N60" i="145"/>
  <c r="M60" i="145"/>
  <c r="L60" i="145"/>
  <c r="H60" i="145"/>
  <c r="G60" i="145"/>
  <c r="E60" i="145"/>
  <c r="D60" i="145"/>
  <c r="C60" i="145"/>
  <c r="S59" i="145"/>
  <c r="R59" i="145"/>
  <c r="J59" i="145"/>
  <c r="I59" i="145"/>
  <c r="S58" i="145"/>
  <c r="R58" i="145"/>
  <c r="J58" i="145"/>
  <c r="I58" i="145"/>
  <c r="S57" i="145"/>
  <c r="R57" i="145"/>
  <c r="J57" i="145"/>
  <c r="I57" i="145"/>
  <c r="S56" i="145"/>
  <c r="R56" i="145"/>
  <c r="J56" i="145"/>
  <c r="I56" i="145"/>
  <c r="S55" i="145"/>
  <c r="R55" i="145"/>
  <c r="J55" i="145"/>
  <c r="I55" i="145"/>
  <c r="V54" i="145"/>
  <c r="U54" i="145"/>
  <c r="S54" i="145"/>
  <c r="R54" i="145"/>
  <c r="J54" i="145"/>
  <c r="I54" i="145"/>
  <c r="W54" i="145" s="1"/>
  <c r="U53" i="145"/>
  <c r="V53" i="145" s="1"/>
  <c r="S53" i="145"/>
  <c r="R53" i="145"/>
  <c r="J53" i="145"/>
  <c r="I53" i="145"/>
  <c r="W53" i="145" s="1"/>
  <c r="V52" i="145"/>
  <c r="U52" i="145"/>
  <c r="S52" i="145"/>
  <c r="R52" i="145"/>
  <c r="J52" i="145"/>
  <c r="I52" i="145"/>
  <c r="W52" i="145" s="1"/>
  <c r="U51" i="145"/>
  <c r="V51" i="145" s="1"/>
  <c r="S51" i="145"/>
  <c r="R51" i="145"/>
  <c r="J51" i="145"/>
  <c r="I51" i="145"/>
  <c r="W51" i="145" s="1"/>
  <c r="V50" i="145"/>
  <c r="U50" i="145"/>
  <c r="S50" i="145"/>
  <c r="R50" i="145"/>
  <c r="J50" i="145"/>
  <c r="I50" i="145"/>
  <c r="W50" i="145" s="1"/>
  <c r="U49" i="145"/>
  <c r="V49" i="145" s="1"/>
  <c r="S49" i="145"/>
  <c r="R49" i="145"/>
  <c r="J49" i="145"/>
  <c r="I49" i="145"/>
  <c r="W49" i="145" s="1"/>
  <c r="V48" i="145"/>
  <c r="U48" i="145"/>
  <c r="S48" i="145"/>
  <c r="R48" i="145"/>
  <c r="J48" i="145"/>
  <c r="I48" i="145"/>
  <c r="W48" i="145" s="1"/>
  <c r="U47" i="145"/>
  <c r="V47" i="145" s="1"/>
  <c r="S47" i="145"/>
  <c r="R47" i="145"/>
  <c r="J47" i="145"/>
  <c r="I47" i="145"/>
  <c r="W47" i="145" s="1"/>
  <c r="U46" i="145"/>
  <c r="V46" i="145" s="1"/>
  <c r="S46" i="145"/>
  <c r="R46" i="145"/>
  <c r="J46" i="145"/>
  <c r="I46" i="145"/>
  <c r="W46" i="145" s="1"/>
  <c r="S45" i="145"/>
  <c r="R45" i="145"/>
  <c r="J45" i="145"/>
  <c r="I45" i="145"/>
  <c r="U44" i="145"/>
  <c r="V44" i="145" s="1"/>
  <c r="S44" i="145"/>
  <c r="R44" i="145"/>
  <c r="J44" i="145"/>
  <c r="I44" i="145"/>
  <c r="S43" i="145"/>
  <c r="R43" i="145"/>
  <c r="J43" i="145"/>
  <c r="I43" i="145"/>
  <c r="U42" i="145"/>
  <c r="V42" i="145" s="1"/>
  <c r="S42" i="145"/>
  <c r="R42" i="145"/>
  <c r="J42" i="145"/>
  <c r="I42" i="145"/>
  <c r="U41" i="145"/>
  <c r="V41" i="145" s="1"/>
  <c r="S41" i="145"/>
  <c r="R41" i="145"/>
  <c r="J41" i="145"/>
  <c r="I41" i="145"/>
  <c r="V40" i="145"/>
  <c r="U40" i="145"/>
  <c r="S40" i="145"/>
  <c r="R40" i="145"/>
  <c r="J40" i="145"/>
  <c r="W40" i="145" s="1"/>
  <c r="I40" i="145"/>
  <c r="U39" i="145"/>
  <c r="V39" i="145" s="1"/>
  <c r="S39" i="145"/>
  <c r="R39" i="145"/>
  <c r="J39" i="145"/>
  <c r="I39" i="145"/>
  <c r="U38" i="145"/>
  <c r="V38" i="145" s="1"/>
  <c r="S38" i="145"/>
  <c r="R38" i="145"/>
  <c r="J38" i="145"/>
  <c r="I38" i="145"/>
  <c r="U37" i="145"/>
  <c r="V37" i="145" s="1"/>
  <c r="S37" i="145"/>
  <c r="R37" i="145"/>
  <c r="J37" i="145"/>
  <c r="W37" i="145" s="1"/>
  <c r="I37" i="145"/>
  <c r="V36" i="145"/>
  <c r="U36" i="145"/>
  <c r="S36" i="145"/>
  <c r="R36" i="145"/>
  <c r="J36" i="145"/>
  <c r="W36" i="145" s="1"/>
  <c r="I36" i="145"/>
  <c r="U35" i="145"/>
  <c r="V35" i="145" s="1"/>
  <c r="S35" i="145"/>
  <c r="R35" i="145"/>
  <c r="J35" i="145"/>
  <c r="I35" i="145"/>
  <c r="U34" i="145"/>
  <c r="V34" i="145" s="1"/>
  <c r="S34" i="145"/>
  <c r="R34" i="145"/>
  <c r="J34" i="145"/>
  <c r="I34" i="145"/>
  <c r="U33" i="145"/>
  <c r="V33" i="145" s="1"/>
  <c r="S33" i="145"/>
  <c r="R33" i="145"/>
  <c r="J33" i="145"/>
  <c r="W33" i="145" s="1"/>
  <c r="I33" i="145"/>
  <c r="V32" i="145"/>
  <c r="U32" i="145"/>
  <c r="S32" i="145"/>
  <c r="R32" i="145"/>
  <c r="J32" i="145"/>
  <c r="W32" i="145" s="1"/>
  <c r="I32" i="145"/>
  <c r="U31" i="145"/>
  <c r="V31" i="145" s="1"/>
  <c r="S31" i="145"/>
  <c r="R31" i="145"/>
  <c r="J31" i="145"/>
  <c r="W31" i="145" s="1"/>
  <c r="I31" i="145"/>
  <c r="U30" i="145"/>
  <c r="V30" i="145" s="1"/>
  <c r="S30" i="145"/>
  <c r="R30" i="145"/>
  <c r="J30" i="145"/>
  <c r="I30" i="145"/>
  <c r="U29" i="145"/>
  <c r="V29" i="145" s="1"/>
  <c r="S29" i="145"/>
  <c r="R29" i="145"/>
  <c r="J29" i="145"/>
  <c r="W29" i="145" s="1"/>
  <c r="I29" i="145"/>
  <c r="V28" i="145"/>
  <c r="U28" i="145"/>
  <c r="S28" i="145"/>
  <c r="R28" i="145"/>
  <c r="J28" i="145"/>
  <c r="W28" i="145" s="1"/>
  <c r="I28" i="145"/>
  <c r="U27" i="145"/>
  <c r="V27" i="145" s="1"/>
  <c r="S27" i="145"/>
  <c r="R27" i="145"/>
  <c r="J27" i="145"/>
  <c r="I27" i="145"/>
  <c r="BE26" i="145"/>
  <c r="U26" i="145"/>
  <c r="V26" i="145" s="1"/>
  <c r="S26" i="145"/>
  <c r="R26" i="145"/>
  <c r="J26" i="145"/>
  <c r="I26" i="145"/>
  <c r="W26" i="145" s="1"/>
  <c r="U25" i="145"/>
  <c r="V25" i="145" s="1"/>
  <c r="S25" i="145"/>
  <c r="R25" i="145"/>
  <c r="J25" i="145"/>
  <c r="I25" i="145"/>
  <c r="W25" i="145" s="1"/>
  <c r="U24" i="145"/>
  <c r="V24" i="145" s="1"/>
  <c r="S24" i="145"/>
  <c r="R24" i="145"/>
  <c r="J24" i="145"/>
  <c r="W24" i="145" s="1"/>
  <c r="I24" i="145"/>
  <c r="U23" i="145"/>
  <c r="V23" i="145" s="1"/>
  <c r="S23" i="145"/>
  <c r="R23" i="145"/>
  <c r="J23" i="145"/>
  <c r="I23" i="145"/>
  <c r="W23" i="145" s="1"/>
  <c r="W22" i="145"/>
  <c r="U22" i="145"/>
  <c r="V22" i="145" s="1"/>
  <c r="S22" i="145"/>
  <c r="R22" i="145"/>
  <c r="J22" i="145"/>
  <c r="I22" i="145"/>
  <c r="U21" i="145"/>
  <c r="V21" i="145" s="1"/>
  <c r="S21" i="145"/>
  <c r="R21" i="145"/>
  <c r="J21" i="145"/>
  <c r="I21" i="145"/>
  <c r="W21" i="145" s="1"/>
  <c r="U20" i="145"/>
  <c r="V20" i="145" s="1"/>
  <c r="S20" i="145"/>
  <c r="R20" i="145"/>
  <c r="J20" i="145"/>
  <c r="I20" i="145"/>
  <c r="U19" i="145"/>
  <c r="V19" i="145" s="1"/>
  <c r="S19" i="145"/>
  <c r="R19" i="145"/>
  <c r="J19" i="145"/>
  <c r="I19" i="145"/>
  <c r="W19" i="145" s="1"/>
  <c r="W18" i="145"/>
  <c r="U18" i="145"/>
  <c r="V18" i="145" s="1"/>
  <c r="S18" i="145"/>
  <c r="R18" i="145"/>
  <c r="J18" i="145"/>
  <c r="I18" i="145"/>
  <c r="U17" i="145"/>
  <c r="V17" i="145" s="1"/>
  <c r="S17" i="145"/>
  <c r="R17" i="145"/>
  <c r="J17" i="145"/>
  <c r="I17" i="145"/>
  <c r="W17" i="145" s="1"/>
  <c r="W16" i="145"/>
  <c r="U16" i="145"/>
  <c r="V16" i="145" s="1"/>
  <c r="S16" i="145"/>
  <c r="R16" i="145"/>
  <c r="J16" i="145"/>
  <c r="I16" i="145"/>
  <c r="U15" i="145"/>
  <c r="V15" i="145" s="1"/>
  <c r="S15" i="145"/>
  <c r="R15" i="145"/>
  <c r="J15" i="145"/>
  <c r="I15" i="145"/>
  <c r="W15" i="145" s="1"/>
  <c r="U14" i="145"/>
  <c r="V14" i="145" s="1"/>
  <c r="S14" i="145"/>
  <c r="R14" i="145"/>
  <c r="J14" i="145"/>
  <c r="I14" i="145"/>
  <c r="U13" i="145"/>
  <c r="V13" i="145" s="1"/>
  <c r="S13" i="145"/>
  <c r="R13" i="145"/>
  <c r="J13" i="145"/>
  <c r="I13" i="145"/>
  <c r="W12" i="145"/>
  <c r="U12" i="145"/>
  <c r="V12" i="145" s="1"/>
  <c r="S12" i="145"/>
  <c r="R12" i="145"/>
  <c r="J12" i="145"/>
  <c r="I12" i="145"/>
  <c r="U11" i="145"/>
  <c r="V11" i="145" s="1"/>
  <c r="S11" i="145"/>
  <c r="R11" i="145"/>
  <c r="J11" i="145"/>
  <c r="I11" i="145"/>
  <c r="W11" i="145" s="1"/>
  <c r="U10" i="145"/>
  <c r="V10" i="145" s="1"/>
  <c r="S10" i="145"/>
  <c r="R10" i="145"/>
  <c r="J10" i="145"/>
  <c r="I10" i="145"/>
  <c r="W10" i="145" s="1"/>
  <c r="U9" i="145"/>
  <c r="V9" i="145" s="1"/>
  <c r="S9" i="145"/>
  <c r="R9" i="145"/>
  <c r="J9" i="145"/>
  <c r="I9" i="145"/>
  <c r="W9" i="145" s="1"/>
  <c r="A9" i="145"/>
  <c r="A10" i="145" s="1"/>
  <c r="A11" i="145" s="1"/>
  <c r="A12" i="145" s="1"/>
  <c r="A13" i="145" s="1"/>
  <c r="A14" i="145" s="1"/>
  <c r="A15" i="145" s="1"/>
  <c r="A16" i="145" s="1"/>
  <c r="A17" i="145" s="1"/>
  <c r="A18" i="145" s="1"/>
  <c r="A19" i="145" s="1"/>
  <c r="A20" i="145" s="1"/>
  <c r="A21" i="145" s="1"/>
  <c r="A22" i="145" s="1"/>
  <c r="A23" i="145" s="1"/>
  <c r="A24" i="145" s="1"/>
  <c r="A25" i="145" s="1"/>
  <c r="A26" i="145" s="1"/>
  <c r="A27" i="145" s="1"/>
  <c r="A28" i="145" s="1"/>
  <c r="A29" i="145" s="1"/>
  <c r="A30" i="145" s="1"/>
  <c r="A31" i="145" s="1"/>
  <c r="A32" i="145" s="1"/>
  <c r="A33" i="145" s="1"/>
  <c r="A34" i="145" s="1"/>
  <c r="A35" i="145" s="1"/>
  <c r="A36" i="145" s="1"/>
  <c r="A37" i="145" s="1"/>
  <c r="A38" i="145" s="1"/>
  <c r="A39" i="145" s="1"/>
  <c r="A40" i="145" s="1"/>
  <c r="A41" i="145" s="1"/>
  <c r="A42" i="145" s="1"/>
  <c r="A43" i="145" s="1"/>
  <c r="A44" i="145" s="1"/>
  <c r="A45" i="145" s="1"/>
  <c r="A46" i="145" s="1"/>
  <c r="A47" i="145" s="1"/>
  <c r="A48" i="145" s="1"/>
  <c r="A49" i="145" s="1"/>
  <c r="A50" i="145" s="1"/>
  <c r="A51" i="145" s="1"/>
  <c r="A52" i="145" s="1"/>
  <c r="A53" i="145" s="1"/>
  <c r="A54" i="145" s="1"/>
  <c r="A55" i="145" s="1"/>
  <c r="A56" i="145" s="1"/>
  <c r="A57" i="145" s="1"/>
  <c r="A58" i="145" s="1"/>
  <c r="A59" i="145" s="1"/>
  <c r="U8" i="145"/>
  <c r="V8" i="145" s="1"/>
  <c r="S8" i="145"/>
  <c r="S60" i="145" s="1"/>
  <c r="R8" i="145"/>
  <c r="J8" i="145"/>
  <c r="I8" i="145"/>
  <c r="Q60" i="144"/>
  <c r="P60" i="144"/>
  <c r="O60" i="144"/>
  <c r="N60" i="144"/>
  <c r="M60" i="144"/>
  <c r="L60" i="144"/>
  <c r="H60" i="144"/>
  <c r="G60" i="144"/>
  <c r="E60" i="144"/>
  <c r="D60" i="144"/>
  <c r="C60" i="144"/>
  <c r="S59" i="144"/>
  <c r="R59" i="144"/>
  <c r="J59" i="144"/>
  <c r="I59" i="144"/>
  <c r="S58" i="144"/>
  <c r="R58" i="144"/>
  <c r="J58" i="144"/>
  <c r="I58" i="144"/>
  <c r="S57" i="144"/>
  <c r="R57" i="144"/>
  <c r="J57" i="144"/>
  <c r="I57" i="144"/>
  <c r="S56" i="144"/>
  <c r="R56" i="144"/>
  <c r="J56" i="144"/>
  <c r="I56" i="144"/>
  <c r="S55" i="144"/>
  <c r="R55" i="144"/>
  <c r="J55" i="144"/>
  <c r="I55" i="144"/>
  <c r="V54" i="144"/>
  <c r="U54" i="144"/>
  <c r="S54" i="144"/>
  <c r="R54" i="144"/>
  <c r="J54" i="144"/>
  <c r="I54" i="144"/>
  <c r="W54" i="144" s="1"/>
  <c r="U53" i="144"/>
  <c r="V53" i="144" s="1"/>
  <c r="S53" i="144"/>
  <c r="R53" i="144"/>
  <c r="J53" i="144"/>
  <c r="I53" i="144"/>
  <c r="W53" i="144" s="1"/>
  <c r="V52" i="144"/>
  <c r="U52" i="144"/>
  <c r="S52" i="144"/>
  <c r="R52" i="144"/>
  <c r="J52" i="144"/>
  <c r="I52" i="144"/>
  <c r="W52" i="144" s="1"/>
  <c r="U51" i="144"/>
  <c r="V51" i="144" s="1"/>
  <c r="S51" i="144"/>
  <c r="R51" i="144"/>
  <c r="J51" i="144"/>
  <c r="I51" i="144"/>
  <c r="W51" i="144" s="1"/>
  <c r="V50" i="144"/>
  <c r="U50" i="144"/>
  <c r="S50" i="144"/>
  <c r="R50" i="144"/>
  <c r="J50" i="144"/>
  <c r="I50" i="144"/>
  <c r="W50" i="144" s="1"/>
  <c r="U49" i="144"/>
  <c r="V49" i="144" s="1"/>
  <c r="S49" i="144"/>
  <c r="R49" i="144"/>
  <c r="J49" i="144"/>
  <c r="I49" i="144"/>
  <c r="W49" i="144" s="1"/>
  <c r="V48" i="144"/>
  <c r="U48" i="144"/>
  <c r="S48" i="144"/>
  <c r="R48" i="144"/>
  <c r="J48" i="144"/>
  <c r="I48" i="144"/>
  <c r="W48" i="144" s="1"/>
  <c r="U47" i="144"/>
  <c r="V47" i="144" s="1"/>
  <c r="S47" i="144"/>
  <c r="R47" i="144"/>
  <c r="J47" i="144"/>
  <c r="I47" i="144"/>
  <c r="W47" i="144" s="1"/>
  <c r="V46" i="144"/>
  <c r="U46" i="144"/>
  <c r="S46" i="144"/>
  <c r="R46" i="144"/>
  <c r="J46" i="144"/>
  <c r="I46" i="144"/>
  <c r="W46" i="144" s="1"/>
  <c r="S45" i="144"/>
  <c r="R45" i="144"/>
  <c r="J45" i="144"/>
  <c r="I45" i="144"/>
  <c r="W44" i="144"/>
  <c r="U44" i="144"/>
  <c r="V44" i="144" s="1"/>
  <c r="S44" i="144"/>
  <c r="R44" i="144"/>
  <c r="J44" i="144"/>
  <c r="I44" i="144"/>
  <c r="S43" i="144"/>
  <c r="R43" i="144"/>
  <c r="J43" i="144"/>
  <c r="I43" i="144"/>
  <c r="U42" i="144"/>
  <c r="V42" i="144" s="1"/>
  <c r="S42" i="144"/>
  <c r="R42" i="144"/>
  <c r="J42" i="144"/>
  <c r="I42" i="144"/>
  <c r="W41" i="144"/>
  <c r="U41" i="144"/>
  <c r="V41" i="144" s="1"/>
  <c r="S41" i="144"/>
  <c r="R41" i="144"/>
  <c r="J41" i="144"/>
  <c r="I41" i="144"/>
  <c r="U40" i="144"/>
  <c r="V40" i="144" s="1"/>
  <c r="S40" i="144"/>
  <c r="R40" i="144"/>
  <c r="J40" i="144"/>
  <c r="W40" i="144" s="1"/>
  <c r="I40" i="144"/>
  <c r="U39" i="144"/>
  <c r="V39" i="144" s="1"/>
  <c r="S39" i="144"/>
  <c r="R39" i="144"/>
  <c r="J39" i="144"/>
  <c r="I39" i="144"/>
  <c r="W39" i="144" s="1"/>
  <c r="U38" i="144"/>
  <c r="V38" i="144" s="1"/>
  <c r="S38" i="144"/>
  <c r="R38" i="144"/>
  <c r="J38" i="144"/>
  <c r="W38" i="144" s="1"/>
  <c r="I38" i="144"/>
  <c r="W37" i="144"/>
  <c r="U37" i="144"/>
  <c r="V37" i="144" s="1"/>
  <c r="S37" i="144"/>
  <c r="R37" i="144"/>
  <c r="J37" i="144"/>
  <c r="I37" i="144"/>
  <c r="U36" i="144"/>
  <c r="V36" i="144" s="1"/>
  <c r="S36" i="144"/>
  <c r="R36" i="144"/>
  <c r="J36" i="144"/>
  <c r="W36" i="144" s="1"/>
  <c r="I36" i="144"/>
  <c r="W35" i="144"/>
  <c r="U35" i="144"/>
  <c r="V35" i="144" s="1"/>
  <c r="S35" i="144"/>
  <c r="R35" i="144"/>
  <c r="J35" i="144"/>
  <c r="I35" i="144"/>
  <c r="U34" i="144"/>
  <c r="V34" i="144" s="1"/>
  <c r="S34" i="144"/>
  <c r="R34" i="144"/>
  <c r="J34" i="144"/>
  <c r="W34" i="144" s="1"/>
  <c r="I34" i="144"/>
  <c r="W33" i="144"/>
  <c r="U33" i="144"/>
  <c r="V33" i="144" s="1"/>
  <c r="S33" i="144"/>
  <c r="R33" i="144"/>
  <c r="J33" i="144"/>
  <c r="I33" i="144"/>
  <c r="U32" i="144"/>
  <c r="V32" i="144" s="1"/>
  <c r="S32" i="144"/>
  <c r="R32" i="144"/>
  <c r="J32" i="144"/>
  <c r="W32" i="144" s="1"/>
  <c r="I32" i="144"/>
  <c r="U31" i="144"/>
  <c r="V31" i="144" s="1"/>
  <c r="S31" i="144"/>
  <c r="R31" i="144"/>
  <c r="J31" i="144"/>
  <c r="I31" i="144"/>
  <c r="W31" i="144" s="1"/>
  <c r="U30" i="144"/>
  <c r="V30" i="144" s="1"/>
  <c r="S30" i="144"/>
  <c r="R30" i="144"/>
  <c r="J30" i="144"/>
  <c r="I30" i="144"/>
  <c r="W29" i="144"/>
  <c r="U29" i="144"/>
  <c r="V29" i="144" s="1"/>
  <c r="S29" i="144"/>
  <c r="R29" i="144"/>
  <c r="J29" i="144"/>
  <c r="I29" i="144"/>
  <c r="U28" i="144"/>
  <c r="V28" i="144" s="1"/>
  <c r="S28" i="144"/>
  <c r="R28" i="144"/>
  <c r="J28" i="144"/>
  <c r="I28" i="144"/>
  <c r="W27" i="144"/>
  <c r="U27" i="144"/>
  <c r="V27" i="144" s="1"/>
  <c r="S27" i="144"/>
  <c r="R27" i="144"/>
  <c r="J27" i="144"/>
  <c r="I27" i="144"/>
  <c r="BE26" i="144"/>
  <c r="U26" i="144"/>
  <c r="V26" i="144" s="1"/>
  <c r="S26" i="144"/>
  <c r="R26" i="144"/>
  <c r="J26" i="144"/>
  <c r="I26" i="144"/>
  <c r="U25" i="144"/>
  <c r="V25" i="144" s="1"/>
  <c r="S25" i="144"/>
  <c r="R25" i="144"/>
  <c r="J25" i="144"/>
  <c r="I25" i="144"/>
  <c r="W25" i="144" s="1"/>
  <c r="U24" i="144"/>
  <c r="V24" i="144" s="1"/>
  <c r="S24" i="144"/>
  <c r="R24" i="144"/>
  <c r="J24" i="144"/>
  <c r="I24" i="144"/>
  <c r="W24" i="144" s="1"/>
  <c r="U23" i="144"/>
  <c r="V23" i="144" s="1"/>
  <c r="S23" i="144"/>
  <c r="R23" i="144"/>
  <c r="J23" i="144"/>
  <c r="I23" i="144"/>
  <c r="W23" i="144" s="1"/>
  <c r="U22" i="144"/>
  <c r="V22" i="144" s="1"/>
  <c r="S22" i="144"/>
  <c r="R22" i="144"/>
  <c r="J22" i="144"/>
  <c r="I22" i="144"/>
  <c r="W22" i="144" s="1"/>
  <c r="U21" i="144"/>
  <c r="V21" i="144" s="1"/>
  <c r="S21" i="144"/>
  <c r="R21" i="144"/>
  <c r="J21" i="144"/>
  <c r="I21" i="144"/>
  <c r="W21" i="144" s="1"/>
  <c r="U20" i="144"/>
  <c r="V20" i="144" s="1"/>
  <c r="S20" i="144"/>
  <c r="R20" i="144"/>
  <c r="J20" i="144"/>
  <c r="I20" i="144"/>
  <c r="W20" i="144" s="1"/>
  <c r="U19" i="144"/>
  <c r="V19" i="144" s="1"/>
  <c r="S19" i="144"/>
  <c r="R19" i="144"/>
  <c r="J19" i="144"/>
  <c r="I19" i="144"/>
  <c r="W19" i="144" s="1"/>
  <c r="U18" i="144"/>
  <c r="V18" i="144" s="1"/>
  <c r="S18" i="144"/>
  <c r="R18" i="144"/>
  <c r="J18" i="144"/>
  <c r="I18" i="144"/>
  <c r="W18" i="144" s="1"/>
  <c r="U17" i="144"/>
  <c r="V17" i="144" s="1"/>
  <c r="S17" i="144"/>
  <c r="R17" i="144"/>
  <c r="J17" i="144"/>
  <c r="I17" i="144"/>
  <c r="W17" i="144" s="1"/>
  <c r="U16" i="144"/>
  <c r="V16" i="144" s="1"/>
  <c r="S16" i="144"/>
  <c r="R16" i="144"/>
  <c r="J16" i="144"/>
  <c r="I16" i="144"/>
  <c r="W16" i="144" s="1"/>
  <c r="U15" i="144"/>
  <c r="V15" i="144" s="1"/>
  <c r="S15" i="144"/>
  <c r="R15" i="144"/>
  <c r="J15" i="144"/>
  <c r="I15" i="144"/>
  <c r="W15" i="144" s="1"/>
  <c r="U14" i="144"/>
  <c r="V14" i="144" s="1"/>
  <c r="S14" i="144"/>
  <c r="R14" i="144"/>
  <c r="J14" i="144"/>
  <c r="I14" i="144"/>
  <c r="U13" i="144"/>
  <c r="V13" i="144" s="1"/>
  <c r="S13" i="144"/>
  <c r="R13" i="144"/>
  <c r="J13" i="144"/>
  <c r="I13" i="144"/>
  <c r="U12" i="144"/>
  <c r="V12" i="144" s="1"/>
  <c r="S12" i="144"/>
  <c r="R12" i="144"/>
  <c r="J12" i="144"/>
  <c r="I12" i="144"/>
  <c r="U11" i="144"/>
  <c r="V11" i="144" s="1"/>
  <c r="S11" i="144"/>
  <c r="R11" i="144"/>
  <c r="J11" i="144"/>
  <c r="I11" i="144"/>
  <c r="W11" i="144" s="1"/>
  <c r="U10" i="144"/>
  <c r="V10" i="144" s="1"/>
  <c r="S10" i="144"/>
  <c r="R10" i="144"/>
  <c r="J10" i="144"/>
  <c r="I10" i="144"/>
  <c r="W10" i="144" s="1"/>
  <c r="U9" i="144"/>
  <c r="V9" i="144" s="1"/>
  <c r="S9" i="144"/>
  <c r="R9" i="144"/>
  <c r="J9" i="144"/>
  <c r="I9" i="144"/>
  <c r="W9" i="144" s="1"/>
  <c r="A9" i="144"/>
  <c r="A10" i="144" s="1"/>
  <c r="A11" i="144" s="1"/>
  <c r="A12" i="144" s="1"/>
  <c r="A13" i="144" s="1"/>
  <c r="A14" i="144" s="1"/>
  <c r="A15" i="144" s="1"/>
  <c r="A16" i="144" s="1"/>
  <c r="A17" i="144" s="1"/>
  <c r="A18" i="144" s="1"/>
  <c r="A19" i="144" s="1"/>
  <c r="A20" i="144" s="1"/>
  <c r="A21" i="144" s="1"/>
  <c r="A22" i="144" s="1"/>
  <c r="A23" i="144" s="1"/>
  <c r="A24" i="144" s="1"/>
  <c r="A25" i="144" s="1"/>
  <c r="A26" i="144" s="1"/>
  <c r="A27" i="144" s="1"/>
  <c r="A28" i="144" s="1"/>
  <c r="A29" i="144" s="1"/>
  <c r="A30" i="144" s="1"/>
  <c r="A31" i="144" s="1"/>
  <c r="A32" i="144" s="1"/>
  <c r="A33" i="144" s="1"/>
  <c r="A34" i="144" s="1"/>
  <c r="A35" i="144" s="1"/>
  <c r="A36" i="144" s="1"/>
  <c r="A37" i="144" s="1"/>
  <c r="A38" i="144" s="1"/>
  <c r="A39" i="144" s="1"/>
  <c r="A40" i="144" s="1"/>
  <c r="A41" i="144" s="1"/>
  <c r="A42" i="144" s="1"/>
  <c r="A43" i="144" s="1"/>
  <c r="A44" i="144" s="1"/>
  <c r="A45" i="144" s="1"/>
  <c r="A46" i="144" s="1"/>
  <c r="A47" i="144" s="1"/>
  <c r="A48" i="144" s="1"/>
  <c r="A49" i="144" s="1"/>
  <c r="A50" i="144" s="1"/>
  <c r="A51" i="144" s="1"/>
  <c r="A52" i="144" s="1"/>
  <c r="A53" i="144" s="1"/>
  <c r="A54" i="144" s="1"/>
  <c r="A55" i="144" s="1"/>
  <c r="A56" i="144" s="1"/>
  <c r="A57" i="144" s="1"/>
  <c r="A58" i="144" s="1"/>
  <c r="A59" i="144" s="1"/>
  <c r="U8" i="144"/>
  <c r="S8" i="144"/>
  <c r="S60" i="144" s="1"/>
  <c r="R8" i="144"/>
  <c r="J8" i="144"/>
  <c r="I8" i="144"/>
  <c r="W8" i="144" s="1"/>
  <c r="W60" i="148" l="1"/>
  <c r="W38" i="147"/>
  <c r="W30" i="147"/>
  <c r="W26" i="147"/>
  <c r="W20" i="147"/>
  <c r="S60" i="147"/>
  <c r="W13" i="147"/>
  <c r="J60" i="147"/>
  <c r="R60" i="147"/>
  <c r="U60" i="147"/>
  <c r="I60" i="147"/>
  <c r="W8" i="147"/>
  <c r="W44" i="146"/>
  <c r="S60" i="146"/>
  <c r="R60" i="146"/>
  <c r="J60" i="146"/>
  <c r="I60" i="146"/>
  <c r="U60" i="146"/>
  <c r="W8" i="146"/>
  <c r="W60" i="146" s="1"/>
  <c r="W44" i="145"/>
  <c r="W42" i="145"/>
  <c r="W41" i="145"/>
  <c r="W39" i="145"/>
  <c r="W38" i="145"/>
  <c r="W35" i="145"/>
  <c r="W34" i="145"/>
  <c r="W30" i="145"/>
  <c r="W27" i="145"/>
  <c r="W20" i="145"/>
  <c r="W14" i="145"/>
  <c r="J60" i="145"/>
  <c r="W13" i="145"/>
  <c r="R60" i="145"/>
  <c r="W8" i="145"/>
  <c r="I60" i="145"/>
  <c r="W42" i="144"/>
  <c r="R60" i="144"/>
  <c r="W30" i="144"/>
  <c r="W28" i="144"/>
  <c r="W26" i="144"/>
  <c r="W14" i="144"/>
  <c r="W13" i="144"/>
  <c r="W12" i="144"/>
  <c r="U60" i="144"/>
  <c r="J60" i="144"/>
  <c r="V60" i="147"/>
  <c r="V28" i="146"/>
  <c r="V60" i="146" s="1"/>
  <c r="V60" i="145"/>
  <c r="U60" i="145"/>
  <c r="I60" i="144"/>
  <c r="V8" i="144"/>
  <c r="V60" i="144" s="1"/>
  <c r="Q60" i="142"/>
  <c r="P60" i="142"/>
  <c r="O60" i="142"/>
  <c r="N60" i="142"/>
  <c r="M60" i="142"/>
  <c r="L60" i="142"/>
  <c r="H60" i="142"/>
  <c r="G60" i="142"/>
  <c r="E60" i="142"/>
  <c r="D60" i="142"/>
  <c r="C60" i="142"/>
  <c r="S59" i="142"/>
  <c r="R59" i="142"/>
  <c r="J59" i="142"/>
  <c r="I59" i="142"/>
  <c r="S58" i="142"/>
  <c r="R58" i="142"/>
  <c r="J58" i="142"/>
  <c r="I58" i="142"/>
  <c r="S57" i="142"/>
  <c r="R57" i="142"/>
  <c r="J57" i="142"/>
  <c r="I57" i="142"/>
  <c r="S56" i="142"/>
  <c r="R56" i="142"/>
  <c r="J56" i="142"/>
  <c r="I56" i="142"/>
  <c r="S55" i="142"/>
  <c r="R55" i="142"/>
  <c r="J55" i="142"/>
  <c r="I55" i="142"/>
  <c r="V54" i="142"/>
  <c r="U54" i="142"/>
  <c r="S54" i="142"/>
  <c r="R54" i="142"/>
  <c r="J54" i="142"/>
  <c r="I54" i="142"/>
  <c r="W54" i="142" s="1"/>
  <c r="W53" i="142"/>
  <c r="V53" i="142"/>
  <c r="U53" i="142"/>
  <c r="S53" i="142"/>
  <c r="R53" i="142"/>
  <c r="J53" i="142"/>
  <c r="I53" i="142"/>
  <c r="V52" i="142"/>
  <c r="U52" i="142"/>
  <c r="S52" i="142"/>
  <c r="R52" i="142"/>
  <c r="J52" i="142"/>
  <c r="I52" i="142"/>
  <c r="W52" i="142" s="1"/>
  <c r="W51" i="142"/>
  <c r="V51" i="142"/>
  <c r="U51" i="142"/>
  <c r="S51" i="142"/>
  <c r="R51" i="142"/>
  <c r="J51" i="142"/>
  <c r="I51" i="142"/>
  <c r="W50" i="142"/>
  <c r="V50" i="142"/>
  <c r="U50" i="142"/>
  <c r="S50" i="142"/>
  <c r="R50" i="142"/>
  <c r="J50" i="142"/>
  <c r="I50" i="142"/>
  <c r="V49" i="142"/>
  <c r="U49" i="142"/>
  <c r="S49" i="142"/>
  <c r="R49" i="142"/>
  <c r="J49" i="142"/>
  <c r="I49" i="142"/>
  <c r="W49" i="142" s="1"/>
  <c r="U48" i="142"/>
  <c r="V48" i="142" s="1"/>
  <c r="S48" i="142"/>
  <c r="R48" i="142"/>
  <c r="J48" i="142"/>
  <c r="I48" i="142"/>
  <c r="W47" i="142"/>
  <c r="V47" i="142"/>
  <c r="U47" i="142"/>
  <c r="S47" i="142"/>
  <c r="R47" i="142"/>
  <c r="J47" i="142"/>
  <c r="I47" i="142"/>
  <c r="W46" i="142"/>
  <c r="U46" i="142"/>
  <c r="V46" i="142" s="1"/>
  <c r="S46" i="142"/>
  <c r="R46" i="142"/>
  <c r="J46" i="142"/>
  <c r="I46" i="142"/>
  <c r="S45" i="142"/>
  <c r="R45" i="142"/>
  <c r="J45" i="142"/>
  <c r="I45" i="142"/>
  <c r="U44" i="142"/>
  <c r="V44" i="142" s="1"/>
  <c r="S44" i="142"/>
  <c r="R44" i="142"/>
  <c r="J44" i="142"/>
  <c r="I44" i="142"/>
  <c r="W44" i="142" s="1"/>
  <c r="S43" i="142"/>
  <c r="R43" i="142"/>
  <c r="J43" i="142"/>
  <c r="I43" i="142"/>
  <c r="U42" i="142"/>
  <c r="V42" i="142" s="1"/>
  <c r="S42" i="142"/>
  <c r="R42" i="142"/>
  <c r="J42" i="142"/>
  <c r="I42" i="142"/>
  <c r="W42" i="142" s="1"/>
  <c r="U41" i="142"/>
  <c r="V41" i="142" s="1"/>
  <c r="S41" i="142"/>
  <c r="R41" i="142"/>
  <c r="J41" i="142"/>
  <c r="I41" i="142"/>
  <c r="U40" i="142"/>
  <c r="V40" i="142" s="1"/>
  <c r="S40" i="142"/>
  <c r="R40" i="142"/>
  <c r="J40" i="142"/>
  <c r="I40" i="142"/>
  <c r="W40" i="142" s="1"/>
  <c r="U39" i="142"/>
  <c r="V39" i="142" s="1"/>
  <c r="S39" i="142"/>
  <c r="R39" i="142"/>
  <c r="J39" i="142"/>
  <c r="I39" i="142"/>
  <c r="W39" i="142" s="1"/>
  <c r="U38" i="142"/>
  <c r="V38" i="142" s="1"/>
  <c r="S38" i="142"/>
  <c r="R38" i="142"/>
  <c r="J38" i="142"/>
  <c r="I38" i="142"/>
  <c r="U37" i="142"/>
  <c r="V37" i="142" s="1"/>
  <c r="S37" i="142"/>
  <c r="R37" i="142"/>
  <c r="J37" i="142"/>
  <c r="I37" i="142"/>
  <c r="W37" i="142" s="1"/>
  <c r="U36" i="142"/>
  <c r="V36" i="142" s="1"/>
  <c r="S36" i="142"/>
  <c r="R36" i="142"/>
  <c r="J36" i="142"/>
  <c r="I36" i="142"/>
  <c r="W36" i="142" s="1"/>
  <c r="U35" i="142"/>
  <c r="V35" i="142" s="1"/>
  <c r="S35" i="142"/>
  <c r="R35" i="142"/>
  <c r="J35" i="142"/>
  <c r="I35" i="142"/>
  <c r="U34" i="142"/>
  <c r="V34" i="142" s="1"/>
  <c r="S34" i="142"/>
  <c r="R34" i="142"/>
  <c r="J34" i="142"/>
  <c r="I34" i="142"/>
  <c r="W34" i="142" s="1"/>
  <c r="U33" i="142"/>
  <c r="V33" i="142" s="1"/>
  <c r="S33" i="142"/>
  <c r="R33" i="142"/>
  <c r="J33" i="142"/>
  <c r="I33" i="142"/>
  <c r="W33" i="142" s="1"/>
  <c r="U32" i="142"/>
  <c r="V32" i="142" s="1"/>
  <c r="S32" i="142"/>
  <c r="R32" i="142"/>
  <c r="J32" i="142"/>
  <c r="I32" i="142"/>
  <c r="W32" i="142" s="1"/>
  <c r="U31" i="142"/>
  <c r="V31" i="142" s="1"/>
  <c r="S31" i="142"/>
  <c r="R31" i="142"/>
  <c r="J31" i="142"/>
  <c r="I31" i="142"/>
  <c r="W31" i="142" s="1"/>
  <c r="U30" i="142"/>
  <c r="V30" i="142" s="1"/>
  <c r="S30" i="142"/>
  <c r="R30" i="142"/>
  <c r="J30" i="142"/>
  <c r="I30" i="142"/>
  <c r="W30" i="142" s="1"/>
  <c r="U29" i="142"/>
  <c r="V29" i="142" s="1"/>
  <c r="S29" i="142"/>
  <c r="R29" i="142"/>
  <c r="J29" i="142"/>
  <c r="I29" i="142"/>
  <c r="W29" i="142" s="1"/>
  <c r="U28" i="142"/>
  <c r="V28" i="142" s="1"/>
  <c r="S28" i="142"/>
  <c r="R28" i="142"/>
  <c r="J28" i="142"/>
  <c r="I28" i="142"/>
  <c r="W28" i="142" s="1"/>
  <c r="U27" i="142"/>
  <c r="S27" i="142"/>
  <c r="R27" i="142"/>
  <c r="J27" i="142"/>
  <c r="I27" i="142"/>
  <c r="W27" i="142" s="1"/>
  <c r="BE26" i="142"/>
  <c r="U26" i="142"/>
  <c r="V26" i="142" s="1"/>
  <c r="S26" i="142"/>
  <c r="R26" i="142"/>
  <c r="J26" i="142"/>
  <c r="I26" i="142"/>
  <c r="V25" i="142"/>
  <c r="U25" i="142"/>
  <c r="S25" i="142"/>
  <c r="R25" i="142"/>
  <c r="J25" i="142"/>
  <c r="I25" i="142"/>
  <c r="W25" i="142" s="1"/>
  <c r="U24" i="142"/>
  <c r="V24" i="142" s="1"/>
  <c r="S24" i="142"/>
  <c r="R24" i="142"/>
  <c r="J24" i="142"/>
  <c r="I24" i="142"/>
  <c r="W24" i="142" s="1"/>
  <c r="V23" i="142"/>
  <c r="U23" i="142"/>
  <c r="S23" i="142"/>
  <c r="R23" i="142"/>
  <c r="J23" i="142"/>
  <c r="I23" i="142"/>
  <c r="U22" i="142"/>
  <c r="V22" i="142" s="1"/>
  <c r="S22" i="142"/>
  <c r="R22" i="142"/>
  <c r="J22" i="142"/>
  <c r="I22" i="142"/>
  <c r="W22" i="142" s="1"/>
  <c r="V21" i="142"/>
  <c r="U21" i="142"/>
  <c r="S21" i="142"/>
  <c r="R21" i="142"/>
  <c r="J21" i="142"/>
  <c r="I21" i="142"/>
  <c r="W21" i="142" s="1"/>
  <c r="U20" i="142"/>
  <c r="V20" i="142" s="1"/>
  <c r="S20" i="142"/>
  <c r="R20" i="142"/>
  <c r="J20" i="142"/>
  <c r="I20" i="142"/>
  <c r="W20" i="142" s="1"/>
  <c r="V19" i="142"/>
  <c r="U19" i="142"/>
  <c r="S19" i="142"/>
  <c r="R19" i="142"/>
  <c r="J19" i="142"/>
  <c r="I19" i="142"/>
  <c r="W19" i="142" s="1"/>
  <c r="U18" i="142"/>
  <c r="V18" i="142" s="1"/>
  <c r="S18" i="142"/>
  <c r="R18" i="142"/>
  <c r="J18" i="142"/>
  <c r="I18" i="142"/>
  <c r="W18" i="142" s="1"/>
  <c r="V17" i="142"/>
  <c r="U17" i="142"/>
  <c r="S17" i="142"/>
  <c r="R17" i="142"/>
  <c r="J17" i="142"/>
  <c r="I17" i="142"/>
  <c r="W17" i="142" s="1"/>
  <c r="U16" i="142"/>
  <c r="V16" i="142" s="1"/>
  <c r="S16" i="142"/>
  <c r="R16" i="142"/>
  <c r="J16" i="142"/>
  <c r="I16" i="142"/>
  <c r="W16" i="142" s="1"/>
  <c r="V15" i="142"/>
  <c r="U15" i="142"/>
  <c r="S15" i="142"/>
  <c r="R15" i="142"/>
  <c r="J15" i="142"/>
  <c r="I15" i="142"/>
  <c r="W15" i="142" s="1"/>
  <c r="U14" i="142"/>
  <c r="V14" i="142" s="1"/>
  <c r="S14" i="142"/>
  <c r="R14" i="142"/>
  <c r="J14" i="142"/>
  <c r="I14" i="142"/>
  <c r="U13" i="142"/>
  <c r="V13" i="142" s="1"/>
  <c r="S13" i="142"/>
  <c r="R13" i="142"/>
  <c r="J13" i="142"/>
  <c r="I13" i="142"/>
  <c r="U12" i="142"/>
  <c r="V12" i="142" s="1"/>
  <c r="S12" i="142"/>
  <c r="R12" i="142"/>
  <c r="J12" i="142"/>
  <c r="I12" i="142"/>
  <c r="W12" i="142" s="1"/>
  <c r="U11" i="142"/>
  <c r="V11" i="142" s="1"/>
  <c r="S11" i="142"/>
  <c r="R11" i="142"/>
  <c r="J11" i="142"/>
  <c r="I11" i="142"/>
  <c r="W11" i="142" s="1"/>
  <c r="U10" i="142"/>
  <c r="V10" i="142" s="1"/>
  <c r="S10" i="142"/>
  <c r="R10" i="142"/>
  <c r="J10" i="142"/>
  <c r="I10" i="142"/>
  <c r="W10" i="142" s="1"/>
  <c r="A10" i="142"/>
  <c r="A11" i="142" s="1"/>
  <c r="A12" i="142" s="1"/>
  <c r="A13" i="142" s="1"/>
  <c r="A14" i="142" s="1"/>
  <c r="A15" i="142" s="1"/>
  <c r="A16" i="142" s="1"/>
  <c r="A17" i="142" s="1"/>
  <c r="A18" i="142" s="1"/>
  <c r="A19" i="142" s="1"/>
  <c r="A20" i="142" s="1"/>
  <c r="A21" i="142" s="1"/>
  <c r="A22" i="142" s="1"/>
  <c r="A23" i="142" s="1"/>
  <c r="A24" i="142" s="1"/>
  <c r="A25" i="142" s="1"/>
  <c r="A26" i="142" s="1"/>
  <c r="A27" i="142" s="1"/>
  <c r="A28" i="142" s="1"/>
  <c r="A29" i="142" s="1"/>
  <c r="A30" i="142" s="1"/>
  <c r="A31" i="142" s="1"/>
  <c r="A32" i="142" s="1"/>
  <c r="A33" i="142" s="1"/>
  <c r="A34" i="142" s="1"/>
  <c r="A35" i="142" s="1"/>
  <c r="A36" i="142" s="1"/>
  <c r="A37" i="142" s="1"/>
  <c r="A38" i="142" s="1"/>
  <c r="A39" i="142" s="1"/>
  <c r="A40" i="142" s="1"/>
  <c r="A41" i="142" s="1"/>
  <c r="A42" i="142" s="1"/>
  <c r="A43" i="142" s="1"/>
  <c r="A44" i="142" s="1"/>
  <c r="A45" i="142" s="1"/>
  <c r="A46" i="142" s="1"/>
  <c r="A47" i="142" s="1"/>
  <c r="A48" i="142" s="1"/>
  <c r="A49" i="142" s="1"/>
  <c r="A50" i="142" s="1"/>
  <c r="A51" i="142" s="1"/>
  <c r="A52" i="142" s="1"/>
  <c r="A53" i="142" s="1"/>
  <c r="A54" i="142" s="1"/>
  <c r="A55" i="142" s="1"/>
  <c r="A56" i="142" s="1"/>
  <c r="A57" i="142" s="1"/>
  <c r="A58" i="142" s="1"/>
  <c r="A59" i="142" s="1"/>
  <c r="U9" i="142"/>
  <c r="V9" i="142" s="1"/>
  <c r="S9" i="142"/>
  <c r="R9" i="142"/>
  <c r="J9" i="142"/>
  <c r="I9" i="142"/>
  <c r="W9" i="142" s="1"/>
  <c r="A9" i="142"/>
  <c r="U8" i="142"/>
  <c r="V8" i="142" s="1"/>
  <c r="S8" i="142"/>
  <c r="R8" i="142"/>
  <c r="J8" i="142"/>
  <c r="I8" i="142"/>
  <c r="Q60" i="14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W53" i="141"/>
  <c r="V53" i="141"/>
  <c r="U53" i="141"/>
  <c r="S53" i="141"/>
  <c r="R53" i="141"/>
  <c r="J53" i="141"/>
  <c r="I53" i="141"/>
  <c r="U52" i="141"/>
  <c r="V52" i="141" s="1"/>
  <c r="S52" i="141"/>
  <c r="R52" i="141"/>
  <c r="J52" i="141"/>
  <c r="I52" i="141"/>
  <c r="W52" i="141" s="1"/>
  <c r="W51" i="141"/>
  <c r="V51" i="141"/>
  <c r="U51" i="141"/>
  <c r="S51" i="141"/>
  <c r="R51" i="141"/>
  <c r="J51" i="141"/>
  <c r="I51" i="141"/>
  <c r="U50" i="141"/>
  <c r="V50" i="141" s="1"/>
  <c r="S50" i="141"/>
  <c r="R50" i="141"/>
  <c r="J50" i="141"/>
  <c r="I50" i="141"/>
  <c r="W50" i="141" s="1"/>
  <c r="V49" i="141"/>
  <c r="U49" i="14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W47" i="141"/>
  <c r="V47" i="141"/>
  <c r="U47" i="141"/>
  <c r="S47" i="141"/>
  <c r="R47" i="141"/>
  <c r="J47" i="141"/>
  <c r="I47" i="14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V25" i="141"/>
  <c r="U25" i="141"/>
  <c r="S25" i="141"/>
  <c r="R25" i="141"/>
  <c r="J25" i="141"/>
  <c r="I25" i="141"/>
  <c r="W25" i="141" s="1"/>
  <c r="V24" i="141"/>
  <c r="U24" i="141"/>
  <c r="S24" i="141"/>
  <c r="R24" i="141"/>
  <c r="J24" i="141"/>
  <c r="I24" i="141"/>
  <c r="W24" i="141" s="1"/>
  <c r="V23" i="141"/>
  <c r="U23" i="141"/>
  <c r="S23" i="141"/>
  <c r="R23" i="141"/>
  <c r="J23" i="141"/>
  <c r="I23" i="141"/>
  <c r="V22" i="141"/>
  <c r="U22" i="141"/>
  <c r="S22" i="141"/>
  <c r="R22" i="141"/>
  <c r="J22" i="141"/>
  <c r="I22" i="141"/>
  <c r="W22" i="141" s="1"/>
  <c r="V21" i="141"/>
  <c r="U21" i="141"/>
  <c r="S21" i="141"/>
  <c r="R21" i="141"/>
  <c r="J21" i="141"/>
  <c r="I21" i="141"/>
  <c r="W21" i="141" s="1"/>
  <c r="V20" i="141"/>
  <c r="U20" i="141"/>
  <c r="S20" i="141"/>
  <c r="R20" i="141"/>
  <c r="J20" i="141"/>
  <c r="I20" i="141"/>
  <c r="V19" i="141"/>
  <c r="U19" i="141"/>
  <c r="S19" i="141"/>
  <c r="R19" i="141"/>
  <c r="J19" i="141"/>
  <c r="I19" i="141"/>
  <c r="W19" i="141" s="1"/>
  <c r="V18" i="141"/>
  <c r="U18" i="141"/>
  <c r="S18" i="141"/>
  <c r="R18" i="141"/>
  <c r="J18" i="141"/>
  <c r="I18" i="141"/>
  <c r="W18" i="141" s="1"/>
  <c r="V17" i="141"/>
  <c r="U17" i="141"/>
  <c r="S17" i="141"/>
  <c r="R17" i="141"/>
  <c r="J17" i="141"/>
  <c r="I17" i="141"/>
  <c r="W17" i="141" s="1"/>
  <c r="V16" i="141"/>
  <c r="U16" i="141"/>
  <c r="S16" i="141"/>
  <c r="R16" i="141"/>
  <c r="J16" i="141"/>
  <c r="I16" i="141"/>
  <c r="W16" i="141" s="1"/>
  <c r="V15" i="141"/>
  <c r="U15" i="141"/>
  <c r="S15" i="141"/>
  <c r="R15" i="141"/>
  <c r="J15" i="141"/>
  <c r="I15" i="141"/>
  <c r="W15" i="141" s="1"/>
  <c r="V14" i="141"/>
  <c r="U14" i="141"/>
  <c r="S14" i="141"/>
  <c r="R14" i="141"/>
  <c r="J14" i="141"/>
  <c r="I14" i="141"/>
  <c r="U13" i="141"/>
  <c r="V13" i="141" s="1"/>
  <c r="S13" i="141"/>
  <c r="R13" i="141"/>
  <c r="J13" i="141"/>
  <c r="I13" i="141"/>
  <c r="V12" i="141"/>
  <c r="U12" i="14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V10" i="141"/>
  <c r="U10" i="141"/>
  <c r="S10" i="141"/>
  <c r="R10" i="141"/>
  <c r="J10" i="141"/>
  <c r="I10" i="141"/>
  <c r="W10" i="141" s="1"/>
  <c r="A10" i="14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V9" i="141"/>
  <c r="U9" i="141"/>
  <c r="S9" i="141"/>
  <c r="R9" i="141"/>
  <c r="J9" i="141"/>
  <c r="I9" i="141"/>
  <c r="W9" i="141" s="1"/>
  <c r="A9" i="141"/>
  <c r="V8" i="141"/>
  <c r="U8" i="141"/>
  <c r="S8" i="141"/>
  <c r="R8" i="141"/>
  <c r="J8" i="141"/>
  <c r="I8" i="141"/>
  <c r="W8" i="141" s="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7" i="140"/>
  <c r="U37" i="140"/>
  <c r="V37" i="140" s="1"/>
  <c r="S37" i="140"/>
  <c r="R37" i="140"/>
  <c r="J37" i="140"/>
  <c r="I37" i="140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W35" i="140" s="1"/>
  <c r="I35" i="140"/>
  <c r="U34" i="140"/>
  <c r="V34" i="140" s="1"/>
  <c r="S34" i="140"/>
  <c r="R34" i="140"/>
  <c r="J34" i="140"/>
  <c r="I34" i="140"/>
  <c r="W34" i="140" s="1"/>
  <c r="W33" i="140"/>
  <c r="U33" i="140"/>
  <c r="V33" i="140" s="1"/>
  <c r="S33" i="140"/>
  <c r="R33" i="140"/>
  <c r="J33" i="140"/>
  <c r="I33" i="140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V25" i="140"/>
  <c r="U25" i="140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W23" i="140"/>
  <c r="V23" i="140"/>
  <c r="U23" i="140"/>
  <c r="S23" i="140"/>
  <c r="R23" i="140"/>
  <c r="J23" i="140"/>
  <c r="I23" i="140"/>
  <c r="U22" i="140"/>
  <c r="V22" i="140" s="1"/>
  <c r="S22" i="140"/>
  <c r="R22" i="140"/>
  <c r="J22" i="140"/>
  <c r="I22" i="140"/>
  <c r="W22" i="140" s="1"/>
  <c r="V21" i="140"/>
  <c r="U21" i="140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W19" i="140"/>
  <c r="V19" i="140"/>
  <c r="U19" i="140"/>
  <c r="S19" i="140"/>
  <c r="R19" i="140"/>
  <c r="J19" i="140"/>
  <c r="I19" i="140"/>
  <c r="U18" i="140"/>
  <c r="V18" i="140" s="1"/>
  <c r="S18" i="140"/>
  <c r="R18" i="140"/>
  <c r="J18" i="140"/>
  <c r="I18" i="140"/>
  <c r="W18" i="140" s="1"/>
  <c r="W17" i="140"/>
  <c r="V17" i="140"/>
  <c r="U17" i="140"/>
  <c r="S17" i="140"/>
  <c r="R17" i="140"/>
  <c r="J17" i="140"/>
  <c r="I17" i="140"/>
  <c r="U16" i="140"/>
  <c r="V16" i="140" s="1"/>
  <c r="S16" i="140"/>
  <c r="R16" i="140"/>
  <c r="J16" i="140"/>
  <c r="I16" i="140"/>
  <c r="W16" i="140" s="1"/>
  <c r="W15" i="140"/>
  <c r="V15" i="140"/>
  <c r="U15" i="140"/>
  <c r="S15" i="140"/>
  <c r="R15" i="140"/>
  <c r="J15" i="140"/>
  <c r="I15" i="140"/>
  <c r="U14" i="140"/>
  <c r="V14" i="140" s="1"/>
  <c r="S14" i="140"/>
  <c r="R14" i="140"/>
  <c r="J14" i="140"/>
  <c r="I14" i="140"/>
  <c r="U13" i="140"/>
  <c r="V13" i="140" s="1"/>
  <c r="S13" i="140"/>
  <c r="R13" i="140"/>
  <c r="J13" i="140"/>
  <c r="I13" i="140"/>
  <c r="U12" i="140"/>
  <c r="V12" i="140" s="1"/>
  <c r="S12" i="140"/>
  <c r="R12" i="140"/>
  <c r="J12" i="140"/>
  <c r="I12" i="140"/>
  <c r="W12" i="140" s="1"/>
  <c r="V11" i="140"/>
  <c r="U11" i="140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A10" i="140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V9" i="140"/>
  <c r="U9" i="140"/>
  <c r="S9" i="140"/>
  <c r="R9" i="140"/>
  <c r="J9" i="140"/>
  <c r="I9" i="140"/>
  <c r="A9" i="140"/>
  <c r="U8" i="140"/>
  <c r="S8" i="140"/>
  <c r="R8" i="140"/>
  <c r="J8" i="140"/>
  <c r="I8" i="140"/>
  <c r="W8" i="140" s="1"/>
  <c r="W60" i="147" l="1"/>
  <c r="W60" i="145"/>
  <c r="W60" i="144"/>
  <c r="W48" i="142"/>
  <c r="W41" i="142"/>
  <c r="W38" i="142"/>
  <c r="W35" i="142"/>
  <c r="W26" i="142"/>
  <c r="W23" i="142"/>
  <c r="W14" i="142"/>
  <c r="S60" i="142"/>
  <c r="W13" i="142"/>
  <c r="U60" i="142"/>
  <c r="R60" i="142"/>
  <c r="J60" i="142"/>
  <c r="W8" i="142"/>
  <c r="W44" i="141"/>
  <c r="W41" i="141"/>
  <c r="W38" i="141"/>
  <c r="W30" i="141"/>
  <c r="W23" i="141"/>
  <c r="W20" i="141"/>
  <c r="W14" i="141"/>
  <c r="S60" i="141"/>
  <c r="W13" i="141"/>
  <c r="U60" i="141"/>
  <c r="R60" i="141"/>
  <c r="J60" i="141"/>
  <c r="W44" i="140"/>
  <c r="W38" i="140"/>
  <c r="W30" i="140"/>
  <c r="W14" i="140"/>
  <c r="S60" i="140"/>
  <c r="R60" i="140"/>
  <c r="U60" i="140"/>
  <c r="W13" i="140"/>
  <c r="J60" i="140"/>
  <c r="W9" i="140"/>
  <c r="V27" i="142"/>
  <c r="V60" i="142" s="1"/>
  <c r="I60" i="142"/>
  <c r="V27" i="141"/>
  <c r="V60" i="141" s="1"/>
  <c r="I60" i="141"/>
  <c r="I60" i="140"/>
  <c r="V8" i="140"/>
  <c r="V60" i="140" s="1"/>
  <c r="J13" i="134"/>
  <c r="W60" i="142" l="1"/>
  <c r="W60" i="141"/>
  <c r="W60" i="140"/>
  <c r="C48" i="132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V53" i="139"/>
  <c r="U53" i="139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V51" i="139"/>
  <c r="U51" i="139"/>
  <c r="S51" i="139"/>
  <c r="R51" i="139"/>
  <c r="J51" i="139"/>
  <c r="I51" i="139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R45" i="139"/>
  <c r="J45" i="139"/>
  <c r="I45" i="139"/>
  <c r="U44" i="139"/>
  <c r="V44" i="139" s="1"/>
  <c r="S44" i="139"/>
  <c r="R44" i="139"/>
  <c r="J44" i="139"/>
  <c r="I44" i="139"/>
  <c r="W44" i="139" s="1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W41" i="139" s="1"/>
  <c r="W40" i="139"/>
  <c r="V40" i="139"/>
  <c r="U40" i="139"/>
  <c r="S40" i="139"/>
  <c r="R40" i="139"/>
  <c r="J40" i="139"/>
  <c r="I40" i="139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W30" i="139" s="1"/>
  <c r="I30" i="139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V26" i="139"/>
  <c r="U26" i="139"/>
  <c r="S26" i="139"/>
  <c r="R26" i="139"/>
  <c r="J26" i="139"/>
  <c r="I26" i="139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V23" i="139"/>
  <c r="U23" i="139"/>
  <c r="S23" i="139"/>
  <c r="R23" i="139"/>
  <c r="J23" i="139"/>
  <c r="I23" i="139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V52" i="138"/>
  <c r="U52" i="138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V50" i="138"/>
  <c r="U50" i="138"/>
  <c r="S50" i="138"/>
  <c r="R50" i="138"/>
  <c r="J50" i="138"/>
  <c r="I50" i="138"/>
  <c r="W50" i="138" s="1"/>
  <c r="W49" i="138"/>
  <c r="U49" i="138"/>
  <c r="V49" i="138" s="1"/>
  <c r="S49" i="138"/>
  <c r="R49" i="138"/>
  <c r="J49" i="138"/>
  <c r="I49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8" i="138"/>
  <c r="U28" i="138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V23" i="138"/>
  <c r="U23" i="138"/>
  <c r="S23" i="138"/>
  <c r="R23" i="138"/>
  <c r="J23" i="138"/>
  <c r="I23" i="138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J8" i="138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38" i="139" l="1"/>
  <c r="U60" i="139"/>
  <c r="W26" i="139"/>
  <c r="W24" i="139"/>
  <c r="W23" i="139"/>
  <c r="W20" i="139"/>
  <c r="R60" i="139"/>
  <c r="S60" i="139"/>
  <c r="W13" i="139"/>
  <c r="J60" i="139"/>
  <c r="W8" i="139"/>
  <c r="W48" i="138"/>
  <c r="W44" i="138"/>
  <c r="W41" i="138"/>
  <c r="W30" i="138"/>
  <c r="W38" i="138"/>
  <c r="W35" i="138"/>
  <c r="W29" i="138"/>
  <c r="W26" i="138"/>
  <c r="W24" i="138"/>
  <c r="W23" i="138"/>
  <c r="U60" i="138"/>
  <c r="S60" i="138"/>
  <c r="W13" i="138"/>
  <c r="W12" i="138"/>
  <c r="R60" i="138"/>
  <c r="W9" i="138"/>
  <c r="J60" i="138"/>
  <c r="W8" i="138"/>
  <c r="W44" i="137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I60" i="139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9" l="1"/>
  <c r="W60" i="138"/>
  <c r="W60" i="137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536CD40-BC13-4E16-B097-150CBD802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265114-368D-43B9-82A2-299BAADBF1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545812-7B2C-4165-825C-6361EF017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C14793-BBEA-40DF-A7B0-8BDDFA300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3F6FAA-ADEE-455F-8A0F-F0CC24FCB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7FD1A8A-CED5-4722-B146-09136186A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95C3D00-E343-48D0-A4BE-AF1C90FD4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A71A40B-CEF1-40AD-B3B4-048FA49CF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F5163A-AE99-4D59-A1F5-4FA80BE27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8BCF14-F18C-4CDE-B92D-E89670052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0EB7827-2134-4582-9873-AF5BDA9915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353AE1-A206-4337-8CF5-DFFB253A5A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7BB7A52-D6CD-400E-9ACD-83EE7107B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9717BA-C19C-4B1B-8856-68F0510530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4DFF860-DEA2-409E-8865-93A78E583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5E2F61-22E6-473C-8FE4-0F535C53F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FC17ED-2A8E-47DB-A7C3-A5D4E4908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B28AC2E-F654-4ACE-9829-3E7550EF3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9DADAC7-CD72-4037-A294-C24438DF4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A27763-43A7-426F-B839-5C2832F7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6A181B7-C36B-46D4-85BF-B8F937EFED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4286E9F-5447-4EA2-B970-5CC3F3D15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A70275C-001F-4068-9EF3-D801EDAA3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90CC5E2-31DD-459B-93B7-8EE538955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1FCCDA-592E-4589-B88B-121FB3A21A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93743D5-2BA6-41E7-B323-925C83A6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0C29833-AF0E-4D4B-AE02-0CD8C20498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58C7BC6-2160-460A-8B9B-8EE19654E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F0C985F-0A2D-409F-958A-53BFEA951B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CED33FF-757F-4353-8855-EC13CDFB5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4F1203F-FD23-4002-96AA-70143799F7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1E064F0-61E8-4424-A741-279779F829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B355CAC-4E2B-405D-869F-1F8A75E96E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B2F1DA8-5B1D-4BE5-81ED-01B76EBC3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4662BAB-C207-4196-AC74-38FF54504B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68E9919-06FF-464C-B62C-7B0EBC562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<sst xmlns="http://schemas.openxmlformats.org/spreadsheetml/2006/main" count="2226" uniqueCount="82">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</sst>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3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/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06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46237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85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46238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88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46239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88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46240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88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46241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88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46242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88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46244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88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>
        <v>1</v>
      </c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3462</v>
      </c>
      <c r="D13" s="114">
        <v>14</v>
      </c>
      <c r="E13" s="115"/>
      <c r="F13" s="115"/>
      <c r="G13" s="78">
        <v>34</v>
      </c>
      <c r="H13" s="79">
        <v>27</v>
      </c>
      <c r="I13" s="80">
        <f t="shared" si="4"/>
        <v>3428</v>
      </c>
      <c r="J13" s="94">
        <f>D13-H13</f>
        <v>-13</v>
      </c>
      <c r="K13" s="53"/>
      <c r="L13" s="121">
        <v>6</v>
      </c>
      <c r="M13" s="121">
        <v>7</v>
      </c>
      <c r="N13" s="121">
        <v>16</v>
      </c>
      <c r="O13" s="121">
        <v>17</v>
      </c>
      <c r="P13" s="121">
        <v>12</v>
      </c>
      <c r="Q13" s="122">
        <v>3</v>
      </c>
      <c r="R13" s="97">
        <f>L13+N13+P13</f>
        <v>34</v>
      </c>
      <c r="S13" s="125">
        <f>M13+O13+Q13</f>
        <v>27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82259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</v>
      </c>
      <c r="D29" s="111"/>
      <c r="E29" s="112"/>
      <c r="F29" s="112"/>
      <c r="G29" s="76">
        <v>7</v>
      </c>
      <c r="H29" s="73"/>
      <c r="I29" s="73">
        <f t="shared" si="4"/>
        <v>5</v>
      </c>
      <c r="J29" s="77">
        <f t="shared" si="7"/>
        <v>0</v>
      </c>
      <c r="K29" s="42"/>
      <c r="L29" s="112">
        <v>1</v>
      </c>
      <c r="M29" s="112"/>
      <c r="N29" s="112">
        <v>6</v>
      </c>
      <c r="O29" s="112"/>
      <c r="P29" s="112"/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120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>
        <v>1</v>
      </c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/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3765</v>
      </c>
      <c r="D38" s="114">
        <v>1</v>
      </c>
      <c r="E38" s="115"/>
      <c r="F38" s="115"/>
      <c r="G38" s="78">
        <v>225</v>
      </c>
      <c r="H38" s="79"/>
      <c r="I38" s="80">
        <f t="shared" si="4"/>
        <v>3540</v>
      </c>
      <c r="J38" s="140">
        <f t="shared" si="7"/>
        <v>1</v>
      </c>
      <c r="K38" s="51"/>
      <c r="L38" s="121">
        <v>8</v>
      </c>
      <c r="M38" s="121"/>
      <c r="N38" s="121">
        <v>125</v>
      </c>
      <c r="O38" s="121"/>
      <c r="P38" s="121">
        <v>92</v>
      </c>
      <c r="Q38" s="122"/>
      <c r="R38" s="97">
        <f t="shared" si="8"/>
        <v>225</v>
      </c>
      <c r="S38" s="125">
        <f t="shared" si="8"/>
        <v>0</v>
      </c>
      <c r="T38" s="51"/>
      <c r="U38" s="131">
        <f>L38*6+N38*6+P38*6</f>
        <v>1350</v>
      </c>
      <c r="V38" s="135">
        <f>U38/6</f>
        <v>225</v>
      </c>
      <c r="W38" s="133">
        <f>I38*6+J38</f>
        <v>21241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</v>
      </c>
      <c r="D42" s="164"/>
      <c r="E42" s="165"/>
      <c r="F42" s="165"/>
      <c r="G42" s="166">
        <v>30</v>
      </c>
      <c r="H42" s="167"/>
      <c r="I42" s="181">
        <f t="shared" si="4"/>
        <v>6</v>
      </c>
      <c r="J42" s="168">
        <f t="shared" si="7"/>
        <v>0</v>
      </c>
      <c r="K42" s="169"/>
      <c r="L42" s="165">
        <v>2</v>
      </c>
      <c r="M42" s="165"/>
      <c r="N42" s="165">
        <v>2</v>
      </c>
      <c r="O42" s="165"/>
      <c r="P42" s="165">
        <v>26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41143</v>
      </c>
      <c r="D44" s="114">
        <v>4</v>
      </c>
      <c r="E44" s="115"/>
      <c r="F44" s="115"/>
      <c r="G44" s="78">
        <v>1168</v>
      </c>
      <c r="H44" s="79"/>
      <c r="I44" s="182">
        <f t="shared" si="4"/>
        <v>39975</v>
      </c>
      <c r="J44" s="177">
        <f t="shared" si="7"/>
        <v>4</v>
      </c>
      <c r="K44" s="51"/>
      <c r="L44" s="121">
        <v>323</v>
      </c>
      <c r="M44" s="121"/>
      <c r="N44" s="121">
        <v>361</v>
      </c>
      <c r="O44" s="121"/>
      <c r="P44" s="121">
        <v>484</v>
      </c>
      <c r="Q44" s="122"/>
      <c r="R44" s="178">
        <f t="shared" si="8"/>
        <v>1168</v>
      </c>
      <c r="S44" s="179">
        <f t="shared" si="8"/>
        <v>0</v>
      </c>
      <c r="T44" s="51"/>
      <c r="U44" s="131">
        <f>L44*6+N44*6+P44*6</f>
        <v>7008</v>
      </c>
      <c r="V44" s="130">
        <f>U44/6</f>
        <v>1168</v>
      </c>
      <c r="W44" s="133">
        <f>I44*6+J44</f>
        <v>239854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51926</v>
      </c>
      <c r="D60" s="54">
        <f>SUM(D8:D59)</f>
        <v>148</v>
      </c>
      <c r="E60" s="44">
        <f>SUM(E8:E59)</f>
        <v>0</v>
      </c>
      <c r="F60" s="44"/>
      <c r="G60" s="28">
        <f>SUM(G8:G59)</f>
        <v>1466</v>
      </c>
      <c r="H60" s="56">
        <f>SUM(H8:H59)</f>
        <v>27</v>
      </c>
      <c r="I60" s="56">
        <f>SUM(I8:I59)</f>
        <v>50460</v>
      </c>
      <c r="J60" s="45">
        <f>SUM(J8:J59)</f>
        <v>121</v>
      </c>
      <c r="K60" s="46"/>
      <c r="L60" s="74">
        <f t="shared" ref="L60:S60" si="21">SUM(L8:L59)</f>
        <v>340</v>
      </c>
      <c r="M60" s="74">
        <f t="shared" si="21"/>
        <v>7</v>
      </c>
      <c r="N60" s="74">
        <f t="shared" si="21"/>
        <v>512</v>
      </c>
      <c r="O60" s="74">
        <f t="shared" si="21"/>
        <v>17</v>
      </c>
      <c r="P60" s="74">
        <f t="shared" si="21"/>
        <v>614</v>
      </c>
      <c r="Q60" s="75">
        <f t="shared" si="21"/>
        <v>3</v>
      </c>
      <c r="R60" s="85">
        <f t="shared" si="21"/>
        <v>1466</v>
      </c>
      <c r="S60" s="84">
        <f t="shared" si="21"/>
        <v>27</v>
      </c>
      <c r="T60" s="46"/>
      <c r="U60" s="43">
        <f>SUM(U8:U59)</f>
        <v>9750</v>
      </c>
      <c r="V60" s="102">
        <f>SUM(V8:V59)</f>
        <v>1466</v>
      </c>
      <c r="W60" s="180">
        <f>SUM(W8:W59)</f>
        <v>378571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46245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88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3427</v>
      </c>
      <c r="D13" s="114">
        <v>11</v>
      </c>
      <c r="E13" s="115"/>
      <c r="F13" s="115"/>
      <c r="G13" s="78">
        <v>33</v>
      </c>
      <c r="H13" s="79">
        <v>35</v>
      </c>
      <c r="I13" s="80">
        <f t="shared" si="4"/>
        <v>3394</v>
      </c>
      <c r="J13" s="94">
        <f>D13-H13</f>
        <v>-24</v>
      </c>
      <c r="K13" s="53"/>
      <c r="L13" s="121">
        <v>8</v>
      </c>
      <c r="M13" s="121">
        <v>14</v>
      </c>
      <c r="N13" s="121">
        <v>10</v>
      </c>
      <c r="O13" s="121">
        <v>18</v>
      </c>
      <c r="P13" s="121">
        <v>15</v>
      </c>
      <c r="Q13" s="122">
        <v>3</v>
      </c>
      <c r="R13" s="97">
        <f>L13+N13+P13</f>
        <v>33</v>
      </c>
      <c r="S13" s="125">
        <f>M13+O13+Q13</f>
        <v>35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81432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>
        <v>1</v>
      </c>
      <c r="H28" s="73"/>
      <c r="I28" s="73">
        <f t="shared" si="4"/>
        <v>3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</v>
      </c>
      <c r="D29" s="111"/>
      <c r="E29" s="112"/>
      <c r="F29" s="112"/>
      <c r="G29" s="76">
        <v>2</v>
      </c>
      <c r="H29" s="73"/>
      <c r="I29" s="73">
        <f t="shared" si="4"/>
        <v>3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1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/>
      <c r="H30" s="73"/>
      <c r="I30" s="73">
        <f t="shared" si="4"/>
        <v>28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198</v>
      </c>
      <c r="D35" s="111">
        <v>2</v>
      </c>
      <c r="E35" s="112"/>
      <c r="F35" s="112"/>
      <c r="G35" s="76">
        <v>4</v>
      </c>
      <c r="H35" s="73"/>
      <c r="I35" s="73">
        <f t="shared" si="4"/>
        <v>194</v>
      </c>
      <c r="J35" s="77">
        <f t="shared" si="7"/>
        <v>2</v>
      </c>
      <c r="K35" s="41"/>
      <c r="L35" s="112">
        <v>4</v>
      </c>
      <c r="M35" s="112"/>
      <c r="N35" s="112"/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3540</v>
      </c>
      <c r="D38" s="114">
        <v>1</v>
      </c>
      <c r="E38" s="115"/>
      <c r="F38" s="115"/>
      <c r="G38" s="78">
        <v>83</v>
      </c>
      <c r="H38" s="79"/>
      <c r="I38" s="80">
        <f t="shared" si="4"/>
        <v>3457</v>
      </c>
      <c r="J38" s="140">
        <f t="shared" si="7"/>
        <v>1</v>
      </c>
      <c r="K38" s="51"/>
      <c r="L38" s="121">
        <v>30</v>
      </c>
      <c r="M38" s="121"/>
      <c r="N38" s="121">
        <v>23</v>
      </c>
      <c r="O38" s="121"/>
      <c r="P38" s="121">
        <v>30</v>
      </c>
      <c r="Q38" s="122"/>
      <c r="R38" s="97">
        <f t="shared" si="8"/>
        <v>83</v>
      </c>
      <c r="S38" s="125">
        <f t="shared" si="8"/>
        <v>0</v>
      </c>
      <c r="T38" s="51"/>
      <c r="U38" s="131">
        <f>L38*6+N38*6+P38*6</f>
        <v>498</v>
      </c>
      <c r="V38" s="135">
        <f>U38/6</f>
        <v>83</v>
      </c>
      <c r="W38" s="133">
        <f>I38*6+J38</f>
        <v>20743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>
        <v>252</v>
      </c>
      <c r="F41" s="148"/>
      <c r="G41" s="149">
        <v>2</v>
      </c>
      <c r="H41" s="150"/>
      <c r="I41" s="80">
        <f t="shared" si="4"/>
        <v>370</v>
      </c>
      <c r="J41" s="152">
        <f t="shared" si="7"/>
        <v>20</v>
      </c>
      <c r="K41" s="153"/>
      <c r="L41" s="154">
        <v>2</v>
      </c>
      <c r="M41" s="154"/>
      <c r="N41" s="154"/>
      <c r="O41" s="154"/>
      <c r="P41" s="154"/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</v>
      </c>
      <c r="D42" s="164"/>
      <c r="E42" s="165">
        <v>576</v>
      </c>
      <c r="F42" s="165"/>
      <c r="G42" s="166">
        <v>6</v>
      </c>
      <c r="H42" s="167"/>
      <c r="I42" s="181">
        <f t="shared" si="4"/>
        <v>576</v>
      </c>
      <c r="J42" s="168">
        <f t="shared" si="7"/>
        <v>0</v>
      </c>
      <c r="K42" s="169"/>
      <c r="L42" s="165">
        <v>3</v>
      </c>
      <c r="M42" s="165"/>
      <c r="N42" s="165">
        <v>3</v>
      </c>
      <c r="O42" s="165"/>
      <c r="P42" s="165"/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6912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39975</v>
      </c>
      <c r="D44" s="114">
        <v>4</v>
      </c>
      <c r="E44" s="115">
        <v>756</v>
      </c>
      <c r="F44" s="115"/>
      <c r="G44" s="78">
        <v>1164</v>
      </c>
      <c r="H44" s="79"/>
      <c r="I44" s="182">
        <f t="shared" si="4"/>
        <v>39567</v>
      </c>
      <c r="J44" s="177">
        <f t="shared" si="7"/>
        <v>4</v>
      </c>
      <c r="K44" s="51"/>
      <c r="L44" s="121">
        <v>402</v>
      </c>
      <c r="M44" s="121"/>
      <c r="N44" s="121">
        <v>344</v>
      </c>
      <c r="O44" s="121"/>
      <c r="P44" s="121">
        <v>418</v>
      </c>
      <c r="Q44" s="122"/>
      <c r="R44" s="178">
        <f t="shared" si="8"/>
        <v>1164</v>
      </c>
      <c r="S44" s="179">
        <f t="shared" si="8"/>
        <v>0</v>
      </c>
      <c r="T44" s="51"/>
      <c r="U44" s="131">
        <f>L44*6+N44*6+P44*6</f>
        <v>6984</v>
      </c>
      <c r="V44" s="130">
        <f>U44/6</f>
        <v>1164</v>
      </c>
      <c r="W44" s="133">
        <f>I44*6+J44</f>
        <v>237406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>
        <v>6</v>
      </c>
      <c r="H48" s="139"/>
      <c r="I48" s="80">
        <f t="shared" si="4"/>
        <v>2696</v>
      </c>
      <c r="J48" s="140">
        <f t="shared" si="7"/>
        <v>3</v>
      </c>
      <c r="K48" s="51"/>
      <c r="L48" s="121">
        <v>6</v>
      </c>
      <c r="M48" s="121"/>
      <c r="N48" s="121"/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16179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50459</v>
      </c>
      <c r="D60" s="54">
        <f>SUM(D8:D59)</f>
        <v>145</v>
      </c>
      <c r="E60" s="44">
        <f>SUM(E8:E59)</f>
        <v>1599</v>
      </c>
      <c r="F60" s="44"/>
      <c r="G60" s="28">
        <f>SUM(G8:G59)</f>
        <v>1301</v>
      </c>
      <c r="H60" s="56">
        <f>SUM(H8:H59)</f>
        <v>35</v>
      </c>
      <c r="I60" s="56">
        <f>SUM(I8:I59)</f>
        <v>50757</v>
      </c>
      <c r="J60" s="45">
        <f>SUM(J8:J59)</f>
        <v>110</v>
      </c>
      <c r="K60" s="46"/>
      <c r="L60" s="74">
        <f t="shared" ref="L60:S60" si="21">SUM(L8:L59)</f>
        <v>457</v>
      </c>
      <c r="M60" s="74">
        <f t="shared" si="21"/>
        <v>14</v>
      </c>
      <c r="N60" s="74">
        <f t="shared" si="21"/>
        <v>380</v>
      </c>
      <c r="O60" s="74">
        <f t="shared" si="21"/>
        <v>18</v>
      </c>
      <c r="P60" s="74">
        <f t="shared" si="21"/>
        <v>464</v>
      </c>
      <c r="Q60" s="75">
        <f t="shared" si="21"/>
        <v>3</v>
      </c>
      <c r="R60" s="85">
        <f t="shared" si="21"/>
        <v>1301</v>
      </c>
      <c r="S60" s="84">
        <f t="shared" si="21"/>
        <v>35</v>
      </c>
      <c r="T60" s="46"/>
      <c r="U60" s="43">
        <f>SUM(U8:U59)</f>
        <v>8598</v>
      </c>
      <c r="V60" s="102">
        <f>SUM(V8:V59)</f>
        <v>1301</v>
      </c>
      <c r="W60" s="180">
        <f>SUM(W8:W59)</f>
        <v>387794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4C984-7640-4FF6-AB98-89B32DFF90F7}">
  <sheetPr>
    <pageSetUpPr fitToPage="1"/>
  </sheetPr>
  <dimension ref="A1:BH90"/>
  <sheetViews>
    <sheetView topLeftCell="A34" zoomScale="115" zoomScaleNormal="11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46246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1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</v>
      </c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3393</v>
      </c>
      <c r="D13" s="114"/>
      <c r="E13" s="115"/>
      <c r="F13" s="115"/>
      <c r="G13" s="78">
        <v>26</v>
      </c>
      <c r="H13" s="79">
        <v>35</v>
      </c>
      <c r="I13" s="80">
        <f t="shared" si="4"/>
        <v>3367</v>
      </c>
      <c r="J13" s="94">
        <f>D13-H13</f>
        <v>-35</v>
      </c>
      <c r="K13" s="53"/>
      <c r="L13" s="121">
        <v>9</v>
      </c>
      <c r="M13" s="121">
        <v>10</v>
      </c>
      <c r="N13" s="121">
        <v>10</v>
      </c>
      <c r="O13" s="121">
        <v>13</v>
      </c>
      <c r="P13" s="121">
        <v>7</v>
      </c>
      <c r="Q13" s="122">
        <v>12</v>
      </c>
      <c r="R13" s="97">
        <f>L13+N13+P13</f>
        <v>26</v>
      </c>
      <c r="S13" s="125">
        <f>M13+O13+Q13</f>
        <v>35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80773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>
        <v>2</v>
      </c>
      <c r="H26" s="73"/>
      <c r="I26" s="73">
        <f t="shared" si="4"/>
        <v>53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1273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3</v>
      </c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28</v>
      </c>
      <c r="D30" s="111">
        <v>5</v>
      </c>
      <c r="E30" s="112"/>
      <c r="F30" s="112"/>
      <c r="G30" s="76">
        <v>1</v>
      </c>
      <c r="H30" s="73"/>
      <c r="I30" s="73">
        <f t="shared" si="4"/>
        <v>27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653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1</v>
      </c>
      <c r="H31" s="73"/>
      <c r="I31" s="73">
        <f t="shared" si="4"/>
        <v>14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336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/>
      <c r="H35" s="73"/>
      <c r="I35" s="73">
        <f t="shared" si="4"/>
        <v>194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4658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3457</v>
      </c>
      <c r="D38" s="114">
        <v>1</v>
      </c>
      <c r="E38" s="115"/>
      <c r="F38" s="115"/>
      <c r="G38" s="78">
        <v>93</v>
      </c>
      <c r="H38" s="79"/>
      <c r="I38" s="80">
        <f t="shared" si="4"/>
        <v>3364</v>
      </c>
      <c r="J38" s="140">
        <f t="shared" si="7"/>
        <v>1</v>
      </c>
      <c r="K38" s="51"/>
      <c r="L38" s="121">
        <v>32</v>
      </c>
      <c r="M38" s="121">
        <v>10</v>
      </c>
      <c r="N38" s="121"/>
      <c r="O38" s="121"/>
      <c r="P38" s="121">
        <v>51</v>
      </c>
      <c r="Q38" s="122"/>
      <c r="R38" s="97">
        <f t="shared" si="8"/>
        <v>83</v>
      </c>
      <c r="S38" s="125">
        <f t="shared" si="8"/>
        <v>10</v>
      </c>
      <c r="T38" s="51"/>
      <c r="U38" s="131">
        <f>L38*6+N38*6+P38*6</f>
        <v>498</v>
      </c>
      <c r="V38" s="135">
        <f>U38/6</f>
        <v>83</v>
      </c>
      <c r="W38" s="133">
        <f>I38*6+J38</f>
        <v>20185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370</v>
      </c>
      <c r="D41" s="147">
        <v>20</v>
      </c>
      <c r="E41" s="148"/>
      <c r="F41" s="148"/>
      <c r="G41" s="149">
        <v>2</v>
      </c>
      <c r="H41" s="150"/>
      <c r="I41" s="80">
        <f t="shared" si="4"/>
        <v>368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8852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576</v>
      </c>
      <c r="D42" s="164"/>
      <c r="E42" s="165"/>
      <c r="F42" s="165"/>
      <c r="G42" s="166">
        <v>10</v>
      </c>
      <c r="H42" s="167"/>
      <c r="I42" s="181">
        <f t="shared" si="4"/>
        <v>566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/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6792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39567</v>
      </c>
      <c r="D44" s="114">
        <v>3</v>
      </c>
      <c r="E44" s="115"/>
      <c r="F44" s="115"/>
      <c r="G44" s="78">
        <v>1286</v>
      </c>
      <c r="H44" s="79"/>
      <c r="I44" s="182">
        <f t="shared" si="4"/>
        <v>38281</v>
      </c>
      <c r="J44" s="177">
        <f t="shared" si="7"/>
        <v>3</v>
      </c>
      <c r="K44" s="51"/>
      <c r="L44" s="121">
        <v>632</v>
      </c>
      <c r="M44" s="121"/>
      <c r="N44" s="121">
        <v>362</v>
      </c>
      <c r="O44" s="121"/>
      <c r="P44" s="121">
        <v>292</v>
      </c>
      <c r="Q44" s="122"/>
      <c r="R44" s="178">
        <f t="shared" si="8"/>
        <v>1286</v>
      </c>
      <c r="S44" s="179">
        <f t="shared" si="8"/>
        <v>0</v>
      </c>
      <c r="T44" s="51"/>
      <c r="U44" s="131">
        <f>L44*6+N44*6+P44*6</f>
        <v>7716</v>
      </c>
      <c r="V44" s="130">
        <f>U44/6</f>
        <v>1286</v>
      </c>
      <c r="W44" s="133">
        <f>I44*6+J44</f>
        <v>229689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2696</v>
      </c>
      <c r="D48" s="142">
        <v>3</v>
      </c>
      <c r="E48" s="121"/>
      <c r="F48" s="121"/>
      <c r="G48" s="143">
        <v>5</v>
      </c>
      <c r="H48" s="139"/>
      <c r="I48" s="80">
        <f t="shared" si="4"/>
        <v>2691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50756</v>
      </c>
      <c r="D60" s="54">
        <f>SUM(D8:D59)</f>
        <v>133</v>
      </c>
      <c r="E60" s="44">
        <f>SUM(E8:E59)</f>
        <v>0</v>
      </c>
      <c r="F60" s="44"/>
      <c r="G60" s="28">
        <f>SUM(G8:G59)</f>
        <v>1430</v>
      </c>
      <c r="H60" s="56">
        <f>SUM(H8:H59)</f>
        <v>35</v>
      </c>
      <c r="I60" s="56">
        <f>SUM(I8:I59)</f>
        <v>49326</v>
      </c>
      <c r="J60" s="45">
        <f>SUM(J8:J59)</f>
        <v>98</v>
      </c>
      <c r="K60" s="46"/>
      <c r="L60" s="74">
        <f t="shared" ref="L60:S60" si="21">SUM(L8:L59)</f>
        <v>688</v>
      </c>
      <c r="M60" s="74">
        <f t="shared" si="21"/>
        <v>20</v>
      </c>
      <c r="N60" s="74">
        <f t="shared" si="21"/>
        <v>372</v>
      </c>
      <c r="O60" s="74">
        <f t="shared" si="21"/>
        <v>13</v>
      </c>
      <c r="P60" s="74">
        <f t="shared" si="21"/>
        <v>360</v>
      </c>
      <c r="Q60" s="75">
        <f t="shared" si="21"/>
        <v>12</v>
      </c>
      <c r="R60" s="85">
        <f t="shared" si="21"/>
        <v>1420</v>
      </c>
      <c r="S60" s="84">
        <f t="shared" si="21"/>
        <v>45</v>
      </c>
      <c r="T60" s="46"/>
      <c r="U60" s="43">
        <f>SUM(U8:U59)</f>
        <v>9228</v>
      </c>
      <c r="V60" s="102">
        <f>SUM(V8:V59)</f>
        <v>1420</v>
      </c>
      <c r="W60" s="180">
        <f>SUM(W8:W59)</f>
        <v>378470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9691-D32E-4EF3-A38C-64AA92DFEDB5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55" sqref="C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46247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1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>
        <v>2</v>
      </c>
      <c r="H11" s="73"/>
      <c r="I11" s="73">
        <f t="shared" si="4"/>
        <v>44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1056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3365</v>
      </c>
      <c r="D13" s="114">
        <v>13</v>
      </c>
      <c r="E13" s="115"/>
      <c r="F13" s="115"/>
      <c r="G13" s="78">
        <v>27</v>
      </c>
      <c r="H13" s="79">
        <v>12</v>
      </c>
      <c r="I13" s="80">
        <f t="shared" si="4"/>
        <v>3338</v>
      </c>
      <c r="J13" s="94">
        <f>D13-H13</f>
        <v>1</v>
      </c>
      <c r="K13" s="53"/>
      <c r="L13" s="121">
        <v>3</v>
      </c>
      <c r="M13" s="121"/>
      <c r="N13" s="121">
        <v>8</v>
      </c>
      <c r="O13" s="121">
        <v>10</v>
      </c>
      <c r="P13" s="121">
        <v>16</v>
      </c>
      <c r="Q13" s="122">
        <v>2</v>
      </c>
      <c r="R13" s="97">
        <f>L13+N13+P13</f>
        <v>27</v>
      </c>
      <c r="S13" s="125">
        <f>M13+O13+Q13</f>
        <v>12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80113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53</v>
      </c>
      <c r="D26" s="111">
        <v>1</v>
      </c>
      <c r="E26" s="112"/>
      <c r="F26" s="112"/>
      <c r="G26" s="76">
        <v>4</v>
      </c>
      <c r="H26" s="73"/>
      <c r="I26" s="73">
        <f t="shared" si="4"/>
        <v>49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27</v>
      </c>
      <c r="D30" s="111">
        <v>5</v>
      </c>
      <c r="E30" s="112"/>
      <c r="F30" s="112"/>
      <c r="G30" s="76">
        <v>1</v>
      </c>
      <c r="H30" s="73"/>
      <c r="I30" s="73">
        <f t="shared" si="4"/>
        <v>26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14</v>
      </c>
      <c r="D31" s="111"/>
      <c r="E31" s="112"/>
      <c r="F31" s="112"/>
      <c r="G31" s="76">
        <v>2</v>
      </c>
      <c r="H31" s="73"/>
      <c r="I31" s="73">
        <f t="shared" si="4"/>
        <v>12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7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194</v>
      </c>
      <c r="D35" s="111">
        <v>2</v>
      </c>
      <c r="E35" s="112"/>
      <c r="F35" s="112"/>
      <c r="G35" s="76">
        <v>4</v>
      </c>
      <c r="H35" s="73"/>
      <c r="I35" s="73">
        <f t="shared" si="4"/>
        <v>190</v>
      </c>
      <c r="J35" s="77">
        <f t="shared" si="7"/>
        <v>2</v>
      </c>
      <c r="K35" s="41"/>
      <c r="L35" s="112">
        <v>3</v>
      </c>
      <c r="M35" s="112"/>
      <c r="N35" s="112">
        <v>1</v>
      </c>
      <c r="O35" s="112"/>
      <c r="P35" s="112"/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4562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3364</v>
      </c>
      <c r="D38" s="114">
        <v>1</v>
      </c>
      <c r="E38" s="115"/>
      <c r="F38" s="115"/>
      <c r="G38" s="78">
        <v>154</v>
      </c>
      <c r="H38" s="79"/>
      <c r="I38" s="80">
        <f t="shared" si="4"/>
        <v>3210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108</v>
      </c>
      <c r="Q38" s="122"/>
      <c r="R38" s="97">
        <f t="shared" si="8"/>
        <v>154</v>
      </c>
      <c r="S38" s="125">
        <f t="shared" si="8"/>
        <v>0</v>
      </c>
      <c r="T38" s="51"/>
      <c r="U38" s="131">
        <f>L38*6+N38*6+P38*6</f>
        <v>924</v>
      </c>
      <c r="V38" s="135">
        <f>U38/6</f>
        <v>154</v>
      </c>
      <c r="W38" s="133">
        <f>I38*6+J38</f>
        <v>19261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>
        <v>1</v>
      </c>
      <c r="H39" s="73"/>
      <c r="I39" s="93">
        <f t="shared" si="4"/>
        <v>4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96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368</v>
      </c>
      <c r="D41" s="147">
        <v>20</v>
      </c>
      <c r="E41" s="148"/>
      <c r="F41" s="148"/>
      <c r="G41" s="149">
        <v>55</v>
      </c>
      <c r="H41" s="150"/>
      <c r="I41" s="80">
        <f t="shared" si="4"/>
        <v>313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7532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566</v>
      </c>
      <c r="D42" s="164"/>
      <c r="E42" s="165"/>
      <c r="F42" s="165"/>
      <c r="G42" s="166">
        <v>30</v>
      </c>
      <c r="H42" s="167"/>
      <c r="I42" s="181">
        <f t="shared" si="4"/>
        <v>536</v>
      </c>
      <c r="J42" s="168">
        <f t="shared" si="7"/>
        <v>0</v>
      </c>
      <c r="K42" s="169"/>
      <c r="L42" s="165">
        <v>8</v>
      </c>
      <c r="M42" s="165"/>
      <c r="N42" s="165">
        <v>10</v>
      </c>
      <c r="O42" s="165"/>
      <c r="P42" s="165">
        <v>12</v>
      </c>
      <c r="Q42" s="170"/>
      <c r="R42" s="171">
        <f t="shared" si="8"/>
        <v>30</v>
      </c>
      <c r="S42" s="172">
        <f t="shared" si="8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6432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38281</v>
      </c>
      <c r="D44" s="114">
        <v>3</v>
      </c>
      <c r="E44" s="115"/>
      <c r="F44" s="115"/>
      <c r="G44" s="78">
        <v>1061</v>
      </c>
      <c r="H44" s="79"/>
      <c r="I44" s="182">
        <f t="shared" si="4"/>
        <v>37220</v>
      </c>
      <c r="J44" s="177">
        <f t="shared" si="7"/>
        <v>3</v>
      </c>
      <c r="K44" s="51"/>
      <c r="L44" s="121">
        <v>347</v>
      </c>
      <c r="M44" s="121"/>
      <c r="N44" s="121">
        <v>345</v>
      </c>
      <c r="O44" s="121"/>
      <c r="P44" s="121">
        <v>369</v>
      </c>
      <c r="Q44" s="122"/>
      <c r="R44" s="178">
        <f t="shared" si="8"/>
        <v>1061</v>
      </c>
      <c r="S44" s="179">
        <f t="shared" si="8"/>
        <v>0</v>
      </c>
      <c r="T44" s="51"/>
      <c r="U44" s="131">
        <f>L44*6+N44*6+P44*6</f>
        <v>6366</v>
      </c>
      <c r="V44" s="130">
        <f>U44/6</f>
        <v>1061</v>
      </c>
      <c r="W44" s="133">
        <f>I44*6+J44</f>
        <v>223323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/>
      <c r="H48" s="139"/>
      <c r="I48" s="80">
        <f t="shared" si="4"/>
        <v>2691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16149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>
        <v>10</v>
      </c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>
        <v>10</v>
      </c>
      <c r="Q50" s="120"/>
      <c r="R50" s="86">
        <f t="shared" si="8"/>
        <v>10</v>
      </c>
      <c r="S50" s="124">
        <f t="shared" si="8"/>
        <v>0</v>
      </c>
      <c r="T50" s="41"/>
      <c r="U50" s="107">
        <f t="shared" si="15"/>
        <v>240</v>
      </c>
      <c r="V50" s="130">
        <f t="shared" si="16"/>
        <v>10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49324</v>
      </c>
      <c r="D60" s="54">
        <f>SUM(D8:D59)</f>
        <v>146</v>
      </c>
      <c r="E60" s="44">
        <f>SUM(E8:E59)</f>
        <v>0</v>
      </c>
      <c r="F60" s="44"/>
      <c r="G60" s="28">
        <f>SUM(G8:G59)</f>
        <v>1352</v>
      </c>
      <c r="H60" s="56">
        <f>SUM(H8:H59)</f>
        <v>12</v>
      </c>
      <c r="I60" s="56">
        <f>SUM(I8:I59)</f>
        <v>47972</v>
      </c>
      <c r="J60" s="45">
        <f>SUM(J8:J59)</f>
        <v>134</v>
      </c>
      <c r="K60" s="46"/>
      <c r="L60" s="74">
        <f t="shared" ref="L60:S60" si="21">SUM(L8:L59)</f>
        <v>441</v>
      </c>
      <c r="M60" s="74">
        <f t="shared" si="21"/>
        <v>0</v>
      </c>
      <c r="N60" s="74">
        <f t="shared" si="21"/>
        <v>390</v>
      </c>
      <c r="O60" s="74">
        <f t="shared" si="21"/>
        <v>10</v>
      </c>
      <c r="P60" s="74">
        <f t="shared" si="21"/>
        <v>521</v>
      </c>
      <c r="Q60" s="75">
        <f t="shared" si="21"/>
        <v>2</v>
      </c>
      <c r="R60" s="85">
        <f t="shared" si="21"/>
        <v>1352</v>
      </c>
      <c r="S60" s="84">
        <f t="shared" si="21"/>
        <v>12</v>
      </c>
      <c r="T60" s="46"/>
      <c r="U60" s="43">
        <f>SUM(U8:U59)</f>
        <v>10218</v>
      </c>
      <c r="V60" s="102">
        <f>SUM(V8:V59)</f>
        <v>1352</v>
      </c>
      <c r="W60" s="180">
        <f>SUM(W8:W59)</f>
        <v>368240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866B-6F1F-4678-A0E6-52EC5609CFD0}">
  <sheetPr>
    <pageSetUpPr fitToPage="1"/>
  </sheetPr>
  <dimension ref="A1:BH90"/>
  <sheetViews>
    <sheetView topLeftCell="A32" zoomScaleNormal="100" zoomScaleSheetLayoutView="85" zoomScalePageLayoutView="80" workbookViewId="0">
      <selection activeCell="C50" sqref="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46248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1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86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2076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/>
      <c r="H10" s="73"/>
      <c r="I10" s="93">
        <f t="shared" si="4"/>
        <v>91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2184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44</v>
      </c>
      <c r="D11" s="111"/>
      <c r="E11" s="112"/>
      <c r="F11" s="112"/>
      <c r="G11" s="76">
        <v>3</v>
      </c>
      <c r="H11" s="73"/>
      <c r="I11" s="73">
        <f t="shared" si="4"/>
        <v>41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3338</v>
      </c>
      <c r="D13" s="114">
        <v>1</v>
      </c>
      <c r="E13" s="115"/>
      <c r="F13" s="115"/>
      <c r="G13" s="78">
        <v>28</v>
      </c>
      <c r="H13" s="79">
        <v>22</v>
      </c>
      <c r="I13" s="80">
        <f t="shared" si="4"/>
        <v>3310</v>
      </c>
      <c r="J13" s="94">
        <f>D13-H13</f>
        <v>-21</v>
      </c>
      <c r="K13" s="53"/>
      <c r="L13" s="121">
        <v>2</v>
      </c>
      <c r="M13" s="121">
        <v>15</v>
      </c>
      <c r="N13" s="121">
        <v>9</v>
      </c>
      <c r="O13" s="121">
        <v>2</v>
      </c>
      <c r="P13" s="121">
        <v>17</v>
      </c>
      <c r="Q13" s="122">
        <v>5</v>
      </c>
      <c r="R13" s="97">
        <f>L13+N13+P13</f>
        <v>28</v>
      </c>
      <c r="S13" s="125">
        <f>M13+O13+Q13</f>
        <v>22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79419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/>
      <c r="H26" s="73"/>
      <c r="I26" s="73">
        <f t="shared" si="4"/>
        <v>49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1177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>
        <v>3</v>
      </c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>
        <v>3</v>
      </c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7"/>
        <v>0</v>
      </c>
      <c r="K32" s="41"/>
      <c r="L32" s="112">
        <v>1</v>
      </c>
      <c r="M32" s="112"/>
      <c r="N32" s="112"/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190</v>
      </c>
      <c r="D35" s="111">
        <v>2</v>
      </c>
      <c r="E35" s="112"/>
      <c r="F35" s="112"/>
      <c r="G35" s="76">
        <v>1</v>
      </c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3210</v>
      </c>
      <c r="D38" s="114">
        <v>1</v>
      </c>
      <c r="E38" s="115"/>
      <c r="F38" s="115"/>
      <c r="G38" s="78">
        <v>104</v>
      </c>
      <c r="H38" s="79"/>
      <c r="I38" s="80">
        <f t="shared" si="4"/>
        <v>3106</v>
      </c>
      <c r="J38" s="140">
        <f t="shared" si="7"/>
        <v>1</v>
      </c>
      <c r="K38" s="51"/>
      <c r="L38" s="121">
        <v>14</v>
      </c>
      <c r="M38" s="121"/>
      <c r="N38" s="121">
        <v>10</v>
      </c>
      <c r="O38" s="121"/>
      <c r="P38" s="121">
        <v>80</v>
      </c>
      <c r="Q38" s="122"/>
      <c r="R38" s="97">
        <f t="shared" si="8"/>
        <v>104</v>
      </c>
      <c r="S38" s="125">
        <f t="shared" si="8"/>
        <v>0</v>
      </c>
      <c r="T38" s="51"/>
      <c r="U38" s="131">
        <f>L38*6+N38*6+P38*6</f>
        <v>624</v>
      </c>
      <c r="V38" s="135">
        <f>U38/6</f>
        <v>104</v>
      </c>
      <c r="W38" s="133">
        <f>I38*6+J38</f>
        <v>18637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4</v>
      </c>
      <c r="D39" s="111"/>
      <c r="E39" s="112"/>
      <c r="F39" s="112"/>
      <c r="G39" s="76">
        <v>3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>
        <v>3</v>
      </c>
      <c r="Q39" s="120"/>
      <c r="R39" s="96">
        <f t="shared" si="8"/>
        <v>3</v>
      </c>
      <c r="S39" s="126">
        <f t="shared" si="8"/>
        <v>0</v>
      </c>
      <c r="T39" s="41"/>
      <c r="U39" s="107">
        <f t="shared" ref="U39:U41" si="10">L39*24+N39*24+P39*24</f>
        <v>72</v>
      </c>
      <c r="V39" s="109">
        <f t="shared" si="6"/>
        <v>3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313</v>
      </c>
      <c r="D41" s="147">
        <v>20</v>
      </c>
      <c r="E41" s="148"/>
      <c r="F41" s="148"/>
      <c r="G41" s="149">
        <v>1</v>
      </c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536</v>
      </c>
      <c r="D42" s="164"/>
      <c r="E42" s="165"/>
      <c r="F42" s="165"/>
      <c r="G42" s="166">
        <v>37</v>
      </c>
      <c r="H42" s="167"/>
      <c r="I42" s="181">
        <f t="shared" si="4"/>
        <v>499</v>
      </c>
      <c r="J42" s="168">
        <f t="shared" si="7"/>
        <v>0</v>
      </c>
      <c r="K42" s="169"/>
      <c r="L42" s="165">
        <v>10</v>
      </c>
      <c r="M42" s="165"/>
      <c r="N42" s="165">
        <v>2</v>
      </c>
      <c r="O42" s="165"/>
      <c r="P42" s="165">
        <v>25</v>
      </c>
      <c r="Q42" s="170"/>
      <c r="R42" s="171">
        <f t="shared" si="8"/>
        <v>37</v>
      </c>
      <c r="S42" s="172">
        <f t="shared" si="8"/>
        <v>0</v>
      </c>
      <c r="T42" s="169"/>
      <c r="U42" s="173">
        <f>L42*12+N42*12+P42*12</f>
        <v>444</v>
      </c>
      <c r="V42" s="174">
        <f>U42/12</f>
        <v>37</v>
      </c>
      <c r="W42" s="175">
        <f>I42*12+J42</f>
        <v>5988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37220</v>
      </c>
      <c r="D44" s="114">
        <v>3</v>
      </c>
      <c r="E44" s="115"/>
      <c r="F44" s="115"/>
      <c r="G44" s="78">
        <v>1206</v>
      </c>
      <c r="H44" s="79"/>
      <c r="I44" s="182">
        <f t="shared" si="4"/>
        <v>36014</v>
      </c>
      <c r="J44" s="177">
        <f t="shared" si="7"/>
        <v>3</v>
      </c>
      <c r="K44" s="51"/>
      <c r="L44" s="121">
        <v>412</v>
      </c>
      <c r="M44" s="121"/>
      <c r="N44" s="121">
        <v>288</v>
      </c>
      <c r="O44" s="121"/>
      <c r="P44" s="121">
        <v>506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216087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 t="shared" si="4"/>
        <v>1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>
        <v>3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2691</v>
      </c>
      <c r="D48" s="142">
        <v>3</v>
      </c>
      <c r="E48" s="121"/>
      <c r="F48" s="121"/>
      <c r="G48" s="143">
        <v>5</v>
      </c>
      <c r="H48" s="139"/>
      <c r="I48" s="80">
        <f t="shared" si="4"/>
        <v>2686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47972</v>
      </c>
      <c r="D60" s="54">
        <f>SUM(D8:D59)</f>
        <v>134</v>
      </c>
      <c r="E60" s="44">
        <f>SUM(E8:E59)</f>
        <v>0</v>
      </c>
      <c r="F60" s="44"/>
      <c r="G60" s="28">
        <f>SUM(G8:G59)</f>
        <v>1397</v>
      </c>
      <c r="H60" s="56">
        <f>SUM(H8:H59)</f>
        <v>22</v>
      </c>
      <c r="I60" s="56">
        <f>SUM(I8:I59)</f>
        <v>46575</v>
      </c>
      <c r="J60" s="45">
        <f>SUM(J8:J59)</f>
        <v>112</v>
      </c>
      <c r="K60" s="46"/>
      <c r="L60" s="74">
        <f t="shared" ref="L60:S60" si="21">SUM(L8:L59)</f>
        <v>448</v>
      </c>
      <c r="M60" s="74">
        <f t="shared" si="21"/>
        <v>15</v>
      </c>
      <c r="N60" s="74">
        <f t="shared" si="21"/>
        <v>309</v>
      </c>
      <c r="O60" s="74">
        <f t="shared" si="21"/>
        <v>2</v>
      </c>
      <c r="P60" s="74">
        <f t="shared" si="21"/>
        <v>640</v>
      </c>
      <c r="Q60" s="75">
        <f t="shared" si="21"/>
        <v>5</v>
      </c>
      <c r="R60" s="85">
        <f t="shared" si="21"/>
        <v>1397</v>
      </c>
      <c r="S60" s="84">
        <f t="shared" si="21"/>
        <v>22</v>
      </c>
      <c r="T60" s="46"/>
      <c r="U60" s="43">
        <f>SUM(U8:U59)</f>
        <v>9414</v>
      </c>
      <c r="V60" s="102">
        <f>SUM(V8:V59)</f>
        <v>1397</v>
      </c>
      <c r="W60" s="180">
        <f>SUM(W8:W59)</f>
        <v>358804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6A9D-0226-470A-B84C-2D03A69F471A}">
  <sheetPr>
    <pageSetUpPr fitToPage="1"/>
  </sheetPr>
  <dimension ref="A1:BH90"/>
  <sheetViews>
    <sheetView zoomScale="112" zoomScaleNormal="112" zoomScaleSheetLayoutView="85" zoomScalePageLayoutView="80" workbookViewId="0">
      <selection activeCell="AE58" sqref="AE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46249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4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86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85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2052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91</v>
      </c>
      <c r="D10" s="111"/>
      <c r="E10" s="112"/>
      <c r="F10" s="112"/>
      <c r="G10" s="76">
        <v>1</v>
      </c>
      <c r="H10" s="73"/>
      <c r="I10" s="93">
        <f t="shared" si="4"/>
        <v>90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2160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/>
      <c r="H11" s="73"/>
      <c r="I11" s="73">
        <f t="shared" si="4"/>
        <v>41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984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3309</v>
      </c>
      <c r="D13" s="114">
        <v>3</v>
      </c>
      <c r="E13" s="115"/>
      <c r="F13" s="115"/>
      <c r="G13" s="78">
        <v>20</v>
      </c>
      <c r="H13" s="79">
        <v>1</v>
      </c>
      <c r="I13" s="80">
        <f t="shared" si="4"/>
        <v>3289</v>
      </c>
      <c r="J13" s="94">
        <f>D13-H13</f>
        <v>2</v>
      </c>
      <c r="K13" s="53"/>
      <c r="L13" s="121"/>
      <c r="M13" s="121"/>
      <c r="N13" s="121"/>
      <c r="O13" s="121"/>
      <c r="P13" s="121">
        <v>20</v>
      </c>
      <c r="Q13" s="122"/>
      <c r="R13" s="97">
        <f>L13+N13+P13</f>
        <v>20</v>
      </c>
      <c r="S13" s="125">
        <f>M13+O13+Q13</f>
        <v>0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78938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49</v>
      </c>
      <c r="D26" s="111">
        <v>1</v>
      </c>
      <c r="E26" s="112"/>
      <c r="F26" s="112"/>
      <c r="G26" s="76">
        <v>5</v>
      </c>
      <c r="H26" s="73"/>
      <c r="I26" s="73">
        <f t="shared" si="4"/>
        <v>44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1057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>
        <v>2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/>
      <c r="H35" s="73"/>
      <c r="I35" s="73">
        <f t="shared" si="4"/>
        <v>189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4538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3106</v>
      </c>
      <c r="D38" s="114">
        <v>1</v>
      </c>
      <c r="E38" s="115"/>
      <c r="F38" s="115"/>
      <c r="G38" s="78">
        <v>9</v>
      </c>
      <c r="H38" s="79"/>
      <c r="I38" s="80">
        <f t="shared" si="4"/>
        <v>3097</v>
      </c>
      <c r="J38" s="140">
        <f t="shared" si="7"/>
        <v>1</v>
      </c>
      <c r="K38" s="51"/>
      <c r="L38" s="121"/>
      <c r="M38" s="121"/>
      <c r="N38" s="121"/>
      <c r="O38" s="121"/>
      <c r="P38" s="121">
        <v>9</v>
      </c>
      <c r="Q38" s="122"/>
      <c r="R38" s="97">
        <f t="shared" si="8"/>
        <v>9</v>
      </c>
      <c r="S38" s="125">
        <f t="shared" si="8"/>
        <v>0</v>
      </c>
      <c r="T38" s="51"/>
      <c r="U38" s="131">
        <f>L38*6+N38*6+P38*6</f>
        <v>54</v>
      </c>
      <c r="V38" s="135">
        <f>U38/6</f>
        <v>9</v>
      </c>
      <c r="W38" s="133">
        <f>I38*6+J38</f>
        <v>18583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/>
      <c r="H41" s="150"/>
      <c r="I41" s="80">
        <f t="shared" si="4"/>
        <v>312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7508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499</v>
      </c>
      <c r="D42" s="164"/>
      <c r="E42" s="165"/>
      <c r="F42" s="165"/>
      <c r="G42" s="166">
        <v>36</v>
      </c>
      <c r="H42" s="167"/>
      <c r="I42" s="181">
        <f t="shared" si="4"/>
        <v>463</v>
      </c>
      <c r="J42" s="168">
        <f t="shared" si="7"/>
        <v>0</v>
      </c>
      <c r="K42" s="169"/>
      <c r="L42" s="165"/>
      <c r="M42" s="165"/>
      <c r="N42" s="165"/>
      <c r="O42" s="165"/>
      <c r="P42" s="165">
        <v>36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5556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36014</v>
      </c>
      <c r="D44" s="114">
        <v>3</v>
      </c>
      <c r="E44" s="115">
        <v>3672</v>
      </c>
      <c r="F44" s="115"/>
      <c r="G44" s="78">
        <v>594</v>
      </c>
      <c r="H44" s="79"/>
      <c r="I44" s="182">
        <f t="shared" si="4"/>
        <v>39092</v>
      </c>
      <c r="J44" s="177">
        <f t="shared" si="7"/>
        <v>3</v>
      </c>
      <c r="K44" s="51"/>
      <c r="L44" s="121"/>
      <c r="M44" s="121"/>
      <c r="N44" s="121"/>
      <c r="O44" s="121"/>
      <c r="P44" s="121">
        <v>594</v>
      </c>
      <c r="Q44" s="122"/>
      <c r="R44" s="178">
        <f t="shared" si="8"/>
        <v>594</v>
      </c>
      <c r="S44" s="179">
        <f t="shared" si="8"/>
        <v>0</v>
      </c>
      <c r="T44" s="51"/>
      <c r="U44" s="131">
        <f>L44*6+N44*6+P44*6</f>
        <v>3564</v>
      </c>
      <c r="V44" s="130">
        <f>U44/6</f>
        <v>594</v>
      </c>
      <c r="W44" s="133">
        <f>I44*6+J44</f>
        <v>234555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46574</v>
      </c>
      <c r="D60" s="54">
        <f>SUM(D8:D59)</f>
        <v>136</v>
      </c>
      <c r="E60" s="44">
        <f>SUM(E8:E59)</f>
        <v>3672</v>
      </c>
      <c r="F60" s="44"/>
      <c r="G60" s="28">
        <f>SUM(G8:G59)</f>
        <v>669</v>
      </c>
      <c r="H60" s="56">
        <f>SUM(H8:H59)</f>
        <v>1</v>
      </c>
      <c r="I60" s="56">
        <f>SUM(I8:I59)</f>
        <v>49577</v>
      </c>
      <c r="J60" s="45">
        <f>SUM(J8:J59)</f>
        <v>135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669</v>
      </c>
      <c r="Q60" s="75">
        <f t="shared" si="21"/>
        <v>0</v>
      </c>
      <c r="R60" s="85">
        <f t="shared" si="21"/>
        <v>669</v>
      </c>
      <c r="S60" s="84">
        <f t="shared" si="21"/>
        <v>0</v>
      </c>
      <c r="T60" s="46"/>
      <c r="U60" s="43">
        <f>SUM(U8:U59)</f>
        <v>4770</v>
      </c>
      <c r="V60" s="102">
        <f>SUM(V8:V59)</f>
        <v>669</v>
      </c>
      <c r="W60" s="180">
        <f>SUM(W8:W59)</f>
        <v>376065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1801-E96B-4637-B974-520BC7C68FBA}">
  <sheetPr>
    <pageSetUpPr fitToPage="1"/>
  </sheetPr>
  <dimension ref="A1:BH90"/>
  <sheetViews>
    <sheetView zoomScaleNormal="100" zoomScaleSheetLayoutView="85" zoomScalePageLayoutView="80" workbookViewId="0">
      <selection activeCell="AA56" sqref="AA5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46251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4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/>
      <c r="H8" s="73"/>
      <c r="I8" s="73">
        <f>C8+E8-G8</f>
        <v>33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85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80</v>
      </c>
      <c r="J9" s="94">
        <f t="shared" si="0"/>
        <v>12</v>
      </c>
      <c r="K9" s="51"/>
      <c r="L9" s="121">
        <v>5</v>
      </c>
      <c r="M9" s="121"/>
      <c r="N9" s="121"/>
      <c r="O9" s="121"/>
      <c r="P9" s="121"/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90</v>
      </c>
      <c r="D10" s="111"/>
      <c r="E10" s="112"/>
      <c r="F10" s="112"/>
      <c r="G10" s="76">
        <v>2</v>
      </c>
      <c r="H10" s="73"/>
      <c r="I10" s="93">
        <f t="shared" si="4"/>
        <v>88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41</v>
      </c>
      <c r="D11" s="111"/>
      <c r="E11" s="112"/>
      <c r="F11" s="112"/>
      <c r="G11" s="76">
        <v>3</v>
      </c>
      <c r="H11" s="73"/>
      <c r="I11" s="73">
        <f t="shared" si="4"/>
        <v>38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912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3288</v>
      </c>
      <c r="D13" s="114">
        <v>26</v>
      </c>
      <c r="E13" s="115"/>
      <c r="F13" s="115"/>
      <c r="G13" s="78">
        <v>43</v>
      </c>
      <c r="H13" s="79">
        <v>23</v>
      </c>
      <c r="I13" s="80">
        <f t="shared" si="4"/>
        <v>3245</v>
      </c>
      <c r="J13" s="94">
        <f>D13-H13</f>
        <v>3</v>
      </c>
      <c r="K13" s="53"/>
      <c r="L13" s="121">
        <v>14</v>
      </c>
      <c r="M13" s="121">
        <v>5</v>
      </c>
      <c r="N13" s="121">
        <v>17</v>
      </c>
      <c r="O13" s="121">
        <v>18</v>
      </c>
      <c r="P13" s="121">
        <v>12</v>
      </c>
      <c r="Q13" s="122"/>
      <c r="R13" s="97">
        <f>L13+N13+P13</f>
        <v>43</v>
      </c>
      <c r="S13" s="125">
        <f>M13+O13+Q13</f>
        <v>23</v>
      </c>
      <c r="T13" s="53"/>
      <c r="U13" s="131">
        <f>L13*24+N13*24+P13*24</f>
        <v>1032</v>
      </c>
      <c r="V13" s="135">
        <f t="shared" si="6"/>
        <v>43</v>
      </c>
      <c r="W13" s="133">
        <f>I13*24+J13</f>
        <v>77883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44</v>
      </c>
      <c r="D26" s="111">
        <v>1</v>
      </c>
      <c r="E26" s="112"/>
      <c r="F26" s="112"/>
      <c r="G26" s="76">
        <v>1</v>
      </c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>
        <v>1</v>
      </c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/>
      <c r="H31" s="73"/>
      <c r="I31" s="73">
        <f t="shared" si="4"/>
        <v>11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264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1</v>
      </c>
      <c r="H34" s="73"/>
      <c r="I34" s="73">
        <f t="shared" si="4"/>
        <v>1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189</v>
      </c>
      <c r="D35" s="111">
        <v>2</v>
      </c>
      <c r="E35" s="112"/>
      <c r="F35" s="112"/>
      <c r="G35" s="76">
        <v>7</v>
      </c>
      <c r="H35" s="73"/>
      <c r="I35" s="73">
        <f t="shared" si="4"/>
        <v>182</v>
      </c>
      <c r="J35" s="77">
        <f t="shared" si="7"/>
        <v>2</v>
      </c>
      <c r="K35" s="41"/>
      <c r="L35" s="112">
        <v>5</v>
      </c>
      <c r="M35" s="112"/>
      <c r="N35" s="112">
        <v>1</v>
      </c>
      <c r="O35" s="112"/>
      <c r="P35" s="112">
        <v>1</v>
      </c>
      <c r="Q35" s="120"/>
      <c r="R35" s="86">
        <f t="shared" si="8"/>
        <v>7</v>
      </c>
      <c r="S35" s="124">
        <f t="shared" si="8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3097</v>
      </c>
      <c r="D38" s="114">
        <v>1</v>
      </c>
      <c r="E38" s="115"/>
      <c r="F38" s="115"/>
      <c r="G38" s="78">
        <v>253</v>
      </c>
      <c r="H38" s="79"/>
      <c r="I38" s="80">
        <f t="shared" si="4"/>
        <v>2844</v>
      </c>
      <c r="J38" s="140">
        <f t="shared" si="7"/>
        <v>1</v>
      </c>
      <c r="K38" s="51"/>
      <c r="L38" s="121">
        <v>96</v>
      </c>
      <c r="M38" s="121"/>
      <c r="N38" s="121">
        <v>24</v>
      </c>
      <c r="O38" s="121"/>
      <c r="P38" s="121">
        <v>133</v>
      </c>
      <c r="Q38" s="122"/>
      <c r="R38" s="97">
        <f t="shared" si="8"/>
        <v>253</v>
      </c>
      <c r="S38" s="125">
        <f t="shared" si="8"/>
        <v>0</v>
      </c>
      <c r="T38" s="51"/>
      <c r="U38" s="131">
        <f>L38*6+N38*6+P38*6</f>
        <v>1518</v>
      </c>
      <c r="V38" s="135">
        <f>U38/6</f>
        <v>253</v>
      </c>
      <c r="W38" s="133">
        <f>I38*6+J38</f>
        <v>17065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312</v>
      </c>
      <c r="D41" s="147">
        <v>20</v>
      </c>
      <c r="E41" s="148"/>
      <c r="F41" s="148"/>
      <c r="G41" s="149">
        <v>5</v>
      </c>
      <c r="H41" s="150"/>
      <c r="I41" s="80">
        <f t="shared" si="4"/>
        <v>307</v>
      </c>
      <c r="J41" s="152">
        <f t="shared" si="7"/>
        <v>20</v>
      </c>
      <c r="K41" s="153"/>
      <c r="L41" s="154">
        <v>5</v>
      </c>
      <c r="M41" s="154"/>
      <c r="N41" s="154"/>
      <c r="O41" s="154"/>
      <c r="P41" s="154"/>
      <c r="Q41" s="155"/>
      <c r="R41" s="156">
        <f t="shared" si="8"/>
        <v>5</v>
      </c>
      <c r="S41" s="157">
        <f t="shared" si="8"/>
        <v>0</v>
      </c>
      <c r="T41" s="153"/>
      <c r="U41" s="158">
        <f t="shared" si="10"/>
        <v>120</v>
      </c>
      <c r="V41" s="159">
        <f t="shared" si="6"/>
        <v>5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463</v>
      </c>
      <c r="D42" s="164"/>
      <c r="E42" s="165"/>
      <c r="F42" s="165"/>
      <c r="G42" s="166">
        <v>17</v>
      </c>
      <c r="H42" s="167"/>
      <c r="I42" s="181">
        <f t="shared" si="4"/>
        <v>446</v>
      </c>
      <c r="J42" s="168">
        <f t="shared" si="7"/>
        <v>0</v>
      </c>
      <c r="K42" s="169"/>
      <c r="L42" s="165">
        <v>3</v>
      </c>
      <c r="M42" s="165"/>
      <c r="N42" s="165">
        <v>2</v>
      </c>
      <c r="O42" s="165"/>
      <c r="P42" s="165">
        <v>12</v>
      </c>
      <c r="Q42" s="170"/>
      <c r="R42" s="171">
        <f t="shared" si="8"/>
        <v>17</v>
      </c>
      <c r="S42" s="172">
        <f t="shared" si="8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39092</v>
      </c>
      <c r="D44" s="114">
        <v>3</v>
      </c>
      <c r="E44" s="115"/>
      <c r="F44" s="115"/>
      <c r="G44" s="78">
        <v>1430</v>
      </c>
      <c r="H44" s="79"/>
      <c r="I44" s="182">
        <f t="shared" si="4"/>
        <v>37662</v>
      </c>
      <c r="J44" s="177">
        <f t="shared" si="7"/>
        <v>3</v>
      </c>
      <c r="K44" s="51"/>
      <c r="L44" s="121">
        <v>409</v>
      </c>
      <c r="M44" s="121"/>
      <c r="N44" s="121">
        <v>501</v>
      </c>
      <c r="O44" s="121"/>
      <c r="P44" s="121">
        <v>520</v>
      </c>
      <c r="Q44" s="122"/>
      <c r="R44" s="178">
        <f t="shared" si="8"/>
        <v>1430</v>
      </c>
      <c r="S44" s="179">
        <f t="shared" si="8"/>
        <v>0</v>
      </c>
      <c r="T44" s="51"/>
      <c r="U44" s="131">
        <f>L44*6+N44*6+P44*6</f>
        <v>8580</v>
      </c>
      <c r="V44" s="130">
        <f>U44/6</f>
        <v>1430</v>
      </c>
      <c r="W44" s="133">
        <f>I44*6+J44</f>
        <v>225975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7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8"/>
        <v>1</v>
      </c>
      <c r="S46" s="128">
        <f t="shared" si="8"/>
        <v>0</v>
      </c>
      <c r="T46" s="41"/>
      <c r="U46" s="107">
        <f t="shared" ref="U46:U47" si="12">L46*24+N46*24+P46*24</f>
        <v>24</v>
      </c>
      <c r="V46" s="134">
        <f t="shared" ref="V46:V47" si="13">U46/24</f>
        <v>1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/>
      <c r="H48" s="139"/>
      <c r="I48" s="80">
        <f t="shared" si="4"/>
        <v>2686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16119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49576</v>
      </c>
      <c r="D60" s="54">
        <f>SUM(D8:D59)</f>
        <v>159</v>
      </c>
      <c r="E60" s="44">
        <f>SUM(E8:E59)</f>
        <v>0</v>
      </c>
      <c r="F60" s="44"/>
      <c r="G60" s="28">
        <f>SUM(G8:G59)</f>
        <v>1771</v>
      </c>
      <c r="H60" s="56">
        <f>SUM(H8:H59)</f>
        <v>23</v>
      </c>
      <c r="I60" s="56">
        <f>SUM(I8:I59)</f>
        <v>47805</v>
      </c>
      <c r="J60" s="45">
        <f>SUM(J8:J59)</f>
        <v>136</v>
      </c>
      <c r="K60" s="46"/>
      <c r="L60" s="74">
        <f t="shared" ref="L60:S60" si="21">SUM(L8:L59)</f>
        <v>544</v>
      </c>
      <c r="M60" s="74">
        <f t="shared" si="21"/>
        <v>5</v>
      </c>
      <c r="N60" s="74">
        <f t="shared" si="21"/>
        <v>549</v>
      </c>
      <c r="O60" s="74">
        <f t="shared" si="21"/>
        <v>18</v>
      </c>
      <c r="P60" s="74">
        <f t="shared" si="21"/>
        <v>678</v>
      </c>
      <c r="Q60" s="75">
        <f t="shared" si="21"/>
        <v>0</v>
      </c>
      <c r="R60" s="85">
        <f t="shared" si="21"/>
        <v>1771</v>
      </c>
      <c r="S60" s="84">
        <f t="shared" si="21"/>
        <v>23</v>
      </c>
      <c r="T60" s="46"/>
      <c r="U60" s="43">
        <f>SUM(U8:U59)</f>
        <v>12006</v>
      </c>
      <c r="V60" s="102">
        <f>SUM(V8:V59)</f>
        <v>1771</v>
      </c>
      <c r="W60" s="180">
        <f>SUM(W8:W59)</f>
        <v>364036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9795D-A993-4F17-9B92-2BCC20820EF3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Z55" sqref="Z5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46252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4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33</v>
      </c>
      <c r="D8" s="111">
        <v>9</v>
      </c>
      <c r="E8" s="112"/>
      <c r="F8" s="112"/>
      <c r="G8" s="76">
        <v>1</v>
      </c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>
        <v>1</v>
      </c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/>
      <c r="H9" s="79"/>
      <c r="I9" s="80">
        <f t="shared" ref="I9:I59" si="4">C9+E9-G9</f>
        <v>80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1</v>
      </c>
      <c r="H10" s="73"/>
      <c r="I10" s="93">
        <f t="shared" si="4"/>
        <v>87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2088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38</v>
      </c>
      <c r="D11" s="111"/>
      <c r="E11" s="112"/>
      <c r="F11" s="112"/>
      <c r="G11" s="76">
        <v>2</v>
      </c>
      <c r="H11" s="73"/>
      <c r="I11" s="73">
        <f t="shared" si="4"/>
        <v>36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>
        <v>1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3245</v>
      </c>
      <c r="D13" s="114">
        <v>3</v>
      </c>
      <c r="E13" s="115"/>
      <c r="F13" s="115"/>
      <c r="G13" s="78">
        <v>26</v>
      </c>
      <c r="H13" s="79">
        <v>25</v>
      </c>
      <c r="I13" s="80">
        <f t="shared" si="4"/>
        <v>3219</v>
      </c>
      <c r="J13" s="94">
        <f>D13-H13</f>
        <v>-22</v>
      </c>
      <c r="K13" s="53"/>
      <c r="L13" s="121">
        <v>10</v>
      </c>
      <c r="M13" s="121">
        <v>4</v>
      </c>
      <c r="N13" s="121">
        <v>7</v>
      </c>
      <c r="O13" s="121">
        <v>21</v>
      </c>
      <c r="P13" s="121">
        <v>9</v>
      </c>
      <c r="Q13" s="122"/>
      <c r="R13" s="97">
        <f>L13+N13+P13</f>
        <v>26</v>
      </c>
      <c r="S13" s="125">
        <f>M13+O13+Q13</f>
        <v>25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77234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/>
      <c r="F26" s="112"/>
      <c r="G26" s="76"/>
      <c r="H26" s="73"/>
      <c r="I26" s="73">
        <f t="shared" si="4"/>
        <v>43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1033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/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4"/>
        <v>10</v>
      </c>
      <c r="J31" s="77">
        <f t="shared" si="7"/>
        <v>0</v>
      </c>
      <c r="K31" s="41"/>
      <c r="L31" s="112"/>
      <c r="M31" s="112"/>
      <c r="N31" s="112">
        <v>1</v>
      </c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/>
      <c r="H34" s="73"/>
      <c r="I34" s="73">
        <f t="shared" si="4"/>
        <v>1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24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/>
      <c r="H35" s="73"/>
      <c r="I35" s="73">
        <f t="shared" si="4"/>
        <v>182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4370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2844</v>
      </c>
      <c r="D38" s="114">
        <v>1</v>
      </c>
      <c r="E38" s="115"/>
      <c r="F38" s="115"/>
      <c r="G38" s="78">
        <v>58</v>
      </c>
      <c r="H38" s="79"/>
      <c r="I38" s="80">
        <f t="shared" si="4"/>
        <v>2786</v>
      </c>
      <c r="J38" s="140">
        <f t="shared" si="7"/>
        <v>1</v>
      </c>
      <c r="K38" s="51"/>
      <c r="L38" s="121"/>
      <c r="M38" s="121"/>
      <c r="N38" s="121">
        <v>23</v>
      </c>
      <c r="O38" s="121"/>
      <c r="P38" s="121">
        <v>35</v>
      </c>
      <c r="Q38" s="122"/>
      <c r="R38" s="97">
        <f t="shared" si="8"/>
        <v>58</v>
      </c>
      <c r="S38" s="125">
        <f t="shared" si="8"/>
        <v>0</v>
      </c>
      <c r="T38" s="51"/>
      <c r="U38" s="131">
        <f>L38*6+N38*6+P38*6</f>
        <v>348</v>
      </c>
      <c r="V38" s="135">
        <f>U38/6</f>
        <v>58</v>
      </c>
      <c r="W38" s="133">
        <f>I38*6+J38</f>
        <v>16717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/>
      <c r="H41" s="150"/>
      <c r="I41" s="80">
        <f t="shared" si="4"/>
        <v>307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7388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446</v>
      </c>
      <c r="D42" s="164"/>
      <c r="E42" s="165"/>
      <c r="F42" s="165"/>
      <c r="G42" s="166">
        <v>16</v>
      </c>
      <c r="H42" s="167"/>
      <c r="I42" s="181">
        <f t="shared" si="4"/>
        <v>430</v>
      </c>
      <c r="J42" s="168">
        <f t="shared" si="7"/>
        <v>0</v>
      </c>
      <c r="K42" s="169"/>
      <c r="L42" s="165">
        <v>7</v>
      </c>
      <c r="M42" s="165"/>
      <c r="N42" s="165">
        <v>8</v>
      </c>
      <c r="O42" s="165"/>
      <c r="P42" s="165">
        <v>1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5160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37662</v>
      </c>
      <c r="D44" s="114">
        <v>3</v>
      </c>
      <c r="E44" s="115">
        <v>1836</v>
      </c>
      <c r="F44" s="115"/>
      <c r="G44" s="78">
        <v>1206</v>
      </c>
      <c r="H44" s="79"/>
      <c r="I44" s="182">
        <f t="shared" si="4"/>
        <v>38292</v>
      </c>
      <c r="J44" s="177">
        <f t="shared" si="7"/>
        <v>3</v>
      </c>
      <c r="K44" s="51"/>
      <c r="L44" s="121">
        <v>673</v>
      </c>
      <c r="M44" s="121"/>
      <c r="N44" s="121">
        <v>259</v>
      </c>
      <c r="O44" s="121"/>
      <c r="P44" s="121">
        <v>274</v>
      </c>
      <c r="Q44" s="122"/>
      <c r="R44" s="178">
        <f t="shared" si="8"/>
        <v>1206</v>
      </c>
      <c r="S44" s="179">
        <f t="shared" si="8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229755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2686</v>
      </c>
      <c r="D48" s="142">
        <v>3</v>
      </c>
      <c r="E48" s="121"/>
      <c r="F48" s="121"/>
      <c r="G48" s="143">
        <v>6</v>
      </c>
      <c r="H48" s="139"/>
      <c r="I48" s="80">
        <f t="shared" si="4"/>
        <v>2680</v>
      </c>
      <c r="J48" s="140">
        <f t="shared" si="7"/>
        <v>3</v>
      </c>
      <c r="K48" s="51"/>
      <c r="L48" s="121">
        <v>5</v>
      </c>
      <c r="M48" s="121"/>
      <c r="N48" s="121">
        <v>1</v>
      </c>
      <c r="O48" s="121"/>
      <c r="P48" s="121"/>
      <c r="Q48" s="122"/>
      <c r="R48" s="97">
        <f t="shared" si="8"/>
        <v>6</v>
      </c>
      <c r="S48" s="144">
        <f t="shared" si="8"/>
        <v>0</v>
      </c>
      <c r="T48" s="51"/>
      <c r="U48" s="131">
        <f>L48*6+N48*6+P48*6</f>
        <v>36</v>
      </c>
      <c r="V48" s="135">
        <f>U48/6</f>
        <v>6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47805</v>
      </c>
      <c r="D60" s="54">
        <f>SUM(D8:D59)</f>
        <v>136</v>
      </c>
      <c r="E60" s="44">
        <f>SUM(E8:E59)</f>
        <v>1836</v>
      </c>
      <c r="F60" s="44"/>
      <c r="G60" s="28">
        <f>SUM(G8:G59)</f>
        <v>1318</v>
      </c>
      <c r="H60" s="56">
        <f>SUM(H8:H59)</f>
        <v>25</v>
      </c>
      <c r="I60" s="56">
        <f>SUM(I8:I59)</f>
        <v>48323</v>
      </c>
      <c r="J60" s="45">
        <f>SUM(J8:J59)</f>
        <v>111</v>
      </c>
      <c r="K60" s="46"/>
      <c r="L60" s="74">
        <f t="shared" ref="L60:S60" si="21">SUM(L8:L59)</f>
        <v>695</v>
      </c>
      <c r="M60" s="74">
        <f t="shared" si="21"/>
        <v>4</v>
      </c>
      <c r="N60" s="74">
        <f t="shared" si="21"/>
        <v>302</v>
      </c>
      <c r="O60" s="74">
        <f t="shared" si="21"/>
        <v>21</v>
      </c>
      <c r="P60" s="74">
        <f t="shared" si="21"/>
        <v>321</v>
      </c>
      <c r="Q60" s="75">
        <f t="shared" si="21"/>
        <v>0</v>
      </c>
      <c r="R60" s="85">
        <f t="shared" si="21"/>
        <v>1318</v>
      </c>
      <c r="S60" s="84">
        <f t="shared" si="21"/>
        <v>25</v>
      </c>
      <c r="T60" s="46"/>
      <c r="U60" s="43">
        <f>SUM(U8:U59)</f>
        <v>8580</v>
      </c>
      <c r="V60" s="102">
        <f>SUM(V8:V59)</f>
        <v>1318</v>
      </c>
      <c r="W60" s="180">
        <f>SUM(W8:W59)</f>
        <v>366447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FA590-B76C-4AFD-9EF4-67C6D4FE5FE1}">
  <sheetPr>
    <pageSetUpPr fitToPage="1"/>
  </sheetPr>
  <dimension ref="A1:BH90"/>
  <sheetViews>
    <sheetView topLeftCell="D32" zoomScaleNormal="100" zoomScaleSheetLayoutView="85" zoomScalePageLayoutView="80" workbookViewId="0">
      <selection activeCell="AF54" sqref="AF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46253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4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79</v>
      </c>
      <c r="J9" s="94">
        <f t="shared" si="0"/>
        <v>12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1908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87</v>
      </c>
      <c r="D10" s="111"/>
      <c r="E10" s="112"/>
      <c r="F10" s="112"/>
      <c r="G10" s="76">
        <v>6</v>
      </c>
      <c r="H10" s="73"/>
      <c r="I10" s="93">
        <f t="shared" si="4"/>
        <v>81</v>
      </c>
      <c r="J10" s="95">
        <f t="shared" si="0"/>
        <v>0</v>
      </c>
      <c r="K10" s="41"/>
      <c r="L10" s="112">
        <v>6</v>
      </c>
      <c r="M10" s="112"/>
      <c r="N10" s="112"/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1944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36</v>
      </c>
      <c r="D11" s="111"/>
      <c r="E11" s="112"/>
      <c r="F11" s="112"/>
      <c r="G11" s="76">
        <v>6</v>
      </c>
      <c r="H11" s="73"/>
      <c r="I11" s="73">
        <f t="shared" si="4"/>
        <v>30</v>
      </c>
      <c r="J11" s="77">
        <f t="shared" si="0"/>
        <v>0</v>
      </c>
      <c r="K11" s="41"/>
      <c r="L11" s="112">
        <v>6</v>
      </c>
      <c r="M11" s="112"/>
      <c r="N11" s="112"/>
      <c r="O11" s="112"/>
      <c r="P11" s="112"/>
      <c r="Q11" s="120"/>
      <c r="R11" s="86">
        <f t="shared" si="1"/>
        <v>6</v>
      </c>
      <c r="S11" s="124">
        <f t="shared" si="1"/>
        <v>0</v>
      </c>
      <c r="T11" s="41"/>
      <c r="U11" s="107">
        <f>L11*24+N11*24+P11*24</f>
        <v>144</v>
      </c>
      <c r="V11" s="130">
        <f>U11/24</f>
        <v>6</v>
      </c>
      <c r="W11" s="129">
        <f t="shared" si="2"/>
        <v>720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3218</v>
      </c>
      <c r="D13" s="114">
        <v>2</v>
      </c>
      <c r="E13" s="115"/>
      <c r="F13" s="115"/>
      <c r="G13" s="78">
        <v>23</v>
      </c>
      <c r="H13" s="79">
        <v>12</v>
      </c>
      <c r="I13" s="80">
        <f t="shared" si="4"/>
        <v>3195</v>
      </c>
      <c r="J13" s="94">
        <f>D13-H13</f>
        <v>-10</v>
      </c>
      <c r="K13" s="53"/>
      <c r="L13" s="121">
        <v>2</v>
      </c>
      <c r="M13" s="121">
        <v>4</v>
      </c>
      <c r="N13" s="121">
        <v>12</v>
      </c>
      <c r="O13" s="121">
        <v>3</v>
      </c>
      <c r="P13" s="121">
        <v>9</v>
      </c>
      <c r="Q13" s="122">
        <v>5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76670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43</v>
      </c>
      <c r="D26" s="111">
        <v>1</v>
      </c>
      <c r="E26" s="112">
        <v>126</v>
      </c>
      <c r="F26" s="112"/>
      <c r="G26" s="76">
        <v>3</v>
      </c>
      <c r="H26" s="73"/>
      <c r="I26" s="73">
        <f t="shared" si="4"/>
        <v>166</v>
      </c>
      <c r="J26" s="77">
        <f t="shared" si="7"/>
        <v>1</v>
      </c>
      <c r="K26" s="41"/>
      <c r="L26" s="112">
        <v>3</v>
      </c>
      <c r="M26" s="112"/>
      <c r="N26" s="112"/>
      <c r="O26" s="112"/>
      <c r="P26" s="112"/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3985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/>
      <c r="H28" s="73"/>
      <c r="I28" s="73">
        <f t="shared" si="4"/>
        <v>3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72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2</v>
      </c>
      <c r="H31" s="73"/>
      <c r="I31" s="73">
        <f t="shared" si="4"/>
        <v>8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1</v>
      </c>
      <c r="D34" s="111"/>
      <c r="E34" s="112"/>
      <c r="F34" s="112"/>
      <c r="G34" s="76">
        <v>1</v>
      </c>
      <c r="H34" s="73"/>
      <c r="I34" s="73">
        <f t="shared" si="4"/>
        <v>0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182</v>
      </c>
      <c r="D35" s="111">
        <v>2</v>
      </c>
      <c r="E35" s="112"/>
      <c r="F35" s="112"/>
      <c r="G35" s="76">
        <v>1</v>
      </c>
      <c r="H35" s="73"/>
      <c r="I35" s="73">
        <f t="shared" si="4"/>
        <v>181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4346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2786</v>
      </c>
      <c r="D38" s="114">
        <v>1</v>
      </c>
      <c r="E38" s="115">
        <v>864</v>
      </c>
      <c r="F38" s="115"/>
      <c r="G38" s="78">
        <v>126</v>
      </c>
      <c r="H38" s="79"/>
      <c r="I38" s="80">
        <f t="shared" si="4"/>
        <v>3524</v>
      </c>
      <c r="J38" s="140">
        <f t="shared" si="7"/>
        <v>1</v>
      </c>
      <c r="K38" s="51"/>
      <c r="L38" s="121">
        <v>62</v>
      </c>
      <c r="M38" s="121"/>
      <c r="N38" s="121"/>
      <c r="O38" s="121"/>
      <c r="P38" s="121">
        <v>64</v>
      </c>
      <c r="Q38" s="122"/>
      <c r="R38" s="97">
        <f t="shared" si="8"/>
        <v>126</v>
      </c>
      <c r="S38" s="125">
        <f t="shared" si="8"/>
        <v>0</v>
      </c>
      <c r="T38" s="51"/>
      <c r="U38" s="131">
        <f>L38*6+N38*6+P38*6</f>
        <v>756</v>
      </c>
      <c r="V38" s="135">
        <f>U38/6</f>
        <v>126</v>
      </c>
      <c r="W38" s="133">
        <f>I38*6+J38</f>
        <v>21145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307</v>
      </c>
      <c r="D41" s="147">
        <v>20</v>
      </c>
      <c r="E41" s="148"/>
      <c r="F41" s="148"/>
      <c r="G41" s="149">
        <v>47</v>
      </c>
      <c r="H41" s="150"/>
      <c r="I41" s="80">
        <f t="shared" si="4"/>
        <v>260</v>
      </c>
      <c r="J41" s="152">
        <f t="shared" si="7"/>
        <v>20</v>
      </c>
      <c r="K41" s="153"/>
      <c r="L41" s="154">
        <v>47</v>
      </c>
      <c r="M41" s="154"/>
      <c r="N41" s="154"/>
      <c r="O41" s="154"/>
      <c r="P41" s="154"/>
      <c r="Q41" s="155"/>
      <c r="R41" s="156">
        <f t="shared" si="8"/>
        <v>47</v>
      </c>
      <c r="S41" s="157">
        <f t="shared" si="8"/>
        <v>0</v>
      </c>
      <c r="T41" s="153"/>
      <c r="U41" s="158">
        <f t="shared" si="10"/>
        <v>1128</v>
      </c>
      <c r="V41" s="159">
        <f t="shared" si="6"/>
        <v>47</v>
      </c>
      <c r="W41" s="159">
        <f t="shared" si="11"/>
        <v>6260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430</v>
      </c>
      <c r="D42" s="164"/>
      <c r="E42" s="165"/>
      <c r="F42" s="165"/>
      <c r="G42" s="166">
        <v>25</v>
      </c>
      <c r="H42" s="167"/>
      <c r="I42" s="181">
        <f t="shared" si="4"/>
        <v>405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15</v>
      </c>
      <c r="Q42" s="170"/>
      <c r="R42" s="171">
        <f t="shared" si="8"/>
        <v>25</v>
      </c>
      <c r="S42" s="172">
        <f t="shared" si="8"/>
        <v>0</v>
      </c>
      <c r="T42" s="169"/>
      <c r="U42" s="173">
        <f>L42*12+N42*12+P42*12</f>
        <v>300</v>
      </c>
      <c r="V42" s="174">
        <f>U42/12</f>
        <v>25</v>
      </c>
      <c r="W42" s="175">
        <f>I42*12+J42</f>
        <v>4860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38290</v>
      </c>
      <c r="D44" s="114">
        <v>2</v>
      </c>
      <c r="E44" s="115">
        <v>2592</v>
      </c>
      <c r="F44" s="115"/>
      <c r="G44" s="78">
        <v>1015</v>
      </c>
      <c r="H44" s="79"/>
      <c r="I44" s="182">
        <f t="shared" si="4"/>
        <v>39867</v>
      </c>
      <c r="J44" s="177">
        <f t="shared" si="7"/>
        <v>2</v>
      </c>
      <c r="K44" s="51"/>
      <c r="L44" s="121">
        <v>368</v>
      </c>
      <c r="M44" s="121"/>
      <c r="N44" s="121">
        <v>330</v>
      </c>
      <c r="O44" s="121"/>
      <c r="P44" s="121">
        <v>317</v>
      </c>
      <c r="Q44" s="122"/>
      <c r="R44" s="178">
        <f t="shared" si="8"/>
        <v>1015</v>
      </c>
      <c r="S44" s="179">
        <f t="shared" si="8"/>
        <v>0</v>
      </c>
      <c r="T44" s="51"/>
      <c r="U44" s="131">
        <f>L44*6+N44*6+P44*6</f>
        <v>6090</v>
      </c>
      <c r="V44" s="130">
        <f>U44/6</f>
        <v>1015</v>
      </c>
      <c r="W44" s="133">
        <f>I44*6+J44</f>
        <v>239204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/>
      <c r="H48" s="139"/>
      <c r="I48" s="80">
        <f t="shared" si="4"/>
        <v>2680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16083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48320</v>
      </c>
      <c r="D60" s="54">
        <f>SUM(D8:D59)</f>
        <v>134</v>
      </c>
      <c r="E60" s="44">
        <f>SUM(E8:E59)</f>
        <v>3582</v>
      </c>
      <c r="F60" s="44"/>
      <c r="G60" s="28">
        <f>SUM(G8:G59)</f>
        <v>1257</v>
      </c>
      <c r="H60" s="56">
        <f>SUM(H8:H59)</f>
        <v>12</v>
      </c>
      <c r="I60" s="56">
        <f>SUM(I8:I59)</f>
        <v>50645</v>
      </c>
      <c r="J60" s="45">
        <f>SUM(J8:J59)</f>
        <v>122</v>
      </c>
      <c r="K60" s="46"/>
      <c r="L60" s="74">
        <f t="shared" ref="L60:S60" si="21">SUM(L8:L59)</f>
        <v>508</v>
      </c>
      <c r="M60" s="74">
        <f t="shared" si="21"/>
        <v>4</v>
      </c>
      <c r="N60" s="74">
        <f t="shared" si="21"/>
        <v>342</v>
      </c>
      <c r="O60" s="74">
        <f t="shared" si="21"/>
        <v>3</v>
      </c>
      <c r="P60" s="74">
        <f t="shared" si="21"/>
        <v>407</v>
      </c>
      <c r="Q60" s="75">
        <f t="shared" si="21"/>
        <v>5</v>
      </c>
      <c r="R60" s="85">
        <f t="shared" si="21"/>
        <v>1257</v>
      </c>
      <c r="S60" s="84">
        <f t="shared" si="21"/>
        <v>12</v>
      </c>
      <c r="T60" s="46"/>
      <c r="U60" s="43">
        <f>SUM(U8:U59)</f>
        <v>9330</v>
      </c>
      <c r="V60" s="102">
        <f>SUM(V8:V59)</f>
        <v>1257</v>
      </c>
      <c r="W60" s="180">
        <f>SUM(W8:W59)</f>
        <v>380852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2285-96FD-4DCB-9ED2-3AC211F72AC4}">
  <sheetPr>
    <pageSetUpPr fitToPage="1"/>
  </sheetPr>
  <dimension ref="A1:BH90"/>
  <sheetViews>
    <sheetView zoomScale="73" zoomScaleNormal="73" zoomScaleSheetLayoutView="85" zoomScalePageLayoutView="80" workbookViewId="0">
      <selection activeCell="N30" sqref="N3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46253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197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/>
      <c r="H8" s="73"/>
      <c r="I8" s="73">
        <f>C8+E8-G8</f>
        <v>32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777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79</v>
      </c>
      <c r="D9" s="114">
        <v>12</v>
      </c>
      <c r="E9" s="115"/>
      <c r="F9" s="115"/>
      <c r="G9" s="78">
        <v>3</v>
      </c>
      <c r="H9" s="79"/>
      <c r="I9" s="80">
        <f t="shared" ref="I9:I59" si="4">C9+E9-G9</f>
        <v>76</v>
      </c>
      <c r="J9" s="94">
        <f t="shared" si="0"/>
        <v>12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1836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81</v>
      </c>
      <c r="D10" s="111"/>
      <c r="E10" s="112"/>
      <c r="F10" s="112"/>
      <c r="G10" s="76">
        <v>10</v>
      </c>
      <c r="H10" s="73"/>
      <c r="I10" s="93">
        <f t="shared" si="4"/>
        <v>71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1704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30</v>
      </c>
      <c r="D11" s="111"/>
      <c r="E11" s="112"/>
      <c r="F11" s="112"/>
      <c r="G11" s="76">
        <v>10</v>
      </c>
      <c r="H11" s="73"/>
      <c r="I11" s="73">
        <f t="shared" si="4"/>
        <v>20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/>
      <c r="Q11" s="120"/>
      <c r="R11" s="86">
        <f t="shared" si="1"/>
        <v>10</v>
      </c>
      <c r="S11" s="124">
        <f t="shared" si="1"/>
        <v>0</v>
      </c>
      <c r="T11" s="41"/>
      <c r="U11" s="107">
        <f>L11*24+N11*24+P11*24</f>
        <v>240</v>
      </c>
      <c r="V11" s="130">
        <f>U11/24</f>
        <v>10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>
        <v>9</v>
      </c>
      <c r="H12" s="73"/>
      <c r="I12" s="73">
        <f t="shared" si="4"/>
        <v>0</v>
      </c>
      <c r="J12" s="77">
        <f t="shared" si="0"/>
        <v>2</v>
      </c>
      <c r="K12" s="41"/>
      <c r="L12" s="112">
        <v>9</v>
      </c>
      <c r="M12" s="112"/>
      <c r="N12" s="112"/>
      <c r="O12" s="112"/>
      <c r="P12" s="112"/>
      <c r="Q12" s="120"/>
      <c r="R12" s="86">
        <f t="shared" si="1"/>
        <v>9</v>
      </c>
      <c r="S12" s="124">
        <f t="shared" si="1"/>
        <v>0</v>
      </c>
      <c r="T12" s="41"/>
      <c r="U12" s="107">
        <f t="shared" ref="U12:U37" si="5">L12*24+N12*24+P12*24</f>
        <v>216</v>
      </c>
      <c r="V12" s="130">
        <f t="shared" ref="V12:V41" si="6">U12/24</f>
        <v>9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3194</v>
      </c>
      <c r="D13" s="114">
        <v>14</v>
      </c>
      <c r="E13" s="115"/>
      <c r="F13" s="115"/>
      <c r="G13" s="78">
        <v>34</v>
      </c>
      <c r="H13" s="79">
        <v>16</v>
      </c>
      <c r="I13" s="80">
        <f t="shared" si="4"/>
        <v>3160</v>
      </c>
      <c r="J13" s="94">
        <f>D13-H13</f>
        <v>-2</v>
      </c>
      <c r="K13" s="53"/>
      <c r="L13" s="121">
        <v>12</v>
      </c>
      <c r="M13" s="121">
        <v>10</v>
      </c>
      <c r="N13" s="121">
        <v>3</v>
      </c>
      <c r="O13" s="121">
        <v>6</v>
      </c>
      <c r="P13" s="121">
        <v>19</v>
      </c>
      <c r="Q13" s="122"/>
      <c r="R13" s="97">
        <f>L13+N13+P13</f>
        <v>34</v>
      </c>
      <c r="S13" s="125">
        <f>M13+O13+Q13</f>
        <v>16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75838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>
        <v>1</v>
      </c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8"/>
        <v>1</v>
      </c>
      <c r="S20" s="124">
        <f t="shared" si="8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>
        <v>1</v>
      </c>
      <c r="H23" s="73"/>
      <c r="I23" s="73">
        <f t="shared" si="4"/>
        <v>1</v>
      </c>
      <c r="J23" s="77">
        <f t="shared" si="7"/>
        <v>20</v>
      </c>
      <c r="K23" s="42"/>
      <c r="L23" s="112">
        <v>1</v>
      </c>
      <c r="M23" s="112"/>
      <c r="N23" s="112"/>
      <c r="O23" s="112"/>
      <c r="P23" s="112"/>
      <c r="Q23" s="120"/>
      <c r="R23" s="86">
        <f t="shared" si="8"/>
        <v>1</v>
      </c>
      <c r="S23" s="124">
        <f t="shared" si="8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166</v>
      </c>
      <c r="D26" s="111">
        <v>1</v>
      </c>
      <c r="E26" s="112"/>
      <c r="F26" s="112"/>
      <c r="G26" s="76">
        <v>4</v>
      </c>
      <c r="H26" s="73"/>
      <c r="I26" s="73">
        <f t="shared" si="4"/>
        <v>162</v>
      </c>
      <c r="J26" s="77">
        <f t="shared" si="7"/>
        <v>1</v>
      </c>
      <c r="K26" s="41"/>
      <c r="L26" s="112">
        <v>2</v>
      </c>
      <c r="M26" s="112"/>
      <c r="N26" s="112"/>
      <c r="O26" s="112"/>
      <c r="P26" s="112">
        <v>2</v>
      </c>
      <c r="Q26" s="120"/>
      <c r="R26" s="86">
        <f t="shared" si="8"/>
        <v>4</v>
      </c>
      <c r="S26" s="124">
        <f t="shared" si="8"/>
        <v>0</v>
      </c>
      <c r="T26" s="41"/>
      <c r="U26" s="107">
        <f t="shared" si="5"/>
        <v>96</v>
      </c>
      <c r="V26" s="130">
        <f t="shared" si="6"/>
        <v>4</v>
      </c>
      <c r="W26" s="129">
        <f t="shared" si="9"/>
        <v>3889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3</v>
      </c>
      <c r="D28" s="111"/>
      <c r="E28" s="112"/>
      <c r="F28" s="112"/>
      <c r="G28" s="76">
        <v>1</v>
      </c>
      <c r="H28" s="73"/>
      <c r="I28" s="73">
        <f t="shared" si="4"/>
        <v>2</v>
      </c>
      <c r="J28" s="77">
        <f t="shared" si="7"/>
        <v>0</v>
      </c>
      <c r="K28" s="42"/>
      <c r="L28" s="112">
        <v>1</v>
      </c>
      <c r="M28" s="112"/>
      <c r="N28" s="112"/>
      <c r="O28" s="112"/>
      <c r="P28" s="112"/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14</v>
      </c>
      <c r="H30" s="73"/>
      <c r="I30" s="73">
        <f t="shared" si="4"/>
        <v>8</v>
      </c>
      <c r="J30" s="77">
        <f t="shared" si="7"/>
        <v>5</v>
      </c>
      <c r="K30" s="41"/>
      <c r="L30" s="112">
        <v>11</v>
      </c>
      <c r="M30" s="112"/>
      <c r="N30" s="112">
        <v>2</v>
      </c>
      <c r="O30" s="112"/>
      <c r="P30" s="112">
        <v>1</v>
      </c>
      <c r="Q30" s="120"/>
      <c r="R30" s="86">
        <f t="shared" si="8"/>
        <v>14</v>
      </c>
      <c r="S30" s="124">
        <f t="shared" si="8"/>
        <v>0</v>
      </c>
      <c r="T30" s="41"/>
      <c r="U30" s="107">
        <f t="shared" si="5"/>
        <v>336</v>
      </c>
      <c r="V30" s="130">
        <f t="shared" si="6"/>
        <v>14</v>
      </c>
      <c r="W30" s="129">
        <f t="shared" si="9"/>
        <v>197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4</v>
      </c>
      <c r="H31" s="73"/>
      <c r="I31" s="73">
        <f t="shared" si="4"/>
        <v>4</v>
      </c>
      <c r="J31" s="77">
        <f t="shared" si="7"/>
        <v>0</v>
      </c>
      <c r="K31" s="41"/>
      <c r="L31" s="112">
        <v>3</v>
      </c>
      <c r="M31" s="112"/>
      <c r="N31" s="112"/>
      <c r="O31" s="112"/>
      <c r="P31" s="112">
        <v>1</v>
      </c>
      <c r="Q31" s="120"/>
      <c r="R31" s="86">
        <f t="shared" si="8"/>
        <v>4</v>
      </c>
      <c r="S31" s="124">
        <f t="shared" si="8"/>
        <v>0</v>
      </c>
      <c r="T31" s="41"/>
      <c r="U31" s="107">
        <f t="shared" si="5"/>
        <v>96</v>
      </c>
      <c r="V31" s="130">
        <f t="shared" si="6"/>
        <v>4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181</v>
      </c>
      <c r="D35" s="111">
        <v>2</v>
      </c>
      <c r="E35" s="112"/>
      <c r="F35" s="112"/>
      <c r="G35" s="76">
        <v>13</v>
      </c>
      <c r="H35" s="73"/>
      <c r="I35" s="73">
        <f t="shared" si="4"/>
        <v>168</v>
      </c>
      <c r="J35" s="77">
        <f t="shared" si="7"/>
        <v>2</v>
      </c>
      <c r="K35" s="41"/>
      <c r="L35" s="112">
        <v>11</v>
      </c>
      <c r="M35" s="112"/>
      <c r="N35" s="112">
        <v>2</v>
      </c>
      <c r="O35" s="112"/>
      <c r="P35" s="112"/>
      <c r="Q35" s="120"/>
      <c r="R35" s="86">
        <f t="shared" si="8"/>
        <v>13</v>
      </c>
      <c r="S35" s="124">
        <f t="shared" si="8"/>
        <v>0</v>
      </c>
      <c r="T35" s="41"/>
      <c r="U35" s="107">
        <f t="shared" si="5"/>
        <v>312</v>
      </c>
      <c r="V35" s="130">
        <f t="shared" si="6"/>
        <v>13</v>
      </c>
      <c r="W35" s="129">
        <f t="shared" si="9"/>
        <v>4034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3524</v>
      </c>
      <c r="D38" s="114">
        <v>1</v>
      </c>
      <c r="E38" s="115"/>
      <c r="F38" s="115"/>
      <c r="G38" s="78">
        <v>179</v>
      </c>
      <c r="H38" s="79"/>
      <c r="I38" s="80">
        <f t="shared" si="4"/>
        <v>3345</v>
      </c>
      <c r="J38" s="140">
        <f t="shared" si="7"/>
        <v>1</v>
      </c>
      <c r="K38" s="51"/>
      <c r="L38" s="121">
        <v>48</v>
      </c>
      <c r="M38" s="121"/>
      <c r="N38" s="121">
        <v>21</v>
      </c>
      <c r="O38" s="121"/>
      <c r="P38" s="121">
        <v>110</v>
      </c>
      <c r="Q38" s="122"/>
      <c r="R38" s="97">
        <f t="shared" si="8"/>
        <v>179</v>
      </c>
      <c r="S38" s="125">
        <f t="shared" si="8"/>
        <v>0</v>
      </c>
      <c r="T38" s="51"/>
      <c r="U38" s="131">
        <f>L38*6+N38*6+P38*6</f>
        <v>1074</v>
      </c>
      <c r="V38" s="135">
        <f>U38/6</f>
        <v>179</v>
      </c>
      <c r="W38" s="133">
        <f>I38*6+J38</f>
        <v>20071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260</v>
      </c>
      <c r="D41" s="147">
        <v>20</v>
      </c>
      <c r="E41" s="148"/>
      <c r="F41" s="148"/>
      <c r="G41" s="149">
        <v>3</v>
      </c>
      <c r="H41" s="150"/>
      <c r="I41" s="80">
        <f t="shared" si="4"/>
        <v>257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6188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405</v>
      </c>
      <c r="D42" s="164"/>
      <c r="E42" s="165"/>
      <c r="F42" s="165"/>
      <c r="G42" s="166">
        <v>77</v>
      </c>
      <c r="H42" s="167"/>
      <c r="I42" s="181">
        <f t="shared" si="4"/>
        <v>328</v>
      </c>
      <c r="J42" s="168">
        <f t="shared" si="7"/>
        <v>0</v>
      </c>
      <c r="K42" s="169"/>
      <c r="L42" s="165">
        <v>27</v>
      </c>
      <c r="M42" s="165"/>
      <c r="N42" s="165">
        <v>6</v>
      </c>
      <c r="O42" s="165"/>
      <c r="P42" s="165">
        <v>44</v>
      </c>
      <c r="Q42" s="170"/>
      <c r="R42" s="171">
        <f t="shared" si="8"/>
        <v>77</v>
      </c>
      <c r="S42" s="172">
        <f t="shared" si="8"/>
        <v>0</v>
      </c>
      <c r="T42" s="169"/>
      <c r="U42" s="173">
        <f>L42*12+N42*12+P42*12</f>
        <v>924</v>
      </c>
      <c r="V42" s="174">
        <f>U42/12</f>
        <v>77</v>
      </c>
      <c r="W42" s="175">
        <f>I42*12+J42</f>
        <v>3936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39867</v>
      </c>
      <c r="D44" s="114">
        <v>2</v>
      </c>
      <c r="E44" s="115"/>
      <c r="F44" s="115"/>
      <c r="G44" s="78">
        <v>1239</v>
      </c>
      <c r="H44" s="79"/>
      <c r="I44" s="182">
        <f t="shared" si="4"/>
        <v>38628</v>
      </c>
      <c r="J44" s="177">
        <f t="shared" si="7"/>
        <v>2</v>
      </c>
      <c r="K44" s="51"/>
      <c r="L44" s="121">
        <v>703</v>
      </c>
      <c r="M44" s="121"/>
      <c r="N44" s="121">
        <v>71</v>
      </c>
      <c r="O44" s="121"/>
      <c r="P44" s="121">
        <v>465</v>
      </c>
      <c r="Q44" s="122"/>
      <c r="R44" s="178">
        <f t="shared" si="8"/>
        <v>1239</v>
      </c>
      <c r="S44" s="179">
        <f t="shared" si="8"/>
        <v>0</v>
      </c>
      <c r="T44" s="51"/>
      <c r="U44" s="131">
        <f>L44*6+N44*6+P44*6</f>
        <v>7434</v>
      </c>
      <c r="V44" s="130">
        <f>U44/6</f>
        <v>1239</v>
      </c>
      <c r="W44" s="133">
        <f>I44*6+J44</f>
        <v>231770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2680</v>
      </c>
      <c r="D48" s="142">
        <v>3</v>
      </c>
      <c r="E48" s="121"/>
      <c r="F48" s="121"/>
      <c r="G48" s="143">
        <v>13</v>
      </c>
      <c r="H48" s="139"/>
      <c r="I48" s="80">
        <f t="shared" si="4"/>
        <v>2667</v>
      </c>
      <c r="J48" s="140">
        <f t="shared" si="7"/>
        <v>3</v>
      </c>
      <c r="K48" s="51"/>
      <c r="L48" s="121">
        <v>13</v>
      </c>
      <c r="M48" s="121"/>
      <c r="N48" s="121"/>
      <c r="O48" s="121"/>
      <c r="P48" s="121"/>
      <c r="Q48" s="122"/>
      <c r="R48" s="97">
        <f t="shared" si="8"/>
        <v>13</v>
      </c>
      <c r="S48" s="144">
        <f t="shared" si="8"/>
        <v>0</v>
      </c>
      <c r="T48" s="51"/>
      <c r="U48" s="131">
        <f>L48*6+N48*6+P48*6</f>
        <v>78</v>
      </c>
      <c r="V48" s="135">
        <f>U48/6</f>
        <v>13</v>
      </c>
      <c r="W48" s="133">
        <f>I48*6+J48</f>
        <v>16005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50644</v>
      </c>
      <c r="D60" s="54">
        <f>SUM(D8:D59)</f>
        <v>146</v>
      </c>
      <c r="E60" s="44">
        <f>SUM(E8:E59)</f>
        <v>0</v>
      </c>
      <c r="F60" s="44"/>
      <c r="G60" s="28">
        <f>SUM(G8:G59)</f>
        <v>1615</v>
      </c>
      <c r="H60" s="56">
        <f>SUM(H8:H59)</f>
        <v>16</v>
      </c>
      <c r="I60" s="56">
        <f>SUM(I8:I59)</f>
        <v>49029</v>
      </c>
      <c r="J60" s="45">
        <f>SUM(J8:J59)</f>
        <v>130</v>
      </c>
      <c r="K60" s="46"/>
      <c r="L60" s="74">
        <f t="shared" ref="L60:S60" si="21">SUM(L8:L59)</f>
        <v>865</v>
      </c>
      <c r="M60" s="74">
        <f t="shared" si="21"/>
        <v>10</v>
      </c>
      <c r="N60" s="74">
        <f t="shared" si="21"/>
        <v>105</v>
      </c>
      <c r="O60" s="74">
        <f t="shared" si="21"/>
        <v>6</v>
      </c>
      <c r="P60" s="74">
        <f t="shared" si="21"/>
        <v>645</v>
      </c>
      <c r="Q60" s="75">
        <f t="shared" si="21"/>
        <v>0</v>
      </c>
      <c r="R60" s="85">
        <f t="shared" si="21"/>
        <v>1615</v>
      </c>
      <c r="S60" s="84">
        <f t="shared" si="21"/>
        <v>16</v>
      </c>
      <c r="T60" s="46"/>
      <c r="U60" s="43">
        <f>SUM(U8:U59)</f>
        <v>12078</v>
      </c>
      <c r="V60" s="102">
        <f>SUM(V8:V59)</f>
        <v>1615</v>
      </c>
      <c r="W60" s="180">
        <f>SUM(W8:W59)</f>
        <v>368758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341DE-51CB-42AF-8C4E-42C8FBC086FD}">
  <sheetPr>
    <pageSetUpPr fitToPage="1"/>
  </sheetPr>
  <dimension ref="A1:BH90"/>
  <sheetViews>
    <sheetView topLeftCell="A32" zoomScale="73" zoomScaleNormal="73" zoomScaleSheetLayoutView="85" zoomScalePageLayoutView="80" workbookViewId="0">
      <selection activeCell="AG59" sqref="AG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46253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200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32</v>
      </c>
      <c r="D8" s="111">
        <v>9</v>
      </c>
      <c r="E8" s="112"/>
      <c r="F8" s="112"/>
      <c r="G8" s="76">
        <v>1</v>
      </c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76</v>
      </c>
      <c r="D9" s="114">
        <v>12</v>
      </c>
      <c r="E9" s="115"/>
      <c r="F9" s="115"/>
      <c r="G9" s="78">
        <v>5</v>
      </c>
      <c r="H9" s="79"/>
      <c r="I9" s="80">
        <f t="shared" ref="I9:I59" si="4">C9+E9-G9</f>
        <v>71</v>
      </c>
      <c r="J9" s="94">
        <f t="shared" si="0"/>
        <v>12</v>
      </c>
      <c r="K9" s="51"/>
      <c r="L9" s="121"/>
      <c r="M9" s="121"/>
      <c r="N9" s="121"/>
      <c r="O9" s="121"/>
      <c r="P9" s="121">
        <v>5</v>
      </c>
      <c r="Q9" s="122"/>
      <c r="R9" s="98">
        <f t="shared" si="1"/>
        <v>5</v>
      </c>
      <c r="S9" s="125">
        <f t="shared" si="1"/>
        <v>0</v>
      </c>
      <c r="T9" s="51"/>
      <c r="U9" s="131">
        <f>L9*24+N9*24+P9*24</f>
        <v>120</v>
      </c>
      <c r="V9" s="132">
        <f>U9/24</f>
        <v>5</v>
      </c>
      <c r="W9" s="133">
        <f t="shared" si="2"/>
        <v>1716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71</v>
      </c>
      <c r="D10" s="111"/>
      <c r="E10" s="112"/>
      <c r="F10" s="112"/>
      <c r="G10" s="76">
        <v>15</v>
      </c>
      <c r="H10" s="73"/>
      <c r="I10" s="93">
        <f t="shared" si="4"/>
        <v>56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1344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5</v>
      </c>
      <c r="H11" s="73"/>
      <c r="I11" s="73">
        <f t="shared" si="4"/>
        <v>15</v>
      </c>
      <c r="J11" s="77">
        <f t="shared" si="0"/>
        <v>0</v>
      </c>
      <c r="K11" s="41"/>
      <c r="L11" s="112"/>
      <c r="M11" s="112"/>
      <c r="N11" s="112"/>
      <c r="O11" s="112"/>
      <c r="P11" s="112">
        <v>5</v>
      </c>
      <c r="Q11" s="120"/>
      <c r="R11" s="86">
        <f t="shared" si="1"/>
        <v>5</v>
      </c>
      <c r="S11" s="124">
        <f t="shared" si="1"/>
        <v>0</v>
      </c>
      <c r="T11" s="41"/>
      <c r="U11" s="107">
        <f>L11*24+N11*24+P11*24</f>
        <v>120</v>
      </c>
      <c r="V11" s="130">
        <f>U11/24</f>
        <v>5</v>
      </c>
      <c r="W11" s="129">
        <f t="shared" si="2"/>
        <v>360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3159</v>
      </c>
      <c r="D13" s="114">
        <v>22</v>
      </c>
      <c r="E13" s="115"/>
      <c r="F13" s="115"/>
      <c r="G13" s="78">
        <v>11</v>
      </c>
      <c r="H13" s="79"/>
      <c r="I13" s="80">
        <f t="shared" si="4"/>
        <v>3148</v>
      </c>
      <c r="J13" s="94">
        <f>D13-H13</f>
        <v>22</v>
      </c>
      <c r="K13" s="53"/>
      <c r="L13" s="121"/>
      <c r="M13" s="121"/>
      <c r="N13" s="121">
        <v>11</v>
      </c>
      <c r="O13" s="121"/>
      <c r="P13" s="121"/>
      <c r="Q13" s="122"/>
      <c r="R13" s="97">
        <f>L13+N13+P13</f>
        <v>11</v>
      </c>
      <c r="S13" s="125">
        <f>M13+O13+Q13</f>
        <v>0</v>
      </c>
      <c r="T13" s="53"/>
      <c r="U13" s="131">
        <f>L13*24+N13*24+P13*24</f>
        <v>264</v>
      </c>
      <c r="V13" s="135">
        <f t="shared" si="6"/>
        <v>11</v>
      </c>
      <c r="W13" s="133">
        <f>I13*24+J13</f>
        <v>75574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162</v>
      </c>
      <c r="D26" s="111">
        <v>1</v>
      </c>
      <c r="E26" s="112"/>
      <c r="F26" s="112"/>
      <c r="G26" s="76">
        <v>10</v>
      </c>
      <c r="H26" s="73"/>
      <c r="I26" s="73">
        <f t="shared" si="4"/>
        <v>152</v>
      </c>
      <c r="J26" s="77">
        <f t="shared" si="7"/>
        <v>1</v>
      </c>
      <c r="K26" s="41"/>
      <c r="L26" s="112"/>
      <c r="M26" s="112"/>
      <c r="N26" s="112"/>
      <c r="O26" s="112"/>
      <c r="P26" s="112">
        <v>10</v>
      </c>
      <c r="Q26" s="120"/>
      <c r="R26" s="86">
        <f t="shared" si="8"/>
        <v>10</v>
      </c>
      <c r="S26" s="124">
        <f t="shared" si="8"/>
        <v>0</v>
      </c>
      <c r="T26" s="41"/>
      <c r="U26" s="107">
        <f t="shared" si="5"/>
        <v>240</v>
      </c>
      <c r="V26" s="130">
        <f t="shared" si="6"/>
        <v>10</v>
      </c>
      <c r="W26" s="129">
        <f t="shared" si="9"/>
        <v>3649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1</v>
      </c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>
        <v>1</v>
      </c>
      <c r="Q28" s="120"/>
      <c r="R28" s="86">
        <f t="shared" si="8"/>
        <v>1</v>
      </c>
      <c r="S28" s="124">
        <f t="shared" si="8"/>
        <v>0</v>
      </c>
      <c r="T28" s="42"/>
      <c r="U28" s="107">
        <f t="shared" si="5"/>
        <v>24</v>
      </c>
      <c r="V28" s="130">
        <f t="shared" si="6"/>
        <v>1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8</v>
      </c>
      <c r="D30" s="111">
        <v>5</v>
      </c>
      <c r="E30" s="112"/>
      <c r="F30" s="112"/>
      <c r="G30" s="76">
        <v>8</v>
      </c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>
        <v>8</v>
      </c>
      <c r="Q30" s="120"/>
      <c r="R30" s="86">
        <f t="shared" si="8"/>
        <v>8</v>
      </c>
      <c r="S30" s="124">
        <f t="shared" si="8"/>
        <v>0</v>
      </c>
      <c r="T30" s="41"/>
      <c r="U30" s="107">
        <f t="shared" si="5"/>
        <v>192</v>
      </c>
      <c r="V30" s="130">
        <f t="shared" si="6"/>
        <v>8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2</v>
      </c>
      <c r="H31" s="73"/>
      <c r="I31" s="73">
        <f t="shared" si="4"/>
        <v>2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48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168</v>
      </c>
      <c r="D35" s="111">
        <v>2</v>
      </c>
      <c r="E35" s="112"/>
      <c r="F35" s="112"/>
      <c r="G35" s="76">
        <v>25</v>
      </c>
      <c r="H35" s="73"/>
      <c r="I35" s="73">
        <f t="shared" si="4"/>
        <v>143</v>
      </c>
      <c r="J35" s="77">
        <f t="shared" si="7"/>
        <v>2</v>
      </c>
      <c r="K35" s="41"/>
      <c r="L35" s="112"/>
      <c r="M35" s="112"/>
      <c r="N35" s="112">
        <v>5</v>
      </c>
      <c r="O35" s="112"/>
      <c r="P35" s="112">
        <v>20</v>
      </c>
      <c r="Q35" s="120"/>
      <c r="R35" s="86">
        <f t="shared" si="8"/>
        <v>25</v>
      </c>
      <c r="S35" s="124">
        <f t="shared" si="8"/>
        <v>0</v>
      </c>
      <c r="T35" s="41"/>
      <c r="U35" s="107">
        <f t="shared" si="5"/>
        <v>600</v>
      </c>
      <c r="V35" s="130">
        <f t="shared" si="6"/>
        <v>25</v>
      </c>
      <c r="W35" s="129">
        <f t="shared" si="9"/>
        <v>3434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3345</v>
      </c>
      <c r="D38" s="114">
        <v>1</v>
      </c>
      <c r="E38" s="115"/>
      <c r="F38" s="115"/>
      <c r="G38" s="78">
        <v>101</v>
      </c>
      <c r="H38" s="79"/>
      <c r="I38" s="80">
        <f t="shared" si="4"/>
        <v>3244</v>
      </c>
      <c r="J38" s="140">
        <f t="shared" si="7"/>
        <v>1</v>
      </c>
      <c r="K38" s="51"/>
      <c r="L38" s="121"/>
      <c r="M38" s="121"/>
      <c r="N38" s="121">
        <v>51</v>
      </c>
      <c r="O38" s="121"/>
      <c r="P38" s="121">
        <v>50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19465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257</v>
      </c>
      <c r="D41" s="147">
        <v>20</v>
      </c>
      <c r="E41" s="148"/>
      <c r="F41" s="148"/>
      <c r="G41" s="149">
        <v>16</v>
      </c>
      <c r="H41" s="150"/>
      <c r="I41" s="80">
        <f t="shared" si="4"/>
        <v>241</v>
      </c>
      <c r="J41" s="152">
        <f t="shared" si="7"/>
        <v>20</v>
      </c>
      <c r="K41" s="153"/>
      <c r="L41" s="154"/>
      <c r="M41" s="154"/>
      <c r="N41" s="154">
        <v>1</v>
      </c>
      <c r="O41" s="154"/>
      <c r="P41" s="154">
        <v>15</v>
      </c>
      <c r="Q41" s="155"/>
      <c r="R41" s="156">
        <f t="shared" si="8"/>
        <v>16</v>
      </c>
      <c r="S41" s="157">
        <f t="shared" si="8"/>
        <v>0</v>
      </c>
      <c r="T41" s="153"/>
      <c r="U41" s="158">
        <f t="shared" si="10"/>
        <v>384</v>
      </c>
      <c r="V41" s="159">
        <f t="shared" si="6"/>
        <v>16</v>
      </c>
      <c r="W41" s="159">
        <f t="shared" si="11"/>
        <v>5804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328</v>
      </c>
      <c r="D42" s="164"/>
      <c r="E42" s="165"/>
      <c r="F42" s="165"/>
      <c r="G42" s="166">
        <v>35</v>
      </c>
      <c r="H42" s="167"/>
      <c r="I42" s="181">
        <f t="shared" si="4"/>
        <v>293</v>
      </c>
      <c r="J42" s="168">
        <f t="shared" si="7"/>
        <v>0</v>
      </c>
      <c r="K42" s="169"/>
      <c r="L42" s="165"/>
      <c r="M42" s="165"/>
      <c r="N42" s="165"/>
      <c r="O42" s="165"/>
      <c r="P42" s="165">
        <v>35</v>
      </c>
      <c r="Q42" s="170"/>
      <c r="R42" s="171">
        <f t="shared" si="8"/>
        <v>35</v>
      </c>
      <c r="S42" s="172">
        <f t="shared" si="8"/>
        <v>0</v>
      </c>
      <c r="T42" s="169"/>
      <c r="U42" s="173">
        <f>L42*12+N42*12+P42*12</f>
        <v>420</v>
      </c>
      <c r="V42" s="174">
        <f>U42/12</f>
        <v>35</v>
      </c>
      <c r="W42" s="175">
        <f>I42*12+J42</f>
        <v>3516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38628</v>
      </c>
      <c r="D44" s="114">
        <v>2</v>
      </c>
      <c r="E44" s="115"/>
      <c r="F44" s="115"/>
      <c r="G44" s="78">
        <v>758</v>
      </c>
      <c r="H44" s="79"/>
      <c r="I44" s="182">
        <f t="shared" si="4"/>
        <v>37870</v>
      </c>
      <c r="J44" s="177">
        <f t="shared" si="7"/>
        <v>2</v>
      </c>
      <c r="K44" s="51"/>
      <c r="L44" s="121"/>
      <c r="M44" s="121"/>
      <c r="N44" s="121">
        <v>405</v>
      </c>
      <c r="O44" s="121"/>
      <c r="P44" s="121">
        <v>353</v>
      </c>
      <c r="Q44" s="122"/>
      <c r="R44" s="178">
        <f t="shared" si="8"/>
        <v>758</v>
      </c>
      <c r="S44" s="179">
        <f t="shared" si="8"/>
        <v>0</v>
      </c>
      <c r="T44" s="51"/>
      <c r="U44" s="131">
        <f>L44*6+N44*6+P44*6</f>
        <v>4548</v>
      </c>
      <c r="V44" s="130">
        <f>U44/6</f>
        <v>758</v>
      </c>
      <c r="W44" s="133">
        <f>I44*6+J44</f>
        <v>227222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2667</v>
      </c>
      <c r="D48" s="142">
        <v>3</v>
      </c>
      <c r="E48" s="121"/>
      <c r="F48" s="121"/>
      <c r="G48" s="143">
        <v>15</v>
      </c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>
        <v>15</v>
      </c>
      <c r="Q48" s="122"/>
      <c r="R48" s="97">
        <f t="shared" si="8"/>
        <v>15</v>
      </c>
      <c r="S48" s="144">
        <f t="shared" si="8"/>
        <v>0</v>
      </c>
      <c r="T48" s="51"/>
      <c r="U48" s="131">
        <f>L48*6+N48*6+P48*6</f>
        <v>90</v>
      </c>
      <c r="V48" s="135">
        <f>U48/6</f>
        <v>15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49028</v>
      </c>
      <c r="D60" s="54">
        <f>SUM(D8:D59)</f>
        <v>154</v>
      </c>
      <c r="E60" s="44">
        <f>SUM(E8:E59)</f>
        <v>0</v>
      </c>
      <c r="F60" s="44"/>
      <c r="G60" s="28">
        <f>SUM(G8:G59)</f>
        <v>1008</v>
      </c>
      <c r="H60" s="56">
        <f>SUM(H8:H59)</f>
        <v>0</v>
      </c>
      <c r="I60" s="56">
        <f>SUM(I8:I59)</f>
        <v>48020</v>
      </c>
      <c r="J60" s="45">
        <f>SUM(J8:J59)</f>
        <v>154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473</v>
      </c>
      <c r="O60" s="74">
        <f t="shared" si="21"/>
        <v>0</v>
      </c>
      <c r="P60" s="74">
        <f t="shared" si="21"/>
        <v>533</v>
      </c>
      <c r="Q60" s="75">
        <f t="shared" si="21"/>
        <v>0</v>
      </c>
      <c r="R60" s="85">
        <f t="shared" si="21"/>
        <v>1006</v>
      </c>
      <c r="S60" s="84">
        <f t="shared" si="21"/>
        <v>0</v>
      </c>
      <c r="T60" s="46"/>
      <c r="U60" s="43">
        <f>SUM(U8:U59)</f>
        <v>7992</v>
      </c>
      <c r="V60" s="102">
        <f>SUM(V8:V59)</f>
        <v>1006</v>
      </c>
      <c r="W60" s="180">
        <f>SUM(W8:W59)</f>
        <v>360718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A27D-1F85-4CEC-9921-09A8F107B9CE}">
  <sheetPr>
    <pageSetUpPr fitToPage="1"/>
  </sheetPr>
  <dimension ref="A1:BH90"/>
  <sheetViews>
    <sheetView topLeftCell="A18" zoomScale="73" zoomScaleNormal="73" zoomScaleSheetLayoutView="85" zoomScalePageLayoutView="80" workbookViewId="0">
      <selection activeCell="AE39" sqref="AE3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9.140625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46258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203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71</v>
      </c>
      <c r="D9" s="114">
        <v>12</v>
      </c>
      <c r="E9" s="115"/>
      <c r="F9" s="115"/>
      <c r="G9" s="78"/>
      <c r="H9" s="79"/>
      <c r="I9" s="80">
        <f t="shared" ref="I9:I59" si="4">C9+E9-G9</f>
        <v>71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1716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56</v>
      </c>
      <c r="D10" s="111"/>
      <c r="E10" s="112"/>
      <c r="F10" s="112"/>
      <c r="G10" s="76">
        <v>1</v>
      </c>
      <c r="H10" s="73"/>
      <c r="I10" s="93">
        <f t="shared" si="4"/>
        <v>55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1320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15</v>
      </c>
      <c r="D11" s="111"/>
      <c r="E11" s="112"/>
      <c r="F11" s="112"/>
      <c r="G11" s="76">
        <v>1</v>
      </c>
      <c r="H11" s="73"/>
      <c r="I11" s="73">
        <f t="shared" si="4"/>
        <v>14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336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3148</v>
      </c>
      <c r="D13" s="114">
        <v>22</v>
      </c>
      <c r="E13" s="115"/>
      <c r="F13" s="115"/>
      <c r="G13" s="78">
        <v>58</v>
      </c>
      <c r="H13" s="79">
        <v>30</v>
      </c>
      <c r="I13" s="80">
        <v>3089</v>
      </c>
      <c r="J13" s="94">
        <v>16</v>
      </c>
      <c r="K13" s="53"/>
      <c r="L13" s="121">
        <v>33</v>
      </c>
      <c r="M13" s="121"/>
      <c r="N13" s="121">
        <v>10</v>
      </c>
      <c r="O13" s="121">
        <v>19</v>
      </c>
      <c r="P13" s="121">
        <v>15</v>
      </c>
      <c r="Q13" s="122">
        <v>11</v>
      </c>
      <c r="R13" s="97">
        <f>L13+N13+P13</f>
        <v>58</v>
      </c>
      <c r="S13" s="125">
        <f>M13+O13+Q13</f>
        <v>30</v>
      </c>
      <c r="T13" s="53"/>
      <c r="U13" s="131">
        <f>L13*24+N13*24+P13*24</f>
        <v>1392</v>
      </c>
      <c r="V13" s="135">
        <f t="shared" si="6"/>
        <v>58</v>
      </c>
      <c r="W13" s="133">
        <f>I13*24+J13</f>
        <v>74152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/>
      <c r="H26" s="73"/>
      <c r="I26" s="73">
        <f t="shared" si="4"/>
        <v>152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3649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>
        <v>316</v>
      </c>
      <c r="F29" s="112"/>
      <c r="G29" s="76"/>
      <c r="H29" s="73"/>
      <c r="I29" s="73">
        <f t="shared" si="4"/>
        <v>316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7584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2</v>
      </c>
      <c r="D31" s="111"/>
      <c r="E31" s="112"/>
      <c r="F31" s="112"/>
      <c r="G31" s="76">
        <v>1</v>
      </c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143</v>
      </c>
      <c r="D35" s="111">
        <v>2</v>
      </c>
      <c r="E35" s="112"/>
      <c r="F35" s="112"/>
      <c r="G35" s="76">
        <v>3</v>
      </c>
      <c r="H35" s="73"/>
      <c r="I35" s="73">
        <f t="shared" si="4"/>
        <v>140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3244</v>
      </c>
      <c r="D38" s="114">
        <v>1</v>
      </c>
      <c r="E38" s="115"/>
      <c r="F38" s="115"/>
      <c r="G38" s="78">
        <v>151</v>
      </c>
      <c r="H38" s="79"/>
      <c r="I38" s="80">
        <f t="shared" si="4"/>
        <v>3093</v>
      </c>
      <c r="J38" s="140">
        <f t="shared" si="7"/>
        <v>1</v>
      </c>
      <c r="K38" s="51"/>
      <c r="L38" s="121">
        <v>29</v>
      </c>
      <c r="M38" s="121"/>
      <c r="N38" s="121">
        <v>15</v>
      </c>
      <c r="O38" s="121"/>
      <c r="P38" s="121">
        <v>17</v>
      </c>
      <c r="Q38" s="122"/>
      <c r="R38" s="97">
        <v>151</v>
      </c>
      <c r="S38" s="125">
        <f t="shared" si="8"/>
        <v>0</v>
      </c>
      <c r="T38" s="51"/>
      <c r="U38" s="131">
        <v>906</v>
      </c>
      <c r="V38" s="135">
        <f>U38/6</f>
        <v>151</v>
      </c>
      <c r="W38" s="133">
        <f>I38*6+J38</f>
        <v>18559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244</v>
      </c>
      <c r="D41" s="147">
        <v>20</v>
      </c>
      <c r="E41" s="148"/>
      <c r="F41" s="148"/>
      <c r="G41" s="149"/>
      <c r="H41" s="150"/>
      <c r="I41" s="80">
        <v>241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5804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293</v>
      </c>
      <c r="D42" s="164"/>
      <c r="E42" s="165"/>
      <c r="F42" s="165"/>
      <c r="G42" s="166">
        <v>36</v>
      </c>
      <c r="H42" s="167"/>
      <c r="I42" s="181">
        <f t="shared" si="4"/>
        <v>257</v>
      </c>
      <c r="J42" s="168">
        <f t="shared" si="7"/>
        <v>0</v>
      </c>
      <c r="K42" s="169"/>
      <c r="L42" s="165">
        <v>21</v>
      </c>
      <c r="M42" s="165"/>
      <c r="N42" s="165"/>
      <c r="O42" s="165"/>
      <c r="P42" s="165">
        <v>15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3084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37870</v>
      </c>
      <c r="D44" s="114">
        <v>2</v>
      </c>
      <c r="E44" s="115">
        <v>3132</v>
      </c>
      <c r="F44" s="115">
        <v>25</v>
      </c>
      <c r="G44" s="78">
        <v>1834</v>
      </c>
      <c r="H44" s="79"/>
      <c r="I44" s="182">
        <v>39193</v>
      </c>
      <c r="J44" s="177">
        <f t="shared" si="7"/>
        <v>2</v>
      </c>
      <c r="K44" s="51"/>
      <c r="L44" s="121">
        <v>906</v>
      </c>
      <c r="M44" s="121"/>
      <c r="N44" s="121">
        <v>370</v>
      </c>
      <c r="O44" s="121"/>
      <c r="P44" s="121">
        <v>557</v>
      </c>
      <c r="Q44" s="122"/>
      <c r="R44" s="178">
        <v>1834</v>
      </c>
      <c r="S44" s="179">
        <f t="shared" si="8"/>
        <v>0</v>
      </c>
      <c r="T44" s="51"/>
      <c r="U44" s="131">
        <f>L44*6+N44*6+P44*6</f>
        <v>10998</v>
      </c>
      <c r="V44" s="130">
        <f>U44/6</f>
        <v>1833</v>
      </c>
      <c r="W44" s="133">
        <f>I44*6+J44</f>
        <v>235160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>
        <v>1</v>
      </c>
      <c r="H49" s="73"/>
      <c r="I49" s="93">
        <f t="shared" si="4"/>
        <v>-1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-24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48022</v>
      </c>
      <c r="D60" s="54">
        <f>SUM(D8:D59)</f>
        <v>154</v>
      </c>
      <c r="E60" s="44">
        <f>SUM(E8:E59)</f>
        <v>3448</v>
      </c>
      <c r="F60" s="44"/>
      <c r="G60" s="28">
        <f>SUM(G8:G59)</f>
        <v>2086</v>
      </c>
      <c r="H60" s="56">
        <f>SUM(H8:H59)</f>
        <v>30</v>
      </c>
      <c r="I60" s="56">
        <f>SUM(I8:I59)</f>
        <v>49405</v>
      </c>
      <c r="J60" s="45">
        <f>SUM(J8:J59)</f>
        <v>148</v>
      </c>
      <c r="K60" s="46"/>
      <c r="L60" s="74">
        <f t="shared" ref="L60:S60" si="21">SUM(L8:L59)</f>
        <v>989</v>
      </c>
      <c r="M60" s="74">
        <f t="shared" si="21"/>
        <v>0</v>
      </c>
      <c r="N60" s="74">
        <f t="shared" si="21"/>
        <v>397</v>
      </c>
      <c r="O60" s="74">
        <f t="shared" si="21"/>
        <v>19</v>
      </c>
      <c r="P60" s="74">
        <f t="shared" si="21"/>
        <v>605</v>
      </c>
      <c r="Q60" s="75">
        <f t="shared" si="21"/>
        <v>11</v>
      </c>
      <c r="R60" s="85">
        <f t="shared" si="21"/>
        <v>2082</v>
      </c>
      <c r="S60" s="84">
        <f t="shared" si="21"/>
        <v>30</v>
      </c>
      <c r="T60" s="46"/>
      <c r="U60" s="43">
        <f>SUM(U8:U59)</f>
        <v>13800</v>
      </c>
      <c r="V60" s="102">
        <f>SUM(V8:V59)</f>
        <v>2081</v>
      </c>
      <c r="W60" s="180">
        <f>SUM(W8:W59)</f>
        <v>373288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EC5D-10F0-4CD2-871C-B4E4474C4CAA}">
  <sheetPr>
    <pageSetUpPr fitToPage="1"/>
  </sheetPr>
  <dimension ref="A1:BH90"/>
  <sheetViews>
    <sheetView zoomScale="73" zoomScaleNormal="73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9.140625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46259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206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71</v>
      </c>
      <c r="D9" s="114">
        <v>12</v>
      </c>
      <c r="E9" s="115"/>
      <c r="F9" s="115"/>
      <c r="G9" s="78">
        <v>2</v>
      </c>
      <c r="H9" s="79"/>
      <c r="I9" s="80">
        <f t="shared" ref="I9:I59" si="4">C9+E9-G9</f>
        <v>69</v>
      </c>
      <c r="J9" s="94">
        <f t="shared" si="0"/>
        <v>12</v>
      </c>
      <c r="K9" s="51"/>
      <c r="L9" s="121"/>
      <c r="M9" s="121"/>
      <c r="N9" s="121"/>
      <c r="O9" s="121"/>
      <c r="P9" s="121">
        <v>2</v>
      </c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1668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55</v>
      </c>
      <c r="D10" s="111"/>
      <c r="E10" s="112"/>
      <c r="F10" s="112"/>
      <c r="G10" s="76">
        <v>1</v>
      </c>
      <c r="H10" s="73"/>
      <c r="I10" s="93">
        <f t="shared" si="4"/>
        <v>54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1296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14</v>
      </c>
      <c r="D11" s="111"/>
      <c r="E11" s="112"/>
      <c r="F11" s="112"/>
      <c r="G11" s="76">
        <v>1</v>
      </c>
      <c r="H11" s="73"/>
      <c r="I11" s="73">
        <f t="shared" si="4"/>
        <v>13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312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3089</v>
      </c>
      <c r="D13" s="114">
        <v>16</v>
      </c>
      <c r="E13" s="115"/>
      <c r="F13" s="115"/>
      <c r="G13" s="78">
        <v>80</v>
      </c>
      <c r="H13" s="79">
        <v>16</v>
      </c>
      <c r="I13" s="80">
        <f>C13+E13-G13</f>
        <v>3009</v>
      </c>
      <c r="J13" s="94">
        <f>D13-E13</f>
        <v>16</v>
      </c>
      <c r="K13" s="53"/>
      <c r="L13" s="121">
        <v>30</v>
      </c>
      <c r="M13" s="121"/>
      <c r="N13" s="121">
        <v>25</v>
      </c>
      <c r="O13" s="121">
        <v>10</v>
      </c>
      <c r="P13" s="121">
        <v>25</v>
      </c>
      <c r="Q13" s="122">
        <v>6</v>
      </c>
      <c r="R13" s="97">
        <f>L13+N13+P13</f>
        <v>80</v>
      </c>
      <c r="S13" s="125">
        <f>M13+O13+Q13</f>
        <v>16</v>
      </c>
      <c r="T13" s="53"/>
      <c r="U13" s="131">
        <f>L13*24+N13*24+P13*24</f>
        <v>1920</v>
      </c>
      <c r="V13" s="135">
        <f t="shared" si="6"/>
        <v>80</v>
      </c>
      <c r="W13" s="133">
        <v>72216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16</v>
      </c>
      <c r="H26" s="73"/>
      <c r="I26" s="73">
        <f t="shared" si="4"/>
        <v>136</v>
      </c>
      <c r="J26" s="77">
        <f t="shared" si="7"/>
        <v>1</v>
      </c>
      <c r="K26" s="41"/>
      <c r="L26" s="112"/>
      <c r="M26" s="112"/>
      <c r="N26" s="112"/>
      <c r="O26" s="112"/>
      <c r="P26" s="112">
        <v>16</v>
      </c>
      <c r="Q26" s="120"/>
      <c r="R26" s="86">
        <f t="shared" si="8"/>
        <v>16</v>
      </c>
      <c r="S26" s="124">
        <f t="shared" si="8"/>
        <v>0</v>
      </c>
      <c r="T26" s="41"/>
      <c r="U26" s="107">
        <f t="shared" si="5"/>
        <v>384</v>
      </c>
      <c r="V26" s="130">
        <f t="shared" si="6"/>
        <v>16</v>
      </c>
      <c r="W26" s="129">
        <f t="shared" si="9"/>
        <v>3265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5</v>
      </c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316</v>
      </c>
      <c r="D29" s="111"/>
      <c r="E29" s="112"/>
      <c r="F29" s="112"/>
      <c r="G29" s="76">
        <v>17</v>
      </c>
      <c r="H29" s="73"/>
      <c r="I29" s="73">
        <f t="shared" si="4"/>
        <v>299</v>
      </c>
      <c r="J29" s="77">
        <f t="shared" si="7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8"/>
        <v>17</v>
      </c>
      <c r="S29" s="124">
        <f t="shared" si="8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9"/>
        <v>7176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>
        <v>1</v>
      </c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140</v>
      </c>
      <c r="D35" s="111">
        <v>2</v>
      </c>
      <c r="E35" s="112"/>
      <c r="F35" s="112"/>
      <c r="G35" s="76">
        <v>8</v>
      </c>
      <c r="H35" s="73"/>
      <c r="I35" s="73">
        <f t="shared" si="4"/>
        <v>132</v>
      </c>
      <c r="J35" s="77">
        <f t="shared" si="7"/>
        <v>2</v>
      </c>
      <c r="K35" s="41"/>
      <c r="L35" s="112"/>
      <c r="M35" s="112"/>
      <c r="N35" s="112"/>
      <c r="O35" s="112"/>
      <c r="P35" s="112">
        <v>8</v>
      </c>
      <c r="Q35" s="120"/>
      <c r="R35" s="86">
        <f t="shared" si="8"/>
        <v>8</v>
      </c>
      <c r="S35" s="124">
        <f t="shared" si="8"/>
        <v>0</v>
      </c>
      <c r="T35" s="41"/>
      <c r="U35" s="107">
        <f t="shared" si="5"/>
        <v>192</v>
      </c>
      <c r="V35" s="130">
        <f t="shared" si="6"/>
        <v>8</v>
      </c>
      <c r="W35" s="129">
        <f t="shared" si="9"/>
        <v>3170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3093</v>
      </c>
      <c r="D38" s="114">
        <v>1</v>
      </c>
      <c r="E38" s="115"/>
      <c r="F38" s="115"/>
      <c r="G38" s="78">
        <v>194</v>
      </c>
      <c r="H38" s="79"/>
      <c r="I38" s="80">
        <f t="shared" si="4"/>
        <v>2899</v>
      </c>
      <c r="J38" s="140">
        <f t="shared" si="7"/>
        <v>1</v>
      </c>
      <c r="K38" s="51"/>
      <c r="L38" s="121">
        <v>21</v>
      </c>
      <c r="M38" s="121"/>
      <c r="N38" s="121">
        <v>136</v>
      </c>
      <c r="O38" s="121"/>
      <c r="P38" s="121">
        <v>37</v>
      </c>
      <c r="Q38" s="122"/>
      <c r="R38" s="97">
        <v>151</v>
      </c>
      <c r="S38" s="125">
        <f t="shared" si="8"/>
        <v>0</v>
      </c>
      <c r="T38" s="51"/>
      <c r="U38" s="131">
        <v>906</v>
      </c>
      <c r="V38" s="135">
        <f>U38/6</f>
        <v>151</v>
      </c>
      <c r="W38" s="133">
        <f>I38*6+J38</f>
        <v>17395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>
        <v>5</v>
      </c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241</v>
      </c>
      <c r="D41" s="147">
        <v>20</v>
      </c>
      <c r="E41" s="148">
        <v>64</v>
      </c>
      <c r="F41" s="148"/>
      <c r="G41" s="149"/>
      <c r="H41" s="150"/>
      <c r="I41" s="80">
        <f>C41+E41-G41</f>
        <v>305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7340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257</v>
      </c>
      <c r="D42" s="164"/>
      <c r="E42" s="165">
        <v>576</v>
      </c>
      <c r="F42" s="165"/>
      <c r="G42" s="166">
        <v>6</v>
      </c>
      <c r="H42" s="167"/>
      <c r="I42" s="181">
        <f t="shared" si="4"/>
        <v>827</v>
      </c>
      <c r="J42" s="168">
        <f t="shared" si="7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9924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39193</v>
      </c>
      <c r="D44" s="114">
        <v>2</v>
      </c>
      <c r="E44" s="115">
        <v>2916</v>
      </c>
      <c r="F44" s="115"/>
      <c r="G44" s="78">
        <v>2292</v>
      </c>
      <c r="H44" s="79"/>
      <c r="I44" s="182">
        <v>39817</v>
      </c>
      <c r="J44" s="177">
        <f t="shared" si="7"/>
        <v>2</v>
      </c>
      <c r="K44" s="51"/>
      <c r="L44" s="121">
        <v>993</v>
      </c>
      <c r="M44" s="121"/>
      <c r="N44" s="121">
        <v>544</v>
      </c>
      <c r="O44" s="121"/>
      <c r="P44" s="121">
        <v>755</v>
      </c>
      <c r="Q44" s="122"/>
      <c r="R44" s="178">
        <f>L44+N44+P44</f>
        <v>2292</v>
      </c>
      <c r="S44" s="179">
        <f t="shared" si="8"/>
        <v>0</v>
      </c>
      <c r="T44" s="51"/>
      <c r="U44" s="131">
        <f>L44*6+N44*6+P44*6</f>
        <v>13752</v>
      </c>
      <c r="V44" s="130">
        <f>U44/6</f>
        <v>2292</v>
      </c>
      <c r="W44" s="133">
        <f>I44*6+J44</f>
        <v>238904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>
        <v>5</v>
      </c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49407</v>
      </c>
      <c r="D60" s="54">
        <f>SUM(D8:D59)</f>
        <v>148</v>
      </c>
      <c r="E60" s="44">
        <f>SUM(E8:E59)</f>
        <v>3571</v>
      </c>
      <c r="F60" s="44"/>
      <c r="G60" s="28">
        <f>SUM(G8:G59)</f>
        <v>2618</v>
      </c>
      <c r="H60" s="56">
        <f>SUM(H8:H59)</f>
        <v>16</v>
      </c>
      <c r="I60" s="56">
        <f>SUM(I8:I59)</f>
        <v>50360</v>
      </c>
      <c r="J60" s="45">
        <f>SUM(J8:J59)</f>
        <v>148</v>
      </c>
      <c r="K60" s="46"/>
      <c r="L60" s="74">
        <f t="shared" ref="L60:S60" si="21">SUM(L8:L59)</f>
        <v>1044</v>
      </c>
      <c r="M60" s="74">
        <f t="shared" si="21"/>
        <v>0</v>
      </c>
      <c r="N60" s="74">
        <f t="shared" si="21"/>
        <v>707</v>
      </c>
      <c r="O60" s="74">
        <f t="shared" si="21"/>
        <v>10</v>
      </c>
      <c r="P60" s="74">
        <f t="shared" si="21"/>
        <v>867</v>
      </c>
      <c r="Q60" s="75">
        <f t="shared" si="21"/>
        <v>6</v>
      </c>
      <c r="R60" s="85">
        <f t="shared" si="21"/>
        <v>2575</v>
      </c>
      <c r="S60" s="84">
        <f t="shared" si="21"/>
        <v>16</v>
      </c>
      <c r="T60" s="46"/>
      <c r="U60" s="43">
        <f>SUM(U8:U59)</f>
        <v>17754</v>
      </c>
      <c r="V60" s="102">
        <f>SUM(V8:V59)</f>
        <v>2575</v>
      </c>
      <c r="W60" s="180">
        <f>SUM(W8:W59)</f>
        <v>381612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42656-4B4C-440D-A8D1-3C0558047BA2}">
  <sheetPr>
    <pageSetUpPr fitToPage="1"/>
  </sheetPr>
  <dimension ref="A1:BH90"/>
  <sheetViews>
    <sheetView tabSelected="1" topLeftCell="A26" zoomScale="73" zoomScaleNormal="73" zoomScaleSheetLayoutView="85" zoomScalePageLayoutView="80" workbookViewId="0">
      <selection activeCell="AH54" sqref="AH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9.140625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5">
        <v>46260</v>
      </c>
      <c r="Q1" s="216"/>
      <c r="R1" s="216"/>
      <c r="S1" s="216"/>
      <c r="T1" s="216"/>
      <c r="U1" s="216"/>
      <c r="V1" s="216"/>
      <c r="W1" s="216"/>
      <c r="X1" s="21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8" t="s">
        <v>74</v>
      </c>
      <c r="C4" s="219" t="s">
        <v>3</v>
      </c>
      <c r="D4" s="220" t="s">
        <v>75</v>
      </c>
      <c r="E4" s="221" t="s">
        <v>4</v>
      </c>
      <c r="F4" s="222"/>
      <c r="G4" s="223" t="s">
        <v>5</v>
      </c>
      <c r="H4" s="225" t="s">
        <v>75</v>
      </c>
      <c r="I4" s="227" t="s">
        <v>6</v>
      </c>
      <c r="J4" s="225" t="s">
        <v>75</v>
      </c>
      <c r="L4" s="229" t="s">
        <v>7</v>
      </c>
      <c r="M4" s="230"/>
      <c r="N4" s="230"/>
      <c r="O4" s="230"/>
      <c r="P4" s="230"/>
      <c r="Q4" s="230"/>
      <c r="R4" s="230"/>
      <c r="S4" s="230"/>
      <c r="T4" s="230"/>
      <c r="U4" s="230"/>
      <c r="V4" s="231"/>
      <c r="W4" s="230"/>
      <c r="X4" s="232"/>
    </row>
    <row r="5" spans="1:60" s="3" customFormat="1" ht="57" thickBot="1" x14ac:dyDescent="0.3">
      <c r="A5" s="49"/>
      <c r="B5" s="218"/>
      <c r="C5" s="219"/>
      <c r="D5" s="220"/>
      <c r="E5" s="48" t="s">
        <v>8</v>
      </c>
      <c r="F5" s="209" t="s">
        <v>9</v>
      </c>
      <c r="G5" s="224"/>
      <c r="H5" s="226"/>
      <c r="I5" s="228"/>
      <c r="J5" s="22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31</v>
      </c>
      <c r="D8" s="111">
        <v>9</v>
      </c>
      <c r="E8" s="112"/>
      <c r="F8" s="112"/>
      <c r="G8" s="76"/>
      <c r="H8" s="73"/>
      <c r="I8" s="73">
        <f>C8+E8-G8</f>
        <v>31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753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69</v>
      </c>
      <c r="D9" s="114">
        <v>12</v>
      </c>
      <c r="E9" s="115"/>
      <c r="F9" s="115"/>
      <c r="G9" s="78"/>
      <c r="H9" s="79"/>
      <c r="I9" s="80">
        <f t="shared" ref="I9:I59" si="4">C9+E9-G9</f>
        <v>69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1668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54</v>
      </c>
      <c r="D10" s="111"/>
      <c r="E10" s="112"/>
      <c r="F10" s="112"/>
      <c r="G10" s="76">
        <v>1</v>
      </c>
      <c r="H10" s="73"/>
      <c r="I10" s="93">
        <f t="shared" si="4"/>
        <v>53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1272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13</v>
      </c>
      <c r="D11" s="111"/>
      <c r="E11" s="112"/>
      <c r="F11" s="112"/>
      <c r="G11" s="76">
        <v>3</v>
      </c>
      <c r="H11" s="73"/>
      <c r="I11" s="73">
        <f t="shared" si="4"/>
        <v>10</v>
      </c>
      <c r="J11" s="77">
        <f t="shared" si="0"/>
        <v>0</v>
      </c>
      <c r="K11" s="41"/>
      <c r="L11" s="112"/>
      <c r="M11" s="112"/>
      <c r="N11" s="112"/>
      <c r="O11" s="112"/>
      <c r="P11" s="112">
        <v>3</v>
      </c>
      <c r="Q11" s="120"/>
      <c r="R11" s="86">
        <v>1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3009</v>
      </c>
      <c r="D13" s="114"/>
      <c r="E13" s="115"/>
      <c r="F13" s="115"/>
      <c r="G13" s="78">
        <v>35</v>
      </c>
      <c r="H13" s="79">
        <v>25</v>
      </c>
      <c r="I13" s="80">
        <v>2972</v>
      </c>
      <c r="J13" s="94">
        <f>D13-E13</f>
        <v>0</v>
      </c>
      <c r="K13" s="53"/>
      <c r="L13" s="121">
        <v>11</v>
      </c>
      <c r="M13" s="121">
        <v>8</v>
      </c>
      <c r="N13" s="121">
        <v>6</v>
      </c>
      <c r="O13" s="121">
        <v>13</v>
      </c>
      <c r="P13" s="121">
        <v>18</v>
      </c>
      <c r="Q13" s="122">
        <v>4</v>
      </c>
      <c r="R13" s="97">
        <v>35</v>
      </c>
      <c r="S13" s="125">
        <f>M13+O13+Q13</f>
        <v>25</v>
      </c>
      <c r="T13" s="53"/>
      <c r="U13" s="131">
        <f>L13*24+N13*24+P13*24</f>
        <v>840</v>
      </c>
      <c r="V13" s="135">
        <f t="shared" si="6"/>
        <v>35</v>
      </c>
      <c r="W13" s="133">
        <v>71351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2</v>
      </c>
      <c r="D20" s="111">
        <v>20</v>
      </c>
      <c r="E20" s="112"/>
      <c r="F20" s="112"/>
      <c r="G20" s="76"/>
      <c r="H20" s="73"/>
      <c r="I20" s="73">
        <f t="shared" si="4"/>
        <v>2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136</v>
      </c>
      <c r="D26" s="111">
        <v>1</v>
      </c>
      <c r="E26" s="112"/>
      <c r="F26" s="112"/>
      <c r="G26" s="76"/>
      <c r="H26" s="73"/>
      <c r="I26" s="73">
        <f t="shared" si="4"/>
        <v>136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3265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5</v>
      </c>
      <c r="D27" s="111"/>
      <c r="E27" s="112"/>
      <c r="F27" s="112"/>
      <c r="G27" s="76"/>
      <c r="H27" s="73"/>
      <c r="I27" s="73">
        <f t="shared" si="4"/>
        <v>5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120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1</v>
      </c>
      <c r="D28" s="111"/>
      <c r="E28" s="112"/>
      <c r="F28" s="112"/>
      <c r="G28" s="76"/>
      <c r="H28" s="73"/>
      <c r="I28" s="73">
        <f t="shared" si="4"/>
        <v>1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24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299</v>
      </c>
      <c r="D29" s="111"/>
      <c r="E29" s="112"/>
      <c r="F29" s="112"/>
      <c r="G29" s="76">
        <v>7</v>
      </c>
      <c r="H29" s="73"/>
      <c r="I29" s="73">
        <f t="shared" si="4"/>
        <v>292</v>
      </c>
      <c r="J29" s="77">
        <f t="shared" si="7"/>
        <v>0</v>
      </c>
      <c r="K29" s="42"/>
      <c r="L29" s="112"/>
      <c r="M29" s="112"/>
      <c r="N29" s="112">
        <v>2</v>
      </c>
      <c r="O29" s="112"/>
      <c r="P29" s="112">
        <v>5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7008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132</v>
      </c>
      <c r="D35" s="111">
        <v>2</v>
      </c>
      <c r="E35" s="112"/>
      <c r="F35" s="112"/>
      <c r="G35" s="76">
        <v>4</v>
      </c>
      <c r="H35" s="73"/>
      <c r="I35" s="73">
        <f t="shared" si="4"/>
        <v>128</v>
      </c>
      <c r="J35" s="77">
        <f t="shared" si="7"/>
        <v>2</v>
      </c>
      <c r="K35" s="41"/>
      <c r="L35" s="112"/>
      <c r="M35" s="112"/>
      <c r="N35" s="112"/>
      <c r="O35" s="112"/>
      <c r="P35" s="112">
        <v>4</v>
      </c>
      <c r="Q35" s="120"/>
      <c r="R35" s="86">
        <f t="shared" si="8"/>
        <v>4</v>
      </c>
      <c r="S35" s="124">
        <f t="shared" si="8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9"/>
        <v>3074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2899</v>
      </c>
      <c r="D38" s="114">
        <v>1</v>
      </c>
      <c r="E38" s="115"/>
      <c r="F38" s="115"/>
      <c r="G38" s="78">
        <v>116</v>
      </c>
      <c r="H38" s="79"/>
      <c r="I38" s="80">
        <f t="shared" si="4"/>
        <v>2783</v>
      </c>
      <c r="J38" s="140">
        <f t="shared" si="7"/>
        <v>1</v>
      </c>
      <c r="K38" s="51"/>
      <c r="L38" s="121">
        <v>44</v>
      </c>
      <c r="M38" s="121"/>
      <c r="N38" s="121">
        <v>19</v>
      </c>
      <c r="O38" s="121"/>
      <c r="P38" s="121">
        <v>53</v>
      </c>
      <c r="Q38" s="122"/>
      <c r="R38" s="97">
        <f>L38+N38+P38</f>
        <v>116</v>
      </c>
      <c r="S38" s="125">
        <f t="shared" si="8"/>
        <v>0</v>
      </c>
      <c r="T38" s="51"/>
      <c r="U38" s="131">
        <f>L38*24+N38*24+P38*24</f>
        <v>2784</v>
      </c>
      <c r="V38" s="135">
        <f>U38/6</f>
        <v>464</v>
      </c>
      <c r="W38" s="133">
        <f>I38*6+J38</f>
        <v>16699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5</v>
      </c>
      <c r="D39" s="111"/>
      <c r="E39" s="112"/>
      <c r="F39" s="112"/>
      <c r="G39" s="76"/>
      <c r="H39" s="73"/>
      <c r="I39" s="93">
        <f t="shared" si="4"/>
        <v>5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120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305</v>
      </c>
      <c r="D41" s="147">
        <v>20</v>
      </c>
      <c r="E41" s="148"/>
      <c r="F41" s="148"/>
      <c r="G41" s="149">
        <v>3</v>
      </c>
      <c r="H41" s="150"/>
      <c r="I41" s="80">
        <f>C41+E41-G41</f>
        <v>302</v>
      </c>
      <c r="J41" s="152">
        <f t="shared" si="7"/>
        <v>20</v>
      </c>
      <c r="K41" s="153"/>
      <c r="L41" s="154"/>
      <c r="M41" s="154"/>
      <c r="N41" s="154"/>
      <c r="O41" s="154"/>
      <c r="P41" s="154">
        <v>3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7268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827</v>
      </c>
      <c r="D42" s="164"/>
      <c r="E42" s="165"/>
      <c r="F42" s="165"/>
      <c r="G42" s="166">
        <v>22</v>
      </c>
      <c r="H42" s="167"/>
      <c r="I42" s="181">
        <f t="shared" si="4"/>
        <v>805</v>
      </c>
      <c r="J42" s="168">
        <f t="shared" si="7"/>
        <v>0</v>
      </c>
      <c r="K42" s="169"/>
      <c r="L42" s="165">
        <v>4</v>
      </c>
      <c r="M42" s="165"/>
      <c r="N42" s="165">
        <v>7</v>
      </c>
      <c r="O42" s="165"/>
      <c r="P42" s="165">
        <v>11</v>
      </c>
      <c r="Q42" s="170"/>
      <c r="R42" s="171">
        <f t="shared" si="8"/>
        <v>22</v>
      </c>
      <c r="S42" s="172">
        <f t="shared" si="8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9660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39816</v>
      </c>
      <c r="D44" s="114">
        <v>2</v>
      </c>
      <c r="E44" s="115">
        <v>1836</v>
      </c>
      <c r="F44" s="115"/>
      <c r="G44" s="78">
        <v>1441</v>
      </c>
      <c r="H44" s="79"/>
      <c r="I44" s="182">
        <f>C44+E44-G44</f>
        <v>40211</v>
      </c>
      <c r="J44" s="177">
        <f t="shared" si="7"/>
        <v>2</v>
      </c>
      <c r="K44" s="51"/>
      <c r="L44" s="121">
        <v>521</v>
      </c>
      <c r="M44" s="121"/>
      <c r="N44" s="121">
        <v>273</v>
      </c>
      <c r="O44" s="121"/>
      <c r="P44" s="121">
        <v>647</v>
      </c>
      <c r="Q44" s="122"/>
      <c r="R44" s="178">
        <f>L44+N44+P44</f>
        <v>1441</v>
      </c>
      <c r="S44" s="179">
        <f t="shared" si="8"/>
        <v>0</v>
      </c>
      <c r="T44" s="51"/>
      <c r="U44" s="131">
        <f>L44*6+N44*6+P44*6</f>
        <v>8646</v>
      </c>
      <c r="V44" s="130">
        <f>U44/6</f>
        <v>1441</v>
      </c>
      <c r="W44" s="133">
        <f>I44*6+J44</f>
        <v>241268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/>
      <c r="H46" s="73"/>
      <c r="I46" s="93">
        <f t="shared" si="4"/>
        <v>5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2652</v>
      </c>
      <c r="D48" s="142">
        <v>3</v>
      </c>
      <c r="E48" s="121"/>
      <c r="F48" s="121"/>
      <c r="G48" s="143"/>
      <c r="H48" s="139"/>
      <c r="I48" s="80">
        <f t="shared" si="4"/>
        <v>2652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15915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50359</v>
      </c>
      <c r="D60" s="54">
        <f>SUM(D8:D59)</f>
        <v>132</v>
      </c>
      <c r="E60" s="44">
        <f>SUM(E8:E59)</f>
        <v>1836</v>
      </c>
      <c r="F60" s="44"/>
      <c r="G60" s="28">
        <f>SUM(G8:G59)</f>
        <v>1632</v>
      </c>
      <c r="H60" s="56">
        <f>SUM(H8:H59)</f>
        <v>25</v>
      </c>
      <c r="I60" s="56">
        <f>SUM(I8:I59)</f>
        <v>50561</v>
      </c>
      <c r="J60" s="45">
        <f>SUM(J8:J59)</f>
        <v>132</v>
      </c>
      <c r="K60" s="46"/>
      <c r="L60" s="74">
        <f t="shared" ref="L60:S60" si="21">SUM(L8:L59)</f>
        <v>580</v>
      </c>
      <c r="M60" s="74">
        <f t="shared" si="21"/>
        <v>8</v>
      </c>
      <c r="N60" s="74">
        <f t="shared" si="21"/>
        <v>308</v>
      </c>
      <c r="O60" s="74">
        <f t="shared" si="21"/>
        <v>13</v>
      </c>
      <c r="P60" s="74">
        <f t="shared" si="21"/>
        <v>744</v>
      </c>
      <c r="Q60" s="75">
        <f t="shared" si="21"/>
        <v>4</v>
      </c>
      <c r="R60" s="85">
        <f t="shared" si="21"/>
        <v>1630</v>
      </c>
      <c r="S60" s="84">
        <f t="shared" si="21"/>
        <v>25</v>
      </c>
      <c r="T60" s="46"/>
      <c r="U60" s="43">
        <f>SUM(U8:U59)</f>
        <v>12966</v>
      </c>
      <c r="V60" s="102">
        <f>SUM(V8:V59)</f>
        <v>1980</v>
      </c>
      <c r="W60" s="180">
        <f>SUM(W8:W59)</f>
        <v>381719</v>
      </c>
      <c r="X60" s="45"/>
    </row>
    <row r="61" spans="1:24" ht="19.5" thickBot="1" x14ac:dyDescent="0.3">
      <c r="V61" s="103"/>
    </row>
    <row r="62" spans="1:24" ht="18.75" customHeight="1" x14ac:dyDescent="0.25">
      <c r="G62" s="21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21</vt:i4>
      </vt:variant>
    </vt:vector>
  </HeadingPairs>
  <TitlesOfParts>
    <vt:vector size="42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08,12</vt:lpstr>
      <vt:lpstr>08,13</vt:lpstr>
      <vt:lpstr>08,14</vt:lpstr>
      <vt:lpstr>08,15</vt:lpstr>
      <vt:lpstr>08,17</vt:lpstr>
      <vt:lpstr>08,18</vt:lpstr>
      <vt:lpstr>08,19</vt:lpstr>
      <vt:lpstr>08,20</vt:lpstr>
      <vt:lpstr>08,21</vt:lpstr>
      <vt:lpstr>08,24</vt:lpstr>
      <vt:lpstr>08,25</vt:lpstr>
      <vt:lpstr>08,26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'08,12'!Print_Area</vt:lpstr>
      <vt:lpstr>'08,13'!Print_Area</vt:lpstr>
      <vt:lpstr>'08,14'!Print_Area</vt:lpstr>
      <vt:lpstr>'08,15'!Print_Area</vt:lpstr>
      <vt:lpstr>'08,17'!Print_Area</vt:lpstr>
      <vt:lpstr>'08,18'!Print_Area</vt:lpstr>
      <vt:lpstr>'08,19'!Print_Area</vt:lpstr>
      <vt:lpstr>'08,20'!Print_Area</vt:lpstr>
      <vt:lpstr>'08,21'!Print_Area</vt:lpstr>
      <vt:lpstr>'08,24'!Print_Area</vt:lpstr>
      <vt:lpstr>'08,25'!Print_Area</vt:lpstr>
      <vt:lpstr>'08,26'!Print_Area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2026-08-21T08:20:14Z</cp:lastPrinted>
  <dcterms:created xsi:type="dcterms:W3CDTF">2024-09-01T23:32:49Z</dcterms:created>
  <dcterms:modified xsi:type="dcterms:W3CDTF">2026-08-27T02:46:53Z</dcterms:modified>
</cp:coreProperties>
</file>