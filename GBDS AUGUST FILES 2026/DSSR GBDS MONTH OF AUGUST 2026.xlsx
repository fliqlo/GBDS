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09BDEEC-CB1F-4DF6-9A09-16F215E71B92}" xr6:coauthVersionLast="45" xr6:coauthVersionMax="45" xr10:uidLastSave="{00000000-0000-0000-0000-000000000000}"/>
  <bookViews>
    <workbookView xWindow="-120" yWindow="-120" windowWidth="29040" windowHeight="15840" firstSheet="6" activeTab="18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  <sheet name="08,20" sheetId="148" r:id="rId17"/>
    <sheet name="08,21" sheetId="150" r:id="rId18"/>
    <sheet name="08,24" sheetId="151" r:id="rId19"/>
    <sheet name="08,25" sheetId="152" r:id="rId20"/>
    <sheet name="08,26" sheetId="153" r:id="rId21"/>
    <sheet name="08,27" sheetId="155" r:id="rId22"/>
    <sheet name="08,28" sheetId="156" r:id="rId23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16">'08,20'!$A$1:$Y$61</definedName>
    <definedName name="_xlnm.Print_Area" localSheetId="17">'08,21'!$A$1:$Y$61</definedName>
    <definedName name="_xlnm.Print_Area" localSheetId="18">'08,24'!$A$1:$Y$61</definedName>
    <definedName name="_xlnm.Print_Area" localSheetId="19">'08,25'!$A$1:$Y$61</definedName>
    <definedName name="_xlnm.Print_Area" localSheetId="20">'08,26'!$A$1:$Y$61</definedName>
    <definedName name="_xlnm.Print_Area" localSheetId="21">'08,27'!$A$1:$Y$61</definedName>
    <definedName name="_xlnm.Print_Area" localSheetId="22">'08,28'!$A$1:$Y$61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56" l="1"/>
  <c r="P60" i="156"/>
  <c r="O60" i="156"/>
  <c r="N60" i="156"/>
  <c r="M60" i="156"/>
  <c r="L60" i="156"/>
  <c r="H60" i="156"/>
  <c r="G60" i="156"/>
  <c r="E60" i="156"/>
  <c r="D60" i="156"/>
  <c r="C60" i="156"/>
  <c r="S59" i="156"/>
  <c r="R59" i="156"/>
  <c r="J59" i="156"/>
  <c r="I59" i="156"/>
  <c r="S58" i="156"/>
  <c r="R58" i="156"/>
  <c r="J58" i="156"/>
  <c r="I58" i="156"/>
  <c r="S57" i="156"/>
  <c r="R57" i="156"/>
  <c r="J57" i="156"/>
  <c r="I57" i="156"/>
  <c r="S56" i="156"/>
  <c r="R56" i="156"/>
  <c r="J56" i="156"/>
  <c r="I56" i="156"/>
  <c r="S55" i="156"/>
  <c r="R55" i="156"/>
  <c r="J55" i="156"/>
  <c r="I55" i="156"/>
  <c r="V54" i="156"/>
  <c r="U54" i="156"/>
  <c r="S54" i="156"/>
  <c r="R54" i="156"/>
  <c r="J54" i="156"/>
  <c r="I54" i="156"/>
  <c r="W54" i="156" s="1"/>
  <c r="V53" i="156"/>
  <c r="U53" i="156"/>
  <c r="S53" i="156"/>
  <c r="R53" i="156"/>
  <c r="J53" i="156"/>
  <c r="W53" i="156" s="1"/>
  <c r="I53" i="156"/>
  <c r="V52" i="156"/>
  <c r="U52" i="156"/>
  <c r="S52" i="156"/>
  <c r="R52" i="156"/>
  <c r="J52" i="156"/>
  <c r="I52" i="156"/>
  <c r="W52" i="156" s="1"/>
  <c r="V51" i="156"/>
  <c r="U51" i="156"/>
  <c r="S51" i="156"/>
  <c r="R51" i="156"/>
  <c r="J51" i="156"/>
  <c r="I51" i="156"/>
  <c r="W51" i="156" s="1"/>
  <c r="U50" i="156"/>
  <c r="V50" i="156" s="1"/>
  <c r="S50" i="156"/>
  <c r="R50" i="156"/>
  <c r="J50" i="156"/>
  <c r="I50" i="156"/>
  <c r="W49" i="156"/>
  <c r="U49" i="156"/>
  <c r="V49" i="156" s="1"/>
  <c r="S49" i="156"/>
  <c r="R49" i="156"/>
  <c r="J49" i="156"/>
  <c r="I49" i="156"/>
  <c r="U48" i="156"/>
  <c r="V48" i="156" s="1"/>
  <c r="S48" i="156"/>
  <c r="R48" i="156"/>
  <c r="J48" i="156"/>
  <c r="I48" i="156"/>
  <c r="W47" i="156"/>
  <c r="U47" i="156"/>
  <c r="V47" i="156" s="1"/>
  <c r="S47" i="156"/>
  <c r="R47" i="156"/>
  <c r="J47" i="156"/>
  <c r="I47" i="156"/>
  <c r="U46" i="156"/>
  <c r="V46" i="156" s="1"/>
  <c r="S46" i="156"/>
  <c r="R46" i="156"/>
  <c r="J46" i="156"/>
  <c r="I46" i="156"/>
  <c r="S45" i="156"/>
  <c r="R45" i="156"/>
  <c r="J45" i="156"/>
  <c r="I45" i="156"/>
  <c r="U44" i="156"/>
  <c r="V44" i="156" s="1"/>
  <c r="S44" i="156"/>
  <c r="R44" i="156"/>
  <c r="J44" i="156"/>
  <c r="I44" i="156"/>
  <c r="S43" i="156"/>
  <c r="R43" i="156"/>
  <c r="J43" i="156"/>
  <c r="I43" i="156"/>
  <c r="U42" i="156"/>
  <c r="V42" i="156" s="1"/>
  <c r="S42" i="156"/>
  <c r="R42" i="156"/>
  <c r="J42" i="156"/>
  <c r="I42" i="156"/>
  <c r="U41" i="156"/>
  <c r="V41" i="156" s="1"/>
  <c r="S41" i="156"/>
  <c r="R41" i="156"/>
  <c r="J41" i="156"/>
  <c r="I41" i="156"/>
  <c r="V40" i="156"/>
  <c r="U40" i="156"/>
  <c r="S40" i="156"/>
  <c r="R40" i="156"/>
  <c r="J40" i="156"/>
  <c r="I40" i="156"/>
  <c r="W40" i="156" s="1"/>
  <c r="U39" i="156"/>
  <c r="V39" i="156" s="1"/>
  <c r="S39" i="156"/>
  <c r="R39" i="156"/>
  <c r="J39" i="156"/>
  <c r="I39" i="156"/>
  <c r="U38" i="156"/>
  <c r="V38" i="156" s="1"/>
  <c r="S38" i="156"/>
  <c r="R38" i="156"/>
  <c r="J38" i="156"/>
  <c r="I38" i="156"/>
  <c r="U37" i="156"/>
  <c r="V37" i="156" s="1"/>
  <c r="S37" i="156"/>
  <c r="R37" i="156"/>
  <c r="J37" i="156"/>
  <c r="I37" i="156"/>
  <c r="W37" i="156" s="1"/>
  <c r="V36" i="156"/>
  <c r="U36" i="156"/>
  <c r="S36" i="156"/>
  <c r="R36" i="156"/>
  <c r="J36" i="156"/>
  <c r="I36" i="156"/>
  <c r="W36" i="156" s="1"/>
  <c r="U35" i="156"/>
  <c r="V35" i="156" s="1"/>
  <c r="S35" i="156"/>
  <c r="R35" i="156"/>
  <c r="J35" i="156"/>
  <c r="I35" i="156"/>
  <c r="U34" i="156"/>
  <c r="V34" i="156" s="1"/>
  <c r="S34" i="156"/>
  <c r="R34" i="156"/>
  <c r="J34" i="156"/>
  <c r="I34" i="156"/>
  <c r="U33" i="156"/>
  <c r="V33" i="156" s="1"/>
  <c r="S33" i="156"/>
  <c r="R33" i="156"/>
  <c r="J33" i="156"/>
  <c r="I33" i="156"/>
  <c r="W33" i="156" s="1"/>
  <c r="U32" i="156"/>
  <c r="V32" i="156" s="1"/>
  <c r="S32" i="156"/>
  <c r="R32" i="156"/>
  <c r="J32" i="156"/>
  <c r="I32" i="156"/>
  <c r="U31" i="156"/>
  <c r="V31" i="156" s="1"/>
  <c r="S31" i="156"/>
  <c r="R31" i="156"/>
  <c r="J31" i="156"/>
  <c r="I31" i="156"/>
  <c r="W31" i="156" s="1"/>
  <c r="U30" i="156"/>
  <c r="V30" i="156" s="1"/>
  <c r="S30" i="156"/>
  <c r="R30" i="156"/>
  <c r="J30" i="156"/>
  <c r="I30" i="156"/>
  <c r="U29" i="156"/>
  <c r="V29" i="156" s="1"/>
  <c r="S29" i="156"/>
  <c r="R29" i="156"/>
  <c r="J29" i="156"/>
  <c r="I29" i="156"/>
  <c r="U28" i="156"/>
  <c r="V28" i="156" s="1"/>
  <c r="S28" i="156"/>
  <c r="R28" i="156"/>
  <c r="J28" i="156"/>
  <c r="I28" i="156"/>
  <c r="U27" i="156"/>
  <c r="V27" i="156" s="1"/>
  <c r="S27" i="156"/>
  <c r="R27" i="156"/>
  <c r="J27" i="156"/>
  <c r="I27" i="156"/>
  <c r="BE26" i="156"/>
  <c r="U26" i="156"/>
  <c r="V26" i="156" s="1"/>
  <c r="S26" i="156"/>
  <c r="R26" i="156"/>
  <c r="J26" i="156"/>
  <c r="I26" i="156"/>
  <c r="U25" i="156"/>
  <c r="V25" i="156" s="1"/>
  <c r="S25" i="156"/>
  <c r="R25" i="156"/>
  <c r="J25" i="156"/>
  <c r="I25" i="156"/>
  <c r="U24" i="156"/>
  <c r="V24" i="156" s="1"/>
  <c r="S24" i="156"/>
  <c r="R24" i="156"/>
  <c r="J24" i="156"/>
  <c r="I24" i="156"/>
  <c r="W24" i="156" s="1"/>
  <c r="U23" i="156"/>
  <c r="V23" i="156" s="1"/>
  <c r="S23" i="156"/>
  <c r="R23" i="156"/>
  <c r="J23" i="156"/>
  <c r="I23" i="156"/>
  <c r="U22" i="156"/>
  <c r="V22" i="156" s="1"/>
  <c r="S22" i="156"/>
  <c r="R22" i="156"/>
  <c r="J22" i="156"/>
  <c r="I22" i="156"/>
  <c r="W22" i="156" s="1"/>
  <c r="U21" i="156"/>
  <c r="V21" i="156" s="1"/>
  <c r="S21" i="156"/>
  <c r="R21" i="156"/>
  <c r="J21" i="156"/>
  <c r="I21" i="156"/>
  <c r="W21" i="156" s="1"/>
  <c r="U20" i="156"/>
  <c r="V20" i="156" s="1"/>
  <c r="S20" i="156"/>
  <c r="R20" i="156"/>
  <c r="J20" i="156"/>
  <c r="I20" i="156"/>
  <c r="W20" i="156" s="1"/>
  <c r="U19" i="156"/>
  <c r="V19" i="156" s="1"/>
  <c r="S19" i="156"/>
  <c r="R19" i="156"/>
  <c r="J19" i="156"/>
  <c r="I19" i="156"/>
  <c r="W19" i="156" s="1"/>
  <c r="U18" i="156"/>
  <c r="V18" i="156" s="1"/>
  <c r="S18" i="156"/>
  <c r="R18" i="156"/>
  <c r="J18" i="156"/>
  <c r="I18" i="156"/>
  <c r="U17" i="156"/>
  <c r="V17" i="156" s="1"/>
  <c r="S17" i="156"/>
  <c r="R17" i="156"/>
  <c r="J17" i="156"/>
  <c r="I17" i="156"/>
  <c r="U16" i="156"/>
  <c r="V16" i="156" s="1"/>
  <c r="S16" i="156"/>
  <c r="R16" i="156"/>
  <c r="J16" i="156"/>
  <c r="I16" i="156"/>
  <c r="U15" i="156"/>
  <c r="V15" i="156" s="1"/>
  <c r="S15" i="156"/>
  <c r="R15" i="156"/>
  <c r="J15" i="156"/>
  <c r="I15" i="156"/>
  <c r="W15" i="156" s="1"/>
  <c r="U14" i="156"/>
  <c r="V14" i="156" s="1"/>
  <c r="S14" i="156"/>
  <c r="R14" i="156"/>
  <c r="J14" i="156"/>
  <c r="I14" i="156"/>
  <c r="U13" i="156"/>
  <c r="V13" i="156" s="1"/>
  <c r="S13" i="156"/>
  <c r="R13" i="156"/>
  <c r="J13" i="156"/>
  <c r="I13" i="156"/>
  <c r="W13" i="156" s="1"/>
  <c r="U12" i="156"/>
  <c r="V12" i="156" s="1"/>
  <c r="S12" i="156"/>
  <c r="R12" i="156"/>
  <c r="J12" i="156"/>
  <c r="I12" i="156"/>
  <c r="W12" i="156" s="1"/>
  <c r="U11" i="156"/>
  <c r="V11" i="156" s="1"/>
  <c r="S11" i="156"/>
  <c r="R11" i="156"/>
  <c r="J11" i="156"/>
  <c r="I11" i="156"/>
  <c r="U10" i="156"/>
  <c r="V10" i="156" s="1"/>
  <c r="S10" i="156"/>
  <c r="R10" i="156"/>
  <c r="J10" i="156"/>
  <c r="I10" i="156"/>
  <c r="W10" i="156" s="1"/>
  <c r="U9" i="156"/>
  <c r="V9" i="156" s="1"/>
  <c r="S9" i="156"/>
  <c r="R9" i="156"/>
  <c r="J9" i="156"/>
  <c r="I9" i="156"/>
  <c r="A9" i="156"/>
  <c r="A10" i="156" s="1"/>
  <c r="A11" i="156" s="1"/>
  <c r="A12" i="156" s="1"/>
  <c r="A13" i="156" s="1"/>
  <c r="A14" i="156" s="1"/>
  <c r="A15" i="156" s="1"/>
  <c r="A16" i="156" s="1"/>
  <c r="A17" i="156" s="1"/>
  <c r="A18" i="156" s="1"/>
  <c r="A19" i="156" s="1"/>
  <c r="A20" i="156" s="1"/>
  <c r="A21" i="156" s="1"/>
  <c r="A22" i="156" s="1"/>
  <c r="A23" i="156" s="1"/>
  <c r="A24" i="156" s="1"/>
  <c r="A25" i="156" s="1"/>
  <c r="A26" i="156" s="1"/>
  <c r="A27" i="156" s="1"/>
  <c r="A28" i="156" s="1"/>
  <c r="A29" i="156" s="1"/>
  <c r="A30" i="156" s="1"/>
  <c r="A31" i="156" s="1"/>
  <c r="A32" i="156" s="1"/>
  <c r="A33" i="156" s="1"/>
  <c r="A34" i="156" s="1"/>
  <c r="A35" i="156" s="1"/>
  <c r="A36" i="156" s="1"/>
  <c r="A37" i="156" s="1"/>
  <c r="A38" i="156" s="1"/>
  <c r="A39" i="156" s="1"/>
  <c r="A40" i="156" s="1"/>
  <c r="A41" i="156" s="1"/>
  <c r="A42" i="156" s="1"/>
  <c r="A43" i="156" s="1"/>
  <c r="A44" i="156" s="1"/>
  <c r="A45" i="156" s="1"/>
  <c r="A46" i="156" s="1"/>
  <c r="A47" i="156" s="1"/>
  <c r="A48" i="156" s="1"/>
  <c r="A49" i="156" s="1"/>
  <c r="A50" i="156" s="1"/>
  <c r="A51" i="156" s="1"/>
  <c r="A52" i="156" s="1"/>
  <c r="A53" i="156" s="1"/>
  <c r="A54" i="156" s="1"/>
  <c r="A55" i="156" s="1"/>
  <c r="A56" i="156" s="1"/>
  <c r="A57" i="156" s="1"/>
  <c r="A58" i="156" s="1"/>
  <c r="A59" i="156" s="1"/>
  <c r="U8" i="156"/>
  <c r="S8" i="156"/>
  <c r="R8" i="156"/>
  <c r="J8" i="156"/>
  <c r="I8" i="156"/>
  <c r="W44" i="156" l="1"/>
  <c r="W38" i="156"/>
  <c r="W35" i="156"/>
  <c r="W30" i="156"/>
  <c r="W26" i="156"/>
  <c r="W14" i="156"/>
  <c r="R60" i="156"/>
  <c r="U60" i="156"/>
  <c r="S60" i="156"/>
  <c r="W16" i="156"/>
  <c r="W11" i="156"/>
  <c r="W50" i="156"/>
  <c r="W18" i="156"/>
  <c r="W39" i="156"/>
  <c r="W42" i="156"/>
  <c r="W48" i="156"/>
  <c r="W9" i="156"/>
  <c r="W25" i="156"/>
  <c r="W28" i="156"/>
  <c r="W46" i="156"/>
  <c r="J60" i="156"/>
  <c r="W34" i="156"/>
  <c r="W23" i="156"/>
  <c r="W29" i="156"/>
  <c r="W32" i="156"/>
  <c r="W8" i="156"/>
  <c r="I60" i="156"/>
  <c r="W17" i="156"/>
  <c r="W41" i="156"/>
  <c r="W27" i="156"/>
  <c r="V8" i="156"/>
  <c r="V60" i="156" s="1"/>
  <c r="Q60" i="155"/>
  <c r="P60" i="155"/>
  <c r="O60" i="155"/>
  <c r="N60" i="155"/>
  <c r="M60" i="155"/>
  <c r="L60" i="155"/>
  <c r="H60" i="155"/>
  <c r="G60" i="155"/>
  <c r="E60" i="155"/>
  <c r="D60" i="155"/>
  <c r="C60" i="155"/>
  <c r="S59" i="155"/>
  <c r="R59" i="155"/>
  <c r="J59" i="155"/>
  <c r="I59" i="155"/>
  <c r="S58" i="155"/>
  <c r="R58" i="155"/>
  <c r="J58" i="155"/>
  <c r="I58" i="155"/>
  <c r="S57" i="155"/>
  <c r="R57" i="155"/>
  <c r="J57" i="155"/>
  <c r="I57" i="155"/>
  <c r="S56" i="155"/>
  <c r="R56" i="155"/>
  <c r="J56" i="155"/>
  <c r="I56" i="155"/>
  <c r="S55" i="155"/>
  <c r="R55" i="155"/>
  <c r="J55" i="155"/>
  <c r="I55" i="155"/>
  <c r="U54" i="155"/>
  <c r="V54" i="155" s="1"/>
  <c r="S54" i="155"/>
  <c r="R54" i="155"/>
  <c r="J54" i="155"/>
  <c r="I54" i="155"/>
  <c r="U53" i="155"/>
  <c r="V53" i="155" s="1"/>
  <c r="S53" i="155"/>
  <c r="R53" i="155"/>
  <c r="J53" i="155"/>
  <c r="I53" i="155"/>
  <c r="W53" i="155" s="1"/>
  <c r="U52" i="155"/>
  <c r="V52" i="155" s="1"/>
  <c r="S52" i="155"/>
  <c r="R52" i="155"/>
  <c r="J52" i="155"/>
  <c r="I52" i="155"/>
  <c r="U51" i="155"/>
  <c r="V51" i="155" s="1"/>
  <c r="S51" i="155"/>
  <c r="R51" i="155"/>
  <c r="J51" i="155"/>
  <c r="I51" i="155"/>
  <c r="W51" i="155" s="1"/>
  <c r="U50" i="155"/>
  <c r="V50" i="155" s="1"/>
  <c r="S50" i="155"/>
  <c r="R50" i="155"/>
  <c r="J50" i="155"/>
  <c r="W50" i="155" s="1"/>
  <c r="I50" i="155"/>
  <c r="U49" i="155"/>
  <c r="V49" i="155" s="1"/>
  <c r="S49" i="155"/>
  <c r="R49" i="155"/>
  <c r="J49" i="155"/>
  <c r="I49" i="155"/>
  <c r="W49" i="155" s="1"/>
  <c r="U48" i="155"/>
  <c r="V48" i="155" s="1"/>
  <c r="S48" i="155"/>
  <c r="R48" i="155"/>
  <c r="J48" i="155"/>
  <c r="I48" i="155"/>
  <c r="U47" i="155"/>
  <c r="V47" i="155" s="1"/>
  <c r="S47" i="155"/>
  <c r="R47" i="155"/>
  <c r="J47" i="155"/>
  <c r="I47" i="155"/>
  <c r="W47" i="155" s="1"/>
  <c r="U46" i="155"/>
  <c r="V46" i="155" s="1"/>
  <c r="S46" i="155"/>
  <c r="R46" i="155"/>
  <c r="J46" i="155"/>
  <c r="W46" i="155" s="1"/>
  <c r="I46" i="155"/>
  <c r="S45" i="155"/>
  <c r="R45" i="155"/>
  <c r="J45" i="155"/>
  <c r="I45" i="155"/>
  <c r="U44" i="155"/>
  <c r="V44" i="155" s="1"/>
  <c r="S44" i="155"/>
  <c r="R44" i="155"/>
  <c r="J44" i="155"/>
  <c r="I44" i="155"/>
  <c r="S43" i="155"/>
  <c r="R43" i="155"/>
  <c r="J43" i="155"/>
  <c r="I43" i="155"/>
  <c r="U42" i="155"/>
  <c r="V42" i="155" s="1"/>
  <c r="S42" i="155"/>
  <c r="R42" i="155"/>
  <c r="J42" i="155"/>
  <c r="I42" i="155"/>
  <c r="U41" i="155"/>
  <c r="V41" i="155" s="1"/>
  <c r="S41" i="155"/>
  <c r="R41" i="155"/>
  <c r="J41" i="155"/>
  <c r="I41" i="155"/>
  <c r="W41" i="155" s="1"/>
  <c r="U40" i="155"/>
  <c r="V40" i="155" s="1"/>
  <c r="S40" i="155"/>
  <c r="R40" i="155"/>
  <c r="J40" i="155"/>
  <c r="I40" i="155"/>
  <c r="W40" i="155" s="1"/>
  <c r="U39" i="155"/>
  <c r="V39" i="155" s="1"/>
  <c r="S39" i="155"/>
  <c r="R39" i="155"/>
  <c r="J39" i="155"/>
  <c r="I39" i="155"/>
  <c r="W39" i="155" s="1"/>
  <c r="U38" i="155"/>
  <c r="V38" i="155" s="1"/>
  <c r="S38" i="155"/>
  <c r="R38" i="155"/>
  <c r="J38" i="155"/>
  <c r="I38" i="155"/>
  <c r="W38" i="155" s="1"/>
  <c r="U37" i="155"/>
  <c r="V37" i="155" s="1"/>
  <c r="S37" i="155"/>
  <c r="R37" i="155"/>
  <c r="J37" i="155"/>
  <c r="I37" i="155"/>
  <c r="W37" i="155" s="1"/>
  <c r="U36" i="155"/>
  <c r="V36" i="155" s="1"/>
  <c r="S36" i="155"/>
  <c r="R36" i="155"/>
  <c r="J36" i="155"/>
  <c r="I36" i="155"/>
  <c r="W36" i="155" s="1"/>
  <c r="U35" i="155"/>
  <c r="V35" i="155" s="1"/>
  <c r="S35" i="155"/>
  <c r="R35" i="155"/>
  <c r="J35" i="155"/>
  <c r="I35" i="155"/>
  <c r="W35" i="155" s="1"/>
  <c r="U34" i="155"/>
  <c r="V34" i="155" s="1"/>
  <c r="S34" i="155"/>
  <c r="R34" i="155"/>
  <c r="J34" i="155"/>
  <c r="I34" i="155"/>
  <c r="W34" i="155" s="1"/>
  <c r="U33" i="155"/>
  <c r="V33" i="155" s="1"/>
  <c r="S33" i="155"/>
  <c r="R33" i="155"/>
  <c r="J33" i="155"/>
  <c r="W33" i="155" s="1"/>
  <c r="I33" i="155"/>
  <c r="U32" i="155"/>
  <c r="V32" i="155" s="1"/>
  <c r="S32" i="155"/>
  <c r="R32" i="155"/>
  <c r="J32" i="155"/>
  <c r="I32" i="155"/>
  <c r="W32" i="155" s="1"/>
  <c r="W31" i="155"/>
  <c r="U31" i="155"/>
  <c r="V31" i="155" s="1"/>
  <c r="S31" i="155"/>
  <c r="R31" i="155"/>
  <c r="J31" i="155"/>
  <c r="I31" i="155"/>
  <c r="U30" i="155"/>
  <c r="V30" i="155" s="1"/>
  <c r="S30" i="155"/>
  <c r="R30" i="155"/>
  <c r="J30" i="155"/>
  <c r="I30" i="155"/>
  <c r="U29" i="155"/>
  <c r="V29" i="155" s="1"/>
  <c r="S29" i="155"/>
  <c r="R29" i="155"/>
  <c r="J29" i="155"/>
  <c r="I29" i="155"/>
  <c r="W29" i="155" s="1"/>
  <c r="U28" i="155"/>
  <c r="V28" i="155" s="1"/>
  <c r="S28" i="155"/>
  <c r="R28" i="155"/>
  <c r="J28" i="155"/>
  <c r="I28" i="155"/>
  <c r="U27" i="155"/>
  <c r="V27" i="155" s="1"/>
  <c r="S27" i="155"/>
  <c r="R27" i="155"/>
  <c r="J27" i="155"/>
  <c r="I27" i="155"/>
  <c r="W27" i="155" s="1"/>
  <c r="BE26" i="155"/>
  <c r="U26" i="155"/>
  <c r="V26" i="155" s="1"/>
  <c r="S26" i="155"/>
  <c r="R26" i="155"/>
  <c r="J26" i="155"/>
  <c r="I26" i="155"/>
  <c r="U25" i="155"/>
  <c r="V25" i="155" s="1"/>
  <c r="S25" i="155"/>
  <c r="R25" i="155"/>
  <c r="J25" i="155"/>
  <c r="I25" i="155"/>
  <c r="W25" i="155" s="1"/>
  <c r="U24" i="155"/>
  <c r="V24" i="155" s="1"/>
  <c r="S24" i="155"/>
  <c r="R24" i="155"/>
  <c r="J24" i="155"/>
  <c r="I24" i="155"/>
  <c r="W24" i="155" s="1"/>
  <c r="U23" i="155"/>
  <c r="V23" i="155" s="1"/>
  <c r="S23" i="155"/>
  <c r="R23" i="155"/>
  <c r="J23" i="155"/>
  <c r="I23" i="155"/>
  <c r="W23" i="155" s="1"/>
  <c r="U22" i="155"/>
  <c r="V22" i="155" s="1"/>
  <c r="S22" i="155"/>
  <c r="R22" i="155"/>
  <c r="J22" i="155"/>
  <c r="I22" i="155"/>
  <c r="W22" i="155" s="1"/>
  <c r="U21" i="155"/>
  <c r="V21" i="155" s="1"/>
  <c r="S21" i="155"/>
  <c r="R21" i="155"/>
  <c r="J21" i="155"/>
  <c r="I21" i="155"/>
  <c r="W21" i="155" s="1"/>
  <c r="U20" i="155"/>
  <c r="V20" i="155" s="1"/>
  <c r="S20" i="155"/>
  <c r="R20" i="155"/>
  <c r="J20" i="155"/>
  <c r="I20" i="155"/>
  <c r="U19" i="155"/>
  <c r="V19" i="155" s="1"/>
  <c r="S19" i="155"/>
  <c r="R19" i="155"/>
  <c r="J19" i="155"/>
  <c r="I19" i="155"/>
  <c r="W19" i="155" s="1"/>
  <c r="U18" i="155"/>
  <c r="V18" i="155" s="1"/>
  <c r="S18" i="155"/>
  <c r="R18" i="155"/>
  <c r="J18" i="155"/>
  <c r="I18" i="155"/>
  <c r="W18" i="155" s="1"/>
  <c r="U17" i="155"/>
  <c r="V17" i="155" s="1"/>
  <c r="S17" i="155"/>
  <c r="R17" i="155"/>
  <c r="J17" i="155"/>
  <c r="I17" i="155"/>
  <c r="W17" i="155" s="1"/>
  <c r="U16" i="155"/>
  <c r="V16" i="155" s="1"/>
  <c r="S16" i="155"/>
  <c r="R16" i="155"/>
  <c r="J16" i="155"/>
  <c r="I16" i="155"/>
  <c r="W15" i="155"/>
  <c r="U15" i="155"/>
  <c r="V15" i="155" s="1"/>
  <c r="S15" i="155"/>
  <c r="R15" i="155"/>
  <c r="J15" i="155"/>
  <c r="I15" i="155"/>
  <c r="U14" i="155"/>
  <c r="V14" i="155" s="1"/>
  <c r="S14" i="155"/>
  <c r="R14" i="155"/>
  <c r="J14" i="155"/>
  <c r="I14" i="155"/>
  <c r="W14" i="155" s="1"/>
  <c r="U13" i="155"/>
  <c r="V13" i="155" s="1"/>
  <c r="S13" i="155"/>
  <c r="J13" i="155"/>
  <c r="I13" i="155"/>
  <c r="U12" i="155"/>
  <c r="V12" i="155" s="1"/>
  <c r="S12" i="155"/>
  <c r="R12" i="155"/>
  <c r="J12" i="155"/>
  <c r="I12" i="155"/>
  <c r="W12" i="155" s="1"/>
  <c r="U11" i="155"/>
  <c r="V11" i="155" s="1"/>
  <c r="S11" i="155"/>
  <c r="R11" i="155"/>
  <c r="J11" i="155"/>
  <c r="I11" i="155"/>
  <c r="W11" i="155" s="1"/>
  <c r="U10" i="155"/>
  <c r="V10" i="155" s="1"/>
  <c r="S10" i="155"/>
  <c r="R10" i="155"/>
  <c r="J10" i="155"/>
  <c r="I10" i="155"/>
  <c r="W10" i="155" s="1"/>
  <c r="A10" i="155"/>
  <c r="A11" i="155" s="1"/>
  <c r="A12" i="155" s="1"/>
  <c r="A13" i="155" s="1"/>
  <c r="A14" i="155" s="1"/>
  <c r="A15" i="155" s="1"/>
  <c r="A16" i="155" s="1"/>
  <c r="A17" i="155" s="1"/>
  <c r="A18" i="155" s="1"/>
  <c r="A19" i="155" s="1"/>
  <c r="A20" i="155" s="1"/>
  <c r="A21" i="155" s="1"/>
  <c r="A22" i="155" s="1"/>
  <c r="A23" i="155" s="1"/>
  <c r="A24" i="155" s="1"/>
  <c r="A25" i="155" s="1"/>
  <c r="A26" i="155" s="1"/>
  <c r="A27" i="155" s="1"/>
  <c r="A28" i="155" s="1"/>
  <c r="A29" i="155" s="1"/>
  <c r="A30" i="155" s="1"/>
  <c r="A31" i="155" s="1"/>
  <c r="A32" i="155" s="1"/>
  <c r="A33" i="155" s="1"/>
  <c r="A34" i="155" s="1"/>
  <c r="A35" i="155" s="1"/>
  <c r="A36" i="155" s="1"/>
  <c r="A37" i="155" s="1"/>
  <c r="A38" i="155" s="1"/>
  <c r="A39" i="155" s="1"/>
  <c r="A40" i="155" s="1"/>
  <c r="A41" i="155" s="1"/>
  <c r="A42" i="155" s="1"/>
  <c r="A43" i="155" s="1"/>
  <c r="A44" i="155" s="1"/>
  <c r="A45" i="155" s="1"/>
  <c r="A46" i="155" s="1"/>
  <c r="A47" i="155" s="1"/>
  <c r="A48" i="155" s="1"/>
  <c r="A49" i="155" s="1"/>
  <c r="A50" i="155" s="1"/>
  <c r="A51" i="155" s="1"/>
  <c r="A52" i="155" s="1"/>
  <c r="A53" i="155" s="1"/>
  <c r="A54" i="155" s="1"/>
  <c r="A55" i="155" s="1"/>
  <c r="A56" i="155" s="1"/>
  <c r="A57" i="155" s="1"/>
  <c r="A58" i="155" s="1"/>
  <c r="A59" i="155" s="1"/>
  <c r="U9" i="155"/>
  <c r="V9" i="155" s="1"/>
  <c r="S9" i="155"/>
  <c r="R9" i="155"/>
  <c r="J9" i="155"/>
  <c r="I9" i="155"/>
  <c r="A9" i="155"/>
  <c r="U8" i="155"/>
  <c r="S8" i="155"/>
  <c r="R8" i="155"/>
  <c r="J8" i="155"/>
  <c r="I8" i="155"/>
  <c r="W60" i="156" l="1"/>
  <c r="W44" i="155"/>
  <c r="W13" i="155"/>
  <c r="R60" i="155"/>
  <c r="W9" i="155"/>
  <c r="W8" i="155"/>
  <c r="U60" i="155"/>
  <c r="S60" i="155"/>
  <c r="W16" i="155"/>
  <c r="W42" i="155"/>
  <c r="W52" i="155"/>
  <c r="J60" i="155"/>
  <c r="W28" i="155"/>
  <c r="W20" i="155"/>
  <c r="W26" i="155"/>
  <c r="W54" i="155"/>
  <c r="W30" i="155"/>
  <c r="W48" i="155"/>
  <c r="I60" i="155"/>
  <c r="V8" i="155"/>
  <c r="V60" i="155" s="1"/>
  <c r="I44" i="153"/>
  <c r="U38" i="153"/>
  <c r="V38" i="153" s="1"/>
  <c r="R38" i="153"/>
  <c r="Q60" i="153"/>
  <c r="P60" i="153"/>
  <c r="O60" i="153"/>
  <c r="N60" i="153"/>
  <c r="M60" i="153"/>
  <c r="L60" i="153"/>
  <c r="H60" i="153"/>
  <c r="G60" i="153"/>
  <c r="E60" i="153"/>
  <c r="D60" i="153"/>
  <c r="C60" i="153"/>
  <c r="S59" i="153"/>
  <c r="R59" i="153"/>
  <c r="J59" i="153"/>
  <c r="I59" i="153"/>
  <c r="S58" i="153"/>
  <c r="R58" i="153"/>
  <c r="J58" i="153"/>
  <c r="I58" i="153"/>
  <c r="S57" i="153"/>
  <c r="R57" i="153"/>
  <c r="J57" i="153"/>
  <c r="I57" i="153"/>
  <c r="S56" i="153"/>
  <c r="R56" i="153"/>
  <c r="J56" i="153"/>
  <c r="I56" i="153"/>
  <c r="S55" i="153"/>
  <c r="R55" i="153"/>
  <c r="J55" i="153"/>
  <c r="I55" i="153"/>
  <c r="U54" i="153"/>
  <c r="V54" i="153" s="1"/>
  <c r="S54" i="153"/>
  <c r="R54" i="153"/>
  <c r="J54" i="153"/>
  <c r="I54" i="153"/>
  <c r="W54" i="153" s="1"/>
  <c r="U53" i="153"/>
  <c r="V53" i="153" s="1"/>
  <c r="S53" i="153"/>
  <c r="R53" i="153"/>
  <c r="J53" i="153"/>
  <c r="I53" i="153"/>
  <c r="W53" i="153" s="1"/>
  <c r="U52" i="153"/>
  <c r="V52" i="153" s="1"/>
  <c r="S52" i="153"/>
  <c r="R52" i="153"/>
  <c r="J52" i="153"/>
  <c r="I52" i="153"/>
  <c r="U51" i="153"/>
  <c r="V51" i="153" s="1"/>
  <c r="S51" i="153"/>
  <c r="R51" i="153"/>
  <c r="J51" i="153"/>
  <c r="W51" i="153" s="1"/>
  <c r="I51" i="153"/>
  <c r="U50" i="153"/>
  <c r="V50" i="153" s="1"/>
  <c r="S50" i="153"/>
  <c r="R50" i="153"/>
  <c r="J50" i="153"/>
  <c r="I50" i="153"/>
  <c r="W50" i="153" s="1"/>
  <c r="U49" i="153"/>
  <c r="V49" i="153" s="1"/>
  <c r="S49" i="153"/>
  <c r="R49" i="153"/>
  <c r="J49" i="153"/>
  <c r="I49" i="153"/>
  <c r="W49" i="153" s="1"/>
  <c r="U48" i="153"/>
  <c r="V48" i="153" s="1"/>
  <c r="S48" i="153"/>
  <c r="R48" i="153"/>
  <c r="J48" i="153"/>
  <c r="I48" i="153"/>
  <c r="U47" i="153"/>
  <c r="V47" i="153" s="1"/>
  <c r="S47" i="153"/>
  <c r="R47" i="153"/>
  <c r="J47" i="153"/>
  <c r="I47" i="153"/>
  <c r="W47" i="153" s="1"/>
  <c r="W46" i="153"/>
  <c r="U46" i="153"/>
  <c r="V46" i="153" s="1"/>
  <c r="S46" i="153"/>
  <c r="R46" i="153"/>
  <c r="J46" i="153"/>
  <c r="I46" i="153"/>
  <c r="S45" i="153"/>
  <c r="R45" i="153"/>
  <c r="J45" i="153"/>
  <c r="I45" i="153"/>
  <c r="U44" i="153"/>
  <c r="V44" i="153" s="1"/>
  <c r="S44" i="153"/>
  <c r="R44" i="153"/>
  <c r="J44" i="153"/>
  <c r="S43" i="153"/>
  <c r="R43" i="153"/>
  <c r="J43" i="153"/>
  <c r="I43" i="153"/>
  <c r="U42" i="153"/>
  <c r="V42" i="153" s="1"/>
  <c r="S42" i="153"/>
  <c r="R42" i="153"/>
  <c r="J42" i="153"/>
  <c r="I42" i="153"/>
  <c r="W42" i="153" s="1"/>
  <c r="U41" i="153"/>
  <c r="V41" i="153" s="1"/>
  <c r="S41" i="153"/>
  <c r="R41" i="153"/>
  <c r="J41" i="153"/>
  <c r="I41" i="153"/>
  <c r="W41" i="153" s="1"/>
  <c r="U40" i="153"/>
  <c r="V40" i="153" s="1"/>
  <c r="S40" i="153"/>
  <c r="R40" i="153"/>
  <c r="J40" i="153"/>
  <c r="I40" i="153"/>
  <c r="W40" i="153" s="1"/>
  <c r="U39" i="153"/>
  <c r="V39" i="153" s="1"/>
  <c r="S39" i="153"/>
  <c r="R39" i="153"/>
  <c r="J39" i="153"/>
  <c r="I39" i="153"/>
  <c r="S38" i="153"/>
  <c r="J38" i="153"/>
  <c r="I38" i="153"/>
  <c r="W38" i="153" s="1"/>
  <c r="U37" i="153"/>
  <c r="V37" i="153" s="1"/>
  <c r="S37" i="153"/>
  <c r="R37" i="153"/>
  <c r="J37" i="153"/>
  <c r="I37" i="153"/>
  <c r="W36" i="153"/>
  <c r="V36" i="153"/>
  <c r="U36" i="153"/>
  <c r="S36" i="153"/>
  <c r="R36" i="153"/>
  <c r="J36" i="153"/>
  <c r="I36" i="153"/>
  <c r="U35" i="153"/>
  <c r="V35" i="153" s="1"/>
  <c r="S35" i="153"/>
  <c r="R35" i="153"/>
  <c r="J35" i="153"/>
  <c r="I35" i="153"/>
  <c r="W34" i="153"/>
  <c r="V34" i="153"/>
  <c r="U34" i="153"/>
  <c r="S34" i="153"/>
  <c r="R34" i="153"/>
  <c r="J34" i="153"/>
  <c r="I34" i="153"/>
  <c r="V33" i="153"/>
  <c r="U33" i="153"/>
  <c r="S33" i="153"/>
  <c r="R33" i="153"/>
  <c r="J33" i="153"/>
  <c r="I33" i="153"/>
  <c r="U32" i="153"/>
  <c r="V32" i="153" s="1"/>
  <c r="S32" i="153"/>
  <c r="R32" i="153"/>
  <c r="J32" i="153"/>
  <c r="I32" i="153"/>
  <c r="W32" i="153" s="1"/>
  <c r="U31" i="153"/>
  <c r="V31" i="153" s="1"/>
  <c r="S31" i="153"/>
  <c r="R31" i="153"/>
  <c r="J31" i="153"/>
  <c r="W31" i="153" s="1"/>
  <c r="I31" i="153"/>
  <c r="U30" i="153"/>
  <c r="V30" i="153" s="1"/>
  <c r="S30" i="153"/>
  <c r="R30" i="153"/>
  <c r="J30" i="153"/>
  <c r="I30" i="153"/>
  <c r="U29" i="153"/>
  <c r="V29" i="153" s="1"/>
  <c r="S29" i="153"/>
  <c r="R29" i="153"/>
  <c r="J29" i="153"/>
  <c r="I29" i="153"/>
  <c r="U28" i="153"/>
  <c r="V28" i="153" s="1"/>
  <c r="S28" i="153"/>
  <c r="R28" i="153"/>
  <c r="J28" i="153"/>
  <c r="I28" i="153"/>
  <c r="W28" i="153" s="1"/>
  <c r="U27" i="153"/>
  <c r="V27" i="153" s="1"/>
  <c r="S27" i="153"/>
  <c r="R27" i="153"/>
  <c r="J27" i="153"/>
  <c r="I27" i="153"/>
  <c r="BE26" i="153"/>
  <c r="U26" i="153"/>
  <c r="V26" i="153" s="1"/>
  <c r="S26" i="153"/>
  <c r="R26" i="153"/>
  <c r="J26" i="153"/>
  <c r="I26" i="153"/>
  <c r="W26" i="153" s="1"/>
  <c r="U25" i="153"/>
  <c r="V25" i="153" s="1"/>
  <c r="S25" i="153"/>
  <c r="R25" i="153"/>
  <c r="J25" i="153"/>
  <c r="I25" i="153"/>
  <c r="W25" i="153" s="1"/>
  <c r="W24" i="153"/>
  <c r="U24" i="153"/>
  <c r="V24" i="153" s="1"/>
  <c r="S24" i="153"/>
  <c r="R24" i="153"/>
  <c r="J24" i="153"/>
  <c r="I24" i="153"/>
  <c r="U23" i="153"/>
  <c r="V23" i="153" s="1"/>
  <c r="S23" i="153"/>
  <c r="R23" i="153"/>
  <c r="J23" i="153"/>
  <c r="I23" i="153"/>
  <c r="W23" i="153" s="1"/>
  <c r="U22" i="153"/>
  <c r="V22" i="153" s="1"/>
  <c r="S22" i="153"/>
  <c r="R22" i="153"/>
  <c r="J22" i="153"/>
  <c r="I22" i="153"/>
  <c r="W22" i="153" s="1"/>
  <c r="U21" i="153"/>
  <c r="V21" i="153" s="1"/>
  <c r="S21" i="153"/>
  <c r="R21" i="153"/>
  <c r="J21" i="153"/>
  <c r="I21" i="153"/>
  <c r="W21" i="153" s="1"/>
  <c r="U20" i="153"/>
  <c r="V20" i="153" s="1"/>
  <c r="S20" i="153"/>
  <c r="R20" i="153"/>
  <c r="J20" i="153"/>
  <c r="I20" i="153"/>
  <c r="W20" i="153" s="1"/>
  <c r="W19" i="153"/>
  <c r="U19" i="153"/>
  <c r="V19" i="153" s="1"/>
  <c r="S19" i="153"/>
  <c r="R19" i="153"/>
  <c r="J19" i="153"/>
  <c r="I19" i="153"/>
  <c r="U18" i="153"/>
  <c r="V18" i="153" s="1"/>
  <c r="S18" i="153"/>
  <c r="R18" i="153"/>
  <c r="J18" i="153"/>
  <c r="I18" i="153"/>
  <c r="W18" i="153" s="1"/>
  <c r="U17" i="153"/>
  <c r="V17" i="153" s="1"/>
  <c r="S17" i="153"/>
  <c r="R17" i="153"/>
  <c r="J17" i="153"/>
  <c r="I17" i="153"/>
  <c r="W17" i="153" s="1"/>
  <c r="U16" i="153"/>
  <c r="V16" i="153" s="1"/>
  <c r="S16" i="153"/>
  <c r="R16" i="153"/>
  <c r="J16" i="153"/>
  <c r="I16" i="153"/>
  <c r="W16" i="153" s="1"/>
  <c r="U15" i="153"/>
  <c r="V15" i="153" s="1"/>
  <c r="S15" i="153"/>
  <c r="R15" i="153"/>
  <c r="J15" i="153"/>
  <c r="I15" i="153"/>
  <c r="W15" i="153" s="1"/>
  <c r="U14" i="153"/>
  <c r="V14" i="153" s="1"/>
  <c r="S14" i="153"/>
  <c r="R14" i="153"/>
  <c r="J14" i="153"/>
  <c r="I14" i="153"/>
  <c r="W14" i="153" s="1"/>
  <c r="U13" i="153"/>
  <c r="V13" i="153" s="1"/>
  <c r="S13" i="153"/>
  <c r="J13" i="153"/>
  <c r="V12" i="153"/>
  <c r="U12" i="153"/>
  <c r="S12" i="153"/>
  <c r="R12" i="153"/>
  <c r="J12" i="153"/>
  <c r="I12" i="153"/>
  <c r="W12" i="153" s="1"/>
  <c r="U11" i="153"/>
  <c r="V11" i="153" s="1"/>
  <c r="S11" i="153"/>
  <c r="J11" i="153"/>
  <c r="I11" i="153"/>
  <c r="W11" i="153" s="1"/>
  <c r="U10" i="153"/>
  <c r="V10" i="153" s="1"/>
  <c r="S10" i="153"/>
  <c r="J10" i="153"/>
  <c r="I10" i="153"/>
  <c r="W10" i="153" s="1"/>
  <c r="U9" i="153"/>
  <c r="V9" i="153" s="1"/>
  <c r="S9" i="153"/>
  <c r="R9" i="153"/>
  <c r="J9" i="153"/>
  <c r="I9" i="153"/>
  <c r="W9" i="153" s="1"/>
  <c r="A9" i="153"/>
  <c r="A10" i="153" s="1"/>
  <c r="A11" i="153" s="1"/>
  <c r="A12" i="153" s="1"/>
  <c r="A13" i="153" s="1"/>
  <c r="A14" i="153" s="1"/>
  <c r="A15" i="153" s="1"/>
  <c r="A16" i="153" s="1"/>
  <c r="A17" i="153" s="1"/>
  <c r="A18" i="153" s="1"/>
  <c r="A19" i="153" s="1"/>
  <c r="A20" i="153" s="1"/>
  <c r="A21" i="153" s="1"/>
  <c r="A22" i="153" s="1"/>
  <c r="A23" i="153" s="1"/>
  <c r="A24" i="153" s="1"/>
  <c r="A25" i="153" s="1"/>
  <c r="A26" i="153" s="1"/>
  <c r="A27" i="153" s="1"/>
  <c r="A28" i="153" s="1"/>
  <c r="A29" i="153" s="1"/>
  <c r="A30" i="153" s="1"/>
  <c r="A31" i="153" s="1"/>
  <c r="A32" i="153" s="1"/>
  <c r="A33" i="153" s="1"/>
  <c r="A34" i="153" s="1"/>
  <c r="A35" i="153" s="1"/>
  <c r="A36" i="153" s="1"/>
  <c r="A37" i="153" s="1"/>
  <c r="A38" i="153" s="1"/>
  <c r="A39" i="153" s="1"/>
  <c r="A40" i="153" s="1"/>
  <c r="A41" i="153" s="1"/>
  <c r="A42" i="153" s="1"/>
  <c r="A43" i="153" s="1"/>
  <c r="A44" i="153" s="1"/>
  <c r="A45" i="153" s="1"/>
  <c r="A46" i="153" s="1"/>
  <c r="A47" i="153" s="1"/>
  <c r="A48" i="153" s="1"/>
  <c r="A49" i="153" s="1"/>
  <c r="A50" i="153" s="1"/>
  <c r="A51" i="153" s="1"/>
  <c r="A52" i="153" s="1"/>
  <c r="A53" i="153" s="1"/>
  <c r="A54" i="153" s="1"/>
  <c r="A55" i="153" s="1"/>
  <c r="A56" i="153" s="1"/>
  <c r="A57" i="153" s="1"/>
  <c r="A58" i="153" s="1"/>
  <c r="A59" i="153" s="1"/>
  <c r="U8" i="153"/>
  <c r="V8" i="153" s="1"/>
  <c r="S8" i="153"/>
  <c r="R8" i="153"/>
  <c r="J8" i="153"/>
  <c r="I8" i="153"/>
  <c r="W8" i="153" s="1"/>
  <c r="W60" i="155" l="1"/>
  <c r="W44" i="153"/>
  <c r="W52" i="153"/>
  <c r="W48" i="153"/>
  <c r="W30" i="153"/>
  <c r="W29" i="153"/>
  <c r="R60" i="153"/>
  <c r="V60" i="153"/>
  <c r="S60" i="153"/>
  <c r="W27" i="153"/>
  <c r="W33" i="153"/>
  <c r="J60" i="153"/>
  <c r="W35" i="153"/>
  <c r="W39" i="153"/>
  <c r="W37" i="153"/>
  <c r="I60" i="153"/>
  <c r="U60" i="153"/>
  <c r="R44" i="152"/>
  <c r="I41" i="152"/>
  <c r="J13" i="152"/>
  <c r="I13" i="152"/>
  <c r="Q60" i="152"/>
  <c r="P60" i="152"/>
  <c r="O60" i="152"/>
  <c r="N60" i="152"/>
  <c r="M60" i="152"/>
  <c r="L60" i="152"/>
  <c r="H60" i="152"/>
  <c r="G60" i="152"/>
  <c r="E60" i="152"/>
  <c r="D60" i="152"/>
  <c r="C60" i="152"/>
  <c r="S59" i="152"/>
  <c r="R59" i="152"/>
  <c r="J59" i="152"/>
  <c r="I59" i="152"/>
  <c r="S58" i="152"/>
  <c r="R58" i="152"/>
  <c r="J58" i="152"/>
  <c r="I58" i="152"/>
  <c r="S57" i="152"/>
  <c r="R57" i="152"/>
  <c r="J57" i="152"/>
  <c r="I57" i="152"/>
  <c r="S56" i="152"/>
  <c r="R56" i="152"/>
  <c r="J56" i="152"/>
  <c r="I56" i="152"/>
  <c r="S55" i="152"/>
  <c r="R55" i="152"/>
  <c r="J55" i="152"/>
  <c r="I55" i="152"/>
  <c r="U54" i="152"/>
  <c r="V54" i="152" s="1"/>
  <c r="S54" i="152"/>
  <c r="R54" i="152"/>
  <c r="J54" i="152"/>
  <c r="I54" i="152"/>
  <c r="W54" i="152" s="1"/>
  <c r="U53" i="152"/>
  <c r="V53" i="152" s="1"/>
  <c r="S53" i="152"/>
  <c r="R53" i="152"/>
  <c r="J53" i="152"/>
  <c r="I53" i="152"/>
  <c r="W53" i="152" s="1"/>
  <c r="U52" i="152"/>
  <c r="V52" i="152" s="1"/>
  <c r="S52" i="152"/>
  <c r="R52" i="152"/>
  <c r="J52" i="152"/>
  <c r="I52" i="152"/>
  <c r="W52" i="152" s="1"/>
  <c r="U51" i="152"/>
  <c r="V51" i="152" s="1"/>
  <c r="S51" i="152"/>
  <c r="R51" i="152"/>
  <c r="J51" i="152"/>
  <c r="I51" i="152"/>
  <c r="W51" i="152" s="1"/>
  <c r="U50" i="152"/>
  <c r="V50" i="152" s="1"/>
  <c r="S50" i="152"/>
  <c r="R50" i="152"/>
  <c r="J50" i="152"/>
  <c r="I50" i="152"/>
  <c r="W50" i="152" s="1"/>
  <c r="U49" i="152"/>
  <c r="V49" i="152" s="1"/>
  <c r="S49" i="152"/>
  <c r="R49" i="152"/>
  <c r="J49" i="152"/>
  <c r="I49" i="152"/>
  <c r="W49" i="152" s="1"/>
  <c r="U48" i="152"/>
  <c r="V48" i="152" s="1"/>
  <c r="S48" i="152"/>
  <c r="R48" i="152"/>
  <c r="J48" i="152"/>
  <c r="I48" i="152"/>
  <c r="W48" i="152" s="1"/>
  <c r="U47" i="152"/>
  <c r="V47" i="152" s="1"/>
  <c r="S47" i="152"/>
  <c r="R47" i="152"/>
  <c r="J47" i="152"/>
  <c r="I47" i="152"/>
  <c r="W47" i="152" s="1"/>
  <c r="U46" i="152"/>
  <c r="V46" i="152" s="1"/>
  <c r="S46" i="152"/>
  <c r="R46" i="152"/>
  <c r="J46" i="152"/>
  <c r="I46" i="152"/>
  <c r="S45" i="152"/>
  <c r="R45" i="152"/>
  <c r="J45" i="152"/>
  <c r="I45" i="152"/>
  <c r="U44" i="152"/>
  <c r="V44" i="152" s="1"/>
  <c r="S44" i="152"/>
  <c r="J44" i="152"/>
  <c r="S43" i="152"/>
  <c r="R43" i="152"/>
  <c r="J43" i="152"/>
  <c r="I43" i="152"/>
  <c r="U42" i="152"/>
  <c r="V42" i="152" s="1"/>
  <c r="S42" i="152"/>
  <c r="R42" i="152"/>
  <c r="J42" i="152"/>
  <c r="I42" i="152"/>
  <c r="U41" i="152"/>
  <c r="V41" i="152" s="1"/>
  <c r="S41" i="152"/>
  <c r="R41" i="152"/>
  <c r="J41" i="152"/>
  <c r="U40" i="152"/>
  <c r="V40" i="152" s="1"/>
  <c r="S40" i="152"/>
  <c r="R40" i="152"/>
  <c r="J40" i="152"/>
  <c r="I40" i="152"/>
  <c r="W40" i="152" s="1"/>
  <c r="U39" i="152"/>
  <c r="V39" i="152" s="1"/>
  <c r="S39" i="152"/>
  <c r="R39" i="152"/>
  <c r="J39" i="152"/>
  <c r="I39" i="152"/>
  <c r="V38" i="152"/>
  <c r="S38" i="152"/>
  <c r="J38" i="152"/>
  <c r="I38" i="152"/>
  <c r="W38" i="152" s="1"/>
  <c r="U37" i="152"/>
  <c r="V37" i="152" s="1"/>
  <c r="S37" i="152"/>
  <c r="R37" i="152"/>
  <c r="J37" i="152"/>
  <c r="I37" i="152"/>
  <c r="W37" i="152" s="1"/>
  <c r="U36" i="152"/>
  <c r="V36" i="152" s="1"/>
  <c r="S36" i="152"/>
  <c r="R36" i="152"/>
  <c r="J36" i="152"/>
  <c r="I36" i="152"/>
  <c r="W36" i="152" s="1"/>
  <c r="U35" i="152"/>
  <c r="V35" i="152" s="1"/>
  <c r="S35" i="152"/>
  <c r="R35" i="152"/>
  <c r="J35" i="152"/>
  <c r="I35" i="152"/>
  <c r="U34" i="152"/>
  <c r="V34" i="152" s="1"/>
  <c r="S34" i="152"/>
  <c r="R34" i="152"/>
  <c r="J34" i="152"/>
  <c r="I34" i="152"/>
  <c r="W34" i="152" s="1"/>
  <c r="U33" i="152"/>
  <c r="V33" i="152" s="1"/>
  <c r="S33" i="152"/>
  <c r="R33" i="152"/>
  <c r="J33" i="152"/>
  <c r="I33" i="152"/>
  <c r="W33" i="152" s="1"/>
  <c r="U32" i="152"/>
  <c r="V32" i="152" s="1"/>
  <c r="S32" i="152"/>
  <c r="R32" i="152"/>
  <c r="J32" i="152"/>
  <c r="I32" i="152"/>
  <c r="W32" i="152" s="1"/>
  <c r="U31" i="152"/>
  <c r="V31" i="152" s="1"/>
  <c r="S31" i="152"/>
  <c r="R31" i="152"/>
  <c r="J31" i="152"/>
  <c r="I31" i="152"/>
  <c r="W31" i="152" s="1"/>
  <c r="U30" i="152"/>
  <c r="V30" i="152" s="1"/>
  <c r="S30" i="152"/>
  <c r="R30" i="152"/>
  <c r="J30" i="152"/>
  <c r="I30" i="152"/>
  <c r="U29" i="152"/>
  <c r="V29" i="152" s="1"/>
  <c r="S29" i="152"/>
  <c r="R29" i="152"/>
  <c r="J29" i="152"/>
  <c r="I29" i="152"/>
  <c r="U28" i="152"/>
  <c r="V28" i="152" s="1"/>
  <c r="S28" i="152"/>
  <c r="R28" i="152"/>
  <c r="J28" i="152"/>
  <c r="I28" i="152"/>
  <c r="W28" i="152" s="1"/>
  <c r="U27" i="152"/>
  <c r="V27" i="152" s="1"/>
  <c r="S27" i="152"/>
  <c r="R27" i="152"/>
  <c r="J27" i="152"/>
  <c r="I27" i="152"/>
  <c r="W27" i="152" s="1"/>
  <c r="BE26" i="152"/>
  <c r="U26" i="152"/>
  <c r="V26" i="152" s="1"/>
  <c r="S26" i="152"/>
  <c r="R26" i="152"/>
  <c r="J26" i="152"/>
  <c r="I26" i="152"/>
  <c r="U25" i="152"/>
  <c r="V25" i="152" s="1"/>
  <c r="S25" i="152"/>
  <c r="R25" i="152"/>
  <c r="J25" i="152"/>
  <c r="I25" i="152"/>
  <c r="W25" i="152" s="1"/>
  <c r="V24" i="152"/>
  <c r="U24" i="152"/>
  <c r="S24" i="152"/>
  <c r="R24" i="152"/>
  <c r="J24" i="152"/>
  <c r="I24" i="152"/>
  <c r="W24" i="152" s="1"/>
  <c r="U23" i="152"/>
  <c r="V23" i="152" s="1"/>
  <c r="S23" i="152"/>
  <c r="R23" i="152"/>
  <c r="J23" i="152"/>
  <c r="I23" i="152"/>
  <c r="V22" i="152"/>
  <c r="U22" i="152"/>
  <c r="S22" i="152"/>
  <c r="R22" i="152"/>
  <c r="J22" i="152"/>
  <c r="I22" i="152"/>
  <c r="W22" i="152" s="1"/>
  <c r="U21" i="152"/>
  <c r="V21" i="152" s="1"/>
  <c r="S21" i="152"/>
  <c r="R21" i="152"/>
  <c r="J21" i="152"/>
  <c r="I21" i="152"/>
  <c r="W21" i="152" s="1"/>
  <c r="V20" i="152"/>
  <c r="U20" i="152"/>
  <c r="S20" i="152"/>
  <c r="R20" i="152"/>
  <c r="J20" i="152"/>
  <c r="I20" i="152"/>
  <c r="U19" i="152"/>
  <c r="V19" i="152" s="1"/>
  <c r="S19" i="152"/>
  <c r="R19" i="152"/>
  <c r="J19" i="152"/>
  <c r="I19" i="152"/>
  <c r="W19" i="152" s="1"/>
  <c r="V18" i="152"/>
  <c r="U18" i="152"/>
  <c r="S18" i="152"/>
  <c r="R18" i="152"/>
  <c r="J18" i="152"/>
  <c r="I18" i="152"/>
  <c r="W18" i="152" s="1"/>
  <c r="U17" i="152"/>
  <c r="V17" i="152" s="1"/>
  <c r="S17" i="152"/>
  <c r="R17" i="152"/>
  <c r="J17" i="152"/>
  <c r="I17" i="152"/>
  <c r="W17" i="152" s="1"/>
  <c r="V16" i="152"/>
  <c r="U16" i="152"/>
  <c r="S16" i="152"/>
  <c r="R16" i="152"/>
  <c r="J16" i="152"/>
  <c r="I16" i="152"/>
  <c r="W16" i="152" s="1"/>
  <c r="U15" i="152"/>
  <c r="V15" i="152" s="1"/>
  <c r="S15" i="152"/>
  <c r="R15" i="152"/>
  <c r="J15" i="152"/>
  <c r="I15" i="152"/>
  <c r="W15" i="152" s="1"/>
  <c r="V14" i="152"/>
  <c r="U14" i="152"/>
  <c r="S14" i="152"/>
  <c r="R14" i="152"/>
  <c r="J14" i="152"/>
  <c r="I14" i="152"/>
  <c r="W14" i="152" s="1"/>
  <c r="U13" i="152"/>
  <c r="V13" i="152" s="1"/>
  <c r="S13" i="152"/>
  <c r="R13" i="152"/>
  <c r="V12" i="152"/>
  <c r="U12" i="152"/>
  <c r="S12" i="152"/>
  <c r="R12" i="152"/>
  <c r="J12" i="152"/>
  <c r="W12" i="152" s="1"/>
  <c r="I12" i="152"/>
  <c r="U11" i="152"/>
  <c r="V11" i="152" s="1"/>
  <c r="S11" i="152"/>
  <c r="J11" i="152"/>
  <c r="I11" i="152"/>
  <c r="U10" i="152"/>
  <c r="V10" i="152" s="1"/>
  <c r="S10" i="152"/>
  <c r="J10" i="152"/>
  <c r="I10" i="152"/>
  <c r="W10" i="152" s="1"/>
  <c r="U9" i="152"/>
  <c r="V9" i="152" s="1"/>
  <c r="S9" i="152"/>
  <c r="R9" i="152"/>
  <c r="J9" i="152"/>
  <c r="I9" i="152"/>
  <c r="A9" i="152"/>
  <c r="A10" i="152" s="1"/>
  <c r="A11" i="152" s="1"/>
  <c r="A12" i="152" s="1"/>
  <c r="A13" i="152" s="1"/>
  <c r="A14" i="152" s="1"/>
  <c r="A15" i="152" s="1"/>
  <c r="A16" i="152" s="1"/>
  <c r="A17" i="152" s="1"/>
  <c r="A18" i="152" s="1"/>
  <c r="A19" i="152" s="1"/>
  <c r="A20" i="152" s="1"/>
  <c r="A21" i="152" s="1"/>
  <c r="A22" i="152" s="1"/>
  <c r="A23" i="152" s="1"/>
  <c r="A24" i="152" s="1"/>
  <c r="A25" i="152" s="1"/>
  <c r="A26" i="152" s="1"/>
  <c r="A27" i="152" s="1"/>
  <c r="A28" i="152" s="1"/>
  <c r="A29" i="152" s="1"/>
  <c r="A30" i="152" s="1"/>
  <c r="A31" i="152" s="1"/>
  <c r="A32" i="152" s="1"/>
  <c r="A33" i="152" s="1"/>
  <c r="A34" i="152" s="1"/>
  <c r="A35" i="152" s="1"/>
  <c r="A36" i="152" s="1"/>
  <c r="A37" i="152" s="1"/>
  <c r="A38" i="152" s="1"/>
  <c r="A39" i="152" s="1"/>
  <c r="A40" i="152" s="1"/>
  <c r="A41" i="152" s="1"/>
  <c r="A42" i="152" s="1"/>
  <c r="A43" i="152" s="1"/>
  <c r="A44" i="152" s="1"/>
  <c r="A45" i="152" s="1"/>
  <c r="A46" i="152" s="1"/>
  <c r="A47" i="152" s="1"/>
  <c r="A48" i="152" s="1"/>
  <c r="A49" i="152" s="1"/>
  <c r="A50" i="152" s="1"/>
  <c r="A51" i="152" s="1"/>
  <c r="A52" i="152" s="1"/>
  <c r="A53" i="152" s="1"/>
  <c r="A54" i="152" s="1"/>
  <c r="A55" i="152" s="1"/>
  <c r="A56" i="152" s="1"/>
  <c r="A57" i="152" s="1"/>
  <c r="A58" i="152" s="1"/>
  <c r="A59" i="152" s="1"/>
  <c r="U8" i="152"/>
  <c r="S8" i="152"/>
  <c r="S60" i="152" s="1"/>
  <c r="R8" i="152"/>
  <c r="J8" i="152"/>
  <c r="I8" i="152"/>
  <c r="W8" i="152" s="1"/>
  <c r="W60" i="153" l="1"/>
  <c r="W46" i="152"/>
  <c r="W44" i="152"/>
  <c r="W41" i="152"/>
  <c r="W39" i="152"/>
  <c r="W35" i="152"/>
  <c r="R60" i="152"/>
  <c r="W30" i="152"/>
  <c r="W26" i="152"/>
  <c r="W23" i="152"/>
  <c r="W20" i="152"/>
  <c r="U60" i="152"/>
  <c r="W9" i="152"/>
  <c r="I60" i="152"/>
  <c r="J60" i="152"/>
  <c r="W29" i="152"/>
  <c r="W42" i="152"/>
  <c r="V8" i="152"/>
  <c r="V60" i="152" s="1"/>
  <c r="W11" i="152"/>
  <c r="Q60" i="151"/>
  <c r="P60" i="151"/>
  <c r="O60" i="151"/>
  <c r="N60" i="151"/>
  <c r="M60" i="151"/>
  <c r="L60" i="151"/>
  <c r="H60" i="151"/>
  <c r="G60" i="151"/>
  <c r="E60" i="151"/>
  <c r="D60" i="151"/>
  <c r="C60" i="151"/>
  <c r="S59" i="151"/>
  <c r="R59" i="151"/>
  <c r="J59" i="151"/>
  <c r="I59" i="151"/>
  <c r="S58" i="151"/>
  <c r="R58" i="151"/>
  <c r="J58" i="151"/>
  <c r="I58" i="151"/>
  <c r="S57" i="151"/>
  <c r="R57" i="151"/>
  <c r="J57" i="151"/>
  <c r="I57" i="151"/>
  <c r="S56" i="151"/>
  <c r="R56" i="151"/>
  <c r="J56" i="151"/>
  <c r="I56" i="151"/>
  <c r="S55" i="151"/>
  <c r="R55" i="151"/>
  <c r="J55" i="151"/>
  <c r="I55" i="151"/>
  <c r="U54" i="151"/>
  <c r="V54" i="151" s="1"/>
  <c r="S54" i="151"/>
  <c r="R54" i="151"/>
  <c r="J54" i="151"/>
  <c r="I54" i="151"/>
  <c r="U53" i="151"/>
  <c r="V53" i="151" s="1"/>
  <c r="S53" i="151"/>
  <c r="R53" i="151"/>
  <c r="J53" i="151"/>
  <c r="I53" i="151"/>
  <c r="W53" i="151" s="1"/>
  <c r="U52" i="151"/>
  <c r="V52" i="151" s="1"/>
  <c r="S52" i="151"/>
  <c r="R52" i="151"/>
  <c r="J52" i="151"/>
  <c r="I52" i="151"/>
  <c r="W52" i="151" s="1"/>
  <c r="U51" i="151"/>
  <c r="V51" i="151" s="1"/>
  <c r="S51" i="151"/>
  <c r="R51" i="151"/>
  <c r="J51" i="151"/>
  <c r="I51" i="151"/>
  <c r="U50" i="151"/>
  <c r="V50" i="151" s="1"/>
  <c r="S50" i="151"/>
  <c r="R50" i="151"/>
  <c r="J50" i="151"/>
  <c r="I50" i="151"/>
  <c r="U49" i="151"/>
  <c r="V49" i="151" s="1"/>
  <c r="S49" i="151"/>
  <c r="R49" i="151"/>
  <c r="J49" i="151"/>
  <c r="I49" i="151"/>
  <c r="W49" i="151" s="1"/>
  <c r="U48" i="151"/>
  <c r="V48" i="151" s="1"/>
  <c r="S48" i="151"/>
  <c r="R48" i="151"/>
  <c r="J48" i="151"/>
  <c r="I48" i="151"/>
  <c r="U47" i="151"/>
  <c r="V47" i="151" s="1"/>
  <c r="S47" i="151"/>
  <c r="R47" i="151"/>
  <c r="J47" i="151"/>
  <c r="I47" i="151"/>
  <c r="W47" i="151" s="1"/>
  <c r="U46" i="151"/>
  <c r="V46" i="151" s="1"/>
  <c r="S46" i="151"/>
  <c r="R46" i="151"/>
  <c r="J46" i="151"/>
  <c r="I46" i="151"/>
  <c r="W46" i="151" s="1"/>
  <c r="S45" i="151"/>
  <c r="R45" i="151"/>
  <c r="J45" i="151"/>
  <c r="I45" i="151"/>
  <c r="U44" i="151"/>
  <c r="V44" i="151" s="1"/>
  <c r="S44" i="151"/>
  <c r="J44" i="151"/>
  <c r="S43" i="151"/>
  <c r="R43" i="151"/>
  <c r="J43" i="151"/>
  <c r="I43" i="151"/>
  <c r="U42" i="151"/>
  <c r="V42" i="151" s="1"/>
  <c r="S42" i="151"/>
  <c r="R42" i="151"/>
  <c r="J42" i="151"/>
  <c r="I42" i="151"/>
  <c r="W42" i="151" s="1"/>
  <c r="U41" i="151"/>
  <c r="V41" i="151" s="1"/>
  <c r="S41" i="151"/>
  <c r="R41" i="151"/>
  <c r="J41" i="151"/>
  <c r="U40" i="151"/>
  <c r="V40" i="151" s="1"/>
  <c r="S40" i="151"/>
  <c r="R40" i="151"/>
  <c r="J40" i="151"/>
  <c r="I40" i="151"/>
  <c r="W40" i="151" s="1"/>
  <c r="W39" i="151"/>
  <c r="U39" i="151"/>
  <c r="V39" i="151" s="1"/>
  <c r="S39" i="151"/>
  <c r="R39" i="151"/>
  <c r="J39" i="151"/>
  <c r="I39" i="151"/>
  <c r="V38" i="151"/>
  <c r="S38" i="151"/>
  <c r="J38" i="151"/>
  <c r="I38" i="151"/>
  <c r="U37" i="151"/>
  <c r="V37" i="151" s="1"/>
  <c r="S37" i="151"/>
  <c r="R37" i="151"/>
  <c r="J37" i="151"/>
  <c r="I37" i="151"/>
  <c r="W37" i="151" s="1"/>
  <c r="W36" i="151"/>
  <c r="U36" i="151"/>
  <c r="V36" i="151" s="1"/>
  <c r="S36" i="151"/>
  <c r="R36" i="151"/>
  <c r="J36" i="151"/>
  <c r="I36" i="151"/>
  <c r="U35" i="151"/>
  <c r="V35" i="151" s="1"/>
  <c r="S35" i="151"/>
  <c r="R35" i="151"/>
  <c r="J35" i="151"/>
  <c r="I35" i="151"/>
  <c r="U34" i="151"/>
  <c r="V34" i="151" s="1"/>
  <c r="S34" i="151"/>
  <c r="R34" i="151"/>
  <c r="J34" i="151"/>
  <c r="I34" i="151"/>
  <c r="W34" i="151" s="1"/>
  <c r="U33" i="151"/>
  <c r="V33" i="151" s="1"/>
  <c r="S33" i="151"/>
  <c r="R33" i="151"/>
  <c r="J33" i="151"/>
  <c r="I33" i="151"/>
  <c r="W33" i="151" s="1"/>
  <c r="U32" i="151"/>
  <c r="V32" i="151" s="1"/>
  <c r="S32" i="151"/>
  <c r="R32" i="151"/>
  <c r="J32" i="151"/>
  <c r="I32" i="151"/>
  <c r="W32" i="151" s="1"/>
  <c r="U31" i="151"/>
  <c r="V31" i="151" s="1"/>
  <c r="S31" i="151"/>
  <c r="R31" i="151"/>
  <c r="J31" i="151"/>
  <c r="I31" i="151"/>
  <c r="W31" i="151" s="1"/>
  <c r="U30" i="151"/>
  <c r="V30" i="151" s="1"/>
  <c r="S30" i="151"/>
  <c r="R30" i="151"/>
  <c r="J30" i="151"/>
  <c r="I30" i="151"/>
  <c r="U29" i="151"/>
  <c r="V29" i="151" s="1"/>
  <c r="S29" i="151"/>
  <c r="R29" i="151"/>
  <c r="J29" i="151"/>
  <c r="I29" i="151"/>
  <c r="W29" i="151" s="1"/>
  <c r="U28" i="151"/>
  <c r="V28" i="151" s="1"/>
  <c r="S28" i="151"/>
  <c r="R28" i="151"/>
  <c r="J28" i="151"/>
  <c r="I28" i="151"/>
  <c r="W28" i="151" s="1"/>
  <c r="U27" i="151"/>
  <c r="V27" i="151" s="1"/>
  <c r="S27" i="151"/>
  <c r="R27" i="151"/>
  <c r="J27" i="151"/>
  <c r="I27" i="151"/>
  <c r="W27" i="151" s="1"/>
  <c r="BE26" i="151"/>
  <c r="U26" i="151"/>
  <c r="V26" i="151" s="1"/>
  <c r="S26" i="151"/>
  <c r="R26" i="151"/>
  <c r="J26" i="151"/>
  <c r="I26" i="151"/>
  <c r="U25" i="151"/>
  <c r="V25" i="151" s="1"/>
  <c r="S25" i="151"/>
  <c r="R25" i="151"/>
  <c r="J25" i="151"/>
  <c r="I25" i="151"/>
  <c r="U24" i="151"/>
  <c r="V24" i="151" s="1"/>
  <c r="S24" i="151"/>
  <c r="R24" i="151"/>
  <c r="J24" i="151"/>
  <c r="I24" i="151"/>
  <c r="W24" i="151" s="1"/>
  <c r="U23" i="151"/>
  <c r="V23" i="151" s="1"/>
  <c r="S23" i="151"/>
  <c r="R23" i="151"/>
  <c r="J23" i="151"/>
  <c r="I23" i="151"/>
  <c r="W23" i="151" s="1"/>
  <c r="U22" i="151"/>
  <c r="V22" i="151" s="1"/>
  <c r="S22" i="151"/>
  <c r="R22" i="151"/>
  <c r="J22" i="151"/>
  <c r="I22" i="151"/>
  <c r="W22" i="151" s="1"/>
  <c r="U21" i="151"/>
  <c r="V21" i="151" s="1"/>
  <c r="S21" i="151"/>
  <c r="R21" i="151"/>
  <c r="J21" i="151"/>
  <c r="I21" i="151"/>
  <c r="W21" i="151" s="1"/>
  <c r="U20" i="151"/>
  <c r="V20" i="151" s="1"/>
  <c r="S20" i="151"/>
  <c r="R20" i="151"/>
  <c r="J20" i="151"/>
  <c r="I20" i="151"/>
  <c r="U19" i="151"/>
  <c r="V19" i="151" s="1"/>
  <c r="S19" i="151"/>
  <c r="R19" i="151"/>
  <c r="J19" i="151"/>
  <c r="I19" i="151"/>
  <c r="U18" i="151"/>
  <c r="V18" i="151" s="1"/>
  <c r="S18" i="151"/>
  <c r="R18" i="151"/>
  <c r="J18" i="151"/>
  <c r="I18" i="151"/>
  <c r="U17" i="151"/>
  <c r="V17" i="151" s="1"/>
  <c r="S17" i="151"/>
  <c r="R17" i="151"/>
  <c r="J17" i="151"/>
  <c r="I17" i="151"/>
  <c r="W17" i="151" s="1"/>
  <c r="U16" i="151"/>
  <c r="V16" i="151" s="1"/>
  <c r="S16" i="151"/>
  <c r="R16" i="151"/>
  <c r="J16" i="151"/>
  <c r="I16" i="151"/>
  <c r="W16" i="151" s="1"/>
  <c r="U15" i="151"/>
  <c r="V15" i="151" s="1"/>
  <c r="S15" i="151"/>
  <c r="R15" i="151"/>
  <c r="J15" i="151"/>
  <c r="I15" i="151"/>
  <c r="W15" i="151" s="1"/>
  <c r="U14" i="151"/>
  <c r="V14" i="151" s="1"/>
  <c r="S14" i="151"/>
  <c r="R14" i="151"/>
  <c r="J14" i="151"/>
  <c r="I14" i="151"/>
  <c r="W14" i="151" s="1"/>
  <c r="U13" i="151"/>
  <c r="V13" i="151" s="1"/>
  <c r="S13" i="151"/>
  <c r="R13" i="151"/>
  <c r="U12" i="151"/>
  <c r="V12" i="151" s="1"/>
  <c r="S12" i="151"/>
  <c r="R12" i="151"/>
  <c r="J12" i="151"/>
  <c r="I12" i="151"/>
  <c r="U11" i="151"/>
  <c r="V11" i="151" s="1"/>
  <c r="S11" i="151"/>
  <c r="J11" i="151"/>
  <c r="I11" i="151"/>
  <c r="W11" i="151" s="1"/>
  <c r="U10" i="151"/>
  <c r="V10" i="151" s="1"/>
  <c r="S10" i="151"/>
  <c r="J10" i="151"/>
  <c r="I10" i="151"/>
  <c r="W10" i="151" s="1"/>
  <c r="U9" i="151"/>
  <c r="V9" i="151" s="1"/>
  <c r="S9" i="151"/>
  <c r="R9" i="151"/>
  <c r="J9" i="151"/>
  <c r="I9" i="151"/>
  <c r="A9" i="151"/>
  <c r="A10" i="151" s="1"/>
  <c r="A11" i="151" s="1"/>
  <c r="A12" i="151" s="1"/>
  <c r="A13" i="151" s="1"/>
  <c r="A14" i="151" s="1"/>
  <c r="A15" i="151" s="1"/>
  <c r="A16" i="151" s="1"/>
  <c r="A17" i="151" s="1"/>
  <c r="A18" i="151" s="1"/>
  <c r="A19" i="151" s="1"/>
  <c r="A20" i="151" s="1"/>
  <c r="A21" i="151" s="1"/>
  <c r="A22" i="151" s="1"/>
  <c r="A23" i="151" s="1"/>
  <c r="A24" i="151" s="1"/>
  <c r="A25" i="151" s="1"/>
  <c r="A26" i="151" s="1"/>
  <c r="A27" i="151" s="1"/>
  <c r="A28" i="151" s="1"/>
  <c r="A29" i="151" s="1"/>
  <c r="A30" i="151" s="1"/>
  <c r="A31" i="151" s="1"/>
  <c r="A32" i="151" s="1"/>
  <c r="A33" i="151" s="1"/>
  <c r="A34" i="151" s="1"/>
  <c r="A35" i="151" s="1"/>
  <c r="A36" i="151" s="1"/>
  <c r="A37" i="151" s="1"/>
  <c r="A38" i="151" s="1"/>
  <c r="A39" i="151" s="1"/>
  <c r="A40" i="151" s="1"/>
  <c r="A41" i="151" s="1"/>
  <c r="A42" i="151" s="1"/>
  <c r="A43" i="151" s="1"/>
  <c r="A44" i="151" s="1"/>
  <c r="A45" i="151" s="1"/>
  <c r="A46" i="151" s="1"/>
  <c r="A47" i="151" s="1"/>
  <c r="A48" i="151" s="1"/>
  <c r="A49" i="151" s="1"/>
  <c r="A50" i="151" s="1"/>
  <c r="A51" i="151" s="1"/>
  <c r="A52" i="151" s="1"/>
  <c r="A53" i="151" s="1"/>
  <c r="A54" i="151" s="1"/>
  <c r="A55" i="151" s="1"/>
  <c r="A56" i="151" s="1"/>
  <c r="A57" i="151" s="1"/>
  <c r="A58" i="151" s="1"/>
  <c r="A59" i="151" s="1"/>
  <c r="U8" i="151"/>
  <c r="S8" i="151"/>
  <c r="R8" i="151"/>
  <c r="J8" i="151"/>
  <c r="I8" i="151"/>
  <c r="W60" i="152" l="1"/>
  <c r="W54" i="151"/>
  <c r="W48" i="151"/>
  <c r="W41" i="151"/>
  <c r="W38" i="151"/>
  <c r="W35" i="151"/>
  <c r="W30" i="151"/>
  <c r="W26" i="151"/>
  <c r="W20" i="151"/>
  <c r="R60" i="151"/>
  <c r="W12" i="151"/>
  <c r="W9" i="151"/>
  <c r="W8" i="151"/>
  <c r="S60" i="151"/>
  <c r="U60" i="151"/>
  <c r="W50" i="151"/>
  <c r="W18" i="151"/>
  <c r="W25" i="151"/>
  <c r="W44" i="151"/>
  <c r="J60" i="151"/>
  <c r="W19" i="151"/>
  <c r="W51" i="151"/>
  <c r="W13" i="151"/>
  <c r="I60" i="151"/>
  <c r="V8" i="151"/>
  <c r="V60" i="151" s="1"/>
  <c r="Q60" i="150"/>
  <c r="P60" i="150"/>
  <c r="O60" i="150"/>
  <c r="N60" i="150"/>
  <c r="M60" i="150"/>
  <c r="L60" i="150"/>
  <c r="H60" i="150"/>
  <c r="G60" i="150"/>
  <c r="E60" i="150"/>
  <c r="D60" i="150"/>
  <c r="C60" i="150"/>
  <c r="S59" i="150"/>
  <c r="R59" i="150"/>
  <c r="J59" i="150"/>
  <c r="I59" i="150"/>
  <c r="S58" i="150"/>
  <c r="R58" i="150"/>
  <c r="J58" i="150"/>
  <c r="I58" i="150"/>
  <c r="S57" i="150"/>
  <c r="R57" i="150"/>
  <c r="J57" i="150"/>
  <c r="I57" i="150"/>
  <c r="S56" i="150"/>
  <c r="R56" i="150"/>
  <c r="J56" i="150"/>
  <c r="I56" i="150"/>
  <c r="S55" i="150"/>
  <c r="R55" i="150"/>
  <c r="J55" i="150"/>
  <c r="I55" i="150"/>
  <c r="W54" i="150"/>
  <c r="U54" i="150"/>
  <c r="V54" i="150" s="1"/>
  <c r="S54" i="150"/>
  <c r="R54" i="150"/>
  <c r="J54" i="150"/>
  <c r="I54" i="150"/>
  <c r="W53" i="150"/>
  <c r="U53" i="150"/>
  <c r="V53" i="150" s="1"/>
  <c r="S53" i="150"/>
  <c r="R53" i="150"/>
  <c r="J53" i="150"/>
  <c r="I53" i="150"/>
  <c r="U52" i="150"/>
  <c r="V52" i="150" s="1"/>
  <c r="S52" i="150"/>
  <c r="R52" i="150"/>
  <c r="J52" i="150"/>
  <c r="I52" i="150"/>
  <c r="W52" i="150" s="1"/>
  <c r="W51" i="150"/>
  <c r="U51" i="150"/>
  <c r="V51" i="150" s="1"/>
  <c r="S51" i="150"/>
  <c r="R51" i="150"/>
  <c r="J51" i="150"/>
  <c r="I51" i="150"/>
  <c r="U50" i="150"/>
  <c r="V50" i="150" s="1"/>
  <c r="S50" i="150"/>
  <c r="R50" i="150"/>
  <c r="J50" i="150"/>
  <c r="I50" i="150"/>
  <c r="W50" i="150" s="1"/>
  <c r="U49" i="150"/>
  <c r="V49" i="150" s="1"/>
  <c r="S49" i="150"/>
  <c r="R49" i="150"/>
  <c r="J49" i="150"/>
  <c r="I49" i="150"/>
  <c r="W49" i="150" s="1"/>
  <c r="U48" i="150"/>
  <c r="V48" i="150" s="1"/>
  <c r="S48" i="150"/>
  <c r="R48" i="150"/>
  <c r="J48" i="150"/>
  <c r="I48" i="150"/>
  <c r="U47" i="150"/>
  <c r="V47" i="150" s="1"/>
  <c r="S47" i="150"/>
  <c r="R47" i="150"/>
  <c r="J47" i="150"/>
  <c r="I47" i="150"/>
  <c r="W47" i="150" s="1"/>
  <c r="W46" i="150"/>
  <c r="U46" i="150"/>
  <c r="V46" i="150" s="1"/>
  <c r="S46" i="150"/>
  <c r="R46" i="150"/>
  <c r="J46" i="150"/>
  <c r="I46" i="150"/>
  <c r="S45" i="150"/>
  <c r="R45" i="150"/>
  <c r="J45" i="150"/>
  <c r="I45" i="150"/>
  <c r="U44" i="150"/>
  <c r="V44" i="150" s="1"/>
  <c r="S44" i="150"/>
  <c r="R44" i="150"/>
  <c r="J44" i="150"/>
  <c r="I44" i="150"/>
  <c r="W44" i="150" s="1"/>
  <c r="S43" i="150"/>
  <c r="R43" i="150"/>
  <c r="J43" i="150"/>
  <c r="I43" i="150"/>
  <c r="U42" i="150"/>
  <c r="V42" i="150" s="1"/>
  <c r="S42" i="150"/>
  <c r="R42" i="150"/>
  <c r="J42" i="150"/>
  <c r="I42" i="150"/>
  <c r="W42" i="150" s="1"/>
  <c r="U41" i="150"/>
  <c r="V41" i="150" s="1"/>
  <c r="S41" i="150"/>
  <c r="R41" i="150"/>
  <c r="J41" i="150"/>
  <c r="I41" i="150"/>
  <c r="W40" i="150"/>
  <c r="U40" i="150"/>
  <c r="V40" i="150" s="1"/>
  <c r="S40" i="150"/>
  <c r="R40" i="150"/>
  <c r="J40" i="150"/>
  <c r="I40" i="150"/>
  <c r="W39" i="150"/>
  <c r="U39" i="150"/>
  <c r="V39" i="150" s="1"/>
  <c r="S39" i="150"/>
  <c r="R39" i="150"/>
  <c r="J39" i="150"/>
  <c r="I39" i="150"/>
  <c r="U38" i="150"/>
  <c r="V38" i="150" s="1"/>
  <c r="S38" i="150"/>
  <c r="R38" i="150"/>
  <c r="J38" i="150"/>
  <c r="I38" i="150"/>
  <c r="U37" i="150"/>
  <c r="V37" i="150" s="1"/>
  <c r="S37" i="150"/>
  <c r="R37" i="150"/>
  <c r="J37" i="150"/>
  <c r="I37" i="150"/>
  <c r="W37" i="150" s="1"/>
  <c r="U36" i="150"/>
  <c r="V36" i="150" s="1"/>
  <c r="S36" i="150"/>
  <c r="R36" i="150"/>
  <c r="J36" i="150"/>
  <c r="I36" i="150"/>
  <c r="W36" i="150" s="1"/>
  <c r="U35" i="150"/>
  <c r="V35" i="150" s="1"/>
  <c r="S35" i="150"/>
  <c r="R35" i="150"/>
  <c r="J35" i="150"/>
  <c r="I35" i="150"/>
  <c r="W35" i="150" s="1"/>
  <c r="W34" i="150"/>
  <c r="U34" i="150"/>
  <c r="V34" i="150" s="1"/>
  <c r="S34" i="150"/>
  <c r="R34" i="150"/>
  <c r="J34" i="150"/>
  <c r="I34" i="150"/>
  <c r="U33" i="150"/>
  <c r="V33" i="150" s="1"/>
  <c r="S33" i="150"/>
  <c r="R33" i="150"/>
  <c r="J33" i="150"/>
  <c r="I33" i="150"/>
  <c r="W33" i="150" s="1"/>
  <c r="U32" i="150"/>
  <c r="V32" i="150" s="1"/>
  <c r="S32" i="150"/>
  <c r="R32" i="150"/>
  <c r="J32" i="150"/>
  <c r="I32" i="150"/>
  <c r="W32" i="150" s="1"/>
  <c r="U31" i="150"/>
  <c r="V31" i="150" s="1"/>
  <c r="S31" i="150"/>
  <c r="R31" i="150"/>
  <c r="J31" i="150"/>
  <c r="I31" i="150"/>
  <c r="W31" i="150" s="1"/>
  <c r="W30" i="150"/>
  <c r="U30" i="150"/>
  <c r="V30" i="150" s="1"/>
  <c r="S30" i="150"/>
  <c r="R30" i="150"/>
  <c r="J30" i="150"/>
  <c r="I30" i="150"/>
  <c r="U29" i="150"/>
  <c r="V29" i="150" s="1"/>
  <c r="S29" i="150"/>
  <c r="R29" i="150"/>
  <c r="J29" i="150"/>
  <c r="I29" i="150"/>
  <c r="W29" i="150" s="1"/>
  <c r="U28" i="150"/>
  <c r="V28" i="150" s="1"/>
  <c r="S28" i="150"/>
  <c r="R28" i="150"/>
  <c r="J28" i="150"/>
  <c r="I28" i="150"/>
  <c r="U27" i="150"/>
  <c r="S27" i="150"/>
  <c r="R27" i="150"/>
  <c r="J27" i="150"/>
  <c r="W27" i="150" s="1"/>
  <c r="I27" i="150"/>
  <c r="BE26" i="150"/>
  <c r="U26" i="150"/>
  <c r="V26" i="150" s="1"/>
  <c r="S26" i="150"/>
  <c r="R26" i="150"/>
  <c r="J26" i="150"/>
  <c r="I26" i="150"/>
  <c r="U25" i="150"/>
  <c r="V25" i="150" s="1"/>
  <c r="S25" i="150"/>
  <c r="R25" i="150"/>
  <c r="J25" i="150"/>
  <c r="I25" i="150"/>
  <c r="U24" i="150"/>
  <c r="V24" i="150" s="1"/>
  <c r="S24" i="150"/>
  <c r="R24" i="150"/>
  <c r="J24" i="150"/>
  <c r="I24" i="150"/>
  <c r="W24" i="150" s="1"/>
  <c r="U23" i="150"/>
  <c r="V23" i="150" s="1"/>
  <c r="S23" i="150"/>
  <c r="R23" i="150"/>
  <c r="J23" i="150"/>
  <c r="I23" i="150"/>
  <c r="U22" i="150"/>
  <c r="V22" i="150" s="1"/>
  <c r="S22" i="150"/>
  <c r="R22" i="150"/>
  <c r="J22" i="150"/>
  <c r="I22" i="150"/>
  <c r="W22" i="150" s="1"/>
  <c r="U21" i="150"/>
  <c r="V21" i="150" s="1"/>
  <c r="S21" i="150"/>
  <c r="R21" i="150"/>
  <c r="J21" i="150"/>
  <c r="I21" i="150"/>
  <c r="W21" i="150" s="1"/>
  <c r="U20" i="150"/>
  <c r="V20" i="150" s="1"/>
  <c r="S20" i="150"/>
  <c r="R20" i="150"/>
  <c r="J20" i="150"/>
  <c r="I20" i="150"/>
  <c r="U19" i="150"/>
  <c r="V19" i="150" s="1"/>
  <c r="S19" i="150"/>
  <c r="R19" i="150"/>
  <c r="J19" i="150"/>
  <c r="I19" i="150"/>
  <c r="W19" i="150" s="1"/>
  <c r="W18" i="150"/>
  <c r="V18" i="150"/>
  <c r="U18" i="150"/>
  <c r="S18" i="150"/>
  <c r="R18" i="150"/>
  <c r="J18" i="150"/>
  <c r="I18" i="150"/>
  <c r="U17" i="150"/>
  <c r="V17" i="150" s="1"/>
  <c r="S17" i="150"/>
  <c r="R17" i="150"/>
  <c r="J17" i="150"/>
  <c r="I17" i="150"/>
  <c r="W17" i="150" s="1"/>
  <c r="U16" i="150"/>
  <c r="V16" i="150" s="1"/>
  <c r="S16" i="150"/>
  <c r="R16" i="150"/>
  <c r="J16" i="150"/>
  <c r="I16" i="150"/>
  <c r="W16" i="150" s="1"/>
  <c r="U15" i="150"/>
  <c r="V15" i="150" s="1"/>
  <c r="S15" i="150"/>
  <c r="R15" i="150"/>
  <c r="J15" i="150"/>
  <c r="I15" i="150"/>
  <c r="V14" i="150"/>
  <c r="U14" i="150"/>
  <c r="S14" i="150"/>
  <c r="R14" i="150"/>
  <c r="J14" i="150"/>
  <c r="I14" i="150"/>
  <c r="U13" i="150"/>
  <c r="V13" i="150" s="1"/>
  <c r="S13" i="150"/>
  <c r="R13" i="150"/>
  <c r="J13" i="150"/>
  <c r="I13" i="150"/>
  <c r="V12" i="150"/>
  <c r="U12" i="150"/>
  <c r="S12" i="150"/>
  <c r="R12" i="150"/>
  <c r="J12" i="150"/>
  <c r="W12" i="150" s="1"/>
  <c r="I12" i="150"/>
  <c r="U11" i="150"/>
  <c r="V11" i="150" s="1"/>
  <c r="S11" i="150"/>
  <c r="R11" i="150"/>
  <c r="J11" i="150"/>
  <c r="I11" i="150"/>
  <c r="W11" i="150" s="1"/>
  <c r="U10" i="150"/>
  <c r="V10" i="150" s="1"/>
  <c r="S10" i="150"/>
  <c r="R10" i="150"/>
  <c r="J10" i="150"/>
  <c r="I10" i="150"/>
  <c r="W10" i="150" s="1"/>
  <c r="U9" i="150"/>
  <c r="V9" i="150" s="1"/>
  <c r="S9" i="150"/>
  <c r="R9" i="150"/>
  <c r="J9" i="150"/>
  <c r="I9" i="150"/>
  <c r="A9" i="150"/>
  <c r="A10" i="150" s="1"/>
  <c r="A11" i="150" s="1"/>
  <c r="A12" i="150" s="1"/>
  <c r="A13" i="150" s="1"/>
  <c r="A14" i="150" s="1"/>
  <c r="A15" i="150" s="1"/>
  <c r="A16" i="150" s="1"/>
  <c r="A17" i="150" s="1"/>
  <c r="A18" i="150" s="1"/>
  <c r="A19" i="150" s="1"/>
  <c r="A20" i="150" s="1"/>
  <c r="A21" i="150" s="1"/>
  <c r="A22" i="150" s="1"/>
  <c r="A23" i="150" s="1"/>
  <c r="A24" i="150" s="1"/>
  <c r="A25" i="150" s="1"/>
  <c r="A26" i="150" s="1"/>
  <c r="A27" i="150" s="1"/>
  <c r="A28" i="150" s="1"/>
  <c r="A29" i="150" s="1"/>
  <c r="A30" i="150" s="1"/>
  <c r="A31" i="150" s="1"/>
  <c r="A32" i="150" s="1"/>
  <c r="A33" i="150" s="1"/>
  <c r="A34" i="150" s="1"/>
  <c r="A35" i="150" s="1"/>
  <c r="A36" i="150" s="1"/>
  <c r="A37" i="150" s="1"/>
  <c r="A38" i="150" s="1"/>
  <c r="A39" i="150" s="1"/>
  <c r="A40" i="150" s="1"/>
  <c r="A41" i="150" s="1"/>
  <c r="A42" i="150" s="1"/>
  <c r="A43" i="150" s="1"/>
  <c r="A44" i="150" s="1"/>
  <c r="A45" i="150" s="1"/>
  <c r="A46" i="150" s="1"/>
  <c r="A47" i="150" s="1"/>
  <c r="A48" i="150" s="1"/>
  <c r="A49" i="150" s="1"/>
  <c r="A50" i="150" s="1"/>
  <c r="A51" i="150" s="1"/>
  <c r="A52" i="150" s="1"/>
  <c r="A53" i="150" s="1"/>
  <c r="A54" i="150" s="1"/>
  <c r="A55" i="150" s="1"/>
  <c r="A56" i="150" s="1"/>
  <c r="A57" i="150" s="1"/>
  <c r="A58" i="150" s="1"/>
  <c r="A59" i="150" s="1"/>
  <c r="U8" i="150"/>
  <c r="V8" i="150" s="1"/>
  <c r="S8" i="150"/>
  <c r="R8" i="150"/>
  <c r="J8" i="150"/>
  <c r="I8" i="150"/>
  <c r="I8" i="148"/>
  <c r="W60" i="151" l="1"/>
  <c r="W38" i="150"/>
  <c r="W48" i="150"/>
  <c r="W41" i="150"/>
  <c r="W28" i="150"/>
  <c r="W26" i="150"/>
  <c r="W20" i="150"/>
  <c r="W14" i="150"/>
  <c r="W13" i="150"/>
  <c r="W8" i="150"/>
  <c r="U60" i="150"/>
  <c r="R60" i="150"/>
  <c r="S60" i="150"/>
  <c r="W9" i="150"/>
  <c r="W15" i="150"/>
  <c r="W25" i="150"/>
  <c r="I60" i="150"/>
  <c r="J60" i="150"/>
  <c r="W23" i="150"/>
  <c r="V27" i="150"/>
  <c r="V60" i="150" s="1"/>
  <c r="Q60" i="148"/>
  <c r="P60" i="148"/>
  <c r="O60" i="148"/>
  <c r="N60" i="148"/>
  <c r="M60" i="148"/>
  <c r="L60" i="148"/>
  <c r="H60" i="148"/>
  <c r="G60" i="148"/>
  <c r="E60" i="148"/>
  <c r="D60" i="148"/>
  <c r="C60" i="148"/>
  <c r="S59" i="148"/>
  <c r="R59" i="148"/>
  <c r="J59" i="148"/>
  <c r="I59" i="148"/>
  <c r="S58" i="148"/>
  <c r="R58" i="148"/>
  <c r="J58" i="148"/>
  <c r="I58" i="148"/>
  <c r="S57" i="148"/>
  <c r="R57" i="148"/>
  <c r="J57" i="148"/>
  <c r="I57" i="148"/>
  <c r="S56" i="148"/>
  <c r="R56" i="148"/>
  <c r="J56" i="148"/>
  <c r="I56" i="148"/>
  <c r="S55" i="148"/>
  <c r="R55" i="148"/>
  <c r="J55" i="148"/>
  <c r="I55" i="148"/>
  <c r="U54" i="148"/>
  <c r="V54" i="148" s="1"/>
  <c r="S54" i="148"/>
  <c r="R54" i="148"/>
  <c r="J54" i="148"/>
  <c r="I54" i="148"/>
  <c r="W54" i="148" s="1"/>
  <c r="U53" i="148"/>
  <c r="V53" i="148" s="1"/>
  <c r="S53" i="148"/>
  <c r="R53" i="148"/>
  <c r="J53" i="148"/>
  <c r="I53" i="148"/>
  <c r="W53" i="148" s="1"/>
  <c r="U52" i="148"/>
  <c r="V52" i="148" s="1"/>
  <c r="S52" i="148"/>
  <c r="R52" i="148"/>
  <c r="J52" i="148"/>
  <c r="I52" i="148"/>
  <c r="W52" i="148" s="1"/>
  <c r="U51" i="148"/>
  <c r="V51" i="148" s="1"/>
  <c r="S51" i="148"/>
  <c r="R51" i="148"/>
  <c r="J51" i="148"/>
  <c r="I51" i="148"/>
  <c r="W51" i="148" s="1"/>
  <c r="U50" i="148"/>
  <c r="V50" i="148" s="1"/>
  <c r="S50" i="148"/>
  <c r="R50" i="148"/>
  <c r="J50" i="148"/>
  <c r="I50" i="148"/>
  <c r="W50" i="148" s="1"/>
  <c r="U49" i="148"/>
  <c r="V49" i="148" s="1"/>
  <c r="S49" i="148"/>
  <c r="R49" i="148"/>
  <c r="J49" i="148"/>
  <c r="I49" i="148"/>
  <c r="U48" i="148"/>
  <c r="V48" i="148" s="1"/>
  <c r="S48" i="148"/>
  <c r="R48" i="148"/>
  <c r="J48" i="148"/>
  <c r="I48" i="148"/>
  <c r="W48" i="148" s="1"/>
  <c r="U47" i="148"/>
  <c r="V47" i="148" s="1"/>
  <c r="S47" i="148"/>
  <c r="R47" i="148"/>
  <c r="J47" i="148"/>
  <c r="I47" i="148"/>
  <c r="W47" i="148" s="1"/>
  <c r="U46" i="148"/>
  <c r="V46" i="148" s="1"/>
  <c r="S46" i="148"/>
  <c r="R46" i="148"/>
  <c r="J46" i="148"/>
  <c r="I46" i="148"/>
  <c r="S45" i="148"/>
  <c r="R45" i="148"/>
  <c r="J45" i="148"/>
  <c r="I45" i="148"/>
  <c r="U44" i="148"/>
  <c r="S44" i="148"/>
  <c r="R44" i="148"/>
  <c r="J44" i="148"/>
  <c r="I44" i="148"/>
  <c r="W44" i="148" s="1"/>
  <c r="S43" i="148"/>
  <c r="R43" i="148"/>
  <c r="J43" i="148"/>
  <c r="I43" i="148"/>
  <c r="W42" i="148"/>
  <c r="U42" i="148"/>
  <c r="V42" i="148" s="1"/>
  <c r="S42" i="148"/>
  <c r="R42" i="148"/>
  <c r="J42" i="148"/>
  <c r="I42" i="148"/>
  <c r="U41" i="148"/>
  <c r="V41" i="148" s="1"/>
  <c r="S41" i="148"/>
  <c r="R41" i="148"/>
  <c r="J41" i="148"/>
  <c r="I41" i="148"/>
  <c r="W41" i="148" s="1"/>
  <c r="V40" i="148"/>
  <c r="U40" i="148"/>
  <c r="S40" i="148"/>
  <c r="R40" i="148"/>
  <c r="J40" i="148"/>
  <c r="W40" i="148" s="1"/>
  <c r="I40" i="148"/>
  <c r="U39" i="148"/>
  <c r="V39" i="148" s="1"/>
  <c r="S39" i="148"/>
  <c r="R39" i="148"/>
  <c r="J39" i="148"/>
  <c r="I39" i="148"/>
  <c r="W39" i="148" s="1"/>
  <c r="U38" i="148"/>
  <c r="V38" i="148" s="1"/>
  <c r="S38" i="148"/>
  <c r="R38" i="148"/>
  <c r="J38" i="148"/>
  <c r="I38" i="148"/>
  <c r="W38" i="148" s="1"/>
  <c r="U37" i="148"/>
  <c r="V37" i="148" s="1"/>
  <c r="S37" i="148"/>
  <c r="R37" i="148"/>
  <c r="J37" i="148"/>
  <c r="I37" i="148"/>
  <c r="W37" i="148" s="1"/>
  <c r="W36" i="148"/>
  <c r="U36" i="148"/>
  <c r="V36" i="148" s="1"/>
  <c r="S36" i="148"/>
  <c r="R36" i="148"/>
  <c r="J36" i="148"/>
  <c r="I36" i="148"/>
  <c r="U35" i="148"/>
  <c r="V35" i="148" s="1"/>
  <c r="S35" i="148"/>
  <c r="R35" i="148"/>
  <c r="J35" i="148"/>
  <c r="I35" i="148"/>
  <c r="W34" i="148"/>
  <c r="U34" i="148"/>
  <c r="V34" i="148" s="1"/>
  <c r="S34" i="148"/>
  <c r="R34" i="148"/>
  <c r="J34" i="148"/>
  <c r="I34" i="148"/>
  <c r="U33" i="148"/>
  <c r="V33" i="148" s="1"/>
  <c r="S33" i="148"/>
  <c r="R33" i="148"/>
  <c r="J33" i="148"/>
  <c r="I33" i="148"/>
  <c r="W33" i="148" s="1"/>
  <c r="U32" i="148"/>
  <c r="V32" i="148" s="1"/>
  <c r="S32" i="148"/>
  <c r="R32" i="148"/>
  <c r="J32" i="148"/>
  <c r="W32" i="148" s="1"/>
  <c r="I32" i="148"/>
  <c r="U31" i="148"/>
  <c r="V31" i="148" s="1"/>
  <c r="S31" i="148"/>
  <c r="R31" i="148"/>
  <c r="J31" i="148"/>
  <c r="I31" i="148"/>
  <c r="W31" i="148" s="1"/>
  <c r="U30" i="148"/>
  <c r="V30" i="148" s="1"/>
  <c r="S30" i="148"/>
  <c r="R30" i="148"/>
  <c r="J30" i="148"/>
  <c r="I30" i="148"/>
  <c r="W30" i="148" s="1"/>
  <c r="U29" i="148"/>
  <c r="V29" i="148" s="1"/>
  <c r="S29" i="148"/>
  <c r="R29" i="148"/>
  <c r="J29" i="148"/>
  <c r="I29" i="148"/>
  <c r="W29" i="148" s="1"/>
  <c r="U28" i="148"/>
  <c r="V28" i="148" s="1"/>
  <c r="S28" i="148"/>
  <c r="R28" i="148"/>
  <c r="J28" i="148"/>
  <c r="I28" i="148"/>
  <c r="W28" i="148" s="1"/>
  <c r="U27" i="148"/>
  <c r="V27" i="148" s="1"/>
  <c r="S27" i="148"/>
  <c r="R27" i="148"/>
  <c r="J27" i="148"/>
  <c r="I27" i="148"/>
  <c r="W27" i="148" s="1"/>
  <c r="BE26" i="148"/>
  <c r="U26" i="148"/>
  <c r="V26" i="148" s="1"/>
  <c r="S26" i="148"/>
  <c r="R26" i="148"/>
  <c r="J26" i="148"/>
  <c r="I26" i="148"/>
  <c r="V25" i="148"/>
  <c r="U25" i="148"/>
  <c r="S25" i="148"/>
  <c r="R25" i="148"/>
  <c r="J25" i="148"/>
  <c r="I25" i="148"/>
  <c r="W25" i="148" s="1"/>
  <c r="U24" i="148"/>
  <c r="V24" i="148" s="1"/>
  <c r="S24" i="148"/>
  <c r="R24" i="148"/>
  <c r="J24" i="148"/>
  <c r="I24" i="148"/>
  <c r="W24" i="148" s="1"/>
  <c r="U23" i="148"/>
  <c r="V23" i="148" s="1"/>
  <c r="S23" i="148"/>
  <c r="R23" i="148"/>
  <c r="J23" i="148"/>
  <c r="I23" i="148"/>
  <c r="U22" i="148"/>
  <c r="V22" i="148" s="1"/>
  <c r="S22" i="148"/>
  <c r="R22" i="148"/>
  <c r="J22" i="148"/>
  <c r="I22" i="148"/>
  <c r="W22" i="148" s="1"/>
  <c r="U21" i="148"/>
  <c r="V21" i="148" s="1"/>
  <c r="S21" i="148"/>
  <c r="R21" i="148"/>
  <c r="J21" i="148"/>
  <c r="I21" i="148"/>
  <c r="W21" i="148" s="1"/>
  <c r="U20" i="148"/>
  <c r="V20" i="148" s="1"/>
  <c r="S20" i="148"/>
  <c r="R20" i="148"/>
  <c r="J20" i="148"/>
  <c r="I20" i="148"/>
  <c r="W20" i="148" s="1"/>
  <c r="U19" i="148"/>
  <c r="V19" i="148" s="1"/>
  <c r="S19" i="148"/>
  <c r="R19" i="148"/>
  <c r="J19" i="148"/>
  <c r="I19" i="148"/>
  <c r="W19" i="148" s="1"/>
  <c r="U18" i="148"/>
  <c r="V18" i="148" s="1"/>
  <c r="S18" i="148"/>
  <c r="R18" i="148"/>
  <c r="J18" i="148"/>
  <c r="I18" i="148"/>
  <c r="W18" i="148" s="1"/>
  <c r="V17" i="148"/>
  <c r="U17" i="148"/>
  <c r="S17" i="148"/>
  <c r="R17" i="148"/>
  <c r="J17" i="148"/>
  <c r="I17" i="148"/>
  <c r="W17" i="148" s="1"/>
  <c r="W16" i="148"/>
  <c r="U16" i="148"/>
  <c r="V16" i="148" s="1"/>
  <c r="S16" i="148"/>
  <c r="R16" i="148"/>
  <c r="J16" i="148"/>
  <c r="I16" i="148"/>
  <c r="U15" i="148"/>
  <c r="V15" i="148" s="1"/>
  <c r="S15" i="148"/>
  <c r="R15" i="148"/>
  <c r="J15" i="148"/>
  <c r="I15" i="148"/>
  <c r="V14" i="148"/>
  <c r="U14" i="148"/>
  <c r="S14" i="148"/>
  <c r="R14" i="148"/>
  <c r="J14" i="148"/>
  <c r="I14" i="148"/>
  <c r="U13" i="148"/>
  <c r="V13" i="148" s="1"/>
  <c r="S13" i="148"/>
  <c r="R13" i="148"/>
  <c r="J13" i="148"/>
  <c r="I13" i="148"/>
  <c r="W13" i="148" s="1"/>
  <c r="U12" i="148"/>
  <c r="V12" i="148" s="1"/>
  <c r="S12" i="148"/>
  <c r="R12" i="148"/>
  <c r="J12" i="148"/>
  <c r="I12" i="148"/>
  <c r="U11" i="148"/>
  <c r="V11" i="148" s="1"/>
  <c r="S11" i="148"/>
  <c r="R11" i="148"/>
  <c r="J11" i="148"/>
  <c r="I11" i="148"/>
  <c r="U10" i="148"/>
  <c r="V10" i="148" s="1"/>
  <c r="S10" i="148"/>
  <c r="R10" i="148"/>
  <c r="J10" i="148"/>
  <c r="I10" i="148"/>
  <c r="W10" i="148" s="1"/>
  <c r="U9" i="148"/>
  <c r="V9" i="148" s="1"/>
  <c r="S9" i="148"/>
  <c r="R9" i="148"/>
  <c r="J9" i="148"/>
  <c r="I9" i="148"/>
  <c r="A9" i="148"/>
  <c r="A10" i="148" s="1"/>
  <c r="A11" i="148" s="1"/>
  <c r="A12" i="148" s="1"/>
  <c r="A13" i="148" s="1"/>
  <c r="A14" i="148" s="1"/>
  <c r="A15" i="148" s="1"/>
  <c r="A16" i="148" s="1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U8" i="148"/>
  <c r="V8" i="148" s="1"/>
  <c r="S8" i="148"/>
  <c r="R8" i="148"/>
  <c r="J8" i="148"/>
  <c r="W60" i="150" l="1"/>
  <c r="W49" i="148"/>
  <c r="W35" i="148"/>
  <c r="W26" i="148"/>
  <c r="W23" i="148"/>
  <c r="W14" i="148"/>
  <c r="R60" i="148"/>
  <c r="W12" i="148"/>
  <c r="W8" i="148"/>
  <c r="S60" i="148"/>
  <c r="U60" i="148"/>
  <c r="W15" i="148"/>
  <c r="W11" i="148"/>
  <c r="J60" i="148"/>
  <c r="I60" i="148"/>
  <c r="W9" i="148"/>
  <c r="W46" i="148"/>
  <c r="V44" i="148"/>
  <c r="V60" i="148" s="1"/>
  <c r="Q60" i="147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60" i="148" l="1"/>
  <c r="W38" i="147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4286E9F-5447-4EA2-B970-5CC3F3D15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A70275C-001F-4068-9EF3-D801EDAA3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90CC5E2-31DD-459B-93B7-8EE538955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1FCCDA-592E-4589-B88B-121FB3A21A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93743D5-2BA6-41E7-B323-925C83A6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0C29833-AF0E-4D4B-AE02-0CD8C2049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58C7BC6-2160-460A-8B9B-8EE19654E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0C985F-0A2D-409F-958A-53BFEA951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CED33FF-757F-4353-8855-EC13CDFB5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4F1203F-FD23-4002-96AA-70143799F7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1E064F0-61E8-4424-A741-279779F82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B355CAC-4E2B-405D-869F-1F8A75E96E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B2F1DA8-5B1D-4BE5-81ED-01B76EBC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4662BAB-C207-4196-AC74-38FF54504B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68E9919-06FF-464C-B62C-7B0EBC562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AE6860A-9FA5-4537-96D3-474DF91F38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FE1D955-D790-4128-8FC4-2B36E05373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920641-73B1-4C8B-B11D-E9BF0B2C00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281555B-1EDE-43B4-9D0D-B194647910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0161A8-2059-40F5-9E0D-6728210CC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7341488-C144-41F4-9AA3-BBD524E42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<sst xmlns="http://schemas.openxmlformats.org/spreadsheetml/2006/main" count="2438" uniqueCount="82">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</sst>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/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46237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46238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46239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46240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46241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46242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46245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8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46247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4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46251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4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46252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4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opLeftCell="D32" zoomScaleNormal="100" zoomScaleSheetLayoutView="85" zoomScalePageLayoutView="80" workbookViewId="0">
      <selection activeCell="AF54" sqref="AF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4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2285-96FD-4DCB-9ED2-3AC211F72AC4}">
  <sheetPr>
    <pageSetUpPr fitToPage="1"/>
  </sheetPr>
  <dimension ref="A1:BH90"/>
  <sheetViews>
    <sheetView zoomScale="73" zoomScaleNormal="73" zoomScaleSheetLayoutView="85" zoomScalePageLayoutView="80" workbookViewId="0">
      <selection activeCell="N30" sqref="N3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7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79</v>
      </c>
      <c r="D9" s="114">
        <v>12</v>
      </c>
      <c r="E9" s="115"/>
      <c r="F9" s="115"/>
      <c r="G9" s="78">
        <v>3</v>
      </c>
      <c r="H9" s="79"/>
      <c r="I9" s="80">
        <f t="shared" ref="I9:I59" si="4">C9+E9-G9</f>
        <v>76</v>
      </c>
      <c r="J9" s="94">
        <f t="shared" si="0"/>
        <v>12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1836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>
        <v>10</v>
      </c>
      <c r="H10" s="73"/>
      <c r="I10" s="93">
        <f t="shared" si="4"/>
        <v>71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1704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30</v>
      </c>
      <c r="D11" s="111"/>
      <c r="E11" s="112"/>
      <c r="F11" s="112"/>
      <c r="G11" s="76">
        <v>10</v>
      </c>
      <c r="H11" s="73"/>
      <c r="I11" s="73">
        <f t="shared" si="4"/>
        <v>20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/>
      <c r="Q11" s="120"/>
      <c r="R11" s="86">
        <f t="shared" si="1"/>
        <v>10</v>
      </c>
      <c r="S11" s="124">
        <f t="shared" si="1"/>
        <v>0</v>
      </c>
      <c r="T11" s="41"/>
      <c r="U11" s="107">
        <f>L11*24+N11*24+P11*24</f>
        <v>240</v>
      </c>
      <c r="V11" s="130">
        <f>U11/24</f>
        <v>10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9</v>
      </c>
      <c r="H12" s="73"/>
      <c r="I12" s="73">
        <f t="shared" si="4"/>
        <v>0</v>
      </c>
      <c r="J12" s="77">
        <f t="shared" si="0"/>
        <v>2</v>
      </c>
      <c r="K12" s="41"/>
      <c r="L12" s="112">
        <v>9</v>
      </c>
      <c r="M12" s="112"/>
      <c r="N12" s="112"/>
      <c r="O12" s="112"/>
      <c r="P12" s="112"/>
      <c r="Q12" s="120"/>
      <c r="R12" s="86">
        <f t="shared" si="1"/>
        <v>9</v>
      </c>
      <c r="S12" s="124">
        <f t="shared" si="1"/>
        <v>0</v>
      </c>
      <c r="T12" s="41"/>
      <c r="U12" s="107">
        <f t="shared" ref="U12:U37" si="5">L12*24+N12*24+P12*24</f>
        <v>216</v>
      </c>
      <c r="V12" s="130">
        <f t="shared" ref="V12:V41" si="6">U12/24</f>
        <v>9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3194</v>
      </c>
      <c r="D13" s="114">
        <v>14</v>
      </c>
      <c r="E13" s="115"/>
      <c r="F13" s="115"/>
      <c r="G13" s="78">
        <v>34</v>
      </c>
      <c r="H13" s="79">
        <v>16</v>
      </c>
      <c r="I13" s="80">
        <f t="shared" si="4"/>
        <v>3160</v>
      </c>
      <c r="J13" s="94">
        <f>D13-H13</f>
        <v>-2</v>
      </c>
      <c r="K13" s="53"/>
      <c r="L13" s="121">
        <v>12</v>
      </c>
      <c r="M13" s="121">
        <v>10</v>
      </c>
      <c r="N13" s="121">
        <v>3</v>
      </c>
      <c r="O13" s="121">
        <v>6</v>
      </c>
      <c r="P13" s="121">
        <v>19</v>
      </c>
      <c r="Q13" s="122"/>
      <c r="R13" s="97">
        <f>L13+N13+P13</f>
        <v>34</v>
      </c>
      <c r="S13" s="125">
        <f>M13+O13+Q13</f>
        <v>16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75838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>
        <v>1</v>
      </c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8"/>
        <v>1</v>
      </c>
      <c r="S20" s="124">
        <f t="shared" si="8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>
        <v>1</v>
      </c>
      <c r="H23" s="73"/>
      <c r="I23" s="73">
        <f t="shared" si="4"/>
        <v>1</v>
      </c>
      <c r="J23" s="77">
        <f t="shared" si="7"/>
        <v>20</v>
      </c>
      <c r="K23" s="42"/>
      <c r="L23" s="112">
        <v>1</v>
      </c>
      <c r="M23" s="112"/>
      <c r="N23" s="112"/>
      <c r="O23" s="112"/>
      <c r="P23" s="112"/>
      <c r="Q23" s="120"/>
      <c r="R23" s="86">
        <f t="shared" si="8"/>
        <v>1</v>
      </c>
      <c r="S23" s="124">
        <f t="shared" si="8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166</v>
      </c>
      <c r="D26" s="111">
        <v>1</v>
      </c>
      <c r="E26" s="112"/>
      <c r="F26" s="112"/>
      <c r="G26" s="76">
        <v>4</v>
      </c>
      <c r="H26" s="73"/>
      <c r="I26" s="73">
        <f t="shared" si="4"/>
        <v>162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3889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>
        <v>1</v>
      </c>
      <c r="H28" s="73"/>
      <c r="I28" s="73">
        <f t="shared" si="4"/>
        <v>2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14</v>
      </c>
      <c r="H30" s="73"/>
      <c r="I30" s="73">
        <f t="shared" si="4"/>
        <v>8</v>
      </c>
      <c r="J30" s="77">
        <f t="shared" si="7"/>
        <v>5</v>
      </c>
      <c r="K30" s="41"/>
      <c r="L30" s="112">
        <v>11</v>
      </c>
      <c r="M30" s="112"/>
      <c r="N30" s="112">
        <v>2</v>
      </c>
      <c r="O30" s="112"/>
      <c r="P30" s="112">
        <v>1</v>
      </c>
      <c r="Q30" s="120"/>
      <c r="R30" s="86">
        <f t="shared" si="8"/>
        <v>14</v>
      </c>
      <c r="S30" s="124">
        <f t="shared" si="8"/>
        <v>0</v>
      </c>
      <c r="T30" s="41"/>
      <c r="U30" s="107">
        <f t="shared" si="5"/>
        <v>336</v>
      </c>
      <c r="V30" s="130">
        <f t="shared" si="6"/>
        <v>14</v>
      </c>
      <c r="W30" s="129">
        <f t="shared" si="9"/>
        <v>197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4</v>
      </c>
      <c r="H31" s="73"/>
      <c r="I31" s="73">
        <f t="shared" si="4"/>
        <v>4</v>
      </c>
      <c r="J31" s="77">
        <f t="shared" si="7"/>
        <v>0</v>
      </c>
      <c r="K31" s="41"/>
      <c r="L31" s="112">
        <v>3</v>
      </c>
      <c r="M31" s="112"/>
      <c r="N31" s="112"/>
      <c r="O31" s="112"/>
      <c r="P31" s="112">
        <v>1</v>
      </c>
      <c r="Q31" s="120"/>
      <c r="R31" s="86">
        <f t="shared" si="8"/>
        <v>4</v>
      </c>
      <c r="S31" s="124">
        <f t="shared" si="8"/>
        <v>0</v>
      </c>
      <c r="T31" s="41"/>
      <c r="U31" s="107">
        <f t="shared" si="5"/>
        <v>96</v>
      </c>
      <c r="V31" s="130">
        <f t="shared" si="6"/>
        <v>4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181</v>
      </c>
      <c r="D35" s="111">
        <v>2</v>
      </c>
      <c r="E35" s="112"/>
      <c r="F35" s="112"/>
      <c r="G35" s="76">
        <v>13</v>
      </c>
      <c r="H35" s="73"/>
      <c r="I35" s="73">
        <f t="shared" si="4"/>
        <v>168</v>
      </c>
      <c r="J35" s="77">
        <f t="shared" si="7"/>
        <v>2</v>
      </c>
      <c r="K35" s="41"/>
      <c r="L35" s="112">
        <v>11</v>
      </c>
      <c r="M35" s="112"/>
      <c r="N35" s="112">
        <v>2</v>
      </c>
      <c r="O35" s="112"/>
      <c r="P35" s="112"/>
      <c r="Q35" s="120"/>
      <c r="R35" s="86">
        <f t="shared" si="8"/>
        <v>13</v>
      </c>
      <c r="S35" s="124">
        <f t="shared" si="8"/>
        <v>0</v>
      </c>
      <c r="T35" s="41"/>
      <c r="U35" s="107">
        <f t="shared" si="5"/>
        <v>312</v>
      </c>
      <c r="V35" s="130">
        <f t="shared" si="6"/>
        <v>13</v>
      </c>
      <c r="W35" s="129">
        <f t="shared" si="9"/>
        <v>4034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3524</v>
      </c>
      <c r="D38" s="114">
        <v>1</v>
      </c>
      <c r="E38" s="115"/>
      <c r="F38" s="115"/>
      <c r="G38" s="78">
        <v>179</v>
      </c>
      <c r="H38" s="79"/>
      <c r="I38" s="80">
        <f t="shared" si="4"/>
        <v>3345</v>
      </c>
      <c r="J38" s="140">
        <f t="shared" si="7"/>
        <v>1</v>
      </c>
      <c r="K38" s="51"/>
      <c r="L38" s="121">
        <v>48</v>
      </c>
      <c r="M38" s="121"/>
      <c r="N38" s="121">
        <v>21</v>
      </c>
      <c r="O38" s="121"/>
      <c r="P38" s="121">
        <v>110</v>
      </c>
      <c r="Q38" s="122"/>
      <c r="R38" s="97">
        <f t="shared" si="8"/>
        <v>179</v>
      </c>
      <c r="S38" s="125">
        <f t="shared" si="8"/>
        <v>0</v>
      </c>
      <c r="T38" s="51"/>
      <c r="U38" s="131">
        <f>L38*6+N38*6+P38*6</f>
        <v>1074</v>
      </c>
      <c r="V38" s="135">
        <f>U38/6</f>
        <v>179</v>
      </c>
      <c r="W38" s="133">
        <f>I38*6+J38</f>
        <v>20071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260</v>
      </c>
      <c r="D41" s="147">
        <v>20</v>
      </c>
      <c r="E41" s="148"/>
      <c r="F41" s="148"/>
      <c r="G41" s="149">
        <v>3</v>
      </c>
      <c r="H41" s="150"/>
      <c r="I41" s="80">
        <f t="shared" si="4"/>
        <v>257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405</v>
      </c>
      <c r="D42" s="164"/>
      <c r="E42" s="165"/>
      <c r="F42" s="165"/>
      <c r="G42" s="166">
        <v>77</v>
      </c>
      <c r="H42" s="167"/>
      <c r="I42" s="181">
        <f t="shared" si="4"/>
        <v>328</v>
      </c>
      <c r="J42" s="168">
        <f t="shared" si="7"/>
        <v>0</v>
      </c>
      <c r="K42" s="169"/>
      <c r="L42" s="165">
        <v>27</v>
      </c>
      <c r="M42" s="165"/>
      <c r="N42" s="165">
        <v>6</v>
      </c>
      <c r="O42" s="165"/>
      <c r="P42" s="165">
        <v>44</v>
      </c>
      <c r="Q42" s="170"/>
      <c r="R42" s="171">
        <f t="shared" si="8"/>
        <v>77</v>
      </c>
      <c r="S42" s="172">
        <f t="shared" si="8"/>
        <v>0</v>
      </c>
      <c r="T42" s="169"/>
      <c r="U42" s="173">
        <f>L42*12+N42*12+P42*12</f>
        <v>924</v>
      </c>
      <c r="V42" s="174">
        <f>U42/12</f>
        <v>77</v>
      </c>
      <c r="W42" s="175">
        <f>I42*12+J42</f>
        <v>3936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39867</v>
      </c>
      <c r="D44" s="114">
        <v>2</v>
      </c>
      <c r="E44" s="115"/>
      <c r="F44" s="115"/>
      <c r="G44" s="78">
        <v>1239</v>
      </c>
      <c r="H44" s="79"/>
      <c r="I44" s="182">
        <f t="shared" si="4"/>
        <v>38628</v>
      </c>
      <c r="J44" s="177">
        <f t="shared" si="7"/>
        <v>2</v>
      </c>
      <c r="K44" s="51"/>
      <c r="L44" s="121">
        <v>703</v>
      </c>
      <c r="M44" s="121"/>
      <c r="N44" s="121">
        <v>71</v>
      </c>
      <c r="O44" s="121"/>
      <c r="P44" s="121">
        <v>465</v>
      </c>
      <c r="Q44" s="122"/>
      <c r="R44" s="178">
        <f t="shared" si="8"/>
        <v>1239</v>
      </c>
      <c r="S44" s="179">
        <f t="shared" si="8"/>
        <v>0</v>
      </c>
      <c r="T44" s="51"/>
      <c r="U44" s="131">
        <f>L44*6+N44*6+P44*6</f>
        <v>7434</v>
      </c>
      <c r="V44" s="130">
        <f>U44/6</f>
        <v>1239</v>
      </c>
      <c r="W44" s="133">
        <f>I44*6+J44</f>
        <v>231770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>
        <v>13</v>
      </c>
      <c r="H48" s="139"/>
      <c r="I48" s="80">
        <f t="shared" si="4"/>
        <v>2667</v>
      </c>
      <c r="J48" s="140">
        <f t="shared" si="7"/>
        <v>3</v>
      </c>
      <c r="K48" s="51"/>
      <c r="L48" s="121">
        <v>13</v>
      </c>
      <c r="M48" s="121"/>
      <c r="N48" s="121"/>
      <c r="O48" s="121"/>
      <c r="P48" s="121"/>
      <c r="Q48" s="122"/>
      <c r="R48" s="97">
        <f t="shared" si="8"/>
        <v>13</v>
      </c>
      <c r="S48" s="144">
        <f t="shared" si="8"/>
        <v>0</v>
      </c>
      <c r="T48" s="51"/>
      <c r="U48" s="131">
        <f>L48*6+N48*6+P48*6</f>
        <v>78</v>
      </c>
      <c r="V48" s="135">
        <f>U48/6</f>
        <v>13</v>
      </c>
      <c r="W48" s="133">
        <f>I48*6+J48</f>
        <v>16005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50644</v>
      </c>
      <c r="D60" s="54">
        <f>SUM(D8:D59)</f>
        <v>146</v>
      </c>
      <c r="E60" s="44">
        <f>SUM(E8:E59)</f>
        <v>0</v>
      </c>
      <c r="F60" s="44"/>
      <c r="G60" s="28">
        <f>SUM(G8:G59)</f>
        <v>1615</v>
      </c>
      <c r="H60" s="56">
        <f>SUM(H8:H59)</f>
        <v>16</v>
      </c>
      <c r="I60" s="56">
        <f>SUM(I8:I59)</f>
        <v>49029</v>
      </c>
      <c r="J60" s="45">
        <f>SUM(J8:J59)</f>
        <v>130</v>
      </c>
      <c r="K60" s="46"/>
      <c r="L60" s="74">
        <f t="shared" ref="L60:S60" si="21">SUM(L8:L59)</f>
        <v>865</v>
      </c>
      <c r="M60" s="74">
        <f t="shared" si="21"/>
        <v>10</v>
      </c>
      <c r="N60" s="74">
        <f t="shared" si="21"/>
        <v>105</v>
      </c>
      <c r="O60" s="74">
        <f t="shared" si="21"/>
        <v>6</v>
      </c>
      <c r="P60" s="74">
        <f t="shared" si="21"/>
        <v>645</v>
      </c>
      <c r="Q60" s="75">
        <f t="shared" si="21"/>
        <v>0</v>
      </c>
      <c r="R60" s="85">
        <f t="shared" si="21"/>
        <v>1615</v>
      </c>
      <c r="S60" s="84">
        <f t="shared" si="21"/>
        <v>16</v>
      </c>
      <c r="T60" s="46"/>
      <c r="U60" s="43">
        <f>SUM(U8:U59)</f>
        <v>12078</v>
      </c>
      <c r="V60" s="102">
        <f>SUM(V8:V59)</f>
        <v>1615</v>
      </c>
      <c r="W60" s="180">
        <f>SUM(W8:W59)</f>
        <v>368758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341DE-51CB-42AF-8C4E-42C8FBC086FD}">
  <sheetPr>
    <pageSetUpPr fitToPage="1"/>
  </sheetPr>
  <dimension ref="A1:BH90"/>
  <sheetViews>
    <sheetView topLeftCell="A32" zoomScale="73" zoomScaleNormal="73" zoomScaleSheetLayoutView="85" zoomScalePageLayoutView="80" workbookViewId="0">
      <selection activeCell="AG59" sqref="AG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0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>
        <v>1</v>
      </c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76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>
        <v>5</v>
      </c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71</v>
      </c>
      <c r="D10" s="111"/>
      <c r="E10" s="112"/>
      <c r="F10" s="112"/>
      <c r="G10" s="76">
        <v>15</v>
      </c>
      <c r="H10" s="73"/>
      <c r="I10" s="93">
        <f t="shared" si="4"/>
        <v>56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5</v>
      </c>
      <c r="H11" s="73"/>
      <c r="I11" s="73">
        <f t="shared" si="4"/>
        <v>15</v>
      </c>
      <c r="J11" s="77">
        <f t="shared" si="0"/>
        <v>0</v>
      </c>
      <c r="K11" s="41"/>
      <c r="L11" s="112"/>
      <c r="M11" s="112"/>
      <c r="N11" s="112"/>
      <c r="O11" s="112"/>
      <c r="P11" s="112">
        <v>5</v>
      </c>
      <c r="Q11" s="120"/>
      <c r="R11" s="86">
        <f t="shared" si="1"/>
        <v>5</v>
      </c>
      <c r="S11" s="124">
        <f t="shared" si="1"/>
        <v>0</v>
      </c>
      <c r="T11" s="41"/>
      <c r="U11" s="107">
        <f>L11*24+N11*24+P11*24</f>
        <v>120</v>
      </c>
      <c r="V11" s="130">
        <f>U11/24</f>
        <v>5</v>
      </c>
      <c r="W11" s="129">
        <f t="shared" si="2"/>
        <v>360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3159</v>
      </c>
      <c r="D13" s="114">
        <v>22</v>
      </c>
      <c r="E13" s="115"/>
      <c r="F13" s="115"/>
      <c r="G13" s="78">
        <v>11</v>
      </c>
      <c r="H13" s="79"/>
      <c r="I13" s="80">
        <f t="shared" si="4"/>
        <v>3148</v>
      </c>
      <c r="J13" s="94">
        <f>D13-H13</f>
        <v>22</v>
      </c>
      <c r="K13" s="53"/>
      <c r="L13" s="121"/>
      <c r="M13" s="121"/>
      <c r="N13" s="121">
        <v>11</v>
      </c>
      <c r="O13" s="121"/>
      <c r="P13" s="121"/>
      <c r="Q13" s="122"/>
      <c r="R13" s="97">
        <f>L13+N13+P13</f>
        <v>11</v>
      </c>
      <c r="S13" s="125">
        <f>M13+O13+Q13</f>
        <v>0</v>
      </c>
      <c r="T13" s="53"/>
      <c r="U13" s="131">
        <f>L13*24+N13*24+P13*24</f>
        <v>264</v>
      </c>
      <c r="V13" s="135">
        <f t="shared" si="6"/>
        <v>11</v>
      </c>
      <c r="W13" s="133">
        <f>I13*24+J13</f>
        <v>75574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162</v>
      </c>
      <c r="D26" s="111">
        <v>1</v>
      </c>
      <c r="E26" s="112"/>
      <c r="F26" s="112"/>
      <c r="G26" s="76">
        <v>10</v>
      </c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8"/>
        <v>10</v>
      </c>
      <c r="S26" s="124">
        <f t="shared" si="8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1</v>
      </c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>
        <v>1</v>
      </c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8</v>
      </c>
      <c r="D30" s="111">
        <v>5</v>
      </c>
      <c r="E30" s="112"/>
      <c r="F30" s="112"/>
      <c r="G30" s="76">
        <v>8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8</v>
      </c>
      <c r="Q30" s="120"/>
      <c r="R30" s="86">
        <f t="shared" si="8"/>
        <v>8</v>
      </c>
      <c r="S30" s="124">
        <f t="shared" si="8"/>
        <v>0</v>
      </c>
      <c r="T30" s="41"/>
      <c r="U30" s="107">
        <f t="shared" si="5"/>
        <v>192</v>
      </c>
      <c r="V30" s="130">
        <f t="shared" si="6"/>
        <v>8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2</v>
      </c>
      <c r="H31" s="73"/>
      <c r="I31" s="73">
        <f t="shared" si="4"/>
        <v>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48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168</v>
      </c>
      <c r="D35" s="111">
        <v>2</v>
      </c>
      <c r="E35" s="112"/>
      <c r="F35" s="112"/>
      <c r="G35" s="76">
        <v>25</v>
      </c>
      <c r="H35" s="73"/>
      <c r="I35" s="73">
        <f t="shared" si="4"/>
        <v>143</v>
      </c>
      <c r="J35" s="77">
        <f t="shared" si="7"/>
        <v>2</v>
      </c>
      <c r="K35" s="41"/>
      <c r="L35" s="112"/>
      <c r="M35" s="112"/>
      <c r="N35" s="112">
        <v>5</v>
      </c>
      <c r="O35" s="112"/>
      <c r="P35" s="112">
        <v>20</v>
      </c>
      <c r="Q35" s="120"/>
      <c r="R35" s="86">
        <f t="shared" si="8"/>
        <v>25</v>
      </c>
      <c r="S35" s="124">
        <f t="shared" si="8"/>
        <v>0</v>
      </c>
      <c r="T35" s="41"/>
      <c r="U35" s="107">
        <f t="shared" si="5"/>
        <v>600</v>
      </c>
      <c r="V35" s="130">
        <f t="shared" si="6"/>
        <v>25</v>
      </c>
      <c r="W35" s="129">
        <f t="shared" si="9"/>
        <v>3434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3345</v>
      </c>
      <c r="D38" s="114">
        <v>1</v>
      </c>
      <c r="E38" s="115"/>
      <c r="F38" s="115"/>
      <c r="G38" s="78">
        <v>101</v>
      </c>
      <c r="H38" s="79"/>
      <c r="I38" s="80">
        <f t="shared" si="4"/>
        <v>3244</v>
      </c>
      <c r="J38" s="140">
        <f t="shared" si="7"/>
        <v>1</v>
      </c>
      <c r="K38" s="51"/>
      <c r="L38" s="121"/>
      <c r="M38" s="121"/>
      <c r="N38" s="121">
        <v>51</v>
      </c>
      <c r="O38" s="121"/>
      <c r="P38" s="121">
        <v>50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19465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257</v>
      </c>
      <c r="D41" s="147">
        <v>20</v>
      </c>
      <c r="E41" s="148"/>
      <c r="F41" s="148"/>
      <c r="G41" s="149">
        <v>16</v>
      </c>
      <c r="H41" s="150"/>
      <c r="I41" s="80">
        <f t="shared" si="4"/>
        <v>241</v>
      </c>
      <c r="J41" s="152">
        <f t="shared" si="7"/>
        <v>20</v>
      </c>
      <c r="K41" s="153"/>
      <c r="L41" s="154"/>
      <c r="M41" s="154"/>
      <c r="N41" s="154">
        <v>1</v>
      </c>
      <c r="O41" s="154"/>
      <c r="P41" s="154">
        <v>15</v>
      </c>
      <c r="Q41" s="155"/>
      <c r="R41" s="156">
        <f t="shared" si="8"/>
        <v>16</v>
      </c>
      <c r="S41" s="157">
        <f t="shared" si="8"/>
        <v>0</v>
      </c>
      <c r="T41" s="153"/>
      <c r="U41" s="158">
        <f t="shared" si="10"/>
        <v>384</v>
      </c>
      <c r="V41" s="159">
        <f t="shared" si="6"/>
        <v>16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328</v>
      </c>
      <c r="D42" s="164"/>
      <c r="E42" s="165"/>
      <c r="F42" s="165"/>
      <c r="G42" s="166">
        <v>35</v>
      </c>
      <c r="H42" s="167"/>
      <c r="I42" s="181">
        <f t="shared" si="4"/>
        <v>293</v>
      </c>
      <c r="J42" s="168">
        <f t="shared" si="7"/>
        <v>0</v>
      </c>
      <c r="K42" s="169"/>
      <c r="L42" s="165"/>
      <c r="M42" s="165"/>
      <c r="N42" s="165"/>
      <c r="O42" s="165"/>
      <c r="P42" s="165">
        <v>35</v>
      </c>
      <c r="Q42" s="170"/>
      <c r="R42" s="171">
        <f t="shared" si="8"/>
        <v>35</v>
      </c>
      <c r="S42" s="172">
        <f t="shared" si="8"/>
        <v>0</v>
      </c>
      <c r="T42" s="169"/>
      <c r="U42" s="173">
        <f>L42*12+N42*12+P42*12</f>
        <v>420</v>
      </c>
      <c r="V42" s="174">
        <f>U42/12</f>
        <v>35</v>
      </c>
      <c r="W42" s="175">
        <f>I42*12+J42</f>
        <v>3516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38628</v>
      </c>
      <c r="D44" s="114">
        <v>2</v>
      </c>
      <c r="E44" s="115"/>
      <c r="F44" s="115"/>
      <c r="G44" s="78">
        <v>758</v>
      </c>
      <c r="H44" s="79"/>
      <c r="I44" s="182">
        <f t="shared" si="4"/>
        <v>37870</v>
      </c>
      <c r="J44" s="177">
        <f t="shared" si="7"/>
        <v>2</v>
      </c>
      <c r="K44" s="51"/>
      <c r="L44" s="121"/>
      <c r="M44" s="121"/>
      <c r="N44" s="121">
        <v>405</v>
      </c>
      <c r="O44" s="121"/>
      <c r="P44" s="121">
        <v>353</v>
      </c>
      <c r="Q44" s="122"/>
      <c r="R44" s="178">
        <f t="shared" si="8"/>
        <v>758</v>
      </c>
      <c r="S44" s="179">
        <f t="shared" si="8"/>
        <v>0</v>
      </c>
      <c r="T44" s="51"/>
      <c r="U44" s="131">
        <f>L44*6+N44*6+P44*6</f>
        <v>4548</v>
      </c>
      <c r="V44" s="130">
        <f>U44/6</f>
        <v>758</v>
      </c>
      <c r="W44" s="133">
        <f>I44*6+J44</f>
        <v>227222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2667</v>
      </c>
      <c r="D48" s="142">
        <v>3</v>
      </c>
      <c r="E48" s="121"/>
      <c r="F48" s="121"/>
      <c r="G48" s="143">
        <v>15</v>
      </c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>
        <v>15</v>
      </c>
      <c r="Q48" s="122"/>
      <c r="R48" s="97">
        <f t="shared" si="8"/>
        <v>15</v>
      </c>
      <c r="S48" s="144">
        <f t="shared" si="8"/>
        <v>0</v>
      </c>
      <c r="T48" s="51"/>
      <c r="U48" s="131">
        <f>L48*6+N48*6+P48*6</f>
        <v>90</v>
      </c>
      <c r="V48" s="135">
        <f>U48/6</f>
        <v>15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49028</v>
      </c>
      <c r="D60" s="54">
        <f>SUM(D8:D59)</f>
        <v>154</v>
      </c>
      <c r="E60" s="44">
        <f>SUM(E8:E59)</f>
        <v>0</v>
      </c>
      <c r="F60" s="44"/>
      <c r="G60" s="28">
        <f>SUM(G8:G59)</f>
        <v>1008</v>
      </c>
      <c r="H60" s="56">
        <f>SUM(H8:H59)</f>
        <v>0</v>
      </c>
      <c r="I60" s="56">
        <f>SUM(I8:I59)</f>
        <v>48020</v>
      </c>
      <c r="J60" s="45">
        <f>SUM(J8:J59)</f>
        <v>154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473</v>
      </c>
      <c r="O60" s="74">
        <f t="shared" si="21"/>
        <v>0</v>
      </c>
      <c r="P60" s="74">
        <f t="shared" si="21"/>
        <v>533</v>
      </c>
      <c r="Q60" s="75">
        <f t="shared" si="21"/>
        <v>0</v>
      </c>
      <c r="R60" s="85">
        <f t="shared" si="21"/>
        <v>1006</v>
      </c>
      <c r="S60" s="84">
        <f t="shared" si="21"/>
        <v>0</v>
      </c>
      <c r="T60" s="46"/>
      <c r="U60" s="43">
        <f>SUM(U8:U59)</f>
        <v>7992</v>
      </c>
      <c r="V60" s="102">
        <f>SUM(V8:V59)</f>
        <v>1006</v>
      </c>
      <c r="W60" s="180">
        <f>SUM(W8:W59)</f>
        <v>360718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A27D-1F85-4CEC-9921-09A8F107B9CE}">
  <sheetPr>
    <pageSetUpPr fitToPage="1"/>
  </sheetPr>
  <dimension ref="A1:BH90"/>
  <sheetViews>
    <sheetView tabSelected="1" zoomScale="73" zoomScaleNormal="73" zoomScaleSheetLayoutView="85" zoomScalePageLayoutView="80" workbookViewId="0">
      <selection activeCell="W9" sqref="W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3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/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56</v>
      </c>
      <c r="D10" s="111"/>
      <c r="E10" s="112"/>
      <c r="F10" s="112"/>
      <c r="G10" s="76">
        <v>1</v>
      </c>
      <c r="H10" s="73"/>
      <c r="I10" s="93">
        <f t="shared" si="4"/>
        <v>55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1320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15</v>
      </c>
      <c r="D11" s="111"/>
      <c r="E11" s="112"/>
      <c r="F11" s="112"/>
      <c r="G11" s="76">
        <v>1</v>
      </c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3148</v>
      </c>
      <c r="D13" s="114">
        <v>22</v>
      </c>
      <c r="E13" s="115"/>
      <c r="F13" s="115"/>
      <c r="G13" s="78">
        <v>58</v>
      </c>
      <c r="H13" s="79">
        <v>30</v>
      </c>
      <c r="I13" s="80">
        <v>3089</v>
      </c>
      <c r="J13" s="94">
        <v>16</v>
      </c>
      <c r="K13" s="53"/>
      <c r="L13" s="121">
        <v>33</v>
      </c>
      <c r="M13" s="121"/>
      <c r="N13" s="121">
        <v>10</v>
      </c>
      <c r="O13" s="121">
        <v>19</v>
      </c>
      <c r="P13" s="121">
        <v>15</v>
      </c>
      <c r="Q13" s="122">
        <v>11</v>
      </c>
      <c r="R13" s="97">
        <f>L13+N13+P13</f>
        <v>58</v>
      </c>
      <c r="S13" s="125">
        <f>M13+O13+Q13</f>
        <v>30</v>
      </c>
      <c r="T13" s="53"/>
      <c r="U13" s="131">
        <f>L13*24+N13*24+P13*24</f>
        <v>1392</v>
      </c>
      <c r="V13" s="135">
        <f t="shared" si="6"/>
        <v>58</v>
      </c>
      <c r="W13" s="133">
        <f>I13*24+J13</f>
        <v>74152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/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>
        <v>316</v>
      </c>
      <c r="F29" s="112"/>
      <c r="G29" s="76"/>
      <c r="H29" s="73"/>
      <c r="I29" s="73">
        <f t="shared" si="4"/>
        <v>316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7584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</v>
      </c>
      <c r="D31" s="111"/>
      <c r="E31" s="112"/>
      <c r="F31" s="112"/>
      <c r="G31" s="76">
        <v>1</v>
      </c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143</v>
      </c>
      <c r="D35" s="111">
        <v>2</v>
      </c>
      <c r="E35" s="112"/>
      <c r="F35" s="112"/>
      <c r="G35" s="76">
        <v>3</v>
      </c>
      <c r="H35" s="73"/>
      <c r="I35" s="73">
        <f t="shared" si="4"/>
        <v>140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3244</v>
      </c>
      <c r="D38" s="114">
        <v>1</v>
      </c>
      <c r="E38" s="115"/>
      <c r="F38" s="115"/>
      <c r="G38" s="78">
        <v>151</v>
      </c>
      <c r="H38" s="79"/>
      <c r="I38" s="80">
        <f t="shared" si="4"/>
        <v>3093</v>
      </c>
      <c r="J38" s="140">
        <f t="shared" si="7"/>
        <v>1</v>
      </c>
      <c r="K38" s="51"/>
      <c r="L38" s="121">
        <v>29</v>
      </c>
      <c r="M38" s="121"/>
      <c r="N38" s="121">
        <v>15</v>
      </c>
      <c r="O38" s="121"/>
      <c r="P38" s="121">
        <v>17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18559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244</v>
      </c>
      <c r="D41" s="147">
        <v>20</v>
      </c>
      <c r="E41" s="148"/>
      <c r="F41" s="148"/>
      <c r="G41" s="149"/>
      <c r="H41" s="150"/>
      <c r="I41" s="80">
        <v>241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293</v>
      </c>
      <c r="D42" s="164"/>
      <c r="E42" s="165"/>
      <c r="F42" s="165"/>
      <c r="G42" s="166">
        <v>36</v>
      </c>
      <c r="H42" s="167"/>
      <c r="I42" s="181">
        <f t="shared" si="4"/>
        <v>257</v>
      </c>
      <c r="J42" s="168">
        <f t="shared" si="7"/>
        <v>0</v>
      </c>
      <c r="K42" s="169"/>
      <c r="L42" s="165">
        <v>21</v>
      </c>
      <c r="M42" s="165"/>
      <c r="N42" s="165"/>
      <c r="O42" s="165"/>
      <c r="P42" s="165">
        <v>15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3084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37870</v>
      </c>
      <c r="D44" s="114">
        <v>2</v>
      </c>
      <c r="E44" s="115">
        <v>3132</v>
      </c>
      <c r="F44" s="115">
        <v>25</v>
      </c>
      <c r="G44" s="78">
        <v>1834</v>
      </c>
      <c r="H44" s="79"/>
      <c r="I44" s="182">
        <v>39193</v>
      </c>
      <c r="J44" s="177">
        <f t="shared" si="7"/>
        <v>2</v>
      </c>
      <c r="K44" s="51"/>
      <c r="L44" s="121">
        <v>906</v>
      </c>
      <c r="M44" s="121"/>
      <c r="N44" s="121">
        <v>370</v>
      </c>
      <c r="O44" s="121"/>
      <c r="P44" s="121">
        <v>557</v>
      </c>
      <c r="Q44" s="122"/>
      <c r="R44" s="178">
        <v>1834</v>
      </c>
      <c r="S44" s="179">
        <f t="shared" si="8"/>
        <v>0</v>
      </c>
      <c r="T44" s="51"/>
      <c r="U44" s="131">
        <f>L44*6+N44*6+P44*6</f>
        <v>10998</v>
      </c>
      <c r="V44" s="130">
        <f>U44/6</f>
        <v>1833</v>
      </c>
      <c r="W44" s="133">
        <f>I44*6+J44</f>
        <v>235160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>
        <v>1</v>
      </c>
      <c r="H49" s="73"/>
      <c r="I49" s="93">
        <f t="shared" si="4"/>
        <v>-1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-24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48022</v>
      </c>
      <c r="D60" s="54">
        <f>SUM(D8:D59)</f>
        <v>154</v>
      </c>
      <c r="E60" s="44">
        <f>SUM(E8:E59)</f>
        <v>3448</v>
      </c>
      <c r="F60" s="44"/>
      <c r="G60" s="28">
        <f>SUM(G8:G59)</f>
        <v>2086</v>
      </c>
      <c r="H60" s="56">
        <f>SUM(H8:H59)</f>
        <v>30</v>
      </c>
      <c r="I60" s="56">
        <f>SUM(I8:I59)</f>
        <v>49405</v>
      </c>
      <c r="J60" s="45">
        <f>SUM(J8:J59)</f>
        <v>148</v>
      </c>
      <c r="K60" s="46"/>
      <c r="L60" s="74">
        <f t="shared" ref="L60:S60" si="21">SUM(L8:L59)</f>
        <v>989</v>
      </c>
      <c r="M60" s="74">
        <f t="shared" si="21"/>
        <v>0</v>
      </c>
      <c r="N60" s="74">
        <f t="shared" si="21"/>
        <v>397</v>
      </c>
      <c r="O60" s="74">
        <f t="shared" si="21"/>
        <v>19</v>
      </c>
      <c r="P60" s="74">
        <f t="shared" si="21"/>
        <v>605</v>
      </c>
      <c r="Q60" s="75">
        <f t="shared" si="21"/>
        <v>11</v>
      </c>
      <c r="R60" s="85">
        <f t="shared" si="21"/>
        <v>2082</v>
      </c>
      <c r="S60" s="84">
        <f t="shared" si="21"/>
        <v>30</v>
      </c>
      <c r="T60" s="46"/>
      <c r="U60" s="43">
        <f>SUM(U8:U59)</f>
        <v>13800</v>
      </c>
      <c r="V60" s="102">
        <f>SUM(V8:V59)</f>
        <v>2081</v>
      </c>
      <c r="W60" s="180">
        <f>SUM(W8:W59)</f>
        <v>373288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C5D-10F0-4CD2-871C-B4E4474C4CAA}">
  <sheetPr>
    <pageSetUpPr fitToPage="1"/>
  </sheetPr>
  <dimension ref="A1:BH90"/>
  <sheetViews>
    <sheetView zoomScale="73" zoomScaleNormal="73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46259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>
        <v>2</v>
      </c>
      <c r="H9" s="79"/>
      <c r="I9" s="80">
        <f t="shared" ref="I9:I59" si="4">C9+E9-G9</f>
        <v>69</v>
      </c>
      <c r="J9" s="94">
        <f t="shared" si="0"/>
        <v>12</v>
      </c>
      <c r="K9" s="51"/>
      <c r="L9" s="121"/>
      <c r="M9" s="121"/>
      <c r="N9" s="121"/>
      <c r="O9" s="121"/>
      <c r="P9" s="121">
        <v>2</v>
      </c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1668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55</v>
      </c>
      <c r="D10" s="111"/>
      <c r="E10" s="112"/>
      <c r="F10" s="112"/>
      <c r="G10" s="76">
        <v>1</v>
      </c>
      <c r="H10" s="73"/>
      <c r="I10" s="93">
        <f t="shared" si="4"/>
        <v>54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1296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>
        <v>1</v>
      </c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3089</v>
      </c>
      <c r="D13" s="114">
        <v>16</v>
      </c>
      <c r="E13" s="115"/>
      <c r="F13" s="115"/>
      <c r="G13" s="78">
        <v>80</v>
      </c>
      <c r="H13" s="79">
        <v>16</v>
      </c>
      <c r="I13" s="80">
        <f>C13+E13-G13</f>
        <v>3009</v>
      </c>
      <c r="J13" s="94">
        <f>D13-E13</f>
        <v>16</v>
      </c>
      <c r="K13" s="53"/>
      <c r="L13" s="121">
        <v>30</v>
      </c>
      <c r="M13" s="121"/>
      <c r="N13" s="121">
        <v>25</v>
      </c>
      <c r="O13" s="121">
        <v>10</v>
      </c>
      <c r="P13" s="121">
        <v>25</v>
      </c>
      <c r="Q13" s="122">
        <v>6</v>
      </c>
      <c r="R13" s="97">
        <f>L13+N13+P13</f>
        <v>80</v>
      </c>
      <c r="S13" s="125">
        <f>M13+O13+Q13</f>
        <v>16</v>
      </c>
      <c r="T13" s="53"/>
      <c r="U13" s="131">
        <f>L13*24+N13*24+P13*24</f>
        <v>1920</v>
      </c>
      <c r="V13" s="135">
        <f t="shared" si="6"/>
        <v>80</v>
      </c>
      <c r="W13" s="133">
        <v>72216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16</v>
      </c>
      <c r="H26" s="73"/>
      <c r="I26" s="73">
        <f t="shared" si="4"/>
        <v>136</v>
      </c>
      <c r="J26" s="77">
        <f t="shared" si="7"/>
        <v>1</v>
      </c>
      <c r="K26" s="41"/>
      <c r="L26" s="112"/>
      <c r="M26" s="112"/>
      <c r="N26" s="112"/>
      <c r="O26" s="112"/>
      <c r="P26" s="112">
        <v>16</v>
      </c>
      <c r="Q26" s="120"/>
      <c r="R26" s="86">
        <f t="shared" si="8"/>
        <v>16</v>
      </c>
      <c r="S26" s="124">
        <f t="shared" si="8"/>
        <v>0</v>
      </c>
      <c r="T26" s="41"/>
      <c r="U26" s="107">
        <f t="shared" si="5"/>
        <v>384</v>
      </c>
      <c r="V26" s="130">
        <f t="shared" si="6"/>
        <v>16</v>
      </c>
      <c r="W26" s="129">
        <f t="shared" si="9"/>
        <v>3265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316</v>
      </c>
      <c r="D29" s="111"/>
      <c r="E29" s="112"/>
      <c r="F29" s="112"/>
      <c r="G29" s="76">
        <v>17</v>
      </c>
      <c r="H29" s="73"/>
      <c r="I29" s="73">
        <f t="shared" si="4"/>
        <v>299</v>
      </c>
      <c r="J29" s="77">
        <f t="shared" si="7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8"/>
        <v>17</v>
      </c>
      <c r="S29" s="124">
        <f t="shared" si="8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9"/>
        <v>7176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140</v>
      </c>
      <c r="D35" s="111">
        <v>2</v>
      </c>
      <c r="E35" s="112"/>
      <c r="F35" s="112"/>
      <c r="G35" s="76">
        <v>8</v>
      </c>
      <c r="H35" s="73"/>
      <c r="I35" s="73">
        <f t="shared" si="4"/>
        <v>132</v>
      </c>
      <c r="J35" s="77">
        <f t="shared" si="7"/>
        <v>2</v>
      </c>
      <c r="K35" s="41"/>
      <c r="L35" s="112"/>
      <c r="M35" s="112"/>
      <c r="N35" s="112"/>
      <c r="O35" s="112"/>
      <c r="P35" s="112">
        <v>8</v>
      </c>
      <c r="Q35" s="120"/>
      <c r="R35" s="86">
        <f t="shared" si="8"/>
        <v>8</v>
      </c>
      <c r="S35" s="124">
        <f t="shared" si="8"/>
        <v>0</v>
      </c>
      <c r="T35" s="41"/>
      <c r="U35" s="107">
        <f t="shared" si="5"/>
        <v>192</v>
      </c>
      <c r="V35" s="130">
        <f t="shared" si="6"/>
        <v>8</v>
      </c>
      <c r="W35" s="129">
        <f t="shared" si="9"/>
        <v>3170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3093</v>
      </c>
      <c r="D38" s="114">
        <v>1</v>
      </c>
      <c r="E38" s="115"/>
      <c r="F38" s="115"/>
      <c r="G38" s="78">
        <v>194</v>
      </c>
      <c r="H38" s="79"/>
      <c r="I38" s="80">
        <f t="shared" si="4"/>
        <v>2899</v>
      </c>
      <c r="J38" s="140">
        <f t="shared" si="7"/>
        <v>1</v>
      </c>
      <c r="K38" s="51"/>
      <c r="L38" s="121">
        <v>21</v>
      </c>
      <c r="M38" s="121"/>
      <c r="N38" s="121">
        <v>136</v>
      </c>
      <c r="O38" s="121"/>
      <c r="P38" s="121">
        <v>37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17395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241</v>
      </c>
      <c r="D41" s="147">
        <v>20</v>
      </c>
      <c r="E41" s="148">
        <v>64</v>
      </c>
      <c r="F41" s="148"/>
      <c r="G41" s="149"/>
      <c r="H41" s="150"/>
      <c r="I41" s="80">
        <f>C41+E41-G41</f>
        <v>305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257</v>
      </c>
      <c r="D42" s="164"/>
      <c r="E42" s="165">
        <v>576</v>
      </c>
      <c r="F42" s="165"/>
      <c r="G42" s="166">
        <v>6</v>
      </c>
      <c r="H42" s="167"/>
      <c r="I42" s="181">
        <f t="shared" si="4"/>
        <v>827</v>
      </c>
      <c r="J42" s="168">
        <f t="shared" si="7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9924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39193</v>
      </c>
      <c r="D44" s="114">
        <v>2</v>
      </c>
      <c r="E44" s="115">
        <v>2916</v>
      </c>
      <c r="F44" s="115"/>
      <c r="G44" s="78">
        <v>2292</v>
      </c>
      <c r="H44" s="79"/>
      <c r="I44" s="182">
        <v>39817</v>
      </c>
      <c r="J44" s="177">
        <f t="shared" si="7"/>
        <v>2</v>
      </c>
      <c r="K44" s="51"/>
      <c r="L44" s="121">
        <v>993</v>
      </c>
      <c r="M44" s="121"/>
      <c r="N44" s="121">
        <v>544</v>
      </c>
      <c r="O44" s="121"/>
      <c r="P44" s="121">
        <v>755</v>
      </c>
      <c r="Q44" s="122"/>
      <c r="R44" s="178">
        <f>L44+N44+P44</f>
        <v>2292</v>
      </c>
      <c r="S44" s="179">
        <f t="shared" si="8"/>
        <v>0</v>
      </c>
      <c r="T44" s="51"/>
      <c r="U44" s="131">
        <f>L44*6+N44*6+P44*6</f>
        <v>13752</v>
      </c>
      <c r="V44" s="130">
        <f>U44/6</f>
        <v>2292</v>
      </c>
      <c r="W44" s="133">
        <f>I44*6+J44</f>
        <v>238904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49407</v>
      </c>
      <c r="D60" s="54">
        <f>SUM(D8:D59)</f>
        <v>148</v>
      </c>
      <c r="E60" s="44">
        <f>SUM(E8:E59)</f>
        <v>3571</v>
      </c>
      <c r="F60" s="44"/>
      <c r="G60" s="28">
        <f>SUM(G8:G59)</f>
        <v>2618</v>
      </c>
      <c r="H60" s="56">
        <f>SUM(H8:H59)</f>
        <v>16</v>
      </c>
      <c r="I60" s="56">
        <f>SUM(I8:I59)</f>
        <v>50360</v>
      </c>
      <c r="J60" s="45">
        <f>SUM(J8:J59)</f>
        <v>148</v>
      </c>
      <c r="K60" s="46"/>
      <c r="L60" s="74">
        <f t="shared" ref="L60:S60" si="21">SUM(L8:L59)</f>
        <v>1044</v>
      </c>
      <c r="M60" s="74">
        <f t="shared" si="21"/>
        <v>0</v>
      </c>
      <c r="N60" s="74">
        <f t="shared" si="21"/>
        <v>707</v>
      </c>
      <c r="O60" s="74">
        <f t="shared" si="21"/>
        <v>10</v>
      </c>
      <c r="P60" s="74">
        <f t="shared" si="21"/>
        <v>867</v>
      </c>
      <c r="Q60" s="75">
        <f t="shared" si="21"/>
        <v>6</v>
      </c>
      <c r="R60" s="85">
        <f t="shared" si="21"/>
        <v>2575</v>
      </c>
      <c r="S60" s="84">
        <f t="shared" si="21"/>
        <v>16</v>
      </c>
      <c r="T60" s="46"/>
      <c r="U60" s="43">
        <f>SUM(U8:U59)</f>
        <v>17754</v>
      </c>
      <c r="V60" s="102">
        <f>SUM(V8:V59)</f>
        <v>2575</v>
      </c>
      <c r="W60" s="180">
        <f>SUM(W8:W59)</f>
        <v>381612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2656-4B4C-440D-A8D1-3C0558047BA2}">
  <sheetPr>
    <pageSetUpPr fitToPage="1"/>
  </sheetPr>
  <dimension ref="A1:BH90"/>
  <sheetViews>
    <sheetView topLeftCell="A26" zoomScale="73" zoomScaleNormal="73" zoomScaleSheetLayoutView="85" zoomScalePageLayoutView="80" workbookViewId="0">
      <selection activeCell="AH54" sqref="AH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46260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9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69</v>
      </c>
      <c r="D9" s="114">
        <v>12</v>
      </c>
      <c r="E9" s="115"/>
      <c r="F9" s="115"/>
      <c r="G9" s="78"/>
      <c r="H9" s="79"/>
      <c r="I9" s="80">
        <f t="shared" ref="I9:I59" si="4">C9+E9-G9</f>
        <v>69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1668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54</v>
      </c>
      <c r="D10" s="111"/>
      <c r="E10" s="112"/>
      <c r="F10" s="112"/>
      <c r="G10" s="76">
        <v>1</v>
      </c>
      <c r="H10" s="73"/>
      <c r="I10" s="93">
        <f t="shared" si="4"/>
        <v>53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1272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>
        <v>3</v>
      </c>
      <c r="H11" s="73"/>
      <c r="I11" s="73">
        <f t="shared" si="4"/>
        <v>10</v>
      </c>
      <c r="J11" s="77">
        <f t="shared" si="0"/>
        <v>0</v>
      </c>
      <c r="K11" s="41"/>
      <c r="L11" s="112"/>
      <c r="M11" s="112"/>
      <c r="N11" s="112"/>
      <c r="O11" s="112"/>
      <c r="P11" s="112">
        <v>3</v>
      </c>
      <c r="Q11" s="120"/>
      <c r="R11" s="86">
        <v>1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3009</v>
      </c>
      <c r="D13" s="114"/>
      <c r="E13" s="115"/>
      <c r="F13" s="115"/>
      <c r="G13" s="78">
        <v>35</v>
      </c>
      <c r="H13" s="79">
        <v>25</v>
      </c>
      <c r="I13" s="80">
        <v>2972</v>
      </c>
      <c r="J13" s="94">
        <f>D13-E13</f>
        <v>0</v>
      </c>
      <c r="K13" s="53"/>
      <c r="L13" s="121">
        <v>11</v>
      </c>
      <c r="M13" s="121">
        <v>8</v>
      </c>
      <c r="N13" s="121">
        <v>6</v>
      </c>
      <c r="O13" s="121">
        <v>13</v>
      </c>
      <c r="P13" s="121">
        <v>18</v>
      </c>
      <c r="Q13" s="122">
        <v>4</v>
      </c>
      <c r="R13" s="97"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v>71351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136</v>
      </c>
      <c r="D26" s="111">
        <v>1</v>
      </c>
      <c r="E26" s="112"/>
      <c r="F26" s="112"/>
      <c r="G26" s="76"/>
      <c r="H26" s="73"/>
      <c r="I26" s="73">
        <f t="shared" si="4"/>
        <v>136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3265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299</v>
      </c>
      <c r="D29" s="111"/>
      <c r="E29" s="112"/>
      <c r="F29" s="112"/>
      <c r="G29" s="76">
        <v>7</v>
      </c>
      <c r="H29" s="73"/>
      <c r="I29" s="73">
        <f t="shared" si="4"/>
        <v>292</v>
      </c>
      <c r="J29" s="77">
        <f t="shared" si="7"/>
        <v>0</v>
      </c>
      <c r="K29" s="42"/>
      <c r="L29" s="112"/>
      <c r="M29" s="112"/>
      <c r="N29" s="112">
        <v>2</v>
      </c>
      <c r="O29" s="112"/>
      <c r="P29" s="112">
        <v>5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7008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2</v>
      </c>
      <c r="E35" s="112"/>
      <c r="F35" s="112"/>
      <c r="G35" s="76">
        <v>4</v>
      </c>
      <c r="H35" s="73"/>
      <c r="I35" s="73">
        <f t="shared" si="4"/>
        <v>128</v>
      </c>
      <c r="J35" s="77">
        <f t="shared" si="7"/>
        <v>2</v>
      </c>
      <c r="K35" s="41"/>
      <c r="L35" s="112"/>
      <c r="M35" s="112"/>
      <c r="N35" s="112"/>
      <c r="O35" s="112"/>
      <c r="P35" s="112">
        <v>4</v>
      </c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3074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2899</v>
      </c>
      <c r="D38" s="114">
        <v>1</v>
      </c>
      <c r="E38" s="115"/>
      <c r="F38" s="115"/>
      <c r="G38" s="78">
        <v>116</v>
      </c>
      <c r="H38" s="79"/>
      <c r="I38" s="80">
        <f t="shared" si="4"/>
        <v>2783</v>
      </c>
      <c r="J38" s="140">
        <f t="shared" si="7"/>
        <v>1</v>
      </c>
      <c r="K38" s="51"/>
      <c r="L38" s="121">
        <v>44</v>
      </c>
      <c r="M38" s="121"/>
      <c r="N38" s="121">
        <v>19</v>
      </c>
      <c r="O38" s="121"/>
      <c r="P38" s="121">
        <v>53</v>
      </c>
      <c r="Q38" s="122"/>
      <c r="R38" s="97">
        <f>L38+N38+P38</f>
        <v>116</v>
      </c>
      <c r="S38" s="125">
        <f t="shared" si="8"/>
        <v>0</v>
      </c>
      <c r="T38" s="51"/>
      <c r="U38" s="131">
        <f>L38*24+N38*24+P38*24</f>
        <v>2784</v>
      </c>
      <c r="V38" s="135">
        <f>U38/6</f>
        <v>464</v>
      </c>
      <c r="W38" s="133">
        <f>I38*6+J38</f>
        <v>16699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305</v>
      </c>
      <c r="D41" s="147">
        <v>20</v>
      </c>
      <c r="E41" s="148"/>
      <c r="F41" s="148"/>
      <c r="G41" s="149">
        <v>3</v>
      </c>
      <c r="H41" s="150"/>
      <c r="I41" s="80">
        <f>C41+E41-G41</f>
        <v>302</v>
      </c>
      <c r="J41" s="152">
        <f t="shared" si="7"/>
        <v>20</v>
      </c>
      <c r="K41" s="153"/>
      <c r="L41" s="154"/>
      <c r="M41" s="154"/>
      <c r="N41" s="154"/>
      <c r="O41" s="154"/>
      <c r="P41" s="154">
        <v>3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7268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827</v>
      </c>
      <c r="D42" s="164"/>
      <c r="E42" s="165"/>
      <c r="F42" s="165"/>
      <c r="G42" s="166">
        <v>22</v>
      </c>
      <c r="H42" s="167"/>
      <c r="I42" s="181">
        <f t="shared" si="4"/>
        <v>805</v>
      </c>
      <c r="J42" s="168">
        <f t="shared" si="7"/>
        <v>0</v>
      </c>
      <c r="K42" s="169"/>
      <c r="L42" s="165">
        <v>4</v>
      </c>
      <c r="M42" s="165"/>
      <c r="N42" s="165">
        <v>7</v>
      </c>
      <c r="O42" s="165"/>
      <c r="P42" s="165">
        <v>11</v>
      </c>
      <c r="Q42" s="170"/>
      <c r="R42" s="171">
        <f t="shared" si="8"/>
        <v>22</v>
      </c>
      <c r="S42" s="172">
        <f t="shared" si="8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9660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39816</v>
      </c>
      <c r="D44" s="114">
        <v>2</v>
      </c>
      <c r="E44" s="115">
        <v>1836</v>
      </c>
      <c r="F44" s="115"/>
      <c r="G44" s="78">
        <v>1441</v>
      </c>
      <c r="H44" s="79"/>
      <c r="I44" s="182">
        <f>C44+E44-G44</f>
        <v>40211</v>
      </c>
      <c r="J44" s="177">
        <f t="shared" si="7"/>
        <v>2</v>
      </c>
      <c r="K44" s="51"/>
      <c r="L44" s="121">
        <v>521</v>
      </c>
      <c r="M44" s="121"/>
      <c r="N44" s="121">
        <v>273</v>
      </c>
      <c r="O44" s="121"/>
      <c r="P44" s="121">
        <v>647</v>
      </c>
      <c r="Q44" s="122"/>
      <c r="R44" s="178">
        <f>L44+N44+P44</f>
        <v>1441</v>
      </c>
      <c r="S44" s="179">
        <f t="shared" si="8"/>
        <v>0</v>
      </c>
      <c r="T44" s="51"/>
      <c r="U44" s="131">
        <f>L44*6+N44*6+P44*6</f>
        <v>8646</v>
      </c>
      <c r="V44" s="130">
        <f>U44/6</f>
        <v>1441</v>
      </c>
      <c r="W44" s="133">
        <f>I44*6+J44</f>
        <v>241268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50359</v>
      </c>
      <c r="D60" s="54">
        <f>SUM(D8:D59)</f>
        <v>132</v>
      </c>
      <c r="E60" s="44">
        <f>SUM(E8:E59)</f>
        <v>1836</v>
      </c>
      <c r="F60" s="44"/>
      <c r="G60" s="28">
        <f>SUM(G8:G59)</f>
        <v>1632</v>
      </c>
      <c r="H60" s="56">
        <f>SUM(H8:H59)</f>
        <v>25</v>
      </c>
      <c r="I60" s="56">
        <f>SUM(I8:I59)</f>
        <v>50561</v>
      </c>
      <c r="J60" s="45">
        <f>SUM(J8:J59)</f>
        <v>132</v>
      </c>
      <c r="K60" s="46"/>
      <c r="L60" s="74">
        <f t="shared" ref="L60:S60" si="21">SUM(L8:L59)</f>
        <v>580</v>
      </c>
      <c r="M60" s="74">
        <f t="shared" si="21"/>
        <v>8</v>
      </c>
      <c r="N60" s="74">
        <f t="shared" si="21"/>
        <v>308</v>
      </c>
      <c r="O60" s="74">
        <f t="shared" si="21"/>
        <v>13</v>
      </c>
      <c r="P60" s="74">
        <f t="shared" si="21"/>
        <v>744</v>
      </c>
      <c r="Q60" s="75">
        <f t="shared" si="21"/>
        <v>4</v>
      </c>
      <c r="R60" s="85">
        <f t="shared" si="21"/>
        <v>1630</v>
      </c>
      <c r="S60" s="84">
        <f t="shared" si="21"/>
        <v>25</v>
      </c>
      <c r="T60" s="46"/>
      <c r="U60" s="43">
        <f>SUM(U8:U59)</f>
        <v>12966</v>
      </c>
      <c r="V60" s="102">
        <f>SUM(V8:V59)</f>
        <v>1980</v>
      </c>
      <c r="W60" s="180">
        <f>SUM(W8:W59)</f>
        <v>381719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319E0-3E4C-4B70-8912-05DD2C5D3A55}">
  <sheetPr>
    <pageSetUpPr fitToPage="1"/>
  </sheetPr>
  <dimension ref="A1:BH90"/>
  <sheetViews>
    <sheetView topLeftCell="A29" zoomScale="84" zoomScaleNormal="84" zoomScaleSheetLayoutView="85" zoomScalePageLayoutView="80" workbookViewId="0">
      <selection activeCell="AB55" sqref="AB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46242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69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68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1644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53</v>
      </c>
      <c r="D10" s="111"/>
      <c r="E10" s="112"/>
      <c r="F10" s="112"/>
      <c r="G10" s="76"/>
      <c r="H10" s="73"/>
      <c r="I10" s="93">
        <f t="shared" si="4"/>
        <v>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1272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</v>
      </c>
      <c r="D11" s="111"/>
      <c r="E11" s="112"/>
      <c r="F11" s="112"/>
      <c r="G11" s="76">
        <v>1</v>
      </c>
      <c r="H11" s="73"/>
      <c r="I11" s="73">
        <f t="shared" si="4"/>
        <v>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216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2972</v>
      </c>
      <c r="D13" s="114">
        <v>23</v>
      </c>
      <c r="E13" s="115"/>
      <c r="F13" s="115"/>
      <c r="G13" s="78">
        <v>32</v>
      </c>
      <c r="H13" s="79">
        <v>24</v>
      </c>
      <c r="I13" s="80">
        <f t="shared" si="4"/>
        <v>2940</v>
      </c>
      <c r="J13" s="94">
        <f>D13-H13</f>
        <v>-1</v>
      </c>
      <c r="K13" s="53"/>
      <c r="L13" s="121">
        <v>6</v>
      </c>
      <c r="M13" s="121">
        <v>15</v>
      </c>
      <c r="N13" s="121">
        <v>10</v>
      </c>
      <c r="O13" s="121">
        <v>6</v>
      </c>
      <c r="P13" s="121">
        <v>16</v>
      </c>
      <c r="Q13" s="122">
        <v>3</v>
      </c>
      <c r="R13" s="97">
        <v>32</v>
      </c>
      <c r="S13" s="125">
        <f>M13+O13+Q13</f>
        <v>24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70559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136</v>
      </c>
      <c r="D26" s="111">
        <v>1</v>
      </c>
      <c r="E26" s="112"/>
      <c r="F26" s="112"/>
      <c r="G26" s="76">
        <v>6</v>
      </c>
      <c r="H26" s="73"/>
      <c r="I26" s="73">
        <f t="shared" si="4"/>
        <v>130</v>
      </c>
      <c r="J26" s="77">
        <f t="shared" si="7"/>
        <v>1</v>
      </c>
      <c r="K26" s="41"/>
      <c r="L26" s="112">
        <v>4</v>
      </c>
      <c r="M26" s="112"/>
      <c r="N26" s="112">
        <v>1</v>
      </c>
      <c r="O26" s="112"/>
      <c r="P26" s="112">
        <v>1</v>
      </c>
      <c r="Q26" s="120"/>
      <c r="R26" s="86">
        <f t="shared" si="8"/>
        <v>6</v>
      </c>
      <c r="S26" s="124">
        <f t="shared" si="8"/>
        <v>0</v>
      </c>
      <c r="T26" s="41"/>
      <c r="U26" s="107">
        <f t="shared" si="5"/>
        <v>144</v>
      </c>
      <c r="V26" s="130">
        <f t="shared" si="6"/>
        <v>6</v>
      </c>
      <c r="W26" s="129">
        <f t="shared" si="9"/>
        <v>3121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2</v>
      </c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>
        <v>2</v>
      </c>
      <c r="Q27" s="120"/>
      <c r="R27" s="86">
        <f t="shared" si="8"/>
        <v>2</v>
      </c>
      <c r="S27" s="124">
        <f t="shared" si="8"/>
        <v>0</v>
      </c>
      <c r="T27" s="42"/>
      <c r="U27" s="107">
        <f t="shared" si="5"/>
        <v>48</v>
      </c>
      <c r="V27" s="130">
        <f t="shared" si="6"/>
        <v>2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292</v>
      </c>
      <c r="D29" s="111"/>
      <c r="E29" s="112"/>
      <c r="F29" s="112"/>
      <c r="G29" s="76">
        <v>7</v>
      </c>
      <c r="H29" s="73"/>
      <c r="I29" s="73">
        <f t="shared" si="4"/>
        <v>285</v>
      </c>
      <c r="J29" s="77">
        <f t="shared" si="7"/>
        <v>0</v>
      </c>
      <c r="K29" s="42"/>
      <c r="L29" s="112">
        <v>1</v>
      </c>
      <c r="M29" s="112"/>
      <c r="N29" s="112">
        <v>3</v>
      </c>
      <c r="O29" s="112"/>
      <c r="P29" s="112">
        <v>3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6840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128</v>
      </c>
      <c r="D35" s="111">
        <v>2</v>
      </c>
      <c r="E35" s="112">
        <v>144</v>
      </c>
      <c r="F35" s="112"/>
      <c r="G35" s="76">
        <v>1</v>
      </c>
      <c r="H35" s="73"/>
      <c r="I35" s="73">
        <f t="shared" si="4"/>
        <v>271</v>
      </c>
      <c r="J35" s="77">
        <f t="shared" si="7"/>
        <v>2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6506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2783</v>
      </c>
      <c r="D38" s="114">
        <v>1</v>
      </c>
      <c r="E38" s="115">
        <v>1836</v>
      </c>
      <c r="F38" s="115"/>
      <c r="G38" s="78">
        <v>141</v>
      </c>
      <c r="H38" s="79"/>
      <c r="I38" s="80">
        <f t="shared" si="4"/>
        <v>4478</v>
      </c>
      <c r="J38" s="140">
        <f t="shared" si="7"/>
        <v>1</v>
      </c>
      <c r="K38" s="51"/>
      <c r="L38" s="121">
        <v>119</v>
      </c>
      <c r="M38" s="121"/>
      <c r="N38" s="121">
        <v>15</v>
      </c>
      <c r="O38" s="121"/>
      <c r="P38" s="121">
        <v>7</v>
      </c>
      <c r="Q38" s="122"/>
      <c r="R38" s="97">
        <f t="shared" si="8"/>
        <v>141</v>
      </c>
      <c r="S38" s="125">
        <f t="shared" si="8"/>
        <v>0</v>
      </c>
      <c r="T38" s="51"/>
      <c r="U38" s="131">
        <f>L38*6+N38*6+P38*6</f>
        <v>846</v>
      </c>
      <c r="V38" s="135">
        <f>U38/6</f>
        <v>141</v>
      </c>
      <c r="W38" s="133">
        <f>I38*6+J38</f>
        <v>26869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2</v>
      </c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>
        <v>2</v>
      </c>
      <c r="Q39" s="120"/>
      <c r="R39" s="96">
        <f t="shared" si="8"/>
        <v>2</v>
      </c>
      <c r="S39" s="126">
        <f t="shared" si="8"/>
        <v>0</v>
      </c>
      <c r="T39" s="41"/>
      <c r="U39" s="107">
        <f t="shared" ref="U39:U41" si="10">L39*24+N39*24+P39*24</f>
        <v>48</v>
      </c>
      <c r="V39" s="109">
        <f t="shared" si="6"/>
        <v>2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302</v>
      </c>
      <c r="D41" s="147">
        <v>20</v>
      </c>
      <c r="E41" s="148"/>
      <c r="F41" s="148"/>
      <c r="G41" s="149">
        <v>45</v>
      </c>
      <c r="H41" s="150"/>
      <c r="I41" s="80">
        <f t="shared" si="4"/>
        <v>257</v>
      </c>
      <c r="J41" s="152">
        <f t="shared" si="7"/>
        <v>20</v>
      </c>
      <c r="K41" s="153"/>
      <c r="L41" s="154">
        <v>44</v>
      </c>
      <c r="M41" s="154"/>
      <c r="N41" s="154">
        <v>1</v>
      </c>
      <c r="O41" s="154"/>
      <c r="P41" s="154"/>
      <c r="Q41" s="155"/>
      <c r="R41" s="156">
        <f t="shared" si="8"/>
        <v>45</v>
      </c>
      <c r="S41" s="157">
        <f t="shared" si="8"/>
        <v>0</v>
      </c>
      <c r="T41" s="153"/>
      <c r="U41" s="158">
        <f t="shared" si="10"/>
        <v>1080</v>
      </c>
      <c r="V41" s="159">
        <f t="shared" si="6"/>
        <v>45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805</v>
      </c>
      <c r="D42" s="164"/>
      <c r="E42" s="165"/>
      <c r="F42" s="165"/>
      <c r="G42" s="166">
        <v>33</v>
      </c>
      <c r="H42" s="167"/>
      <c r="I42" s="181">
        <f t="shared" si="4"/>
        <v>772</v>
      </c>
      <c r="J42" s="168">
        <f t="shared" si="7"/>
        <v>0</v>
      </c>
      <c r="K42" s="169"/>
      <c r="L42" s="165">
        <v>9</v>
      </c>
      <c r="M42" s="165"/>
      <c r="N42" s="165">
        <v>8</v>
      </c>
      <c r="O42" s="165"/>
      <c r="P42" s="165">
        <v>16</v>
      </c>
      <c r="Q42" s="170"/>
      <c r="R42" s="171">
        <f t="shared" si="8"/>
        <v>33</v>
      </c>
      <c r="S42" s="172">
        <f t="shared" si="8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9264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40211</v>
      </c>
      <c r="D44" s="114">
        <v>2</v>
      </c>
      <c r="E44" s="115">
        <v>1620</v>
      </c>
      <c r="F44" s="115"/>
      <c r="G44" s="78">
        <v>1104</v>
      </c>
      <c r="H44" s="79"/>
      <c r="I44" s="182">
        <f t="shared" si="4"/>
        <v>40727</v>
      </c>
      <c r="J44" s="177">
        <f t="shared" si="7"/>
        <v>2</v>
      </c>
      <c r="K44" s="51"/>
      <c r="L44" s="121">
        <v>327</v>
      </c>
      <c r="M44" s="121"/>
      <c r="N44" s="121">
        <v>320</v>
      </c>
      <c r="O44" s="121"/>
      <c r="P44" s="121">
        <v>457</v>
      </c>
      <c r="Q44" s="122"/>
      <c r="R44" s="178">
        <f t="shared" si="8"/>
        <v>1104</v>
      </c>
      <c r="S44" s="179">
        <f t="shared" si="8"/>
        <v>0</v>
      </c>
      <c r="T44" s="51"/>
      <c r="U44" s="131">
        <f>L44*6+N44*6+P44*6</f>
        <v>6624</v>
      </c>
      <c r="V44" s="130">
        <f>U44/6</f>
        <v>1104</v>
      </c>
      <c r="W44" s="133">
        <f>I44*6+J44</f>
        <v>244364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>
        <v>3</v>
      </c>
      <c r="I48" s="80">
        <f t="shared" si="4"/>
        <v>2652</v>
      </c>
      <c r="J48" s="140">
        <f t="shared" si="7"/>
        <v>0</v>
      </c>
      <c r="K48" s="51"/>
      <c r="L48" s="121"/>
      <c r="M48" s="121"/>
      <c r="N48" s="121"/>
      <c r="O48" s="121">
        <v>3</v>
      </c>
      <c r="P48" s="121"/>
      <c r="Q48" s="122"/>
      <c r="R48" s="97">
        <f t="shared" si="8"/>
        <v>0</v>
      </c>
      <c r="S48" s="144">
        <f t="shared" si="8"/>
        <v>3</v>
      </c>
      <c r="T48" s="51"/>
      <c r="U48" s="131">
        <f>L48*6+N48*6+P48*6</f>
        <v>0</v>
      </c>
      <c r="V48" s="135">
        <f>U48/6</f>
        <v>0</v>
      </c>
      <c r="W48" s="133">
        <f>I48*6+J48</f>
        <v>15912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50561</v>
      </c>
      <c r="D60" s="54">
        <f>SUM(D8:D59)</f>
        <v>155</v>
      </c>
      <c r="E60" s="44">
        <f>SUM(E8:E59)</f>
        <v>3600</v>
      </c>
      <c r="F60" s="44"/>
      <c r="G60" s="28">
        <f>SUM(G8:G59)</f>
        <v>1375</v>
      </c>
      <c r="H60" s="56">
        <f>SUM(H8:H59)</f>
        <v>27</v>
      </c>
      <c r="I60" s="56">
        <f>SUM(I8:I59)</f>
        <v>52786</v>
      </c>
      <c r="J60" s="45">
        <f>SUM(J8:J59)</f>
        <v>128</v>
      </c>
      <c r="K60" s="46"/>
      <c r="L60" s="74">
        <f t="shared" ref="L60:S60" si="21">SUM(L8:L59)</f>
        <v>511</v>
      </c>
      <c r="M60" s="74">
        <f t="shared" si="21"/>
        <v>15</v>
      </c>
      <c r="N60" s="74">
        <f t="shared" si="21"/>
        <v>359</v>
      </c>
      <c r="O60" s="74">
        <f t="shared" si="21"/>
        <v>9</v>
      </c>
      <c r="P60" s="74">
        <f t="shared" si="21"/>
        <v>505</v>
      </c>
      <c r="Q60" s="75">
        <f t="shared" si="21"/>
        <v>3</v>
      </c>
      <c r="R60" s="85">
        <f t="shared" si="21"/>
        <v>1375</v>
      </c>
      <c r="S60" s="84">
        <f t="shared" si="21"/>
        <v>27</v>
      </c>
      <c r="T60" s="46"/>
      <c r="U60" s="43">
        <f>SUM(U8:U59)</f>
        <v>10194</v>
      </c>
      <c r="V60" s="102">
        <f>SUM(V8:V59)</f>
        <v>1375</v>
      </c>
      <c r="W60" s="180">
        <f>SUM(W8:W59)</f>
        <v>395690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1E0B4-9C98-4CC7-8C46-8C5C4A3434F8}">
  <sheetPr>
    <pageSetUpPr fitToPage="1"/>
  </sheetPr>
  <dimension ref="A1:BH90"/>
  <sheetViews>
    <sheetView zoomScale="93" zoomScaleNormal="93" zoomScaleSheetLayoutView="85" zoomScalePageLayoutView="80" workbookViewId="0">
      <selection activeCell="N17" sqref="N1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46262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68</v>
      </c>
      <c r="D9" s="114">
        <v>12</v>
      </c>
      <c r="E9" s="115"/>
      <c r="F9" s="115"/>
      <c r="G9" s="78"/>
      <c r="H9" s="79"/>
      <c r="I9" s="80">
        <f t="shared" ref="I9:I59" si="4">C9+E9-G9</f>
        <v>68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1644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53</v>
      </c>
      <c r="D10" s="111"/>
      <c r="E10" s="112"/>
      <c r="F10" s="112"/>
      <c r="G10" s="76"/>
      <c r="H10" s="73"/>
      <c r="I10" s="93">
        <f t="shared" si="4"/>
        <v>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1272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</v>
      </c>
      <c r="D11" s="111"/>
      <c r="E11" s="112"/>
      <c r="F11" s="112"/>
      <c r="G11" s="76"/>
      <c r="H11" s="73"/>
      <c r="I11" s="73">
        <f t="shared" si="4"/>
        <v>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216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2939</v>
      </c>
      <c r="D13" s="114">
        <v>23</v>
      </c>
      <c r="E13" s="115"/>
      <c r="F13" s="115"/>
      <c r="G13" s="78">
        <v>39</v>
      </c>
      <c r="H13" s="79"/>
      <c r="I13" s="80">
        <f t="shared" si="4"/>
        <v>2900</v>
      </c>
      <c r="J13" s="94">
        <f>D13-H13</f>
        <v>23</v>
      </c>
      <c r="K13" s="53"/>
      <c r="L13" s="121">
        <v>25</v>
      </c>
      <c r="M13" s="121"/>
      <c r="N13" s="121">
        <v>6</v>
      </c>
      <c r="O13" s="121"/>
      <c r="P13" s="121">
        <v>8</v>
      </c>
      <c r="Q13" s="122"/>
      <c r="R13" s="97">
        <f>L13+N13+P13</f>
        <v>39</v>
      </c>
      <c r="S13" s="125">
        <f>M13+O13+Q13</f>
        <v>0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69623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130</v>
      </c>
      <c r="D26" s="111">
        <v>1</v>
      </c>
      <c r="E26" s="112"/>
      <c r="F26" s="112"/>
      <c r="G26" s="76">
        <v>1</v>
      </c>
      <c r="H26" s="73"/>
      <c r="I26" s="73">
        <f t="shared" si="4"/>
        <v>129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3097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285</v>
      </c>
      <c r="D29" s="111"/>
      <c r="E29" s="112"/>
      <c r="F29" s="112"/>
      <c r="G29" s="76">
        <v>9</v>
      </c>
      <c r="H29" s="73"/>
      <c r="I29" s="73">
        <f t="shared" si="4"/>
        <v>276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3</v>
      </c>
      <c r="Q29" s="120"/>
      <c r="R29" s="86">
        <f t="shared" si="8"/>
        <v>9</v>
      </c>
      <c r="S29" s="124">
        <f t="shared" si="8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9"/>
        <v>6624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271</v>
      </c>
      <c r="D35" s="111">
        <v>2</v>
      </c>
      <c r="E35" s="112"/>
      <c r="F35" s="112"/>
      <c r="G35" s="76">
        <v>2</v>
      </c>
      <c r="H35" s="73"/>
      <c r="I35" s="73">
        <f t="shared" si="4"/>
        <v>269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6458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4478</v>
      </c>
      <c r="D38" s="114">
        <v>1</v>
      </c>
      <c r="E38" s="115"/>
      <c r="F38" s="115"/>
      <c r="G38" s="78">
        <v>134</v>
      </c>
      <c r="H38" s="79"/>
      <c r="I38" s="80">
        <f t="shared" si="4"/>
        <v>4344</v>
      </c>
      <c r="J38" s="140">
        <f t="shared" si="7"/>
        <v>1</v>
      </c>
      <c r="K38" s="51"/>
      <c r="L38" s="121">
        <v>20</v>
      </c>
      <c r="M38" s="121"/>
      <c r="N38" s="121">
        <v>67</v>
      </c>
      <c r="O38" s="121"/>
      <c r="P38" s="121">
        <v>47</v>
      </c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26065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257</v>
      </c>
      <c r="D41" s="147">
        <v>20</v>
      </c>
      <c r="E41" s="148"/>
      <c r="F41" s="148"/>
      <c r="G41" s="149">
        <v>2</v>
      </c>
      <c r="H41" s="150"/>
      <c r="I41" s="80">
        <f t="shared" si="4"/>
        <v>255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6140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772</v>
      </c>
      <c r="D42" s="164"/>
      <c r="E42" s="165"/>
      <c r="F42" s="165"/>
      <c r="G42" s="166">
        <v>13</v>
      </c>
      <c r="H42" s="167"/>
      <c r="I42" s="181">
        <f t="shared" si="4"/>
        <v>759</v>
      </c>
      <c r="J42" s="168">
        <f t="shared" si="7"/>
        <v>0</v>
      </c>
      <c r="K42" s="169"/>
      <c r="L42" s="165">
        <v>3</v>
      </c>
      <c r="M42" s="165"/>
      <c r="N42" s="165">
        <v>10</v>
      </c>
      <c r="O42" s="165"/>
      <c r="P42" s="165"/>
      <c r="Q42" s="170"/>
      <c r="R42" s="171">
        <f t="shared" si="8"/>
        <v>13</v>
      </c>
      <c r="S42" s="172">
        <f t="shared" si="8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9108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40727</v>
      </c>
      <c r="D44" s="114">
        <v>2</v>
      </c>
      <c r="E44" s="115"/>
      <c r="F44" s="115"/>
      <c r="G44" s="78">
        <v>1676</v>
      </c>
      <c r="H44" s="79"/>
      <c r="I44" s="182">
        <f t="shared" si="4"/>
        <v>39051</v>
      </c>
      <c r="J44" s="177">
        <f t="shared" si="7"/>
        <v>2</v>
      </c>
      <c r="K44" s="51"/>
      <c r="L44" s="121">
        <v>1068</v>
      </c>
      <c r="M44" s="121"/>
      <c r="N44" s="121">
        <v>227</v>
      </c>
      <c r="O44" s="121"/>
      <c r="P44" s="121">
        <v>381</v>
      </c>
      <c r="Q44" s="122"/>
      <c r="R44" s="178">
        <f t="shared" si="8"/>
        <v>1676</v>
      </c>
      <c r="S44" s="179">
        <f t="shared" si="8"/>
        <v>0</v>
      </c>
      <c r="T44" s="51"/>
      <c r="U44" s="131">
        <f>L44*6+N44*6+P44*6</f>
        <v>10056</v>
      </c>
      <c r="V44" s="130">
        <f>U44/6</f>
        <v>1676</v>
      </c>
      <c r="W44" s="133">
        <f>I44*6+J44</f>
        <v>234308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/>
      <c r="E48" s="121"/>
      <c r="F48" s="121"/>
      <c r="G48" s="143"/>
      <c r="H48" s="139"/>
      <c r="I48" s="80">
        <f t="shared" si="4"/>
        <v>2652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15912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52785</v>
      </c>
      <c r="D60" s="54">
        <f>SUM(D8:D59)</f>
        <v>152</v>
      </c>
      <c r="E60" s="44">
        <f>SUM(E8:E59)</f>
        <v>0</v>
      </c>
      <c r="F60" s="44"/>
      <c r="G60" s="28">
        <f>SUM(G8:G59)</f>
        <v>1876</v>
      </c>
      <c r="H60" s="56">
        <f>SUM(H8:H59)</f>
        <v>0</v>
      </c>
      <c r="I60" s="56">
        <f>SUM(I8:I59)</f>
        <v>50909</v>
      </c>
      <c r="J60" s="45">
        <f>SUM(J8:J59)</f>
        <v>152</v>
      </c>
      <c r="K60" s="46"/>
      <c r="L60" s="74">
        <f t="shared" ref="L60:S60" si="21">SUM(L8:L59)</f>
        <v>1116</v>
      </c>
      <c r="M60" s="74">
        <f t="shared" si="21"/>
        <v>0</v>
      </c>
      <c r="N60" s="74">
        <f t="shared" si="21"/>
        <v>316</v>
      </c>
      <c r="O60" s="74">
        <f t="shared" si="21"/>
        <v>0</v>
      </c>
      <c r="P60" s="74">
        <f t="shared" si="21"/>
        <v>444</v>
      </c>
      <c r="Q60" s="75">
        <f t="shared" si="21"/>
        <v>0</v>
      </c>
      <c r="R60" s="85">
        <f t="shared" si="21"/>
        <v>1876</v>
      </c>
      <c r="S60" s="84">
        <f t="shared" si="21"/>
        <v>0</v>
      </c>
      <c r="T60" s="46"/>
      <c r="U60" s="43">
        <f>SUM(U8:U59)</f>
        <v>12288</v>
      </c>
      <c r="V60" s="102">
        <f>SUM(V8:V59)</f>
        <v>1876</v>
      </c>
      <c r="W60" s="180">
        <f>SUM(W8:W59)</f>
        <v>383402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08,20</vt:lpstr>
      <vt:lpstr>08,21</vt:lpstr>
      <vt:lpstr>08,24</vt:lpstr>
      <vt:lpstr>08,25</vt:lpstr>
      <vt:lpstr>08,26</vt:lpstr>
      <vt:lpstr>08,27</vt:lpstr>
      <vt:lpstr>08,28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'08,20'!Print_Area</vt:lpstr>
      <vt:lpstr>'08,21'!Print_Area</vt:lpstr>
      <vt:lpstr>'08,24'!Print_Area</vt:lpstr>
      <vt:lpstr>'08,25'!Print_Area</vt:lpstr>
      <vt:lpstr>'08,26'!Print_Area</vt:lpstr>
      <vt:lpstr>'08,27'!Print_Area</vt:lpstr>
      <vt:lpstr>'08,28'!Print_Area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2026-08-21T08:20:14Z</cp:lastPrinted>
  <dcterms:created xsi:type="dcterms:W3CDTF">2024-09-01T23:32:49Z</dcterms:created>
  <dcterms:modified xsi:type="dcterms:W3CDTF">2026-08-29T07:13:38Z</dcterms:modified>
</cp:coreProperties>
</file>