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4A96BD5D-CB2B-45AA-A4E5-8368E9169654}" xr6:coauthVersionLast="45" xr6:coauthVersionMax="45" xr10:uidLastSave="{00000000-0000-0000-0000-000000000000}"/>
  <bookViews>
    <workbookView xWindow="-120" yWindow="-120" windowWidth="29040" windowHeight="15840" activeTab="9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  <sheet name="08,12" sheetId="140" r:id="rId10"/>
    <sheet name="08,13" sheetId="141" r:id="rId11"/>
    <sheet name="08,14" sheetId="142" r:id="rId12"/>
    <sheet name="08,15" sheetId="143" r:id="rId13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9">'08,12'!$A$1:$Y$61</definedName>
    <definedName name="_xlnm.Print_Area" localSheetId="10">'08,13'!$A$1:$Y$61</definedName>
    <definedName name="_xlnm.Print_Area" localSheetId="11">'08,14'!$A$1:$Y$61</definedName>
    <definedName name="_xlnm.Print_Area" localSheetId="12">'08,15'!$A$1:$Y$61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43" l="1"/>
  <c r="P60" i="143"/>
  <c r="O60" i="143"/>
  <c r="N60" i="143"/>
  <c r="M60" i="143"/>
  <c r="L60" i="143"/>
  <c r="H60" i="143"/>
  <c r="G60" i="143"/>
  <c r="E60" i="143"/>
  <c r="D60" i="143"/>
  <c r="C60" i="143"/>
  <c r="S59" i="143"/>
  <c r="R59" i="143"/>
  <c r="J59" i="143"/>
  <c r="I59" i="143"/>
  <c r="S58" i="143"/>
  <c r="R58" i="143"/>
  <c r="J58" i="143"/>
  <c r="I58" i="143"/>
  <c r="S57" i="143"/>
  <c r="R57" i="143"/>
  <c r="J57" i="143"/>
  <c r="I57" i="143"/>
  <c r="S56" i="143"/>
  <c r="R56" i="143"/>
  <c r="J56" i="143"/>
  <c r="I56" i="143"/>
  <c r="S55" i="143"/>
  <c r="R55" i="143"/>
  <c r="J55" i="143"/>
  <c r="I55" i="143"/>
  <c r="U54" i="143"/>
  <c r="V54" i="143" s="1"/>
  <c r="S54" i="143"/>
  <c r="R54" i="143"/>
  <c r="J54" i="143"/>
  <c r="W54" i="143" s="1"/>
  <c r="I54" i="143"/>
  <c r="U53" i="143"/>
  <c r="V53" i="143" s="1"/>
  <c r="S53" i="143"/>
  <c r="R53" i="143"/>
  <c r="J53" i="143"/>
  <c r="W53" i="143" s="1"/>
  <c r="I53" i="143"/>
  <c r="U52" i="143"/>
  <c r="V52" i="143" s="1"/>
  <c r="S52" i="143"/>
  <c r="R52" i="143"/>
  <c r="J52" i="143"/>
  <c r="W52" i="143" s="1"/>
  <c r="I52" i="143"/>
  <c r="U51" i="143"/>
  <c r="V51" i="143" s="1"/>
  <c r="S51" i="143"/>
  <c r="R51" i="143"/>
  <c r="J51" i="143"/>
  <c r="W51" i="143" s="1"/>
  <c r="I51" i="143"/>
  <c r="U50" i="143"/>
  <c r="V50" i="143" s="1"/>
  <c r="S50" i="143"/>
  <c r="R50" i="143"/>
  <c r="J50" i="143"/>
  <c r="W50" i="143" s="1"/>
  <c r="I50" i="143"/>
  <c r="U49" i="143"/>
  <c r="V49" i="143" s="1"/>
  <c r="S49" i="143"/>
  <c r="R49" i="143"/>
  <c r="J49" i="143"/>
  <c r="W49" i="143" s="1"/>
  <c r="I49" i="143"/>
  <c r="U48" i="143"/>
  <c r="V48" i="143" s="1"/>
  <c r="S48" i="143"/>
  <c r="R48" i="143"/>
  <c r="J48" i="143"/>
  <c r="W48" i="143" s="1"/>
  <c r="I48" i="143"/>
  <c r="U47" i="143"/>
  <c r="V47" i="143" s="1"/>
  <c r="S47" i="143"/>
  <c r="R47" i="143"/>
  <c r="J47" i="143"/>
  <c r="W47" i="143" s="1"/>
  <c r="I47" i="143"/>
  <c r="U46" i="143"/>
  <c r="V46" i="143" s="1"/>
  <c r="S46" i="143"/>
  <c r="R46" i="143"/>
  <c r="J46" i="143"/>
  <c r="W46" i="143" s="1"/>
  <c r="I46" i="143"/>
  <c r="S45" i="143"/>
  <c r="R45" i="143"/>
  <c r="J45" i="143"/>
  <c r="I45" i="143"/>
  <c r="U44" i="143"/>
  <c r="V44" i="143" s="1"/>
  <c r="S44" i="143"/>
  <c r="R44" i="143"/>
  <c r="J44" i="143"/>
  <c r="I44" i="143"/>
  <c r="W44" i="143" s="1"/>
  <c r="S43" i="143"/>
  <c r="R43" i="143"/>
  <c r="J43" i="143"/>
  <c r="I43" i="143"/>
  <c r="V42" i="143"/>
  <c r="U42" i="143"/>
  <c r="S42" i="143"/>
  <c r="R42" i="143"/>
  <c r="J42" i="143"/>
  <c r="I42" i="143"/>
  <c r="W42" i="143" s="1"/>
  <c r="U41" i="143"/>
  <c r="V41" i="143" s="1"/>
  <c r="S41" i="143"/>
  <c r="R41" i="143"/>
  <c r="J41" i="143"/>
  <c r="I41" i="143"/>
  <c r="W41" i="143" s="1"/>
  <c r="V40" i="143"/>
  <c r="U40" i="143"/>
  <c r="S40" i="143"/>
  <c r="R40" i="143"/>
  <c r="J40" i="143"/>
  <c r="I40" i="143"/>
  <c r="W40" i="143" s="1"/>
  <c r="U39" i="143"/>
  <c r="V39" i="143" s="1"/>
  <c r="S39" i="143"/>
  <c r="R39" i="143"/>
  <c r="J39" i="143"/>
  <c r="I39" i="143"/>
  <c r="W39" i="143" s="1"/>
  <c r="V38" i="143"/>
  <c r="U38" i="143"/>
  <c r="S38" i="143"/>
  <c r="R38" i="143"/>
  <c r="J38" i="143"/>
  <c r="I38" i="143"/>
  <c r="W38" i="143" s="1"/>
  <c r="U37" i="143"/>
  <c r="V37" i="143" s="1"/>
  <c r="S37" i="143"/>
  <c r="R37" i="143"/>
  <c r="J37" i="143"/>
  <c r="I37" i="143"/>
  <c r="W37" i="143" s="1"/>
  <c r="V36" i="143"/>
  <c r="U36" i="143"/>
  <c r="S36" i="143"/>
  <c r="R36" i="143"/>
  <c r="J36" i="143"/>
  <c r="I36" i="143"/>
  <c r="W36" i="143" s="1"/>
  <c r="U35" i="143"/>
  <c r="V35" i="143" s="1"/>
  <c r="S35" i="143"/>
  <c r="R35" i="143"/>
  <c r="J35" i="143"/>
  <c r="I35" i="143"/>
  <c r="W35" i="143" s="1"/>
  <c r="V34" i="143"/>
  <c r="U34" i="143"/>
  <c r="S34" i="143"/>
  <c r="R34" i="143"/>
  <c r="J34" i="143"/>
  <c r="I34" i="143"/>
  <c r="W34" i="143" s="1"/>
  <c r="U33" i="143"/>
  <c r="V33" i="143" s="1"/>
  <c r="S33" i="143"/>
  <c r="R33" i="143"/>
  <c r="J33" i="143"/>
  <c r="I33" i="143"/>
  <c r="W33" i="143" s="1"/>
  <c r="V32" i="143"/>
  <c r="U32" i="143"/>
  <c r="S32" i="143"/>
  <c r="R32" i="143"/>
  <c r="J32" i="143"/>
  <c r="I32" i="143"/>
  <c r="W32" i="143" s="1"/>
  <c r="U31" i="143"/>
  <c r="V31" i="143" s="1"/>
  <c r="S31" i="143"/>
  <c r="R31" i="143"/>
  <c r="J31" i="143"/>
  <c r="I31" i="143"/>
  <c r="W31" i="143" s="1"/>
  <c r="V30" i="143"/>
  <c r="U30" i="143"/>
  <c r="S30" i="143"/>
  <c r="R30" i="143"/>
  <c r="J30" i="143"/>
  <c r="I30" i="143"/>
  <c r="W30" i="143" s="1"/>
  <c r="U29" i="143"/>
  <c r="V29" i="143" s="1"/>
  <c r="S29" i="143"/>
  <c r="R29" i="143"/>
  <c r="J29" i="143"/>
  <c r="I29" i="143"/>
  <c r="W29" i="143" s="1"/>
  <c r="V28" i="143"/>
  <c r="U28" i="143"/>
  <c r="S28" i="143"/>
  <c r="R28" i="143"/>
  <c r="J28" i="143"/>
  <c r="I28" i="143"/>
  <c r="W28" i="143" s="1"/>
  <c r="U27" i="143"/>
  <c r="V27" i="143" s="1"/>
  <c r="S27" i="143"/>
  <c r="S60" i="143" s="1"/>
  <c r="R27" i="143"/>
  <c r="J27" i="143"/>
  <c r="I27" i="143"/>
  <c r="W27" i="143" s="1"/>
  <c r="BE26" i="143"/>
  <c r="W26" i="143"/>
  <c r="U26" i="143"/>
  <c r="V26" i="143" s="1"/>
  <c r="S26" i="143"/>
  <c r="R26" i="143"/>
  <c r="J26" i="143"/>
  <c r="I26" i="143"/>
  <c r="W25" i="143"/>
  <c r="U25" i="143"/>
  <c r="V25" i="143" s="1"/>
  <c r="S25" i="143"/>
  <c r="R25" i="143"/>
  <c r="J25" i="143"/>
  <c r="I25" i="143"/>
  <c r="W24" i="143"/>
  <c r="U24" i="143"/>
  <c r="V24" i="143" s="1"/>
  <c r="S24" i="143"/>
  <c r="R24" i="143"/>
  <c r="J24" i="143"/>
  <c r="I24" i="143"/>
  <c r="W23" i="143"/>
  <c r="U23" i="143"/>
  <c r="V23" i="143" s="1"/>
  <c r="S23" i="143"/>
  <c r="R23" i="143"/>
  <c r="J23" i="143"/>
  <c r="I23" i="143"/>
  <c r="W22" i="143"/>
  <c r="U22" i="143"/>
  <c r="V22" i="143" s="1"/>
  <c r="S22" i="143"/>
  <c r="R22" i="143"/>
  <c r="J22" i="143"/>
  <c r="I22" i="143"/>
  <c r="W21" i="143"/>
  <c r="U21" i="143"/>
  <c r="V21" i="143" s="1"/>
  <c r="S21" i="143"/>
  <c r="R21" i="143"/>
  <c r="J21" i="143"/>
  <c r="I21" i="143"/>
  <c r="W20" i="143"/>
  <c r="U20" i="143"/>
  <c r="V20" i="143" s="1"/>
  <c r="S20" i="143"/>
  <c r="R20" i="143"/>
  <c r="J20" i="143"/>
  <c r="I20" i="143"/>
  <c r="W19" i="143"/>
  <c r="U19" i="143"/>
  <c r="V19" i="143" s="1"/>
  <c r="S19" i="143"/>
  <c r="R19" i="143"/>
  <c r="J19" i="143"/>
  <c r="I19" i="143"/>
  <c r="W18" i="143"/>
  <c r="U18" i="143"/>
  <c r="V18" i="143" s="1"/>
  <c r="S18" i="143"/>
  <c r="R18" i="143"/>
  <c r="J18" i="143"/>
  <c r="I18" i="143"/>
  <c r="W17" i="143"/>
  <c r="U17" i="143"/>
  <c r="V17" i="143" s="1"/>
  <c r="S17" i="143"/>
  <c r="R17" i="143"/>
  <c r="J17" i="143"/>
  <c r="I17" i="143"/>
  <c r="W16" i="143"/>
  <c r="U16" i="143"/>
  <c r="V16" i="143" s="1"/>
  <c r="S16" i="143"/>
  <c r="R16" i="143"/>
  <c r="J16" i="143"/>
  <c r="I16" i="143"/>
  <c r="W15" i="143"/>
  <c r="U15" i="143"/>
  <c r="V15" i="143" s="1"/>
  <c r="S15" i="143"/>
  <c r="R15" i="143"/>
  <c r="J15" i="143"/>
  <c r="I15" i="143"/>
  <c r="W14" i="143"/>
  <c r="U14" i="143"/>
  <c r="V14" i="143" s="1"/>
  <c r="S14" i="143"/>
  <c r="R14" i="143"/>
  <c r="J14" i="143"/>
  <c r="I14" i="143"/>
  <c r="W13" i="143"/>
  <c r="U13" i="143"/>
  <c r="V13" i="143" s="1"/>
  <c r="S13" i="143"/>
  <c r="R13" i="143"/>
  <c r="J13" i="143"/>
  <c r="I13" i="143"/>
  <c r="W12" i="143"/>
  <c r="U12" i="143"/>
  <c r="V12" i="143" s="1"/>
  <c r="S12" i="143"/>
  <c r="R12" i="143"/>
  <c r="J12" i="143"/>
  <c r="I12" i="143"/>
  <c r="W11" i="143"/>
  <c r="U11" i="143"/>
  <c r="V11" i="143" s="1"/>
  <c r="S11" i="143"/>
  <c r="R11" i="143"/>
  <c r="J11" i="143"/>
  <c r="I11" i="143"/>
  <c r="W10" i="143"/>
  <c r="U10" i="143"/>
  <c r="V10" i="143" s="1"/>
  <c r="S10" i="143"/>
  <c r="R10" i="143"/>
  <c r="J10" i="143"/>
  <c r="I10" i="143"/>
  <c r="A10" i="143"/>
  <c r="A11" i="143" s="1"/>
  <c r="A12" i="143" s="1"/>
  <c r="A13" i="143" s="1"/>
  <c r="A14" i="143" s="1"/>
  <c r="A15" i="143" s="1"/>
  <c r="A16" i="143" s="1"/>
  <c r="A17" i="143" s="1"/>
  <c r="A18" i="143" s="1"/>
  <c r="A19" i="143" s="1"/>
  <c r="A20" i="143" s="1"/>
  <c r="A21" i="143" s="1"/>
  <c r="A22" i="143" s="1"/>
  <c r="A23" i="143" s="1"/>
  <c r="A24" i="143" s="1"/>
  <c r="A25" i="143" s="1"/>
  <c r="A26" i="143" s="1"/>
  <c r="A27" i="143" s="1"/>
  <c r="A28" i="143" s="1"/>
  <c r="A29" i="143" s="1"/>
  <c r="A30" i="143" s="1"/>
  <c r="A31" i="143" s="1"/>
  <c r="A32" i="143" s="1"/>
  <c r="A33" i="143" s="1"/>
  <c r="A34" i="143" s="1"/>
  <c r="A35" i="143" s="1"/>
  <c r="A36" i="143" s="1"/>
  <c r="A37" i="143" s="1"/>
  <c r="A38" i="143" s="1"/>
  <c r="A39" i="143" s="1"/>
  <c r="A40" i="143" s="1"/>
  <c r="A41" i="143" s="1"/>
  <c r="A42" i="143" s="1"/>
  <c r="A43" i="143" s="1"/>
  <c r="A44" i="143" s="1"/>
  <c r="A45" i="143" s="1"/>
  <c r="A46" i="143" s="1"/>
  <c r="A47" i="143" s="1"/>
  <c r="A48" i="143" s="1"/>
  <c r="A49" i="143" s="1"/>
  <c r="A50" i="143" s="1"/>
  <c r="A51" i="143" s="1"/>
  <c r="A52" i="143" s="1"/>
  <c r="A53" i="143" s="1"/>
  <c r="A54" i="143" s="1"/>
  <c r="A55" i="143" s="1"/>
  <c r="A56" i="143" s="1"/>
  <c r="A57" i="143" s="1"/>
  <c r="A58" i="143" s="1"/>
  <c r="A59" i="143" s="1"/>
  <c r="W9" i="143"/>
  <c r="U9" i="143"/>
  <c r="V9" i="143" s="1"/>
  <c r="S9" i="143"/>
  <c r="R9" i="143"/>
  <c r="J9" i="143"/>
  <c r="I9" i="143"/>
  <c r="A9" i="143"/>
  <c r="W8" i="143"/>
  <c r="U8" i="143"/>
  <c r="U60" i="143" s="1"/>
  <c r="S8" i="143"/>
  <c r="R8" i="143"/>
  <c r="R60" i="143" s="1"/>
  <c r="J8" i="143"/>
  <c r="J60" i="143" s="1"/>
  <c r="I8" i="143"/>
  <c r="I60" i="143" s="1"/>
  <c r="Q60" i="142"/>
  <c r="P60" i="142"/>
  <c r="O60" i="142"/>
  <c r="N60" i="142"/>
  <c r="M60" i="142"/>
  <c r="L60" i="142"/>
  <c r="H60" i="142"/>
  <c r="G60" i="142"/>
  <c r="E60" i="142"/>
  <c r="D60" i="142"/>
  <c r="C60" i="142"/>
  <c r="S59" i="142"/>
  <c r="R59" i="142"/>
  <c r="J59" i="142"/>
  <c r="I59" i="142"/>
  <c r="S58" i="142"/>
  <c r="R58" i="142"/>
  <c r="J58" i="142"/>
  <c r="I58" i="142"/>
  <c r="S57" i="142"/>
  <c r="R57" i="142"/>
  <c r="J57" i="142"/>
  <c r="I57" i="142"/>
  <c r="S56" i="142"/>
  <c r="R56" i="142"/>
  <c r="J56" i="142"/>
  <c r="I56" i="142"/>
  <c r="S55" i="142"/>
  <c r="R55" i="142"/>
  <c r="J55" i="142"/>
  <c r="I55" i="142"/>
  <c r="W54" i="142"/>
  <c r="V54" i="142"/>
  <c r="U54" i="142"/>
  <c r="S54" i="142"/>
  <c r="R54" i="142"/>
  <c r="J54" i="142"/>
  <c r="I54" i="142"/>
  <c r="W53" i="142"/>
  <c r="V53" i="142"/>
  <c r="U53" i="142"/>
  <c r="S53" i="142"/>
  <c r="R53" i="142"/>
  <c r="J53" i="142"/>
  <c r="I53" i="142"/>
  <c r="W52" i="142"/>
  <c r="V52" i="142"/>
  <c r="U52" i="142"/>
  <c r="S52" i="142"/>
  <c r="R52" i="142"/>
  <c r="J52" i="142"/>
  <c r="I52" i="142"/>
  <c r="W51" i="142"/>
  <c r="V51" i="142"/>
  <c r="U51" i="142"/>
  <c r="S51" i="142"/>
  <c r="R51" i="142"/>
  <c r="J51" i="142"/>
  <c r="I51" i="142"/>
  <c r="W50" i="142"/>
  <c r="V50" i="142"/>
  <c r="U50" i="142"/>
  <c r="S50" i="142"/>
  <c r="R50" i="142"/>
  <c r="J50" i="142"/>
  <c r="I50" i="142"/>
  <c r="W49" i="142"/>
  <c r="V49" i="142"/>
  <c r="U49" i="142"/>
  <c r="S49" i="142"/>
  <c r="R49" i="142"/>
  <c r="J49" i="142"/>
  <c r="I49" i="142"/>
  <c r="W48" i="142"/>
  <c r="V48" i="142"/>
  <c r="U48" i="142"/>
  <c r="S48" i="142"/>
  <c r="R48" i="142"/>
  <c r="J48" i="142"/>
  <c r="I48" i="142"/>
  <c r="W47" i="142"/>
  <c r="V47" i="142"/>
  <c r="U47" i="142"/>
  <c r="S47" i="142"/>
  <c r="R47" i="142"/>
  <c r="J47" i="142"/>
  <c r="I47" i="142"/>
  <c r="W46" i="142"/>
  <c r="V46" i="142"/>
  <c r="U46" i="142"/>
  <c r="S46" i="142"/>
  <c r="R46" i="142"/>
  <c r="J46" i="142"/>
  <c r="I46" i="142"/>
  <c r="S45" i="142"/>
  <c r="R45" i="142"/>
  <c r="J45" i="142"/>
  <c r="I45" i="142"/>
  <c r="U44" i="142"/>
  <c r="V44" i="142" s="1"/>
  <c r="S44" i="142"/>
  <c r="S60" i="142" s="1"/>
  <c r="R44" i="142"/>
  <c r="J44" i="142"/>
  <c r="I44" i="142"/>
  <c r="W44" i="142" s="1"/>
  <c r="S43" i="142"/>
  <c r="R43" i="142"/>
  <c r="J43" i="142"/>
  <c r="I43" i="142"/>
  <c r="U42" i="142"/>
  <c r="V42" i="142" s="1"/>
  <c r="S42" i="142"/>
  <c r="R42" i="142"/>
  <c r="J42" i="142"/>
  <c r="I42" i="142"/>
  <c r="W42" i="142" s="1"/>
  <c r="U41" i="142"/>
  <c r="V41" i="142" s="1"/>
  <c r="S41" i="142"/>
  <c r="R41" i="142"/>
  <c r="J41" i="142"/>
  <c r="I41" i="142"/>
  <c r="W41" i="142" s="1"/>
  <c r="U40" i="142"/>
  <c r="V40" i="142" s="1"/>
  <c r="S40" i="142"/>
  <c r="R40" i="142"/>
  <c r="J40" i="142"/>
  <c r="I40" i="142"/>
  <c r="W40" i="142" s="1"/>
  <c r="U39" i="142"/>
  <c r="V39" i="142" s="1"/>
  <c r="S39" i="142"/>
  <c r="R39" i="142"/>
  <c r="J39" i="142"/>
  <c r="I39" i="142"/>
  <c r="W39" i="142" s="1"/>
  <c r="U38" i="142"/>
  <c r="V38" i="142" s="1"/>
  <c r="S38" i="142"/>
  <c r="R38" i="142"/>
  <c r="J38" i="142"/>
  <c r="I38" i="142"/>
  <c r="W38" i="142" s="1"/>
  <c r="U37" i="142"/>
  <c r="V37" i="142" s="1"/>
  <c r="S37" i="142"/>
  <c r="R37" i="142"/>
  <c r="J37" i="142"/>
  <c r="I37" i="142"/>
  <c r="W37" i="142" s="1"/>
  <c r="U36" i="142"/>
  <c r="V36" i="142" s="1"/>
  <c r="S36" i="142"/>
  <c r="R36" i="142"/>
  <c r="J36" i="142"/>
  <c r="I36" i="142"/>
  <c r="W36" i="142" s="1"/>
  <c r="U35" i="142"/>
  <c r="V35" i="142" s="1"/>
  <c r="S35" i="142"/>
  <c r="R35" i="142"/>
  <c r="J35" i="142"/>
  <c r="I35" i="142"/>
  <c r="W35" i="142" s="1"/>
  <c r="U34" i="142"/>
  <c r="V34" i="142" s="1"/>
  <c r="S34" i="142"/>
  <c r="R34" i="142"/>
  <c r="J34" i="142"/>
  <c r="I34" i="142"/>
  <c r="W34" i="142" s="1"/>
  <c r="U33" i="142"/>
  <c r="V33" i="142" s="1"/>
  <c r="S33" i="142"/>
  <c r="R33" i="142"/>
  <c r="J33" i="142"/>
  <c r="I33" i="142"/>
  <c r="W33" i="142" s="1"/>
  <c r="U32" i="142"/>
  <c r="V32" i="142" s="1"/>
  <c r="S32" i="142"/>
  <c r="R32" i="142"/>
  <c r="J32" i="142"/>
  <c r="I32" i="142"/>
  <c r="W32" i="142" s="1"/>
  <c r="U31" i="142"/>
  <c r="V31" i="142" s="1"/>
  <c r="S31" i="142"/>
  <c r="R31" i="142"/>
  <c r="J31" i="142"/>
  <c r="I31" i="142"/>
  <c r="W31" i="142" s="1"/>
  <c r="U30" i="142"/>
  <c r="V30" i="142" s="1"/>
  <c r="S30" i="142"/>
  <c r="R30" i="142"/>
  <c r="J30" i="142"/>
  <c r="I30" i="142"/>
  <c r="W30" i="142" s="1"/>
  <c r="U29" i="142"/>
  <c r="V29" i="142" s="1"/>
  <c r="S29" i="142"/>
  <c r="R29" i="142"/>
  <c r="J29" i="142"/>
  <c r="I29" i="142"/>
  <c r="W29" i="142" s="1"/>
  <c r="U28" i="142"/>
  <c r="V28" i="142" s="1"/>
  <c r="S28" i="142"/>
  <c r="R28" i="142"/>
  <c r="J28" i="142"/>
  <c r="I28" i="142"/>
  <c r="W28" i="142" s="1"/>
  <c r="U27" i="142"/>
  <c r="U60" i="142" s="1"/>
  <c r="S27" i="142"/>
  <c r="R27" i="142"/>
  <c r="J27" i="142"/>
  <c r="I27" i="142"/>
  <c r="W27" i="142" s="1"/>
  <c r="BE26" i="142"/>
  <c r="U26" i="142"/>
  <c r="V26" i="142" s="1"/>
  <c r="S26" i="142"/>
  <c r="R26" i="142"/>
  <c r="J26" i="142"/>
  <c r="I26" i="142"/>
  <c r="W26" i="142" s="1"/>
  <c r="V25" i="142"/>
  <c r="U25" i="142"/>
  <c r="S25" i="142"/>
  <c r="R25" i="142"/>
  <c r="J25" i="142"/>
  <c r="I25" i="142"/>
  <c r="W25" i="142" s="1"/>
  <c r="U24" i="142"/>
  <c r="V24" i="142" s="1"/>
  <c r="S24" i="142"/>
  <c r="R24" i="142"/>
  <c r="J24" i="142"/>
  <c r="I24" i="142"/>
  <c r="W24" i="142" s="1"/>
  <c r="V23" i="142"/>
  <c r="U23" i="142"/>
  <c r="S23" i="142"/>
  <c r="R23" i="142"/>
  <c r="J23" i="142"/>
  <c r="I23" i="142"/>
  <c r="W23" i="142" s="1"/>
  <c r="U22" i="142"/>
  <c r="V22" i="142" s="1"/>
  <c r="S22" i="142"/>
  <c r="R22" i="142"/>
  <c r="J22" i="142"/>
  <c r="I22" i="142"/>
  <c r="W22" i="142" s="1"/>
  <c r="V21" i="142"/>
  <c r="U21" i="142"/>
  <c r="S21" i="142"/>
  <c r="R21" i="142"/>
  <c r="J21" i="142"/>
  <c r="I21" i="142"/>
  <c r="W21" i="142" s="1"/>
  <c r="U20" i="142"/>
  <c r="V20" i="142" s="1"/>
  <c r="S20" i="142"/>
  <c r="R20" i="142"/>
  <c r="J20" i="142"/>
  <c r="I20" i="142"/>
  <c r="W20" i="142" s="1"/>
  <c r="V19" i="142"/>
  <c r="U19" i="142"/>
  <c r="S19" i="142"/>
  <c r="R19" i="142"/>
  <c r="J19" i="142"/>
  <c r="I19" i="142"/>
  <c r="W19" i="142" s="1"/>
  <c r="U18" i="142"/>
  <c r="V18" i="142" s="1"/>
  <c r="S18" i="142"/>
  <c r="R18" i="142"/>
  <c r="J18" i="142"/>
  <c r="I18" i="142"/>
  <c r="W18" i="142" s="1"/>
  <c r="V17" i="142"/>
  <c r="U17" i="142"/>
  <c r="S17" i="142"/>
  <c r="R17" i="142"/>
  <c r="J17" i="142"/>
  <c r="I17" i="142"/>
  <c r="W17" i="142" s="1"/>
  <c r="U16" i="142"/>
  <c r="V16" i="142" s="1"/>
  <c r="S16" i="142"/>
  <c r="R16" i="142"/>
  <c r="J16" i="142"/>
  <c r="I16" i="142"/>
  <c r="W16" i="142" s="1"/>
  <c r="V15" i="142"/>
  <c r="U15" i="142"/>
  <c r="S15" i="142"/>
  <c r="R15" i="142"/>
  <c r="R60" i="142" s="1"/>
  <c r="J15" i="142"/>
  <c r="I15" i="142"/>
  <c r="W15" i="142" s="1"/>
  <c r="U14" i="142"/>
  <c r="V14" i="142" s="1"/>
  <c r="S14" i="142"/>
  <c r="R14" i="142"/>
  <c r="J14" i="142"/>
  <c r="I14" i="142"/>
  <c r="W14" i="142" s="1"/>
  <c r="V13" i="142"/>
  <c r="U13" i="142"/>
  <c r="S13" i="142"/>
  <c r="R13" i="142"/>
  <c r="J13" i="142"/>
  <c r="I13" i="142"/>
  <c r="W13" i="142" s="1"/>
  <c r="U12" i="142"/>
  <c r="V12" i="142" s="1"/>
  <c r="S12" i="142"/>
  <c r="R12" i="142"/>
  <c r="J12" i="142"/>
  <c r="I12" i="142"/>
  <c r="W12" i="142" s="1"/>
  <c r="V11" i="142"/>
  <c r="U11" i="142"/>
  <c r="S11" i="142"/>
  <c r="R11" i="142"/>
  <c r="J11" i="142"/>
  <c r="I11" i="142"/>
  <c r="W11" i="142" s="1"/>
  <c r="U10" i="142"/>
  <c r="V10" i="142" s="1"/>
  <c r="S10" i="142"/>
  <c r="R10" i="142"/>
  <c r="J10" i="142"/>
  <c r="I10" i="142"/>
  <c r="W10" i="142" s="1"/>
  <c r="A10" i="142"/>
  <c r="A11" i="142" s="1"/>
  <c r="A12" i="142" s="1"/>
  <c r="A13" i="142" s="1"/>
  <c r="A14" i="142" s="1"/>
  <c r="A15" i="142" s="1"/>
  <c r="A16" i="142" s="1"/>
  <c r="A17" i="142" s="1"/>
  <c r="A18" i="142" s="1"/>
  <c r="A19" i="142" s="1"/>
  <c r="A20" i="142" s="1"/>
  <c r="A21" i="142" s="1"/>
  <c r="A22" i="142" s="1"/>
  <c r="A23" i="142" s="1"/>
  <c r="A24" i="142" s="1"/>
  <c r="A25" i="142" s="1"/>
  <c r="A26" i="142" s="1"/>
  <c r="A27" i="142" s="1"/>
  <c r="A28" i="142" s="1"/>
  <c r="A29" i="142" s="1"/>
  <c r="A30" i="142" s="1"/>
  <c r="A31" i="142" s="1"/>
  <c r="A32" i="142" s="1"/>
  <c r="A33" i="142" s="1"/>
  <c r="A34" i="142" s="1"/>
  <c r="A35" i="142" s="1"/>
  <c r="A36" i="142" s="1"/>
  <c r="A37" i="142" s="1"/>
  <c r="A38" i="142" s="1"/>
  <c r="A39" i="142" s="1"/>
  <c r="A40" i="142" s="1"/>
  <c r="A41" i="142" s="1"/>
  <c r="A42" i="142" s="1"/>
  <c r="A43" i="142" s="1"/>
  <c r="A44" i="142" s="1"/>
  <c r="A45" i="142" s="1"/>
  <c r="A46" i="142" s="1"/>
  <c r="A47" i="142" s="1"/>
  <c r="A48" i="142" s="1"/>
  <c r="A49" i="142" s="1"/>
  <c r="A50" i="142" s="1"/>
  <c r="A51" i="142" s="1"/>
  <c r="A52" i="142" s="1"/>
  <c r="A53" i="142" s="1"/>
  <c r="A54" i="142" s="1"/>
  <c r="A55" i="142" s="1"/>
  <c r="A56" i="142" s="1"/>
  <c r="A57" i="142" s="1"/>
  <c r="A58" i="142" s="1"/>
  <c r="A59" i="142" s="1"/>
  <c r="V9" i="142"/>
  <c r="U9" i="142"/>
  <c r="S9" i="142"/>
  <c r="R9" i="142"/>
  <c r="J9" i="142"/>
  <c r="I9" i="142"/>
  <c r="W9" i="142" s="1"/>
  <c r="A9" i="142"/>
  <c r="U8" i="142"/>
  <c r="V8" i="142" s="1"/>
  <c r="S8" i="142"/>
  <c r="R8" i="142"/>
  <c r="J8" i="142"/>
  <c r="J60" i="142" s="1"/>
  <c r="I8" i="142"/>
  <c r="W8" i="142" s="1"/>
  <c r="Q60" i="14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W53" i="141"/>
  <c r="V53" i="141"/>
  <c r="U53" i="141"/>
  <c r="S53" i="141"/>
  <c r="R53" i="141"/>
  <c r="J53" i="141"/>
  <c r="I53" i="141"/>
  <c r="U52" i="141"/>
  <c r="V52" i="141" s="1"/>
  <c r="S52" i="141"/>
  <c r="R52" i="141"/>
  <c r="J52" i="141"/>
  <c r="I52" i="141"/>
  <c r="W52" i="141" s="1"/>
  <c r="W51" i="141"/>
  <c r="V51" i="141"/>
  <c r="U51" i="141"/>
  <c r="S51" i="141"/>
  <c r="R51" i="141"/>
  <c r="J51" i="141"/>
  <c r="I51" i="141"/>
  <c r="U50" i="141"/>
  <c r="V50" i="141" s="1"/>
  <c r="S50" i="141"/>
  <c r="R50" i="141"/>
  <c r="J50" i="141"/>
  <c r="I50" i="141"/>
  <c r="W50" i="141" s="1"/>
  <c r="W49" i="141"/>
  <c r="V49" i="141"/>
  <c r="U49" i="141"/>
  <c r="S49" i="141"/>
  <c r="R49" i="141"/>
  <c r="J49" i="141"/>
  <c r="I49" i="141"/>
  <c r="U48" i="141"/>
  <c r="V48" i="141" s="1"/>
  <c r="S48" i="141"/>
  <c r="R48" i="141"/>
  <c r="J48" i="141"/>
  <c r="I48" i="141"/>
  <c r="W48" i="141" s="1"/>
  <c r="W47" i="141"/>
  <c r="V47" i="141"/>
  <c r="U47" i="141"/>
  <c r="S47" i="141"/>
  <c r="R47" i="141"/>
  <c r="J47" i="141"/>
  <c r="I47" i="141"/>
  <c r="U46" i="141"/>
  <c r="V46" i="141" s="1"/>
  <c r="S46" i="141"/>
  <c r="R46" i="141"/>
  <c r="J46" i="141"/>
  <c r="I46" i="141"/>
  <c r="W46" i="141" s="1"/>
  <c r="S45" i="141"/>
  <c r="S60" i="141" s="1"/>
  <c r="R45" i="141"/>
  <c r="J45" i="141"/>
  <c r="I45" i="141"/>
  <c r="U44" i="141"/>
  <c r="V44" i="141" s="1"/>
  <c r="S44" i="141"/>
  <c r="R44" i="141"/>
  <c r="J44" i="141"/>
  <c r="I44" i="141"/>
  <c r="W44" i="141" s="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W41" i="141" s="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W38" i="141" s="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W30" i="141" s="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U60" i="141" s="1"/>
  <c r="S27" i="141"/>
  <c r="R27" i="141"/>
  <c r="J27" i="141"/>
  <c r="I27" i="141"/>
  <c r="W27" i="141" s="1"/>
  <c r="BE26" i="141"/>
  <c r="V26" i="141"/>
  <c r="U26" i="141"/>
  <c r="S26" i="141"/>
  <c r="R26" i="141"/>
  <c r="J26" i="141"/>
  <c r="I26" i="141"/>
  <c r="W26" i="141" s="1"/>
  <c r="V25" i="141"/>
  <c r="U25" i="141"/>
  <c r="S25" i="141"/>
  <c r="R25" i="141"/>
  <c r="J25" i="141"/>
  <c r="I25" i="141"/>
  <c r="W25" i="141" s="1"/>
  <c r="V24" i="141"/>
  <c r="U24" i="141"/>
  <c r="S24" i="141"/>
  <c r="R24" i="141"/>
  <c r="J24" i="141"/>
  <c r="I24" i="141"/>
  <c r="W24" i="141" s="1"/>
  <c r="V23" i="141"/>
  <c r="U23" i="141"/>
  <c r="S23" i="141"/>
  <c r="R23" i="141"/>
  <c r="J23" i="141"/>
  <c r="I23" i="141"/>
  <c r="W23" i="141" s="1"/>
  <c r="V22" i="141"/>
  <c r="U22" i="141"/>
  <c r="S22" i="141"/>
  <c r="R22" i="141"/>
  <c r="J22" i="141"/>
  <c r="I22" i="141"/>
  <c r="W22" i="141" s="1"/>
  <c r="V21" i="141"/>
  <c r="U21" i="141"/>
  <c r="S21" i="141"/>
  <c r="R21" i="141"/>
  <c r="J21" i="141"/>
  <c r="I21" i="141"/>
  <c r="W21" i="141" s="1"/>
  <c r="V20" i="141"/>
  <c r="U20" i="141"/>
  <c r="S20" i="141"/>
  <c r="R20" i="141"/>
  <c r="J20" i="141"/>
  <c r="I20" i="141"/>
  <c r="W20" i="141" s="1"/>
  <c r="V19" i="141"/>
  <c r="U19" i="141"/>
  <c r="S19" i="141"/>
  <c r="R19" i="141"/>
  <c r="J19" i="141"/>
  <c r="I19" i="141"/>
  <c r="W19" i="141" s="1"/>
  <c r="V18" i="141"/>
  <c r="U18" i="141"/>
  <c r="S18" i="141"/>
  <c r="R18" i="141"/>
  <c r="J18" i="141"/>
  <c r="I18" i="141"/>
  <c r="W18" i="141" s="1"/>
  <c r="V17" i="141"/>
  <c r="U17" i="141"/>
  <c r="S17" i="141"/>
  <c r="R17" i="141"/>
  <c r="J17" i="141"/>
  <c r="I17" i="141"/>
  <c r="W17" i="141" s="1"/>
  <c r="V16" i="141"/>
  <c r="U16" i="141"/>
  <c r="S16" i="141"/>
  <c r="R16" i="141"/>
  <c r="J16" i="141"/>
  <c r="I16" i="141"/>
  <c r="W16" i="141" s="1"/>
  <c r="V15" i="141"/>
  <c r="U15" i="141"/>
  <c r="S15" i="141"/>
  <c r="R15" i="141"/>
  <c r="J15" i="141"/>
  <c r="I15" i="141"/>
  <c r="W15" i="141" s="1"/>
  <c r="V14" i="141"/>
  <c r="U14" i="141"/>
  <c r="S14" i="141"/>
  <c r="R14" i="141"/>
  <c r="J14" i="141"/>
  <c r="I14" i="141"/>
  <c r="W14" i="141" s="1"/>
  <c r="V13" i="141"/>
  <c r="U13" i="141"/>
  <c r="S13" i="141"/>
  <c r="R13" i="141"/>
  <c r="J13" i="141"/>
  <c r="I13" i="141"/>
  <c r="W13" i="141" s="1"/>
  <c r="V12" i="141"/>
  <c r="U12" i="141"/>
  <c r="S12" i="141"/>
  <c r="R12" i="141"/>
  <c r="J12" i="141"/>
  <c r="I12" i="141"/>
  <c r="W12" i="141" s="1"/>
  <c r="V11" i="141"/>
  <c r="U11" i="141"/>
  <c r="S11" i="141"/>
  <c r="R11" i="141"/>
  <c r="J11" i="141"/>
  <c r="I11" i="141"/>
  <c r="W11" i="141" s="1"/>
  <c r="V10" i="141"/>
  <c r="U10" i="141"/>
  <c r="S10" i="141"/>
  <c r="R10" i="141"/>
  <c r="J10" i="141"/>
  <c r="I10" i="141"/>
  <c r="W10" i="141" s="1"/>
  <c r="A10" i="14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V9" i="141"/>
  <c r="U9" i="141"/>
  <c r="S9" i="141"/>
  <c r="R9" i="141"/>
  <c r="R60" i="141" s="1"/>
  <c r="J9" i="141"/>
  <c r="I9" i="141"/>
  <c r="W9" i="141" s="1"/>
  <c r="A9" i="141"/>
  <c r="V8" i="141"/>
  <c r="U8" i="141"/>
  <c r="S8" i="141"/>
  <c r="R8" i="141"/>
  <c r="J8" i="141"/>
  <c r="J60" i="141" s="1"/>
  <c r="I8" i="141"/>
  <c r="W8" i="141" s="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W41" i="140" s="1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7" i="140"/>
  <c r="U37" i="140"/>
  <c r="V37" i="140" s="1"/>
  <c r="S37" i="140"/>
  <c r="R37" i="140"/>
  <c r="J37" i="140"/>
  <c r="I37" i="140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W35" i="140" s="1"/>
  <c r="I35" i="140"/>
  <c r="U34" i="140"/>
  <c r="V34" i="140" s="1"/>
  <c r="S34" i="140"/>
  <c r="R34" i="140"/>
  <c r="J34" i="140"/>
  <c r="I34" i="140"/>
  <c r="W34" i="140" s="1"/>
  <c r="W33" i="140"/>
  <c r="U33" i="140"/>
  <c r="V33" i="140" s="1"/>
  <c r="S33" i="140"/>
  <c r="R33" i="140"/>
  <c r="J33" i="140"/>
  <c r="I33" i="140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V25" i="140"/>
  <c r="U25" i="140"/>
  <c r="S25" i="140"/>
  <c r="R25" i="140"/>
  <c r="J25" i="140"/>
  <c r="I25" i="140"/>
  <c r="W25" i="140" s="1"/>
  <c r="U24" i="140"/>
  <c r="V24" i="140" s="1"/>
  <c r="S24" i="140"/>
  <c r="R24" i="140"/>
  <c r="J24" i="140"/>
  <c r="I24" i="140"/>
  <c r="W24" i="140" s="1"/>
  <c r="W23" i="140"/>
  <c r="V23" i="140"/>
  <c r="U23" i="140"/>
  <c r="S23" i="140"/>
  <c r="R23" i="140"/>
  <c r="J23" i="140"/>
  <c r="I23" i="140"/>
  <c r="U22" i="140"/>
  <c r="V22" i="140" s="1"/>
  <c r="S22" i="140"/>
  <c r="R22" i="140"/>
  <c r="J22" i="140"/>
  <c r="I22" i="140"/>
  <c r="W22" i="140" s="1"/>
  <c r="V21" i="140"/>
  <c r="U21" i="140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W19" i="140"/>
  <c r="V19" i="140"/>
  <c r="U19" i="140"/>
  <c r="S19" i="140"/>
  <c r="R19" i="140"/>
  <c r="J19" i="140"/>
  <c r="I19" i="140"/>
  <c r="U18" i="140"/>
  <c r="V18" i="140" s="1"/>
  <c r="S18" i="140"/>
  <c r="R18" i="140"/>
  <c r="J18" i="140"/>
  <c r="I18" i="140"/>
  <c r="W18" i="140" s="1"/>
  <c r="W17" i="140"/>
  <c r="V17" i="140"/>
  <c r="U17" i="140"/>
  <c r="S17" i="140"/>
  <c r="R17" i="140"/>
  <c r="J17" i="140"/>
  <c r="I17" i="140"/>
  <c r="U16" i="140"/>
  <c r="V16" i="140" s="1"/>
  <c r="S16" i="140"/>
  <c r="R16" i="140"/>
  <c r="J16" i="140"/>
  <c r="I16" i="140"/>
  <c r="W16" i="140" s="1"/>
  <c r="W15" i="140"/>
  <c r="V15" i="140"/>
  <c r="U15" i="140"/>
  <c r="S15" i="140"/>
  <c r="R15" i="140"/>
  <c r="J15" i="140"/>
  <c r="I15" i="140"/>
  <c r="U14" i="140"/>
  <c r="V14" i="140" s="1"/>
  <c r="S14" i="140"/>
  <c r="R14" i="140"/>
  <c r="J14" i="140"/>
  <c r="I14" i="140"/>
  <c r="U13" i="140"/>
  <c r="V13" i="140" s="1"/>
  <c r="S13" i="140"/>
  <c r="R13" i="140"/>
  <c r="J13" i="140"/>
  <c r="I13" i="140"/>
  <c r="U12" i="140"/>
  <c r="V12" i="140" s="1"/>
  <c r="S12" i="140"/>
  <c r="R12" i="140"/>
  <c r="J12" i="140"/>
  <c r="I12" i="140"/>
  <c r="W12" i="140" s="1"/>
  <c r="V11" i="140"/>
  <c r="U11" i="140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A10" i="140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V9" i="140"/>
  <c r="U9" i="140"/>
  <c r="S9" i="140"/>
  <c r="R9" i="140"/>
  <c r="J9" i="140"/>
  <c r="I9" i="140"/>
  <c r="A9" i="140"/>
  <c r="U8" i="140"/>
  <c r="S8" i="140"/>
  <c r="R8" i="140"/>
  <c r="J8" i="140"/>
  <c r="I8" i="140"/>
  <c r="W8" i="140" s="1"/>
  <c r="W44" i="140" l="1"/>
  <c r="W38" i="140"/>
  <c r="W30" i="140"/>
  <c r="W14" i="140"/>
  <c r="S60" i="140"/>
  <c r="R60" i="140"/>
  <c r="U60" i="140"/>
  <c r="W13" i="140"/>
  <c r="J60" i="140"/>
  <c r="W9" i="140"/>
  <c r="W60" i="143"/>
  <c r="V8" i="143"/>
  <c r="V60" i="143" s="1"/>
  <c r="W60" i="142"/>
  <c r="V27" i="142"/>
  <c r="V60" i="142" s="1"/>
  <c r="I60" i="142"/>
  <c r="W60" i="141"/>
  <c r="V27" i="141"/>
  <c r="V60" i="141" s="1"/>
  <c r="I60" i="141"/>
  <c r="I60" i="140"/>
  <c r="V8" i="140"/>
  <c r="V60" i="140" s="1"/>
  <c r="J13" i="134"/>
  <c r="W60" i="140" l="1"/>
  <c r="C48" i="132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V53" i="139"/>
  <c r="U53" i="139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V51" i="139"/>
  <c r="U51" i="139"/>
  <c r="S51" i="139"/>
  <c r="R51" i="139"/>
  <c r="J51" i="139"/>
  <c r="I51" i="139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R45" i="139"/>
  <c r="J45" i="139"/>
  <c r="I45" i="139"/>
  <c r="U44" i="139"/>
  <c r="V44" i="139" s="1"/>
  <c r="S44" i="139"/>
  <c r="R44" i="139"/>
  <c r="J44" i="139"/>
  <c r="I44" i="139"/>
  <c r="W44" i="139" s="1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W41" i="139" s="1"/>
  <c r="W40" i="139"/>
  <c r="V40" i="139"/>
  <c r="U40" i="139"/>
  <c r="S40" i="139"/>
  <c r="R40" i="139"/>
  <c r="J40" i="139"/>
  <c r="I40" i="139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W30" i="139" s="1"/>
  <c r="I30" i="139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V26" i="139"/>
  <c r="U26" i="139"/>
  <c r="S26" i="139"/>
  <c r="R26" i="139"/>
  <c r="J26" i="139"/>
  <c r="I26" i="139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V23" i="139"/>
  <c r="U23" i="139"/>
  <c r="S23" i="139"/>
  <c r="R23" i="139"/>
  <c r="J23" i="139"/>
  <c r="I23" i="139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S8" i="139"/>
  <c r="R8" i="139"/>
  <c r="J8" i="139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V52" i="138"/>
  <c r="U52" i="138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V50" i="138"/>
  <c r="U50" i="138"/>
  <c r="S50" i="138"/>
  <c r="R50" i="138"/>
  <c r="J50" i="138"/>
  <c r="I50" i="138"/>
  <c r="W50" i="138" s="1"/>
  <c r="W49" i="138"/>
  <c r="U49" i="138"/>
  <c r="V49" i="138" s="1"/>
  <c r="S49" i="138"/>
  <c r="R49" i="138"/>
  <c r="J49" i="138"/>
  <c r="I49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8" i="138"/>
  <c r="U28" i="138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J8" i="138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38" i="139" l="1"/>
  <c r="U60" i="139"/>
  <c r="W26" i="139"/>
  <c r="W24" i="139"/>
  <c r="W23" i="139"/>
  <c r="W20" i="139"/>
  <c r="R60" i="139"/>
  <c r="S60" i="139"/>
  <c r="W13" i="139"/>
  <c r="J60" i="139"/>
  <c r="W8" i="139"/>
  <c r="W48" i="138"/>
  <c r="W44" i="138"/>
  <c r="W41" i="138"/>
  <c r="W30" i="138"/>
  <c r="W38" i="138"/>
  <c r="W35" i="138"/>
  <c r="W29" i="138"/>
  <c r="W26" i="138"/>
  <c r="W24" i="138"/>
  <c r="W23" i="138"/>
  <c r="U60" i="138"/>
  <c r="S60" i="138"/>
  <c r="W13" i="138"/>
  <c r="W12" i="138"/>
  <c r="R60" i="138"/>
  <c r="W9" i="138"/>
  <c r="J60" i="138"/>
  <c r="W8" i="138"/>
  <c r="W44" i="137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I60" i="139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9" l="1"/>
  <c r="W60" i="138"/>
  <c r="W60" i="137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536CD40-BC13-4E16-B097-150CBD802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265114-368D-43B9-82A2-299BAADB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545812-7B2C-4165-825C-6361EF017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C14793-BBEA-40DF-A7B0-8BDDFA300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3F6FAA-ADEE-455F-8A0F-F0CC24FCB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7FD1A8A-CED5-4722-B146-09136186A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95C3D00-E343-48D0-A4BE-AF1C90FD4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A71A40B-CEF1-40AD-B3B4-048FA49CF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F5163A-AE99-4D59-A1F5-4FA80BE27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6A6C30F-3ACC-48B2-A76D-5F8C47B4FD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794C96C-688E-4967-B0DC-11D81D6ED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AA8F25F-F7E7-4682-AF9D-692DDCA9C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<sst xmlns="http://schemas.openxmlformats.org/spreadsheetml/2006/main" count="1378" uniqueCount="82">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</sst>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/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06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46237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5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46238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46239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46240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46241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46242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46244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>
        <v>1</v>
      </c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3462</v>
      </c>
      <c r="D13" s="114">
        <v>14</v>
      </c>
      <c r="E13" s="115"/>
      <c r="F13" s="115"/>
      <c r="G13" s="78">
        <v>34</v>
      </c>
      <c r="H13" s="79">
        <v>27</v>
      </c>
      <c r="I13" s="80">
        <f t="shared" si="4"/>
        <v>3428</v>
      </c>
      <c r="J13" s="94">
        <f>D13-H13</f>
        <v>-13</v>
      </c>
      <c r="K13" s="53"/>
      <c r="L13" s="121">
        <v>6</v>
      </c>
      <c r="M13" s="121">
        <v>7</v>
      </c>
      <c r="N13" s="121">
        <v>16</v>
      </c>
      <c r="O13" s="121">
        <v>17</v>
      </c>
      <c r="P13" s="121">
        <v>12</v>
      </c>
      <c r="Q13" s="122">
        <v>3</v>
      </c>
      <c r="R13" s="97">
        <f>L13+N13+P13</f>
        <v>34</v>
      </c>
      <c r="S13" s="125">
        <f>M13+O13+Q13</f>
        <v>27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82259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</v>
      </c>
      <c r="D29" s="111"/>
      <c r="E29" s="112"/>
      <c r="F29" s="112"/>
      <c r="G29" s="76">
        <v>7</v>
      </c>
      <c r="H29" s="73"/>
      <c r="I29" s="73">
        <f t="shared" si="4"/>
        <v>5</v>
      </c>
      <c r="J29" s="77">
        <f t="shared" si="7"/>
        <v>0</v>
      </c>
      <c r="K29" s="42"/>
      <c r="L29" s="112">
        <v>1</v>
      </c>
      <c r="M29" s="112"/>
      <c r="N29" s="112">
        <v>6</v>
      </c>
      <c r="O29" s="112"/>
      <c r="P29" s="112"/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120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>
        <v>1</v>
      </c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/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3765</v>
      </c>
      <c r="D38" s="114">
        <v>1</v>
      </c>
      <c r="E38" s="115"/>
      <c r="F38" s="115"/>
      <c r="G38" s="78">
        <v>225</v>
      </c>
      <c r="H38" s="79"/>
      <c r="I38" s="80">
        <f t="shared" si="4"/>
        <v>3540</v>
      </c>
      <c r="J38" s="140">
        <f t="shared" si="7"/>
        <v>1</v>
      </c>
      <c r="K38" s="51"/>
      <c r="L38" s="121">
        <v>8</v>
      </c>
      <c r="M38" s="121"/>
      <c r="N38" s="121">
        <v>125</v>
      </c>
      <c r="O38" s="121"/>
      <c r="P38" s="121">
        <v>92</v>
      </c>
      <c r="Q38" s="122"/>
      <c r="R38" s="97">
        <f t="shared" si="8"/>
        <v>225</v>
      </c>
      <c r="S38" s="125">
        <f t="shared" si="8"/>
        <v>0</v>
      </c>
      <c r="T38" s="51"/>
      <c r="U38" s="131">
        <f>L38*6+N38*6+P38*6</f>
        <v>1350</v>
      </c>
      <c r="V38" s="135">
        <f>U38/6</f>
        <v>225</v>
      </c>
      <c r="W38" s="133">
        <f>I38*6+J38</f>
        <v>21241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</v>
      </c>
      <c r="D42" s="164"/>
      <c r="E42" s="165"/>
      <c r="F42" s="165"/>
      <c r="G42" s="166">
        <v>30</v>
      </c>
      <c r="H42" s="167"/>
      <c r="I42" s="181">
        <f t="shared" si="4"/>
        <v>6</v>
      </c>
      <c r="J42" s="168">
        <f t="shared" si="7"/>
        <v>0</v>
      </c>
      <c r="K42" s="169"/>
      <c r="L42" s="165">
        <v>2</v>
      </c>
      <c r="M42" s="165"/>
      <c r="N42" s="165">
        <v>2</v>
      </c>
      <c r="O42" s="165"/>
      <c r="P42" s="165">
        <v>26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41143</v>
      </c>
      <c r="D44" s="114">
        <v>4</v>
      </c>
      <c r="E44" s="115"/>
      <c r="F44" s="115"/>
      <c r="G44" s="78">
        <v>1168</v>
      </c>
      <c r="H44" s="79"/>
      <c r="I44" s="182">
        <f t="shared" si="4"/>
        <v>39975</v>
      </c>
      <c r="J44" s="177">
        <f t="shared" si="7"/>
        <v>4</v>
      </c>
      <c r="K44" s="51"/>
      <c r="L44" s="121">
        <v>323</v>
      </c>
      <c r="M44" s="121"/>
      <c r="N44" s="121">
        <v>361</v>
      </c>
      <c r="O44" s="121"/>
      <c r="P44" s="121">
        <v>484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239854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51926</v>
      </c>
      <c r="D60" s="54">
        <f>SUM(D8:D59)</f>
        <v>148</v>
      </c>
      <c r="E60" s="44">
        <f>SUM(E8:E59)</f>
        <v>0</v>
      </c>
      <c r="F60" s="44"/>
      <c r="G60" s="28">
        <f>SUM(G8:G59)</f>
        <v>1466</v>
      </c>
      <c r="H60" s="56">
        <f>SUM(H8:H59)</f>
        <v>27</v>
      </c>
      <c r="I60" s="56">
        <f>SUM(I8:I59)</f>
        <v>50460</v>
      </c>
      <c r="J60" s="45">
        <f>SUM(J8:J59)</f>
        <v>121</v>
      </c>
      <c r="K60" s="46"/>
      <c r="L60" s="74">
        <f t="shared" ref="L60:S60" si="21">SUM(L8:L59)</f>
        <v>340</v>
      </c>
      <c r="M60" s="74">
        <f t="shared" si="21"/>
        <v>7</v>
      </c>
      <c r="N60" s="74">
        <f t="shared" si="21"/>
        <v>512</v>
      </c>
      <c r="O60" s="74">
        <f t="shared" si="21"/>
        <v>17</v>
      </c>
      <c r="P60" s="74">
        <f t="shared" si="21"/>
        <v>614</v>
      </c>
      <c r="Q60" s="75">
        <f t="shared" si="21"/>
        <v>3</v>
      </c>
      <c r="R60" s="85">
        <f t="shared" si="21"/>
        <v>1466</v>
      </c>
      <c r="S60" s="84">
        <f t="shared" si="21"/>
        <v>27</v>
      </c>
      <c r="T60" s="46"/>
      <c r="U60" s="43">
        <f>SUM(U8:U59)</f>
        <v>9750</v>
      </c>
      <c r="V60" s="102">
        <f>SUM(V8:V59)</f>
        <v>1466</v>
      </c>
      <c r="W60" s="180">
        <f>SUM(W8:W59)</f>
        <v>378571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46245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3427</v>
      </c>
      <c r="D13" s="114">
        <v>11</v>
      </c>
      <c r="E13" s="115"/>
      <c r="F13" s="115"/>
      <c r="G13" s="78">
        <v>33</v>
      </c>
      <c r="H13" s="79">
        <v>35</v>
      </c>
      <c r="I13" s="80">
        <f t="shared" si="4"/>
        <v>3394</v>
      </c>
      <c r="J13" s="94">
        <f>D13-H13</f>
        <v>-24</v>
      </c>
      <c r="K13" s="53"/>
      <c r="L13" s="121">
        <v>8</v>
      </c>
      <c r="M13" s="121">
        <v>14</v>
      </c>
      <c r="N13" s="121">
        <v>10</v>
      </c>
      <c r="O13" s="121">
        <v>18</v>
      </c>
      <c r="P13" s="121">
        <v>15</v>
      </c>
      <c r="Q13" s="122">
        <v>3</v>
      </c>
      <c r="R13" s="97">
        <f>L13+N13+P13</f>
        <v>33</v>
      </c>
      <c r="S13" s="125">
        <f>M13+O13+Q13</f>
        <v>35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81432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>
        <v>1</v>
      </c>
      <c r="H28" s="73"/>
      <c r="I28" s="73">
        <f t="shared" si="4"/>
        <v>3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</v>
      </c>
      <c r="D29" s="111"/>
      <c r="E29" s="112"/>
      <c r="F29" s="112"/>
      <c r="G29" s="76">
        <v>2</v>
      </c>
      <c r="H29" s="73"/>
      <c r="I29" s="73">
        <f t="shared" si="4"/>
        <v>3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1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/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>
        <v>4</v>
      </c>
      <c r="H35" s="73"/>
      <c r="I35" s="73">
        <f t="shared" si="4"/>
        <v>194</v>
      </c>
      <c r="J35" s="77">
        <f t="shared" si="7"/>
        <v>2</v>
      </c>
      <c r="K35" s="41"/>
      <c r="L35" s="112">
        <v>4</v>
      </c>
      <c r="M35" s="112"/>
      <c r="N35" s="112"/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3540</v>
      </c>
      <c r="D38" s="114">
        <v>1</v>
      </c>
      <c r="E38" s="115"/>
      <c r="F38" s="115"/>
      <c r="G38" s="78">
        <v>83</v>
      </c>
      <c r="H38" s="79"/>
      <c r="I38" s="80">
        <f t="shared" si="4"/>
        <v>3457</v>
      </c>
      <c r="J38" s="140">
        <f t="shared" si="7"/>
        <v>1</v>
      </c>
      <c r="K38" s="51"/>
      <c r="L38" s="121">
        <v>30</v>
      </c>
      <c r="M38" s="121"/>
      <c r="N38" s="121">
        <v>23</v>
      </c>
      <c r="O38" s="121"/>
      <c r="P38" s="121">
        <v>30</v>
      </c>
      <c r="Q38" s="122"/>
      <c r="R38" s="97">
        <f t="shared" si="8"/>
        <v>83</v>
      </c>
      <c r="S38" s="125">
        <f t="shared" si="8"/>
        <v>0</v>
      </c>
      <c r="T38" s="51"/>
      <c r="U38" s="131">
        <f>L38*6+N38*6+P38*6</f>
        <v>498</v>
      </c>
      <c r="V38" s="135">
        <f>U38/6</f>
        <v>83</v>
      </c>
      <c r="W38" s="133">
        <f>I38*6+J38</f>
        <v>20743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>
        <v>252</v>
      </c>
      <c r="F41" s="148"/>
      <c r="G41" s="149">
        <v>2</v>
      </c>
      <c r="H41" s="150"/>
      <c r="I41" s="80">
        <f t="shared" si="4"/>
        <v>370</v>
      </c>
      <c r="J41" s="152">
        <f t="shared" si="7"/>
        <v>20</v>
      </c>
      <c r="K41" s="153"/>
      <c r="L41" s="154">
        <v>2</v>
      </c>
      <c r="M41" s="154"/>
      <c r="N41" s="154"/>
      <c r="O41" s="154"/>
      <c r="P41" s="154"/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</v>
      </c>
      <c r="D42" s="164"/>
      <c r="E42" s="165">
        <v>576</v>
      </c>
      <c r="F42" s="165"/>
      <c r="G42" s="166">
        <v>6</v>
      </c>
      <c r="H42" s="167"/>
      <c r="I42" s="181">
        <f t="shared" si="4"/>
        <v>576</v>
      </c>
      <c r="J42" s="168">
        <f t="shared" si="7"/>
        <v>0</v>
      </c>
      <c r="K42" s="169"/>
      <c r="L42" s="165">
        <v>3</v>
      </c>
      <c r="M42" s="165"/>
      <c r="N42" s="165">
        <v>3</v>
      </c>
      <c r="O42" s="165"/>
      <c r="P42" s="165"/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6912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39975</v>
      </c>
      <c r="D44" s="114">
        <v>4</v>
      </c>
      <c r="E44" s="115">
        <v>756</v>
      </c>
      <c r="F44" s="115"/>
      <c r="G44" s="78">
        <v>1164</v>
      </c>
      <c r="H44" s="79"/>
      <c r="I44" s="182">
        <f t="shared" si="4"/>
        <v>39567</v>
      </c>
      <c r="J44" s="177">
        <f t="shared" si="7"/>
        <v>4</v>
      </c>
      <c r="K44" s="51"/>
      <c r="L44" s="121">
        <v>402</v>
      </c>
      <c r="M44" s="121"/>
      <c r="N44" s="121">
        <v>344</v>
      </c>
      <c r="O44" s="121"/>
      <c r="P44" s="121">
        <v>418</v>
      </c>
      <c r="Q44" s="122"/>
      <c r="R44" s="178">
        <f t="shared" si="8"/>
        <v>1164</v>
      </c>
      <c r="S44" s="179">
        <f t="shared" si="8"/>
        <v>0</v>
      </c>
      <c r="T44" s="51"/>
      <c r="U44" s="131">
        <f>L44*6+N44*6+P44*6</f>
        <v>6984</v>
      </c>
      <c r="V44" s="130">
        <f>U44/6</f>
        <v>1164</v>
      </c>
      <c r="W44" s="133">
        <f>I44*6+J44</f>
        <v>237406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>
        <v>6</v>
      </c>
      <c r="H48" s="139"/>
      <c r="I48" s="80">
        <f t="shared" si="4"/>
        <v>2696</v>
      </c>
      <c r="J48" s="140">
        <f t="shared" si="7"/>
        <v>3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16179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50459</v>
      </c>
      <c r="D60" s="54">
        <f>SUM(D8:D59)</f>
        <v>145</v>
      </c>
      <c r="E60" s="44">
        <f>SUM(E8:E59)</f>
        <v>1599</v>
      </c>
      <c r="F60" s="44"/>
      <c r="G60" s="28">
        <f>SUM(G8:G59)</f>
        <v>1301</v>
      </c>
      <c r="H60" s="56">
        <f>SUM(H8:H59)</f>
        <v>35</v>
      </c>
      <c r="I60" s="56">
        <f>SUM(I8:I59)</f>
        <v>50757</v>
      </c>
      <c r="J60" s="45">
        <f>SUM(J8:J59)</f>
        <v>110</v>
      </c>
      <c r="K60" s="46"/>
      <c r="L60" s="74">
        <f t="shared" ref="L60:S60" si="21">SUM(L8:L59)</f>
        <v>457</v>
      </c>
      <c r="M60" s="74">
        <f t="shared" si="21"/>
        <v>14</v>
      </c>
      <c r="N60" s="74">
        <f t="shared" si="21"/>
        <v>380</v>
      </c>
      <c r="O60" s="74">
        <f t="shared" si="21"/>
        <v>18</v>
      </c>
      <c r="P60" s="74">
        <f t="shared" si="21"/>
        <v>464</v>
      </c>
      <c r="Q60" s="75">
        <f t="shared" si="21"/>
        <v>3</v>
      </c>
      <c r="R60" s="85">
        <f t="shared" si="21"/>
        <v>1301</v>
      </c>
      <c r="S60" s="84">
        <f t="shared" si="21"/>
        <v>35</v>
      </c>
      <c r="T60" s="46"/>
      <c r="U60" s="43">
        <f>SUM(U8:U59)</f>
        <v>8598</v>
      </c>
      <c r="V60" s="102">
        <f>SUM(V8:V59)</f>
        <v>1301</v>
      </c>
      <c r="W60" s="180">
        <f>SUM(W8:W59)</f>
        <v>387794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C984-7640-4FF6-AB98-89B32DFF90F7}">
  <sheetPr>
    <pageSetUpPr fitToPage="1"/>
  </sheetPr>
  <dimension ref="A1:BH90"/>
  <sheetViews>
    <sheetView tabSelected="1" topLeftCell="A34" zoomScale="115" zoomScaleNormal="11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46246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</v>
      </c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3393</v>
      </c>
      <c r="D13" s="114"/>
      <c r="E13" s="115"/>
      <c r="F13" s="115"/>
      <c r="G13" s="78">
        <v>26</v>
      </c>
      <c r="H13" s="79">
        <v>35</v>
      </c>
      <c r="I13" s="80">
        <f t="shared" si="4"/>
        <v>3367</v>
      </c>
      <c r="J13" s="94">
        <f>D13-H13</f>
        <v>-35</v>
      </c>
      <c r="K13" s="53"/>
      <c r="L13" s="121">
        <v>9</v>
      </c>
      <c r="M13" s="121">
        <v>10</v>
      </c>
      <c r="N13" s="121">
        <v>10</v>
      </c>
      <c r="O13" s="121">
        <v>13</v>
      </c>
      <c r="P13" s="121">
        <v>7</v>
      </c>
      <c r="Q13" s="122">
        <v>12</v>
      </c>
      <c r="R13" s="97">
        <f>L13+N13+P13</f>
        <v>26</v>
      </c>
      <c r="S13" s="125">
        <f>M13+O13+Q13</f>
        <v>35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80773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>
        <v>2</v>
      </c>
      <c r="H26" s="73"/>
      <c r="I26" s="73">
        <f t="shared" si="4"/>
        <v>53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1273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3</v>
      </c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>
        <v>1</v>
      </c>
      <c r="H30" s="73"/>
      <c r="I30" s="73">
        <f t="shared" si="4"/>
        <v>27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653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1</v>
      </c>
      <c r="H31" s="73"/>
      <c r="I31" s="73">
        <f t="shared" si="4"/>
        <v>14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336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/>
      <c r="H35" s="73"/>
      <c r="I35" s="73">
        <f t="shared" si="4"/>
        <v>194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3457</v>
      </c>
      <c r="D38" s="114">
        <v>1</v>
      </c>
      <c r="E38" s="115"/>
      <c r="F38" s="115"/>
      <c r="G38" s="78">
        <v>93</v>
      </c>
      <c r="H38" s="79"/>
      <c r="I38" s="80">
        <f t="shared" si="4"/>
        <v>3364</v>
      </c>
      <c r="J38" s="140">
        <f t="shared" si="7"/>
        <v>1</v>
      </c>
      <c r="K38" s="51"/>
      <c r="L38" s="121">
        <v>32</v>
      </c>
      <c r="M38" s="121">
        <v>10</v>
      </c>
      <c r="N38" s="121"/>
      <c r="O38" s="121"/>
      <c r="P38" s="121">
        <v>51</v>
      </c>
      <c r="Q38" s="122"/>
      <c r="R38" s="97">
        <f t="shared" si="8"/>
        <v>83</v>
      </c>
      <c r="S38" s="125">
        <f t="shared" si="8"/>
        <v>10</v>
      </c>
      <c r="T38" s="51"/>
      <c r="U38" s="131">
        <f>L38*6+N38*6+P38*6</f>
        <v>498</v>
      </c>
      <c r="V38" s="135">
        <f>U38/6</f>
        <v>83</v>
      </c>
      <c r="W38" s="133">
        <f>I38*6+J38</f>
        <v>20185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370</v>
      </c>
      <c r="D41" s="147">
        <v>20</v>
      </c>
      <c r="E41" s="148"/>
      <c r="F41" s="148"/>
      <c r="G41" s="149">
        <v>2</v>
      </c>
      <c r="H41" s="150"/>
      <c r="I41" s="80">
        <f t="shared" si="4"/>
        <v>368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576</v>
      </c>
      <c r="D42" s="164"/>
      <c r="E42" s="165"/>
      <c r="F42" s="165"/>
      <c r="G42" s="166">
        <v>10</v>
      </c>
      <c r="H42" s="167"/>
      <c r="I42" s="181">
        <f t="shared" si="4"/>
        <v>566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/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6792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39567</v>
      </c>
      <c r="D44" s="114">
        <v>3</v>
      </c>
      <c r="E44" s="115"/>
      <c r="F44" s="115"/>
      <c r="G44" s="78">
        <v>1286</v>
      </c>
      <c r="H44" s="79"/>
      <c r="I44" s="182">
        <f t="shared" si="4"/>
        <v>38281</v>
      </c>
      <c r="J44" s="177">
        <f t="shared" si="7"/>
        <v>3</v>
      </c>
      <c r="K44" s="51"/>
      <c r="L44" s="121">
        <v>632</v>
      </c>
      <c r="M44" s="121"/>
      <c r="N44" s="121">
        <v>362</v>
      </c>
      <c r="O44" s="121"/>
      <c r="P44" s="121">
        <v>292</v>
      </c>
      <c r="Q44" s="122"/>
      <c r="R44" s="178">
        <f t="shared" si="8"/>
        <v>1286</v>
      </c>
      <c r="S44" s="179">
        <f t="shared" si="8"/>
        <v>0</v>
      </c>
      <c r="T44" s="51"/>
      <c r="U44" s="131">
        <f>L44*6+N44*6+P44*6</f>
        <v>7716</v>
      </c>
      <c r="V44" s="130">
        <f>U44/6</f>
        <v>1286</v>
      </c>
      <c r="W44" s="133">
        <f>I44*6+J44</f>
        <v>229689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2696</v>
      </c>
      <c r="D48" s="142">
        <v>3</v>
      </c>
      <c r="E48" s="121"/>
      <c r="F48" s="121"/>
      <c r="G48" s="143">
        <v>5</v>
      </c>
      <c r="H48" s="139"/>
      <c r="I48" s="80">
        <f t="shared" si="4"/>
        <v>2691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50756</v>
      </c>
      <c r="D60" s="54">
        <f>SUM(D8:D59)</f>
        <v>133</v>
      </c>
      <c r="E60" s="44">
        <f>SUM(E8:E59)</f>
        <v>0</v>
      </c>
      <c r="F60" s="44"/>
      <c r="G60" s="28">
        <f>SUM(G8:G59)</f>
        <v>1430</v>
      </c>
      <c r="H60" s="56">
        <f>SUM(H8:H59)</f>
        <v>35</v>
      </c>
      <c r="I60" s="56">
        <f>SUM(I8:I59)</f>
        <v>49326</v>
      </c>
      <c r="J60" s="45">
        <f>SUM(J8:J59)</f>
        <v>98</v>
      </c>
      <c r="K60" s="46"/>
      <c r="L60" s="74">
        <f t="shared" ref="L60:S60" si="21">SUM(L8:L59)</f>
        <v>688</v>
      </c>
      <c r="M60" s="74">
        <f t="shared" si="21"/>
        <v>20</v>
      </c>
      <c r="N60" s="74">
        <f t="shared" si="21"/>
        <v>372</v>
      </c>
      <c r="O60" s="74">
        <f t="shared" si="21"/>
        <v>13</v>
      </c>
      <c r="P60" s="74">
        <f t="shared" si="21"/>
        <v>360</v>
      </c>
      <c r="Q60" s="75">
        <f t="shared" si="21"/>
        <v>12</v>
      </c>
      <c r="R60" s="85">
        <f t="shared" si="21"/>
        <v>1420</v>
      </c>
      <c r="S60" s="84">
        <f t="shared" si="21"/>
        <v>45</v>
      </c>
      <c r="T60" s="46"/>
      <c r="U60" s="43">
        <f>SUM(U8:U59)</f>
        <v>9228</v>
      </c>
      <c r="V60" s="102">
        <f>SUM(V8:V59)</f>
        <v>1420</v>
      </c>
      <c r="W60" s="180">
        <f>SUM(W8:W59)</f>
        <v>378470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9691-D32E-4EF3-A38C-64AA92DFEDB5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46247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866B-6F1F-4678-A0E6-52EC5609CFD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46248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3C08-1D50-4CDF-8E0C-74CA3D9507D3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46249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08,12</vt:lpstr>
      <vt:lpstr>08,13</vt:lpstr>
      <vt:lpstr>08,14</vt:lpstr>
      <vt:lpstr>08,15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'08,12'!Print_Area</vt:lpstr>
      <vt:lpstr>'08,13'!Print_Area</vt:lpstr>
      <vt:lpstr>'08,14'!Print_Area</vt:lpstr>
      <vt:lpstr>'08,15'!Print_Area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2026-08-13T05:30:19Z</dcterms:modified>
</cp:coreProperties>
</file>