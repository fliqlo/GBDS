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E71085B-C95D-4F36-8499-F2B7F0B6BD47}" xr6:coauthVersionLast="45" xr6:coauthVersionMax="45" xr10:uidLastSave="{00000000-0000-0000-0000-000000000000}"/>
  <bookViews>
    <workbookView xWindow="-120" yWindow="-120" windowWidth="29040" windowHeight="15840" activeTab="6" xr2:uid="{00000000-000D-0000-FFFF-FFFF00000000}"/>
  </bookViews>
  <sheets>
    <sheet name="EXAMPLE" sheetId="89" r:id="rId1"/>
    <sheet name="08,03" sheetId="132" r:id="rId2"/>
    <sheet name="08,04" sheetId="133" r:id="rId3"/>
    <sheet name="08,05" sheetId="134" r:id="rId4"/>
    <sheet name="08,06" sheetId="135" r:id="rId5"/>
    <sheet name="08,07" sheetId="136" r:id="rId6"/>
    <sheet name="08,08" sheetId="137" r:id="rId7"/>
    <sheet name="08,10" sheetId="138" r:id="rId8"/>
    <sheet name="08,11" sheetId="139" r:id="rId9"/>
  </sheets>
  <definedNames>
    <definedName name="_xlnm.Print_Area" localSheetId="1">'08,03'!$A$1:$Y$61</definedName>
    <definedName name="_xlnm.Print_Area" localSheetId="2">'08,04'!$A$1:$Y$61</definedName>
    <definedName name="_xlnm.Print_Area" localSheetId="3">'08,05'!$A$1:$Y$61</definedName>
    <definedName name="_xlnm.Print_Area" localSheetId="4">'08,06'!$A$1:$Y$61</definedName>
    <definedName name="_xlnm.Print_Area" localSheetId="5">'08,07'!$A$1:$Y$61</definedName>
    <definedName name="_xlnm.Print_Area" localSheetId="6">'08,08'!$A$1:$Y$61</definedName>
    <definedName name="_xlnm.Print_Area" localSheetId="7">'08,10'!$A$1:$Y$61</definedName>
    <definedName name="_xlnm.Print_Area" localSheetId="8">'08,11'!$A$1:$Y$61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3" i="134" l="1"/>
  <c r="C48" i="132" l="1"/>
  <c r="Q60" i="139"/>
  <c r="P60" i="139"/>
  <c r="O60" i="139"/>
  <c r="N60" i="139"/>
  <c r="M60" i="139"/>
  <c r="L60" i="139"/>
  <c r="H60" i="139"/>
  <c r="G60" i="139"/>
  <c r="E60" i="139"/>
  <c r="D60" i="139"/>
  <c r="C60" i="139"/>
  <c r="S59" i="139"/>
  <c r="R59" i="139"/>
  <c r="J59" i="139"/>
  <c r="I59" i="139"/>
  <c r="S58" i="139"/>
  <c r="R58" i="139"/>
  <c r="J58" i="139"/>
  <c r="I58" i="139"/>
  <c r="S57" i="139"/>
  <c r="R57" i="139"/>
  <c r="J57" i="139"/>
  <c r="I57" i="139"/>
  <c r="S56" i="139"/>
  <c r="R56" i="139"/>
  <c r="J56" i="139"/>
  <c r="I56" i="139"/>
  <c r="S55" i="139"/>
  <c r="R55" i="139"/>
  <c r="J55" i="139"/>
  <c r="I55" i="139"/>
  <c r="W54" i="139"/>
  <c r="U54" i="139"/>
  <c r="V54" i="139" s="1"/>
  <c r="S54" i="139"/>
  <c r="R54" i="139"/>
  <c r="J54" i="139"/>
  <c r="I54" i="139"/>
  <c r="W53" i="139"/>
  <c r="V53" i="139"/>
  <c r="U53" i="139"/>
  <c r="S53" i="139"/>
  <c r="R53" i="139"/>
  <c r="J53" i="139"/>
  <c r="I53" i="139"/>
  <c r="W52" i="139"/>
  <c r="U52" i="139"/>
  <c r="V52" i="139" s="1"/>
  <c r="S52" i="139"/>
  <c r="R52" i="139"/>
  <c r="J52" i="139"/>
  <c r="I52" i="139"/>
  <c r="W51" i="139"/>
  <c r="V51" i="139"/>
  <c r="U51" i="139"/>
  <c r="S51" i="139"/>
  <c r="R51" i="139"/>
  <c r="J51" i="139"/>
  <c r="I51" i="139"/>
  <c r="W50" i="139"/>
  <c r="U50" i="139"/>
  <c r="V50" i="139" s="1"/>
  <c r="S50" i="139"/>
  <c r="R50" i="139"/>
  <c r="J50" i="139"/>
  <c r="I50" i="139"/>
  <c r="W49" i="139"/>
  <c r="U49" i="139"/>
  <c r="V49" i="139" s="1"/>
  <c r="S49" i="139"/>
  <c r="R49" i="139"/>
  <c r="J49" i="139"/>
  <c r="I49" i="139"/>
  <c r="W48" i="139"/>
  <c r="U48" i="139"/>
  <c r="V48" i="139" s="1"/>
  <c r="S48" i="139"/>
  <c r="R48" i="139"/>
  <c r="J48" i="139"/>
  <c r="I48" i="139"/>
  <c r="W47" i="139"/>
  <c r="U47" i="139"/>
  <c r="V47" i="139" s="1"/>
  <c r="S47" i="139"/>
  <c r="R47" i="139"/>
  <c r="J47" i="139"/>
  <c r="I47" i="139"/>
  <c r="W46" i="139"/>
  <c r="U46" i="139"/>
  <c r="V46" i="139" s="1"/>
  <c r="S46" i="139"/>
  <c r="R46" i="139"/>
  <c r="J46" i="139"/>
  <c r="I46" i="139"/>
  <c r="S45" i="139"/>
  <c r="S60" i="139" s="1"/>
  <c r="R45" i="139"/>
  <c r="R60" i="139" s="1"/>
  <c r="J45" i="139"/>
  <c r="I45" i="139"/>
  <c r="V44" i="139"/>
  <c r="U44" i="139"/>
  <c r="S44" i="139"/>
  <c r="R44" i="139"/>
  <c r="J44" i="139"/>
  <c r="I44" i="139"/>
  <c r="W44" i="139" s="1"/>
  <c r="S43" i="139"/>
  <c r="R43" i="139"/>
  <c r="J43" i="139"/>
  <c r="I43" i="139"/>
  <c r="W42" i="139"/>
  <c r="V42" i="139"/>
  <c r="U42" i="139"/>
  <c r="S42" i="139"/>
  <c r="R42" i="139"/>
  <c r="J42" i="139"/>
  <c r="I42" i="139"/>
  <c r="W41" i="139"/>
  <c r="U41" i="139"/>
  <c r="V41" i="139" s="1"/>
  <c r="S41" i="139"/>
  <c r="R41" i="139"/>
  <c r="J41" i="139"/>
  <c r="I41" i="139"/>
  <c r="W40" i="139"/>
  <c r="V40" i="139"/>
  <c r="U40" i="139"/>
  <c r="S40" i="139"/>
  <c r="R40" i="139"/>
  <c r="J40" i="139"/>
  <c r="I40" i="139"/>
  <c r="W39" i="139"/>
  <c r="U39" i="139"/>
  <c r="V39" i="139" s="1"/>
  <c r="S39" i="139"/>
  <c r="R39" i="139"/>
  <c r="J39" i="139"/>
  <c r="I39" i="139"/>
  <c r="W38" i="139"/>
  <c r="V38" i="139"/>
  <c r="U38" i="139"/>
  <c r="S38" i="139"/>
  <c r="R38" i="139"/>
  <c r="J38" i="139"/>
  <c r="I38" i="139"/>
  <c r="W37" i="139"/>
  <c r="U37" i="139"/>
  <c r="V37" i="139" s="1"/>
  <c r="S37" i="139"/>
  <c r="R37" i="139"/>
  <c r="J37" i="139"/>
  <c r="I37" i="139"/>
  <c r="W36" i="139"/>
  <c r="V36" i="139"/>
  <c r="U36" i="139"/>
  <c r="S36" i="139"/>
  <c r="R36" i="139"/>
  <c r="J36" i="139"/>
  <c r="I36" i="139"/>
  <c r="W35" i="139"/>
  <c r="U35" i="139"/>
  <c r="V35" i="139" s="1"/>
  <c r="S35" i="139"/>
  <c r="R35" i="139"/>
  <c r="J35" i="139"/>
  <c r="I35" i="139"/>
  <c r="W34" i="139"/>
  <c r="V34" i="139"/>
  <c r="U34" i="139"/>
  <c r="S34" i="139"/>
  <c r="R34" i="139"/>
  <c r="J34" i="139"/>
  <c r="I34" i="139"/>
  <c r="W33" i="139"/>
  <c r="U33" i="139"/>
  <c r="V33" i="139" s="1"/>
  <c r="S33" i="139"/>
  <c r="R33" i="139"/>
  <c r="J33" i="139"/>
  <c r="I33" i="139"/>
  <c r="W32" i="139"/>
  <c r="V32" i="139"/>
  <c r="U32" i="139"/>
  <c r="S32" i="139"/>
  <c r="R32" i="139"/>
  <c r="J32" i="139"/>
  <c r="I32" i="139"/>
  <c r="W31" i="139"/>
  <c r="U31" i="139"/>
  <c r="V31" i="139" s="1"/>
  <c r="S31" i="139"/>
  <c r="R31" i="139"/>
  <c r="J31" i="139"/>
  <c r="I31" i="139"/>
  <c r="W30" i="139"/>
  <c r="V30" i="139"/>
  <c r="U30" i="139"/>
  <c r="S30" i="139"/>
  <c r="R30" i="139"/>
  <c r="J30" i="139"/>
  <c r="I30" i="139"/>
  <c r="W29" i="139"/>
  <c r="U29" i="139"/>
  <c r="V29" i="139" s="1"/>
  <c r="S29" i="139"/>
  <c r="R29" i="139"/>
  <c r="J29" i="139"/>
  <c r="I29" i="139"/>
  <c r="W28" i="139"/>
  <c r="V28" i="139"/>
  <c r="U28" i="139"/>
  <c r="S28" i="139"/>
  <c r="R28" i="139"/>
  <c r="J28" i="139"/>
  <c r="I28" i="139"/>
  <c r="W27" i="139"/>
  <c r="U27" i="139"/>
  <c r="V27" i="139" s="1"/>
  <c r="S27" i="139"/>
  <c r="R27" i="139"/>
  <c r="J27" i="139"/>
  <c r="I27" i="139"/>
  <c r="BE26" i="139"/>
  <c r="V26" i="139"/>
  <c r="U26" i="139"/>
  <c r="S26" i="139"/>
  <c r="R26" i="139"/>
  <c r="J26" i="139"/>
  <c r="I26" i="139"/>
  <c r="W26" i="139" s="1"/>
  <c r="V25" i="139"/>
  <c r="U25" i="139"/>
  <c r="S25" i="139"/>
  <c r="R25" i="139"/>
  <c r="J25" i="139"/>
  <c r="I25" i="139"/>
  <c r="W25" i="139" s="1"/>
  <c r="V24" i="139"/>
  <c r="U24" i="139"/>
  <c r="S24" i="139"/>
  <c r="R24" i="139"/>
  <c r="J24" i="139"/>
  <c r="I24" i="139"/>
  <c r="W24" i="139" s="1"/>
  <c r="V23" i="139"/>
  <c r="U23" i="139"/>
  <c r="S23" i="139"/>
  <c r="R23" i="139"/>
  <c r="J23" i="139"/>
  <c r="I23" i="139"/>
  <c r="W23" i="139" s="1"/>
  <c r="V22" i="139"/>
  <c r="U22" i="139"/>
  <c r="S22" i="139"/>
  <c r="R22" i="139"/>
  <c r="J22" i="139"/>
  <c r="I22" i="139"/>
  <c r="W22" i="139" s="1"/>
  <c r="V21" i="139"/>
  <c r="U21" i="139"/>
  <c r="S21" i="139"/>
  <c r="R21" i="139"/>
  <c r="J21" i="139"/>
  <c r="I21" i="139"/>
  <c r="W21" i="139" s="1"/>
  <c r="V20" i="139"/>
  <c r="U20" i="139"/>
  <c r="S20" i="139"/>
  <c r="R20" i="139"/>
  <c r="J20" i="139"/>
  <c r="I20" i="139"/>
  <c r="W20" i="139" s="1"/>
  <c r="V19" i="139"/>
  <c r="U19" i="139"/>
  <c r="S19" i="139"/>
  <c r="R19" i="139"/>
  <c r="J19" i="139"/>
  <c r="I19" i="139"/>
  <c r="W19" i="139" s="1"/>
  <c r="V18" i="139"/>
  <c r="U18" i="139"/>
  <c r="S18" i="139"/>
  <c r="R18" i="139"/>
  <c r="J18" i="139"/>
  <c r="I18" i="139"/>
  <c r="W18" i="139" s="1"/>
  <c r="V17" i="139"/>
  <c r="U17" i="139"/>
  <c r="S17" i="139"/>
  <c r="R17" i="139"/>
  <c r="J17" i="139"/>
  <c r="I17" i="139"/>
  <c r="W17" i="139" s="1"/>
  <c r="V16" i="139"/>
  <c r="U16" i="139"/>
  <c r="S16" i="139"/>
  <c r="R16" i="139"/>
  <c r="J16" i="139"/>
  <c r="I16" i="139"/>
  <c r="W16" i="139" s="1"/>
  <c r="V15" i="139"/>
  <c r="U15" i="139"/>
  <c r="S15" i="139"/>
  <c r="R15" i="139"/>
  <c r="J15" i="139"/>
  <c r="I15" i="139"/>
  <c r="W15" i="139" s="1"/>
  <c r="V14" i="139"/>
  <c r="U14" i="139"/>
  <c r="S14" i="139"/>
  <c r="R14" i="139"/>
  <c r="J14" i="139"/>
  <c r="I14" i="139"/>
  <c r="W14" i="139" s="1"/>
  <c r="V13" i="139"/>
  <c r="U13" i="139"/>
  <c r="S13" i="139"/>
  <c r="R13" i="139"/>
  <c r="J13" i="139"/>
  <c r="I13" i="139"/>
  <c r="W13" i="139" s="1"/>
  <c r="V12" i="139"/>
  <c r="U12" i="139"/>
  <c r="S12" i="139"/>
  <c r="R12" i="139"/>
  <c r="J12" i="139"/>
  <c r="I12" i="139"/>
  <c r="W12" i="139" s="1"/>
  <c r="V11" i="139"/>
  <c r="U11" i="139"/>
  <c r="S11" i="139"/>
  <c r="R11" i="139"/>
  <c r="J11" i="139"/>
  <c r="I11" i="139"/>
  <c r="W11" i="139" s="1"/>
  <c r="V10" i="139"/>
  <c r="U10" i="139"/>
  <c r="S10" i="139"/>
  <c r="R10" i="139"/>
  <c r="J10" i="139"/>
  <c r="I10" i="139"/>
  <c r="W10" i="139" s="1"/>
  <c r="V9" i="139"/>
  <c r="U9" i="139"/>
  <c r="S9" i="139"/>
  <c r="R9" i="139"/>
  <c r="J9" i="139"/>
  <c r="I9" i="139"/>
  <c r="W9" i="139" s="1"/>
  <c r="A9" i="139"/>
  <c r="A10" i="139" s="1"/>
  <c r="A11" i="139" s="1"/>
  <c r="A12" i="139" s="1"/>
  <c r="A13" i="139" s="1"/>
  <c r="A14" i="139" s="1"/>
  <c r="A15" i="139" s="1"/>
  <c r="A16" i="139" s="1"/>
  <c r="A17" i="139" s="1"/>
  <c r="A18" i="139" s="1"/>
  <c r="A19" i="139" s="1"/>
  <c r="A20" i="139" s="1"/>
  <c r="A21" i="139" s="1"/>
  <c r="A22" i="139" s="1"/>
  <c r="A23" i="139" s="1"/>
  <c r="A24" i="139" s="1"/>
  <c r="A25" i="139" s="1"/>
  <c r="A26" i="139" s="1"/>
  <c r="A27" i="139" s="1"/>
  <c r="A28" i="139" s="1"/>
  <c r="A29" i="139" s="1"/>
  <c r="A30" i="139" s="1"/>
  <c r="A31" i="139" s="1"/>
  <c r="A32" i="139" s="1"/>
  <c r="A33" i="139" s="1"/>
  <c r="A34" i="139" s="1"/>
  <c r="A35" i="139" s="1"/>
  <c r="A36" i="139" s="1"/>
  <c r="A37" i="139" s="1"/>
  <c r="A38" i="139" s="1"/>
  <c r="A39" i="139" s="1"/>
  <c r="A40" i="139" s="1"/>
  <c r="A41" i="139" s="1"/>
  <c r="A42" i="139" s="1"/>
  <c r="A43" i="139" s="1"/>
  <c r="A44" i="139" s="1"/>
  <c r="A45" i="139" s="1"/>
  <c r="A46" i="139" s="1"/>
  <c r="A47" i="139" s="1"/>
  <c r="A48" i="139" s="1"/>
  <c r="A49" i="139" s="1"/>
  <c r="A50" i="139" s="1"/>
  <c r="A51" i="139" s="1"/>
  <c r="A52" i="139" s="1"/>
  <c r="A53" i="139" s="1"/>
  <c r="A54" i="139" s="1"/>
  <c r="A55" i="139" s="1"/>
  <c r="A56" i="139" s="1"/>
  <c r="A57" i="139" s="1"/>
  <c r="A58" i="139" s="1"/>
  <c r="A59" i="139" s="1"/>
  <c r="V8" i="139"/>
  <c r="U8" i="139"/>
  <c r="U60" i="139" s="1"/>
  <c r="S8" i="139"/>
  <c r="R8" i="139"/>
  <c r="J8" i="139"/>
  <c r="J60" i="139" s="1"/>
  <c r="I8" i="139"/>
  <c r="W8" i="139" s="1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W54" i="138"/>
  <c r="V54" i="138"/>
  <c r="U54" i="138"/>
  <c r="S54" i="138"/>
  <c r="R54" i="138"/>
  <c r="J54" i="138"/>
  <c r="I54" i="138"/>
  <c r="W53" i="138"/>
  <c r="U53" i="138"/>
  <c r="V53" i="138" s="1"/>
  <c r="S53" i="138"/>
  <c r="R53" i="138"/>
  <c r="J53" i="138"/>
  <c r="I53" i="138"/>
  <c r="W52" i="138"/>
  <c r="V52" i="138"/>
  <c r="U52" i="138"/>
  <c r="S52" i="138"/>
  <c r="R52" i="138"/>
  <c r="J52" i="138"/>
  <c r="I52" i="138"/>
  <c r="W51" i="138"/>
  <c r="U51" i="138"/>
  <c r="V51" i="138" s="1"/>
  <c r="S51" i="138"/>
  <c r="R51" i="138"/>
  <c r="J51" i="138"/>
  <c r="I51" i="138"/>
  <c r="W50" i="138"/>
  <c r="V50" i="138"/>
  <c r="U50" i="138"/>
  <c r="S50" i="138"/>
  <c r="R50" i="138"/>
  <c r="J50" i="138"/>
  <c r="I50" i="138"/>
  <c r="W49" i="138"/>
  <c r="U49" i="138"/>
  <c r="V49" i="138" s="1"/>
  <c r="S49" i="138"/>
  <c r="R49" i="138"/>
  <c r="J49" i="138"/>
  <c r="I49" i="138"/>
  <c r="W48" i="138"/>
  <c r="V48" i="138"/>
  <c r="U48" i="138"/>
  <c r="S48" i="138"/>
  <c r="R48" i="138"/>
  <c r="J48" i="138"/>
  <c r="I48" i="138"/>
  <c r="W47" i="138"/>
  <c r="U47" i="138"/>
  <c r="V47" i="138" s="1"/>
  <c r="S47" i="138"/>
  <c r="R47" i="138"/>
  <c r="J47" i="138"/>
  <c r="I47" i="138"/>
  <c r="W46" i="138"/>
  <c r="V46" i="138"/>
  <c r="U46" i="138"/>
  <c r="S46" i="138"/>
  <c r="R46" i="138"/>
  <c r="J46" i="138"/>
  <c r="I46" i="138"/>
  <c r="S45" i="138"/>
  <c r="S60" i="138" s="1"/>
  <c r="R45" i="138"/>
  <c r="J45" i="138"/>
  <c r="I45" i="138"/>
  <c r="U44" i="138"/>
  <c r="V44" i="138" s="1"/>
  <c r="S44" i="138"/>
  <c r="R44" i="138"/>
  <c r="J44" i="138"/>
  <c r="I44" i="138"/>
  <c r="W44" i="138" s="1"/>
  <c r="S43" i="138"/>
  <c r="R43" i="138"/>
  <c r="J43" i="138"/>
  <c r="I43" i="138"/>
  <c r="W42" i="138"/>
  <c r="U42" i="138"/>
  <c r="V42" i="138" s="1"/>
  <c r="S42" i="138"/>
  <c r="R42" i="138"/>
  <c r="J42" i="138"/>
  <c r="I42" i="138"/>
  <c r="U41" i="138"/>
  <c r="V41" i="138" s="1"/>
  <c r="S41" i="138"/>
  <c r="R41" i="138"/>
  <c r="J41" i="138"/>
  <c r="I41" i="138"/>
  <c r="W41" i="138" s="1"/>
  <c r="W40" i="138"/>
  <c r="U40" i="138"/>
  <c r="V40" i="138" s="1"/>
  <c r="S40" i="138"/>
  <c r="R40" i="138"/>
  <c r="J40" i="138"/>
  <c r="I40" i="138"/>
  <c r="U39" i="138"/>
  <c r="V39" i="138" s="1"/>
  <c r="S39" i="138"/>
  <c r="R39" i="138"/>
  <c r="J39" i="138"/>
  <c r="I39" i="138"/>
  <c r="W39" i="138" s="1"/>
  <c r="W38" i="138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7" i="138" s="1"/>
  <c r="W36" i="138"/>
  <c r="U36" i="138"/>
  <c r="V36" i="138" s="1"/>
  <c r="S36" i="138"/>
  <c r="R36" i="138"/>
  <c r="J36" i="138"/>
  <c r="I36" i="138"/>
  <c r="U35" i="138"/>
  <c r="V35" i="138" s="1"/>
  <c r="S35" i="138"/>
  <c r="R35" i="138"/>
  <c r="J35" i="138"/>
  <c r="I35" i="138"/>
  <c r="W35" i="138" s="1"/>
  <c r="W34" i="138"/>
  <c r="U34" i="138"/>
  <c r="V34" i="138" s="1"/>
  <c r="S34" i="138"/>
  <c r="R34" i="138"/>
  <c r="J34" i="138"/>
  <c r="I34" i="138"/>
  <c r="U33" i="138"/>
  <c r="V33" i="138" s="1"/>
  <c r="S33" i="138"/>
  <c r="R33" i="138"/>
  <c r="J33" i="138"/>
  <c r="I33" i="138"/>
  <c r="W33" i="138" s="1"/>
  <c r="W32" i="138"/>
  <c r="U32" i="138"/>
  <c r="V32" i="138" s="1"/>
  <c r="S32" i="138"/>
  <c r="R32" i="138"/>
  <c r="J32" i="138"/>
  <c r="I32" i="138"/>
  <c r="U31" i="138"/>
  <c r="V31" i="138" s="1"/>
  <c r="S31" i="138"/>
  <c r="R31" i="138"/>
  <c r="J31" i="138"/>
  <c r="I31" i="138"/>
  <c r="W31" i="138" s="1"/>
  <c r="W30" i="138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W28" i="138"/>
  <c r="U28" i="138"/>
  <c r="U60" i="138" s="1"/>
  <c r="S28" i="138"/>
  <c r="R28" i="138"/>
  <c r="J28" i="138"/>
  <c r="I28" i="138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W26" i="138" s="1"/>
  <c r="V25" i="138"/>
  <c r="U25" i="138"/>
  <c r="S25" i="138"/>
  <c r="R25" i="138"/>
  <c r="J25" i="138"/>
  <c r="I25" i="138"/>
  <c r="W25" i="138" s="1"/>
  <c r="V24" i="138"/>
  <c r="U24" i="138"/>
  <c r="S24" i="138"/>
  <c r="R24" i="138"/>
  <c r="J24" i="138"/>
  <c r="I24" i="138"/>
  <c r="W24" i="138" s="1"/>
  <c r="V23" i="138"/>
  <c r="U23" i="138"/>
  <c r="S23" i="138"/>
  <c r="R23" i="138"/>
  <c r="J23" i="138"/>
  <c r="I23" i="138"/>
  <c r="W23" i="138" s="1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V20" i="138"/>
  <c r="U20" i="138"/>
  <c r="S20" i="138"/>
  <c r="R20" i="138"/>
  <c r="J20" i="138"/>
  <c r="I20" i="138"/>
  <c r="W20" i="138" s="1"/>
  <c r="V19" i="138"/>
  <c r="U19" i="138"/>
  <c r="S19" i="138"/>
  <c r="R19" i="138"/>
  <c r="J19" i="138"/>
  <c r="I19" i="138"/>
  <c r="W19" i="138" s="1"/>
  <c r="V18" i="138"/>
  <c r="U18" i="138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V16" i="138"/>
  <c r="U16" i="138"/>
  <c r="S16" i="138"/>
  <c r="R16" i="138"/>
  <c r="J16" i="138"/>
  <c r="I16" i="138"/>
  <c r="W16" i="138" s="1"/>
  <c r="V15" i="138"/>
  <c r="U15" i="138"/>
  <c r="S15" i="138"/>
  <c r="R15" i="138"/>
  <c r="J15" i="138"/>
  <c r="I15" i="138"/>
  <c r="W15" i="138" s="1"/>
  <c r="V14" i="138"/>
  <c r="U14" i="138"/>
  <c r="S14" i="138"/>
  <c r="R14" i="138"/>
  <c r="J14" i="138"/>
  <c r="I14" i="138"/>
  <c r="W14" i="138" s="1"/>
  <c r="V13" i="138"/>
  <c r="U13" i="138"/>
  <c r="S13" i="138"/>
  <c r="R13" i="138"/>
  <c r="J13" i="138"/>
  <c r="I13" i="138"/>
  <c r="W13" i="138" s="1"/>
  <c r="V12" i="138"/>
  <c r="U12" i="138"/>
  <c r="S12" i="138"/>
  <c r="R12" i="138"/>
  <c r="J12" i="138"/>
  <c r="I12" i="138"/>
  <c r="W12" i="138" s="1"/>
  <c r="V11" i="138"/>
  <c r="U11" i="138"/>
  <c r="S11" i="138"/>
  <c r="R11" i="138"/>
  <c r="J11" i="138"/>
  <c r="I11" i="138"/>
  <c r="W11" i="138" s="1"/>
  <c r="V10" i="138"/>
  <c r="U10" i="138"/>
  <c r="S10" i="138"/>
  <c r="R10" i="138"/>
  <c r="J10" i="138"/>
  <c r="I10" i="138"/>
  <c r="W10" i="138" s="1"/>
  <c r="V9" i="138"/>
  <c r="U9" i="138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R8" i="138"/>
  <c r="R60" i="138" s="1"/>
  <c r="J8" i="138"/>
  <c r="J60" i="138" s="1"/>
  <c r="I8" i="138"/>
  <c r="W8" i="138" s="1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W54" i="137"/>
  <c r="V54" i="137"/>
  <c r="U54" i="137"/>
  <c r="S54" i="137"/>
  <c r="R54" i="137"/>
  <c r="J54" i="137"/>
  <c r="I54" i="137"/>
  <c r="W53" i="137"/>
  <c r="U53" i="137"/>
  <c r="V53" i="137" s="1"/>
  <c r="S53" i="137"/>
  <c r="R53" i="137"/>
  <c r="J53" i="137"/>
  <c r="I53" i="137"/>
  <c r="V52" i="137"/>
  <c r="U52" i="137"/>
  <c r="S52" i="137"/>
  <c r="R52" i="137"/>
  <c r="J52" i="137"/>
  <c r="I52" i="137"/>
  <c r="W52" i="137" s="1"/>
  <c r="W51" i="137"/>
  <c r="U51" i="137"/>
  <c r="V51" i="137" s="1"/>
  <c r="S51" i="137"/>
  <c r="R51" i="137"/>
  <c r="J51" i="137"/>
  <c r="I51" i="137"/>
  <c r="V50" i="137"/>
  <c r="U50" i="137"/>
  <c r="S50" i="137"/>
  <c r="R50" i="137"/>
  <c r="J50" i="137"/>
  <c r="I50" i="137"/>
  <c r="W50" i="137" s="1"/>
  <c r="W49" i="137"/>
  <c r="U49" i="137"/>
  <c r="V49" i="137" s="1"/>
  <c r="S49" i="137"/>
  <c r="R49" i="137"/>
  <c r="J49" i="137"/>
  <c r="I49" i="137"/>
  <c r="W48" i="137"/>
  <c r="V48" i="137"/>
  <c r="U48" i="137"/>
  <c r="S48" i="137"/>
  <c r="R48" i="137"/>
  <c r="J48" i="137"/>
  <c r="I48" i="137"/>
  <c r="W47" i="137"/>
  <c r="U47" i="137"/>
  <c r="V47" i="137" s="1"/>
  <c r="S47" i="137"/>
  <c r="R47" i="137"/>
  <c r="J47" i="137"/>
  <c r="I47" i="137"/>
  <c r="W46" i="137"/>
  <c r="V46" i="137"/>
  <c r="U46" i="137"/>
  <c r="S46" i="137"/>
  <c r="R46" i="137"/>
  <c r="J46" i="137"/>
  <c r="I46" i="137"/>
  <c r="S45" i="137"/>
  <c r="R45" i="137"/>
  <c r="J45" i="137"/>
  <c r="I45" i="137"/>
  <c r="U44" i="137"/>
  <c r="V44" i="137" s="1"/>
  <c r="S44" i="137"/>
  <c r="R44" i="137"/>
  <c r="J44" i="137"/>
  <c r="I44" i="137"/>
  <c r="S43" i="137"/>
  <c r="R43" i="137"/>
  <c r="J43" i="137"/>
  <c r="I43" i="137"/>
  <c r="U42" i="137"/>
  <c r="V42" i="137" s="1"/>
  <c r="S42" i="137"/>
  <c r="R42" i="137"/>
  <c r="J42" i="137"/>
  <c r="I42" i="137"/>
  <c r="W42" i="137" s="1"/>
  <c r="U41" i="137"/>
  <c r="V41" i="137" s="1"/>
  <c r="S41" i="137"/>
  <c r="R41" i="137"/>
  <c r="J41" i="137"/>
  <c r="I41" i="137"/>
  <c r="W40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W39" i="137" s="1"/>
  <c r="U38" i="137"/>
  <c r="V38" i="137" s="1"/>
  <c r="S38" i="137"/>
  <c r="R38" i="137"/>
  <c r="J38" i="137"/>
  <c r="I38" i="137"/>
  <c r="U37" i="137"/>
  <c r="V37" i="137" s="1"/>
  <c r="S37" i="137"/>
  <c r="R37" i="137"/>
  <c r="J37" i="137"/>
  <c r="I37" i="137"/>
  <c r="W37" i="137" s="1"/>
  <c r="W36" i="137"/>
  <c r="U36" i="137"/>
  <c r="V36" i="137" s="1"/>
  <c r="S36" i="137"/>
  <c r="R36" i="137"/>
  <c r="J36" i="137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U33" i="137"/>
  <c r="V33" i="137" s="1"/>
  <c r="S33" i="137"/>
  <c r="R33" i="137"/>
  <c r="J33" i="137"/>
  <c r="I33" i="137"/>
  <c r="W33" i="137" s="1"/>
  <c r="W32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W31" i="137" s="1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W29" i="137" s="1"/>
  <c r="U28" i="137"/>
  <c r="V28" i="137" s="1"/>
  <c r="S28" i="137"/>
  <c r="R28" i="137"/>
  <c r="J28" i="137"/>
  <c r="I28" i="137"/>
  <c r="W28" i="137" s="1"/>
  <c r="U27" i="137"/>
  <c r="S27" i="137"/>
  <c r="R27" i="137"/>
  <c r="J27" i="137"/>
  <c r="I27" i="137"/>
  <c r="W27" i="137" s="1"/>
  <c r="BE26" i="137"/>
  <c r="V26" i="137"/>
  <c r="U26" i="137"/>
  <c r="S26" i="137"/>
  <c r="R26" i="137"/>
  <c r="J26" i="137"/>
  <c r="I26" i="137"/>
  <c r="V25" i="137"/>
  <c r="U25" i="137"/>
  <c r="S25" i="137"/>
  <c r="R25" i="137"/>
  <c r="J25" i="137"/>
  <c r="I25" i="137"/>
  <c r="W25" i="137" s="1"/>
  <c r="V24" i="137"/>
  <c r="U24" i="137"/>
  <c r="S24" i="137"/>
  <c r="R24" i="137"/>
  <c r="J24" i="137"/>
  <c r="I24" i="137"/>
  <c r="V23" i="137"/>
  <c r="U23" i="137"/>
  <c r="S23" i="137"/>
  <c r="R23" i="137"/>
  <c r="J23" i="137"/>
  <c r="I23" i="137"/>
  <c r="V22" i="137"/>
  <c r="U22" i="137"/>
  <c r="S22" i="137"/>
  <c r="R22" i="137"/>
  <c r="J22" i="137"/>
  <c r="I22" i="137"/>
  <c r="W22" i="137" s="1"/>
  <c r="V21" i="137"/>
  <c r="U21" i="137"/>
  <c r="S21" i="137"/>
  <c r="R21" i="137"/>
  <c r="J21" i="137"/>
  <c r="I21" i="137"/>
  <c r="W21" i="137" s="1"/>
  <c r="V20" i="137"/>
  <c r="U20" i="137"/>
  <c r="S20" i="137"/>
  <c r="R20" i="137"/>
  <c r="J20" i="137"/>
  <c r="I20" i="137"/>
  <c r="W20" i="137" s="1"/>
  <c r="V19" i="137"/>
  <c r="U19" i="137"/>
  <c r="S19" i="137"/>
  <c r="R19" i="137"/>
  <c r="J19" i="137"/>
  <c r="I19" i="137"/>
  <c r="W19" i="137" s="1"/>
  <c r="V18" i="137"/>
  <c r="U18" i="137"/>
  <c r="S18" i="137"/>
  <c r="R18" i="137"/>
  <c r="J18" i="137"/>
  <c r="I18" i="137"/>
  <c r="W18" i="137" s="1"/>
  <c r="V17" i="137"/>
  <c r="U17" i="137"/>
  <c r="S17" i="137"/>
  <c r="R17" i="137"/>
  <c r="J17" i="137"/>
  <c r="I17" i="137"/>
  <c r="W17" i="137" s="1"/>
  <c r="V16" i="137"/>
  <c r="U16" i="137"/>
  <c r="S16" i="137"/>
  <c r="R16" i="137"/>
  <c r="J16" i="137"/>
  <c r="I16" i="137"/>
  <c r="W16" i="137" s="1"/>
  <c r="V15" i="137"/>
  <c r="U15" i="137"/>
  <c r="S15" i="137"/>
  <c r="R15" i="137"/>
  <c r="J15" i="137"/>
  <c r="I15" i="137"/>
  <c r="W15" i="137" s="1"/>
  <c r="V14" i="137"/>
  <c r="U14" i="137"/>
  <c r="S14" i="137"/>
  <c r="R14" i="137"/>
  <c r="J14" i="137"/>
  <c r="I14" i="137"/>
  <c r="U13" i="137"/>
  <c r="V13" i="137" s="1"/>
  <c r="S13" i="137"/>
  <c r="R13" i="137"/>
  <c r="J13" i="137"/>
  <c r="I13" i="137"/>
  <c r="V12" i="137"/>
  <c r="U12" i="137"/>
  <c r="S12" i="137"/>
  <c r="R12" i="137"/>
  <c r="J12" i="137"/>
  <c r="I12" i="137"/>
  <c r="V11" i="137"/>
  <c r="U11" i="137"/>
  <c r="S11" i="137"/>
  <c r="R11" i="137"/>
  <c r="J11" i="137"/>
  <c r="I11" i="137"/>
  <c r="W11" i="137" s="1"/>
  <c r="V10" i="137"/>
  <c r="U10" i="137"/>
  <c r="S10" i="137"/>
  <c r="R10" i="137"/>
  <c r="J10" i="137"/>
  <c r="I10" i="137"/>
  <c r="W10" i="137" s="1"/>
  <c r="V9" i="137"/>
  <c r="U9" i="137"/>
  <c r="S9" i="137"/>
  <c r="R9" i="137"/>
  <c r="J9" i="137"/>
  <c r="I9" i="137"/>
  <c r="W9" i="137" s="1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V8" i="137"/>
  <c r="U8" i="137"/>
  <c r="S8" i="137"/>
  <c r="R8" i="137"/>
  <c r="J8" i="137"/>
  <c r="I8" i="137"/>
  <c r="W8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V53" i="136"/>
  <c r="U53" i="136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V51" i="136"/>
  <c r="U51" i="136"/>
  <c r="S51" i="136"/>
  <c r="R51" i="136"/>
  <c r="J51" i="136"/>
  <c r="I51" i="136"/>
  <c r="U50" i="136"/>
  <c r="V50" i="136" s="1"/>
  <c r="S50" i="136"/>
  <c r="R50" i="136"/>
  <c r="J50" i="136"/>
  <c r="I50" i="136"/>
  <c r="W50" i="136" s="1"/>
  <c r="V49" i="136"/>
  <c r="U49" i="136"/>
  <c r="S49" i="136"/>
  <c r="R49" i="136"/>
  <c r="J49" i="136"/>
  <c r="I49" i="136"/>
  <c r="W49" i="136" s="1"/>
  <c r="W48" i="136"/>
  <c r="U48" i="136"/>
  <c r="V48" i="136" s="1"/>
  <c r="S48" i="136"/>
  <c r="R48" i="136"/>
  <c r="J48" i="136"/>
  <c r="I48" i="136"/>
  <c r="W47" i="136"/>
  <c r="V47" i="136"/>
  <c r="U47" i="136"/>
  <c r="S47" i="136"/>
  <c r="R47" i="136"/>
  <c r="J47" i="136"/>
  <c r="I47" i="136"/>
  <c r="W46" i="136"/>
  <c r="U46" i="136"/>
  <c r="V46" i="136" s="1"/>
  <c r="S46" i="136"/>
  <c r="R46" i="136"/>
  <c r="J46" i="136"/>
  <c r="I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U42" i="136"/>
  <c r="V42" i="136" s="1"/>
  <c r="S42" i="136"/>
  <c r="R42" i="136"/>
  <c r="J42" i="136"/>
  <c r="I42" i="136"/>
  <c r="W42" i="136" s="1"/>
  <c r="U41" i="136"/>
  <c r="V41" i="136" s="1"/>
  <c r="S41" i="136"/>
  <c r="R41" i="136"/>
  <c r="J41" i="136"/>
  <c r="I41" i="136"/>
  <c r="U40" i="136"/>
  <c r="V40" i="136" s="1"/>
  <c r="S40" i="136"/>
  <c r="R40" i="136"/>
  <c r="J40" i="136"/>
  <c r="I40" i="136"/>
  <c r="W40" i="136" s="1"/>
  <c r="W39" i="136"/>
  <c r="U39" i="136"/>
  <c r="V39" i="136" s="1"/>
  <c r="S39" i="136"/>
  <c r="R39" i="136"/>
  <c r="J39" i="136"/>
  <c r="I39" i="136"/>
  <c r="U38" i="136"/>
  <c r="V38" i="136" s="1"/>
  <c r="S38" i="136"/>
  <c r="R38" i="136"/>
  <c r="J38" i="136"/>
  <c r="I38" i="136"/>
  <c r="W37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5" i="136" s="1"/>
  <c r="U34" i="136"/>
  <c r="V34" i="136" s="1"/>
  <c r="S34" i="136"/>
  <c r="R34" i="136"/>
  <c r="J34" i="136"/>
  <c r="I34" i="136"/>
  <c r="W34" i="136" s="1"/>
  <c r="W33" i="136"/>
  <c r="U33" i="136"/>
  <c r="V33" i="136" s="1"/>
  <c r="S33" i="136"/>
  <c r="R33" i="136"/>
  <c r="J33" i="136"/>
  <c r="I33" i="136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W29" i="136" s="1"/>
  <c r="U28" i="136"/>
  <c r="V28" i="136" s="1"/>
  <c r="S28" i="136"/>
  <c r="R28" i="136"/>
  <c r="J28" i="136"/>
  <c r="I28" i="136"/>
  <c r="W28" i="136" s="1"/>
  <c r="W27" i="136"/>
  <c r="U27" i="136"/>
  <c r="S27" i="136"/>
  <c r="R27" i="136"/>
  <c r="J27" i="136"/>
  <c r="I27" i="136"/>
  <c r="BE26" i="136"/>
  <c r="V26" i="136"/>
  <c r="U26" i="136"/>
  <c r="S26" i="136"/>
  <c r="R26" i="136"/>
  <c r="J26" i="136"/>
  <c r="I26" i="136"/>
  <c r="W26" i="136" s="1"/>
  <c r="V25" i="136"/>
  <c r="U25" i="136"/>
  <c r="S25" i="136"/>
  <c r="R25" i="136"/>
  <c r="J25" i="136"/>
  <c r="I25" i="136"/>
  <c r="W25" i="136" s="1"/>
  <c r="V24" i="136"/>
  <c r="U24" i="136"/>
  <c r="S24" i="136"/>
  <c r="R24" i="136"/>
  <c r="J24" i="136"/>
  <c r="I24" i="136"/>
  <c r="V23" i="136"/>
  <c r="U23" i="136"/>
  <c r="S23" i="136"/>
  <c r="R23" i="136"/>
  <c r="J23" i="136"/>
  <c r="I23" i="136"/>
  <c r="W23" i="136" s="1"/>
  <c r="V22" i="136"/>
  <c r="U22" i="136"/>
  <c r="S22" i="136"/>
  <c r="R22" i="136"/>
  <c r="J22" i="136"/>
  <c r="I22" i="136"/>
  <c r="W22" i="136" s="1"/>
  <c r="V21" i="136"/>
  <c r="U21" i="136"/>
  <c r="S21" i="136"/>
  <c r="R21" i="136"/>
  <c r="J21" i="136"/>
  <c r="I21" i="136"/>
  <c r="W21" i="136" s="1"/>
  <c r="V20" i="136"/>
  <c r="U20" i="136"/>
  <c r="S20" i="136"/>
  <c r="R20" i="136"/>
  <c r="J20" i="136"/>
  <c r="I20" i="136"/>
  <c r="W20" i="136" s="1"/>
  <c r="V19" i="136"/>
  <c r="U19" i="136"/>
  <c r="S19" i="136"/>
  <c r="R19" i="136"/>
  <c r="J19" i="136"/>
  <c r="I19" i="136"/>
  <c r="W19" i="136" s="1"/>
  <c r="V18" i="136"/>
  <c r="U18" i="136"/>
  <c r="S18" i="136"/>
  <c r="R18" i="136"/>
  <c r="J18" i="136"/>
  <c r="I18" i="136"/>
  <c r="W18" i="136" s="1"/>
  <c r="V17" i="136"/>
  <c r="U17" i="136"/>
  <c r="S17" i="136"/>
  <c r="R17" i="136"/>
  <c r="J17" i="136"/>
  <c r="I17" i="136"/>
  <c r="W17" i="136" s="1"/>
  <c r="V16" i="136"/>
  <c r="U16" i="136"/>
  <c r="S16" i="136"/>
  <c r="R16" i="136"/>
  <c r="J16" i="136"/>
  <c r="I16" i="136"/>
  <c r="W16" i="136" s="1"/>
  <c r="V15" i="136"/>
  <c r="U15" i="136"/>
  <c r="S15" i="136"/>
  <c r="R15" i="136"/>
  <c r="J15" i="136"/>
  <c r="I15" i="136"/>
  <c r="W15" i="136" s="1"/>
  <c r="V14" i="136"/>
  <c r="U14" i="136"/>
  <c r="S14" i="136"/>
  <c r="R14" i="136"/>
  <c r="J14" i="136"/>
  <c r="I14" i="136"/>
  <c r="U13" i="136"/>
  <c r="V13" i="136" s="1"/>
  <c r="S13" i="136"/>
  <c r="R13" i="136"/>
  <c r="J13" i="136"/>
  <c r="I13" i="136"/>
  <c r="V12" i="136"/>
  <c r="U12" i="136"/>
  <c r="S12" i="136"/>
  <c r="R12" i="136"/>
  <c r="J12" i="136"/>
  <c r="I12" i="136"/>
  <c r="W12" i="136" s="1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A10" i="136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V9" i="136"/>
  <c r="U9" i="136"/>
  <c r="S9" i="136"/>
  <c r="R9" i="136"/>
  <c r="J9" i="136"/>
  <c r="I9" i="136"/>
  <c r="W9" i="136" s="1"/>
  <c r="A9" i="136"/>
  <c r="V8" i="136"/>
  <c r="U8" i="136"/>
  <c r="S8" i="136"/>
  <c r="R8" i="136"/>
  <c r="J8" i="136"/>
  <c r="I8" i="136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U52" i="135"/>
  <c r="V52" i="135" s="1"/>
  <c r="S52" i="135"/>
  <c r="R52" i="135"/>
  <c r="J52" i="135"/>
  <c r="I52" i="135"/>
  <c r="W52" i="135" s="1"/>
  <c r="U51" i="135"/>
  <c r="V51" i="135" s="1"/>
  <c r="S51" i="135"/>
  <c r="R51" i="135"/>
  <c r="J51" i="135"/>
  <c r="I51" i="135"/>
  <c r="W51" i="135" s="1"/>
  <c r="U50" i="135"/>
  <c r="V50" i="135" s="1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U47" i="135"/>
  <c r="V47" i="135" s="1"/>
  <c r="S47" i="135"/>
  <c r="R47" i="135"/>
  <c r="J47" i="135"/>
  <c r="I47" i="135"/>
  <c r="W47" i="135" s="1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W40" i="135"/>
  <c r="V40" i="135"/>
  <c r="U40" i="135"/>
  <c r="S40" i="135"/>
  <c r="R40" i="135"/>
  <c r="J40" i="135"/>
  <c r="I40" i="135"/>
  <c r="W39" i="135"/>
  <c r="U39" i="135"/>
  <c r="V39" i="135" s="1"/>
  <c r="S39" i="135"/>
  <c r="R39" i="135"/>
  <c r="J39" i="135"/>
  <c r="I39" i="135"/>
  <c r="W38" i="135"/>
  <c r="U38" i="135"/>
  <c r="V38" i="135" s="1"/>
  <c r="S38" i="135"/>
  <c r="R38" i="135"/>
  <c r="J38" i="135"/>
  <c r="I38" i="135"/>
  <c r="W37" i="135"/>
  <c r="U37" i="135"/>
  <c r="V37" i="135" s="1"/>
  <c r="S37" i="135"/>
  <c r="R37" i="135"/>
  <c r="J37" i="135"/>
  <c r="I37" i="135"/>
  <c r="W36" i="135"/>
  <c r="V36" i="135"/>
  <c r="U36" i="135"/>
  <c r="S36" i="135"/>
  <c r="R36" i="135"/>
  <c r="J36" i="135"/>
  <c r="I36" i="135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W33" i="135"/>
  <c r="U33" i="135"/>
  <c r="V33" i="135" s="1"/>
  <c r="S33" i="135"/>
  <c r="R33" i="135"/>
  <c r="J33" i="135"/>
  <c r="I33" i="135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W27" i="135"/>
  <c r="U27" i="135"/>
  <c r="V27" i="135" s="1"/>
  <c r="S27" i="135"/>
  <c r="R27" i="135"/>
  <c r="J27" i="135"/>
  <c r="I27" i="135"/>
  <c r="BE26" i="135"/>
  <c r="V26" i="135"/>
  <c r="U26" i="135"/>
  <c r="S26" i="135"/>
  <c r="R26" i="135"/>
  <c r="J26" i="135"/>
  <c r="I26" i="135"/>
  <c r="W26" i="135" s="1"/>
  <c r="V25" i="135"/>
  <c r="U25" i="135"/>
  <c r="S25" i="135"/>
  <c r="R25" i="135"/>
  <c r="J25" i="135"/>
  <c r="I25" i="135"/>
  <c r="W25" i="135" s="1"/>
  <c r="V24" i="135"/>
  <c r="U24" i="135"/>
  <c r="S24" i="135"/>
  <c r="R24" i="135"/>
  <c r="J24" i="135"/>
  <c r="I24" i="135"/>
  <c r="W24" i="135" s="1"/>
  <c r="V23" i="135"/>
  <c r="U23" i="135"/>
  <c r="S23" i="135"/>
  <c r="R23" i="135"/>
  <c r="J23" i="135"/>
  <c r="I23" i="135"/>
  <c r="W22" i="135"/>
  <c r="V22" i="135"/>
  <c r="U22" i="135"/>
  <c r="S22" i="135"/>
  <c r="R22" i="135"/>
  <c r="J22" i="135"/>
  <c r="I22" i="135"/>
  <c r="V21" i="135"/>
  <c r="U21" i="135"/>
  <c r="S21" i="135"/>
  <c r="R21" i="135"/>
  <c r="J21" i="135"/>
  <c r="I21" i="135"/>
  <c r="W21" i="135" s="1"/>
  <c r="V20" i="135"/>
  <c r="U20" i="135"/>
  <c r="S20" i="135"/>
  <c r="R20" i="135"/>
  <c r="J20" i="135"/>
  <c r="I20" i="135"/>
  <c r="V19" i="135"/>
  <c r="U19" i="135"/>
  <c r="S19" i="135"/>
  <c r="R19" i="135"/>
  <c r="J19" i="135"/>
  <c r="I19" i="135"/>
  <c r="W19" i="135" s="1"/>
  <c r="V18" i="135"/>
  <c r="U18" i="135"/>
  <c r="S18" i="135"/>
  <c r="R18" i="135"/>
  <c r="J18" i="135"/>
  <c r="I18" i="135"/>
  <c r="W18" i="135" s="1"/>
  <c r="V17" i="135"/>
  <c r="U17" i="135"/>
  <c r="S17" i="135"/>
  <c r="R17" i="135"/>
  <c r="J17" i="135"/>
  <c r="I17" i="135"/>
  <c r="W17" i="135" s="1"/>
  <c r="W16" i="135"/>
  <c r="V16" i="135"/>
  <c r="U16" i="135"/>
  <c r="S16" i="135"/>
  <c r="R16" i="135"/>
  <c r="J16" i="135"/>
  <c r="I16" i="135"/>
  <c r="V15" i="135"/>
  <c r="U15" i="135"/>
  <c r="S15" i="135"/>
  <c r="R15" i="135"/>
  <c r="J15" i="135"/>
  <c r="I15" i="135"/>
  <c r="W15" i="135" s="1"/>
  <c r="V14" i="135"/>
  <c r="U14" i="135"/>
  <c r="S14" i="135"/>
  <c r="R14" i="135"/>
  <c r="J14" i="135"/>
  <c r="I14" i="135"/>
  <c r="W14" i="135" s="1"/>
  <c r="U13" i="135"/>
  <c r="V13" i="135" s="1"/>
  <c r="S13" i="135"/>
  <c r="R13" i="135"/>
  <c r="J13" i="135"/>
  <c r="I13" i="135"/>
  <c r="V12" i="135"/>
  <c r="U12" i="135"/>
  <c r="S12" i="135"/>
  <c r="R12" i="135"/>
  <c r="J12" i="135"/>
  <c r="I12" i="135"/>
  <c r="W12" i="135" s="1"/>
  <c r="V11" i="135"/>
  <c r="U11" i="135"/>
  <c r="S11" i="135"/>
  <c r="R11" i="135"/>
  <c r="J11" i="135"/>
  <c r="I11" i="135"/>
  <c r="W11" i="135" s="1"/>
  <c r="W10" i="135"/>
  <c r="V10" i="135"/>
  <c r="U10" i="135"/>
  <c r="S10" i="135"/>
  <c r="R10" i="135"/>
  <c r="J10" i="135"/>
  <c r="I10" i="135"/>
  <c r="V9" i="135"/>
  <c r="U9" i="135"/>
  <c r="S9" i="135"/>
  <c r="R9" i="135"/>
  <c r="J9" i="135"/>
  <c r="I9" i="135"/>
  <c r="W9" i="135" s="1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U8" i="135"/>
  <c r="S8" i="135"/>
  <c r="R8" i="135"/>
  <c r="J8" i="135"/>
  <c r="I8" i="135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W54" i="134"/>
  <c r="U54" i="134"/>
  <c r="V54" i="134" s="1"/>
  <c r="S54" i="134"/>
  <c r="R54" i="134"/>
  <c r="J54" i="134"/>
  <c r="I54" i="134"/>
  <c r="W53" i="134"/>
  <c r="U53" i="134"/>
  <c r="V53" i="134" s="1"/>
  <c r="S53" i="134"/>
  <c r="R53" i="134"/>
  <c r="J53" i="134"/>
  <c r="I53" i="134"/>
  <c r="U52" i="134"/>
  <c r="V52" i="134" s="1"/>
  <c r="S52" i="134"/>
  <c r="R52" i="134"/>
  <c r="J52" i="134"/>
  <c r="I52" i="134"/>
  <c r="W52" i="134" s="1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W48" i="134" s="1"/>
  <c r="U47" i="134"/>
  <c r="V47" i="134" s="1"/>
  <c r="S47" i="134"/>
  <c r="R47" i="134"/>
  <c r="J47" i="134"/>
  <c r="I47" i="134"/>
  <c r="W47" i="134" s="1"/>
  <c r="W46" i="134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S43" i="134"/>
  <c r="R43" i="134"/>
  <c r="J43" i="134"/>
  <c r="I43" i="134"/>
  <c r="V42" i="134"/>
  <c r="U42" i="134"/>
  <c r="S42" i="134"/>
  <c r="R42" i="134"/>
  <c r="J42" i="134"/>
  <c r="I42" i="134"/>
  <c r="W42" i="134" s="1"/>
  <c r="U41" i="134"/>
  <c r="V41" i="134" s="1"/>
  <c r="S41" i="134"/>
  <c r="R41" i="134"/>
  <c r="J41" i="134"/>
  <c r="W41" i="134" s="1"/>
  <c r="I41" i="134"/>
  <c r="W40" i="134"/>
  <c r="V40" i="134"/>
  <c r="U40" i="134"/>
  <c r="S40" i="134"/>
  <c r="R40" i="134"/>
  <c r="J40" i="134"/>
  <c r="I40" i="134"/>
  <c r="U39" i="134"/>
  <c r="V39" i="134" s="1"/>
  <c r="S39" i="134"/>
  <c r="R39" i="134"/>
  <c r="J39" i="134"/>
  <c r="I39" i="134"/>
  <c r="W39" i="134" s="1"/>
  <c r="U38" i="134"/>
  <c r="V38" i="134" s="1"/>
  <c r="S38" i="134"/>
  <c r="R38" i="134"/>
  <c r="J38" i="134"/>
  <c r="I38" i="134"/>
  <c r="W38" i="134" s="1"/>
  <c r="W37" i="134"/>
  <c r="U37" i="134"/>
  <c r="V37" i="134" s="1"/>
  <c r="S37" i="134"/>
  <c r="R37" i="134"/>
  <c r="J37" i="134"/>
  <c r="I37" i="134"/>
  <c r="W36" i="134"/>
  <c r="V36" i="134"/>
  <c r="U36" i="134"/>
  <c r="S36" i="134"/>
  <c r="R36" i="134"/>
  <c r="J36" i="134"/>
  <c r="I36" i="134"/>
  <c r="U35" i="134"/>
  <c r="V35" i="134" s="1"/>
  <c r="S35" i="134"/>
  <c r="R35" i="134"/>
  <c r="J35" i="134"/>
  <c r="I35" i="134"/>
  <c r="W35" i="134" s="1"/>
  <c r="V34" i="134"/>
  <c r="U34" i="134"/>
  <c r="S34" i="134"/>
  <c r="R34" i="134"/>
  <c r="J34" i="134"/>
  <c r="I34" i="134"/>
  <c r="W34" i="134" s="1"/>
  <c r="W33" i="134"/>
  <c r="U33" i="134"/>
  <c r="V33" i="134" s="1"/>
  <c r="S33" i="134"/>
  <c r="R33" i="134"/>
  <c r="J33" i="134"/>
  <c r="I33" i="134"/>
  <c r="U32" i="134"/>
  <c r="V32" i="134" s="1"/>
  <c r="S32" i="134"/>
  <c r="R32" i="134"/>
  <c r="J32" i="134"/>
  <c r="I32" i="134"/>
  <c r="W32" i="134" s="1"/>
  <c r="W31" i="134"/>
  <c r="U31" i="134"/>
  <c r="V31" i="134" s="1"/>
  <c r="S31" i="134"/>
  <c r="R31" i="134"/>
  <c r="J31" i="134"/>
  <c r="I31" i="134"/>
  <c r="V30" i="134"/>
  <c r="U30" i="134"/>
  <c r="S30" i="134"/>
  <c r="R30" i="134"/>
  <c r="J30" i="134"/>
  <c r="I30" i="134"/>
  <c r="W30" i="134" s="1"/>
  <c r="U29" i="134"/>
  <c r="V29" i="134" s="1"/>
  <c r="S29" i="134"/>
  <c r="R29" i="134"/>
  <c r="J29" i="134"/>
  <c r="I29" i="134"/>
  <c r="W29" i="134" s="1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V26" i="134"/>
  <c r="U26" i="134"/>
  <c r="S26" i="134"/>
  <c r="R26" i="134"/>
  <c r="J26" i="134"/>
  <c r="I26" i="134"/>
  <c r="V25" i="134"/>
  <c r="U25" i="134"/>
  <c r="S25" i="134"/>
  <c r="R25" i="134"/>
  <c r="J25" i="134"/>
  <c r="I25" i="134"/>
  <c r="W25" i="134" s="1"/>
  <c r="V24" i="134"/>
  <c r="U24" i="134"/>
  <c r="S24" i="134"/>
  <c r="R24" i="134"/>
  <c r="J24" i="134"/>
  <c r="I24" i="134"/>
  <c r="W24" i="134" s="1"/>
  <c r="V23" i="134"/>
  <c r="U23" i="134"/>
  <c r="S23" i="134"/>
  <c r="R23" i="134"/>
  <c r="J23" i="134"/>
  <c r="I23" i="134"/>
  <c r="W23" i="134" s="1"/>
  <c r="V22" i="134"/>
  <c r="U22" i="134"/>
  <c r="S22" i="134"/>
  <c r="R22" i="134"/>
  <c r="J22" i="134"/>
  <c r="I22" i="134"/>
  <c r="W22" i="134" s="1"/>
  <c r="V21" i="134"/>
  <c r="U21" i="134"/>
  <c r="S21" i="134"/>
  <c r="R21" i="134"/>
  <c r="J21" i="134"/>
  <c r="I21" i="134"/>
  <c r="W21" i="134" s="1"/>
  <c r="V20" i="134"/>
  <c r="U20" i="134"/>
  <c r="S20" i="134"/>
  <c r="R20" i="134"/>
  <c r="J20" i="134"/>
  <c r="I20" i="134"/>
  <c r="W20" i="134" s="1"/>
  <c r="V19" i="134"/>
  <c r="U19" i="134"/>
  <c r="S19" i="134"/>
  <c r="R19" i="134"/>
  <c r="J19" i="134"/>
  <c r="I19" i="134"/>
  <c r="W19" i="134" s="1"/>
  <c r="V18" i="134"/>
  <c r="U18" i="134"/>
  <c r="S18" i="134"/>
  <c r="R18" i="134"/>
  <c r="J18" i="134"/>
  <c r="I18" i="134"/>
  <c r="W18" i="134" s="1"/>
  <c r="V17" i="134"/>
  <c r="U17" i="134"/>
  <c r="S17" i="134"/>
  <c r="R17" i="134"/>
  <c r="J17" i="134"/>
  <c r="I17" i="134"/>
  <c r="W17" i="134" s="1"/>
  <c r="V16" i="134"/>
  <c r="U16" i="134"/>
  <c r="S16" i="134"/>
  <c r="R16" i="134"/>
  <c r="J16" i="134"/>
  <c r="I16" i="134"/>
  <c r="W16" i="134" s="1"/>
  <c r="V15" i="134"/>
  <c r="U15" i="134"/>
  <c r="S15" i="134"/>
  <c r="R15" i="134"/>
  <c r="J15" i="134"/>
  <c r="I15" i="134"/>
  <c r="W15" i="134" s="1"/>
  <c r="V14" i="134"/>
  <c r="U14" i="134"/>
  <c r="S14" i="134"/>
  <c r="R14" i="134"/>
  <c r="J14" i="134"/>
  <c r="I14" i="134"/>
  <c r="U13" i="134"/>
  <c r="V13" i="134" s="1"/>
  <c r="S13" i="134"/>
  <c r="R13" i="134"/>
  <c r="I13" i="134"/>
  <c r="V12" i="134"/>
  <c r="U12" i="134"/>
  <c r="S12" i="134"/>
  <c r="R12" i="134"/>
  <c r="J12" i="134"/>
  <c r="I12" i="134"/>
  <c r="V11" i="134"/>
  <c r="U11" i="134"/>
  <c r="S11" i="134"/>
  <c r="R11" i="134"/>
  <c r="J11" i="134"/>
  <c r="I11" i="134"/>
  <c r="W11" i="134" s="1"/>
  <c r="V10" i="134"/>
  <c r="U10" i="134"/>
  <c r="S10" i="134"/>
  <c r="R10" i="134"/>
  <c r="J10" i="134"/>
  <c r="I10" i="134"/>
  <c r="W10" i="134" s="1"/>
  <c r="V9" i="134"/>
  <c r="U9" i="134"/>
  <c r="S9" i="134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V8" i="134"/>
  <c r="U8" i="134"/>
  <c r="S8" i="134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W54" i="133"/>
  <c r="V54" i="133"/>
  <c r="U54" i="133"/>
  <c r="S54" i="133"/>
  <c r="R54" i="133"/>
  <c r="J54" i="133"/>
  <c r="I54" i="133"/>
  <c r="W53" i="133"/>
  <c r="U53" i="133"/>
  <c r="V53" i="133" s="1"/>
  <c r="S53" i="133"/>
  <c r="R53" i="133"/>
  <c r="J53" i="133"/>
  <c r="I53" i="133"/>
  <c r="V52" i="133"/>
  <c r="U52" i="133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W50" i="133"/>
  <c r="V50" i="133"/>
  <c r="U50" i="133"/>
  <c r="S50" i="133"/>
  <c r="R50" i="133"/>
  <c r="J50" i="133"/>
  <c r="I50" i="133"/>
  <c r="W49" i="133"/>
  <c r="U49" i="133"/>
  <c r="V49" i="133" s="1"/>
  <c r="S49" i="133"/>
  <c r="R49" i="133"/>
  <c r="J49" i="133"/>
  <c r="I49" i="133"/>
  <c r="W48" i="133"/>
  <c r="V48" i="133"/>
  <c r="U48" i="133"/>
  <c r="S48" i="133"/>
  <c r="R48" i="133"/>
  <c r="J48" i="133"/>
  <c r="I48" i="133"/>
  <c r="U47" i="133"/>
  <c r="V47" i="133" s="1"/>
  <c r="S47" i="133"/>
  <c r="R47" i="133"/>
  <c r="J47" i="133"/>
  <c r="I47" i="133"/>
  <c r="W47" i="133" s="1"/>
  <c r="W46" i="133"/>
  <c r="V46" i="133"/>
  <c r="U46" i="133"/>
  <c r="S46" i="133"/>
  <c r="R46" i="133"/>
  <c r="J46" i="133"/>
  <c r="I46" i="133"/>
  <c r="S45" i="133"/>
  <c r="R45" i="133"/>
  <c r="J45" i="133"/>
  <c r="I45" i="133"/>
  <c r="U44" i="133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0" i="133"/>
  <c r="V40" i="133"/>
  <c r="U40" i="133"/>
  <c r="S40" i="133"/>
  <c r="R40" i="133"/>
  <c r="J40" i="133"/>
  <c r="I40" i="133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U37" i="133"/>
  <c r="V37" i="133" s="1"/>
  <c r="S37" i="133"/>
  <c r="R37" i="133"/>
  <c r="J37" i="133"/>
  <c r="I37" i="133"/>
  <c r="W37" i="133" s="1"/>
  <c r="W36" i="133"/>
  <c r="V36" i="133"/>
  <c r="U36" i="133"/>
  <c r="S36" i="133"/>
  <c r="R36" i="133"/>
  <c r="J36" i="133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V30" i="133"/>
  <c r="U30" i="133"/>
  <c r="S30" i="133"/>
  <c r="R30" i="133"/>
  <c r="J30" i="133"/>
  <c r="I30" i="133"/>
  <c r="W30" i="133" s="1"/>
  <c r="U29" i="133"/>
  <c r="V29" i="133" s="1"/>
  <c r="S29" i="133"/>
  <c r="R29" i="133"/>
  <c r="J29" i="133"/>
  <c r="I29" i="133"/>
  <c r="W29" i="133" s="1"/>
  <c r="W28" i="133"/>
  <c r="V28" i="133"/>
  <c r="U28" i="133"/>
  <c r="S28" i="133"/>
  <c r="R28" i="133"/>
  <c r="J28" i="133"/>
  <c r="I28" i="133"/>
  <c r="U27" i="133"/>
  <c r="V27" i="133" s="1"/>
  <c r="S27" i="133"/>
  <c r="R27" i="133"/>
  <c r="J27" i="133"/>
  <c r="I27" i="133"/>
  <c r="W27" i="133" s="1"/>
  <c r="BE26" i="133"/>
  <c r="V26" i="133"/>
  <c r="U26" i="133"/>
  <c r="S26" i="133"/>
  <c r="R26" i="133"/>
  <c r="J26" i="133"/>
  <c r="I26" i="133"/>
  <c r="V25" i="133"/>
  <c r="U25" i="133"/>
  <c r="S25" i="133"/>
  <c r="R25" i="133"/>
  <c r="J25" i="133"/>
  <c r="I25" i="133"/>
  <c r="W25" i="133" s="1"/>
  <c r="W24" i="133"/>
  <c r="V24" i="133"/>
  <c r="U24" i="133"/>
  <c r="S24" i="133"/>
  <c r="R24" i="133"/>
  <c r="J24" i="133"/>
  <c r="I24" i="133"/>
  <c r="V23" i="133"/>
  <c r="U23" i="133"/>
  <c r="S23" i="133"/>
  <c r="R23" i="133"/>
  <c r="J23" i="133"/>
  <c r="I23" i="133"/>
  <c r="W23" i="133" s="1"/>
  <c r="W22" i="133"/>
  <c r="V22" i="133"/>
  <c r="U22" i="133"/>
  <c r="S22" i="133"/>
  <c r="R22" i="133"/>
  <c r="J22" i="133"/>
  <c r="I22" i="133"/>
  <c r="V21" i="133"/>
  <c r="U21" i="133"/>
  <c r="S21" i="133"/>
  <c r="R21" i="133"/>
  <c r="J21" i="133"/>
  <c r="I21" i="133"/>
  <c r="W21" i="133" s="1"/>
  <c r="V20" i="133"/>
  <c r="U20" i="133"/>
  <c r="S20" i="133"/>
  <c r="R20" i="133"/>
  <c r="J20" i="133"/>
  <c r="I20" i="133"/>
  <c r="W20" i="133" s="1"/>
  <c r="V19" i="133"/>
  <c r="U19" i="133"/>
  <c r="S19" i="133"/>
  <c r="R19" i="133"/>
  <c r="J19" i="133"/>
  <c r="I19" i="133"/>
  <c r="W19" i="133" s="1"/>
  <c r="V18" i="133"/>
  <c r="U18" i="133"/>
  <c r="S18" i="133"/>
  <c r="R18" i="133"/>
  <c r="J18" i="133"/>
  <c r="I18" i="133"/>
  <c r="W18" i="133" s="1"/>
  <c r="V17" i="133"/>
  <c r="U17" i="133"/>
  <c r="S17" i="133"/>
  <c r="R17" i="133"/>
  <c r="J17" i="133"/>
  <c r="I17" i="133"/>
  <c r="W17" i="133" s="1"/>
  <c r="V16" i="133"/>
  <c r="U16" i="133"/>
  <c r="S16" i="133"/>
  <c r="R16" i="133"/>
  <c r="J16" i="133"/>
  <c r="I16" i="133"/>
  <c r="W16" i="133" s="1"/>
  <c r="V15" i="133"/>
  <c r="U15" i="133"/>
  <c r="S15" i="133"/>
  <c r="R15" i="133"/>
  <c r="J15" i="133"/>
  <c r="I15" i="133"/>
  <c r="W15" i="133" s="1"/>
  <c r="V14" i="133"/>
  <c r="U14" i="133"/>
  <c r="S14" i="133"/>
  <c r="R14" i="133"/>
  <c r="J14" i="133"/>
  <c r="I14" i="133"/>
  <c r="W14" i="133" s="1"/>
  <c r="U13" i="133"/>
  <c r="V13" i="133" s="1"/>
  <c r="S13" i="133"/>
  <c r="R13" i="133"/>
  <c r="J13" i="133"/>
  <c r="I13" i="133"/>
  <c r="V12" i="133"/>
  <c r="U12" i="133"/>
  <c r="S12" i="133"/>
  <c r="R12" i="133"/>
  <c r="J12" i="133"/>
  <c r="I12" i="133"/>
  <c r="V11" i="133"/>
  <c r="U11" i="133"/>
  <c r="S11" i="133"/>
  <c r="R11" i="133"/>
  <c r="J11" i="133"/>
  <c r="I11" i="133"/>
  <c r="W11" i="133" s="1"/>
  <c r="V10" i="133"/>
  <c r="U10" i="133"/>
  <c r="S10" i="133"/>
  <c r="R10" i="133"/>
  <c r="J10" i="133"/>
  <c r="I10" i="133"/>
  <c r="W10" i="133" s="1"/>
  <c r="V9" i="133"/>
  <c r="U9" i="133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8" i="133"/>
  <c r="U8" i="133"/>
  <c r="S8" i="133"/>
  <c r="R8" i="133"/>
  <c r="J8" i="133"/>
  <c r="W8" i="133" s="1"/>
  <c r="I8" i="133"/>
  <c r="W44" i="137" l="1"/>
  <c r="W41" i="137"/>
  <c r="W38" i="137"/>
  <c r="W35" i="137"/>
  <c r="U60" i="137"/>
  <c r="W30" i="137"/>
  <c r="W26" i="137"/>
  <c r="W24" i="137"/>
  <c r="W23" i="137"/>
  <c r="W14" i="137"/>
  <c r="S60" i="137"/>
  <c r="R60" i="137"/>
  <c r="W13" i="137"/>
  <c r="W12" i="137"/>
  <c r="J60" i="137"/>
  <c r="W44" i="136"/>
  <c r="W41" i="136"/>
  <c r="W38" i="136"/>
  <c r="W24" i="136"/>
  <c r="W14" i="136"/>
  <c r="S60" i="136"/>
  <c r="R60" i="136"/>
  <c r="W13" i="136"/>
  <c r="J60" i="136"/>
  <c r="U60" i="136"/>
  <c r="W8" i="136"/>
  <c r="W44" i="135"/>
  <c r="W41" i="135"/>
  <c r="W30" i="135"/>
  <c r="W23" i="135"/>
  <c r="W20" i="135"/>
  <c r="S60" i="135"/>
  <c r="U60" i="135"/>
  <c r="W13" i="135"/>
  <c r="J60" i="135"/>
  <c r="I60" i="135"/>
  <c r="R60" i="135"/>
  <c r="V8" i="135"/>
  <c r="W8" i="135"/>
  <c r="W44" i="134"/>
  <c r="U60" i="134"/>
  <c r="W26" i="134"/>
  <c r="W14" i="134"/>
  <c r="S60" i="134"/>
  <c r="W13" i="134"/>
  <c r="W12" i="134"/>
  <c r="R60" i="134"/>
  <c r="W9" i="134"/>
  <c r="J60" i="134"/>
  <c r="W8" i="134"/>
  <c r="W44" i="133"/>
  <c r="W41" i="133"/>
  <c r="W38" i="133"/>
  <c r="W35" i="133"/>
  <c r="W26" i="133"/>
  <c r="S60" i="133"/>
  <c r="R60" i="133"/>
  <c r="U60" i="133"/>
  <c r="W13" i="133"/>
  <c r="W12" i="133"/>
  <c r="J60" i="133"/>
  <c r="I60" i="133"/>
  <c r="V60" i="139"/>
  <c r="W60" i="139"/>
  <c r="I60" i="139"/>
  <c r="W60" i="138"/>
  <c r="I60" i="138"/>
  <c r="V28" i="138"/>
  <c r="V60" i="138" s="1"/>
  <c r="V27" i="137"/>
  <c r="V60" i="137" s="1"/>
  <c r="I60" i="137"/>
  <c r="V27" i="136"/>
  <c r="V60" i="136" s="1"/>
  <c r="I60" i="136"/>
  <c r="V60" i="135"/>
  <c r="V60" i="134"/>
  <c r="I60" i="134"/>
  <c r="V44" i="133"/>
  <c r="V60" i="133" s="1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U47" i="132"/>
  <c r="V47" i="132" s="1"/>
  <c r="S47" i="132"/>
  <c r="R47" i="132"/>
  <c r="J47" i="132"/>
  <c r="I47" i="132"/>
  <c r="W47" i="132" s="1"/>
  <c r="U46" i="132"/>
  <c r="V46" i="132" s="1"/>
  <c r="S46" i="132"/>
  <c r="R46" i="132"/>
  <c r="J46" i="132"/>
  <c r="I46" i="132"/>
  <c r="W46" i="132" s="1"/>
  <c r="S45" i="132"/>
  <c r="R45" i="132"/>
  <c r="J45" i="132"/>
  <c r="I45" i="132"/>
  <c r="U44" i="132"/>
  <c r="V44" i="132" s="1"/>
  <c r="S44" i="132"/>
  <c r="R44" i="132"/>
  <c r="J44" i="132"/>
  <c r="I44" i="132"/>
  <c r="S43" i="132"/>
  <c r="R43" i="132"/>
  <c r="J43" i="132"/>
  <c r="I43" i="132"/>
  <c r="W42" i="132"/>
  <c r="U42" i="132"/>
  <c r="V42" i="132" s="1"/>
  <c r="S42" i="132"/>
  <c r="R42" i="132"/>
  <c r="J42" i="132"/>
  <c r="I42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V34" i="132"/>
  <c r="U34" i="132"/>
  <c r="S34" i="132"/>
  <c r="R34" i="132"/>
  <c r="J34" i="132"/>
  <c r="I34" i="132"/>
  <c r="W34" i="132" s="1"/>
  <c r="W33" i="132"/>
  <c r="U33" i="132"/>
  <c r="V33" i="132" s="1"/>
  <c r="S33" i="132"/>
  <c r="R33" i="132"/>
  <c r="J33" i="132"/>
  <c r="I33" i="132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W30" i="132"/>
  <c r="U30" i="132"/>
  <c r="V30" i="132" s="1"/>
  <c r="S30" i="132"/>
  <c r="R30" i="132"/>
  <c r="J30" i="132"/>
  <c r="I30" i="132"/>
  <c r="U29" i="132"/>
  <c r="V29" i="132" s="1"/>
  <c r="S29" i="132"/>
  <c r="R29" i="132"/>
  <c r="J29" i="132"/>
  <c r="I29" i="132"/>
  <c r="W29" i="132" s="1"/>
  <c r="V28" i="132"/>
  <c r="U28" i="132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V26" i="132"/>
  <c r="U26" i="132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U14" i="132"/>
  <c r="V14" i="132" s="1"/>
  <c r="S14" i="132"/>
  <c r="R14" i="132"/>
  <c r="J14" i="132"/>
  <c r="I14" i="132"/>
  <c r="W14" i="132" s="1"/>
  <c r="U13" i="132"/>
  <c r="V13" i="132" s="1"/>
  <c r="S13" i="132"/>
  <c r="R13" i="132"/>
  <c r="J13" i="132"/>
  <c r="I13" i="132"/>
  <c r="W13" i="132" s="1"/>
  <c r="U12" i="132"/>
  <c r="V12" i="132" s="1"/>
  <c r="S12" i="132"/>
  <c r="R12" i="132"/>
  <c r="J12" i="132"/>
  <c r="I12" i="132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60" i="137" l="1"/>
  <c r="W60" i="136"/>
  <c r="W60" i="135"/>
  <c r="W60" i="134"/>
  <c r="W60" i="133"/>
  <c r="W48" i="132"/>
  <c r="W44" i="132"/>
  <c r="W41" i="132"/>
  <c r="W38" i="132"/>
  <c r="W26" i="132"/>
  <c r="W24" i="132"/>
  <c r="W23" i="132"/>
  <c r="W15" i="132"/>
  <c r="S60" i="132"/>
  <c r="W12" i="132"/>
  <c r="R60" i="132"/>
  <c r="U60" i="132"/>
  <c r="J60" i="132"/>
  <c r="W8" i="132"/>
  <c r="I60" i="132"/>
  <c r="V8" i="132"/>
  <c r="V60" i="132" s="1"/>
  <c r="W60" i="132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C5183DB-9B7D-4D47-8877-B81352DDC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6DB93D6-FC71-477C-8254-4A23FB866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5DAE8D8-732A-4A4F-963D-F699D109C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DBF4243-622F-4732-A2FD-BC4EBC667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518E34-E857-473D-90AB-5DFDBA255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79F4785-D1D0-47E1-87D8-3E79A8E688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48343BB-5C42-49E5-ABD9-A018F76C71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1F7EC23-E322-438B-8DA8-8EF855D379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0ABCE2D-3805-49A6-B58B-6201AC84A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3C79E6E-0BB1-48FC-B0CA-79D5B11D5A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2F92D7-9253-4EF9-AE6A-E3C654AA7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2FCF3A8-DA9B-4E89-A69B-2703B204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8C7F67B-3A7F-443E-9FD6-10BAFDA16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F05A4AB-0012-4137-B10C-4CCFA71B6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56E2CD7-BB1C-42BB-A3F2-BD9E332F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E39E72A-F5F9-4691-99E0-7BD24429A2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D5CC4FE-09EF-4019-8774-23B33A3BA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C39AA45-6DDC-4FA5-AEB9-E8EF2EAE2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F27C39E-FC20-4313-AB58-8D0138ACAE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2EE9285-234C-47D0-94FB-683585B93C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5A28E36-9F6D-4234-AD02-1DAC9B94C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<sst xmlns="http://schemas.openxmlformats.org/spreadsheetml/2006/main" count="954" uniqueCount="82">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</sst>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167" fontId="9" fillId="5" borderId="44" xfId="3" applyNumberFormat="1" applyFont="1" applyFill="1" applyBorder="1" applyAlignment="1">
      <alignment vertical="center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/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06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zoomScale="115" zoomScaleNormal="115" zoomScaleSheetLayoutView="85" zoomScalePageLayoutView="80" workbookViewId="0">
      <selection activeCell="B1" sqref="B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46237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5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88</v>
      </c>
      <c r="D9" s="114">
        <v>12</v>
      </c>
      <c r="E9" s="115"/>
      <c r="F9" s="115"/>
      <c r="G9" s="78">
        <v>1</v>
      </c>
      <c r="H9" s="79"/>
      <c r="I9" s="80">
        <f t="shared" ref="I9:I59" si="4">C9+E9-G9</f>
        <v>87</v>
      </c>
      <c r="J9" s="94">
        <f t="shared" si="0"/>
        <v>12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94</v>
      </c>
      <c r="D10" s="111"/>
      <c r="E10" s="112"/>
      <c r="F10" s="112"/>
      <c r="G10" s="76">
        <v>1</v>
      </c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50</v>
      </c>
      <c r="D11" s="111"/>
      <c r="E11" s="112"/>
      <c r="F11" s="112"/>
      <c r="G11" s="76">
        <v>1</v>
      </c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3623</v>
      </c>
      <c r="D13" s="114"/>
      <c r="E13" s="115"/>
      <c r="F13" s="115"/>
      <c r="G13" s="78">
        <v>44</v>
      </c>
      <c r="H13" s="79">
        <v>19</v>
      </c>
      <c r="I13" s="80">
        <f t="shared" si="4"/>
        <v>3579</v>
      </c>
      <c r="J13" s="94">
        <f>D13-H13</f>
        <v>-19</v>
      </c>
      <c r="K13" s="53"/>
      <c r="L13" s="121">
        <v>2</v>
      </c>
      <c r="M13" s="121">
        <v>8</v>
      </c>
      <c r="N13" s="121">
        <v>25</v>
      </c>
      <c r="O13" s="121">
        <v>8</v>
      </c>
      <c r="P13" s="121">
        <v>17</v>
      </c>
      <c r="Q13" s="122">
        <v>3</v>
      </c>
      <c r="R13" s="97">
        <f>L13+N13+P13</f>
        <v>44</v>
      </c>
      <c r="S13" s="125">
        <f>M13+O13+Q13</f>
        <v>19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85877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/>
      <c r="H26" s="73"/>
      <c r="I26" s="73">
        <f t="shared" si="4"/>
        <v>57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1369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23</v>
      </c>
      <c r="D29" s="111"/>
      <c r="E29" s="112"/>
      <c r="F29" s="112"/>
      <c r="G29" s="76">
        <v>3</v>
      </c>
      <c r="H29" s="73"/>
      <c r="I29" s="73">
        <f t="shared" si="4"/>
        <v>20</v>
      </c>
      <c r="J29" s="77">
        <f t="shared" si="7"/>
        <v>0</v>
      </c>
      <c r="K29" s="42"/>
      <c r="L29" s="112">
        <v>1</v>
      </c>
      <c r="M29" s="112"/>
      <c r="N29" s="112"/>
      <c r="O29" s="112"/>
      <c r="P29" s="112">
        <v>2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30</v>
      </c>
      <c r="D30" s="111">
        <v>5</v>
      </c>
      <c r="E30" s="112"/>
      <c r="F30" s="112"/>
      <c r="G30" s="76">
        <v>1</v>
      </c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2</v>
      </c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>
        <v>2</v>
      </c>
      <c r="O32" s="112"/>
      <c r="P32" s="112"/>
      <c r="Q32" s="120"/>
      <c r="R32" s="86">
        <f t="shared" si="8"/>
        <v>2</v>
      </c>
      <c r="S32" s="124">
        <f t="shared" si="8"/>
        <v>0</v>
      </c>
      <c r="T32" s="41"/>
      <c r="U32" s="107">
        <f t="shared" si="5"/>
        <v>48</v>
      </c>
      <c r="V32" s="130">
        <f t="shared" si="6"/>
        <v>2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211</v>
      </c>
      <c r="D35" s="111">
        <v>2</v>
      </c>
      <c r="E35" s="112"/>
      <c r="F35" s="112"/>
      <c r="G35" s="76">
        <v>2</v>
      </c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4572</v>
      </c>
      <c r="D38" s="114">
        <v>1</v>
      </c>
      <c r="E38" s="115"/>
      <c r="F38" s="115"/>
      <c r="G38" s="78">
        <v>281</v>
      </c>
      <c r="H38" s="79"/>
      <c r="I38" s="80">
        <f t="shared" si="4"/>
        <v>4291</v>
      </c>
      <c r="J38" s="140">
        <f t="shared" si="7"/>
        <v>1</v>
      </c>
      <c r="K38" s="51"/>
      <c r="L38" s="121">
        <v>32</v>
      </c>
      <c r="M38" s="121"/>
      <c r="N38" s="121">
        <v>168</v>
      </c>
      <c r="O38" s="121"/>
      <c r="P38" s="121">
        <v>81</v>
      </c>
      <c r="Q38" s="122"/>
      <c r="R38" s="97">
        <f t="shared" si="8"/>
        <v>281</v>
      </c>
      <c r="S38" s="125">
        <f t="shared" si="8"/>
        <v>0</v>
      </c>
      <c r="T38" s="51"/>
      <c r="U38" s="131">
        <f>L38*6+N38*6+P38*6</f>
        <v>1686</v>
      </c>
      <c r="V38" s="135">
        <f>U38/6</f>
        <v>281</v>
      </c>
      <c r="W38" s="133">
        <f>I38*6+J38</f>
        <v>25747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156</v>
      </c>
      <c r="D42" s="164"/>
      <c r="E42" s="165"/>
      <c r="F42" s="165"/>
      <c r="G42" s="166">
        <v>29</v>
      </c>
      <c r="H42" s="167"/>
      <c r="I42" s="181">
        <f t="shared" si="4"/>
        <v>127</v>
      </c>
      <c r="J42" s="168">
        <f t="shared" si="7"/>
        <v>0</v>
      </c>
      <c r="K42" s="169"/>
      <c r="L42" s="165">
        <v>9</v>
      </c>
      <c r="M42" s="165"/>
      <c r="N42" s="165">
        <v>6</v>
      </c>
      <c r="O42" s="165"/>
      <c r="P42" s="165">
        <v>14</v>
      </c>
      <c r="Q42" s="170"/>
      <c r="R42" s="171">
        <f t="shared" si="8"/>
        <v>29</v>
      </c>
      <c r="S42" s="172">
        <f t="shared" si="8"/>
        <v>0</v>
      </c>
      <c r="T42" s="169"/>
      <c r="U42" s="173">
        <f>L42*12+N42*12+P42*12</f>
        <v>348</v>
      </c>
      <c r="V42" s="174">
        <f>U42/12</f>
        <v>29</v>
      </c>
      <c r="W42" s="175">
        <f>I42*12+J42</f>
        <v>1524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46426</v>
      </c>
      <c r="D44" s="114">
        <v>1</v>
      </c>
      <c r="E44" s="115"/>
      <c r="F44" s="115"/>
      <c r="G44" s="78">
        <v>1198</v>
      </c>
      <c r="H44" s="79"/>
      <c r="I44" s="182">
        <f t="shared" si="4"/>
        <v>45228</v>
      </c>
      <c r="J44" s="177">
        <f t="shared" si="7"/>
        <v>1</v>
      </c>
      <c r="K44" s="51"/>
      <c r="L44" s="121">
        <v>283</v>
      </c>
      <c r="M44" s="121"/>
      <c r="N44" s="121">
        <v>487</v>
      </c>
      <c r="O44" s="121"/>
      <c r="P44" s="121">
        <v>428</v>
      </c>
      <c r="Q44" s="122"/>
      <c r="R44" s="178">
        <f t="shared" si="8"/>
        <v>1198</v>
      </c>
      <c r="S44" s="179">
        <f t="shared" si="8"/>
        <v>0</v>
      </c>
      <c r="T44" s="51"/>
      <c r="U44" s="131">
        <f>L44*6+N44*6+P44*6</f>
        <v>7188</v>
      </c>
      <c r="V44" s="130">
        <f>U44/6</f>
        <v>1198</v>
      </c>
      <c r="W44" s="133">
        <f>I44*6+J44</f>
        <v>271369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>
        <v>2</v>
      </c>
      <c r="O46" s="112"/>
      <c r="P46" s="112">
        <v>2</v>
      </c>
      <c r="Q46" s="120"/>
      <c r="R46" s="86">
        <f t="shared" si="8"/>
        <v>4</v>
      </c>
      <c r="S46" s="128">
        <f t="shared" si="8"/>
        <v>0</v>
      </c>
      <c r="T46" s="41"/>
      <c r="U46" s="107">
        <f t="shared" ref="U46:U47" si="12">L46*24+N46*24+P46*24</f>
        <v>96</v>
      </c>
      <c r="V46" s="134">
        <f t="shared" ref="V46:V47" si="13">U46/24</f>
        <v>4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2</v>
      </c>
      <c r="D47" s="111"/>
      <c r="E47" s="112"/>
      <c r="F47" s="112"/>
      <c r="G47" s="76">
        <v>1</v>
      </c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>
        <v>1</v>
      </c>
      <c r="Q47" s="120"/>
      <c r="R47" s="86">
        <f t="shared" si="8"/>
        <v>2</v>
      </c>
      <c r="S47" s="124">
        <f t="shared" si="8"/>
        <v>0</v>
      </c>
      <c r="T47" s="41"/>
      <c r="U47" s="107">
        <f t="shared" si="12"/>
        <v>48</v>
      </c>
      <c r="V47" s="130">
        <f t="shared" si="13"/>
        <v>2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2702</f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58431</v>
      </c>
      <c r="D60" s="54">
        <f>SUM(D8:D59)</f>
        <v>131</v>
      </c>
      <c r="E60" s="44">
        <f>SUM(E8:E59)</f>
        <v>0</v>
      </c>
      <c r="F60" s="44"/>
      <c r="G60" s="28">
        <f>SUM(G8:G59)</f>
        <v>1568</v>
      </c>
      <c r="H60" s="56">
        <f>SUM(H8:H59)</f>
        <v>19</v>
      </c>
      <c r="I60" s="56">
        <f>SUM(I8:I59)</f>
        <v>56863</v>
      </c>
      <c r="J60" s="45">
        <f>SUM(J8:J59)</f>
        <v>112</v>
      </c>
      <c r="K60" s="46"/>
      <c r="L60" s="74">
        <f t="shared" ref="L60:S60" si="21">SUM(L8:L59)</f>
        <v>328</v>
      </c>
      <c r="M60" s="74">
        <f t="shared" si="21"/>
        <v>8</v>
      </c>
      <c r="N60" s="74">
        <f t="shared" si="21"/>
        <v>695</v>
      </c>
      <c r="O60" s="74">
        <f t="shared" si="21"/>
        <v>8</v>
      </c>
      <c r="P60" s="74">
        <f t="shared" si="21"/>
        <v>548</v>
      </c>
      <c r="Q60" s="75">
        <f t="shared" si="21"/>
        <v>3</v>
      </c>
      <c r="R60" s="85">
        <f t="shared" si="21"/>
        <v>1571</v>
      </c>
      <c r="S60" s="84">
        <f t="shared" si="21"/>
        <v>19</v>
      </c>
      <c r="T60" s="46"/>
      <c r="U60" s="43">
        <f>SUM(U8:U59)</f>
        <v>10734</v>
      </c>
      <c r="V60" s="102">
        <f>SUM(V8:V59)</f>
        <v>1571</v>
      </c>
      <c r="W60" s="180">
        <f>SUM(W8:W59)</f>
        <v>422710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DB5B-34D0-4242-A26E-899D8D04A5FA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46238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/>
      <c r="H11" s="73"/>
      <c r="I11" s="73">
        <f t="shared" si="4"/>
        <v>49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3578</v>
      </c>
      <c r="D13" s="114">
        <v>5</v>
      </c>
      <c r="E13" s="115"/>
      <c r="F13" s="115"/>
      <c r="G13" s="78">
        <v>28</v>
      </c>
      <c r="H13" s="79">
        <v>9</v>
      </c>
      <c r="I13" s="80">
        <f t="shared" si="4"/>
        <v>3550</v>
      </c>
      <c r="J13" s="94">
        <f>D13-H13</f>
        <v>-4</v>
      </c>
      <c r="K13" s="53"/>
      <c r="L13" s="121"/>
      <c r="M13" s="121"/>
      <c r="N13" s="121">
        <v>11</v>
      </c>
      <c r="O13" s="121">
        <v>4</v>
      </c>
      <c r="P13" s="121">
        <v>17</v>
      </c>
      <c r="Q13" s="122">
        <v>5</v>
      </c>
      <c r="R13" s="97">
        <f>L13+N13+P13</f>
        <v>28</v>
      </c>
      <c r="S13" s="125">
        <f>M13+O13+Q13</f>
        <v>9</v>
      </c>
      <c r="T13" s="53"/>
      <c r="U13" s="131">
        <f>L13*24+N13*24+P13*24</f>
        <v>672</v>
      </c>
      <c r="V13" s="135">
        <f t="shared" si="6"/>
        <v>28</v>
      </c>
      <c r="W13" s="133">
        <f>I13*24+J13</f>
        <v>85196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57</v>
      </c>
      <c r="D26" s="111">
        <v>1</v>
      </c>
      <c r="E26" s="112"/>
      <c r="F26" s="112"/>
      <c r="G26" s="76">
        <v>2</v>
      </c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20</v>
      </c>
      <c r="D29" s="111"/>
      <c r="E29" s="112"/>
      <c r="F29" s="112"/>
      <c r="G29" s="76">
        <v>4</v>
      </c>
      <c r="H29" s="73"/>
      <c r="I29" s="73">
        <f t="shared" si="4"/>
        <v>16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384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/>
      <c r="H32" s="73"/>
      <c r="I32" s="73">
        <f t="shared" si="4"/>
        <v>3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72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4291</v>
      </c>
      <c r="D38" s="114">
        <v>1</v>
      </c>
      <c r="E38" s="115"/>
      <c r="F38" s="115"/>
      <c r="G38" s="78">
        <v>75</v>
      </c>
      <c r="H38" s="79"/>
      <c r="I38" s="80">
        <f t="shared" si="4"/>
        <v>4216</v>
      </c>
      <c r="J38" s="140">
        <f t="shared" si="7"/>
        <v>1</v>
      </c>
      <c r="K38" s="51"/>
      <c r="L38" s="121"/>
      <c r="M38" s="121"/>
      <c r="N38" s="121">
        <v>20</v>
      </c>
      <c r="O38" s="121"/>
      <c r="P38" s="121">
        <v>55</v>
      </c>
      <c r="Q38" s="122"/>
      <c r="R38" s="97">
        <f t="shared" si="8"/>
        <v>75</v>
      </c>
      <c r="S38" s="125">
        <f t="shared" si="8"/>
        <v>0</v>
      </c>
      <c r="T38" s="51"/>
      <c r="U38" s="131">
        <f>L38*6+N38*6+P38*6</f>
        <v>450</v>
      </c>
      <c r="V38" s="135">
        <f>U38/6</f>
        <v>75</v>
      </c>
      <c r="W38" s="133">
        <f>I38*6+J38</f>
        <v>25297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127</v>
      </c>
      <c r="D42" s="164"/>
      <c r="E42" s="165"/>
      <c r="F42" s="165"/>
      <c r="G42" s="166">
        <v>6</v>
      </c>
      <c r="H42" s="167"/>
      <c r="I42" s="181">
        <f t="shared" si="4"/>
        <v>121</v>
      </c>
      <c r="J42" s="168">
        <f t="shared" si="7"/>
        <v>0</v>
      </c>
      <c r="K42" s="169"/>
      <c r="L42" s="165"/>
      <c r="M42" s="165"/>
      <c r="N42" s="165">
        <v>2</v>
      </c>
      <c r="O42" s="165"/>
      <c r="P42" s="165">
        <v>4</v>
      </c>
      <c r="Q42" s="170"/>
      <c r="R42" s="171">
        <f t="shared" si="8"/>
        <v>6</v>
      </c>
      <c r="S42" s="172">
        <f t="shared" si="8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1452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45228</v>
      </c>
      <c r="D44" s="114">
        <v>1</v>
      </c>
      <c r="E44" s="115"/>
      <c r="F44" s="115"/>
      <c r="G44" s="78">
        <v>979</v>
      </c>
      <c r="H44" s="79"/>
      <c r="I44" s="182">
        <f t="shared" si="4"/>
        <v>44249</v>
      </c>
      <c r="J44" s="177">
        <f t="shared" si="7"/>
        <v>1</v>
      </c>
      <c r="K44" s="51"/>
      <c r="L44" s="121"/>
      <c r="M44" s="121"/>
      <c r="N44" s="121">
        <v>431</v>
      </c>
      <c r="O44" s="121"/>
      <c r="P44" s="121">
        <v>548</v>
      </c>
      <c r="Q44" s="122"/>
      <c r="R44" s="178">
        <f t="shared" si="8"/>
        <v>979</v>
      </c>
      <c r="S44" s="179">
        <f t="shared" si="8"/>
        <v>0</v>
      </c>
      <c r="T44" s="51"/>
      <c r="U44" s="131">
        <f>L44*6+N44*6+P44*6</f>
        <v>5874</v>
      </c>
      <c r="V44" s="130">
        <f>U44/6</f>
        <v>979</v>
      </c>
      <c r="W44" s="133">
        <f>I44*6+J44</f>
        <v>265495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/>
      <c r="H47" s="73"/>
      <c r="I47" s="73">
        <f t="shared" si="4"/>
        <v>1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24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56862</v>
      </c>
      <c r="D60" s="54">
        <f>SUM(D8:D59)</f>
        <v>136</v>
      </c>
      <c r="E60" s="44">
        <f>SUM(E8:E59)</f>
        <v>0</v>
      </c>
      <c r="F60" s="44"/>
      <c r="G60" s="28">
        <f>SUM(G8:G59)</f>
        <v>1094</v>
      </c>
      <c r="H60" s="56">
        <f>SUM(H8:H59)</f>
        <v>9</v>
      </c>
      <c r="I60" s="56">
        <f>SUM(I8:I59)</f>
        <v>55768</v>
      </c>
      <c r="J60" s="45">
        <f>SUM(J8:J59)</f>
        <v>127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464</v>
      </c>
      <c r="O60" s="74">
        <f t="shared" si="21"/>
        <v>4</v>
      </c>
      <c r="P60" s="74">
        <f t="shared" si="21"/>
        <v>630</v>
      </c>
      <c r="Q60" s="75">
        <f t="shared" si="21"/>
        <v>5</v>
      </c>
      <c r="R60" s="85">
        <f t="shared" si="21"/>
        <v>1094</v>
      </c>
      <c r="S60" s="84">
        <f t="shared" si="21"/>
        <v>9</v>
      </c>
      <c r="T60" s="46"/>
      <c r="U60" s="43">
        <f>SUM(U8:U59)</f>
        <v>7212</v>
      </c>
      <c r="V60" s="102">
        <f>SUM(V8:V59)</f>
        <v>1094</v>
      </c>
      <c r="W60" s="180">
        <f>SUM(W8:W59)</f>
        <v>415489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E12A-ADEB-4FC9-817F-A2FB50AF5435}">
  <sheetPr>
    <pageSetUpPr fitToPage="1"/>
  </sheetPr>
  <dimension ref="A1:BH90"/>
  <sheetViews>
    <sheetView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46239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/>
      <c r="H8" s="73"/>
      <c r="I8" s="73">
        <f>C8+E8-G8</f>
        <v>35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849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49</v>
      </c>
      <c r="D11" s="111"/>
      <c r="E11" s="112"/>
      <c r="F11" s="112"/>
      <c r="G11" s="76">
        <v>2</v>
      </c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3549</v>
      </c>
      <c r="D13" s="114">
        <v>20</v>
      </c>
      <c r="E13" s="115"/>
      <c r="F13" s="115"/>
      <c r="G13" s="78">
        <v>18</v>
      </c>
      <c r="H13" s="79">
        <v>10</v>
      </c>
      <c r="I13" s="80">
        <f t="shared" si="4"/>
        <v>3531</v>
      </c>
      <c r="J13" s="94">
        <f>D13-H13</f>
        <v>10</v>
      </c>
      <c r="K13" s="53"/>
      <c r="L13" s="121">
        <v>8</v>
      </c>
      <c r="M13" s="121"/>
      <c r="N13" s="121">
        <v>10</v>
      </c>
      <c r="O13" s="121">
        <v>10</v>
      </c>
      <c r="P13" s="121"/>
      <c r="Q13" s="122"/>
      <c r="R13" s="97">
        <f>L13+N13+P13</f>
        <v>18</v>
      </c>
      <c r="S13" s="125">
        <f>M13+O13+Q13</f>
        <v>10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84754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>
        <v>1</v>
      </c>
      <c r="O27" s="112"/>
      <c r="P27" s="112"/>
      <c r="Q27" s="120"/>
      <c r="R27" s="86">
        <f t="shared" si="8"/>
        <v>1</v>
      </c>
      <c r="S27" s="124">
        <f t="shared" si="8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16</v>
      </c>
      <c r="D29" s="111"/>
      <c r="E29" s="112"/>
      <c r="F29" s="112"/>
      <c r="G29" s="76">
        <v>1</v>
      </c>
      <c r="H29" s="73"/>
      <c r="I29" s="73">
        <f t="shared" si="4"/>
        <v>15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3</v>
      </c>
      <c r="D32" s="111"/>
      <c r="E32" s="112"/>
      <c r="F32" s="112"/>
      <c r="G32" s="76">
        <v>1</v>
      </c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8"/>
        <v>1</v>
      </c>
      <c r="S32" s="124">
        <f t="shared" si="8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/>
      <c r="H35" s="73"/>
      <c r="I35" s="73">
        <f t="shared" si="4"/>
        <v>209</v>
      </c>
      <c r="J35" s="77">
        <f t="shared" si="7"/>
        <v>2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5018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4216</v>
      </c>
      <c r="D38" s="114">
        <v>1</v>
      </c>
      <c r="E38" s="115"/>
      <c r="F38" s="115"/>
      <c r="G38" s="78">
        <v>134</v>
      </c>
      <c r="H38" s="79"/>
      <c r="I38" s="80">
        <f t="shared" si="4"/>
        <v>4082</v>
      </c>
      <c r="J38" s="140">
        <f t="shared" si="7"/>
        <v>1</v>
      </c>
      <c r="K38" s="51"/>
      <c r="L38" s="121">
        <v>113</v>
      </c>
      <c r="M38" s="121"/>
      <c r="N38" s="121">
        <v>21</v>
      </c>
      <c r="O38" s="121"/>
      <c r="P38" s="121"/>
      <c r="Q38" s="122"/>
      <c r="R38" s="97">
        <f t="shared" si="8"/>
        <v>134</v>
      </c>
      <c r="S38" s="125">
        <f t="shared" si="8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24493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/>
      <c r="H41" s="150"/>
      <c r="I41" s="80">
        <f t="shared" si="4"/>
        <v>208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5012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121</v>
      </c>
      <c r="D42" s="164"/>
      <c r="E42" s="165"/>
      <c r="F42" s="165"/>
      <c r="G42" s="166">
        <v>15</v>
      </c>
      <c r="H42" s="167"/>
      <c r="I42" s="181">
        <f t="shared" si="4"/>
        <v>106</v>
      </c>
      <c r="J42" s="168">
        <f t="shared" si="7"/>
        <v>0</v>
      </c>
      <c r="K42" s="169"/>
      <c r="L42" s="165">
        <v>15</v>
      </c>
      <c r="M42" s="165"/>
      <c r="N42" s="165"/>
      <c r="O42" s="165"/>
      <c r="P42" s="165"/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1272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44249</v>
      </c>
      <c r="D44" s="114">
        <v>1</v>
      </c>
      <c r="E44" s="115"/>
      <c r="F44" s="115"/>
      <c r="G44" s="78">
        <v>558</v>
      </c>
      <c r="H44" s="79"/>
      <c r="I44" s="182">
        <f t="shared" si="4"/>
        <v>43691</v>
      </c>
      <c r="J44" s="177">
        <f t="shared" si="7"/>
        <v>1</v>
      </c>
      <c r="K44" s="51"/>
      <c r="L44" s="121">
        <v>236</v>
      </c>
      <c r="M44" s="121"/>
      <c r="N44" s="121">
        <v>322</v>
      </c>
      <c r="O44" s="121"/>
      <c r="P44" s="121"/>
      <c r="Q44" s="122"/>
      <c r="R44" s="178">
        <f t="shared" si="8"/>
        <v>558</v>
      </c>
      <c r="S44" s="179">
        <f t="shared" si="8"/>
        <v>0</v>
      </c>
      <c r="T44" s="51"/>
      <c r="U44" s="131">
        <f>L44*6+N44*6+P44*6</f>
        <v>3348</v>
      </c>
      <c r="V44" s="130">
        <f>U44/6</f>
        <v>558</v>
      </c>
      <c r="W44" s="133">
        <f>I44*6+J44</f>
        <v>262147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1</v>
      </c>
      <c r="D47" s="111"/>
      <c r="E47" s="112"/>
      <c r="F47" s="112"/>
      <c r="G47" s="76">
        <v>1</v>
      </c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>
        <v>1</v>
      </c>
      <c r="O47" s="112"/>
      <c r="P47" s="112"/>
      <c r="Q47" s="120"/>
      <c r="R47" s="86">
        <f t="shared" si="8"/>
        <v>1</v>
      </c>
      <c r="S47" s="124">
        <f t="shared" si="8"/>
        <v>0</v>
      </c>
      <c r="T47" s="41"/>
      <c r="U47" s="107">
        <f t="shared" si="12"/>
        <v>24</v>
      </c>
      <c r="V47" s="130">
        <f t="shared" si="13"/>
        <v>1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55767</v>
      </c>
      <c r="D60" s="54">
        <f>SUM(D8:D59)</f>
        <v>151</v>
      </c>
      <c r="E60" s="44">
        <f>SUM(E8:E59)</f>
        <v>0</v>
      </c>
      <c r="F60" s="44"/>
      <c r="G60" s="28">
        <f>SUM(G8:G59)</f>
        <v>732</v>
      </c>
      <c r="H60" s="56">
        <f>SUM(H8:H59)</f>
        <v>10</v>
      </c>
      <c r="I60" s="56">
        <f>SUM(I8:I59)</f>
        <v>55035</v>
      </c>
      <c r="J60" s="45">
        <f>SUM(J8:J59)</f>
        <v>141</v>
      </c>
      <c r="K60" s="46"/>
      <c r="L60" s="74">
        <f t="shared" ref="L60:S60" si="21">SUM(L8:L59)</f>
        <v>372</v>
      </c>
      <c r="M60" s="74">
        <f t="shared" si="21"/>
        <v>0</v>
      </c>
      <c r="N60" s="74">
        <f t="shared" si="21"/>
        <v>360</v>
      </c>
      <c r="O60" s="74">
        <f t="shared" si="21"/>
        <v>10</v>
      </c>
      <c r="P60" s="74">
        <f t="shared" si="21"/>
        <v>0</v>
      </c>
      <c r="Q60" s="75">
        <f t="shared" si="21"/>
        <v>0</v>
      </c>
      <c r="R60" s="85">
        <f t="shared" si="21"/>
        <v>732</v>
      </c>
      <c r="S60" s="84">
        <f t="shared" si="21"/>
        <v>10</v>
      </c>
      <c r="T60" s="46"/>
      <c r="U60" s="43">
        <f>SUM(U8:U59)</f>
        <v>4932</v>
      </c>
      <c r="V60" s="102">
        <f>SUM(V8:V59)</f>
        <v>732</v>
      </c>
      <c r="W60" s="180">
        <f>SUM(W8:W59)</f>
        <v>410547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BFDE-0509-4D24-AD16-54AAC29EABC1}">
  <sheetPr>
    <pageSetUpPr fitToPage="1"/>
  </sheetPr>
  <dimension ref="A1:BH90"/>
  <sheetViews>
    <sheetView topLeftCell="A23"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46240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9</v>
      </c>
      <c r="E8" s="112"/>
      <c r="F8" s="112"/>
      <c r="G8" s="76">
        <v>1</v>
      </c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/>
      <c r="H10" s="73"/>
      <c r="I10" s="93">
        <f t="shared" si="4"/>
        <v>93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/>
      <c r="H11" s="73"/>
      <c r="I11" s="73">
        <f t="shared" si="4"/>
        <v>47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1128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3531</v>
      </c>
      <c r="D13" s="114">
        <v>10</v>
      </c>
      <c r="E13" s="115"/>
      <c r="F13" s="115"/>
      <c r="G13" s="78">
        <v>22</v>
      </c>
      <c r="H13" s="79">
        <v>17</v>
      </c>
      <c r="I13" s="80">
        <f t="shared" si="4"/>
        <v>3509</v>
      </c>
      <c r="J13" s="94">
        <f>D13-H13</f>
        <v>-7</v>
      </c>
      <c r="K13" s="53"/>
      <c r="L13" s="121"/>
      <c r="M13" s="121"/>
      <c r="N13" s="121">
        <v>11</v>
      </c>
      <c r="O13" s="121">
        <v>12</v>
      </c>
      <c r="P13" s="121">
        <v>11</v>
      </c>
      <c r="Q13" s="122">
        <v>5</v>
      </c>
      <c r="R13" s="97">
        <f>L13+N13+P13</f>
        <v>22</v>
      </c>
      <c r="S13" s="125">
        <f>M13+O13+Q13</f>
        <v>17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84209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</v>
      </c>
      <c r="D29" s="111"/>
      <c r="E29" s="112"/>
      <c r="F29" s="112"/>
      <c r="G29" s="76">
        <v>1</v>
      </c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209</v>
      </c>
      <c r="D35" s="111">
        <v>2</v>
      </c>
      <c r="E35" s="112"/>
      <c r="F35" s="112"/>
      <c r="G35" s="76">
        <v>6</v>
      </c>
      <c r="H35" s="73"/>
      <c r="I35" s="73">
        <f t="shared" si="4"/>
        <v>203</v>
      </c>
      <c r="J35" s="77">
        <f t="shared" si="7"/>
        <v>2</v>
      </c>
      <c r="K35" s="41"/>
      <c r="L35" s="112"/>
      <c r="M35" s="112"/>
      <c r="N35" s="112">
        <v>3</v>
      </c>
      <c r="O35" s="112"/>
      <c r="P35" s="112">
        <v>3</v>
      </c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4874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4082</v>
      </c>
      <c r="D38" s="114">
        <v>1</v>
      </c>
      <c r="E38" s="115"/>
      <c r="F38" s="115"/>
      <c r="G38" s="78">
        <v>28</v>
      </c>
      <c r="H38" s="79"/>
      <c r="I38" s="80">
        <f t="shared" si="4"/>
        <v>4054</v>
      </c>
      <c r="J38" s="140">
        <f t="shared" si="7"/>
        <v>1</v>
      </c>
      <c r="K38" s="51"/>
      <c r="L38" s="121"/>
      <c r="M38" s="121"/>
      <c r="N38" s="121">
        <v>28</v>
      </c>
      <c r="O38" s="121"/>
      <c r="P38" s="121"/>
      <c r="Q38" s="122"/>
      <c r="R38" s="97">
        <f t="shared" si="8"/>
        <v>28</v>
      </c>
      <c r="S38" s="125">
        <f t="shared" si="8"/>
        <v>0</v>
      </c>
      <c r="T38" s="51"/>
      <c r="U38" s="131">
        <f>L38*6+N38*6+P38*6</f>
        <v>168</v>
      </c>
      <c r="V38" s="135">
        <f>U38/6</f>
        <v>28</v>
      </c>
      <c r="W38" s="133">
        <f>I38*6+J38</f>
        <v>24325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208</v>
      </c>
      <c r="D41" s="147">
        <v>20</v>
      </c>
      <c r="E41" s="148"/>
      <c r="F41" s="148"/>
      <c r="G41" s="149">
        <v>87</v>
      </c>
      <c r="H41" s="150"/>
      <c r="I41" s="80">
        <f t="shared" si="4"/>
        <v>121</v>
      </c>
      <c r="J41" s="152">
        <f t="shared" si="7"/>
        <v>20</v>
      </c>
      <c r="K41" s="153"/>
      <c r="L41" s="154"/>
      <c r="M41" s="154"/>
      <c r="N41" s="154">
        <v>67</v>
      </c>
      <c r="O41" s="154"/>
      <c r="P41" s="154">
        <v>20</v>
      </c>
      <c r="Q41" s="155"/>
      <c r="R41" s="156">
        <f t="shared" si="8"/>
        <v>87</v>
      </c>
      <c r="S41" s="157">
        <f t="shared" si="8"/>
        <v>0</v>
      </c>
      <c r="T41" s="153"/>
      <c r="U41" s="158">
        <f t="shared" si="10"/>
        <v>2088</v>
      </c>
      <c r="V41" s="159">
        <f t="shared" si="6"/>
        <v>87</v>
      </c>
      <c r="W41" s="159">
        <f t="shared" si="11"/>
        <v>2924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106</v>
      </c>
      <c r="D42" s="164"/>
      <c r="E42" s="165"/>
      <c r="F42" s="165"/>
      <c r="G42" s="166">
        <v>24</v>
      </c>
      <c r="H42" s="167"/>
      <c r="I42" s="181">
        <f t="shared" si="4"/>
        <v>82</v>
      </c>
      <c r="J42" s="168">
        <f t="shared" si="7"/>
        <v>0</v>
      </c>
      <c r="K42" s="169"/>
      <c r="L42" s="165"/>
      <c r="M42" s="165"/>
      <c r="N42" s="165">
        <v>12</v>
      </c>
      <c r="O42" s="165"/>
      <c r="P42" s="165">
        <v>12</v>
      </c>
      <c r="Q42" s="170"/>
      <c r="R42" s="171">
        <f t="shared" si="8"/>
        <v>24</v>
      </c>
      <c r="S42" s="172">
        <f t="shared" si="8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984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43691</v>
      </c>
      <c r="D44" s="114">
        <v>1</v>
      </c>
      <c r="E44" s="115"/>
      <c r="F44" s="115"/>
      <c r="G44" s="78">
        <v>752</v>
      </c>
      <c r="H44" s="79"/>
      <c r="I44" s="182">
        <f t="shared" si="4"/>
        <v>42939</v>
      </c>
      <c r="J44" s="177">
        <f t="shared" si="7"/>
        <v>1</v>
      </c>
      <c r="K44" s="51"/>
      <c r="L44" s="121"/>
      <c r="M44" s="121"/>
      <c r="N44" s="121">
        <v>385</v>
      </c>
      <c r="O44" s="121"/>
      <c r="P44" s="121">
        <v>367</v>
      </c>
      <c r="Q44" s="122"/>
      <c r="R44" s="178">
        <f t="shared" si="8"/>
        <v>752</v>
      </c>
      <c r="S44" s="179">
        <f t="shared" si="8"/>
        <v>0</v>
      </c>
      <c r="T44" s="51"/>
      <c r="U44" s="131">
        <f>L44*6+N44*6+P44*6</f>
        <v>4512</v>
      </c>
      <c r="V44" s="130">
        <f>U44/6</f>
        <v>752</v>
      </c>
      <c r="W44" s="133">
        <f>I44*6+J44</f>
        <v>257635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55035</v>
      </c>
      <c r="D60" s="54">
        <f>SUM(D8:D59)</f>
        <v>141</v>
      </c>
      <c r="E60" s="44">
        <f>SUM(E8:E59)</f>
        <v>0</v>
      </c>
      <c r="F60" s="44"/>
      <c r="G60" s="28">
        <f>SUM(G8:G59)</f>
        <v>921</v>
      </c>
      <c r="H60" s="56">
        <f>SUM(H8:H59)</f>
        <v>17</v>
      </c>
      <c r="I60" s="56">
        <f>SUM(I8:I59)</f>
        <v>54114</v>
      </c>
      <c r="J60" s="45">
        <f>SUM(J8:J59)</f>
        <v>124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506</v>
      </c>
      <c r="O60" s="74">
        <f t="shared" si="21"/>
        <v>12</v>
      </c>
      <c r="P60" s="74">
        <f t="shared" si="21"/>
        <v>415</v>
      </c>
      <c r="Q60" s="75">
        <f t="shared" si="21"/>
        <v>5</v>
      </c>
      <c r="R60" s="85">
        <f t="shared" si="21"/>
        <v>921</v>
      </c>
      <c r="S60" s="84">
        <f t="shared" si="21"/>
        <v>17</v>
      </c>
      <c r="T60" s="46"/>
      <c r="U60" s="43">
        <f>SUM(U8:U59)</f>
        <v>7776</v>
      </c>
      <c r="V60" s="102">
        <f>SUM(V8:V59)</f>
        <v>921</v>
      </c>
      <c r="W60" s="180">
        <f>SUM(W8:W59)</f>
        <v>402754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13C58-E877-4645-94DB-094F9A37B04B}">
  <sheetPr>
    <pageSetUpPr fitToPage="1"/>
  </sheetPr>
  <dimension ref="A1:BH90"/>
  <sheetViews>
    <sheetView zoomScale="130" zoomScaleNormal="130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46241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1</v>
      </c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47</v>
      </c>
      <c r="D11" s="111"/>
      <c r="E11" s="112"/>
      <c r="F11" s="112"/>
      <c r="G11" s="76">
        <v>1</v>
      </c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3508</v>
      </c>
      <c r="D13" s="114">
        <v>17</v>
      </c>
      <c r="E13" s="115"/>
      <c r="F13" s="115"/>
      <c r="G13" s="78">
        <v>27</v>
      </c>
      <c r="H13" s="79">
        <v>26</v>
      </c>
      <c r="I13" s="80">
        <f t="shared" si="4"/>
        <v>3481</v>
      </c>
      <c r="J13" s="94">
        <f>D13-H13</f>
        <v>-9</v>
      </c>
      <c r="K13" s="53"/>
      <c r="L13" s="121">
        <v>3</v>
      </c>
      <c r="M13" s="121">
        <v>17</v>
      </c>
      <c r="N13" s="121">
        <v>10</v>
      </c>
      <c r="O13" s="121">
        <v>5</v>
      </c>
      <c r="P13" s="121">
        <v>14</v>
      </c>
      <c r="Q13" s="122">
        <v>4</v>
      </c>
      <c r="R13" s="97">
        <f>L13+N13+P13</f>
        <v>27</v>
      </c>
      <c r="S13" s="125">
        <f>M13+O13+Q13</f>
        <v>26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83535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/>
      <c r="H29" s="73"/>
      <c r="I29" s="73">
        <f t="shared" si="4"/>
        <v>14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203</v>
      </c>
      <c r="D35" s="111">
        <v>2</v>
      </c>
      <c r="E35" s="112"/>
      <c r="F35" s="112"/>
      <c r="G35" s="76">
        <v>3</v>
      </c>
      <c r="H35" s="73"/>
      <c r="I35" s="73">
        <f t="shared" si="4"/>
        <v>200</v>
      </c>
      <c r="J35" s="77">
        <f t="shared" si="7"/>
        <v>2</v>
      </c>
      <c r="K35" s="41"/>
      <c r="L35" s="112">
        <v>2</v>
      </c>
      <c r="M35" s="112"/>
      <c r="N35" s="112">
        <v>1</v>
      </c>
      <c r="O35" s="112"/>
      <c r="P35" s="112"/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4802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4054</v>
      </c>
      <c r="D38" s="114">
        <v>1</v>
      </c>
      <c r="E38" s="115"/>
      <c r="F38" s="115"/>
      <c r="G38" s="78">
        <v>169</v>
      </c>
      <c r="H38" s="79"/>
      <c r="I38" s="80">
        <f t="shared" si="4"/>
        <v>3885</v>
      </c>
      <c r="J38" s="140">
        <f t="shared" si="7"/>
        <v>1</v>
      </c>
      <c r="K38" s="51"/>
      <c r="L38" s="121">
        <v>37</v>
      </c>
      <c r="M38" s="121"/>
      <c r="N38" s="121">
        <v>24</v>
      </c>
      <c r="O38" s="121"/>
      <c r="P38" s="121">
        <v>108</v>
      </c>
      <c r="Q38" s="122"/>
      <c r="R38" s="97">
        <f t="shared" si="8"/>
        <v>169</v>
      </c>
      <c r="S38" s="125">
        <f t="shared" si="8"/>
        <v>0</v>
      </c>
      <c r="T38" s="51"/>
      <c r="U38" s="131">
        <f>L38*6+N38*6+P38*6</f>
        <v>1014</v>
      </c>
      <c r="V38" s="135">
        <f>U38/6</f>
        <v>169</v>
      </c>
      <c r="W38" s="133">
        <f>I38*6+J38</f>
        <v>23311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121</v>
      </c>
      <c r="D41" s="147">
        <v>20</v>
      </c>
      <c r="E41" s="148"/>
      <c r="F41" s="148"/>
      <c r="G41" s="149">
        <v>1</v>
      </c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8"/>
        <v>1</v>
      </c>
      <c r="S41" s="157">
        <f t="shared" si="8"/>
        <v>0</v>
      </c>
      <c r="T41" s="153"/>
      <c r="U41" s="158">
        <f t="shared" si="10"/>
        <v>24</v>
      </c>
      <c r="V41" s="159">
        <f t="shared" si="6"/>
        <v>1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82</v>
      </c>
      <c r="D42" s="164"/>
      <c r="E42" s="165"/>
      <c r="F42" s="165"/>
      <c r="G42" s="166">
        <v>31</v>
      </c>
      <c r="H42" s="167"/>
      <c r="I42" s="181">
        <f t="shared" si="4"/>
        <v>51</v>
      </c>
      <c r="J42" s="168">
        <f t="shared" si="7"/>
        <v>0</v>
      </c>
      <c r="K42" s="169"/>
      <c r="L42" s="165">
        <v>15</v>
      </c>
      <c r="M42" s="165"/>
      <c r="N42" s="165">
        <v>12</v>
      </c>
      <c r="O42" s="165"/>
      <c r="P42" s="165">
        <v>4</v>
      </c>
      <c r="Q42" s="170"/>
      <c r="R42" s="171">
        <f t="shared" si="8"/>
        <v>31</v>
      </c>
      <c r="S42" s="172">
        <f t="shared" si="8"/>
        <v>0</v>
      </c>
      <c r="T42" s="169"/>
      <c r="U42" s="173">
        <f>L42*12+N42*12+P42*12</f>
        <v>372</v>
      </c>
      <c r="V42" s="174">
        <f>U42/12</f>
        <v>31</v>
      </c>
      <c r="W42" s="175">
        <f>I42*12+J42</f>
        <v>612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42939</v>
      </c>
      <c r="D44" s="114">
        <v>1</v>
      </c>
      <c r="E44" s="115"/>
      <c r="F44" s="115"/>
      <c r="G44" s="78">
        <v>1242</v>
      </c>
      <c r="H44" s="79"/>
      <c r="I44" s="182">
        <f t="shared" si="4"/>
        <v>41697</v>
      </c>
      <c r="J44" s="177">
        <f t="shared" si="7"/>
        <v>1</v>
      </c>
      <c r="K44" s="51"/>
      <c r="L44" s="121">
        <v>482</v>
      </c>
      <c r="M44" s="121"/>
      <c r="N44" s="121">
        <v>373</v>
      </c>
      <c r="O44" s="121"/>
      <c r="P44" s="121">
        <v>387</v>
      </c>
      <c r="Q44" s="122"/>
      <c r="R44" s="178">
        <f t="shared" si="8"/>
        <v>1242</v>
      </c>
      <c r="S44" s="179">
        <f t="shared" si="8"/>
        <v>0</v>
      </c>
      <c r="T44" s="51"/>
      <c r="U44" s="131">
        <f>L44*6+N44*6+P44*6</f>
        <v>7452</v>
      </c>
      <c r="V44" s="130">
        <f>U44/6</f>
        <v>1242</v>
      </c>
      <c r="W44" s="133">
        <f>I44*6+J44</f>
        <v>250183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54113</v>
      </c>
      <c r="D60" s="54">
        <f>SUM(D8:D59)</f>
        <v>148</v>
      </c>
      <c r="E60" s="44">
        <f>SUM(E8:E59)</f>
        <v>0</v>
      </c>
      <c r="F60" s="44"/>
      <c r="G60" s="28">
        <f>SUM(G8:G59)</f>
        <v>1475</v>
      </c>
      <c r="H60" s="56">
        <f>SUM(H8:H59)</f>
        <v>26</v>
      </c>
      <c r="I60" s="56">
        <f>SUM(I8:I59)</f>
        <v>52638</v>
      </c>
      <c r="J60" s="45">
        <f>SUM(J8:J59)</f>
        <v>122</v>
      </c>
      <c r="K60" s="46"/>
      <c r="L60" s="74">
        <f t="shared" ref="L60:S60" si="21">SUM(L8:L59)</f>
        <v>539</v>
      </c>
      <c r="M60" s="74">
        <f t="shared" si="21"/>
        <v>17</v>
      </c>
      <c r="N60" s="74">
        <f t="shared" si="21"/>
        <v>420</v>
      </c>
      <c r="O60" s="74">
        <f t="shared" si="21"/>
        <v>5</v>
      </c>
      <c r="P60" s="74">
        <f t="shared" si="21"/>
        <v>516</v>
      </c>
      <c r="Q60" s="75">
        <f t="shared" si="21"/>
        <v>4</v>
      </c>
      <c r="R60" s="85">
        <f t="shared" si="21"/>
        <v>1475</v>
      </c>
      <c r="S60" s="84">
        <f t="shared" si="21"/>
        <v>26</v>
      </c>
      <c r="T60" s="46"/>
      <c r="U60" s="43">
        <f>SUM(U8:U59)</f>
        <v>9630</v>
      </c>
      <c r="V60" s="102">
        <f>SUM(V8:V59)</f>
        <v>1475</v>
      </c>
      <c r="W60" s="180">
        <f>SUM(W8:W59)</f>
        <v>393098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F4B31-0C82-4AE9-B903-20AA37151487}">
  <sheetPr>
    <pageSetUpPr fitToPage="1"/>
  </sheetPr>
  <dimension ref="A1:BH90"/>
  <sheetViews>
    <sheetView tabSelected="1" topLeftCell="A40"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46242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/>
      <c r="H8" s="73"/>
      <c r="I8" s="73">
        <f>C8+E8-G8</f>
        <v>34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87</v>
      </c>
      <c r="D9" s="114">
        <v>12</v>
      </c>
      <c r="E9" s="115"/>
      <c r="F9" s="115"/>
      <c r="G9" s="78"/>
      <c r="H9" s="79"/>
      <c r="I9" s="80">
        <f t="shared" ref="I9:I59" si="4">C9+E9-G9</f>
        <v>87</v>
      </c>
      <c r="J9" s="94">
        <f t="shared" si="0"/>
        <v>12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2100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92</v>
      </c>
      <c r="D10" s="111"/>
      <c r="E10" s="112"/>
      <c r="F10" s="112"/>
      <c r="G10" s="76"/>
      <c r="H10" s="73"/>
      <c r="I10" s="93">
        <f t="shared" si="4"/>
        <v>92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2208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46</v>
      </c>
      <c r="D11" s="111"/>
      <c r="E11" s="112"/>
      <c r="F11" s="112"/>
      <c r="G11" s="76"/>
      <c r="H11" s="73"/>
      <c r="I11" s="73">
        <f t="shared" si="4"/>
        <v>46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1104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3480</v>
      </c>
      <c r="D13" s="114">
        <v>15</v>
      </c>
      <c r="E13" s="115"/>
      <c r="F13" s="115"/>
      <c r="G13" s="78">
        <v>18</v>
      </c>
      <c r="H13" s="79">
        <v>1</v>
      </c>
      <c r="I13" s="80">
        <f t="shared" si="4"/>
        <v>3462</v>
      </c>
      <c r="J13" s="94">
        <f>D13-H13</f>
        <v>14</v>
      </c>
      <c r="K13" s="53"/>
      <c r="L13" s="121"/>
      <c r="M13" s="121"/>
      <c r="N13" s="121">
        <v>11</v>
      </c>
      <c r="O13" s="121"/>
      <c r="P13" s="121">
        <v>7</v>
      </c>
      <c r="Q13" s="122">
        <v>1</v>
      </c>
      <c r="R13" s="97">
        <f>L13+N13+P13</f>
        <v>18</v>
      </c>
      <c r="S13" s="125">
        <f>M13+O13+Q13</f>
        <v>1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83102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2</v>
      </c>
      <c r="D23" s="111">
        <v>20</v>
      </c>
      <c r="E23" s="112"/>
      <c r="F23" s="112"/>
      <c r="G23" s="76"/>
      <c r="H23" s="73"/>
      <c r="I23" s="73">
        <f t="shared" si="4"/>
        <v>2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68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5</v>
      </c>
      <c r="D25" s="111"/>
      <c r="E25" s="112"/>
      <c r="F25" s="112"/>
      <c r="G25" s="76"/>
      <c r="H25" s="73"/>
      <c r="I25" s="73">
        <f t="shared" si="4"/>
        <v>5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120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55</v>
      </c>
      <c r="D26" s="111">
        <v>1</v>
      </c>
      <c r="E26" s="112"/>
      <c r="F26" s="112"/>
      <c r="G26" s="76"/>
      <c r="H26" s="73"/>
      <c r="I26" s="73">
        <f t="shared" si="4"/>
        <v>55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1321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4</v>
      </c>
      <c r="D28" s="111"/>
      <c r="E28" s="112"/>
      <c r="F28" s="112"/>
      <c r="G28" s="76"/>
      <c r="H28" s="73"/>
      <c r="I28" s="73">
        <f t="shared" si="4"/>
        <v>4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96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</v>
      </c>
      <c r="D29" s="111"/>
      <c r="E29" s="112"/>
      <c r="F29" s="112"/>
      <c r="G29" s="76">
        <v>2</v>
      </c>
      <c r="H29" s="73"/>
      <c r="I29" s="73">
        <f t="shared" si="4"/>
        <v>12</v>
      </c>
      <c r="J29" s="77">
        <f t="shared" si="7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29</v>
      </c>
      <c r="D30" s="111">
        <v>5</v>
      </c>
      <c r="E30" s="112"/>
      <c r="F30" s="112"/>
      <c r="G30" s="76"/>
      <c r="H30" s="73"/>
      <c r="I30" s="73">
        <f t="shared" si="4"/>
        <v>29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701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/>
      <c r="H32" s="73"/>
      <c r="I32" s="73">
        <f t="shared" si="4"/>
        <v>2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200</v>
      </c>
      <c r="D35" s="111">
        <v>2</v>
      </c>
      <c r="E35" s="112"/>
      <c r="F35" s="112"/>
      <c r="G35" s="76">
        <v>2</v>
      </c>
      <c r="H35" s="73"/>
      <c r="I35" s="73">
        <f t="shared" si="4"/>
        <v>198</v>
      </c>
      <c r="J35" s="77">
        <f t="shared" si="7"/>
        <v>2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4754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3885</v>
      </c>
      <c r="D38" s="114">
        <v>1</v>
      </c>
      <c r="E38" s="115"/>
      <c r="F38" s="115"/>
      <c r="G38" s="78">
        <v>120</v>
      </c>
      <c r="H38" s="79"/>
      <c r="I38" s="80">
        <f t="shared" si="4"/>
        <v>3765</v>
      </c>
      <c r="J38" s="140">
        <f t="shared" si="7"/>
        <v>1</v>
      </c>
      <c r="K38" s="51"/>
      <c r="L38" s="121"/>
      <c r="M38" s="121"/>
      <c r="N38" s="121">
        <v>12</v>
      </c>
      <c r="O38" s="121"/>
      <c r="P38" s="121">
        <v>108</v>
      </c>
      <c r="Q38" s="122"/>
      <c r="R38" s="97">
        <f t="shared" si="8"/>
        <v>120</v>
      </c>
      <c r="S38" s="125">
        <f t="shared" si="8"/>
        <v>0</v>
      </c>
      <c r="T38" s="51"/>
      <c r="U38" s="131">
        <f>L38*6+N38*6+P38*6</f>
        <v>720</v>
      </c>
      <c r="V38" s="135">
        <f>U38/6</f>
        <v>120</v>
      </c>
      <c r="W38" s="133">
        <f>I38*6+J38</f>
        <v>22591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120</v>
      </c>
      <c r="D41" s="147">
        <v>20</v>
      </c>
      <c r="E41" s="148"/>
      <c r="F41" s="148"/>
      <c r="G41" s="149"/>
      <c r="H41" s="150"/>
      <c r="I41" s="80">
        <f t="shared" si="4"/>
        <v>120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2900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51</v>
      </c>
      <c r="D42" s="164"/>
      <c r="E42" s="165"/>
      <c r="F42" s="165"/>
      <c r="G42" s="166">
        <v>15</v>
      </c>
      <c r="H42" s="167"/>
      <c r="I42" s="181">
        <f t="shared" si="4"/>
        <v>36</v>
      </c>
      <c r="J42" s="168">
        <f t="shared" si="7"/>
        <v>0</v>
      </c>
      <c r="K42" s="169"/>
      <c r="L42" s="165"/>
      <c r="M42" s="165"/>
      <c r="N42" s="165">
        <v>9</v>
      </c>
      <c r="O42" s="165"/>
      <c r="P42" s="165">
        <v>6</v>
      </c>
      <c r="Q42" s="170"/>
      <c r="R42" s="171">
        <f t="shared" si="8"/>
        <v>15</v>
      </c>
      <c r="S42" s="172">
        <f t="shared" si="8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41696</v>
      </c>
      <c r="D44" s="114">
        <v>4</v>
      </c>
      <c r="E44" s="115"/>
      <c r="F44" s="115"/>
      <c r="G44" s="78">
        <v>553</v>
      </c>
      <c r="H44" s="79"/>
      <c r="I44" s="182">
        <f t="shared" si="4"/>
        <v>41143</v>
      </c>
      <c r="J44" s="177">
        <f t="shared" si="7"/>
        <v>4</v>
      </c>
      <c r="K44" s="51"/>
      <c r="L44" s="121"/>
      <c r="M44" s="121"/>
      <c r="N44" s="121">
        <v>273</v>
      </c>
      <c r="O44" s="121"/>
      <c r="P44" s="121">
        <v>280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246862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2702</v>
      </c>
      <c r="D48" s="142">
        <v>3</v>
      </c>
      <c r="E48" s="121"/>
      <c r="F48" s="121"/>
      <c r="G48" s="143"/>
      <c r="H48" s="139"/>
      <c r="I48" s="80">
        <f t="shared" si="4"/>
        <v>2702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10</v>
      </c>
      <c r="D50" s="111"/>
      <c r="E50" s="112"/>
      <c r="F50" s="112"/>
      <c r="G50" s="76"/>
      <c r="H50" s="73"/>
      <c r="I50" s="73">
        <f t="shared" si="4"/>
        <v>10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240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52636</v>
      </c>
      <c r="D60" s="54">
        <f>SUM(D8:D59)</f>
        <v>149</v>
      </c>
      <c r="E60" s="44">
        <f>SUM(E8:E59)</f>
        <v>0</v>
      </c>
      <c r="F60" s="44"/>
      <c r="G60" s="28">
        <f>SUM(G8:G59)</f>
        <v>710</v>
      </c>
      <c r="H60" s="56">
        <f>SUM(H8:H59)</f>
        <v>1</v>
      </c>
      <c r="I60" s="56">
        <f>SUM(I8:I59)</f>
        <v>51926</v>
      </c>
      <c r="J60" s="45">
        <f>SUM(J8:J59)</f>
        <v>148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305</v>
      </c>
      <c r="O60" s="74">
        <f t="shared" si="21"/>
        <v>0</v>
      </c>
      <c r="P60" s="74">
        <f t="shared" si="21"/>
        <v>405</v>
      </c>
      <c r="Q60" s="75">
        <f t="shared" si="21"/>
        <v>1</v>
      </c>
      <c r="R60" s="85">
        <f t="shared" si="21"/>
        <v>710</v>
      </c>
      <c r="S60" s="84">
        <f t="shared" si="21"/>
        <v>1</v>
      </c>
      <c r="T60" s="46"/>
      <c r="U60" s="43">
        <f>SUM(U8:U59)</f>
        <v>4746</v>
      </c>
      <c r="V60" s="102">
        <f>SUM(V8:V59)</f>
        <v>710</v>
      </c>
      <c r="W60" s="180">
        <f>SUM(W8:W59)</f>
        <v>388348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8190-C589-449E-9407-1580A7DB16E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46244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F2865-D744-4222-B262-492509451D2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4">
        <v>46245</v>
      </c>
      <c r="Q1" s="195"/>
      <c r="R1" s="195"/>
      <c r="S1" s="195"/>
      <c r="T1" s="195"/>
      <c r="U1" s="195"/>
      <c r="V1" s="195"/>
      <c r="W1" s="195"/>
      <c r="X1" s="19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7" t="s">
        <v>74</v>
      </c>
      <c r="C4" s="198" t="s">
        <v>3</v>
      </c>
      <c r="D4" s="199" t="s">
        <v>75</v>
      </c>
      <c r="E4" s="200" t="s">
        <v>4</v>
      </c>
      <c r="F4" s="201"/>
      <c r="G4" s="202" t="s">
        <v>5</v>
      </c>
      <c r="H4" s="204" t="s">
        <v>75</v>
      </c>
      <c r="I4" s="206" t="s">
        <v>6</v>
      </c>
      <c r="J4" s="204" t="s">
        <v>75</v>
      </c>
      <c r="L4" s="208" t="s">
        <v>7</v>
      </c>
      <c r="M4" s="209"/>
      <c r="N4" s="209"/>
      <c r="O4" s="209"/>
      <c r="P4" s="209"/>
      <c r="Q4" s="209"/>
      <c r="R4" s="209"/>
      <c r="S4" s="209"/>
      <c r="T4" s="209"/>
      <c r="U4" s="209"/>
      <c r="V4" s="210"/>
      <c r="W4" s="209"/>
      <c r="X4" s="211"/>
    </row>
    <row r="5" spans="1:60" s="3" customFormat="1" ht="57" thickBot="1" x14ac:dyDescent="0.3">
      <c r="A5" s="49"/>
      <c r="B5" s="197"/>
      <c r="C5" s="198"/>
      <c r="D5" s="199"/>
      <c r="E5" s="48" t="s">
        <v>8</v>
      </c>
      <c r="F5" s="188" t="s">
        <v>9</v>
      </c>
      <c r="G5" s="203"/>
      <c r="H5" s="205"/>
      <c r="I5" s="207"/>
      <c r="J5" s="20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1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2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0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18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6" t="s">
        <v>3</v>
      </c>
      <c r="D69" s="18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EXAMPLE</vt:lpstr>
      <vt:lpstr>08,03</vt:lpstr>
      <vt:lpstr>08,04</vt:lpstr>
      <vt:lpstr>08,05</vt:lpstr>
      <vt:lpstr>08,06</vt:lpstr>
      <vt:lpstr>08,07</vt:lpstr>
      <vt:lpstr>08,08</vt:lpstr>
      <vt:lpstr>08,10</vt:lpstr>
      <vt:lpstr>08,11</vt:lpstr>
      <vt:lpstr>'08,03'!Print_Area</vt:lpstr>
      <vt:lpstr>'08,04'!Print_Area</vt:lpstr>
      <vt:lpstr>'08,05'!Print_Area</vt:lpstr>
      <vt:lpstr>'08,06'!Print_Area</vt:lpstr>
      <vt:lpstr>'08,07'!Print_Area</vt:lpstr>
      <vt:lpstr>'08,08'!Print_Area</vt:lpstr>
      <vt:lpstr>'08,10'!Print_Area</vt:lpstr>
      <vt:lpstr>'08,11'!Print_Area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2026-08-10T05:41:52Z</dcterms:modified>
</cp:coreProperties>
</file>